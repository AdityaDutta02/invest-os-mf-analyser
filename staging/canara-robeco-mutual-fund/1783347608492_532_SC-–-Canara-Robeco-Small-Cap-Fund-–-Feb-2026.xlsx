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4C105476-996C-4B9F-AC94-9B44B313C581}" xr6:coauthVersionLast="47" xr6:coauthVersionMax="47" xr10:uidLastSave="{00000000-0000-0000-0000-000000000000}"/>
  <bookViews>
    <workbookView xWindow="-120" yWindow="-120" windowWidth="20730" windowHeight="11040" xr2:uid="{82877241-0128-4CCA-BC06-60AF5E1F57C1}"/>
  </bookViews>
  <sheets>
    <sheet name="S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G103" i="1" s="1"/>
  <c r="F102" i="1"/>
  <c r="F103" i="1" s="1"/>
  <c r="G98" i="1"/>
  <c r="G99" i="1" s="1"/>
  <c r="G104" i="1" s="1"/>
  <c r="F98" i="1"/>
  <c r="F99" i="1" s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F10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<sst xmlns="http://schemas.openxmlformats.org/spreadsheetml/2006/main" count="301" uniqueCount="237">
  <si>
    <t>CANARA ROBECO SMALL CAP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</si>
  <si>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</si>
  <si>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</si>
  <si>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</si>
  <si>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</si>
  <si>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</si>
  <si>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</si>
  <si>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</si>
  <si>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</si>
  <si>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</si>
  <si>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</si>
  <si>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</si>
  <si>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</si>
  <si>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</si>
  <si>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</si>
  <si>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</si>
  <si>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</si>
  <si>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</si>
  <si>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KEI Industries Ltd</t>
  </si>
  <si>
    <t>INE878B01027</t>
  </si>
  <si>
    <t>Industrial Products</t>
  </si>
  <si>
    <t>Karur Vysya Bank Ltd</t>
  </si>
  <si>
    <t>INE036D01028</t>
  </si>
  <si>
    <t>Banks</t>
  </si>
  <si>
    <t>Ge Vernova T&amp;D India Ltd</t>
  </si>
  <si>
    <t>INE200A01026</t>
  </si>
  <si>
    <t>Electrical Equipment</t>
  </si>
  <si>
    <t>City Union Bank Ltd</t>
  </si>
  <si>
    <t>INE491A01021</t>
  </si>
  <si>
    <t>Amber Enterprises India Ltd</t>
  </si>
  <si>
    <t>INE371P01015</t>
  </si>
  <si>
    <t>Consumer Durables</t>
  </si>
  <si>
    <t>J.B. Chemicals &amp; Pharmaceuticals Ltd</t>
  </si>
  <si>
    <t>INE572A01036</t>
  </si>
  <si>
    <t>Pharmaceuticals &amp; Biotechnology</t>
  </si>
  <si>
    <t>Benchmark: Nifty Smallcap 250 Index TRI</t>
  </si>
  <si>
    <t>Blue Star Ltd</t>
  </si>
  <si>
    <t>INE472A01039</t>
  </si>
  <si>
    <t>Ajanta Pharma Ltd</t>
  </si>
  <si>
    <t>INE031B01049</t>
  </si>
  <si>
    <t>Indian Bank</t>
  </si>
  <si>
    <t>INE562A01011</t>
  </si>
  <si>
    <t>TBO Tek Ltd</t>
  </si>
  <si>
    <t>INE673O01025</t>
  </si>
  <si>
    <t>Leisure Services</t>
  </si>
  <si>
    <t>Anand Rathi Wealth Ltd</t>
  </si>
  <si>
    <t>INE463V01026</t>
  </si>
  <si>
    <t>PNB Housing Finance Ltd</t>
  </si>
  <si>
    <t>INE572E01012</t>
  </si>
  <si>
    <t>Finance</t>
  </si>
  <si>
    <t>Bharat Electronics Ltd</t>
  </si>
  <si>
    <t>INE263A01024</t>
  </si>
  <si>
    <t>Aerospace &amp; Defense</t>
  </si>
  <si>
    <t>Equitas Small Finance Bank Ltd</t>
  </si>
  <si>
    <t>INE063P01018</t>
  </si>
  <si>
    <t>Cholamandalam Financial Holdings Ltd</t>
  </si>
  <si>
    <t>INE149A01033</t>
  </si>
  <si>
    <t>Sagility Ltd</t>
  </si>
  <si>
    <t>INE0W2G01015</t>
  </si>
  <si>
    <t>IT - Services</t>
  </si>
  <si>
    <t>Aditya Birla Real Estate Ltd</t>
  </si>
  <si>
    <t>INE055A01016</t>
  </si>
  <si>
    <t>Paper, Forest &amp; Jute Products</t>
  </si>
  <si>
    <t>Computer Age Management Services Ltd</t>
  </si>
  <si>
    <t>INE596I01020</t>
  </si>
  <si>
    <t>V-Guard Industries Ltd</t>
  </si>
  <si>
    <t>INE951I01027</t>
  </si>
  <si>
    <t>EID Parry India Ltd</t>
  </si>
  <si>
    <t>INE126A01031</t>
  </si>
  <si>
    <t>Food Products</t>
  </si>
  <si>
    <t>Eternal Ltd</t>
  </si>
  <si>
    <t>INE758T01015</t>
  </si>
  <si>
    <t>Retailing</t>
  </si>
  <si>
    <t>Ujjivan Small Finance Bank Ltd</t>
  </si>
  <si>
    <t>INE551W01018</t>
  </si>
  <si>
    <t>Global Health Ltd</t>
  </si>
  <si>
    <t>INE474Q01031</t>
  </si>
  <si>
    <t>Healthcare Services</t>
  </si>
  <si>
    <t>Delhivery Ltd</t>
  </si>
  <si>
    <t>INE148O01028</t>
  </si>
  <si>
    <t>Transport Services</t>
  </si>
  <si>
    <t>Radico Khaitan Ltd</t>
  </si>
  <si>
    <t>INE944F01028</t>
  </si>
  <si>
    <t>Beverages</t>
  </si>
  <si>
    <t>Sobha Ltd</t>
  </si>
  <si>
    <t>INE671H01015</t>
  </si>
  <si>
    <t>Realty</t>
  </si>
  <si>
    <t>Creditaccess Grameen Ltd</t>
  </si>
  <si>
    <t>INE741K01010</t>
  </si>
  <si>
    <t>Gland Pharma Ltd</t>
  </si>
  <si>
    <t>INE068V01023</t>
  </si>
  <si>
    <t>Bajaj Finance Ltd</t>
  </si>
  <si>
    <t>INE296A01032</t>
  </si>
  <si>
    <t>Cera Sanitaryware Ltd</t>
  </si>
  <si>
    <t>INE739E01017</t>
  </si>
  <si>
    <t>Can Fin Homes Ltd</t>
  </si>
  <si>
    <t>INE477A01020</t>
  </si>
  <si>
    <t>National Aluminium Co Ltd</t>
  </si>
  <si>
    <t>INE139A01034</t>
  </si>
  <si>
    <t>Non - Ferrous Metals</t>
  </si>
  <si>
    <t>Interglobe Aviation Ltd</t>
  </si>
  <si>
    <t>INE646L01027</t>
  </si>
  <si>
    <t>Metropolis Healthcare Ltd</t>
  </si>
  <si>
    <t>INE112L01020</t>
  </si>
  <si>
    <t>Affle 3i Ltd</t>
  </si>
  <si>
    <t>INE00WC01027</t>
  </si>
  <si>
    <t>JK Lakshmi Cement Ltd</t>
  </si>
  <si>
    <t>INE786A01032</t>
  </si>
  <si>
    <t>Cement &amp; Cement Products</t>
  </si>
  <si>
    <t>CESC Ltd</t>
  </si>
  <si>
    <t>INE486A01021</t>
  </si>
  <si>
    <t>Power</t>
  </si>
  <si>
    <t>Birlasoft Ltd</t>
  </si>
  <si>
    <t>INE836A01035</t>
  </si>
  <si>
    <t>IT - Software</t>
  </si>
  <si>
    <t>EPL Ltd</t>
  </si>
  <si>
    <t>INE255A01020</t>
  </si>
  <si>
    <t>Indian Hotels Co Ltd</t>
  </si>
  <si>
    <t>INE053A01029</t>
  </si>
  <si>
    <t>Bikaji Foods International Ltd</t>
  </si>
  <si>
    <t>INE00E101023</t>
  </si>
  <si>
    <t>Apar Industries Ltd</t>
  </si>
  <si>
    <t>INE372A01015</t>
  </si>
  <si>
    <t>Tech Mahindra Ltd</t>
  </si>
  <si>
    <t>INE669C01036</t>
  </si>
  <si>
    <t>The Ramco Cements Ltd</t>
  </si>
  <si>
    <t>INE331A01037</t>
  </si>
  <si>
    <t>Great Eastern Shipping Co Ltd</t>
  </si>
  <si>
    <t>INE017A01032</t>
  </si>
  <si>
    <t>Max Healthcare Institute Ltd</t>
  </si>
  <si>
    <t>INE027H01010</t>
  </si>
  <si>
    <t>Home First Finance Co India Ltd</t>
  </si>
  <si>
    <t>INE481N01025</t>
  </si>
  <si>
    <t>RBL Bank Ltd</t>
  </si>
  <si>
    <t>INE976G01028</t>
  </si>
  <si>
    <t>ICRA Ltd</t>
  </si>
  <si>
    <t>INE725G01011</t>
  </si>
  <si>
    <t>Safari Industries (India) Ltd</t>
  </si>
  <si>
    <t>INE429E01023</t>
  </si>
  <si>
    <t>Ratnamani Metals &amp; Tubes Ltd</t>
  </si>
  <si>
    <t>INE703B01027</t>
  </si>
  <si>
    <t>KEC International Ltd</t>
  </si>
  <si>
    <t>INE389H01022</t>
  </si>
  <si>
    <t>Construction</t>
  </si>
  <si>
    <t>Indian Energy Exchange Ltd</t>
  </si>
  <si>
    <t>INE022Q01020</t>
  </si>
  <si>
    <t>Triveni Turbine Ltd</t>
  </si>
  <si>
    <t>INE152M01016</t>
  </si>
  <si>
    <t>Schaeffler India Ltd</t>
  </si>
  <si>
    <t>INE513A01022</t>
  </si>
  <si>
    <t>Auto Components</t>
  </si>
  <si>
    <t>Exide Industries Ltd</t>
  </si>
  <si>
    <t>INE302A01020</t>
  </si>
  <si>
    <t>Innova Captab Ltd</t>
  </si>
  <si>
    <t>INE0DUT01020</t>
  </si>
  <si>
    <t>Piramal Pharma Ltd</t>
  </si>
  <si>
    <t>INE0DK501011</t>
  </si>
  <si>
    <t>ITC Ltd</t>
  </si>
  <si>
    <t>INE154A01025</t>
  </si>
  <si>
    <t>Diversified FMCG</t>
  </si>
  <si>
    <t>Thangamayil Jewellery Ltd</t>
  </si>
  <si>
    <t>INE085J01014</t>
  </si>
  <si>
    <t>Jyoti CNC Automation Ltd</t>
  </si>
  <si>
    <t>INE980O01024</t>
  </si>
  <si>
    <t>Industrial Manufacturing</t>
  </si>
  <si>
    <t>Mahanagar Gas Ltd</t>
  </si>
  <si>
    <t>INE002S01010</t>
  </si>
  <si>
    <t>Gas</t>
  </si>
  <si>
    <t>CIE Automotive India Ltd</t>
  </si>
  <si>
    <t>INE536H01010</t>
  </si>
  <si>
    <t>Westlife Foodworld Ltd</t>
  </si>
  <si>
    <t>INE274F01020</t>
  </si>
  <si>
    <t>V-Mart Retail Ltd</t>
  </si>
  <si>
    <t>INE665J01013</t>
  </si>
  <si>
    <t>Mrs Bectors Food Specialities Ltd</t>
  </si>
  <si>
    <t>INE495P01020</t>
  </si>
  <si>
    <t>Jyothy Labs Ltd</t>
  </si>
  <si>
    <t>INE668F01031</t>
  </si>
  <si>
    <t>Household Products</t>
  </si>
  <si>
    <t>UTI Asset Management Co Ltd</t>
  </si>
  <si>
    <t>INE094J01016</t>
  </si>
  <si>
    <t>Timken India Ltd</t>
  </si>
  <si>
    <t>INE325A01013</t>
  </si>
  <si>
    <t>Cyient Ltd</t>
  </si>
  <si>
    <t>INE136B01020</t>
  </si>
  <si>
    <t>Sumitomo Chemical India Ltd</t>
  </si>
  <si>
    <t>INE258G01013</t>
  </si>
  <si>
    <t>Fertilizers &amp; Agrochemicals</t>
  </si>
  <si>
    <t>Subros Ltd</t>
  </si>
  <si>
    <t>INE287B01021</t>
  </si>
  <si>
    <t>VRL Logistics Ltd</t>
  </si>
  <si>
    <t>INE366I01010</t>
  </si>
  <si>
    <t>Awfis Space Solutions Ltd</t>
  </si>
  <si>
    <t>INE108V01019</t>
  </si>
  <si>
    <t>Commercial Services &amp; Supplies</t>
  </si>
  <si>
    <t>Cohance Lifesciences Ltd</t>
  </si>
  <si>
    <t>INE03QK01018</t>
  </si>
  <si>
    <t>Greenply Industries Ltd</t>
  </si>
  <si>
    <t>INE461C01038</t>
  </si>
  <si>
    <t>Ahluwalia Contracts (India) Ltd</t>
  </si>
  <si>
    <t>INE758C01029</t>
  </si>
  <si>
    <t>Mold Tek Packaging Ltd</t>
  </si>
  <si>
    <t>INE893J01029</t>
  </si>
  <si>
    <t>Rhi Magnesita India Ltd</t>
  </si>
  <si>
    <t>INE743M01012</t>
  </si>
  <si>
    <t>Doms Industries Ltd</t>
  </si>
  <si>
    <t>INE321T01012</t>
  </si>
  <si>
    <t>Rolex Rings Ltd</t>
  </si>
  <si>
    <t>INE645S01024</t>
  </si>
  <si>
    <t>Rossari Biotech Ltd</t>
  </si>
  <si>
    <t>INE02A801020</t>
  </si>
  <si>
    <t>Chemicals &amp; Petrochemicals</t>
  </si>
  <si>
    <t>Latent View Analytics Ltd</t>
  </si>
  <si>
    <t>INE0I7C01011</t>
  </si>
  <si>
    <t>Ask Automotive Ltd</t>
  </si>
  <si>
    <t>INE491J01022</t>
  </si>
  <si>
    <t>Tata Elxsi Ltd</t>
  </si>
  <si>
    <t>INE670A01012</t>
  </si>
  <si>
    <t>Brigade Enterprises Ltd</t>
  </si>
  <si>
    <t>INE791I01019</t>
  </si>
  <si>
    <t>Vedant Fashions Ltd</t>
  </si>
  <si>
    <t>INE825V01034</t>
  </si>
  <si>
    <t>ICICI Prudential Asset Management Co Ltd</t>
  </si>
  <si>
    <t>INE346A01027</t>
  </si>
  <si>
    <t>Praj Industries Ltd</t>
  </si>
  <si>
    <t>INE074A01025</t>
  </si>
  <si>
    <t>PNC Infratech Ltd</t>
  </si>
  <si>
    <t>INE195J01029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</si>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</sst>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malak_shah_canararobeco_com/Documents/Desktop/Products/Average%20Market%20Capitalization%201%20Jul%202025%20-%2031%20Dec%202025.xlsx" TargetMode="External"/><Relationship Id="rId2" Type="http://schemas.openxmlformats.org/officeDocument/2006/relationships/externalLinkPath" Target="https://cramc-my.sharepoint.com/personal/malak_shah_canararobeco_com/Documents/Desktop/Products/Average%20Market%20Capitalization%201%20Jul%202025%20-%2031%20Dec%202025.xlsx" TargetMode="External"/><Relationship Id="rId1" Type="http://schemas.openxmlformats.org/officeDocument/2006/relationships/externalLinkPath" Target="/personal/malak_shah_canararobeco_com/Documents/Desktop/Products/Average%20Market%20Capitalization%201%20Jul%202025%20-%2031%20Dec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C3" t="str">
            <v>INE002A01018</v>
          </cell>
          <cell r="D3" t="str">
            <v>RELIANCE</v>
          </cell>
          <cell r="E3">
            <v>1970806.4850785302</v>
          </cell>
          <cell r="F3" t="str">
            <v>RELIANCE</v>
          </cell>
          <cell r="G3">
            <v>1970787.69</v>
          </cell>
          <cell r="H3" t="str">
            <v>-</v>
          </cell>
          <cell r="I3" t="str">
            <v>-</v>
          </cell>
          <cell r="J3">
            <v>1970797.0875392649</v>
          </cell>
          <cell r="K3" t="str">
            <v>Large Cap</v>
          </cell>
        </row>
        <row r="4">
          <cell r="C4" t="str">
            <v>INE040A01034</v>
          </cell>
          <cell r="D4" t="str">
            <v>HDFCBANK</v>
          </cell>
          <cell r="E4">
            <v>1516760.9777625401</v>
          </cell>
          <cell r="F4" t="str">
            <v>HDFCBANK</v>
          </cell>
          <cell r="G4">
            <v>1515580.9044999999</v>
          </cell>
          <cell r="H4" t="str">
            <v>-</v>
          </cell>
          <cell r="I4" t="str">
            <v>-</v>
          </cell>
          <cell r="J4">
            <v>1516170.94113127</v>
          </cell>
          <cell r="K4" t="str">
            <v>Large Cap</v>
          </cell>
        </row>
        <row r="5">
          <cell r="C5" t="str">
            <v>INE397D01024</v>
          </cell>
          <cell r="D5" t="str">
            <v>BHARTIARTL</v>
          </cell>
          <cell r="E5">
            <v>1195614.675864836</v>
          </cell>
          <cell r="F5" t="str">
            <v>BHARTIARTL</v>
          </cell>
          <cell r="G5">
            <v>1195675.6905</v>
          </cell>
          <cell r="H5" t="str">
            <v>-</v>
          </cell>
          <cell r="I5" t="str">
            <v>-</v>
          </cell>
          <cell r="J5">
            <v>1195645.1831824179</v>
          </cell>
          <cell r="K5" t="str">
            <v>Large Cap</v>
          </cell>
        </row>
        <row r="6">
          <cell r="C6" t="str">
            <v>INE467B01029</v>
          </cell>
          <cell r="D6" t="str">
            <v>TCS</v>
          </cell>
          <cell r="E6">
            <v>1129581.9984842499</v>
          </cell>
          <cell r="F6" t="str">
            <v>TCS</v>
          </cell>
          <cell r="G6">
            <v>1129555.1499999999</v>
          </cell>
          <cell r="H6" t="str">
            <v>-</v>
          </cell>
          <cell r="I6" t="str">
            <v>-</v>
          </cell>
          <cell r="J6">
            <v>1129568.5742421248</v>
          </cell>
          <cell r="K6" t="str">
            <v>Large Cap</v>
          </cell>
        </row>
        <row r="7">
          <cell r="C7" t="str">
            <v>INE090A01021</v>
          </cell>
          <cell r="D7" t="str">
            <v>ICICIBANK</v>
          </cell>
          <cell r="E7">
            <v>999123.08025275904</v>
          </cell>
          <cell r="F7" t="str">
            <v>ICICIBANK</v>
          </cell>
          <cell r="G7">
            <v>998630.63769999996</v>
          </cell>
          <cell r="H7" t="str">
            <v>-</v>
          </cell>
          <cell r="I7" t="str">
            <v>-</v>
          </cell>
          <cell r="J7">
            <v>998876.8589763795</v>
          </cell>
          <cell r="K7" t="str">
            <v>Large Cap</v>
          </cell>
        </row>
        <row r="8">
          <cell r="C8" t="str">
            <v>INE062A01020</v>
          </cell>
          <cell r="D8" t="str">
            <v>SBIN</v>
          </cell>
          <cell r="E8">
            <v>809938.33150701597</v>
          </cell>
          <cell r="F8" t="str">
            <v>SBIN</v>
          </cell>
          <cell r="G8">
            <v>800557.85309999995</v>
          </cell>
          <cell r="H8" t="str">
            <v>-</v>
          </cell>
          <cell r="I8" t="str">
            <v>-</v>
          </cell>
          <cell r="J8">
            <v>805248.09230350796</v>
          </cell>
          <cell r="K8" t="str">
            <v>Large Cap</v>
          </cell>
        </row>
        <row r="9">
          <cell r="C9" t="str">
            <v>INE009A01021</v>
          </cell>
          <cell r="D9" t="str">
            <v>INFY</v>
          </cell>
          <cell r="E9">
            <v>635239.14467176597</v>
          </cell>
          <cell r="F9" t="str">
            <v>INFY</v>
          </cell>
          <cell r="G9">
            <v>635103.54940000002</v>
          </cell>
          <cell r="H9" t="str">
            <v>-</v>
          </cell>
          <cell r="I9" t="str">
            <v>-</v>
          </cell>
          <cell r="J9">
            <v>635171.34703588299</v>
          </cell>
          <cell r="K9" t="str">
            <v>Large Cap</v>
          </cell>
        </row>
        <row r="10">
          <cell r="C10" t="str">
            <v>INE296A01032</v>
          </cell>
          <cell r="D10" t="str">
            <v>BAJFINANCE</v>
          </cell>
          <cell r="E10">
            <v>608134.06521209294</v>
          </cell>
          <cell r="F10" t="str">
            <v>BAJFINANCE</v>
          </cell>
          <cell r="G10">
            <v>607992.94449999998</v>
          </cell>
          <cell r="H10" t="str">
            <v>-</v>
          </cell>
          <cell r="I10" t="str">
            <v>-</v>
          </cell>
          <cell r="J10">
            <v>608063.50485604652</v>
          </cell>
          <cell r="K10" t="str">
            <v>Large Cap</v>
          </cell>
        </row>
        <row r="11">
          <cell r="C11" t="str">
            <v>INE0J1Y01017</v>
          </cell>
          <cell r="D11" t="str">
            <v>LICI</v>
          </cell>
          <cell r="E11">
            <v>565211.08126433403</v>
          </cell>
          <cell r="F11" t="str">
            <v>LICI</v>
          </cell>
          <cell r="G11">
            <v>565259.02069999999</v>
          </cell>
          <cell r="H11" t="str">
            <v>-</v>
          </cell>
          <cell r="I11" t="str">
            <v>-</v>
          </cell>
          <cell r="J11">
            <v>565235.05098216701</v>
          </cell>
          <cell r="K11" t="str">
            <v>Large Cap</v>
          </cell>
        </row>
        <row r="12">
          <cell r="C12" t="str">
            <v>INE030A01027</v>
          </cell>
          <cell r="D12" t="str">
            <v>HINDUNILVR</v>
          </cell>
          <cell r="E12">
            <v>538817.40550119197</v>
          </cell>
          <cell r="F12" t="str">
            <v>HINDUNILVR</v>
          </cell>
          <cell r="G12">
            <v>538863.09</v>
          </cell>
          <cell r="H12" t="str">
            <v>-</v>
          </cell>
          <cell r="I12" t="str">
            <v>-</v>
          </cell>
          <cell r="J12">
            <v>538840.24775059591</v>
          </cell>
          <cell r="K12" t="str">
            <v>Large Cap</v>
          </cell>
        </row>
        <row r="13">
          <cell r="C13" t="str">
            <v>INE018A01030</v>
          </cell>
          <cell r="D13" t="str">
            <v>LT</v>
          </cell>
          <cell r="E13">
            <v>518705.10559522902</v>
          </cell>
          <cell r="F13" t="str">
            <v>LT</v>
          </cell>
          <cell r="G13">
            <v>518763.27590000001</v>
          </cell>
          <cell r="H13" t="str">
            <v>-</v>
          </cell>
          <cell r="I13" t="str">
            <v>-</v>
          </cell>
          <cell r="J13">
            <v>518734.19074761448</v>
          </cell>
          <cell r="K13" t="str">
            <v>Large Cap</v>
          </cell>
        </row>
        <row r="14">
          <cell r="C14" t="str">
            <v>INE154A01025</v>
          </cell>
          <cell r="D14" t="str">
            <v>ITC</v>
          </cell>
          <cell r="E14">
            <v>511810.193571029</v>
          </cell>
          <cell r="F14" t="str">
            <v>ITC</v>
          </cell>
          <cell r="G14">
            <v>511626.18699999998</v>
          </cell>
          <cell r="H14" t="str">
            <v>-</v>
          </cell>
          <cell r="I14" t="str">
            <v>-</v>
          </cell>
          <cell r="J14">
            <v>511718.19028551446</v>
          </cell>
          <cell r="K14" t="str">
            <v>Large Cap</v>
          </cell>
        </row>
        <row r="15">
          <cell r="C15" t="str">
            <v>INE585B01010</v>
          </cell>
          <cell r="D15" t="str">
            <v>MARUTI</v>
          </cell>
          <cell r="E15">
            <v>470436.82858841395</v>
          </cell>
          <cell r="F15" t="str">
            <v>MARUTI</v>
          </cell>
          <cell r="G15">
            <v>470458.28779999999</v>
          </cell>
          <cell r="H15" t="str">
            <v>-</v>
          </cell>
          <cell r="I15" t="str">
            <v>-</v>
          </cell>
          <cell r="J15">
            <v>470447.55819420697</v>
          </cell>
          <cell r="K15" t="str">
            <v>Large Cap</v>
          </cell>
        </row>
        <row r="16">
          <cell r="C16" t="str">
            <v>INE101A01026</v>
          </cell>
          <cell r="D16" t="str">
            <v>M&amp;M</v>
          </cell>
          <cell r="E16">
            <v>431855.40648070001</v>
          </cell>
          <cell r="F16" t="str">
            <v>M&amp;M</v>
          </cell>
          <cell r="G16">
            <v>431885.95189999999</v>
          </cell>
          <cell r="H16" t="str">
            <v>-</v>
          </cell>
          <cell r="I16" t="str">
            <v>-</v>
          </cell>
          <cell r="J16">
            <v>431870.67919035</v>
          </cell>
          <cell r="K16" t="str">
            <v>Large Cap</v>
          </cell>
        </row>
        <row r="17">
          <cell r="C17" t="str">
            <v>INE860A01027</v>
          </cell>
          <cell r="D17" t="str">
            <v>HCLTECH</v>
          </cell>
          <cell r="E17">
            <v>418792.28862195701</v>
          </cell>
          <cell r="F17" t="str">
            <v>HCLTECH</v>
          </cell>
          <cell r="G17">
            <v>418769.13630000001</v>
          </cell>
          <cell r="H17" t="str">
            <v>-</v>
          </cell>
          <cell r="I17" t="str">
            <v>-</v>
          </cell>
          <cell r="J17">
            <v>418780.71246097854</v>
          </cell>
          <cell r="K17" t="str">
            <v>Large Cap</v>
          </cell>
        </row>
        <row r="18">
          <cell r="C18" t="str">
            <v>INE237A01036</v>
          </cell>
          <cell r="D18" t="str">
            <v>KOTAKBANK</v>
          </cell>
          <cell r="E18">
            <v>415421.99094120401</v>
          </cell>
          <cell r="F18" t="str">
            <v>KOTAKBANK</v>
          </cell>
          <cell r="G18">
            <v>415412.26929999999</v>
          </cell>
          <cell r="H18" t="str">
            <v>-</v>
          </cell>
          <cell r="I18" t="str">
            <v>-</v>
          </cell>
          <cell r="J18">
            <v>415417.13012060197</v>
          </cell>
          <cell r="K18" t="str">
            <v>Large Cap</v>
          </cell>
        </row>
        <row r="19">
          <cell r="C19" t="str">
            <v>INE044A01036</v>
          </cell>
          <cell r="D19" t="str">
            <v>SUNPHARMA</v>
          </cell>
          <cell r="E19">
            <v>404420.98942319199</v>
          </cell>
          <cell r="F19" t="str">
            <v>SUNPHARMA</v>
          </cell>
          <cell r="G19">
            <v>404406.9571</v>
          </cell>
          <cell r="H19" t="str">
            <v>-</v>
          </cell>
          <cell r="I19" t="str">
            <v>-</v>
          </cell>
          <cell r="J19">
            <v>404413.97326159599</v>
          </cell>
          <cell r="K19" t="str">
            <v>Large Cap</v>
          </cell>
        </row>
        <row r="20">
          <cell r="C20" t="str">
            <v>INE238A01034</v>
          </cell>
          <cell r="D20" t="str">
            <v>AXISBANK</v>
          </cell>
          <cell r="E20">
            <v>363130.139674103</v>
          </cell>
          <cell r="F20" t="str">
            <v>AXISBANK</v>
          </cell>
          <cell r="G20">
            <v>363033.26620000001</v>
          </cell>
          <cell r="H20" t="str">
            <v>-</v>
          </cell>
          <cell r="I20" t="str">
            <v>-</v>
          </cell>
          <cell r="J20">
            <v>363081.70293705154</v>
          </cell>
          <cell r="K20" t="str">
            <v>Large Cap</v>
          </cell>
        </row>
        <row r="21">
          <cell r="C21" t="str">
            <v>INE481G01011</v>
          </cell>
          <cell r="D21" t="str">
            <v>ULTRACEMCO</v>
          </cell>
          <cell r="E21">
            <v>358018.84508717997</v>
          </cell>
          <cell r="F21" t="str">
            <v>ULTRACEMCO</v>
          </cell>
          <cell r="G21">
            <v>358045.48310000001</v>
          </cell>
          <cell r="H21" t="str">
            <v>-</v>
          </cell>
          <cell r="I21" t="str">
            <v>-</v>
          </cell>
          <cell r="J21">
            <v>358032.16409358999</v>
          </cell>
          <cell r="K21" t="str">
            <v>Large Cap</v>
          </cell>
        </row>
        <row r="22">
          <cell r="C22" t="str">
            <v>INE918I01026</v>
          </cell>
          <cell r="D22" t="str">
            <v>BAJAJFINSV</v>
          </cell>
          <cell r="E22">
            <v>324489.29816695297</v>
          </cell>
          <cell r="F22" t="str">
            <v>BAJAJFINSV</v>
          </cell>
          <cell r="G22">
            <v>324505.59330000001</v>
          </cell>
          <cell r="H22" t="str">
            <v>-</v>
          </cell>
          <cell r="I22" t="str">
            <v>-</v>
          </cell>
          <cell r="J22">
            <v>324497.44573347649</v>
          </cell>
          <cell r="K22" t="str">
            <v>Large Cap</v>
          </cell>
        </row>
        <row r="23">
          <cell r="C23" t="str">
            <v>INE280A01028</v>
          </cell>
          <cell r="D23" t="str">
            <v>TITAN</v>
          </cell>
          <cell r="E23">
            <v>323564.129206029</v>
          </cell>
          <cell r="F23" t="str">
            <v>TITAN</v>
          </cell>
          <cell r="G23">
            <v>323613.06310000003</v>
          </cell>
          <cell r="H23" t="str">
            <v>-</v>
          </cell>
          <cell r="I23" t="str">
            <v>-</v>
          </cell>
          <cell r="J23">
            <v>323588.59615301451</v>
          </cell>
          <cell r="K23" t="str">
            <v>Large Cap</v>
          </cell>
        </row>
        <row r="24">
          <cell r="C24" t="str">
            <v>INE733E01010</v>
          </cell>
          <cell r="D24" t="str">
            <v>NTPC</v>
          </cell>
          <cell r="E24">
            <v>323250.294015388</v>
          </cell>
          <cell r="F24" t="str">
            <v>NTPC</v>
          </cell>
          <cell r="G24">
            <v>323233.74810000003</v>
          </cell>
          <cell r="H24" t="str">
            <v>-</v>
          </cell>
          <cell r="I24" t="str">
            <v>-</v>
          </cell>
          <cell r="J24">
            <v>323242.02105769399</v>
          </cell>
          <cell r="K24" t="str">
            <v>Large Cap</v>
          </cell>
        </row>
        <row r="25">
          <cell r="C25" t="str">
            <v>INE066F01020</v>
          </cell>
          <cell r="D25" t="str">
            <v>HAL</v>
          </cell>
          <cell r="E25">
            <v>309430.25008928601</v>
          </cell>
          <cell r="F25" t="str">
            <v>HAL</v>
          </cell>
          <cell r="G25">
            <v>309448.61489999999</v>
          </cell>
          <cell r="H25" t="str">
            <v>-</v>
          </cell>
          <cell r="I25" t="str">
            <v>-</v>
          </cell>
          <cell r="J25">
            <v>309439.43249464303</v>
          </cell>
          <cell r="K25" t="str">
            <v>Large Cap</v>
          </cell>
        </row>
        <row r="26">
          <cell r="C26" t="str">
            <v>INE742F01042</v>
          </cell>
          <cell r="D26" t="str">
            <v>ADANIPORTS</v>
          </cell>
          <cell r="E26">
            <v>308622.99418292299</v>
          </cell>
          <cell r="F26" t="str">
            <v>ADANIPORTS</v>
          </cell>
          <cell r="G26">
            <v>308664.31109999999</v>
          </cell>
          <cell r="H26" t="str">
            <v>-</v>
          </cell>
          <cell r="I26" t="str">
            <v>-</v>
          </cell>
          <cell r="J26">
            <v>308643.65264146146</v>
          </cell>
          <cell r="K26" t="str">
            <v>Large Cap</v>
          </cell>
        </row>
        <row r="27">
          <cell r="C27" t="str">
            <v>INE213A01029</v>
          </cell>
          <cell r="D27" t="str">
            <v>ONGC</v>
          </cell>
          <cell r="E27">
            <v>303870.15439435496</v>
          </cell>
          <cell r="F27" t="str">
            <v>ONGC</v>
          </cell>
          <cell r="G27">
            <v>303876.34470000002</v>
          </cell>
          <cell r="H27" t="str">
            <v>-</v>
          </cell>
          <cell r="I27" t="str">
            <v>-</v>
          </cell>
          <cell r="J27">
            <v>303873.24954717746</v>
          </cell>
          <cell r="K27" t="str">
            <v>Large Cap</v>
          </cell>
        </row>
        <row r="28">
          <cell r="C28" t="str">
            <v>INE758T01015</v>
          </cell>
          <cell r="D28" t="str">
            <v>ETERNAL</v>
          </cell>
          <cell r="E28">
            <v>297118.97840422997</v>
          </cell>
          <cell r="F28" t="str">
            <v>ETERNAL</v>
          </cell>
          <cell r="G28">
            <v>297138.50890000002</v>
          </cell>
          <cell r="H28" t="str">
            <v>-</v>
          </cell>
          <cell r="I28" t="str">
            <v>-</v>
          </cell>
          <cell r="J28">
            <v>297128.74365211499</v>
          </cell>
          <cell r="K28" t="str">
            <v>Large Cap</v>
          </cell>
        </row>
        <row r="29">
          <cell r="C29" t="str">
            <v>INE263A01024</v>
          </cell>
          <cell r="D29" t="str">
            <v>BEL</v>
          </cell>
          <cell r="E29">
            <v>293001.17160751502</v>
          </cell>
          <cell r="F29" t="str">
            <v>BEL</v>
          </cell>
          <cell r="G29">
            <v>293011.61410000001</v>
          </cell>
          <cell r="H29" t="str">
            <v>-</v>
          </cell>
          <cell r="I29" t="str">
            <v>-</v>
          </cell>
          <cell r="J29">
            <v>293006.39285375748</v>
          </cell>
          <cell r="K29" t="str">
            <v>Large Cap</v>
          </cell>
        </row>
        <row r="30">
          <cell r="C30" t="str">
            <v>INE423A01024</v>
          </cell>
          <cell r="D30" t="str">
            <v>ADANIENT</v>
          </cell>
          <cell r="E30">
            <v>284353.712625054</v>
          </cell>
          <cell r="F30" t="str">
            <v>ADANIENT</v>
          </cell>
          <cell r="G30">
            <v>279044.80920000002</v>
          </cell>
          <cell r="H30" t="str">
            <v>-</v>
          </cell>
          <cell r="I30" t="str">
            <v>-</v>
          </cell>
          <cell r="J30">
            <v>281699.26091252698</v>
          </cell>
          <cell r="K30" t="str">
            <v>Large Cap</v>
          </cell>
        </row>
        <row r="31">
          <cell r="C31" t="str">
            <v>INE192R01011</v>
          </cell>
          <cell r="D31" t="str">
            <v>DMART</v>
          </cell>
          <cell r="E31">
            <v>275699.87486245699</v>
          </cell>
          <cell r="F31" t="str">
            <v>DMART</v>
          </cell>
          <cell r="G31">
            <v>275707.95740000001</v>
          </cell>
          <cell r="H31" t="str">
            <v>-</v>
          </cell>
          <cell r="I31" t="str">
            <v>-</v>
          </cell>
          <cell r="J31">
            <v>275703.9161312285</v>
          </cell>
          <cell r="K31" t="str">
            <v>Large Cap</v>
          </cell>
        </row>
        <row r="32">
          <cell r="C32" t="str">
            <v>INE019A01038</v>
          </cell>
          <cell r="D32" t="str">
            <v>JSWSTEEL</v>
          </cell>
          <cell r="E32">
            <v>270427.03332444397</v>
          </cell>
          <cell r="F32" t="str">
            <v>JSWSTEEL</v>
          </cell>
          <cell r="G32">
            <v>270419.85220000002</v>
          </cell>
          <cell r="H32" t="str">
            <v>-</v>
          </cell>
          <cell r="I32" t="str">
            <v>-</v>
          </cell>
          <cell r="J32">
            <v>270423.44276222202</v>
          </cell>
          <cell r="K32" t="str">
            <v>Large Cap</v>
          </cell>
        </row>
        <row r="33">
          <cell r="C33" t="str">
            <v>INE814H01029</v>
          </cell>
          <cell r="D33" t="str">
            <v>ADANIPOWER</v>
          </cell>
          <cell r="E33">
            <v>264347.70762517402</v>
          </cell>
          <cell r="F33" t="str">
            <v>ADANIPOWER</v>
          </cell>
          <cell r="G33">
            <v>264360.10489999998</v>
          </cell>
          <cell r="H33" t="str">
            <v>-</v>
          </cell>
          <cell r="I33" t="str">
            <v>-</v>
          </cell>
          <cell r="J33">
            <v>264353.906262587</v>
          </cell>
          <cell r="K33" t="str">
            <v>Large Cap</v>
          </cell>
        </row>
        <row r="34">
          <cell r="C34" t="str">
            <v>INE075A01022</v>
          </cell>
          <cell r="D34" t="str">
            <v>WIPRO</v>
          </cell>
          <cell r="E34">
            <v>263358.28259463503</v>
          </cell>
          <cell r="F34" t="str">
            <v>WIPRO</v>
          </cell>
          <cell r="G34">
            <v>263356.97580000001</v>
          </cell>
          <cell r="H34" t="str">
            <v>-</v>
          </cell>
          <cell r="I34" t="str">
            <v>-</v>
          </cell>
          <cell r="J34">
            <v>263357.62919731752</v>
          </cell>
          <cell r="K34" t="str">
            <v>Large Cap</v>
          </cell>
        </row>
        <row r="35">
          <cell r="C35" t="str">
            <v>INE752E01010</v>
          </cell>
          <cell r="D35" t="str">
            <v>POWERGRID</v>
          </cell>
          <cell r="E35">
            <v>262670.08892862702</v>
          </cell>
          <cell r="F35" t="str">
            <v>POWERGRID</v>
          </cell>
          <cell r="G35">
            <v>262651.63530000002</v>
          </cell>
          <cell r="H35" t="str">
            <v>-</v>
          </cell>
          <cell r="I35" t="str">
            <v>-</v>
          </cell>
          <cell r="J35">
            <v>262660.86211431352</v>
          </cell>
          <cell r="K35" t="str">
            <v>Large Cap</v>
          </cell>
        </row>
        <row r="36">
          <cell r="C36" t="str">
            <v>INE021A01026</v>
          </cell>
          <cell r="D36" t="str">
            <v>ASIANPAINT</v>
          </cell>
          <cell r="E36">
            <v>246424.11658591201</v>
          </cell>
          <cell r="F36" t="str">
            <v>ASIANPAINT</v>
          </cell>
          <cell r="G36">
            <v>246425.22039999999</v>
          </cell>
          <cell r="H36" t="str">
            <v>-</v>
          </cell>
          <cell r="I36" t="str">
            <v>-</v>
          </cell>
          <cell r="J36">
            <v>246424.668492956</v>
          </cell>
          <cell r="K36" t="str">
            <v>Large Cap</v>
          </cell>
        </row>
        <row r="37">
          <cell r="C37" t="str">
            <v>INE917I01010</v>
          </cell>
          <cell r="D37" t="str">
            <v>BAJAJ-AUTO</v>
          </cell>
          <cell r="E37">
            <v>245111.96022765801</v>
          </cell>
          <cell r="F37" t="str">
            <v>BAJAJ-AUTO</v>
          </cell>
          <cell r="G37">
            <v>245143.41</v>
          </cell>
          <cell r="H37" t="str">
            <v>-</v>
          </cell>
          <cell r="I37" t="str">
            <v>-</v>
          </cell>
          <cell r="J37">
            <v>245127.68511382901</v>
          </cell>
          <cell r="K37" t="str">
            <v>Large Cap</v>
          </cell>
        </row>
        <row r="38">
          <cell r="C38" t="str">
            <v>INE522F01014</v>
          </cell>
          <cell r="D38" t="str">
            <v>COALINDIA</v>
          </cell>
          <cell r="E38">
            <v>237343.05290443302</v>
          </cell>
          <cell r="F38" t="str">
            <v>COALINDIA</v>
          </cell>
          <cell r="G38">
            <v>237339.14009999999</v>
          </cell>
          <cell r="H38" t="str">
            <v>-</v>
          </cell>
          <cell r="I38" t="str">
            <v>-</v>
          </cell>
          <cell r="J38">
            <v>237341.0965022165</v>
          </cell>
          <cell r="K38" t="str">
            <v>Large Cap</v>
          </cell>
        </row>
        <row r="39">
          <cell r="C39" t="str">
            <v>INE239A01024</v>
          </cell>
          <cell r="D39" t="str">
            <v>NESTLEIND</v>
          </cell>
          <cell r="E39">
            <v>233639.46031741</v>
          </cell>
          <cell r="F39" t="str">
            <v>NESTLEIND</v>
          </cell>
          <cell r="G39">
            <v>233662.0338</v>
          </cell>
          <cell r="H39" t="str">
            <v>-</v>
          </cell>
          <cell r="I39" t="str">
            <v>-</v>
          </cell>
          <cell r="J39">
            <v>233650.74705870502</v>
          </cell>
          <cell r="K39" t="str">
            <v>Large Cap</v>
          </cell>
        </row>
        <row r="40">
          <cell r="C40" t="str">
            <v>INE646L01027</v>
          </cell>
          <cell r="D40" t="str">
            <v>INDIGO</v>
          </cell>
          <cell r="E40">
            <v>219754.62298829199</v>
          </cell>
          <cell r="F40" t="str">
            <v>INDIGO</v>
          </cell>
          <cell r="G40">
            <v>219787.1508</v>
          </cell>
          <cell r="H40" t="str">
            <v>-</v>
          </cell>
          <cell r="I40" t="str">
            <v>-</v>
          </cell>
          <cell r="J40">
            <v>219770.88689414598</v>
          </cell>
          <cell r="K40" t="str">
            <v>Large Cap</v>
          </cell>
        </row>
        <row r="41">
          <cell r="C41" t="str">
            <v>INE242A01010</v>
          </cell>
          <cell r="D41" t="str">
            <v>IOC</v>
          </cell>
          <cell r="E41">
            <v>216854.59040166799</v>
          </cell>
          <cell r="F41" t="str">
            <v>IOC</v>
          </cell>
          <cell r="G41">
            <v>216884.514</v>
          </cell>
          <cell r="H41" t="str">
            <v>-</v>
          </cell>
          <cell r="I41" t="str">
            <v>-</v>
          </cell>
          <cell r="J41">
            <v>216869.55220083398</v>
          </cell>
          <cell r="K41" t="str">
            <v>Large Cap</v>
          </cell>
        </row>
        <row r="42">
          <cell r="C42" t="str">
            <v>INE081A01020</v>
          </cell>
          <cell r="D42" t="str">
            <v>TATASTEEL</v>
          </cell>
          <cell r="E42">
            <v>209335.939974359</v>
          </cell>
          <cell r="F42" t="str">
            <v>TATASTEEL</v>
          </cell>
          <cell r="G42">
            <v>209360.73879999999</v>
          </cell>
          <cell r="H42" t="str">
            <v>-</v>
          </cell>
          <cell r="I42" t="str">
            <v>-</v>
          </cell>
          <cell r="J42">
            <v>209348.3393871795</v>
          </cell>
          <cell r="K42" t="str">
            <v>Large Cap</v>
          </cell>
        </row>
        <row r="43">
          <cell r="C43" t="str">
            <v>INE267A01025</v>
          </cell>
          <cell r="D43" t="str">
            <v>HINDZINC</v>
          </cell>
          <cell r="E43">
            <v>200291.01924027799</v>
          </cell>
          <cell r="F43" t="str">
            <v>HINDZINC</v>
          </cell>
          <cell r="G43">
            <v>200313.1519</v>
          </cell>
          <cell r="H43" t="str">
            <v>-</v>
          </cell>
          <cell r="I43" t="str">
            <v>-</v>
          </cell>
          <cell r="J43">
            <v>200302.085570139</v>
          </cell>
          <cell r="K43" t="str">
            <v>Large Cap</v>
          </cell>
        </row>
        <row r="44">
          <cell r="C44" t="str">
            <v>INE758E01017</v>
          </cell>
          <cell r="D44" t="str">
            <v>JIOFIN</v>
          </cell>
          <cell r="E44">
            <v>197591.780391904</v>
          </cell>
          <cell r="F44" t="str">
            <v>JIOFIN</v>
          </cell>
          <cell r="G44">
            <v>197608.16750000001</v>
          </cell>
          <cell r="H44" t="str">
            <v>-</v>
          </cell>
          <cell r="I44" t="str">
            <v>-</v>
          </cell>
          <cell r="J44">
            <v>197599.97394595202</v>
          </cell>
          <cell r="K44" t="str">
            <v>Large Cap</v>
          </cell>
        </row>
        <row r="45">
          <cell r="C45" t="str">
            <v>INE0V6F01027</v>
          </cell>
          <cell r="D45" t="str">
            <v>HYUNDAI</v>
          </cell>
          <cell r="E45">
            <v>190810.38074816699</v>
          </cell>
          <cell r="F45" t="str">
            <v>HYUNDAI</v>
          </cell>
          <cell r="G45">
            <v>190815.2818</v>
          </cell>
          <cell r="H45" t="str">
            <v>-</v>
          </cell>
          <cell r="I45" t="str">
            <v>-</v>
          </cell>
          <cell r="J45">
            <v>190812.8312740835</v>
          </cell>
          <cell r="K45" t="str">
            <v>Large Cap</v>
          </cell>
        </row>
        <row r="46">
          <cell r="C46" t="str">
            <v>INE047A01021</v>
          </cell>
          <cell r="D46" t="str">
            <v>GRASIM</v>
          </cell>
          <cell r="E46">
            <v>190057.040223563</v>
          </cell>
          <cell r="F46" t="str">
            <v>GRASIM</v>
          </cell>
          <cell r="G46">
            <v>190074.68410000001</v>
          </cell>
          <cell r="H46" t="str">
            <v>-</v>
          </cell>
          <cell r="I46" t="str">
            <v>-</v>
          </cell>
          <cell r="J46">
            <v>190065.86216178152</v>
          </cell>
          <cell r="K46" t="str">
            <v>Large Cap</v>
          </cell>
        </row>
        <row r="47">
          <cell r="C47" t="str">
            <v>INE123W01016</v>
          </cell>
          <cell r="D47" t="str">
            <v>SBILIFE</v>
          </cell>
          <cell r="E47">
            <v>189233.49243404</v>
          </cell>
          <cell r="F47" t="str">
            <v>SBILIFE</v>
          </cell>
          <cell r="G47">
            <v>189234.14809999999</v>
          </cell>
          <cell r="H47" t="str">
            <v>-</v>
          </cell>
          <cell r="I47" t="str">
            <v>-</v>
          </cell>
          <cell r="J47">
            <v>189233.82026702</v>
          </cell>
          <cell r="K47" t="str">
            <v>Large Cap</v>
          </cell>
        </row>
        <row r="48">
          <cell r="C48" t="str">
            <v>INE205A01025</v>
          </cell>
          <cell r="D48" t="str">
            <v>VEDL</v>
          </cell>
          <cell r="E48">
            <v>188331.116486807</v>
          </cell>
          <cell r="F48" t="str">
            <v>VEDL</v>
          </cell>
          <cell r="G48">
            <v>188351.59950000001</v>
          </cell>
          <cell r="H48" t="str">
            <v>-</v>
          </cell>
          <cell r="I48" t="str">
            <v>-</v>
          </cell>
          <cell r="J48">
            <v>188341.35799340351</v>
          </cell>
          <cell r="K48" t="str">
            <v>Large Cap</v>
          </cell>
        </row>
        <row r="49">
          <cell r="C49" t="str">
            <v>INE271C01023</v>
          </cell>
          <cell r="D49" t="str">
            <v>DLF</v>
          </cell>
          <cell r="E49">
            <v>187698.270013195</v>
          </cell>
          <cell r="F49" t="str">
            <v>DLF</v>
          </cell>
          <cell r="G49">
            <v>187715.12280000001</v>
          </cell>
          <cell r="H49" t="str">
            <v>-</v>
          </cell>
          <cell r="I49" t="str">
            <v>-</v>
          </cell>
          <cell r="J49">
            <v>187706.6964065975</v>
          </cell>
          <cell r="K49" t="str">
            <v>Large Cap</v>
          </cell>
        </row>
        <row r="50">
          <cell r="C50" t="str">
            <v>INE066A01021</v>
          </cell>
          <cell r="D50" t="str">
            <v>EICHERMOT</v>
          </cell>
          <cell r="E50">
            <v>179560.40195133199</v>
          </cell>
          <cell r="F50" t="str">
            <v>EICHERMOT</v>
          </cell>
          <cell r="G50">
            <v>179584.54490000001</v>
          </cell>
          <cell r="H50" t="str">
            <v>-</v>
          </cell>
          <cell r="I50" t="str">
            <v>-</v>
          </cell>
          <cell r="J50">
            <v>179572.47342566599</v>
          </cell>
          <cell r="K50" t="str">
            <v>Large Cap</v>
          </cell>
        </row>
        <row r="51">
          <cell r="C51" t="str">
            <v>INE849A01020</v>
          </cell>
          <cell r="D51" t="str">
            <v>TRENT</v>
          </cell>
          <cell r="E51">
            <v>173112.363682208</v>
          </cell>
          <cell r="F51" t="str">
            <v>TRENT</v>
          </cell>
          <cell r="G51">
            <v>173133.7635</v>
          </cell>
          <cell r="H51" t="str">
            <v>-</v>
          </cell>
          <cell r="I51" t="str">
            <v>-</v>
          </cell>
          <cell r="J51">
            <v>173123.063591104</v>
          </cell>
          <cell r="K51" t="str">
            <v>Large Cap</v>
          </cell>
        </row>
        <row r="52">
          <cell r="C52" t="str">
            <v>INE038A01020</v>
          </cell>
          <cell r="D52" t="str">
            <v>HINDALCO</v>
          </cell>
          <cell r="E52">
            <v>170768.88369850602</v>
          </cell>
          <cell r="F52" t="str">
            <v>HINDALCO</v>
          </cell>
          <cell r="G52">
            <v>170787.3431</v>
          </cell>
          <cell r="H52" t="str">
            <v>-</v>
          </cell>
          <cell r="I52" t="str">
            <v>-</v>
          </cell>
          <cell r="J52">
            <v>170778.11339925299</v>
          </cell>
          <cell r="K52" t="str">
            <v>Large Cap</v>
          </cell>
        </row>
        <row r="53">
          <cell r="C53" t="str">
            <v>INE361B01024</v>
          </cell>
          <cell r="D53" t="str">
            <v>DIVISLAB</v>
          </cell>
          <cell r="E53">
            <v>169468.92613619799</v>
          </cell>
          <cell r="F53" t="str">
            <v>DIVISLAB</v>
          </cell>
          <cell r="G53">
            <v>169472.1918</v>
          </cell>
          <cell r="H53" t="str">
            <v>-</v>
          </cell>
          <cell r="I53" t="str">
            <v>-</v>
          </cell>
          <cell r="J53">
            <v>169470.55896809901</v>
          </cell>
          <cell r="K53" t="str">
            <v>Large Cap</v>
          </cell>
        </row>
        <row r="54">
          <cell r="C54" t="str">
            <v>INE795G01014</v>
          </cell>
          <cell r="D54" t="str">
            <v>HDFCLIFE</v>
          </cell>
          <cell r="E54">
            <v>164675.64897588102</v>
          </cell>
          <cell r="F54" t="str">
            <v>HDFCLIFE</v>
          </cell>
          <cell r="G54">
            <v>164620.82250000001</v>
          </cell>
          <cell r="H54" t="str">
            <v>-</v>
          </cell>
          <cell r="I54" t="str">
            <v>-</v>
          </cell>
          <cell r="J54">
            <v>164648.23573794053</v>
          </cell>
          <cell r="K54" t="str">
            <v>Large Cap</v>
          </cell>
        </row>
        <row r="55">
          <cell r="C55" t="str">
            <v>INE214T01019</v>
          </cell>
          <cell r="D55" t="str">
            <v>LTIM</v>
          </cell>
          <cell r="E55">
            <v>163646.75081303899</v>
          </cell>
          <cell r="F55" t="str">
            <v>LTIM</v>
          </cell>
          <cell r="G55">
            <v>163636.6544</v>
          </cell>
          <cell r="H55" t="str">
            <v>-</v>
          </cell>
          <cell r="I55" t="str">
            <v>-</v>
          </cell>
          <cell r="J55">
            <v>163641.70260651951</v>
          </cell>
          <cell r="K55" t="str">
            <v>Large Cap</v>
          </cell>
        </row>
        <row r="56">
          <cell r="C56" t="str">
            <v>INE053F01010</v>
          </cell>
          <cell r="D56" t="str">
            <v>IRFC</v>
          </cell>
          <cell r="E56">
            <v>163095.99206301599</v>
          </cell>
          <cell r="F56" t="str">
            <v>IRFC</v>
          </cell>
          <cell r="G56">
            <v>163104.0821</v>
          </cell>
          <cell r="H56" t="str">
            <v>-</v>
          </cell>
          <cell r="I56" t="str">
            <v>-</v>
          </cell>
          <cell r="J56">
            <v>163100.037081508</v>
          </cell>
          <cell r="K56" t="str">
            <v>Large Cap</v>
          </cell>
        </row>
        <row r="57">
          <cell r="C57" t="str">
            <v>INE364U01010</v>
          </cell>
          <cell r="D57" t="str">
            <v>ADANIGREEN</v>
          </cell>
          <cell r="E57">
            <v>163194.77724366201</v>
          </cell>
          <cell r="F57" t="str">
            <v>ADANIGREEN</v>
          </cell>
          <cell r="G57">
            <v>162844.91519999999</v>
          </cell>
          <cell r="H57" t="str">
            <v>-</v>
          </cell>
          <cell r="I57" t="str">
            <v>-</v>
          </cell>
          <cell r="J57">
            <v>163019.84622183099</v>
          </cell>
          <cell r="K57" t="str">
            <v>Large Cap</v>
          </cell>
        </row>
        <row r="58">
          <cell r="C58" t="str">
            <v>INE200M01039</v>
          </cell>
          <cell r="D58" t="str">
            <v>VBL</v>
          </cell>
          <cell r="E58">
            <v>160499.83665997902</v>
          </cell>
          <cell r="F58" t="str">
            <v>VBL</v>
          </cell>
          <cell r="G58">
            <v>160506.28150000001</v>
          </cell>
          <cell r="H58" t="str">
            <v>-</v>
          </cell>
          <cell r="I58" t="str">
            <v>-</v>
          </cell>
          <cell r="J58">
            <v>160503.0590799895</v>
          </cell>
          <cell r="K58" t="str">
            <v>Large Cap</v>
          </cell>
        </row>
        <row r="59">
          <cell r="C59" t="str">
            <v>INE494B01023</v>
          </cell>
          <cell r="D59" t="str">
            <v>TVSMOTOR</v>
          </cell>
          <cell r="E59">
            <v>158852.144672008</v>
          </cell>
          <cell r="F59" t="str">
            <v>TVSMOTOR</v>
          </cell>
          <cell r="G59">
            <v>158857.1029</v>
          </cell>
          <cell r="H59" t="str">
            <v>-</v>
          </cell>
          <cell r="I59" t="str">
            <v>-</v>
          </cell>
          <cell r="J59">
            <v>158854.623786004</v>
          </cell>
          <cell r="K59" t="str">
            <v>Large Cap</v>
          </cell>
        </row>
        <row r="60">
          <cell r="C60" t="str">
            <v>INE318A01026</v>
          </cell>
          <cell r="D60" t="str">
            <v>PIDILITIND</v>
          </cell>
          <cell r="E60">
            <v>152292.45707504801</v>
          </cell>
          <cell r="F60" t="str">
            <v>PIDILITIND</v>
          </cell>
          <cell r="G60">
            <v>152306.1784</v>
          </cell>
          <cell r="H60" t="str">
            <v>-</v>
          </cell>
          <cell r="I60" t="str">
            <v>-</v>
          </cell>
          <cell r="J60">
            <v>152299.31773752399</v>
          </cell>
          <cell r="K60" t="str">
            <v>Large Cap</v>
          </cell>
        </row>
        <row r="61">
          <cell r="C61" t="str">
            <v>INE029A01011</v>
          </cell>
          <cell r="D61" t="str">
            <v>BPCL</v>
          </cell>
          <cell r="E61">
            <v>148424.54008870301</v>
          </cell>
          <cell r="F61" t="str">
            <v>BPCL</v>
          </cell>
          <cell r="G61">
            <v>148449.3683</v>
          </cell>
          <cell r="H61" t="str">
            <v>-</v>
          </cell>
          <cell r="I61" t="str">
            <v>-</v>
          </cell>
          <cell r="J61">
            <v>148436.95419435151</v>
          </cell>
          <cell r="K61" t="str">
            <v>Large Cap</v>
          </cell>
        </row>
        <row r="62">
          <cell r="C62" t="str">
            <v>INE669C01036</v>
          </cell>
          <cell r="D62" t="str">
            <v>TECHM</v>
          </cell>
          <cell r="E62">
            <v>147723.93992043001</v>
          </cell>
          <cell r="F62" t="str">
            <v>TECHM</v>
          </cell>
          <cell r="G62">
            <v>147707.0301</v>
          </cell>
          <cell r="H62" t="str">
            <v>-</v>
          </cell>
          <cell r="I62" t="str">
            <v>-</v>
          </cell>
          <cell r="J62">
            <v>147715.48501021502</v>
          </cell>
          <cell r="K62" t="str">
            <v>Large Cap</v>
          </cell>
        </row>
        <row r="63">
          <cell r="C63" t="str">
            <v>INE118A01012</v>
          </cell>
          <cell r="D63" t="str">
            <v>BAJAJHLDNG</v>
          </cell>
          <cell r="E63">
            <v>141510.22793409499</v>
          </cell>
          <cell r="F63" t="str">
            <v>BAJAJHLDNG</v>
          </cell>
          <cell r="G63">
            <v>141544.23430000001</v>
          </cell>
          <cell r="H63" t="str">
            <v>-</v>
          </cell>
          <cell r="I63" t="str">
            <v>-</v>
          </cell>
          <cell r="J63">
            <v>141527.23111704749</v>
          </cell>
          <cell r="K63" t="str">
            <v>Large Cap</v>
          </cell>
        </row>
        <row r="64">
          <cell r="C64" t="str">
            <v>INE216A01030</v>
          </cell>
          <cell r="D64" t="str">
            <v>BRITANNIA</v>
          </cell>
          <cell r="E64">
            <v>141269.72395901999</v>
          </cell>
          <cell r="F64" t="str">
            <v>BRITANNIA</v>
          </cell>
          <cell r="G64">
            <v>141277.57130000001</v>
          </cell>
          <cell r="H64" t="str">
            <v>-</v>
          </cell>
          <cell r="I64" t="str">
            <v>-</v>
          </cell>
          <cell r="J64">
            <v>141273.64762951</v>
          </cell>
          <cell r="K64" t="str">
            <v>Large Cap</v>
          </cell>
        </row>
        <row r="65">
          <cell r="C65" t="str">
            <v>INE079A01024</v>
          </cell>
          <cell r="D65" t="str">
            <v>AMBUJACEM</v>
          </cell>
          <cell r="E65">
            <v>140891.13549718502</v>
          </cell>
          <cell r="F65" t="str">
            <v>AMBUJACEM</v>
          </cell>
          <cell r="G65">
            <v>140858.1029</v>
          </cell>
          <cell r="H65" t="str">
            <v>-</v>
          </cell>
          <cell r="I65" t="str">
            <v>-</v>
          </cell>
          <cell r="J65">
            <v>140874.6191985925</v>
          </cell>
          <cell r="K65" t="str">
            <v>Large Cap</v>
          </cell>
        </row>
        <row r="66">
          <cell r="C66" t="str">
            <v>INE976I01016</v>
          </cell>
          <cell r="D66" t="str">
            <v>TATACAP</v>
          </cell>
          <cell r="E66">
            <v>138787.15085627101</v>
          </cell>
          <cell r="F66" t="str">
            <v>TATACAP</v>
          </cell>
          <cell r="G66">
            <v>138783.29190000001</v>
          </cell>
          <cell r="H66" t="str">
            <v>-</v>
          </cell>
          <cell r="I66" t="str">
            <v>-</v>
          </cell>
          <cell r="J66">
            <v>138785.22137813549</v>
          </cell>
          <cell r="K66" t="str">
            <v>Large Cap</v>
          </cell>
        </row>
        <row r="67">
          <cell r="C67" t="str">
            <v>INE155A01022</v>
          </cell>
          <cell r="D67" t="str">
            <v>TMPV</v>
          </cell>
          <cell r="E67">
            <v>138377.23960481898</v>
          </cell>
          <cell r="F67" t="str">
            <v>TMPV</v>
          </cell>
          <cell r="G67">
            <v>138382.07980000001</v>
          </cell>
          <cell r="H67" t="str">
            <v>-</v>
          </cell>
          <cell r="I67" t="str">
            <v>-</v>
          </cell>
          <cell r="J67">
            <v>138379.6597024095</v>
          </cell>
          <cell r="K67" t="str">
            <v>Large Cap</v>
          </cell>
        </row>
        <row r="68">
          <cell r="C68" t="str">
            <v>INE028A01039</v>
          </cell>
          <cell r="D68" t="str">
            <v>BANKBARODA</v>
          </cell>
          <cell r="E68">
            <v>135270.72704833202</v>
          </cell>
          <cell r="F68" t="str">
            <v>BANKBARODA</v>
          </cell>
          <cell r="G68">
            <v>135283.90169999999</v>
          </cell>
          <cell r="H68" t="str">
            <v>-</v>
          </cell>
          <cell r="I68" t="str">
            <v>-</v>
          </cell>
          <cell r="J68">
            <v>135277.31437416602</v>
          </cell>
          <cell r="K68" t="str">
            <v>Large Cap</v>
          </cell>
        </row>
        <row r="69">
          <cell r="C69" t="str">
            <v>INE121A01024</v>
          </cell>
          <cell r="D69" t="str">
            <v>CHOLAFIN</v>
          </cell>
          <cell r="E69">
            <v>134986.511849731</v>
          </cell>
          <cell r="F69" t="str">
            <v>CHOLAFIN</v>
          </cell>
          <cell r="G69">
            <v>134895.45879999999</v>
          </cell>
          <cell r="H69" t="str">
            <v>-</v>
          </cell>
          <cell r="I69" t="str">
            <v>-</v>
          </cell>
          <cell r="J69">
            <v>134940.9853248655</v>
          </cell>
          <cell r="K69" t="str">
            <v>Large Cap</v>
          </cell>
        </row>
        <row r="70">
          <cell r="C70" t="str">
            <v>INE721A01047</v>
          </cell>
          <cell r="D70" t="str">
            <v>SHRIRAMFIN</v>
          </cell>
          <cell r="E70">
            <v>134243.21940370099</v>
          </cell>
          <cell r="F70" t="str">
            <v>SHRIRAMFIN</v>
          </cell>
          <cell r="G70">
            <v>134229.5344</v>
          </cell>
          <cell r="H70" t="str">
            <v>-</v>
          </cell>
          <cell r="I70" t="str">
            <v>-</v>
          </cell>
          <cell r="J70">
            <v>134236.37690185051</v>
          </cell>
          <cell r="K70" t="str">
            <v>Large Cap</v>
          </cell>
        </row>
        <row r="71">
          <cell r="C71" t="str">
            <v>INE1TAE01010</v>
          </cell>
          <cell r="D71" t="str">
            <v>TMCV</v>
          </cell>
          <cell r="E71">
            <v>133977.94467523199</v>
          </cell>
          <cell r="F71" t="str">
            <v>TMCV</v>
          </cell>
          <cell r="G71">
            <v>133946.91080000001</v>
          </cell>
          <cell r="H71" t="str">
            <v>-</v>
          </cell>
          <cell r="I71" t="str">
            <v>-</v>
          </cell>
          <cell r="J71">
            <v>133962.427737616</v>
          </cell>
          <cell r="K71" t="str">
            <v>Large Cap</v>
          </cell>
        </row>
        <row r="72">
          <cell r="C72" t="str">
            <v>INE160A01022</v>
          </cell>
          <cell r="D72" t="str">
            <v>PNB</v>
          </cell>
          <cell r="E72">
            <v>130928.79548891699</v>
          </cell>
          <cell r="F72" t="str">
            <v>PNB</v>
          </cell>
          <cell r="G72">
            <v>130939.28509999999</v>
          </cell>
          <cell r="H72" t="str">
            <v>-</v>
          </cell>
          <cell r="I72" t="str">
            <v>-</v>
          </cell>
          <cell r="J72">
            <v>130934.04029445849</v>
          </cell>
          <cell r="K72" t="str">
            <v>Large Cap</v>
          </cell>
        </row>
        <row r="73">
          <cell r="C73" t="str">
            <v>INE346A01027</v>
          </cell>
          <cell r="D73" t="str">
            <v>ICICIAMC</v>
          </cell>
          <cell r="E73">
            <v>129961.879806675</v>
          </cell>
          <cell r="F73" t="str">
            <v>ICICIAMC</v>
          </cell>
          <cell r="G73">
            <v>129972.0739</v>
          </cell>
          <cell r="H73" t="str">
            <v>-</v>
          </cell>
          <cell r="I73" t="str">
            <v>-</v>
          </cell>
          <cell r="J73">
            <v>129966.9768533375</v>
          </cell>
          <cell r="K73" t="str">
            <v>Large Cap</v>
          </cell>
        </row>
        <row r="74">
          <cell r="C74" t="str">
            <v>INE134E01011</v>
          </cell>
          <cell r="D74" t="str">
            <v>PFC</v>
          </cell>
          <cell r="E74">
            <v>129277.42679901001</v>
          </cell>
          <cell r="F74" t="str">
            <v>PFC</v>
          </cell>
          <cell r="G74">
            <v>129271.2718</v>
          </cell>
          <cell r="H74" t="str">
            <v>-</v>
          </cell>
          <cell r="I74" t="str">
            <v>-</v>
          </cell>
          <cell r="J74">
            <v>129274.349299505</v>
          </cell>
          <cell r="K74" t="str">
            <v>Large Cap</v>
          </cell>
        </row>
        <row r="75">
          <cell r="C75" t="str">
            <v>INE343H01029</v>
          </cell>
          <cell r="D75" t="str">
            <v>SOLARINDS</v>
          </cell>
          <cell r="E75">
            <v>127236.78439305401</v>
          </cell>
          <cell r="F75" t="str">
            <v>SOLARINDS</v>
          </cell>
          <cell r="G75">
            <v>127241.22629999999</v>
          </cell>
          <cell r="H75" t="str">
            <v>-</v>
          </cell>
          <cell r="I75" t="str">
            <v>-</v>
          </cell>
          <cell r="J75">
            <v>127239.005346527</v>
          </cell>
          <cell r="K75" t="str">
            <v>Large Cap</v>
          </cell>
        </row>
        <row r="76">
          <cell r="C76" t="str">
            <v>INE414G01012</v>
          </cell>
          <cell r="D76" t="str">
            <v>MUTHOOTFIN</v>
          </cell>
          <cell r="E76">
            <v>125431.07275002099</v>
          </cell>
          <cell r="F76" t="str">
            <v>MUTHOOTFIN</v>
          </cell>
          <cell r="G76">
            <v>125444.2184</v>
          </cell>
          <cell r="H76" t="str">
            <v>-</v>
          </cell>
          <cell r="I76" t="str">
            <v>-</v>
          </cell>
          <cell r="J76">
            <v>125437.64557501049</v>
          </cell>
          <cell r="K76" t="str">
            <v>Large Cap</v>
          </cell>
        </row>
        <row r="77">
          <cell r="C77" t="str">
            <v>INE245A01021</v>
          </cell>
          <cell r="D77" t="str">
            <v>TATAPOWER</v>
          </cell>
          <cell r="E77">
            <v>124846.988068825</v>
          </cell>
          <cell r="F77" t="str">
            <v>TATAPOWER</v>
          </cell>
          <cell r="G77">
            <v>124860.55560000001</v>
          </cell>
          <cell r="H77" t="str">
            <v>-</v>
          </cell>
          <cell r="I77" t="str">
            <v>-</v>
          </cell>
          <cell r="J77">
            <v>124853.7718344125</v>
          </cell>
          <cell r="K77" t="str">
            <v>Large Cap</v>
          </cell>
        </row>
        <row r="78">
          <cell r="C78" t="str">
            <v>INE059A01026</v>
          </cell>
          <cell r="D78" t="str">
            <v>CIPLA</v>
          </cell>
          <cell r="E78">
            <v>123546.64952599999</v>
          </cell>
          <cell r="F78" t="str">
            <v>CIPLA</v>
          </cell>
          <cell r="G78">
            <v>123553.8115</v>
          </cell>
          <cell r="H78" t="str">
            <v>-</v>
          </cell>
          <cell r="I78" t="str">
            <v>-</v>
          </cell>
          <cell r="J78">
            <v>123550.23051299999</v>
          </cell>
          <cell r="K78" t="str">
            <v>Large Cap</v>
          </cell>
        </row>
        <row r="79">
          <cell r="C79" t="str">
            <v>INE685A01028</v>
          </cell>
          <cell r="D79" t="str">
            <v>TORNTPHARM</v>
          </cell>
          <cell r="E79">
            <v>122668.09930943501</v>
          </cell>
          <cell r="F79" t="str">
            <v>TORNTPHARM</v>
          </cell>
          <cell r="G79">
            <v>122688.0836</v>
          </cell>
          <cell r="H79" t="str">
            <v>-</v>
          </cell>
          <cell r="I79" t="str">
            <v>-</v>
          </cell>
          <cell r="J79">
            <v>122678.09145471751</v>
          </cell>
          <cell r="K79" t="str">
            <v>Large Cap</v>
          </cell>
        </row>
        <row r="80">
          <cell r="C80" t="str">
            <v>INE102D01028</v>
          </cell>
          <cell r="D80" t="str">
            <v>GODREJCP</v>
          </cell>
          <cell r="E80">
            <v>121715.490823178</v>
          </cell>
          <cell r="F80" t="str">
            <v>GODREJCP</v>
          </cell>
          <cell r="G80">
            <v>121701.3196</v>
          </cell>
          <cell r="H80" t="str">
            <v>-</v>
          </cell>
          <cell r="I80" t="str">
            <v>-</v>
          </cell>
          <cell r="J80">
            <v>121708.40521158901</v>
          </cell>
          <cell r="K80" t="str">
            <v>Large Cap</v>
          </cell>
        </row>
        <row r="81">
          <cell r="C81" t="str">
            <v>INE670K01029</v>
          </cell>
          <cell r="D81" t="str">
            <v>LODHA</v>
          </cell>
          <cell r="E81">
            <v>120421.65405104199</v>
          </cell>
          <cell r="F81" t="str">
            <v>LODHA</v>
          </cell>
          <cell r="G81">
            <v>120401.05409999999</v>
          </cell>
          <cell r="H81" t="str">
            <v>-</v>
          </cell>
          <cell r="I81" t="str">
            <v>-</v>
          </cell>
          <cell r="J81">
            <v>120411.354075521</v>
          </cell>
          <cell r="K81" t="str">
            <v>Large Cap</v>
          </cell>
        </row>
        <row r="82">
          <cell r="C82" t="str">
            <v>INE127D01025</v>
          </cell>
          <cell r="D82" t="str">
            <v>HDFCAMC</v>
          </cell>
          <cell r="E82">
            <v>117500.29465678601</v>
          </cell>
          <cell r="F82" t="str">
            <v>HDFCAMC</v>
          </cell>
          <cell r="G82">
            <v>117480.13529999999</v>
          </cell>
          <cell r="H82" t="str">
            <v>-</v>
          </cell>
          <cell r="I82" t="str">
            <v>-</v>
          </cell>
          <cell r="J82">
            <v>117490.21497839299</v>
          </cell>
          <cell r="K82" t="str">
            <v>Large Cap</v>
          </cell>
        </row>
        <row r="83">
          <cell r="C83" t="str">
            <v>INE129A01019</v>
          </cell>
          <cell r="D83" t="str">
            <v>GAIL</v>
          </cell>
          <cell r="E83">
            <v>117132.530056868</v>
          </cell>
          <cell r="F83" t="str">
            <v>GAIL</v>
          </cell>
          <cell r="G83">
            <v>117138.2702</v>
          </cell>
          <cell r="H83" t="str">
            <v>-</v>
          </cell>
          <cell r="I83" t="str">
            <v>-</v>
          </cell>
          <cell r="J83">
            <v>117135.400128434</v>
          </cell>
          <cell r="K83" t="str">
            <v>Large Cap</v>
          </cell>
        </row>
        <row r="84">
          <cell r="C84" t="str">
            <v>INE476A01022</v>
          </cell>
          <cell r="D84" t="str">
            <v>CANBK</v>
          </cell>
          <cell r="E84">
            <v>114295.605073179</v>
          </cell>
          <cell r="F84" t="str">
            <v>CANBK</v>
          </cell>
          <cell r="G84">
            <v>114315.0422</v>
          </cell>
          <cell r="H84" t="str">
            <v>-</v>
          </cell>
          <cell r="I84" t="str">
            <v>-</v>
          </cell>
          <cell r="J84">
            <v>114305.3236365895</v>
          </cell>
          <cell r="K84" t="str">
            <v>Large Cap</v>
          </cell>
        </row>
        <row r="85">
          <cell r="C85" t="str">
            <v>INE027H01010</v>
          </cell>
          <cell r="D85" t="str">
            <v>MAXHEALTH</v>
          </cell>
          <cell r="E85">
            <v>113898.15875029199</v>
          </cell>
          <cell r="F85" t="str">
            <v>MAXHEALTH</v>
          </cell>
          <cell r="G85">
            <v>113887.31170000001</v>
          </cell>
          <cell r="H85" t="str">
            <v>-</v>
          </cell>
          <cell r="I85" t="str">
            <v>-</v>
          </cell>
          <cell r="J85">
            <v>113892.735225146</v>
          </cell>
          <cell r="K85" t="str">
            <v>Large Cap</v>
          </cell>
        </row>
        <row r="86">
          <cell r="C86" t="str">
            <v>INE1NPP01017</v>
          </cell>
          <cell r="D86" t="str">
            <v>ENRIN</v>
          </cell>
          <cell r="E86">
            <v>112972.263250577</v>
          </cell>
          <cell r="F86" t="str">
            <v>ENRIN</v>
          </cell>
          <cell r="G86">
            <v>112966.2855</v>
          </cell>
          <cell r="H86" t="str">
            <v>-</v>
          </cell>
          <cell r="I86" t="str">
            <v>-</v>
          </cell>
          <cell r="J86">
            <v>112969.2743752885</v>
          </cell>
          <cell r="K86" t="str">
            <v>Large Cap</v>
          </cell>
        </row>
        <row r="87">
          <cell r="C87" t="str">
            <v>INE003A01024</v>
          </cell>
          <cell r="D87" t="str">
            <v>SIEMENS</v>
          </cell>
          <cell r="E87">
            <v>112489.53625334299</v>
          </cell>
          <cell r="F87" t="str">
            <v>SIEMENS</v>
          </cell>
          <cell r="G87">
            <v>112488.4905</v>
          </cell>
          <cell r="H87" t="str">
            <v>-</v>
          </cell>
          <cell r="I87" t="str">
            <v>-</v>
          </cell>
          <cell r="J87">
            <v>112489.0133766715</v>
          </cell>
          <cell r="K87" t="str">
            <v>Large Cap</v>
          </cell>
        </row>
        <row r="88">
          <cell r="C88" t="str">
            <v>INE249Z01020</v>
          </cell>
          <cell r="D88" t="str">
            <v>MAZDOCK</v>
          </cell>
          <cell r="E88">
            <v>112305.49000714299</v>
          </cell>
          <cell r="F88" t="str">
            <v>MAZDOCK</v>
          </cell>
          <cell r="G88">
            <v>112306.27439999999</v>
          </cell>
          <cell r="H88" t="str">
            <v>-</v>
          </cell>
          <cell r="I88" t="str">
            <v>-</v>
          </cell>
          <cell r="J88">
            <v>112305.8822035715</v>
          </cell>
          <cell r="K88" t="str">
            <v>Large Cap</v>
          </cell>
        </row>
        <row r="89">
          <cell r="C89" t="str">
            <v>INE323A01026</v>
          </cell>
          <cell r="D89" t="str">
            <v>BOSCHLTD</v>
          </cell>
          <cell r="E89">
            <v>112075.273727529</v>
          </cell>
          <cell r="F89" t="str">
            <v>BOSCHLTD</v>
          </cell>
          <cell r="G89">
            <v>112069.746</v>
          </cell>
          <cell r="H89" t="str">
            <v>-</v>
          </cell>
          <cell r="I89" t="str">
            <v>-</v>
          </cell>
          <cell r="J89">
            <v>112072.5098637645</v>
          </cell>
          <cell r="K89" t="str">
            <v>Large Cap</v>
          </cell>
        </row>
        <row r="90">
          <cell r="C90" t="str">
            <v>INE117A01022</v>
          </cell>
          <cell r="D90" t="str">
            <v>ABB</v>
          </cell>
          <cell r="E90">
            <v>111551.91540687501</v>
          </cell>
          <cell r="F90" t="str">
            <v>ABB</v>
          </cell>
          <cell r="G90">
            <v>111557.90270000001</v>
          </cell>
          <cell r="H90" t="str">
            <v>-</v>
          </cell>
          <cell r="I90" t="str">
            <v>-</v>
          </cell>
          <cell r="J90">
            <v>111554.9090534375</v>
          </cell>
          <cell r="K90" t="str">
            <v>Large Cap</v>
          </cell>
        </row>
        <row r="91">
          <cell r="C91" t="str">
            <v>INE775A01035</v>
          </cell>
          <cell r="D91" t="str">
            <v>MOTHERSON</v>
          </cell>
          <cell r="E91">
            <v>111481.18350790601</v>
          </cell>
          <cell r="F91" t="str">
            <v>MOTHERSON</v>
          </cell>
          <cell r="G91">
            <v>111482.97530000001</v>
          </cell>
          <cell r="H91" t="str">
            <v>-</v>
          </cell>
          <cell r="I91" t="str">
            <v>-</v>
          </cell>
          <cell r="J91">
            <v>111482.07940395302</v>
          </cell>
          <cell r="K91" t="str">
            <v>Large Cap</v>
          </cell>
        </row>
        <row r="92">
          <cell r="C92" t="str">
            <v>INE298A01020</v>
          </cell>
          <cell r="D92" t="str">
            <v>CUMMINSIND</v>
          </cell>
          <cell r="E92">
            <v>111413.269</v>
          </cell>
          <cell r="F92" t="str">
            <v>CUMMINSIND</v>
          </cell>
          <cell r="G92">
            <v>111430.11</v>
          </cell>
          <cell r="H92" t="str">
            <v>-</v>
          </cell>
          <cell r="I92" t="str">
            <v>-</v>
          </cell>
          <cell r="J92">
            <v>111421.68950000001</v>
          </cell>
          <cell r="K92" t="str">
            <v>Large Cap</v>
          </cell>
        </row>
        <row r="93">
          <cell r="C93" t="str">
            <v>INE192A01025</v>
          </cell>
          <cell r="D93" t="str">
            <v>TATACONSUM</v>
          </cell>
          <cell r="E93">
            <v>111179.84023113501</v>
          </cell>
          <cell r="F93" t="str">
            <v>TATACONSUM</v>
          </cell>
          <cell r="G93">
            <v>111203.7659</v>
          </cell>
          <cell r="H93" t="str">
            <v>-</v>
          </cell>
          <cell r="I93" t="str">
            <v>-</v>
          </cell>
          <cell r="J93">
            <v>111191.80306556751</v>
          </cell>
          <cell r="K93" t="str">
            <v>Large Cap</v>
          </cell>
        </row>
        <row r="94">
          <cell r="C94" t="str">
            <v>INE067A01029</v>
          </cell>
          <cell r="D94" t="str">
            <v>CGPOWER</v>
          </cell>
          <cell r="E94">
            <v>110919.33312596299</v>
          </cell>
          <cell r="F94" t="str">
            <v>CGPOWER</v>
          </cell>
          <cell r="G94">
            <v>109459.4016</v>
          </cell>
          <cell r="H94" t="str">
            <v>-</v>
          </cell>
          <cell r="I94" t="str">
            <v>-</v>
          </cell>
          <cell r="J94">
            <v>110189.36736298149</v>
          </cell>
          <cell r="K94" t="str">
            <v>Large Cap</v>
          </cell>
        </row>
        <row r="95">
          <cell r="C95" t="str">
            <v>INE324D01010</v>
          </cell>
          <cell r="D95" t="str">
            <v>LGEINDIA</v>
          </cell>
          <cell r="E95">
            <v>109777.984656751</v>
          </cell>
          <cell r="F95" t="str">
            <v>LGEINDIA</v>
          </cell>
          <cell r="G95">
            <v>109776.2249</v>
          </cell>
          <cell r="H95" t="str">
            <v>-</v>
          </cell>
          <cell r="I95" t="str">
            <v>-</v>
          </cell>
          <cell r="J95">
            <v>109777.10477837551</v>
          </cell>
          <cell r="K95" t="str">
            <v>Large Cap</v>
          </cell>
        </row>
        <row r="96">
          <cell r="C96" t="str">
            <v>INE455K01017</v>
          </cell>
          <cell r="D96" t="str">
            <v>POLYCAB</v>
          </cell>
          <cell r="E96">
            <v>109480.298988536</v>
          </cell>
          <cell r="F96" t="str">
            <v>POLYCAB</v>
          </cell>
          <cell r="G96">
            <v>109467.8832</v>
          </cell>
          <cell r="H96" t="str">
            <v>-</v>
          </cell>
          <cell r="I96" t="str">
            <v>-</v>
          </cell>
          <cell r="J96">
            <v>109474.09109426799</v>
          </cell>
          <cell r="K96" t="str">
            <v>Large Cap</v>
          </cell>
        </row>
        <row r="97">
          <cell r="C97" t="str">
            <v>INE692A01016</v>
          </cell>
          <cell r="D97" t="str">
            <v>UNIONBANK</v>
          </cell>
          <cell r="E97">
            <v>108930.037407603</v>
          </cell>
          <cell r="F97" t="str">
            <v>UNIONBANK</v>
          </cell>
          <cell r="G97">
            <v>108951.30250000001</v>
          </cell>
          <cell r="H97" t="str">
            <v>-</v>
          </cell>
          <cell r="I97" t="str">
            <v>-</v>
          </cell>
          <cell r="J97">
            <v>108940.66995380149</v>
          </cell>
          <cell r="K97" t="str">
            <v>Large Cap</v>
          </cell>
        </row>
        <row r="98">
          <cell r="C98" t="str">
            <v>INE931S01010</v>
          </cell>
          <cell r="D98" t="str">
            <v>ADANIENSOL</v>
          </cell>
          <cell r="E98">
            <v>108350.35527443599</v>
          </cell>
          <cell r="F98" t="str">
            <v>ADANIENSOL</v>
          </cell>
          <cell r="G98">
            <v>108357.1721</v>
          </cell>
          <cell r="H98" t="str">
            <v>-</v>
          </cell>
          <cell r="I98" t="str">
            <v>-</v>
          </cell>
          <cell r="J98">
            <v>108353.76368721799</v>
          </cell>
          <cell r="K98" t="str">
            <v>Large Cap</v>
          </cell>
        </row>
        <row r="99">
          <cell r="C99" t="str">
            <v>INE437A01024</v>
          </cell>
          <cell r="D99" t="str">
            <v>APOLLOHOSP</v>
          </cell>
          <cell r="E99">
            <v>107947.809029503</v>
          </cell>
          <cell r="F99" t="str">
            <v>APOLLOHOSP</v>
          </cell>
          <cell r="G99">
            <v>107953.3493</v>
          </cell>
          <cell r="H99" t="str">
            <v>-</v>
          </cell>
          <cell r="I99" t="str">
            <v>-</v>
          </cell>
          <cell r="J99">
            <v>107950.5791647515</v>
          </cell>
          <cell r="K99" t="str">
            <v>Large Cap</v>
          </cell>
        </row>
        <row r="100">
          <cell r="C100" t="str">
            <v>INE053A01029</v>
          </cell>
          <cell r="D100" t="str">
            <v>INDHOTEL</v>
          </cell>
          <cell r="E100">
            <v>105952.217564846</v>
          </cell>
          <cell r="F100" t="str">
            <v>INDHOTEL</v>
          </cell>
          <cell r="G100">
            <v>105954.1946</v>
          </cell>
          <cell r="H100" t="str">
            <v>-</v>
          </cell>
          <cell r="I100" t="str">
            <v>-</v>
          </cell>
          <cell r="J100">
            <v>105953.206082423</v>
          </cell>
          <cell r="K100" t="str">
            <v>Large Cap</v>
          </cell>
        </row>
        <row r="101">
          <cell r="C101" t="str">
            <v>INE158A01026</v>
          </cell>
          <cell r="D101" t="str">
            <v>HEROMOTOCO</v>
          </cell>
          <cell r="E101">
            <v>105539.36575080101</v>
          </cell>
          <cell r="F101" t="str">
            <v>HEROMOTOCO</v>
          </cell>
          <cell r="G101">
            <v>105543.5132</v>
          </cell>
          <cell r="H101" t="str">
            <v>-</v>
          </cell>
          <cell r="I101" t="str">
            <v>-</v>
          </cell>
          <cell r="J101">
            <v>105541.4394754005</v>
          </cell>
          <cell r="K101" t="str">
            <v>Large Cap</v>
          </cell>
        </row>
        <row r="102">
          <cell r="C102" t="str">
            <v>INE089A01031</v>
          </cell>
          <cell r="D102" t="str">
            <v>DRREDDY</v>
          </cell>
          <cell r="E102">
            <v>105177.43996178101</v>
          </cell>
          <cell r="F102" t="str">
            <v>DRREDDY</v>
          </cell>
          <cell r="G102">
            <v>105170.3036</v>
          </cell>
          <cell r="H102" t="str">
            <v>-</v>
          </cell>
          <cell r="I102" t="str">
            <v>-</v>
          </cell>
          <cell r="J102">
            <v>105173.87178089051</v>
          </cell>
          <cell r="K102" t="str">
            <v>Large Cap</v>
          </cell>
        </row>
        <row r="103">
          <cell r="C103" t="str">
            <v>INE070A01015</v>
          </cell>
          <cell r="D103" t="str">
            <v>SHREECEM</v>
          </cell>
          <cell r="E103">
            <v>104508.84587172901</v>
          </cell>
          <cell r="F103" t="str">
            <v>SHREECEM</v>
          </cell>
          <cell r="G103">
            <v>104522.777</v>
          </cell>
          <cell r="H103" t="str">
            <v>-</v>
          </cell>
          <cell r="I103" t="str">
            <v>-</v>
          </cell>
          <cell r="J103">
            <v>104515.81143586451</v>
          </cell>
          <cell r="K103" t="str">
            <v>Mid Cap</v>
          </cell>
        </row>
        <row r="104">
          <cell r="C104" t="str">
            <v>INE749A01030</v>
          </cell>
          <cell r="D104" t="str">
            <v>JINDALSTEL</v>
          </cell>
          <cell r="E104">
            <v>103391.87914484899</v>
          </cell>
          <cell r="F104" t="str">
            <v>JINDALSTEL</v>
          </cell>
          <cell r="G104">
            <v>103413.6572</v>
          </cell>
          <cell r="H104" t="str">
            <v>-</v>
          </cell>
          <cell r="I104" t="str">
            <v>-</v>
          </cell>
          <cell r="J104">
            <v>103402.76817242449</v>
          </cell>
          <cell r="K104" t="str">
            <v>Mid Cap</v>
          </cell>
        </row>
        <row r="105">
          <cell r="C105" t="str">
            <v>INE008A01015</v>
          </cell>
          <cell r="D105" t="str">
            <v>IDBI</v>
          </cell>
          <cell r="E105">
            <v>102939.06092414001</v>
          </cell>
          <cell r="F105" t="str">
            <v>IDBI</v>
          </cell>
          <cell r="G105">
            <v>102939.48759999999</v>
          </cell>
          <cell r="H105" t="str">
            <v>-</v>
          </cell>
          <cell r="I105" t="str">
            <v>-</v>
          </cell>
          <cell r="J105">
            <v>102939.27426207</v>
          </cell>
          <cell r="K105" t="str">
            <v>Mid Cap</v>
          </cell>
        </row>
        <row r="106">
          <cell r="C106" t="str">
            <v>INE00H001014</v>
          </cell>
          <cell r="D106" t="str">
            <v xml:space="preserve">SWIGGY </v>
          </cell>
          <cell r="E106">
            <v>103022.25748347399</v>
          </cell>
          <cell r="F106" t="str">
            <v>SWIGGY</v>
          </cell>
          <cell r="G106">
            <v>102180.65459999999</v>
          </cell>
          <cell r="H106" t="str">
            <v>-</v>
          </cell>
          <cell r="I106" t="str">
            <v>-</v>
          </cell>
          <cell r="J106">
            <v>102601.45604173699</v>
          </cell>
          <cell r="K106" t="str">
            <v>Mid Cap</v>
          </cell>
        </row>
        <row r="107">
          <cell r="C107" t="str">
            <v>INE118H01025</v>
          </cell>
          <cell r="D107" t="str">
            <v>-</v>
          </cell>
          <cell r="E107" t="str">
            <v>-</v>
          </cell>
          <cell r="F107" t="str">
            <v>BSE</v>
          </cell>
          <cell r="G107">
            <v>101299.2674</v>
          </cell>
          <cell r="H107" t="str">
            <v>-</v>
          </cell>
          <cell r="I107" t="str">
            <v>-</v>
          </cell>
          <cell r="J107">
            <v>101299.2674</v>
          </cell>
          <cell r="K107" t="str">
            <v>Mid Cap</v>
          </cell>
        </row>
        <row r="108">
          <cell r="C108" t="str">
            <v>INE634S01028</v>
          </cell>
          <cell r="D108" t="str">
            <v>MANKIND</v>
          </cell>
          <cell r="E108">
            <v>99913.070720881995</v>
          </cell>
          <cell r="F108" t="str">
            <v>MANKIND</v>
          </cell>
          <cell r="G108">
            <v>99923.489300000001</v>
          </cell>
          <cell r="H108" t="str">
            <v>-</v>
          </cell>
          <cell r="I108" t="str">
            <v>-</v>
          </cell>
          <cell r="J108">
            <v>99918.280010440998</v>
          </cell>
          <cell r="K108" t="str">
            <v>Mid Cap</v>
          </cell>
        </row>
        <row r="109">
          <cell r="C109" t="str">
            <v>INE562A01011</v>
          </cell>
          <cell r="D109" t="str">
            <v>INDIANB</v>
          </cell>
          <cell r="E109">
            <v>99682.657374372997</v>
          </cell>
          <cell r="F109" t="str">
            <v>INDIANB</v>
          </cell>
          <cell r="G109">
            <v>99686.078200000004</v>
          </cell>
          <cell r="H109" t="str">
            <v>-</v>
          </cell>
          <cell r="I109" t="str">
            <v>-</v>
          </cell>
          <cell r="J109">
            <v>99684.367787186493</v>
          </cell>
          <cell r="K109" t="str">
            <v>Mid Cap</v>
          </cell>
        </row>
        <row r="110">
          <cell r="C110" t="str">
            <v>INE121J01017</v>
          </cell>
          <cell r="D110" t="str">
            <v>INDUSTOWER</v>
          </cell>
          <cell r="E110">
            <v>99636.183791007992</v>
          </cell>
          <cell r="F110" t="str">
            <v>INDUSTOWER</v>
          </cell>
          <cell r="G110">
            <v>99639.115099999995</v>
          </cell>
          <cell r="H110" t="str">
            <v>-</v>
          </cell>
          <cell r="I110" t="str">
            <v>-</v>
          </cell>
          <cell r="J110">
            <v>99637.649445503994</v>
          </cell>
          <cell r="K110" t="str">
            <v>Mid Cap</v>
          </cell>
        </row>
        <row r="111">
          <cell r="C111" t="str">
            <v>INE854D01024</v>
          </cell>
          <cell r="D111" t="str">
            <v>UNITDSPR</v>
          </cell>
          <cell r="E111">
            <v>99542.726649349002</v>
          </cell>
          <cell r="F111" t="str">
            <v>UNITDSPR</v>
          </cell>
          <cell r="G111">
            <v>99548.528099999996</v>
          </cell>
          <cell r="H111" t="str">
            <v>-</v>
          </cell>
          <cell r="I111" t="str">
            <v>-</v>
          </cell>
          <cell r="J111">
            <v>99545.627374674499</v>
          </cell>
          <cell r="K111" t="str">
            <v>Mid Cap</v>
          </cell>
        </row>
        <row r="112">
          <cell r="C112" t="str">
            <v>INE776C01039</v>
          </cell>
          <cell r="D112" t="str">
            <v>GMRAIRPORT</v>
          </cell>
          <cell r="E112">
            <v>98984.114445266998</v>
          </cell>
          <cell r="F112" t="str">
            <v>GMRAIRPORT</v>
          </cell>
          <cell r="G112">
            <v>98997.438899999994</v>
          </cell>
          <cell r="H112" t="str">
            <v>-</v>
          </cell>
          <cell r="I112" t="str">
            <v>-</v>
          </cell>
          <cell r="J112">
            <v>98990.776672633496</v>
          </cell>
          <cell r="K112" t="str">
            <v>Mid Cap</v>
          </cell>
        </row>
        <row r="113">
          <cell r="C113" t="str">
            <v>INE020B01018</v>
          </cell>
          <cell r="D113" t="str">
            <v>RECLTD</v>
          </cell>
          <cell r="E113">
            <v>98216.747367618998</v>
          </cell>
          <cell r="F113" t="str">
            <v>RECLTD</v>
          </cell>
          <cell r="G113">
            <v>98212.672099999996</v>
          </cell>
          <cell r="H113" t="str">
            <v>-</v>
          </cell>
          <cell r="I113" t="str">
            <v>-</v>
          </cell>
          <cell r="J113">
            <v>98214.70973380949</v>
          </cell>
          <cell r="K113" t="str">
            <v>Mid Cap</v>
          </cell>
        </row>
        <row r="114">
          <cell r="C114" t="str">
            <v>INE010B01027</v>
          </cell>
          <cell r="D114" t="str">
            <v>ZYDUSLIFE</v>
          </cell>
          <cell r="E114">
            <v>97833.335753282998</v>
          </cell>
          <cell r="F114" t="str">
            <v>ZYDUSLIFE</v>
          </cell>
          <cell r="G114">
            <v>97840.483200000002</v>
          </cell>
          <cell r="H114" t="str">
            <v>-</v>
          </cell>
          <cell r="I114" t="str">
            <v>-</v>
          </cell>
          <cell r="J114">
            <v>97836.909476641507</v>
          </cell>
          <cell r="K114" t="str">
            <v>Mid Cap</v>
          </cell>
        </row>
        <row r="115">
          <cell r="C115" t="str">
            <v>INE765G01017</v>
          </cell>
          <cell r="D115" t="str">
            <v>ICICIGI</v>
          </cell>
          <cell r="E115">
            <v>96784.32797719301</v>
          </cell>
          <cell r="F115" t="str">
            <v>ICICIGI</v>
          </cell>
          <cell r="G115">
            <v>96700.860499999995</v>
          </cell>
          <cell r="H115" t="str">
            <v>-</v>
          </cell>
          <cell r="I115" t="str">
            <v>-</v>
          </cell>
          <cell r="J115">
            <v>96742.594238596503</v>
          </cell>
          <cell r="K115" t="str">
            <v>Mid Cap</v>
          </cell>
        </row>
        <row r="116">
          <cell r="C116" t="str">
            <v>INE0HOQ01053</v>
          </cell>
          <cell r="D116" t="str">
            <v>GROWW</v>
          </cell>
          <cell r="E116">
            <v>95901.88478528001</v>
          </cell>
          <cell r="F116" t="str">
            <v>GROWW</v>
          </cell>
          <cell r="G116">
            <v>95890.419500000004</v>
          </cell>
          <cell r="H116" t="str">
            <v>-</v>
          </cell>
          <cell r="I116" t="str">
            <v>-</v>
          </cell>
          <cell r="J116">
            <v>95896.15214264</v>
          </cell>
          <cell r="K116" t="str">
            <v>Mid Cap</v>
          </cell>
        </row>
        <row r="117">
          <cell r="C117" t="str">
            <v>INE935N01020</v>
          </cell>
          <cell r="D117" t="str">
            <v>DIXON</v>
          </cell>
          <cell r="E117">
            <v>95876.486290645989</v>
          </cell>
          <cell r="F117" t="str">
            <v>DIXON</v>
          </cell>
          <cell r="G117">
            <v>95826.202000000005</v>
          </cell>
          <cell r="H117" t="str">
            <v>-</v>
          </cell>
          <cell r="I117" t="str">
            <v>-</v>
          </cell>
          <cell r="J117">
            <v>95851.344145323004</v>
          </cell>
          <cell r="K117" t="str">
            <v>Mid Cap</v>
          </cell>
        </row>
        <row r="118">
          <cell r="C118" t="str">
            <v>INE669E01016</v>
          </cell>
          <cell r="D118" t="str">
            <v>IDEA</v>
          </cell>
          <cell r="E118">
            <v>94047.773438368007</v>
          </cell>
          <cell r="F118" t="str">
            <v>IDEA</v>
          </cell>
          <cell r="G118">
            <v>93992.742100000003</v>
          </cell>
          <cell r="H118" t="str">
            <v>-</v>
          </cell>
          <cell r="I118" t="str">
            <v>-</v>
          </cell>
          <cell r="J118">
            <v>94020.257769184012</v>
          </cell>
          <cell r="K118" t="str">
            <v>Mid Cap</v>
          </cell>
        </row>
        <row r="119">
          <cell r="C119" t="str">
            <v>INE176B01034</v>
          </cell>
          <cell r="D119" t="str">
            <v>HAVELLS</v>
          </cell>
          <cell r="E119">
            <v>93918.187781493005</v>
          </cell>
          <cell r="F119" t="str">
            <v>HAVELLS</v>
          </cell>
          <cell r="G119">
            <v>93920.584700000007</v>
          </cell>
          <cell r="H119" t="str">
            <v>-</v>
          </cell>
          <cell r="I119" t="str">
            <v>-</v>
          </cell>
          <cell r="J119">
            <v>93919.386240746506</v>
          </cell>
          <cell r="K119" t="str">
            <v>Mid Cap</v>
          </cell>
        </row>
        <row r="120">
          <cell r="C120" t="str">
            <v>INE196A01026</v>
          </cell>
          <cell r="D120" t="str">
            <v>MARICO</v>
          </cell>
          <cell r="E120">
            <v>93869.344417346991</v>
          </cell>
          <cell r="F120" t="str">
            <v>MARICO</v>
          </cell>
          <cell r="G120">
            <v>93828.482499999998</v>
          </cell>
          <cell r="H120" t="str">
            <v>-</v>
          </cell>
          <cell r="I120" t="str">
            <v>-</v>
          </cell>
          <cell r="J120">
            <v>93848.913458673487</v>
          </cell>
          <cell r="K120" t="str">
            <v>Mid Cap</v>
          </cell>
        </row>
        <row r="121">
          <cell r="C121" t="str">
            <v>INE094A01015</v>
          </cell>
          <cell r="D121" t="str">
            <v>HINDPETRO</v>
          </cell>
          <cell r="E121">
            <v>93187.564945007995</v>
          </cell>
          <cell r="F121" t="str">
            <v>HINDPETRO</v>
          </cell>
          <cell r="G121">
            <v>93198.710699999996</v>
          </cell>
          <cell r="H121" t="str">
            <v>-</v>
          </cell>
          <cell r="I121" t="str">
            <v>-</v>
          </cell>
          <cell r="J121">
            <v>93193.137822503995</v>
          </cell>
          <cell r="K121" t="str">
            <v>Mid Cap</v>
          </cell>
        </row>
        <row r="122">
          <cell r="C122" t="str">
            <v>INE377N01017</v>
          </cell>
          <cell r="D122" t="str">
            <v>WAAREEENER</v>
          </cell>
          <cell r="E122">
            <v>92834.513645529005</v>
          </cell>
          <cell r="F122" t="str">
            <v>WAAREEENER</v>
          </cell>
          <cell r="G122">
            <v>92778.222099999999</v>
          </cell>
          <cell r="H122" t="str">
            <v>-</v>
          </cell>
          <cell r="I122" t="str">
            <v>-</v>
          </cell>
          <cell r="J122">
            <v>92806.367872764502</v>
          </cell>
          <cell r="K122" t="str">
            <v>Mid Cap</v>
          </cell>
        </row>
        <row r="123">
          <cell r="C123" t="str">
            <v>INE377Y01014</v>
          </cell>
          <cell r="D123" t="str">
            <v>BAJAJHFL</v>
          </cell>
          <cell r="E123">
            <v>91541.607180288003</v>
          </cell>
          <cell r="F123" t="str">
            <v>BAJAJHFL</v>
          </cell>
          <cell r="G123">
            <v>91537.705499999996</v>
          </cell>
          <cell r="H123" t="str">
            <v>-</v>
          </cell>
          <cell r="I123" t="str">
            <v>-</v>
          </cell>
          <cell r="J123">
            <v>91539.656340143993</v>
          </cell>
          <cell r="K123" t="str">
            <v>Mid Cap</v>
          </cell>
        </row>
        <row r="124">
          <cell r="C124" t="str">
            <v>INE016A01026</v>
          </cell>
          <cell r="D124" t="str">
            <v>DABUR</v>
          </cell>
          <cell r="E124">
            <v>90962.011242284992</v>
          </cell>
          <cell r="F124" t="str">
            <v>DABUR</v>
          </cell>
          <cell r="G124">
            <v>90966.515899999999</v>
          </cell>
          <cell r="H124" t="str">
            <v>-</v>
          </cell>
          <cell r="I124" t="str">
            <v>-</v>
          </cell>
          <cell r="J124">
            <v>90964.263571142495</v>
          </cell>
          <cell r="K124" t="str">
            <v>Mid Cap</v>
          </cell>
        </row>
        <row r="125">
          <cell r="C125" t="str">
            <v>INE326A01037</v>
          </cell>
          <cell r="D125" t="str">
            <v>LUPIN</v>
          </cell>
          <cell r="E125">
            <v>90702.495069127006</v>
          </cell>
          <cell r="F125" t="str">
            <v>LUPIN</v>
          </cell>
          <cell r="G125">
            <v>90701.519700000004</v>
          </cell>
          <cell r="H125" t="str">
            <v>-</v>
          </cell>
          <cell r="I125" t="str">
            <v>-</v>
          </cell>
          <cell r="J125">
            <v>90702.007384563505</v>
          </cell>
          <cell r="K125" t="str">
            <v>Mid Cap</v>
          </cell>
        </row>
        <row r="126">
          <cell r="C126" t="str">
            <v>INE121E01018</v>
          </cell>
          <cell r="D126" t="str">
            <v>JSWENERGY</v>
          </cell>
          <cell r="E126">
            <v>90092.400669013005</v>
          </cell>
          <cell r="F126" t="str">
            <v>JSWENERGY</v>
          </cell>
          <cell r="G126">
            <v>90095.9378</v>
          </cell>
          <cell r="H126" t="str">
            <v>-</v>
          </cell>
          <cell r="I126" t="str">
            <v>-</v>
          </cell>
          <cell r="J126">
            <v>90094.169234506495</v>
          </cell>
          <cell r="K126" t="str">
            <v>Mid Cap</v>
          </cell>
        </row>
        <row r="127">
          <cell r="C127" t="str">
            <v>INE726G01019</v>
          </cell>
          <cell r="D127" t="str">
            <v>ICICIPRULI</v>
          </cell>
          <cell r="E127">
            <v>89707.079248035996</v>
          </cell>
          <cell r="F127" t="str">
            <v>ICICIPRULI</v>
          </cell>
          <cell r="G127">
            <v>89685.832299999995</v>
          </cell>
          <cell r="H127" t="str">
            <v>-</v>
          </cell>
          <cell r="I127" t="str">
            <v>-</v>
          </cell>
          <cell r="J127">
            <v>89696.455774017988</v>
          </cell>
          <cell r="K127" t="str">
            <v>Mid Cap</v>
          </cell>
        </row>
        <row r="128">
          <cell r="C128" t="str">
            <v>INE262H01021</v>
          </cell>
          <cell r="D128" t="str">
            <v>PERSISTENT</v>
          </cell>
          <cell r="E128">
            <v>89266.682807539997</v>
          </cell>
          <cell r="F128" t="str">
            <v>PERSISTENT</v>
          </cell>
          <cell r="G128">
            <v>89034.1679</v>
          </cell>
          <cell r="H128" t="str">
            <v>-</v>
          </cell>
          <cell r="I128" t="str">
            <v>-</v>
          </cell>
          <cell r="J128">
            <v>89150.425353769999</v>
          </cell>
          <cell r="K128" t="str">
            <v>Mid Cap</v>
          </cell>
        </row>
        <row r="129">
          <cell r="C129" t="str">
            <v>INE343G01021</v>
          </cell>
          <cell r="D129" t="str">
            <v>BHARTIHEXA</v>
          </cell>
          <cell r="E129">
            <v>88892.400793651002</v>
          </cell>
          <cell r="F129" t="str">
            <v>BHARTIHEXA</v>
          </cell>
          <cell r="G129">
            <v>88887.896800000002</v>
          </cell>
          <cell r="H129" t="str">
            <v>-</v>
          </cell>
          <cell r="I129" t="str">
            <v>-</v>
          </cell>
          <cell r="J129">
            <v>88890.148796825495</v>
          </cell>
          <cell r="K129" t="str">
            <v>Mid Cap</v>
          </cell>
        </row>
        <row r="130">
          <cell r="C130" t="str">
            <v>INE663F01032</v>
          </cell>
          <cell r="D130" t="str">
            <v>NAUKRI</v>
          </cell>
          <cell r="E130">
            <v>88707.762668651005</v>
          </cell>
          <cell r="F130" t="str">
            <v>NAUKRI</v>
          </cell>
          <cell r="G130">
            <v>88709.244399999996</v>
          </cell>
          <cell r="H130" t="str">
            <v>-</v>
          </cell>
          <cell r="I130" t="str">
            <v>-</v>
          </cell>
          <cell r="J130">
            <v>88708.5035343255</v>
          </cell>
          <cell r="K130" t="str">
            <v>Mid Cap</v>
          </cell>
        </row>
        <row r="131">
          <cell r="C131" t="str">
            <v>INE647A01010</v>
          </cell>
          <cell r="D131" t="str">
            <v>SRF</v>
          </cell>
          <cell r="E131">
            <v>88539.707360854009</v>
          </cell>
          <cell r="F131" t="str">
            <v>SRF</v>
          </cell>
          <cell r="G131">
            <v>88555.481400000004</v>
          </cell>
          <cell r="H131" t="str">
            <v>-</v>
          </cell>
          <cell r="I131" t="str">
            <v>-</v>
          </cell>
          <cell r="J131">
            <v>88547.594380427006</v>
          </cell>
          <cell r="K131" t="str">
            <v>Mid Cap</v>
          </cell>
        </row>
        <row r="132">
          <cell r="C132" t="str">
            <v>INE257A01026</v>
          </cell>
          <cell r="D132" t="str">
            <v>BHEL</v>
          </cell>
          <cell r="E132">
            <v>87271.838199915001</v>
          </cell>
          <cell r="F132" t="str">
            <v>BHEL</v>
          </cell>
          <cell r="G132">
            <v>87278.802299999996</v>
          </cell>
          <cell r="H132" t="str">
            <v>-</v>
          </cell>
          <cell r="I132" t="str">
            <v>-</v>
          </cell>
          <cell r="J132">
            <v>87275.320249957498</v>
          </cell>
          <cell r="K132" t="str">
            <v>Mid Cap</v>
          </cell>
        </row>
        <row r="133">
          <cell r="C133" t="str">
            <v>INE07Y701011</v>
          </cell>
          <cell r="D133" t="str">
            <v>POWERINDIA</v>
          </cell>
          <cell r="E133">
            <v>86858.011666068007</v>
          </cell>
          <cell r="F133" t="str">
            <v>POWERINDIA</v>
          </cell>
          <cell r="G133">
            <v>86853.671199999997</v>
          </cell>
          <cell r="H133" t="str">
            <v>-</v>
          </cell>
          <cell r="I133" t="str">
            <v>-</v>
          </cell>
          <cell r="J133">
            <v>86855.841433034002</v>
          </cell>
          <cell r="K133" t="str">
            <v>Mid Cap</v>
          </cell>
        </row>
        <row r="134">
          <cell r="C134" t="str">
            <v>INE0VDM01015</v>
          </cell>
          <cell r="D134" t="str">
            <v>MEESHO</v>
          </cell>
          <cell r="E134">
            <v>86452.033058999994</v>
          </cell>
          <cell r="F134" t="str">
            <v>MEESHO</v>
          </cell>
          <cell r="G134">
            <v>86428.263900000005</v>
          </cell>
          <cell r="H134" t="str">
            <v>-</v>
          </cell>
          <cell r="I134" t="str">
            <v>-</v>
          </cell>
          <cell r="J134">
            <v>86440.1484795</v>
          </cell>
          <cell r="K134" t="str">
            <v>Mid Cap</v>
          </cell>
        </row>
        <row r="135">
          <cell r="C135" t="str">
            <v>INE0ONG01011</v>
          </cell>
          <cell r="D135" t="str">
            <v>NTPCGREEN</v>
          </cell>
          <cell r="E135">
            <v>84832.943325877</v>
          </cell>
          <cell r="F135" t="str">
            <v>NTPCGREEN</v>
          </cell>
          <cell r="G135">
            <v>84831.070800000001</v>
          </cell>
          <cell r="H135" t="str">
            <v>-</v>
          </cell>
          <cell r="I135" t="str">
            <v>-</v>
          </cell>
          <cell r="J135">
            <v>84832.007062938501</v>
          </cell>
          <cell r="K135" t="str">
            <v>Mid Cap</v>
          </cell>
        </row>
        <row r="136">
          <cell r="C136" t="str">
            <v>INE848E01016</v>
          </cell>
          <cell r="D136" t="str">
            <v>NHPC</v>
          </cell>
          <cell r="E136">
            <v>83001.883426219996</v>
          </cell>
          <cell r="F136" t="str">
            <v>NHPC</v>
          </cell>
          <cell r="G136">
            <v>83007.065400000007</v>
          </cell>
          <cell r="H136" t="str">
            <v>-</v>
          </cell>
          <cell r="I136" t="str">
            <v>-</v>
          </cell>
          <cell r="J136">
            <v>83004.474413110001</v>
          </cell>
          <cell r="K136" t="str">
            <v>Mid Cap</v>
          </cell>
        </row>
        <row r="137">
          <cell r="C137" t="str">
            <v>INE417T01026</v>
          </cell>
          <cell r="D137" t="str">
            <v>POLICYBZR</v>
          </cell>
          <cell r="E137">
            <v>83049.351710171992</v>
          </cell>
          <cell r="F137" t="str">
            <v>POLICYBZR</v>
          </cell>
          <cell r="G137">
            <v>82915.543399999995</v>
          </cell>
          <cell r="H137" t="str">
            <v>-</v>
          </cell>
          <cell r="I137" t="str">
            <v>-</v>
          </cell>
          <cell r="J137">
            <v>82982.447555085993</v>
          </cell>
          <cell r="K137" t="str">
            <v>Mid Cap</v>
          </cell>
        </row>
        <row r="138">
          <cell r="C138" t="str">
            <v>INE018E01016</v>
          </cell>
          <cell r="D138" t="str">
            <v>SBICARD</v>
          </cell>
          <cell r="E138">
            <v>82604.925023106</v>
          </cell>
          <cell r="F138" t="str">
            <v>SBICARD</v>
          </cell>
          <cell r="G138">
            <v>82608.718599999993</v>
          </cell>
          <cell r="H138" t="str">
            <v>-</v>
          </cell>
          <cell r="I138" t="str">
            <v>-</v>
          </cell>
          <cell r="J138">
            <v>82606.821811553003</v>
          </cell>
          <cell r="K138" t="str">
            <v>Mid Cap</v>
          </cell>
        </row>
        <row r="139">
          <cell r="C139" t="str">
            <v>INE208A01029</v>
          </cell>
          <cell r="D139" t="str">
            <v>ASHOKLEY</v>
          </cell>
          <cell r="E139">
            <v>82078.912454385005</v>
          </cell>
          <cell r="F139" t="str">
            <v>ASHOKLEY</v>
          </cell>
          <cell r="G139">
            <v>82093.208599999998</v>
          </cell>
          <cell r="H139" t="str">
            <v>-</v>
          </cell>
          <cell r="I139" t="str">
            <v>-</v>
          </cell>
          <cell r="J139">
            <v>82086.060527192501</v>
          </cell>
          <cell r="K139" t="str">
            <v>Mid Cap</v>
          </cell>
        </row>
        <row r="140">
          <cell r="C140" t="str">
            <v>INE040H01021</v>
          </cell>
          <cell r="D140" t="str">
            <v>SUZLON</v>
          </cell>
          <cell r="E140">
            <v>79526.976802254008</v>
          </cell>
          <cell r="F140" t="str">
            <v>SUZLON</v>
          </cell>
          <cell r="G140">
            <v>79491.6296</v>
          </cell>
          <cell r="H140" t="str">
            <v>-</v>
          </cell>
          <cell r="I140" t="str">
            <v>-</v>
          </cell>
          <cell r="J140">
            <v>79509.303201127012</v>
          </cell>
          <cell r="K140" t="str">
            <v>Mid Cap</v>
          </cell>
        </row>
        <row r="141">
          <cell r="C141" t="str">
            <v>INE674K01013</v>
          </cell>
          <cell r="D141" t="str">
            <v>ABCAPITAL</v>
          </cell>
          <cell r="E141">
            <v>79362.016536666008</v>
          </cell>
          <cell r="F141" t="str">
            <v>ABCAPITAL</v>
          </cell>
          <cell r="G141">
            <v>79334.160799999998</v>
          </cell>
          <cell r="H141" t="str">
            <v>-</v>
          </cell>
          <cell r="I141" t="str">
            <v>-</v>
          </cell>
          <cell r="J141">
            <v>79348.088668333003</v>
          </cell>
          <cell r="K141" t="str">
            <v>Mid Cap</v>
          </cell>
        </row>
        <row r="142">
          <cell r="C142" t="str">
            <v>INE982J01020</v>
          </cell>
          <cell r="D142" t="str">
            <v>PAYTM</v>
          </cell>
          <cell r="E142">
            <v>76908.323995674</v>
          </cell>
          <cell r="F142" t="str">
            <v>PAYTM</v>
          </cell>
          <cell r="G142">
            <v>76862.919800000003</v>
          </cell>
          <cell r="H142" t="str">
            <v>-</v>
          </cell>
          <cell r="I142" t="str">
            <v>-</v>
          </cell>
          <cell r="J142">
            <v>76885.621897837002</v>
          </cell>
          <cell r="K142" t="str">
            <v>Mid Cap</v>
          </cell>
        </row>
        <row r="143">
          <cell r="C143" t="str">
            <v>INE565A01014</v>
          </cell>
          <cell r="D143" t="str">
            <v>IOB</v>
          </cell>
          <cell r="E143">
            <v>74120.295251809992</v>
          </cell>
          <cell r="F143" t="str">
            <v>IOB</v>
          </cell>
          <cell r="G143">
            <v>74113.112200000003</v>
          </cell>
          <cell r="H143" t="str">
            <v>-</v>
          </cell>
          <cell r="I143" t="str">
            <v>-</v>
          </cell>
          <cell r="J143">
            <v>74116.703725904998</v>
          </cell>
          <cell r="K143" t="str">
            <v>Mid Cap</v>
          </cell>
        </row>
        <row r="144">
          <cell r="C144" t="str">
            <v>INE881D01027</v>
          </cell>
          <cell r="D144" t="str">
            <v>OFSS</v>
          </cell>
          <cell r="E144">
            <v>74085.037711395998</v>
          </cell>
          <cell r="F144" t="str">
            <v>OFSS</v>
          </cell>
          <cell r="G144">
            <v>74059.8315</v>
          </cell>
          <cell r="H144" t="str">
            <v>-</v>
          </cell>
          <cell r="I144" t="str">
            <v>-</v>
          </cell>
          <cell r="J144">
            <v>74072.434605697999</v>
          </cell>
          <cell r="K144" t="str">
            <v>Mid Cap</v>
          </cell>
        </row>
        <row r="145">
          <cell r="C145" t="str">
            <v>INE956O01016</v>
          </cell>
          <cell r="D145" t="str">
            <v>LENSKART</v>
          </cell>
          <cell r="E145">
            <v>73287.715514477997</v>
          </cell>
          <cell r="F145" t="str">
            <v>LENSKART</v>
          </cell>
          <cell r="G145">
            <v>73312.566399999996</v>
          </cell>
          <cell r="H145" t="str">
            <v>-</v>
          </cell>
          <cell r="I145" t="str">
            <v>-</v>
          </cell>
          <cell r="J145">
            <v>73300.140957238997</v>
          </cell>
          <cell r="K145" t="str">
            <v>Mid Cap</v>
          </cell>
        </row>
        <row r="146">
          <cell r="C146" t="str">
            <v>INE200A01026</v>
          </cell>
          <cell r="D146" t="str">
            <v>GVTD</v>
          </cell>
          <cell r="E146">
            <v>72679.41859435699</v>
          </cell>
          <cell r="F146" t="str">
            <v>GVT&amp;D</v>
          </cell>
          <cell r="G146">
            <v>72684.763099999996</v>
          </cell>
          <cell r="H146" t="str">
            <v>-</v>
          </cell>
          <cell r="I146" t="str">
            <v>-</v>
          </cell>
          <cell r="J146">
            <v>72682.090847178493</v>
          </cell>
          <cell r="K146" t="str">
            <v>Mid Cap</v>
          </cell>
        </row>
        <row r="147">
          <cell r="C147" t="str">
            <v>INE415G01027</v>
          </cell>
          <cell r="D147" t="str">
            <v>RVNL</v>
          </cell>
          <cell r="E147">
            <v>70914.015767785997</v>
          </cell>
          <cell r="F147" t="str">
            <v>RVNL</v>
          </cell>
          <cell r="G147">
            <v>70911.037200000006</v>
          </cell>
          <cell r="H147" t="str">
            <v>-</v>
          </cell>
          <cell r="I147" t="str">
            <v>-</v>
          </cell>
          <cell r="J147">
            <v>70912.526483893002</v>
          </cell>
          <cell r="K147" t="str">
            <v>Mid Cap</v>
          </cell>
        </row>
        <row r="148">
          <cell r="C148" t="str">
            <v>INE811K01011</v>
          </cell>
          <cell r="D148" t="str">
            <v>PRESTIGE</v>
          </cell>
          <cell r="E148">
            <v>70851.824317381994</v>
          </cell>
          <cell r="F148" t="str">
            <v>PRESTIGE</v>
          </cell>
          <cell r="G148">
            <v>70859.122799999997</v>
          </cell>
          <cell r="H148" t="str">
            <v>-</v>
          </cell>
          <cell r="I148" t="str">
            <v>-</v>
          </cell>
          <cell r="J148">
            <v>70855.473558690996</v>
          </cell>
          <cell r="K148" t="str">
            <v>Mid Cap</v>
          </cell>
        </row>
        <row r="149">
          <cell r="C149" t="str">
            <v>INE281B01032</v>
          </cell>
          <cell r="D149" t="str">
            <v>LLOYDSME</v>
          </cell>
          <cell r="E149">
            <v>70818.956563836997</v>
          </cell>
          <cell r="F149" t="str">
            <v>LLOYDSME</v>
          </cell>
          <cell r="G149">
            <v>70799.222899999993</v>
          </cell>
          <cell r="H149" t="str">
            <v>-</v>
          </cell>
          <cell r="I149" t="str">
            <v>-</v>
          </cell>
          <cell r="J149">
            <v>70809.089731918502</v>
          </cell>
          <cell r="K149" t="str">
            <v>Mid Cap</v>
          </cell>
        </row>
        <row r="150">
          <cell r="C150" t="str">
            <v>INE405E01023</v>
          </cell>
          <cell r="D150" t="str">
            <v>UNOMINDA</v>
          </cell>
          <cell r="E150">
            <v>70476.495996587997</v>
          </cell>
          <cell r="F150" t="str">
            <v>UNOMINDA</v>
          </cell>
          <cell r="G150">
            <v>70413.147500000006</v>
          </cell>
          <cell r="H150" t="str">
            <v>-</v>
          </cell>
          <cell r="I150" t="str">
            <v>-</v>
          </cell>
          <cell r="J150">
            <v>70444.821748293994</v>
          </cell>
          <cell r="K150" t="str">
            <v>Mid Cap</v>
          </cell>
        </row>
        <row r="151">
          <cell r="C151" t="str">
            <v>INE061F01013</v>
          </cell>
          <cell r="D151" t="str">
            <v>FORTIS</v>
          </cell>
          <cell r="E151">
            <v>70000.678159572999</v>
          </cell>
          <cell r="F151" t="str">
            <v>FORTIS</v>
          </cell>
          <cell r="G151">
            <v>69998.431299999997</v>
          </cell>
          <cell r="H151" t="str">
            <v>-</v>
          </cell>
          <cell r="I151" t="str">
            <v>-</v>
          </cell>
          <cell r="J151">
            <v>69999.554729786498</v>
          </cell>
          <cell r="K151" t="str">
            <v>Mid Cap</v>
          </cell>
        </row>
        <row r="152">
          <cell r="C152" t="str">
            <v>INE388Y01029</v>
          </cell>
          <cell r="D152" t="str">
            <v>NYKAA</v>
          </cell>
          <cell r="E152">
            <v>68636.168238735001</v>
          </cell>
          <cell r="F152" t="str">
            <v>NYKAA</v>
          </cell>
          <cell r="G152">
            <v>68606.349100000007</v>
          </cell>
          <cell r="H152" t="str">
            <v>-</v>
          </cell>
          <cell r="I152" t="str">
            <v>-</v>
          </cell>
          <cell r="J152">
            <v>68621.258669367497</v>
          </cell>
          <cell r="K152" t="str">
            <v>Mid Cap</v>
          </cell>
        </row>
        <row r="153">
          <cell r="C153" t="str">
            <v>INE274J01014</v>
          </cell>
          <cell r="D153" t="str">
            <v>OIL</v>
          </cell>
          <cell r="E153">
            <v>68181.460189324003</v>
          </cell>
          <cell r="F153" t="str">
            <v>OIL</v>
          </cell>
          <cell r="G153">
            <v>68182.363899999997</v>
          </cell>
          <cell r="H153" t="str">
            <v>-</v>
          </cell>
          <cell r="I153" t="str">
            <v>-</v>
          </cell>
          <cell r="J153">
            <v>68181.912044661993</v>
          </cell>
          <cell r="K153" t="str">
            <v>Mid Cap</v>
          </cell>
        </row>
        <row r="154">
          <cell r="C154" t="str">
            <v>INE399L01023</v>
          </cell>
          <cell r="D154" t="str">
            <v>ATGL</v>
          </cell>
          <cell r="E154">
            <v>67979.872235831994</v>
          </cell>
          <cell r="F154" t="str">
            <v>ATGL</v>
          </cell>
          <cell r="G154">
            <v>67970.270699999994</v>
          </cell>
          <cell r="H154" t="str">
            <v>-</v>
          </cell>
          <cell r="I154" t="str">
            <v>-</v>
          </cell>
          <cell r="J154">
            <v>67975.071467915986</v>
          </cell>
          <cell r="K154" t="str">
            <v>Mid Cap</v>
          </cell>
        </row>
        <row r="155">
          <cell r="C155" t="str">
            <v>INE169A01031</v>
          </cell>
          <cell r="D155" t="str">
            <v>COROMANDEL</v>
          </cell>
          <cell r="E155">
            <v>67915.151417854999</v>
          </cell>
          <cell r="F155" t="str">
            <v>COROMANDEL</v>
          </cell>
          <cell r="G155">
            <v>67892.5478</v>
          </cell>
          <cell r="H155" t="str">
            <v>-</v>
          </cell>
          <cell r="I155" t="str">
            <v>-</v>
          </cell>
          <cell r="J155">
            <v>67903.8496089275</v>
          </cell>
          <cell r="K155" t="str">
            <v>Mid Cap</v>
          </cell>
        </row>
        <row r="156">
          <cell r="C156" t="str">
            <v>INE481Y01014</v>
          </cell>
          <cell r="D156" t="str">
            <v>GICRE</v>
          </cell>
          <cell r="E156">
            <v>66431.887619047993</v>
          </cell>
          <cell r="F156" t="str">
            <v>GICRE</v>
          </cell>
          <cell r="G156">
            <v>66432.653399999996</v>
          </cell>
          <cell r="H156" t="str">
            <v>-</v>
          </cell>
          <cell r="I156" t="str">
            <v>-</v>
          </cell>
          <cell r="J156">
            <v>66432.270509523994</v>
          </cell>
          <cell r="K156" t="str">
            <v>Mid Cap</v>
          </cell>
        </row>
        <row r="157">
          <cell r="C157" t="str">
            <v>INE528G01035</v>
          </cell>
          <cell r="D157" t="str">
            <v>YESBANK</v>
          </cell>
          <cell r="E157">
            <v>66365.045075732996</v>
          </cell>
          <cell r="F157" t="str">
            <v>YESBANK</v>
          </cell>
          <cell r="G157">
            <v>66347.809699999998</v>
          </cell>
          <cell r="H157" t="str">
            <v>-</v>
          </cell>
          <cell r="I157" t="str">
            <v>-</v>
          </cell>
          <cell r="J157">
            <v>66356.427387866497</v>
          </cell>
          <cell r="K157" t="str">
            <v>Mid Cap</v>
          </cell>
        </row>
        <row r="158">
          <cell r="C158" t="str">
            <v>INE01EA01019</v>
          </cell>
          <cell r="D158" t="str">
            <v>VMM</v>
          </cell>
          <cell r="E158">
            <v>66115.142485838005</v>
          </cell>
          <cell r="F158" t="str">
            <v>VMM</v>
          </cell>
          <cell r="G158">
            <v>66089.659599999999</v>
          </cell>
          <cell r="H158" t="str">
            <v>-</v>
          </cell>
          <cell r="I158" t="str">
            <v>-</v>
          </cell>
          <cell r="J158">
            <v>66102.401042918995</v>
          </cell>
          <cell r="K158" t="str">
            <v>Mid Cap</v>
          </cell>
        </row>
        <row r="159">
          <cell r="C159" t="str">
            <v>INE358A01014</v>
          </cell>
          <cell r="D159" t="str">
            <v>ABBOTINDIA</v>
          </cell>
          <cell r="E159">
            <v>65871.135412614007</v>
          </cell>
          <cell r="F159" t="str">
            <v>-</v>
          </cell>
          <cell r="G159" t="str">
            <v>-</v>
          </cell>
          <cell r="H159" t="str">
            <v>-</v>
          </cell>
          <cell r="I159" t="str">
            <v>-</v>
          </cell>
          <cell r="J159">
            <v>65871.135412614007</v>
          </cell>
          <cell r="K159" t="str">
            <v>Mid Cap</v>
          </cell>
        </row>
        <row r="160">
          <cell r="C160" t="str">
            <v>INE813H01021</v>
          </cell>
          <cell r="D160" t="str">
            <v>TORNTPOWER</v>
          </cell>
          <cell r="E160">
            <v>65811.802333033993</v>
          </cell>
          <cell r="F160" t="str">
            <v>TORNTPOWER</v>
          </cell>
          <cell r="G160">
            <v>65821.400500000003</v>
          </cell>
          <cell r="H160" t="str">
            <v>-</v>
          </cell>
          <cell r="I160" t="str">
            <v>-</v>
          </cell>
          <cell r="J160">
            <v>65816.601416516991</v>
          </cell>
          <cell r="K160" t="str">
            <v>Mid Cap</v>
          </cell>
        </row>
        <row r="161">
          <cell r="C161" t="str">
            <v>INE406A01037</v>
          </cell>
          <cell r="D161" t="str">
            <v>AUROPHARMA</v>
          </cell>
          <cell r="E161">
            <v>65677.439339459001</v>
          </cell>
          <cell r="F161" t="str">
            <v>AUROPHARMA</v>
          </cell>
          <cell r="G161">
            <v>65683.639200000005</v>
          </cell>
          <cell r="H161" t="str">
            <v>-</v>
          </cell>
          <cell r="I161" t="str">
            <v>-</v>
          </cell>
          <cell r="J161">
            <v>65680.539269729503</v>
          </cell>
          <cell r="K161" t="str">
            <v>Mid Cap</v>
          </cell>
        </row>
        <row r="162">
          <cell r="C162" t="str">
            <v>INE584A01023</v>
          </cell>
          <cell r="D162" t="str">
            <v>NMDC</v>
          </cell>
          <cell r="E162">
            <v>65186.373013837001</v>
          </cell>
          <cell r="F162" t="str">
            <v>NMDC</v>
          </cell>
          <cell r="G162">
            <v>65185.605499999998</v>
          </cell>
          <cell r="H162" t="str">
            <v>-</v>
          </cell>
          <cell r="I162" t="str">
            <v>-</v>
          </cell>
          <cell r="J162">
            <v>65185.989256918503</v>
          </cell>
          <cell r="K162" t="str">
            <v>Mid Cap</v>
          </cell>
        </row>
        <row r="163">
          <cell r="C163" t="str">
            <v>INE540L01014</v>
          </cell>
          <cell r="D163" t="str">
            <v>ALKEM</v>
          </cell>
          <cell r="E163">
            <v>64336.270619643008</v>
          </cell>
          <cell r="F163" t="str">
            <v>ALKEM</v>
          </cell>
          <cell r="G163">
            <v>64347.501199999999</v>
          </cell>
          <cell r="H163" t="str">
            <v>-</v>
          </cell>
          <cell r="I163" t="str">
            <v>-</v>
          </cell>
          <cell r="J163">
            <v>64341.885909821503</v>
          </cell>
          <cell r="K163" t="str">
            <v>Mid Cap</v>
          </cell>
        </row>
        <row r="164">
          <cell r="C164" t="str">
            <v>INE463A01038</v>
          </cell>
          <cell r="D164" t="str">
            <v>BERGEPAINT</v>
          </cell>
          <cell r="E164">
            <v>64186.037857156007</v>
          </cell>
          <cell r="F164" t="str">
            <v>BERGEPAINT</v>
          </cell>
          <cell r="G164">
            <v>64192.792399999998</v>
          </cell>
          <cell r="H164" t="str">
            <v>-</v>
          </cell>
          <cell r="I164" t="str">
            <v>-</v>
          </cell>
          <cell r="J164">
            <v>64189.415128578003</v>
          </cell>
          <cell r="K164" t="str">
            <v>Mid Cap</v>
          </cell>
        </row>
        <row r="165">
          <cell r="C165" t="str">
            <v>INE883A01011</v>
          </cell>
          <cell r="D165" t="str">
            <v>MRF</v>
          </cell>
          <cell r="E165">
            <v>64072.743391401003</v>
          </cell>
          <cell r="F165" t="str">
            <v>MRF</v>
          </cell>
          <cell r="G165">
            <v>64074.431100000002</v>
          </cell>
          <cell r="H165" t="str">
            <v>-</v>
          </cell>
          <cell r="I165" t="str">
            <v>-</v>
          </cell>
          <cell r="J165">
            <v>64073.587245700503</v>
          </cell>
          <cell r="K165" t="str">
            <v>Mid Cap</v>
          </cell>
        </row>
        <row r="166">
          <cell r="C166" t="str">
            <v>INE619A01035</v>
          </cell>
          <cell r="D166" t="str">
            <v>PATANJALI</v>
          </cell>
          <cell r="E166">
            <v>63746.914120854002</v>
          </cell>
          <cell r="F166" t="str">
            <v>PATANJALI</v>
          </cell>
          <cell r="G166">
            <v>63679.351499999997</v>
          </cell>
          <cell r="H166" t="str">
            <v>-</v>
          </cell>
          <cell r="I166" t="str">
            <v>-</v>
          </cell>
          <cell r="J166">
            <v>63713.132810427</v>
          </cell>
          <cell r="K166" t="str">
            <v>Mid Cap</v>
          </cell>
        </row>
        <row r="167">
          <cell r="C167" t="str">
            <v>INE484J01027</v>
          </cell>
          <cell r="D167" t="str">
            <v>GODREJPROP</v>
          </cell>
          <cell r="E167">
            <v>63667.840607639002</v>
          </cell>
          <cell r="F167" t="str">
            <v>GODREJPROP</v>
          </cell>
          <cell r="G167">
            <v>63668.980499999998</v>
          </cell>
          <cell r="H167" t="str">
            <v>-</v>
          </cell>
          <cell r="I167" t="str">
            <v>-</v>
          </cell>
          <cell r="J167">
            <v>63668.4105538195</v>
          </cell>
          <cell r="K167" t="str">
            <v>Mid Cap</v>
          </cell>
        </row>
        <row r="168">
          <cell r="C168" t="str">
            <v>INE756I01012</v>
          </cell>
          <cell r="D168" t="str">
            <v>HDBFS</v>
          </cell>
          <cell r="E168">
            <v>63476.755872946997</v>
          </cell>
          <cell r="F168" t="str">
            <v>HDBFS</v>
          </cell>
          <cell r="G168">
            <v>63482.334199999998</v>
          </cell>
          <cell r="H168" t="str">
            <v>-</v>
          </cell>
          <cell r="I168" t="str">
            <v>-</v>
          </cell>
          <cell r="J168">
            <v>63479.545036473501</v>
          </cell>
          <cell r="K168" t="str">
            <v>Mid Cap</v>
          </cell>
        </row>
        <row r="169">
          <cell r="C169" t="str">
            <v>INE498L01015</v>
          </cell>
          <cell r="D169" t="str">
            <v>LTF</v>
          </cell>
          <cell r="E169">
            <v>63084.069992706005</v>
          </cell>
          <cell r="F169" t="str">
            <v>LTF</v>
          </cell>
          <cell r="G169">
            <v>63048.516100000001</v>
          </cell>
          <cell r="H169" t="str">
            <v>-</v>
          </cell>
          <cell r="I169" t="str">
            <v>-</v>
          </cell>
          <cell r="J169">
            <v>63066.293046353007</v>
          </cell>
          <cell r="K169" t="str">
            <v>Mid Cap</v>
          </cell>
        </row>
        <row r="170">
          <cell r="C170" t="str">
            <v>INE880J01026</v>
          </cell>
          <cell r="D170" t="str">
            <v>JSWINFRA</v>
          </cell>
          <cell r="E170">
            <v>62718.713466738001</v>
          </cell>
          <cell r="F170" t="str">
            <v>JSWINFRA</v>
          </cell>
          <cell r="G170">
            <v>62722.963499999998</v>
          </cell>
          <cell r="H170" t="str">
            <v>-</v>
          </cell>
          <cell r="I170" t="str">
            <v>-</v>
          </cell>
          <cell r="J170">
            <v>62720.838483369</v>
          </cell>
          <cell r="K170" t="str">
            <v>Mid Cap</v>
          </cell>
        </row>
        <row r="171">
          <cell r="C171" t="str">
            <v>INE513A01022</v>
          </cell>
          <cell r="D171" t="str">
            <v>SCHAEFFLER</v>
          </cell>
          <cell r="E171">
            <v>62598.422747368997</v>
          </cell>
          <cell r="F171" t="str">
            <v>SCHAEFFLER</v>
          </cell>
          <cell r="G171">
            <v>62603.85</v>
          </cell>
          <cell r="H171" t="str">
            <v>-</v>
          </cell>
          <cell r="I171" t="str">
            <v>-</v>
          </cell>
          <cell r="J171">
            <v>62601.136373684494</v>
          </cell>
          <cell r="K171" t="str">
            <v>Mid Cap</v>
          </cell>
        </row>
        <row r="172">
          <cell r="C172" t="str">
            <v>INE095A01012</v>
          </cell>
          <cell r="D172" t="str">
            <v>INDUSINDBK</v>
          </cell>
          <cell r="E172">
            <v>62528.051982972</v>
          </cell>
          <cell r="F172" t="str">
            <v>INDUSINDBK</v>
          </cell>
          <cell r="G172">
            <v>62528.799200000001</v>
          </cell>
          <cell r="H172" t="str">
            <v>-</v>
          </cell>
          <cell r="I172" t="str">
            <v>-</v>
          </cell>
          <cell r="J172">
            <v>62528.425591485997</v>
          </cell>
          <cell r="K172" t="str">
            <v>Mid Cap</v>
          </cell>
        </row>
        <row r="173">
          <cell r="C173" t="str">
            <v>INE220G01021</v>
          </cell>
          <cell r="D173" t="str">
            <v>JSL</v>
          </cell>
          <cell r="E173">
            <v>61867.588734394994</v>
          </cell>
          <cell r="F173" t="str">
            <v>JSL</v>
          </cell>
          <cell r="G173">
            <v>61849.282399999996</v>
          </cell>
          <cell r="H173" t="str">
            <v>-</v>
          </cell>
          <cell r="I173" t="str">
            <v>-</v>
          </cell>
          <cell r="J173">
            <v>61858.435567197492</v>
          </cell>
          <cell r="K173" t="str">
            <v>Mid Cap</v>
          </cell>
        </row>
        <row r="174">
          <cell r="C174" t="str">
            <v>INE949L01017</v>
          </cell>
          <cell r="D174" t="str">
            <v>AUBANK</v>
          </cell>
          <cell r="E174">
            <v>61420.120411371994</v>
          </cell>
          <cell r="F174" t="str">
            <v>AUBANK</v>
          </cell>
          <cell r="G174">
            <v>61378.710200000001</v>
          </cell>
          <cell r="H174" t="str">
            <v>-</v>
          </cell>
          <cell r="I174" t="str">
            <v>-</v>
          </cell>
          <cell r="J174">
            <v>61399.415305685994</v>
          </cell>
          <cell r="K174" t="str">
            <v>Mid Cap</v>
          </cell>
        </row>
        <row r="175">
          <cell r="C175" t="str">
            <v>INE259A01022</v>
          </cell>
          <cell r="D175" t="str">
            <v>COLPAL</v>
          </cell>
          <cell r="E175">
            <v>61273.117902972997</v>
          </cell>
          <cell r="F175" t="str">
            <v>COLPAL</v>
          </cell>
          <cell r="G175">
            <v>61274.564200000001</v>
          </cell>
          <cell r="H175" t="str">
            <v>-</v>
          </cell>
          <cell r="I175" t="str">
            <v>-</v>
          </cell>
          <cell r="J175">
            <v>61273.841051486495</v>
          </cell>
          <cell r="K175" t="str">
            <v>Mid Cap</v>
          </cell>
        </row>
        <row r="176">
          <cell r="C176" t="str">
            <v>INE093I01010</v>
          </cell>
          <cell r="D176" t="str">
            <v>OBEROIRLTY</v>
          </cell>
          <cell r="E176">
            <v>61134.680549141005</v>
          </cell>
          <cell r="F176" t="str">
            <v>OBEROIRLTY</v>
          </cell>
          <cell r="G176">
            <v>61138.388700000003</v>
          </cell>
          <cell r="H176" t="str">
            <v>-</v>
          </cell>
          <cell r="I176" t="str">
            <v>-</v>
          </cell>
          <cell r="J176">
            <v>61136.5346245705</v>
          </cell>
          <cell r="K176" t="str">
            <v>Mid Cap</v>
          </cell>
        </row>
        <row r="177">
          <cell r="C177" t="str">
            <v>INE465A01025</v>
          </cell>
          <cell r="D177" t="str">
            <v>BHARATFORG</v>
          </cell>
          <cell r="E177">
            <v>61062.144091029004</v>
          </cell>
          <cell r="F177" t="str">
            <v>BHARATFORG</v>
          </cell>
          <cell r="G177">
            <v>61069.827700000002</v>
          </cell>
          <cell r="H177" t="str">
            <v>-</v>
          </cell>
          <cell r="I177" t="str">
            <v>-</v>
          </cell>
          <cell r="J177">
            <v>61065.985895514503</v>
          </cell>
          <cell r="K177" t="str">
            <v>Mid Cap</v>
          </cell>
        </row>
        <row r="178">
          <cell r="C178" t="str">
            <v>INE188A01015</v>
          </cell>
          <cell r="D178" t="str">
            <v>FACT</v>
          </cell>
          <cell r="E178">
            <v>59603.699657126999</v>
          </cell>
          <cell r="F178" t="str">
            <v>FACT</v>
          </cell>
          <cell r="G178">
            <v>59608.270199999999</v>
          </cell>
          <cell r="H178" t="str">
            <v>-</v>
          </cell>
          <cell r="I178" t="str">
            <v>-</v>
          </cell>
          <cell r="J178">
            <v>59605.984928563499</v>
          </cell>
          <cell r="K178" t="str">
            <v>Mid Cap</v>
          </cell>
        </row>
        <row r="179">
          <cell r="C179" t="str">
            <v>INE591G01025</v>
          </cell>
          <cell r="D179" t="str">
            <v>COFORGE</v>
          </cell>
          <cell r="E179">
            <v>59323.615356383998</v>
          </cell>
          <cell r="F179" t="str">
            <v>COFORGE</v>
          </cell>
          <cell r="G179">
            <v>59303.368900000001</v>
          </cell>
          <cell r="H179" t="str">
            <v>-</v>
          </cell>
          <cell r="I179" t="str">
            <v>-</v>
          </cell>
          <cell r="J179">
            <v>59313.492128191996</v>
          </cell>
          <cell r="K179" t="str">
            <v>Mid Cap</v>
          </cell>
        </row>
        <row r="180">
          <cell r="C180" t="str">
            <v>INE628A01036</v>
          </cell>
          <cell r="D180" t="str">
            <v>UPL</v>
          </cell>
          <cell r="E180">
            <v>60521.709704403002</v>
          </cell>
          <cell r="F180" t="str">
            <v>UPL</v>
          </cell>
          <cell r="G180">
            <v>56883.310799999999</v>
          </cell>
          <cell r="H180" t="str">
            <v>-</v>
          </cell>
          <cell r="I180" t="str">
            <v>-</v>
          </cell>
          <cell r="J180">
            <v>58702.5102522015</v>
          </cell>
          <cell r="K180" t="str">
            <v>Mid Cap</v>
          </cell>
        </row>
        <row r="181">
          <cell r="C181" t="str">
            <v>INE211B01039</v>
          </cell>
          <cell r="D181" t="str">
            <v>PHOENIXLTD</v>
          </cell>
          <cell r="E181">
            <v>57964.351507432999</v>
          </cell>
          <cell r="F181" t="str">
            <v>PHOENIXLTD</v>
          </cell>
          <cell r="G181">
            <v>57972.697200000002</v>
          </cell>
          <cell r="H181" t="str">
            <v>-</v>
          </cell>
          <cell r="I181" t="str">
            <v>-</v>
          </cell>
          <cell r="J181">
            <v>57968.524353716501</v>
          </cell>
          <cell r="K181" t="str">
            <v>Mid Cap</v>
          </cell>
        </row>
        <row r="182">
          <cell r="C182" t="str">
            <v>INE084A01016</v>
          </cell>
          <cell r="D182" t="str">
            <v>BANKINDIA</v>
          </cell>
          <cell r="E182">
            <v>57802.622370106998</v>
          </cell>
          <cell r="F182" t="str">
            <v>BANKINDIA</v>
          </cell>
          <cell r="G182">
            <v>57811.366399999999</v>
          </cell>
          <cell r="H182" t="str">
            <v>-</v>
          </cell>
          <cell r="I182" t="str">
            <v>-</v>
          </cell>
          <cell r="J182">
            <v>57806.994385053498</v>
          </cell>
          <cell r="K182" t="str">
            <v>Mid Cap</v>
          </cell>
        </row>
        <row r="183">
          <cell r="C183" t="str">
            <v>INE974X01010</v>
          </cell>
          <cell r="D183" t="str">
            <v>TIINDIA</v>
          </cell>
          <cell r="E183">
            <v>57612.949379714002</v>
          </cell>
          <cell r="F183" t="str">
            <v>TIINDIA</v>
          </cell>
          <cell r="G183">
            <v>57620.2448</v>
          </cell>
          <cell r="H183" t="str">
            <v>-</v>
          </cell>
          <cell r="I183" t="str">
            <v>-</v>
          </cell>
          <cell r="J183">
            <v>57616.597089857001</v>
          </cell>
          <cell r="K183" t="str">
            <v>Mid Cap</v>
          </cell>
        </row>
        <row r="184">
          <cell r="C184" t="str">
            <v>INE335Y01020</v>
          </cell>
          <cell r="D184" t="str">
            <v>IRCTC</v>
          </cell>
          <cell r="E184">
            <v>57368.634920634999</v>
          </cell>
          <cell r="F184" t="str">
            <v>IRCTC</v>
          </cell>
          <cell r="G184">
            <v>57370.952400000002</v>
          </cell>
          <cell r="H184" t="str">
            <v>-</v>
          </cell>
          <cell r="I184" t="str">
            <v>-</v>
          </cell>
          <cell r="J184">
            <v>57369.793660317504</v>
          </cell>
          <cell r="K184" t="str">
            <v>Mid Cap</v>
          </cell>
        </row>
        <row r="185">
          <cell r="C185" t="str">
            <v>INE171Z01026</v>
          </cell>
          <cell r="D185" t="str">
            <v>BDL</v>
          </cell>
          <cell r="E185">
            <v>57203.125446429003</v>
          </cell>
          <cell r="F185" t="str">
            <v>BDL</v>
          </cell>
          <cell r="G185">
            <v>57206.150999999998</v>
          </cell>
          <cell r="H185" t="str">
            <v>-</v>
          </cell>
          <cell r="I185" t="str">
            <v>-</v>
          </cell>
          <cell r="J185">
            <v>57204.638223214497</v>
          </cell>
          <cell r="K185" t="str">
            <v>Mid Cap</v>
          </cell>
        </row>
        <row r="186">
          <cell r="C186" t="str">
            <v>INE092T01019</v>
          </cell>
          <cell r="D186" t="str">
            <v>IDFCFIRSTB</v>
          </cell>
          <cell r="E186">
            <v>57664.291485678004</v>
          </cell>
          <cell r="F186" t="str">
            <v>IDFCFIRSTB</v>
          </cell>
          <cell r="G186">
            <v>56605.589099999997</v>
          </cell>
          <cell r="H186" t="str">
            <v>-</v>
          </cell>
          <cell r="I186" t="str">
            <v>-</v>
          </cell>
          <cell r="J186">
            <v>57134.940292839005</v>
          </cell>
          <cell r="K186" t="str">
            <v>Mid Cap</v>
          </cell>
        </row>
        <row r="187">
          <cell r="C187" t="str">
            <v>INE603J01030</v>
          </cell>
          <cell r="D187" t="str">
            <v>PIIND</v>
          </cell>
          <cell r="E187">
            <v>55993.660582303004</v>
          </cell>
          <cell r="F187" t="str">
            <v>PIIND</v>
          </cell>
          <cell r="G187">
            <v>55996.592600000004</v>
          </cell>
          <cell r="H187" t="str">
            <v>-</v>
          </cell>
          <cell r="I187" t="str">
            <v>-</v>
          </cell>
          <cell r="J187">
            <v>55995.126591151507</v>
          </cell>
          <cell r="K187" t="str">
            <v>Mid Cap</v>
          </cell>
        </row>
        <row r="188">
          <cell r="C188" t="str">
            <v>INE338I01027</v>
          </cell>
          <cell r="D188" t="str">
            <v>MOTILALOFS</v>
          </cell>
          <cell r="E188">
            <v>55870.246460152004</v>
          </cell>
          <cell r="F188" t="str">
            <v>MOTILALOFS</v>
          </cell>
          <cell r="G188">
            <v>55855.064100000003</v>
          </cell>
          <cell r="H188" t="str">
            <v>-</v>
          </cell>
          <cell r="I188" t="str">
            <v>-</v>
          </cell>
          <cell r="J188">
            <v>55862.655280076004</v>
          </cell>
          <cell r="K188" t="str">
            <v>Mid Cap</v>
          </cell>
        </row>
        <row r="189">
          <cell r="C189" t="str">
            <v>INE935A01035</v>
          </cell>
          <cell r="D189" t="str">
            <v>GLENMARK</v>
          </cell>
          <cell r="E189">
            <v>55712.565245906007</v>
          </cell>
          <cell r="F189" t="str">
            <v>GLENMARK</v>
          </cell>
          <cell r="G189">
            <v>55719.3851</v>
          </cell>
          <cell r="H189" t="str">
            <v>-</v>
          </cell>
          <cell r="I189" t="str">
            <v>-</v>
          </cell>
          <cell r="J189">
            <v>55715.975172953003</v>
          </cell>
          <cell r="K189" t="str">
            <v>Mid Cap</v>
          </cell>
        </row>
        <row r="190">
          <cell r="C190" t="str">
            <v>INE180A01020</v>
          </cell>
          <cell r="D190" t="str">
            <v>MFSL</v>
          </cell>
          <cell r="E190">
            <v>55402.534131444998</v>
          </cell>
          <cell r="F190" t="str">
            <v>MFSL</v>
          </cell>
          <cell r="G190">
            <v>55407.217799999999</v>
          </cell>
          <cell r="H190" t="str">
            <v>-</v>
          </cell>
          <cell r="I190" t="str">
            <v>-</v>
          </cell>
          <cell r="J190">
            <v>55404.875965722502</v>
          </cell>
          <cell r="K190" t="str">
            <v>Mid Cap</v>
          </cell>
        </row>
        <row r="191">
          <cell r="C191" t="str">
            <v>INE114A01011</v>
          </cell>
          <cell r="D191" t="str">
            <v>SAIL</v>
          </cell>
          <cell r="E191">
            <v>54436.253515178003</v>
          </cell>
          <cell r="F191" t="str">
            <v>SAIL</v>
          </cell>
          <cell r="G191">
            <v>54443.863799999999</v>
          </cell>
          <cell r="H191" t="str">
            <v>-</v>
          </cell>
          <cell r="I191" t="str">
            <v>-</v>
          </cell>
          <cell r="J191">
            <v>54440.058657589005</v>
          </cell>
          <cell r="K191" t="str">
            <v>Mid Cap</v>
          </cell>
        </row>
        <row r="192">
          <cell r="C192" t="str">
            <v>INE171A01029</v>
          </cell>
          <cell r="D192" t="str">
            <v>FEDERALBNK</v>
          </cell>
          <cell r="E192">
            <v>54269.803961503996</v>
          </cell>
          <cell r="F192" t="str">
            <v>FEDERALBNK</v>
          </cell>
          <cell r="G192">
            <v>54298.671199999997</v>
          </cell>
          <cell r="H192" t="str">
            <v>-</v>
          </cell>
          <cell r="I192" t="str">
            <v>-</v>
          </cell>
          <cell r="J192">
            <v>54284.237580752</v>
          </cell>
          <cell r="K192" t="str">
            <v>Mid Cap</v>
          </cell>
        </row>
        <row r="193">
          <cell r="C193" t="str">
            <v>INE298J01013</v>
          </cell>
          <cell r="D193" t="str">
            <v>NAM-INDIA</v>
          </cell>
          <cell r="E193">
            <v>53988.835782865004</v>
          </cell>
          <cell r="F193" t="str">
            <v>NAM-INDIA</v>
          </cell>
          <cell r="G193">
            <v>53958.915399999998</v>
          </cell>
          <cell r="H193" t="str">
            <v>-</v>
          </cell>
          <cell r="I193" t="str">
            <v>-</v>
          </cell>
          <cell r="J193">
            <v>53973.875591432501</v>
          </cell>
          <cell r="K193" t="str">
            <v>Mid Cap</v>
          </cell>
        </row>
        <row r="194">
          <cell r="C194" t="str">
            <v>INE356A01018</v>
          </cell>
          <cell r="D194" t="str">
            <v>MPHASIS</v>
          </cell>
          <cell r="E194">
            <v>53515.510625810995</v>
          </cell>
          <cell r="F194" t="str">
            <v>MPHASIS</v>
          </cell>
          <cell r="G194">
            <v>53505.609799999998</v>
          </cell>
          <cell r="H194" t="str">
            <v>-</v>
          </cell>
          <cell r="I194" t="str">
            <v>-</v>
          </cell>
          <cell r="J194">
            <v>53510.560212905497</v>
          </cell>
          <cell r="K194" t="str">
            <v>Mid Cap</v>
          </cell>
        </row>
        <row r="195">
          <cell r="C195" t="str">
            <v>INE303R01014</v>
          </cell>
          <cell r="D195" t="str">
            <v>KALYANKJIL</v>
          </cell>
          <cell r="E195">
            <v>53383.729757478002</v>
          </cell>
          <cell r="F195" t="str">
            <v>KALYANKJIL</v>
          </cell>
          <cell r="G195">
            <v>53386.4519</v>
          </cell>
          <cell r="H195" t="str">
            <v>-</v>
          </cell>
          <cell r="I195" t="str">
            <v>-</v>
          </cell>
          <cell r="J195">
            <v>53385.090828739005</v>
          </cell>
          <cell r="K195" t="str">
            <v>Mid Cap</v>
          </cell>
        </row>
        <row r="196">
          <cell r="C196" t="str">
            <v>INE473A01011</v>
          </cell>
          <cell r="D196" t="str">
            <v>LINDEINDIA</v>
          </cell>
          <cell r="E196">
            <v>53245.888139465002</v>
          </cell>
          <cell r="F196" t="str">
            <v>LINDEINDIA</v>
          </cell>
          <cell r="G196">
            <v>53250.351999999999</v>
          </cell>
          <cell r="H196" t="str">
            <v>-</v>
          </cell>
          <cell r="I196" t="str">
            <v>-</v>
          </cell>
          <cell r="J196">
            <v>53248.120069732497</v>
          </cell>
          <cell r="K196" t="str">
            <v>Mid Cap</v>
          </cell>
        </row>
        <row r="197">
          <cell r="C197" t="str">
            <v>INE660A01013</v>
          </cell>
          <cell r="D197" t="str">
            <v>SUNDARMFIN</v>
          </cell>
          <cell r="E197">
            <v>52664.234865400002</v>
          </cell>
          <cell r="F197" t="str">
            <v>SUNDARMFIN</v>
          </cell>
          <cell r="G197">
            <v>52674.251799999998</v>
          </cell>
          <cell r="H197" t="str">
            <v>-</v>
          </cell>
          <cell r="I197" t="str">
            <v>-</v>
          </cell>
          <cell r="J197">
            <v>52669.243332700004</v>
          </cell>
          <cell r="K197" t="str">
            <v>Mid Cap</v>
          </cell>
        </row>
        <row r="198">
          <cell r="C198" t="str">
            <v>INE195A01028</v>
          </cell>
          <cell r="D198" t="str">
            <v>SUPREMEIND</v>
          </cell>
          <cell r="E198">
            <v>51140.483542626003</v>
          </cell>
          <cell r="F198" t="str">
            <v>SUPREMEIND</v>
          </cell>
          <cell r="G198">
            <v>51150.020600000003</v>
          </cell>
          <cell r="H198" t="str">
            <v>-</v>
          </cell>
          <cell r="I198" t="str">
            <v>-</v>
          </cell>
          <cell r="J198">
            <v>51145.252071313007</v>
          </cell>
          <cell r="K198" t="str">
            <v>Mid Cap</v>
          </cell>
        </row>
        <row r="199">
          <cell r="C199" t="str">
            <v>INE376G01013</v>
          </cell>
          <cell r="D199" t="str">
            <v>BIOCON</v>
          </cell>
          <cell r="E199">
            <v>50156.721308150001</v>
          </cell>
          <cell r="F199" t="str">
            <v>BIOCON</v>
          </cell>
          <cell r="G199">
            <v>50163.671399999999</v>
          </cell>
          <cell r="H199" t="str">
            <v>-</v>
          </cell>
          <cell r="I199" t="str">
            <v>-</v>
          </cell>
          <cell r="J199">
            <v>50160.196354075</v>
          </cell>
          <cell r="K199" t="str">
            <v>Mid Cap</v>
          </cell>
        </row>
        <row r="200">
          <cell r="C200" t="str">
            <v>INE151A01013</v>
          </cell>
          <cell r="D200" t="str">
            <v>TATACOMM</v>
          </cell>
          <cell r="E200">
            <v>49907.594047619001</v>
          </cell>
          <cell r="F200" t="str">
            <v>TATACOMM</v>
          </cell>
          <cell r="G200">
            <v>49916.6417</v>
          </cell>
          <cell r="H200" t="str">
            <v>-</v>
          </cell>
          <cell r="I200" t="str">
            <v>-</v>
          </cell>
          <cell r="J200">
            <v>49912.117873809504</v>
          </cell>
          <cell r="K200" t="str">
            <v>Mid Cap</v>
          </cell>
        </row>
        <row r="201">
          <cell r="C201" t="str">
            <v>INE947Q01028</v>
          </cell>
          <cell r="D201" t="str">
            <v>LAURUSLABS</v>
          </cell>
          <cell r="E201">
            <v>49375.177601583004</v>
          </cell>
          <cell r="F201" t="str">
            <v>LAURUSLABS</v>
          </cell>
          <cell r="G201">
            <v>49354.412799999998</v>
          </cell>
          <cell r="H201" t="str">
            <v>-</v>
          </cell>
          <cell r="I201" t="str">
            <v>-</v>
          </cell>
          <cell r="J201">
            <v>49364.795200791501</v>
          </cell>
          <cell r="K201" t="str">
            <v>Mid Cap</v>
          </cell>
        </row>
        <row r="202">
          <cell r="C202" t="str">
            <v>INE206F01022</v>
          </cell>
          <cell r="D202" t="str">
            <v>AIIL</v>
          </cell>
          <cell r="E202">
            <v>49310.595432090995</v>
          </cell>
          <cell r="F202" t="str">
            <v>AIIL</v>
          </cell>
          <cell r="G202">
            <v>49318.285600000003</v>
          </cell>
          <cell r="H202" t="str">
            <v>-</v>
          </cell>
          <cell r="I202" t="str">
            <v>-</v>
          </cell>
          <cell r="J202">
            <v>49314.440516045499</v>
          </cell>
          <cell r="K202" t="str">
            <v>Mid Cap</v>
          </cell>
        </row>
        <row r="203">
          <cell r="C203" t="str">
            <v>INE260B01028</v>
          </cell>
          <cell r="D203" t="str">
            <v>GODFRYPHLP</v>
          </cell>
          <cell r="E203">
            <v>49052.931369967999</v>
          </cell>
          <cell r="F203" t="str">
            <v>GODFRYPHLP</v>
          </cell>
          <cell r="G203">
            <v>49053.775199999996</v>
          </cell>
          <cell r="H203" t="str">
            <v>-</v>
          </cell>
          <cell r="I203" t="str">
            <v>-</v>
          </cell>
          <cell r="J203">
            <v>49053.353284983998</v>
          </cell>
          <cell r="K203" t="str">
            <v>Mid Cap</v>
          </cell>
        </row>
        <row r="204">
          <cell r="C204" t="str">
            <v>INE823G01014</v>
          </cell>
          <cell r="D204" t="str">
            <v>JKCEMENT</v>
          </cell>
          <cell r="E204">
            <v>48678.991771310997</v>
          </cell>
          <cell r="F204" t="str">
            <v>JKCEMENT</v>
          </cell>
          <cell r="G204">
            <v>48693.163999999997</v>
          </cell>
          <cell r="H204" t="str">
            <v>-</v>
          </cell>
          <cell r="I204" t="str">
            <v>-</v>
          </cell>
          <cell r="J204">
            <v>48686.077885655497</v>
          </cell>
          <cell r="K204" t="str">
            <v>Mid Cap</v>
          </cell>
        </row>
        <row r="205">
          <cell r="C205" t="str">
            <v>INE686F01025</v>
          </cell>
          <cell r="D205" t="str">
            <v>UBL</v>
          </cell>
          <cell r="E205">
            <v>48008.871793088001</v>
          </cell>
          <cell r="F205" t="str">
            <v>UBL</v>
          </cell>
          <cell r="G205">
            <v>48008.5046</v>
          </cell>
          <cell r="H205" t="str">
            <v>-</v>
          </cell>
          <cell r="I205" t="str">
            <v>-</v>
          </cell>
          <cell r="J205">
            <v>48008.688196543997</v>
          </cell>
          <cell r="K205" t="str">
            <v>Mid Cap</v>
          </cell>
        </row>
        <row r="206">
          <cell r="C206" t="str">
            <v>INE702C01027</v>
          </cell>
          <cell r="D206" t="str">
            <v>APLAPOLLO</v>
          </cell>
          <cell r="E206">
            <v>47513.112303474998</v>
          </cell>
          <cell r="F206" t="str">
            <v>APLAPOLLO</v>
          </cell>
          <cell r="G206">
            <v>47509.2094</v>
          </cell>
          <cell r="H206" t="str">
            <v>-</v>
          </cell>
          <cell r="I206" t="str">
            <v>-</v>
          </cell>
          <cell r="J206">
            <v>47511.160851737499</v>
          </cell>
          <cell r="K206" t="str">
            <v>Mid Cap</v>
          </cell>
        </row>
        <row r="207">
          <cell r="C207" t="str">
            <v>INE761H01022</v>
          </cell>
          <cell r="D207" t="str">
            <v>PAGEIND</v>
          </cell>
          <cell r="E207">
            <v>47336.257386521997</v>
          </cell>
          <cell r="F207" t="str">
            <v>PAGEIND</v>
          </cell>
          <cell r="G207">
            <v>47338.678899999999</v>
          </cell>
          <cell r="H207" t="str">
            <v>-</v>
          </cell>
          <cell r="I207" t="str">
            <v>-</v>
          </cell>
          <cell r="J207">
            <v>47337.468143260994</v>
          </cell>
          <cell r="K207" t="str">
            <v>Mid Cap</v>
          </cell>
        </row>
        <row r="208">
          <cell r="C208" t="str">
            <v>INE159A01016</v>
          </cell>
          <cell r="D208" t="str">
            <v>GLAXO</v>
          </cell>
          <cell r="E208">
            <v>46769.577531950003</v>
          </cell>
          <cell r="F208" t="str">
            <v>GLAXO</v>
          </cell>
          <cell r="G208">
            <v>46786.061000000002</v>
          </cell>
          <cell r="H208" t="str">
            <v>-</v>
          </cell>
          <cell r="I208" t="str">
            <v>-</v>
          </cell>
          <cell r="J208">
            <v>46777.819265975006</v>
          </cell>
          <cell r="K208" t="str">
            <v>Mid Cap</v>
          </cell>
        </row>
        <row r="209">
          <cell r="C209" t="str">
            <v>INE787D01026</v>
          </cell>
          <cell r="D209" t="str">
            <v>BALKRISIND</v>
          </cell>
          <cell r="E209">
            <v>46618.724207230996</v>
          </cell>
          <cell r="F209" t="str">
            <v>BALKRISIND</v>
          </cell>
          <cell r="G209">
            <v>46627.569199999998</v>
          </cell>
          <cell r="H209" t="str">
            <v>-</v>
          </cell>
          <cell r="I209" t="str">
            <v>-</v>
          </cell>
          <cell r="J209">
            <v>46623.146703615494</v>
          </cell>
          <cell r="K209" t="str">
            <v>Mid Cap</v>
          </cell>
        </row>
        <row r="210">
          <cell r="C210" t="str">
            <v>INE379A01028</v>
          </cell>
          <cell r="D210" t="str">
            <v>ITCHOTELS</v>
          </cell>
          <cell r="E210">
            <v>46322.212951797999</v>
          </cell>
          <cell r="F210" t="str">
            <v>ITCHOTELS</v>
          </cell>
          <cell r="G210">
            <v>46313.6613</v>
          </cell>
          <cell r="H210" t="str">
            <v>-</v>
          </cell>
          <cell r="I210" t="str">
            <v>-</v>
          </cell>
          <cell r="J210">
            <v>46317.937125899</v>
          </cell>
          <cell r="K210" t="str">
            <v>Mid Cap</v>
          </cell>
        </row>
        <row r="211">
          <cell r="C211" t="str">
            <v>INE704P01025</v>
          </cell>
          <cell r="D211" t="str">
            <v>COCHINSHIP</v>
          </cell>
          <cell r="E211">
            <v>46225.809016952</v>
          </cell>
          <cell r="F211" t="str">
            <v>COCHINSHIP</v>
          </cell>
          <cell r="G211">
            <v>46226.591999999997</v>
          </cell>
          <cell r="H211" t="str">
            <v>-</v>
          </cell>
          <cell r="I211" t="str">
            <v>-</v>
          </cell>
          <cell r="J211">
            <v>46226.200508476002</v>
          </cell>
          <cell r="K211" t="str">
            <v>Mid Cap</v>
          </cell>
        </row>
        <row r="212">
          <cell r="C212" t="str">
            <v>INE0BS701011</v>
          </cell>
          <cell r="D212" t="str">
            <v>PREMIERENE</v>
          </cell>
          <cell r="E212">
            <v>45789.409693073001</v>
          </cell>
          <cell r="F212" t="str">
            <v>PREMIERENE</v>
          </cell>
          <cell r="G212">
            <v>45678.343200000003</v>
          </cell>
          <cell r="H212" t="str">
            <v>-</v>
          </cell>
          <cell r="I212" t="str">
            <v>-</v>
          </cell>
          <cell r="J212">
            <v>45733.876446536502</v>
          </cell>
          <cell r="K212" t="str">
            <v>Mid Cap</v>
          </cell>
        </row>
        <row r="213">
          <cell r="C213" t="str">
            <v>INE093A01041</v>
          </cell>
          <cell r="D213" t="str">
            <v xml:space="preserve">HEXT </v>
          </cell>
          <cell r="E213">
            <v>45651.851133579999</v>
          </cell>
          <cell r="F213" t="str">
            <v>HEXT</v>
          </cell>
          <cell r="G213">
            <v>45634.261899999998</v>
          </cell>
          <cell r="H213" t="str">
            <v>-</v>
          </cell>
          <cell r="I213" t="str">
            <v>-</v>
          </cell>
          <cell r="J213">
            <v>45643.056516789999</v>
          </cell>
          <cell r="K213" t="str">
            <v>Mid Cap</v>
          </cell>
        </row>
        <row r="214">
          <cell r="C214" t="str">
            <v>INE010V01017</v>
          </cell>
          <cell r="D214" t="str">
            <v>LTTS</v>
          </cell>
          <cell r="E214">
            <v>45463.285556815994</v>
          </cell>
          <cell r="F214" t="str">
            <v>LTTS</v>
          </cell>
          <cell r="G214">
            <v>45466.6849</v>
          </cell>
          <cell r="H214" t="str">
            <v>-</v>
          </cell>
          <cell r="I214" t="str">
            <v>-</v>
          </cell>
          <cell r="J214">
            <v>45464.985228407997</v>
          </cell>
          <cell r="K214" t="str">
            <v>Mid Cap</v>
          </cell>
        </row>
        <row r="215">
          <cell r="C215" t="str">
            <v>INE226A01021</v>
          </cell>
          <cell r="D215" t="str">
            <v>VOLTAS</v>
          </cell>
          <cell r="E215">
            <v>45322.254483465003</v>
          </cell>
          <cell r="F215" t="str">
            <v>VOLTAS</v>
          </cell>
          <cell r="G215">
            <v>45331.918400000002</v>
          </cell>
          <cell r="H215" t="str">
            <v>-</v>
          </cell>
          <cell r="I215" t="str">
            <v>-</v>
          </cell>
          <cell r="J215">
            <v>45327.086441732507</v>
          </cell>
          <cell r="K215" t="str">
            <v>Mid Cap</v>
          </cell>
        </row>
        <row r="216">
          <cell r="C216" t="str">
            <v>INE745G01043</v>
          </cell>
          <cell r="D216" t="str">
            <v>MCX</v>
          </cell>
          <cell r="E216">
            <v>45092.606088940003</v>
          </cell>
          <cell r="F216" t="str">
            <v>-</v>
          </cell>
          <cell r="G216" t="str">
            <v>-</v>
          </cell>
          <cell r="H216" t="str">
            <v>-</v>
          </cell>
          <cell r="I216" t="str">
            <v>-</v>
          </cell>
          <cell r="J216">
            <v>45092.606088940003</v>
          </cell>
          <cell r="K216" t="str">
            <v>Mid Cap</v>
          </cell>
        </row>
        <row r="217">
          <cell r="C217" t="str">
            <v>INE031A01017</v>
          </cell>
          <cell r="D217" t="str">
            <v>HUDCO</v>
          </cell>
          <cell r="E217">
            <v>44791.797535714002</v>
          </cell>
          <cell r="F217" t="str">
            <v>HUDCO</v>
          </cell>
          <cell r="G217">
            <v>44793.7359</v>
          </cell>
          <cell r="H217" t="str">
            <v>-</v>
          </cell>
          <cell r="I217" t="str">
            <v>-</v>
          </cell>
          <cell r="J217">
            <v>44792.766717856997</v>
          </cell>
          <cell r="K217" t="str">
            <v>Mid Cap</v>
          </cell>
        </row>
        <row r="218">
          <cell r="C218" t="str">
            <v>INE466L01038</v>
          </cell>
          <cell r="D218" t="str">
            <v>360ONE</v>
          </cell>
          <cell r="E218">
            <v>44932.243211326</v>
          </cell>
          <cell r="F218" t="str">
            <v>360ONE</v>
          </cell>
          <cell r="G218">
            <v>44381.130899999996</v>
          </cell>
          <cell r="H218" t="str">
            <v>-</v>
          </cell>
          <cell r="I218" t="str">
            <v>-</v>
          </cell>
          <cell r="J218">
            <v>44656.687055663002</v>
          </cell>
          <cell r="K218" t="str">
            <v>Mid Cap</v>
          </cell>
        </row>
        <row r="219">
          <cell r="C219" t="str">
            <v>INE457A01014</v>
          </cell>
          <cell r="D219" t="str">
            <v>MAHABANK</v>
          </cell>
          <cell r="E219">
            <v>43642.981579864005</v>
          </cell>
          <cell r="F219" t="str">
            <v>MAHABANK</v>
          </cell>
          <cell r="G219">
            <v>43640.661899999999</v>
          </cell>
          <cell r="H219" t="str">
            <v>-</v>
          </cell>
          <cell r="I219" t="str">
            <v>-</v>
          </cell>
          <cell r="J219">
            <v>43641.821739931998</v>
          </cell>
          <cell r="K219" t="str">
            <v>Mid Cap</v>
          </cell>
        </row>
        <row r="220">
          <cell r="C220" t="str">
            <v>INE179A01014</v>
          </cell>
          <cell r="D220" t="str">
            <v>PGHH</v>
          </cell>
          <cell r="E220">
            <v>43172.861319964002</v>
          </cell>
          <cell r="F220" t="str">
            <v>PGHH</v>
          </cell>
          <cell r="G220">
            <v>43182.001900000003</v>
          </cell>
          <cell r="H220" t="str">
            <v>-</v>
          </cell>
          <cell r="I220" t="str">
            <v>-</v>
          </cell>
          <cell r="J220">
            <v>43177.431609981999</v>
          </cell>
          <cell r="K220" t="str">
            <v>Mid Cap</v>
          </cell>
        </row>
        <row r="221">
          <cell r="C221" t="str">
            <v>INE347G01014</v>
          </cell>
          <cell r="D221" t="str">
            <v>PETRONET</v>
          </cell>
          <cell r="E221">
            <v>42178.038188729995</v>
          </cell>
          <cell r="F221" t="str">
            <v>PETRONET</v>
          </cell>
          <cell r="G221">
            <v>42177.026299999998</v>
          </cell>
          <cell r="H221" t="str">
            <v>-</v>
          </cell>
          <cell r="I221" t="str">
            <v>-</v>
          </cell>
          <cell r="J221">
            <v>42177.532244364993</v>
          </cell>
          <cell r="K221" t="str">
            <v>Mid Cap</v>
          </cell>
        </row>
        <row r="222">
          <cell r="C222" t="str">
            <v>INE202E01016</v>
          </cell>
          <cell r="D222" t="str">
            <v>IREDA</v>
          </cell>
          <cell r="E222">
            <v>41747.740623398997</v>
          </cell>
          <cell r="F222" t="str">
            <v>IREDA</v>
          </cell>
          <cell r="G222">
            <v>41748.521000000001</v>
          </cell>
          <cell r="H222" t="str">
            <v>-</v>
          </cell>
          <cell r="I222" t="str">
            <v>-</v>
          </cell>
          <cell r="J222">
            <v>41748.130811699499</v>
          </cell>
          <cell r="K222" t="str">
            <v>Mid Cap</v>
          </cell>
        </row>
        <row r="223">
          <cell r="C223" t="str">
            <v>INE0CZ201020</v>
          </cell>
          <cell r="D223" t="str">
            <v>ANTHEM</v>
          </cell>
          <cell r="E223">
            <v>41542.897197525002</v>
          </cell>
          <cell r="F223" t="str">
            <v>ANTHEM</v>
          </cell>
          <cell r="G223">
            <v>41550.970300000001</v>
          </cell>
          <cell r="H223" t="str">
            <v>-</v>
          </cell>
          <cell r="I223" t="str">
            <v>-</v>
          </cell>
          <cell r="J223">
            <v>41546.933748762502</v>
          </cell>
          <cell r="K223" t="str">
            <v>Mid Cap</v>
          </cell>
        </row>
        <row r="224">
          <cell r="C224" t="str">
            <v>INE111A01025</v>
          </cell>
          <cell r="D224" t="str">
            <v>CONCOR</v>
          </cell>
          <cell r="E224">
            <v>41501.969666871002</v>
          </cell>
          <cell r="F224" t="str">
            <v>CONCOR</v>
          </cell>
          <cell r="G224">
            <v>41502.7978</v>
          </cell>
          <cell r="H224" t="str">
            <v>-</v>
          </cell>
          <cell r="I224" t="str">
            <v>-</v>
          </cell>
          <cell r="J224">
            <v>41502.383733435505</v>
          </cell>
          <cell r="K224" t="str">
            <v>Mid Cap</v>
          </cell>
        </row>
        <row r="225">
          <cell r="C225" t="str">
            <v>INE774D01024</v>
          </cell>
          <cell r="D225" t="str">
            <v>M&amp;MFIN</v>
          </cell>
          <cell r="E225">
            <v>41376.187135642998</v>
          </cell>
          <cell r="F225" t="str">
            <v>M&amp;MFIN</v>
          </cell>
          <cell r="G225">
            <v>41378.338300000003</v>
          </cell>
          <cell r="H225" t="str">
            <v>-</v>
          </cell>
          <cell r="I225" t="str">
            <v>-</v>
          </cell>
          <cell r="J225">
            <v>41377.262717821504</v>
          </cell>
          <cell r="K225" t="str">
            <v>Mid Cap</v>
          </cell>
        </row>
        <row r="226">
          <cell r="C226" t="str">
            <v>INE139A01034</v>
          </cell>
          <cell r="D226" t="str">
            <v>NATIONALUM</v>
          </cell>
          <cell r="E226">
            <v>41313.793050931003</v>
          </cell>
          <cell r="F226" t="str">
            <v>NATIONALUM</v>
          </cell>
          <cell r="G226">
            <v>41318.821900000003</v>
          </cell>
          <cell r="H226" t="str">
            <v>-</v>
          </cell>
          <cell r="I226" t="str">
            <v>-</v>
          </cell>
          <cell r="J226">
            <v>41316.307475465503</v>
          </cell>
          <cell r="K226" t="str">
            <v>Mid Cap</v>
          </cell>
        </row>
        <row r="227">
          <cell r="C227" t="str">
            <v>INE00R701025</v>
          </cell>
          <cell r="D227" t="str">
            <v>DALBHARAT</v>
          </cell>
          <cell r="E227">
            <v>41112.526728580997</v>
          </cell>
          <cell r="F227" t="str">
            <v>DALBHARAT</v>
          </cell>
          <cell r="G227">
            <v>41110.636200000001</v>
          </cell>
          <cell r="H227" t="str">
            <v>-</v>
          </cell>
          <cell r="I227" t="str">
            <v>-</v>
          </cell>
          <cell r="J227">
            <v>41111.581464290502</v>
          </cell>
          <cell r="K227" t="str">
            <v>Mid Cap</v>
          </cell>
        </row>
        <row r="228">
          <cell r="C228" t="str">
            <v>INE797F01020</v>
          </cell>
          <cell r="D228" t="str">
            <v>JUBLFOOD</v>
          </cell>
          <cell r="E228">
            <v>40943.761240667001</v>
          </cell>
          <cell r="F228" t="str">
            <v>JUBLFOOD</v>
          </cell>
          <cell r="G228">
            <v>40946.0916</v>
          </cell>
          <cell r="H228" t="str">
            <v>-</v>
          </cell>
          <cell r="I228" t="str">
            <v>-</v>
          </cell>
          <cell r="J228">
            <v>40944.926420333504</v>
          </cell>
          <cell r="K228" t="str">
            <v>Mid Cap</v>
          </cell>
        </row>
        <row r="229">
          <cell r="C229" t="str">
            <v>INE918Z01012</v>
          </cell>
          <cell r="D229" t="str">
            <v>KAYNES</v>
          </cell>
          <cell r="E229">
            <v>40788.863089787999</v>
          </cell>
          <cell r="F229" t="str">
            <v>KAYNES</v>
          </cell>
          <cell r="G229">
            <v>39866.085400000004</v>
          </cell>
          <cell r="H229" t="str">
            <v>-</v>
          </cell>
          <cell r="I229" t="str">
            <v>-</v>
          </cell>
          <cell r="J229">
            <v>40327.474244894001</v>
          </cell>
          <cell r="K229" t="str">
            <v>Mid Cap</v>
          </cell>
        </row>
        <row r="230">
          <cell r="C230" t="str">
            <v>INE042A01014</v>
          </cell>
          <cell r="D230" t="str">
            <v>ESCORTS</v>
          </cell>
          <cell r="E230">
            <v>40130.679108009004</v>
          </cell>
          <cell r="F230" t="str">
            <v>ESCORTS</v>
          </cell>
          <cell r="G230">
            <v>40134.199699999997</v>
          </cell>
          <cell r="H230" t="str">
            <v>-</v>
          </cell>
          <cell r="I230" t="str">
            <v>-</v>
          </cell>
          <cell r="J230">
            <v>40132.439404004501</v>
          </cell>
          <cell r="K230" t="str">
            <v>Mid Cap</v>
          </cell>
        </row>
        <row r="231">
          <cell r="C231" t="str">
            <v>INE944F01028</v>
          </cell>
          <cell r="D231" t="str">
            <v>RADICO</v>
          </cell>
          <cell r="E231">
            <v>40110.831329845001</v>
          </cell>
          <cell r="F231" t="str">
            <v>RADICO</v>
          </cell>
          <cell r="G231">
            <v>40108.025399999999</v>
          </cell>
          <cell r="H231" t="str">
            <v>-</v>
          </cell>
          <cell r="I231" t="str">
            <v>-</v>
          </cell>
          <cell r="J231">
            <v>40109.428364922496</v>
          </cell>
          <cell r="K231" t="str">
            <v>Mid Cap</v>
          </cell>
        </row>
        <row r="232">
          <cell r="C232" t="str">
            <v>INE09N301011</v>
          </cell>
          <cell r="D232" t="str">
            <v>FLUOROCHEM</v>
          </cell>
          <cell r="E232">
            <v>39087.820880952</v>
          </cell>
          <cell r="F232" t="str">
            <v>FLUOROCHEM</v>
          </cell>
          <cell r="G232">
            <v>39103.679400000001</v>
          </cell>
          <cell r="H232" t="str">
            <v>-</v>
          </cell>
          <cell r="I232" t="str">
            <v>-</v>
          </cell>
          <cell r="J232">
            <v>39095.750140475997</v>
          </cell>
          <cell r="K232" t="str">
            <v>Mid Cap</v>
          </cell>
        </row>
        <row r="233">
          <cell r="C233" t="str">
            <v>INE913H01037</v>
          </cell>
          <cell r="D233" t="str">
            <v>ENDURANCE</v>
          </cell>
          <cell r="E233">
            <v>38667.474527946993</v>
          </cell>
          <cell r="F233" t="str">
            <v>ENDURANCE</v>
          </cell>
          <cell r="G233">
            <v>38671.912100000001</v>
          </cell>
          <cell r="H233" t="str">
            <v>-</v>
          </cell>
          <cell r="I233" t="str">
            <v>-</v>
          </cell>
          <cell r="J233">
            <v>38669.693313973497</v>
          </cell>
          <cell r="K233" t="str">
            <v>Mid Cap</v>
          </cell>
        </row>
        <row r="234">
          <cell r="C234" t="str">
            <v>INE878B01027</v>
          </cell>
          <cell r="D234" t="str">
            <v>KEI</v>
          </cell>
          <cell r="E234">
            <v>38632.909545440001</v>
          </cell>
          <cell r="F234" t="str">
            <v>KEI</v>
          </cell>
          <cell r="G234">
            <v>38633.183700000001</v>
          </cell>
          <cell r="H234" t="str">
            <v>-</v>
          </cell>
          <cell r="I234" t="str">
            <v>-</v>
          </cell>
          <cell r="J234">
            <v>38633.046622720001</v>
          </cell>
          <cell r="K234" t="str">
            <v>Mid Cap</v>
          </cell>
        </row>
        <row r="235">
          <cell r="C235" t="str">
            <v>INE006I01046</v>
          </cell>
          <cell r="D235" t="str">
            <v>ASTRAL</v>
          </cell>
          <cell r="E235">
            <v>38626.777117391997</v>
          </cell>
          <cell r="F235" t="str">
            <v>ASTRAL</v>
          </cell>
          <cell r="G235">
            <v>38629.754699999998</v>
          </cell>
          <cell r="H235" t="str">
            <v>-</v>
          </cell>
          <cell r="I235" t="str">
            <v>-</v>
          </cell>
          <cell r="J235">
            <v>38628.265908695997</v>
          </cell>
          <cell r="K235" t="str">
            <v>Mid Cap</v>
          </cell>
        </row>
        <row r="236">
          <cell r="C236" t="str">
            <v>INE152A01029</v>
          </cell>
          <cell r="D236" t="str">
            <v>THERMAX</v>
          </cell>
          <cell r="E236">
            <v>38582.739013630999</v>
          </cell>
          <cell r="F236" t="str">
            <v>THERMAX</v>
          </cell>
          <cell r="G236">
            <v>38587.349199999997</v>
          </cell>
          <cell r="H236" t="str">
            <v>-</v>
          </cell>
          <cell r="I236" t="str">
            <v>-</v>
          </cell>
          <cell r="J236">
            <v>38585.044106815498</v>
          </cell>
          <cell r="K236" t="str">
            <v>Mid Cap</v>
          </cell>
        </row>
        <row r="237">
          <cell r="C237" t="str">
            <v>INE0LP301011</v>
          </cell>
          <cell r="D237" t="str">
            <v>PWL</v>
          </cell>
          <cell r="E237">
            <v>38490.999809273999</v>
          </cell>
          <cell r="F237" t="str">
            <v>PWL</v>
          </cell>
          <cell r="G237">
            <v>38478.546300000002</v>
          </cell>
          <cell r="H237" t="str">
            <v>-</v>
          </cell>
          <cell r="I237" t="str">
            <v>-</v>
          </cell>
          <cell r="J237">
            <v>38484.773054637</v>
          </cell>
          <cell r="K237" t="str">
            <v>Mid Cap</v>
          </cell>
        </row>
        <row r="238">
          <cell r="C238" t="str">
            <v>INE691A01018</v>
          </cell>
          <cell r="D238" t="str">
            <v>UCOBANK</v>
          </cell>
          <cell r="E238">
            <v>38062.836077660999</v>
          </cell>
          <cell r="F238" t="str">
            <v>UCOBANK</v>
          </cell>
          <cell r="G238">
            <v>38057.462</v>
          </cell>
          <cell r="H238" t="str">
            <v>-</v>
          </cell>
          <cell r="I238" t="str">
            <v>-</v>
          </cell>
          <cell r="J238">
            <v>38060.149038830496</v>
          </cell>
          <cell r="K238" t="str">
            <v>Mid Cap</v>
          </cell>
        </row>
        <row r="239">
          <cell r="C239" t="str">
            <v>INE472A01039</v>
          </cell>
          <cell r="D239" t="str">
            <v>BLUESTARCO</v>
          </cell>
          <cell r="E239">
            <v>37851.406021360999</v>
          </cell>
          <cell r="F239" t="str">
            <v>BLUESTARCO</v>
          </cell>
          <cell r="G239">
            <v>37850.9899</v>
          </cell>
          <cell r="H239" t="str">
            <v>-</v>
          </cell>
          <cell r="I239" t="str">
            <v>-</v>
          </cell>
          <cell r="J239">
            <v>37851.197960680496</v>
          </cell>
          <cell r="K239" t="str">
            <v>Mid Cap</v>
          </cell>
        </row>
        <row r="240">
          <cell r="C240" t="str">
            <v>INE410P01011</v>
          </cell>
          <cell r="D240" t="str">
            <v>NH</v>
          </cell>
          <cell r="E240">
            <v>37851.067461979001</v>
          </cell>
          <cell r="F240" t="str">
            <v>NH</v>
          </cell>
          <cell r="G240">
            <v>37849.064400000003</v>
          </cell>
          <cell r="H240" t="str">
            <v>-</v>
          </cell>
          <cell r="I240" t="str">
            <v>-</v>
          </cell>
          <cell r="J240">
            <v>37850.065930989498</v>
          </cell>
          <cell r="K240" t="str">
            <v>Mid Cap</v>
          </cell>
        </row>
        <row r="241">
          <cell r="C241" t="str">
            <v>INE672A01026</v>
          </cell>
          <cell r="D241" t="str">
            <v>TATAINVEST</v>
          </cell>
          <cell r="E241">
            <v>37809.031484615996</v>
          </cell>
          <cell r="F241" t="str">
            <v>TATAINVEST</v>
          </cell>
          <cell r="G241">
            <v>37805.025999999998</v>
          </cell>
          <cell r="H241" t="str">
            <v>-</v>
          </cell>
          <cell r="I241" t="str">
            <v>-</v>
          </cell>
          <cell r="J241">
            <v>37807.028742308001</v>
          </cell>
          <cell r="K241" t="str">
            <v>Mid Cap</v>
          </cell>
        </row>
        <row r="242">
          <cell r="C242" t="str">
            <v>INE233A01035</v>
          </cell>
          <cell r="D242" t="str">
            <v>GODREJIND</v>
          </cell>
          <cell r="E242">
            <v>37682.431791721996</v>
          </cell>
          <cell r="F242" t="str">
            <v>GODREJIND</v>
          </cell>
          <cell r="G242">
            <v>37680.959199999998</v>
          </cell>
          <cell r="H242" t="str">
            <v>-</v>
          </cell>
          <cell r="I242" t="str">
            <v>-</v>
          </cell>
          <cell r="J242">
            <v>37681.695495861</v>
          </cell>
          <cell r="K242" t="str">
            <v>Mid Cap</v>
          </cell>
        </row>
        <row r="243">
          <cell r="C243" t="str">
            <v>INE511C01022</v>
          </cell>
          <cell r="D243" t="str">
            <v>POONAWALLA</v>
          </cell>
          <cell r="E243">
            <v>36984.175960973</v>
          </cell>
          <cell r="F243" t="str">
            <v>POONAWALLA</v>
          </cell>
          <cell r="G243">
            <v>36348.841</v>
          </cell>
          <cell r="H243" t="str">
            <v>-</v>
          </cell>
          <cell r="I243" t="str">
            <v>-</v>
          </cell>
          <cell r="J243">
            <v>36666.508480486504</v>
          </cell>
          <cell r="K243" t="str">
            <v>Mid Cap</v>
          </cell>
        </row>
        <row r="244">
          <cell r="C244" t="str">
            <v>INE007A01025</v>
          </cell>
          <cell r="D244" t="str">
            <v>CRISIL</v>
          </cell>
          <cell r="E244">
            <v>36290.817368007003</v>
          </cell>
          <cell r="F244" t="str">
            <v>CRISIL</v>
          </cell>
          <cell r="G244">
            <v>36290.591</v>
          </cell>
          <cell r="H244" t="str">
            <v>-</v>
          </cell>
          <cell r="I244" t="str">
            <v>-</v>
          </cell>
          <cell r="J244">
            <v>36290.704184003502</v>
          </cell>
          <cell r="K244" t="str">
            <v>Mid Cap</v>
          </cell>
        </row>
        <row r="245">
          <cell r="C245" t="str">
            <v>INE930H01031</v>
          </cell>
          <cell r="D245" t="str">
            <v>KPRMILL</v>
          </cell>
          <cell r="E245">
            <v>36165.535321666997</v>
          </cell>
          <cell r="F245" t="str">
            <v>KPRMILL</v>
          </cell>
          <cell r="G245">
            <v>36176.603600000002</v>
          </cell>
          <cell r="H245" t="str">
            <v>-</v>
          </cell>
          <cell r="I245" t="str">
            <v>-</v>
          </cell>
          <cell r="J245">
            <v>36171.069460833503</v>
          </cell>
          <cell r="K245" t="str">
            <v>Mid Cap</v>
          </cell>
        </row>
        <row r="246">
          <cell r="C246" t="str">
            <v>INE149A01033</v>
          </cell>
          <cell r="D246" t="str">
            <v>CHOLAHLDNG</v>
          </cell>
          <cell r="E246">
            <v>35795.086145237001</v>
          </cell>
          <cell r="F246" t="str">
            <v>CHOLAHLDNG</v>
          </cell>
          <cell r="G246">
            <v>35810.294600000001</v>
          </cell>
          <cell r="H246" t="str">
            <v>-</v>
          </cell>
          <cell r="I246" t="str">
            <v>-</v>
          </cell>
          <cell r="J246">
            <v>35802.690372618497</v>
          </cell>
          <cell r="K246" t="str">
            <v>Mid Cap</v>
          </cell>
        </row>
        <row r="247">
          <cell r="C247" t="str">
            <v>INE470A01017</v>
          </cell>
          <cell r="D247" t="str">
            <v>3MINDIA</v>
          </cell>
          <cell r="E247">
            <v>35768.384462296002</v>
          </cell>
          <cell r="F247" t="str">
            <v>3MINDIA</v>
          </cell>
          <cell r="G247">
            <v>35782.198499999999</v>
          </cell>
          <cell r="H247" t="str">
            <v>-</v>
          </cell>
          <cell r="I247" t="str">
            <v>-</v>
          </cell>
          <cell r="J247">
            <v>35775.291481148</v>
          </cell>
          <cell r="K247" t="str">
            <v>Mid Cap</v>
          </cell>
        </row>
        <row r="248">
          <cell r="C248" t="str">
            <v>INE571A01038</v>
          </cell>
          <cell r="D248" t="str">
            <v>IPCALAB</v>
          </cell>
          <cell r="E248">
            <v>35215.538021948996</v>
          </cell>
          <cell r="F248" t="str">
            <v>IPCALAB</v>
          </cell>
          <cell r="G248">
            <v>35224.575499999999</v>
          </cell>
          <cell r="H248" t="str">
            <v>-</v>
          </cell>
          <cell r="I248" t="str">
            <v>-</v>
          </cell>
          <cell r="J248">
            <v>35220.056760974498</v>
          </cell>
          <cell r="K248" t="str">
            <v>Mid Cap</v>
          </cell>
        </row>
        <row r="249">
          <cell r="C249" t="str">
            <v>INE202B01038</v>
          </cell>
          <cell r="D249" t="str">
            <v>PIRAMALFIN</v>
          </cell>
          <cell r="E249">
            <v>35105.306964882002</v>
          </cell>
          <cell r="F249" t="str">
            <v>PIRAMALFIN</v>
          </cell>
          <cell r="G249">
            <v>35093.227400000003</v>
          </cell>
          <cell r="H249" t="str">
            <v>-</v>
          </cell>
          <cell r="I249" t="str">
            <v>-</v>
          </cell>
          <cell r="J249">
            <v>35099.267182441006</v>
          </cell>
          <cell r="K249" t="str">
            <v>Mid Cap</v>
          </cell>
        </row>
        <row r="250">
          <cell r="C250" t="str">
            <v>INE372A01015</v>
          </cell>
          <cell r="D250" t="str">
            <v>APARINDS</v>
          </cell>
          <cell r="E250">
            <v>34902.432211287</v>
          </cell>
          <cell r="F250" t="str">
            <v>APARINDS</v>
          </cell>
          <cell r="G250">
            <v>34909.421799999996</v>
          </cell>
          <cell r="H250" t="str">
            <v>-</v>
          </cell>
          <cell r="I250" t="str">
            <v>-</v>
          </cell>
          <cell r="J250">
            <v>34905.927005643498</v>
          </cell>
          <cell r="K250" t="str">
            <v>Mid Cap</v>
          </cell>
        </row>
        <row r="251">
          <cell r="C251" t="str">
            <v>INE002L01015</v>
          </cell>
          <cell r="D251" t="str">
            <v>SJVN</v>
          </cell>
          <cell r="E251">
            <v>34832.207366371003</v>
          </cell>
          <cell r="F251" t="str">
            <v>SJVN</v>
          </cell>
          <cell r="G251">
            <v>34833.080699999999</v>
          </cell>
          <cell r="H251" t="str">
            <v>-</v>
          </cell>
          <cell r="I251" t="str">
            <v>-</v>
          </cell>
          <cell r="J251">
            <v>34832.644033185497</v>
          </cell>
          <cell r="K251" t="str">
            <v>Mid Cap</v>
          </cell>
        </row>
        <row r="252">
          <cell r="C252" t="str">
            <v>INE474Q01031</v>
          </cell>
          <cell r="D252" t="str">
            <v>MEDANTA</v>
          </cell>
          <cell r="E252">
            <v>34761.458363464</v>
          </cell>
          <cell r="F252" t="str">
            <v>MEDANTA</v>
          </cell>
          <cell r="G252">
            <v>34755.299700000003</v>
          </cell>
          <cell r="H252" t="str">
            <v>-</v>
          </cell>
          <cell r="I252" t="str">
            <v>-</v>
          </cell>
          <cell r="J252">
            <v>34758.379031732002</v>
          </cell>
          <cell r="K252" t="str">
            <v>Mid Cap</v>
          </cell>
        </row>
        <row r="253">
          <cell r="C253" t="str">
            <v>INE012A01025</v>
          </cell>
          <cell r="D253" t="str">
            <v>ACC</v>
          </cell>
          <cell r="E253">
            <v>34699.881895928003</v>
          </cell>
          <cell r="F253" t="str">
            <v>ACC</v>
          </cell>
          <cell r="G253">
            <v>34698.495799999997</v>
          </cell>
          <cell r="H253" t="str">
            <v>-</v>
          </cell>
          <cell r="I253" t="str">
            <v>-</v>
          </cell>
          <cell r="J253">
            <v>34699.188847964004</v>
          </cell>
          <cell r="K253" t="str">
            <v>Small Cap</v>
          </cell>
        </row>
        <row r="254">
          <cell r="C254" t="str">
            <v>INE670A01012</v>
          </cell>
          <cell r="D254" t="str">
            <v>TATAELXSI</v>
          </cell>
          <cell r="E254">
            <v>34603.202569816996</v>
          </cell>
          <cell r="F254" t="str">
            <v>TATAELXSI</v>
          </cell>
          <cell r="G254">
            <v>34604.082300000002</v>
          </cell>
          <cell r="H254" t="str">
            <v>-</v>
          </cell>
          <cell r="I254" t="str">
            <v>-</v>
          </cell>
          <cell r="J254">
            <v>34603.642434908499</v>
          </cell>
          <cell r="K254" t="str">
            <v>Small Cap</v>
          </cell>
        </row>
        <row r="255">
          <cell r="C255" t="str">
            <v>INE589A01014</v>
          </cell>
          <cell r="D255" t="str">
            <v>NLCINDIA</v>
          </cell>
          <cell r="E255">
            <v>34423.143767900001</v>
          </cell>
          <cell r="F255" t="str">
            <v>NLCINDIA</v>
          </cell>
          <cell r="G255">
            <v>34428.580300000001</v>
          </cell>
          <cell r="H255" t="str">
            <v>-</v>
          </cell>
          <cell r="I255" t="str">
            <v>-</v>
          </cell>
          <cell r="J255">
            <v>34425.862033950005</v>
          </cell>
          <cell r="K255" t="str">
            <v>Small Cap</v>
          </cell>
        </row>
        <row r="256">
          <cell r="C256" t="str">
            <v>INE699H01024</v>
          </cell>
          <cell r="D256" t="str">
            <v>AWL</v>
          </cell>
          <cell r="E256">
            <v>33879.268886742</v>
          </cell>
          <cell r="F256" t="str">
            <v>AWL</v>
          </cell>
          <cell r="G256">
            <v>33882.466500000002</v>
          </cell>
          <cell r="H256" t="str">
            <v>-</v>
          </cell>
          <cell r="I256" t="str">
            <v>-</v>
          </cell>
          <cell r="J256">
            <v>33880.867693371001</v>
          </cell>
          <cell r="K256" t="str">
            <v>Small Cap</v>
          </cell>
        </row>
        <row r="257">
          <cell r="C257" t="str">
            <v>INE483A01010</v>
          </cell>
          <cell r="D257" t="str">
            <v>CENTRALBK</v>
          </cell>
          <cell r="E257">
            <v>33882.699448412</v>
          </cell>
          <cell r="F257" t="str">
            <v>CENTRALBK</v>
          </cell>
          <cell r="G257">
            <v>33878.676599999999</v>
          </cell>
          <cell r="H257" t="str">
            <v>-</v>
          </cell>
          <cell r="I257" t="str">
            <v>-</v>
          </cell>
          <cell r="J257">
            <v>33880.688024206</v>
          </cell>
          <cell r="K257" t="str">
            <v>Small Cap</v>
          </cell>
        </row>
        <row r="258">
          <cell r="C258" t="str">
            <v>INE04I401011</v>
          </cell>
          <cell r="D258" t="str">
            <v>KPITTECH</v>
          </cell>
          <cell r="E258">
            <v>33295.385568785001</v>
          </cell>
          <cell r="F258" t="str">
            <v>KPITTECH</v>
          </cell>
          <cell r="G258">
            <v>33301.379699999998</v>
          </cell>
          <cell r="H258" t="str">
            <v>-</v>
          </cell>
          <cell r="I258" t="str">
            <v>-</v>
          </cell>
          <cell r="J258">
            <v>33298.382634392503</v>
          </cell>
          <cell r="K258" t="str">
            <v>Small Cap</v>
          </cell>
        </row>
        <row r="259">
          <cell r="C259" t="str">
            <v>INE736A01011</v>
          </cell>
          <cell r="D259" t="str">
            <v>-</v>
          </cell>
          <cell r="E259" t="str">
            <v>-</v>
          </cell>
          <cell r="F259" t="str">
            <v>CDSL</v>
          </cell>
          <cell r="G259">
            <v>32985.806499999999</v>
          </cell>
          <cell r="H259" t="str">
            <v>-</v>
          </cell>
          <cell r="I259" t="str">
            <v>-</v>
          </cell>
          <cell r="J259">
            <v>32985.806499999999</v>
          </cell>
          <cell r="K259" t="str">
            <v>Small Cap</v>
          </cell>
        </row>
        <row r="260">
          <cell r="C260" t="str">
            <v>INE148O01028</v>
          </cell>
          <cell r="D260" t="str">
            <v>DELHIVERY</v>
          </cell>
          <cell r="E260">
            <v>32985.240789429001</v>
          </cell>
          <cell r="F260" t="str">
            <v>DELHIVERY</v>
          </cell>
          <cell r="G260">
            <v>32975.0576</v>
          </cell>
          <cell r="H260" t="str">
            <v>-</v>
          </cell>
          <cell r="I260" t="str">
            <v>-</v>
          </cell>
          <cell r="J260">
            <v>32980.149194714497</v>
          </cell>
          <cell r="K260" t="str">
            <v>Small Cap</v>
          </cell>
        </row>
        <row r="261">
          <cell r="C261" t="str">
            <v>INE914M01019</v>
          </cell>
          <cell r="D261" t="str">
            <v>ASTERDM</v>
          </cell>
          <cell r="E261">
            <v>32945.321879356001</v>
          </cell>
          <cell r="F261" t="str">
            <v>ASTERDM</v>
          </cell>
          <cell r="G261">
            <v>32949.845200000003</v>
          </cell>
          <cell r="H261" t="str">
            <v>-</v>
          </cell>
          <cell r="I261" t="str">
            <v>-</v>
          </cell>
          <cell r="J261">
            <v>32947.583539678002</v>
          </cell>
          <cell r="K261" t="str">
            <v>Small Cap</v>
          </cell>
        </row>
        <row r="262">
          <cell r="C262" t="str">
            <v>INE302A01020</v>
          </cell>
          <cell r="D262" t="str">
            <v>EXIDEIND</v>
          </cell>
          <cell r="E262">
            <v>32936.69047619</v>
          </cell>
          <cell r="F262" t="str">
            <v>EXIDEIND</v>
          </cell>
          <cell r="G262">
            <v>32936.2183</v>
          </cell>
          <cell r="H262" t="str">
            <v>-</v>
          </cell>
          <cell r="I262" t="str">
            <v>-</v>
          </cell>
          <cell r="J262">
            <v>32936.454388095</v>
          </cell>
          <cell r="K262" t="str">
            <v>Small Cap</v>
          </cell>
        </row>
        <row r="263">
          <cell r="C263" t="str">
            <v>INE03JT01014</v>
          </cell>
          <cell r="D263" t="str">
            <v>GODIGIT</v>
          </cell>
          <cell r="E263">
            <v>32606.48009882</v>
          </cell>
          <cell r="F263" t="str">
            <v>GODIGIT</v>
          </cell>
          <cell r="G263">
            <v>32606.840700000001</v>
          </cell>
          <cell r="H263" t="str">
            <v>-</v>
          </cell>
          <cell r="I263" t="str">
            <v>-</v>
          </cell>
          <cell r="J263">
            <v>32606.660399410001</v>
          </cell>
          <cell r="K263" t="str">
            <v>Small Cap</v>
          </cell>
        </row>
        <row r="264">
          <cell r="C264" t="str">
            <v>INE671A01010</v>
          </cell>
          <cell r="D264" t="str">
            <v>HONAUT</v>
          </cell>
          <cell r="E264">
            <v>32472.085744202002</v>
          </cell>
          <cell r="F264" t="str">
            <v>HONAUT</v>
          </cell>
          <cell r="G264">
            <v>32470.563399999999</v>
          </cell>
          <cell r="H264" t="str">
            <v>-</v>
          </cell>
          <cell r="I264" t="str">
            <v>-</v>
          </cell>
          <cell r="J264">
            <v>32471.324572101003</v>
          </cell>
          <cell r="K264" t="str">
            <v>Small Cap</v>
          </cell>
        </row>
        <row r="265">
          <cell r="C265" t="str">
            <v>INE031B01049</v>
          </cell>
          <cell r="D265" t="str">
            <v>AJANTPHARM</v>
          </cell>
          <cell r="E265">
            <v>32249.533436668</v>
          </cell>
          <cell r="F265" t="str">
            <v>AJANTPHARM</v>
          </cell>
          <cell r="G265">
            <v>32251.708699999999</v>
          </cell>
          <cell r="H265" t="str">
            <v>-</v>
          </cell>
          <cell r="I265" t="str">
            <v>-</v>
          </cell>
          <cell r="J265">
            <v>32250.621068334</v>
          </cell>
          <cell r="K265" t="str">
            <v>Small Cap</v>
          </cell>
        </row>
        <row r="266">
          <cell r="C266" t="str">
            <v>INE317I01021</v>
          </cell>
          <cell r="D266" t="str">
            <v>METROBRAND</v>
          </cell>
          <cell r="E266">
            <v>32065.721195533002</v>
          </cell>
          <cell r="F266" t="str">
            <v>METROBRAND</v>
          </cell>
          <cell r="G266">
            <v>32062.809499999999</v>
          </cell>
          <cell r="H266" t="str">
            <v>-</v>
          </cell>
          <cell r="I266" t="str">
            <v>-</v>
          </cell>
          <cell r="J266">
            <v>32064.265347766501</v>
          </cell>
          <cell r="K266" t="str">
            <v>Small Cap</v>
          </cell>
        </row>
        <row r="267">
          <cell r="C267" t="str">
            <v>INE212H01026</v>
          </cell>
          <cell r="D267" t="str">
            <v>AIAENG</v>
          </cell>
          <cell r="E267">
            <v>31493.502947539</v>
          </cell>
          <cell r="F267" t="str">
            <v>AIAENG</v>
          </cell>
          <cell r="G267">
            <v>31496.965400000001</v>
          </cell>
          <cell r="H267" t="str">
            <v>-</v>
          </cell>
          <cell r="I267" t="str">
            <v>-</v>
          </cell>
          <cell r="J267">
            <v>31495.234173769502</v>
          </cell>
          <cell r="K267" t="str">
            <v>Small Cap</v>
          </cell>
        </row>
        <row r="268">
          <cell r="C268" t="str">
            <v>INE03QK01018</v>
          </cell>
          <cell r="D268" t="str">
            <v>COHANCE</v>
          </cell>
          <cell r="E268">
            <v>31438.304878700001</v>
          </cell>
          <cell r="F268" t="str">
            <v>COHANCE</v>
          </cell>
          <cell r="G268">
            <v>31444.468499999999</v>
          </cell>
          <cell r="H268" t="str">
            <v>-</v>
          </cell>
          <cell r="I268" t="str">
            <v>-</v>
          </cell>
          <cell r="J268">
            <v>31441.386689350002</v>
          </cell>
          <cell r="K268" t="str">
            <v>Small Cap</v>
          </cell>
        </row>
        <row r="269">
          <cell r="C269" t="str">
            <v>INE115A01026</v>
          </cell>
          <cell r="D269" t="str">
            <v>LICHSGFIN</v>
          </cell>
          <cell r="E269">
            <v>31409.732350634997</v>
          </cell>
          <cell r="F269" t="str">
            <v>LICHSGFIN</v>
          </cell>
          <cell r="G269">
            <v>31411.609499999999</v>
          </cell>
          <cell r="H269" t="str">
            <v>-</v>
          </cell>
          <cell r="I269" t="str">
            <v>-</v>
          </cell>
          <cell r="J269">
            <v>31410.670925317499</v>
          </cell>
          <cell r="K269" t="str">
            <v>Small Cap</v>
          </cell>
        </row>
        <row r="270">
          <cell r="C270" t="str">
            <v>INE322A01010</v>
          </cell>
          <cell r="D270" t="str">
            <v>GILLETTE</v>
          </cell>
          <cell r="E270">
            <v>31179.004546493001</v>
          </cell>
          <cell r="F270" t="str">
            <v>GILLETTE</v>
          </cell>
          <cell r="G270">
            <v>31176.048599999998</v>
          </cell>
          <cell r="H270" t="str">
            <v>-</v>
          </cell>
          <cell r="I270" t="str">
            <v>-</v>
          </cell>
          <cell r="J270">
            <v>31177.526573246498</v>
          </cell>
          <cell r="K270" t="str">
            <v>Small Cap</v>
          </cell>
        </row>
        <row r="271">
          <cell r="C271" t="str">
            <v>INE068V01023</v>
          </cell>
          <cell r="D271" t="str">
            <v>GLAND</v>
          </cell>
          <cell r="E271">
            <v>31064.633956003996</v>
          </cell>
          <cell r="F271" t="str">
            <v>GLAND</v>
          </cell>
          <cell r="G271">
            <v>31069.086299999999</v>
          </cell>
          <cell r="H271" t="str">
            <v>-</v>
          </cell>
          <cell r="I271" t="str">
            <v>-</v>
          </cell>
          <cell r="J271">
            <v>31066.860128001998</v>
          </cell>
          <cell r="K271" t="str">
            <v>Small Cap</v>
          </cell>
        </row>
        <row r="272">
          <cell r="C272" t="str">
            <v>INE438A01022</v>
          </cell>
          <cell r="D272" t="str">
            <v>APOLLOTYRE</v>
          </cell>
          <cell r="E272">
            <v>30841.610844174</v>
          </cell>
          <cell r="F272" t="str">
            <v>APOLLOTYRE</v>
          </cell>
          <cell r="G272">
            <v>30841.409199999998</v>
          </cell>
          <cell r="H272" t="str">
            <v>-</v>
          </cell>
          <cell r="I272" t="str">
            <v>-</v>
          </cell>
          <cell r="J272">
            <v>30841.510022087001</v>
          </cell>
          <cell r="K272" t="str">
            <v>Small Cap</v>
          </cell>
        </row>
        <row r="273">
          <cell r="C273" t="str">
            <v>INE470Y01017</v>
          </cell>
          <cell r="D273" t="str">
            <v>NIACL</v>
          </cell>
          <cell r="E273">
            <v>30194.368253967998</v>
          </cell>
          <cell r="F273" t="str">
            <v>NIACL</v>
          </cell>
          <cell r="G273">
            <v>30188.639500000001</v>
          </cell>
          <cell r="H273" t="str">
            <v>-</v>
          </cell>
          <cell r="I273" t="str">
            <v>-</v>
          </cell>
          <cell r="J273">
            <v>30191.503876983999</v>
          </cell>
          <cell r="K273" t="str">
            <v>Small Cap</v>
          </cell>
        </row>
        <row r="274">
          <cell r="C274" t="str">
            <v>INE095N01031</v>
          </cell>
          <cell r="D274" t="str">
            <v>NBCC</v>
          </cell>
          <cell r="E274">
            <v>30065.057142857</v>
          </cell>
          <cell r="F274" t="str">
            <v>NBCC</v>
          </cell>
          <cell r="G274">
            <v>30065.2071</v>
          </cell>
          <cell r="H274" t="str">
            <v>-</v>
          </cell>
          <cell r="I274" t="str">
            <v>-</v>
          </cell>
          <cell r="J274">
            <v>30065.132121428498</v>
          </cell>
          <cell r="K274" t="str">
            <v>Small Cap</v>
          </cell>
        </row>
        <row r="275">
          <cell r="C275" t="str">
            <v>INE248A01017</v>
          </cell>
          <cell r="D275" t="str">
            <v>ITI</v>
          </cell>
          <cell r="E275">
            <v>30012.388378013002</v>
          </cell>
          <cell r="F275" t="str">
            <v>ITI</v>
          </cell>
          <cell r="G275">
            <v>30013.151000000002</v>
          </cell>
          <cell r="H275" t="str">
            <v>-</v>
          </cell>
          <cell r="I275" t="str">
            <v>-</v>
          </cell>
          <cell r="J275">
            <v>30012.769689006502</v>
          </cell>
          <cell r="K275" t="str">
            <v>Small Cap</v>
          </cell>
        </row>
        <row r="276">
          <cell r="C276" t="str">
            <v>INE531E01026</v>
          </cell>
          <cell r="D276" t="str">
            <v>HINDCOPPER</v>
          </cell>
          <cell r="E276">
            <v>29929.316671061999</v>
          </cell>
          <cell r="F276" t="str">
            <v>HINDCOPPER</v>
          </cell>
          <cell r="G276">
            <v>29933.9522</v>
          </cell>
          <cell r="H276" t="str">
            <v>-</v>
          </cell>
          <cell r="I276" t="str">
            <v>-</v>
          </cell>
          <cell r="J276">
            <v>29931.634435530999</v>
          </cell>
          <cell r="K276" t="str">
            <v>Small Cap</v>
          </cell>
        </row>
        <row r="277">
          <cell r="C277" t="str">
            <v>INE382Z01011</v>
          </cell>
          <cell r="D277" t="str">
            <v>GRSE</v>
          </cell>
          <cell r="E277">
            <v>29787.897522857002</v>
          </cell>
          <cell r="F277" t="str">
            <v>GRSE</v>
          </cell>
          <cell r="G277">
            <v>29786.156500000001</v>
          </cell>
          <cell r="H277" t="str">
            <v>-</v>
          </cell>
          <cell r="I277" t="str">
            <v>-</v>
          </cell>
          <cell r="J277">
            <v>29787.027011428501</v>
          </cell>
          <cell r="K277" t="str">
            <v>Small Cap</v>
          </cell>
        </row>
        <row r="278">
          <cell r="C278" t="str">
            <v>INE0FS801015</v>
          </cell>
          <cell r="D278" t="str">
            <v>MSUMI</v>
          </cell>
          <cell r="E278">
            <v>29601.563246864</v>
          </cell>
          <cell r="F278" t="str">
            <v>MSUMI</v>
          </cell>
          <cell r="G278">
            <v>29602.633399999999</v>
          </cell>
          <cell r="H278" t="str">
            <v>-</v>
          </cell>
          <cell r="I278" t="str">
            <v>-</v>
          </cell>
          <cell r="J278">
            <v>29602.098323432001</v>
          </cell>
          <cell r="K278" t="str">
            <v>Small Cap</v>
          </cell>
        </row>
        <row r="279">
          <cell r="C279" t="str">
            <v>INE844O01030</v>
          </cell>
          <cell r="D279" t="str">
            <v>GUJGASLTD</v>
          </cell>
          <cell r="E279">
            <v>29362.980294121997</v>
          </cell>
          <cell r="F279" t="str">
            <v>GUJGASLTD</v>
          </cell>
          <cell r="G279">
            <v>29365.411499999998</v>
          </cell>
          <cell r="H279" t="str">
            <v>-</v>
          </cell>
          <cell r="I279" t="str">
            <v>-</v>
          </cell>
          <cell r="J279">
            <v>29364.195897060999</v>
          </cell>
          <cell r="K279" t="str">
            <v>Small Cap</v>
          </cell>
        </row>
        <row r="280">
          <cell r="C280" t="str">
            <v>INE763G01038</v>
          </cell>
          <cell r="D280" t="str">
            <v>ISEC</v>
          </cell>
          <cell r="E280">
            <v>29132.364474720001</v>
          </cell>
          <cell r="F280" t="str">
            <v>-</v>
          </cell>
          <cell r="G280" t="str">
            <v>-</v>
          </cell>
          <cell r="H280" t="str">
            <v>-</v>
          </cell>
          <cell r="I280" t="str">
            <v>-</v>
          </cell>
          <cell r="J280">
            <v>29132.364474720001</v>
          </cell>
          <cell r="K280" t="str">
            <v>Small Cap</v>
          </cell>
        </row>
        <row r="281">
          <cell r="C281" t="str">
            <v>INE203G01027</v>
          </cell>
          <cell r="D281" t="str">
            <v>IGL</v>
          </cell>
          <cell r="E281">
            <v>29027.199840571004</v>
          </cell>
          <cell r="F281" t="str">
            <v>IGL</v>
          </cell>
          <cell r="G281">
            <v>29031.0998</v>
          </cell>
          <cell r="H281" t="str">
            <v>-</v>
          </cell>
          <cell r="I281" t="str">
            <v>-</v>
          </cell>
          <cell r="J281">
            <v>29029.1498202855</v>
          </cell>
          <cell r="K281" t="str">
            <v>Small Cap</v>
          </cell>
        </row>
        <row r="282">
          <cell r="C282" t="str">
            <v>INE073K01018</v>
          </cell>
          <cell r="D282" t="str">
            <v>SONACOMS</v>
          </cell>
          <cell r="E282">
            <v>28833.785957589</v>
          </cell>
          <cell r="F282" t="str">
            <v>SONACOMS</v>
          </cell>
          <cell r="G282">
            <v>28832.662100000001</v>
          </cell>
          <cell r="H282" t="str">
            <v>-</v>
          </cell>
          <cell r="I282" t="str">
            <v>-</v>
          </cell>
          <cell r="J282">
            <v>28833.224028794502</v>
          </cell>
          <cell r="K282" t="str">
            <v>Small Cap</v>
          </cell>
        </row>
        <row r="283">
          <cell r="C283" t="str">
            <v>INE0INX01018</v>
          </cell>
          <cell r="D283" t="str">
            <v>AEGISVOPAK</v>
          </cell>
          <cell r="E283">
            <v>28632.214824492999</v>
          </cell>
          <cell r="F283" t="str">
            <v>AEGISVOPAK</v>
          </cell>
          <cell r="G283">
            <v>28636.673200000001</v>
          </cell>
          <cell r="H283" t="str">
            <v>-</v>
          </cell>
          <cell r="I283" t="str">
            <v>-</v>
          </cell>
          <cell r="J283">
            <v>28634.444012246502</v>
          </cell>
          <cell r="K283" t="str">
            <v>Small Cap</v>
          </cell>
        </row>
        <row r="284">
          <cell r="C284" t="str">
            <v>INE967H01025</v>
          </cell>
          <cell r="D284" t="str">
            <v>KIMS</v>
          </cell>
          <cell r="E284">
            <v>28469.138934378996</v>
          </cell>
          <cell r="F284" t="str">
            <v>KIMS</v>
          </cell>
          <cell r="G284">
            <v>28472.965700000001</v>
          </cell>
          <cell r="H284" t="str">
            <v>-</v>
          </cell>
          <cell r="I284" t="str">
            <v>-</v>
          </cell>
          <cell r="J284">
            <v>28471.052317189497</v>
          </cell>
          <cell r="K284" t="str">
            <v>Small Cap</v>
          </cell>
        </row>
        <row r="285">
          <cell r="C285" t="str">
            <v>INE142M01025</v>
          </cell>
          <cell r="D285" t="str">
            <v>TATATECH</v>
          </cell>
          <cell r="E285">
            <v>27831.736484063</v>
          </cell>
          <cell r="F285" t="str">
            <v>TATATECH</v>
          </cell>
          <cell r="G285">
            <v>27832.470399999998</v>
          </cell>
          <cell r="H285" t="str">
            <v>-</v>
          </cell>
          <cell r="I285" t="str">
            <v>-</v>
          </cell>
          <cell r="J285">
            <v>27832.103442031497</v>
          </cell>
          <cell r="K285" t="str">
            <v>Small Cap</v>
          </cell>
        </row>
        <row r="286">
          <cell r="C286" t="str">
            <v>INE15B701018</v>
          </cell>
          <cell r="D286" t="str">
            <v>PINELABS</v>
          </cell>
          <cell r="E286">
            <v>27485.908877457001</v>
          </cell>
          <cell r="F286" t="str">
            <v>PINELABS</v>
          </cell>
          <cell r="G286">
            <v>27482.498800000001</v>
          </cell>
          <cell r="H286" t="str">
            <v>-</v>
          </cell>
          <cell r="I286" t="str">
            <v>-</v>
          </cell>
          <cell r="J286">
            <v>27484.203838728499</v>
          </cell>
          <cell r="K286" t="str">
            <v>Small Cap</v>
          </cell>
        </row>
        <row r="287">
          <cell r="C287" t="str">
            <v>INE115Q01022</v>
          </cell>
          <cell r="D287" t="str">
            <v xml:space="preserve">IKS </v>
          </cell>
          <cell r="E287">
            <v>27302.600194679002</v>
          </cell>
          <cell r="F287" t="str">
            <v>IKS</v>
          </cell>
          <cell r="G287">
            <v>27305.854599999999</v>
          </cell>
          <cell r="H287" t="str">
            <v>-</v>
          </cell>
          <cell r="I287" t="str">
            <v>-</v>
          </cell>
          <cell r="J287">
            <v>27304.227397339499</v>
          </cell>
          <cell r="K287" t="str">
            <v>Small Cap</v>
          </cell>
        </row>
        <row r="288">
          <cell r="C288" t="str">
            <v>INE669R01026</v>
          </cell>
          <cell r="D288" t="str">
            <v>ELITECON</v>
          </cell>
          <cell r="E288">
            <v>27167.065706349</v>
          </cell>
          <cell r="F288" t="str">
            <v>-</v>
          </cell>
          <cell r="G288" t="str">
            <v>-</v>
          </cell>
          <cell r="H288" t="str">
            <v>-</v>
          </cell>
          <cell r="I288" t="str">
            <v>-</v>
          </cell>
          <cell r="J288">
            <v>27167.065706349</v>
          </cell>
          <cell r="K288" t="str">
            <v>Small Cap</v>
          </cell>
        </row>
        <row r="289">
          <cell r="C289" t="str">
            <v>INE575P01011</v>
          </cell>
          <cell r="D289" t="str">
            <v>STARHEALTH</v>
          </cell>
          <cell r="E289">
            <v>26983.324592992998</v>
          </cell>
          <cell r="F289" t="str">
            <v>STARHEALTH</v>
          </cell>
          <cell r="G289">
            <v>26977.360799999999</v>
          </cell>
          <cell r="H289" t="str">
            <v>-</v>
          </cell>
          <cell r="I289" t="str">
            <v>-</v>
          </cell>
          <cell r="J289">
            <v>26980.342696496497</v>
          </cell>
          <cell r="K289" t="str">
            <v>Small Cap</v>
          </cell>
        </row>
        <row r="290">
          <cell r="C290" t="str">
            <v>INE572A01036</v>
          </cell>
          <cell r="D290" t="str">
            <v>JBCHEPHARM</v>
          </cell>
          <cell r="E290">
            <v>26957.364517701997</v>
          </cell>
          <cell r="F290" t="str">
            <v>JBCHEPHARM</v>
          </cell>
          <cell r="G290">
            <v>26937.2045</v>
          </cell>
          <cell r="H290" t="str">
            <v>-</v>
          </cell>
          <cell r="I290" t="str">
            <v>-</v>
          </cell>
          <cell r="J290">
            <v>26947.284508851</v>
          </cell>
          <cell r="K290" t="str">
            <v>Small Cap</v>
          </cell>
        </row>
        <row r="291">
          <cell r="C291" t="str">
            <v>INE105A01035</v>
          </cell>
          <cell r="D291" t="str">
            <v>TVSHLTD</v>
          </cell>
          <cell r="E291">
            <v>26832.857325764999</v>
          </cell>
          <cell r="F291" t="str">
            <v>TVSHLTD</v>
          </cell>
          <cell r="G291">
            <v>26839.893100000001</v>
          </cell>
          <cell r="H291" t="str">
            <v>-</v>
          </cell>
          <cell r="I291" t="str">
            <v>-</v>
          </cell>
          <cell r="J291">
            <v>26836.3752128825</v>
          </cell>
          <cell r="K291" t="str">
            <v>Small Cap</v>
          </cell>
        </row>
        <row r="292">
          <cell r="C292" t="str">
            <v>INE821I01022</v>
          </cell>
          <cell r="D292" t="str">
            <v>IRB</v>
          </cell>
          <cell r="E292">
            <v>26589.237714285999</v>
          </cell>
          <cell r="F292" t="str">
            <v>IRB</v>
          </cell>
          <cell r="G292">
            <v>26587.320599999999</v>
          </cell>
          <cell r="H292" t="str">
            <v>-</v>
          </cell>
          <cell r="I292" t="str">
            <v>-</v>
          </cell>
          <cell r="J292">
            <v>26588.279157142999</v>
          </cell>
          <cell r="K292" t="str">
            <v>Small Cap</v>
          </cell>
        </row>
        <row r="293">
          <cell r="C293" t="str">
            <v>INE048G01026</v>
          </cell>
          <cell r="D293" t="str">
            <v>NAVINFLUOR</v>
          </cell>
          <cell r="E293">
            <v>26727.261050462999</v>
          </cell>
          <cell r="F293" t="str">
            <v>NAVINFLUOR</v>
          </cell>
          <cell r="G293">
            <v>26395.2081</v>
          </cell>
          <cell r="H293" t="str">
            <v>-</v>
          </cell>
          <cell r="I293" t="str">
            <v>-</v>
          </cell>
          <cell r="J293">
            <v>26561.234575231501</v>
          </cell>
          <cell r="K293" t="str">
            <v>Small Cap</v>
          </cell>
        </row>
        <row r="294">
          <cell r="C294" t="str">
            <v>INE258G01013</v>
          </cell>
          <cell r="D294" t="str">
            <v>SUMICHEM</v>
          </cell>
          <cell r="E294">
            <v>26460.487952808999</v>
          </cell>
          <cell r="F294" t="str">
            <v>SUMICHEM</v>
          </cell>
          <cell r="G294">
            <v>26464.746500000001</v>
          </cell>
          <cell r="H294" t="str">
            <v>-</v>
          </cell>
          <cell r="I294" t="str">
            <v>-</v>
          </cell>
          <cell r="J294">
            <v>26462.617226404502</v>
          </cell>
          <cell r="K294" t="str">
            <v>Small Cap</v>
          </cell>
        </row>
        <row r="295">
          <cell r="C295" t="str">
            <v>INE00WC01027</v>
          </cell>
          <cell r="D295" t="str">
            <v>AFFLE</v>
          </cell>
          <cell r="E295">
            <v>26433.394322796001</v>
          </cell>
          <cell r="F295" t="str">
            <v>AFFLE</v>
          </cell>
          <cell r="G295">
            <v>26428.1803</v>
          </cell>
          <cell r="H295" t="str">
            <v>-</v>
          </cell>
          <cell r="I295" t="str">
            <v>-</v>
          </cell>
          <cell r="J295">
            <v>26430.787311398002</v>
          </cell>
          <cell r="K295" t="str">
            <v>Small Cap</v>
          </cell>
        </row>
        <row r="296">
          <cell r="C296" t="str">
            <v>INE208C01025</v>
          </cell>
          <cell r="D296" t="str">
            <v>AEGISLOG</v>
          </cell>
          <cell r="E296">
            <v>26422.611428570999</v>
          </cell>
          <cell r="F296" t="str">
            <v>AEGISLOG</v>
          </cell>
          <cell r="G296">
            <v>26424.770400000001</v>
          </cell>
          <cell r="H296" t="str">
            <v>-</v>
          </cell>
          <cell r="I296" t="str">
            <v>-</v>
          </cell>
          <cell r="J296">
            <v>26423.6909142855</v>
          </cell>
          <cell r="K296" t="str">
            <v>Small Cap</v>
          </cell>
        </row>
        <row r="297">
          <cell r="C297" t="str">
            <v>INE398R01022</v>
          </cell>
          <cell r="D297" t="str">
            <v>SYNGENE</v>
          </cell>
          <cell r="E297">
            <v>26232.123745657002</v>
          </cell>
          <cell r="F297" t="str">
            <v>SYNGENE</v>
          </cell>
          <cell r="G297">
            <v>26233.722699999998</v>
          </cell>
          <cell r="H297" t="str">
            <v>-</v>
          </cell>
          <cell r="I297" t="str">
            <v>-</v>
          </cell>
          <cell r="J297">
            <v>26232.9232228285</v>
          </cell>
          <cell r="K297" t="str">
            <v>Small Cap</v>
          </cell>
        </row>
        <row r="298">
          <cell r="C298" t="str">
            <v>INE545U01014</v>
          </cell>
          <cell r="D298" t="str">
            <v>BANDHANBNK</v>
          </cell>
          <cell r="E298">
            <v>26207.691952134999</v>
          </cell>
          <cell r="F298" t="str">
            <v>BANDHANBNK</v>
          </cell>
          <cell r="G298">
            <v>26210.287400000001</v>
          </cell>
          <cell r="H298" t="str">
            <v>-</v>
          </cell>
          <cell r="I298" t="str">
            <v>-</v>
          </cell>
          <cell r="J298">
            <v>26208.9896760675</v>
          </cell>
          <cell r="K298" t="str">
            <v>Small Cap</v>
          </cell>
        </row>
        <row r="299">
          <cell r="C299" t="str">
            <v>INE168P01015</v>
          </cell>
          <cell r="D299" t="str">
            <v>EMCURE</v>
          </cell>
          <cell r="E299">
            <v>26076.329043702</v>
          </cell>
          <cell r="F299" t="str">
            <v>EMCURE</v>
          </cell>
          <cell r="G299">
            <v>26075.356899999999</v>
          </cell>
          <cell r="H299" t="str">
            <v>-</v>
          </cell>
          <cell r="I299" t="str">
            <v>-</v>
          </cell>
          <cell r="J299">
            <v>26075.842971851001</v>
          </cell>
          <cell r="K299" t="str">
            <v>Small Cap</v>
          </cell>
        </row>
        <row r="300">
          <cell r="C300" t="str">
            <v>INE140A01024</v>
          </cell>
          <cell r="D300" t="str">
            <v>PEL</v>
          </cell>
          <cell r="E300">
            <v>26066.505271654998</v>
          </cell>
          <cell r="F300" t="str">
            <v>-</v>
          </cell>
          <cell r="G300" t="str">
            <v>-</v>
          </cell>
          <cell r="H300" t="str">
            <v>-</v>
          </cell>
          <cell r="I300" t="str">
            <v>-</v>
          </cell>
          <cell r="J300">
            <v>26066.505271654998</v>
          </cell>
          <cell r="K300" t="str">
            <v>Small Cap</v>
          </cell>
        </row>
        <row r="301">
          <cell r="C301" t="str">
            <v>INE600L01024</v>
          </cell>
          <cell r="D301" t="str">
            <v>LALPATHLAB</v>
          </cell>
          <cell r="E301">
            <v>26017.442064899999</v>
          </cell>
          <cell r="F301" t="str">
            <v>LALPATHLAB</v>
          </cell>
          <cell r="G301">
            <v>26024.064299999998</v>
          </cell>
          <cell r="H301" t="str">
            <v>-</v>
          </cell>
          <cell r="I301" t="str">
            <v>-</v>
          </cell>
          <cell r="J301">
            <v>26020.753182449997</v>
          </cell>
          <cell r="K301" t="str">
            <v>Small Cap</v>
          </cell>
        </row>
        <row r="302">
          <cell r="C302" t="str">
            <v>INE371P01015</v>
          </cell>
          <cell r="D302" t="str">
            <v>AMBER</v>
          </cell>
          <cell r="E302">
            <v>26019.106960629</v>
          </cell>
          <cell r="F302" t="str">
            <v>AMBER</v>
          </cell>
          <cell r="G302">
            <v>25985.141599999999</v>
          </cell>
          <cell r="H302" t="str">
            <v>-</v>
          </cell>
          <cell r="I302" t="str">
            <v>-</v>
          </cell>
          <cell r="J302">
            <v>26002.1242803145</v>
          </cell>
          <cell r="K302" t="str">
            <v>Small Cap</v>
          </cell>
        </row>
        <row r="303">
          <cell r="C303" t="str">
            <v>INE0DK501011</v>
          </cell>
          <cell r="D303" t="str">
            <v>PPLPHARMA</v>
          </cell>
          <cell r="E303">
            <v>25718.788649892002</v>
          </cell>
          <cell r="F303" t="str">
            <v>PPLPHARMA</v>
          </cell>
          <cell r="G303">
            <v>25720.202300000001</v>
          </cell>
          <cell r="H303" t="str">
            <v>-</v>
          </cell>
          <cell r="I303" t="str">
            <v>-</v>
          </cell>
          <cell r="J303">
            <v>25719.495474946001</v>
          </cell>
          <cell r="K303" t="str">
            <v>Small Cap</v>
          </cell>
        </row>
        <row r="304">
          <cell r="C304" t="str">
            <v>INE342J01019</v>
          </cell>
          <cell r="D304" t="str">
            <v>ZFCVINDIA</v>
          </cell>
          <cell r="E304">
            <v>25708.974963909001</v>
          </cell>
          <cell r="F304" t="str">
            <v>ZFCVINDIA</v>
          </cell>
          <cell r="G304">
            <v>25711.0569</v>
          </cell>
          <cell r="H304" t="str">
            <v>-</v>
          </cell>
          <cell r="I304" t="str">
            <v>-</v>
          </cell>
          <cell r="J304">
            <v>25710.015931954498</v>
          </cell>
          <cell r="K304" t="str">
            <v>Small Cap</v>
          </cell>
        </row>
        <row r="305">
          <cell r="C305" t="str">
            <v>INE531F01023</v>
          </cell>
          <cell r="D305" t="str">
            <v>NUVAMA</v>
          </cell>
          <cell r="E305">
            <v>25540.533155590001</v>
          </cell>
          <cell r="F305" t="str">
            <v>NUVAMA</v>
          </cell>
          <cell r="G305">
            <v>25487.638200000001</v>
          </cell>
          <cell r="H305" t="str">
            <v>-</v>
          </cell>
          <cell r="I305" t="str">
            <v>-</v>
          </cell>
          <cell r="J305">
            <v>25514.085677795003</v>
          </cell>
          <cell r="K305" t="str">
            <v>Small Cap</v>
          </cell>
        </row>
        <row r="306">
          <cell r="C306" t="str">
            <v>INE103A01014</v>
          </cell>
          <cell r="D306" t="str">
            <v>MRPL</v>
          </cell>
          <cell r="E306">
            <v>25242.221171166002</v>
          </cell>
          <cell r="F306" t="str">
            <v>MRPL</v>
          </cell>
          <cell r="G306">
            <v>25243.013999999999</v>
          </cell>
          <cell r="H306" t="str">
            <v>-</v>
          </cell>
          <cell r="I306" t="str">
            <v>-</v>
          </cell>
          <cell r="J306">
            <v>25242.617585583001</v>
          </cell>
          <cell r="K306" t="str">
            <v>Small Cap</v>
          </cell>
        </row>
        <row r="307">
          <cell r="C307" t="str">
            <v>INE331A01037</v>
          </cell>
          <cell r="D307" t="str">
            <v>RAMCOCEM</v>
          </cell>
          <cell r="E307">
            <v>25044.432445882998</v>
          </cell>
          <cell r="F307" t="str">
            <v>RAMCOCEM</v>
          </cell>
          <cell r="G307">
            <v>25052.458900000001</v>
          </cell>
          <cell r="H307" t="str">
            <v>-</v>
          </cell>
          <cell r="I307" t="str">
            <v>-</v>
          </cell>
          <cell r="J307">
            <v>25048.4456729415</v>
          </cell>
          <cell r="K307" t="str">
            <v>Small Cap</v>
          </cell>
        </row>
        <row r="308">
          <cell r="C308" t="str">
            <v>INE810G01011</v>
          </cell>
          <cell r="D308" t="str">
            <v>SHYAMMETL</v>
          </cell>
          <cell r="E308">
            <v>24905.905113732999</v>
          </cell>
          <cell r="F308" t="str">
            <v>SHYAMMETL</v>
          </cell>
          <cell r="G308">
            <v>24915.6083</v>
          </cell>
          <cell r="H308" t="str">
            <v>-</v>
          </cell>
          <cell r="I308" t="str">
            <v>-</v>
          </cell>
          <cell r="J308">
            <v>24910.756706866501</v>
          </cell>
          <cell r="K308" t="str">
            <v>Small Cap</v>
          </cell>
        </row>
        <row r="309">
          <cell r="C309" t="str">
            <v>INE548C01032</v>
          </cell>
          <cell r="D309" t="str">
            <v>EMAMILTD</v>
          </cell>
          <cell r="E309">
            <v>24544.819007864</v>
          </cell>
          <cell r="F309" t="str">
            <v>EMAMILTD</v>
          </cell>
          <cell r="G309">
            <v>24404.611099999998</v>
          </cell>
          <cell r="H309" t="str">
            <v>-</v>
          </cell>
          <cell r="I309" t="str">
            <v>-</v>
          </cell>
          <cell r="J309">
            <v>24474.715053931999</v>
          </cell>
          <cell r="K309" t="str">
            <v>Small Cap</v>
          </cell>
        </row>
        <row r="310">
          <cell r="C310" t="str">
            <v>INE684F01012</v>
          </cell>
          <cell r="D310" t="str">
            <v>FSL</v>
          </cell>
          <cell r="E310">
            <v>24403.64022062</v>
          </cell>
          <cell r="F310" t="str">
            <v>FSL</v>
          </cell>
          <cell r="G310">
            <v>24408.701700000001</v>
          </cell>
          <cell r="H310" t="str">
            <v>-</v>
          </cell>
          <cell r="I310" t="str">
            <v>-</v>
          </cell>
          <cell r="J310">
            <v>24406.170960310003</v>
          </cell>
          <cell r="K310" t="str">
            <v>Small Cap</v>
          </cell>
        </row>
        <row r="311">
          <cell r="C311" t="str">
            <v>INE066P01011</v>
          </cell>
          <cell r="D311" t="str">
            <v>INOXWIND</v>
          </cell>
          <cell r="E311">
            <v>24539.028217435</v>
          </cell>
          <cell r="F311" t="str">
            <v>INOXWIND</v>
          </cell>
          <cell r="G311">
            <v>24061.964400000001</v>
          </cell>
          <cell r="H311" t="str">
            <v>-</v>
          </cell>
          <cell r="I311" t="str">
            <v>-</v>
          </cell>
          <cell r="J311">
            <v>24300.496308717498</v>
          </cell>
          <cell r="K311" t="str">
            <v>Small Cap</v>
          </cell>
        </row>
        <row r="312">
          <cell r="C312" t="str">
            <v>INE288B01029</v>
          </cell>
          <cell r="D312" t="str">
            <v>DEEPAKNTR</v>
          </cell>
          <cell r="E312">
            <v>24199.421638558</v>
          </cell>
          <cell r="F312" t="str">
            <v>DEEPAKNTR</v>
          </cell>
          <cell r="G312">
            <v>24200.7369</v>
          </cell>
          <cell r="H312" t="str">
            <v>-</v>
          </cell>
          <cell r="I312" t="str">
            <v>-</v>
          </cell>
          <cell r="J312">
            <v>24200.079269278998</v>
          </cell>
          <cell r="K312" t="str">
            <v>Small Cap</v>
          </cell>
        </row>
        <row r="313">
          <cell r="C313" t="str">
            <v>INE230A01023</v>
          </cell>
          <cell r="D313" t="str">
            <v>EIHOTEL</v>
          </cell>
          <cell r="E313">
            <v>23927.823301501998</v>
          </cell>
          <cell r="F313" t="str">
            <v>EIHOTEL</v>
          </cell>
          <cell r="G313">
            <v>23933.779200000001</v>
          </cell>
          <cell r="H313" t="str">
            <v>-</v>
          </cell>
          <cell r="I313" t="str">
            <v>-</v>
          </cell>
          <cell r="J313">
            <v>23930.801250750999</v>
          </cell>
          <cell r="K313" t="str">
            <v>Small Cap</v>
          </cell>
        </row>
        <row r="314">
          <cell r="C314" t="str">
            <v>INE049B01025</v>
          </cell>
          <cell r="D314" t="str">
            <v>WOCKPHARMA</v>
          </cell>
          <cell r="E314">
            <v>23916.611651864001</v>
          </cell>
          <cell r="F314" t="str">
            <v>WOCKPHARMA</v>
          </cell>
          <cell r="G314">
            <v>23918.635999999999</v>
          </cell>
          <cell r="H314" t="str">
            <v>-</v>
          </cell>
          <cell r="I314" t="str">
            <v>-</v>
          </cell>
          <cell r="J314">
            <v>23917.623825932002</v>
          </cell>
          <cell r="K314" t="str">
            <v>Small Cap</v>
          </cell>
        </row>
        <row r="315">
          <cell r="C315" t="str">
            <v>INE596F01018</v>
          </cell>
          <cell r="D315" t="str">
            <v>PTCIL</v>
          </cell>
          <cell r="E315">
            <v>23911.156659904998</v>
          </cell>
          <cell r="F315" t="str">
            <v>PTCIL</v>
          </cell>
          <cell r="G315">
            <v>23917.940699999999</v>
          </cell>
          <cell r="H315" t="str">
            <v>-</v>
          </cell>
          <cell r="I315" t="str">
            <v>-</v>
          </cell>
          <cell r="J315">
            <v>23914.548679952499</v>
          </cell>
          <cell r="K315" t="str">
            <v>Small Cap</v>
          </cell>
        </row>
        <row r="316">
          <cell r="C316" t="str">
            <v>INE182A01018</v>
          </cell>
          <cell r="D316" t="str">
            <v>PFIZER</v>
          </cell>
          <cell r="E316">
            <v>23802.187328520002</v>
          </cell>
          <cell r="F316" t="str">
            <v>PFIZER</v>
          </cell>
          <cell r="G316">
            <v>23807.758699999998</v>
          </cell>
          <cell r="H316" t="str">
            <v>-</v>
          </cell>
          <cell r="I316" t="str">
            <v>-</v>
          </cell>
          <cell r="J316">
            <v>23804.973014260002</v>
          </cell>
          <cell r="K316" t="str">
            <v>Small Cap</v>
          </cell>
        </row>
        <row r="317">
          <cell r="C317" t="str">
            <v>INE463V01026</v>
          </cell>
          <cell r="D317" t="str">
            <v>ANANDRATHI</v>
          </cell>
          <cell r="E317">
            <v>23643.416706633998</v>
          </cell>
          <cell r="F317" t="str">
            <v>ANANDRATHI</v>
          </cell>
          <cell r="G317">
            <v>23649.725600000002</v>
          </cell>
          <cell r="H317" t="str">
            <v>-</v>
          </cell>
          <cell r="I317" t="str">
            <v>-</v>
          </cell>
          <cell r="J317">
            <v>23646.571153317</v>
          </cell>
          <cell r="K317" t="str">
            <v>Small Cap</v>
          </cell>
        </row>
        <row r="318">
          <cell r="C318" t="str">
            <v>INE880L01014</v>
          </cell>
          <cell r="D318" t="str">
            <v>KIOCL</v>
          </cell>
          <cell r="E318">
            <v>23624.298020013</v>
          </cell>
          <cell r="F318" t="str">
            <v>KIOCL</v>
          </cell>
          <cell r="G318">
            <v>23625.045699999999</v>
          </cell>
          <cell r="H318" t="str">
            <v>KIOCL</v>
          </cell>
          <cell r="I318">
            <v>23635.030132621276</v>
          </cell>
          <cell r="J318">
            <v>23628.12461754476</v>
          </cell>
          <cell r="K318" t="str">
            <v>Small Cap</v>
          </cell>
        </row>
        <row r="319">
          <cell r="C319" t="str">
            <v>INE522D01027</v>
          </cell>
          <cell r="D319" t="str">
            <v>MANAPPURAM</v>
          </cell>
          <cell r="E319">
            <v>23545.395775839999</v>
          </cell>
          <cell r="F319" t="str">
            <v>MANAPPURAM</v>
          </cell>
          <cell r="G319">
            <v>23550.467700000001</v>
          </cell>
          <cell r="H319" t="str">
            <v>-</v>
          </cell>
          <cell r="I319" t="str">
            <v>-</v>
          </cell>
          <cell r="J319">
            <v>23547.93173792</v>
          </cell>
          <cell r="K319" t="str">
            <v>Small Cap</v>
          </cell>
        </row>
        <row r="320">
          <cell r="C320" t="str">
            <v>INE572E01012</v>
          </cell>
          <cell r="D320" t="str">
            <v>PNBHOUSING</v>
          </cell>
          <cell r="E320">
            <v>23490.957833364002</v>
          </cell>
          <cell r="F320" t="str">
            <v>PNBHOUSING</v>
          </cell>
          <cell r="G320">
            <v>23486.125400000001</v>
          </cell>
          <cell r="H320" t="str">
            <v>-</v>
          </cell>
          <cell r="I320" t="str">
            <v>-</v>
          </cell>
          <cell r="J320">
            <v>23488.541616682</v>
          </cell>
          <cell r="K320" t="str">
            <v>Small Cap</v>
          </cell>
        </row>
        <row r="321">
          <cell r="C321" t="str">
            <v>INE791I01019</v>
          </cell>
          <cell r="D321" t="str">
            <v>BRIGADE</v>
          </cell>
          <cell r="E321">
            <v>23416.876353740001</v>
          </cell>
          <cell r="F321" t="str">
            <v>BRIGADE</v>
          </cell>
          <cell r="G321">
            <v>23423.853599999999</v>
          </cell>
          <cell r="H321" t="str">
            <v>-</v>
          </cell>
          <cell r="I321" t="str">
            <v>-</v>
          </cell>
          <cell r="J321">
            <v>23420.364976869998</v>
          </cell>
          <cell r="K321" t="str">
            <v>Small Cap</v>
          </cell>
        </row>
        <row r="322">
          <cell r="C322" t="str">
            <v>INE462A01022</v>
          </cell>
          <cell r="D322" t="str">
            <v>BAYERCROP</v>
          </cell>
          <cell r="E322">
            <v>23405.201267131</v>
          </cell>
          <cell r="F322" t="str">
            <v>-</v>
          </cell>
          <cell r="G322" t="str">
            <v>-</v>
          </cell>
          <cell r="H322" t="str">
            <v>-</v>
          </cell>
          <cell r="I322" t="str">
            <v>-</v>
          </cell>
          <cell r="J322">
            <v>23405.201267131</v>
          </cell>
          <cell r="K322" t="str">
            <v>Small Cap</v>
          </cell>
        </row>
        <row r="323">
          <cell r="C323" t="str">
            <v>INE404A01024</v>
          </cell>
          <cell r="D323" t="str">
            <v>ABSLAMC</v>
          </cell>
          <cell r="E323">
            <v>23403.384960652998</v>
          </cell>
          <cell r="F323" t="str">
            <v>ABSLAMC</v>
          </cell>
          <cell r="G323">
            <v>23402.743600000002</v>
          </cell>
          <cell r="H323" t="str">
            <v>-</v>
          </cell>
          <cell r="I323" t="str">
            <v>-</v>
          </cell>
          <cell r="J323">
            <v>23403.0642803265</v>
          </cell>
          <cell r="K323" t="str">
            <v>Small Cap</v>
          </cell>
        </row>
        <row r="324">
          <cell r="C324" t="str">
            <v>INE301O01023</v>
          </cell>
          <cell r="D324" t="str">
            <v>NSDL</v>
          </cell>
          <cell r="E324">
            <v>23327.93</v>
          </cell>
          <cell r="F324" t="str">
            <v>-</v>
          </cell>
          <cell r="G324" t="str">
            <v>-</v>
          </cell>
          <cell r="H324" t="str">
            <v>-</v>
          </cell>
          <cell r="I324" t="str">
            <v>-</v>
          </cell>
          <cell r="J324">
            <v>23327.93</v>
          </cell>
          <cell r="K324" t="str">
            <v>Small Cap</v>
          </cell>
        </row>
        <row r="325">
          <cell r="C325" t="str">
            <v>INE325A01013</v>
          </cell>
          <cell r="D325" t="str">
            <v>TIMKEN</v>
          </cell>
          <cell r="E325">
            <v>23199.591747933999</v>
          </cell>
          <cell r="F325" t="str">
            <v>TIMKEN</v>
          </cell>
          <cell r="G325">
            <v>23203.0452</v>
          </cell>
          <cell r="H325" t="str">
            <v>-</v>
          </cell>
          <cell r="I325" t="str">
            <v>-</v>
          </cell>
          <cell r="J325">
            <v>23201.318473967</v>
          </cell>
          <cell r="K325" t="str">
            <v>Small Cap</v>
          </cell>
        </row>
        <row r="326">
          <cell r="C326" t="str">
            <v>INE019C01026</v>
          </cell>
          <cell r="D326" t="str">
            <v>HSCL</v>
          </cell>
          <cell r="E326">
            <v>23186.920768104002</v>
          </cell>
          <cell r="F326" t="str">
            <v>HSCL</v>
          </cell>
          <cell r="G326">
            <v>23188.2392</v>
          </cell>
          <cell r="H326" t="str">
            <v>-</v>
          </cell>
          <cell r="I326" t="str">
            <v>-</v>
          </cell>
          <cell r="J326">
            <v>23187.579984052001</v>
          </cell>
          <cell r="K326" t="str">
            <v>Small Cap</v>
          </cell>
        </row>
        <row r="327">
          <cell r="C327" t="str">
            <v>INE451A01017</v>
          </cell>
          <cell r="D327" t="str">
            <v>FORCEMOT</v>
          </cell>
          <cell r="E327">
            <v>23014.932059250001</v>
          </cell>
          <cell r="F327" t="str">
            <v>FORCEMOT</v>
          </cell>
          <cell r="G327">
            <v>23018.515500000001</v>
          </cell>
          <cell r="H327" t="str">
            <v>-</v>
          </cell>
          <cell r="I327" t="str">
            <v>-</v>
          </cell>
          <cell r="J327">
            <v>23016.723779625001</v>
          </cell>
          <cell r="K327" t="str">
            <v>Small Cap</v>
          </cell>
        </row>
        <row r="328">
          <cell r="C328" t="str">
            <v>INE191B01025</v>
          </cell>
          <cell r="D328" t="str">
            <v>WELCORP</v>
          </cell>
          <cell r="E328">
            <v>22987.794788165</v>
          </cell>
          <cell r="F328" t="str">
            <v>WELCORP</v>
          </cell>
          <cell r="G328">
            <v>22983.091100000001</v>
          </cell>
          <cell r="H328" t="str">
            <v>-</v>
          </cell>
          <cell r="I328" t="str">
            <v>-</v>
          </cell>
          <cell r="J328">
            <v>22985.442944082501</v>
          </cell>
          <cell r="K328" t="str">
            <v>Small Cap</v>
          </cell>
        </row>
        <row r="329">
          <cell r="C329" t="str">
            <v>INE732I01021</v>
          </cell>
          <cell r="D329" t="str">
            <v>ANGELONE</v>
          </cell>
          <cell r="E329">
            <v>22921.135708556001</v>
          </cell>
          <cell r="F329" t="str">
            <v>ANGELONE</v>
          </cell>
          <cell r="G329">
            <v>22895.956099999999</v>
          </cell>
          <cell r="H329" t="str">
            <v>-</v>
          </cell>
          <cell r="I329" t="str">
            <v>-</v>
          </cell>
          <cell r="J329">
            <v>22908.545904277998</v>
          </cell>
          <cell r="K329" t="str">
            <v>Small Cap</v>
          </cell>
        </row>
        <row r="330">
          <cell r="C330" t="str">
            <v>INE092A01019</v>
          </cell>
          <cell r="D330" t="str">
            <v>TATACHEM</v>
          </cell>
          <cell r="E330">
            <v>22735.026483157999</v>
          </cell>
          <cell r="F330" t="str">
            <v>TATACHEM</v>
          </cell>
          <cell r="G330">
            <v>22736.118299999998</v>
          </cell>
          <cell r="H330" t="str">
            <v>-</v>
          </cell>
          <cell r="I330" t="str">
            <v>-</v>
          </cell>
          <cell r="J330">
            <v>22735.572391579</v>
          </cell>
          <cell r="K330" t="str">
            <v>Small Cap</v>
          </cell>
        </row>
        <row r="331">
          <cell r="C331" t="str">
            <v>INE439A01020</v>
          </cell>
          <cell r="D331" t="str">
            <v>ASAHIINDIA</v>
          </cell>
          <cell r="E331">
            <v>22714.935480762</v>
          </cell>
          <cell r="F331" t="str">
            <v>ASAHIINDIA</v>
          </cell>
          <cell r="G331">
            <v>22676.661899999999</v>
          </cell>
          <cell r="H331" t="str">
            <v>-</v>
          </cell>
          <cell r="I331" t="str">
            <v>-</v>
          </cell>
          <cell r="J331">
            <v>22695.798690381002</v>
          </cell>
          <cell r="K331" t="str">
            <v>Small Cap</v>
          </cell>
        </row>
        <row r="332">
          <cell r="C332" t="str">
            <v>INE203A01020</v>
          </cell>
          <cell r="D332" t="str">
            <v>ASTRAZEN</v>
          </cell>
          <cell r="E332">
            <v>22583.636904761999</v>
          </cell>
          <cell r="F332" t="str">
            <v>ASTRAZEN</v>
          </cell>
          <cell r="G332">
            <v>22590.873</v>
          </cell>
          <cell r="H332" t="str">
            <v>-</v>
          </cell>
          <cell r="I332" t="str">
            <v>-</v>
          </cell>
          <cell r="J332">
            <v>22587.254952381001</v>
          </cell>
          <cell r="K332" t="str">
            <v>Small Cap</v>
          </cell>
        </row>
        <row r="333">
          <cell r="C333" t="str">
            <v>INE406M01024</v>
          </cell>
          <cell r="D333" t="str">
            <v>ERIS</v>
          </cell>
          <cell r="E333">
            <v>22572.768104125</v>
          </cell>
          <cell r="F333" t="str">
            <v>ERIS</v>
          </cell>
          <cell r="G333">
            <v>22579.209900000002</v>
          </cell>
          <cell r="H333" t="str">
            <v>-</v>
          </cell>
          <cell r="I333" t="str">
            <v>-</v>
          </cell>
          <cell r="J333">
            <v>22575.989002062503</v>
          </cell>
          <cell r="K333" t="str">
            <v>Small Cap</v>
          </cell>
        </row>
        <row r="334">
          <cell r="C334" t="str">
            <v>INE486A01021</v>
          </cell>
          <cell r="D334" t="str">
            <v>CESC</v>
          </cell>
          <cell r="E334">
            <v>22519.021913645</v>
          </cell>
          <cell r="F334" t="str">
            <v>CESC</v>
          </cell>
          <cell r="G334">
            <v>22520.547399999999</v>
          </cell>
          <cell r="H334" t="str">
            <v>-</v>
          </cell>
          <cell r="I334" t="str">
            <v>-</v>
          </cell>
          <cell r="J334">
            <v>22519.7846568225</v>
          </cell>
          <cell r="K334" t="str">
            <v>Small Cap</v>
          </cell>
        </row>
        <row r="335">
          <cell r="C335" t="str">
            <v>INE292B01021</v>
          </cell>
          <cell r="D335" t="str">
            <v>HBLENGINE</v>
          </cell>
          <cell r="E335">
            <v>22517.018454956</v>
          </cell>
          <cell r="F335" t="str">
            <v>HBLENGINE</v>
          </cell>
          <cell r="G335">
            <v>22519.5484</v>
          </cell>
          <cell r="H335" t="str">
            <v>-</v>
          </cell>
          <cell r="I335" t="str">
            <v>-</v>
          </cell>
          <cell r="J335">
            <v>22518.283427478</v>
          </cell>
          <cell r="K335" t="str">
            <v>Small Cap</v>
          </cell>
        </row>
        <row r="336">
          <cell r="C336" t="str">
            <v>INE424H01027</v>
          </cell>
          <cell r="D336" t="str">
            <v>SUNTV</v>
          </cell>
          <cell r="E336">
            <v>22228.170970035997</v>
          </cell>
          <cell r="F336" t="str">
            <v>SUNTV</v>
          </cell>
          <cell r="G336">
            <v>22231.7991</v>
          </cell>
          <cell r="H336" t="str">
            <v>-</v>
          </cell>
          <cell r="I336" t="str">
            <v>-</v>
          </cell>
          <cell r="J336">
            <v>22229.985035017999</v>
          </cell>
          <cell r="K336" t="str">
            <v>Small Cap</v>
          </cell>
        </row>
        <row r="337">
          <cell r="C337" t="str">
            <v>INE036D01028</v>
          </cell>
          <cell r="D337" t="str">
            <v>KARURVYSYA</v>
          </cell>
          <cell r="E337">
            <v>22092.089693579997</v>
          </cell>
          <cell r="F337" t="str">
            <v>KARURVYSYA</v>
          </cell>
          <cell r="G337">
            <v>22230.715800000002</v>
          </cell>
          <cell r="H337" t="str">
            <v>-</v>
          </cell>
          <cell r="I337" t="str">
            <v>-</v>
          </cell>
          <cell r="J337">
            <v>22161.402746790001</v>
          </cell>
          <cell r="K337" t="str">
            <v>Small Cap</v>
          </cell>
        </row>
        <row r="338">
          <cell r="C338" t="str">
            <v>INE0W2G01015</v>
          </cell>
          <cell r="D338" t="str">
            <v>SAGILITY</v>
          </cell>
          <cell r="E338">
            <v>21900.406071417001</v>
          </cell>
          <cell r="F338" t="str">
            <v>SAGILITY</v>
          </cell>
          <cell r="G338">
            <v>21899.291499999999</v>
          </cell>
          <cell r="H338" t="str">
            <v>-</v>
          </cell>
          <cell r="I338" t="str">
            <v>-</v>
          </cell>
          <cell r="J338">
            <v>21899.848785708498</v>
          </cell>
          <cell r="K338" t="str">
            <v>Small Cap</v>
          </cell>
        </row>
        <row r="339">
          <cell r="C339" t="str">
            <v>INE980O01024</v>
          </cell>
          <cell r="D339" t="str">
            <v>JYOTICNC</v>
          </cell>
          <cell r="E339">
            <v>21734.428196774999</v>
          </cell>
          <cell r="F339" t="str">
            <v>JYOTICNC</v>
          </cell>
          <cell r="G339">
            <v>21736.377499999999</v>
          </cell>
          <cell r="H339" t="str">
            <v>-</v>
          </cell>
          <cell r="I339" t="str">
            <v>-</v>
          </cell>
          <cell r="J339">
            <v>21735.402848387501</v>
          </cell>
          <cell r="K339" t="str">
            <v>Small Cap</v>
          </cell>
        </row>
        <row r="340">
          <cell r="C340" t="str">
            <v>INE389H01022</v>
          </cell>
          <cell r="D340" t="str">
            <v>KEC</v>
          </cell>
          <cell r="E340">
            <v>21634.908515873001</v>
          </cell>
          <cell r="F340" t="str">
            <v>KEC</v>
          </cell>
          <cell r="G340">
            <v>21636.894499999999</v>
          </cell>
          <cell r="H340" t="str">
            <v>-</v>
          </cell>
          <cell r="I340" t="str">
            <v>-</v>
          </cell>
          <cell r="J340">
            <v>21635.901507936498</v>
          </cell>
          <cell r="K340" t="str">
            <v>Small Cap</v>
          </cell>
        </row>
        <row r="341">
          <cell r="C341" t="str">
            <v>INE883F01010</v>
          </cell>
          <cell r="D341" t="str">
            <v>AADHARHFC</v>
          </cell>
          <cell r="E341">
            <v>21636.155102395001</v>
          </cell>
          <cell r="F341" t="str">
            <v>AADHARHFC</v>
          </cell>
          <cell r="G341">
            <v>21627.099600000001</v>
          </cell>
          <cell r="H341" t="str">
            <v>-</v>
          </cell>
          <cell r="I341" t="str">
            <v>-</v>
          </cell>
          <cell r="J341">
            <v>21631.627351197501</v>
          </cell>
          <cell r="K341" t="str">
            <v>Small Cap</v>
          </cell>
        </row>
        <row r="342">
          <cell r="C342" t="str">
            <v>INE530B01024</v>
          </cell>
          <cell r="D342" t="str">
            <v>IIFL</v>
          </cell>
          <cell r="E342">
            <v>21399.398256466</v>
          </cell>
          <cell r="F342" t="str">
            <v>IIFL</v>
          </cell>
          <cell r="G342">
            <v>21398.639800000001</v>
          </cell>
          <cell r="H342" t="str">
            <v>-</v>
          </cell>
          <cell r="I342" t="str">
            <v>-</v>
          </cell>
          <cell r="J342">
            <v>21399.019028233</v>
          </cell>
          <cell r="K342" t="str">
            <v>Small Cap</v>
          </cell>
        </row>
        <row r="343">
          <cell r="C343" t="str">
            <v>INE891D01026</v>
          </cell>
          <cell r="D343" t="str">
            <v>REDINGTON</v>
          </cell>
          <cell r="E343">
            <v>21393.28832711</v>
          </cell>
          <cell r="F343" t="str">
            <v>REDINGTON</v>
          </cell>
          <cell r="G343">
            <v>21393.387599999998</v>
          </cell>
          <cell r="H343" t="str">
            <v>-</v>
          </cell>
          <cell r="I343" t="str">
            <v>-</v>
          </cell>
          <cell r="J343">
            <v>21393.337963555001</v>
          </cell>
          <cell r="K343" t="str">
            <v>Small Cap</v>
          </cell>
        </row>
        <row r="344">
          <cell r="C344" t="str">
            <v>INE473B01035</v>
          </cell>
          <cell r="D344" t="str">
            <v>HATSUN</v>
          </cell>
          <cell r="E344">
            <v>21359.97668136</v>
          </cell>
          <cell r="F344" t="str">
            <v>HATSUN</v>
          </cell>
          <cell r="G344">
            <v>21364.157599999999</v>
          </cell>
          <cell r="H344" t="str">
            <v>-</v>
          </cell>
          <cell r="I344" t="str">
            <v>-</v>
          </cell>
          <cell r="J344">
            <v>21362.067140679999</v>
          </cell>
          <cell r="K344" t="str">
            <v>Small Cap</v>
          </cell>
        </row>
        <row r="345">
          <cell r="C345" t="str">
            <v>INE741K01010</v>
          </cell>
          <cell r="D345" t="str">
            <v>CREDITACC</v>
          </cell>
          <cell r="E345">
            <v>21268.376637857</v>
          </cell>
          <cell r="F345" t="str">
            <v>CREDITACC</v>
          </cell>
          <cell r="G345">
            <v>21265.923500000001</v>
          </cell>
          <cell r="H345" t="str">
            <v>-</v>
          </cell>
          <cell r="I345" t="str">
            <v>-</v>
          </cell>
          <cell r="J345">
            <v>21267.150068928502</v>
          </cell>
          <cell r="K345" t="str">
            <v>Small Cap</v>
          </cell>
        </row>
        <row r="346">
          <cell r="C346" t="str">
            <v>INE0CAZ01013</v>
          </cell>
          <cell r="D346" t="str">
            <v>URBANCO</v>
          </cell>
          <cell r="E346">
            <v>21168.921110381001</v>
          </cell>
          <cell r="F346" t="str">
            <v>URBANCO</v>
          </cell>
          <cell r="G346">
            <v>21100.6973</v>
          </cell>
          <cell r="H346" t="str">
            <v>-</v>
          </cell>
          <cell r="I346" t="str">
            <v>-</v>
          </cell>
          <cell r="J346">
            <v>21134.809205190501</v>
          </cell>
          <cell r="K346" t="str">
            <v>Small Cap</v>
          </cell>
        </row>
        <row r="347">
          <cell r="C347" t="str">
            <v>INE824G01012</v>
          </cell>
          <cell r="D347" t="str">
            <v>JSWHL</v>
          </cell>
          <cell r="E347">
            <v>21053.459055699001</v>
          </cell>
          <cell r="F347" t="str">
            <v>JSWHL</v>
          </cell>
          <cell r="G347">
            <v>21062.701300000001</v>
          </cell>
          <cell r="H347" t="str">
            <v>-</v>
          </cell>
          <cell r="I347" t="str">
            <v>-</v>
          </cell>
          <cell r="J347">
            <v>21058.080177849501</v>
          </cell>
          <cell r="K347" t="str">
            <v>Small Cap</v>
          </cell>
        </row>
        <row r="348">
          <cell r="C348" t="str">
            <v>INE608A01012</v>
          </cell>
          <cell r="D348" t="str">
            <v>PSB</v>
          </cell>
          <cell r="E348">
            <v>21026.527887764998</v>
          </cell>
          <cell r="F348" t="str">
            <v>PSB</v>
          </cell>
          <cell r="G348">
            <v>21025.176299999999</v>
          </cell>
          <cell r="H348" t="str">
            <v>-</v>
          </cell>
          <cell r="I348" t="str">
            <v>-</v>
          </cell>
          <cell r="J348">
            <v>21025.852093882499</v>
          </cell>
          <cell r="K348" t="str">
            <v>Small Cap</v>
          </cell>
        </row>
        <row r="349">
          <cell r="C349" t="str">
            <v>INE013P01021</v>
          </cell>
          <cell r="D349" t="str">
            <v>ONESOURCE</v>
          </cell>
          <cell r="E349">
            <v>20904.408363401002</v>
          </cell>
          <cell r="F349" t="str">
            <v>ONESOURCE</v>
          </cell>
          <cell r="G349">
            <v>20905.794399999999</v>
          </cell>
          <cell r="H349" t="str">
            <v>-</v>
          </cell>
          <cell r="I349" t="str">
            <v>-</v>
          </cell>
          <cell r="J349">
            <v>20905.1013817005</v>
          </cell>
          <cell r="K349" t="str">
            <v>Small Cap</v>
          </cell>
        </row>
        <row r="350">
          <cell r="C350" t="str">
            <v>INE220B01022</v>
          </cell>
          <cell r="D350" t="str">
            <v>KPIL</v>
          </cell>
          <cell r="E350">
            <v>20879.383356300001</v>
          </cell>
          <cell r="F350" t="str">
            <v>KPIL</v>
          </cell>
          <cell r="G350">
            <v>20884.642100000001</v>
          </cell>
          <cell r="H350" t="str">
            <v>-</v>
          </cell>
          <cell r="I350" t="str">
            <v>-</v>
          </cell>
          <cell r="J350">
            <v>20882.012728150003</v>
          </cell>
          <cell r="K350" t="str">
            <v>Small Cap</v>
          </cell>
        </row>
        <row r="351">
          <cell r="C351" t="str">
            <v>INE0LEZ01016</v>
          </cell>
          <cell r="D351" t="str">
            <v>ATHERENERG</v>
          </cell>
          <cell r="E351">
            <v>20851.532638201003</v>
          </cell>
          <cell r="F351" t="str">
            <v>ATHERENERG</v>
          </cell>
          <cell r="G351">
            <v>20750.0232</v>
          </cell>
          <cell r="H351" t="str">
            <v>-</v>
          </cell>
          <cell r="I351" t="str">
            <v>-</v>
          </cell>
          <cell r="J351">
            <v>20800.777919100503</v>
          </cell>
          <cell r="K351" t="str">
            <v>Small Cap</v>
          </cell>
        </row>
        <row r="352">
          <cell r="C352" t="str">
            <v>INE387A01021</v>
          </cell>
          <cell r="D352" t="str">
            <v>SUNDRMFAST</v>
          </cell>
          <cell r="E352">
            <v>20686.037354085998</v>
          </cell>
          <cell r="F352" t="str">
            <v>SUNDRMFAST</v>
          </cell>
          <cell r="G352">
            <v>20688.063600000001</v>
          </cell>
          <cell r="H352" t="str">
            <v>-</v>
          </cell>
          <cell r="I352" t="str">
            <v>-</v>
          </cell>
          <cell r="J352">
            <v>20687.050477042998</v>
          </cell>
          <cell r="K352" t="str">
            <v>Small Cap</v>
          </cell>
        </row>
        <row r="353">
          <cell r="C353" t="str">
            <v>INE055A01016</v>
          </cell>
          <cell r="D353" t="str">
            <v>ABREL</v>
          </cell>
          <cell r="E353">
            <v>20443.239235416</v>
          </cell>
          <cell r="F353" t="str">
            <v>ABREL</v>
          </cell>
          <cell r="G353">
            <v>20445.317999999999</v>
          </cell>
          <cell r="H353" t="str">
            <v>-</v>
          </cell>
          <cell r="I353" t="str">
            <v>-</v>
          </cell>
          <cell r="J353">
            <v>20444.278617707998</v>
          </cell>
          <cell r="K353" t="str">
            <v>Small Cap</v>
          </cell>
        </row>
        <row r="354">
          <cell r="C354" t="str">
            <v>INE0LXG01040</v>
          </cell>
          <cell r="D354" t="str">
            <v>OLAELEC</v>
          </cell>
          <cell r="E354">
            <v>20391.196545182</v>
          </cell>
          <cell r="F354" t="str">
            <v>OLAELEC</v>
          </cell>
          <cell r="G354">
            <v>20390.006300000001</v>
          </cell>
          <cell r="H354" t="str">
            <v>-</v>
          </cell>
          <cell r="I354" t="str">
            <v>-</v>
          </cell>
          <cell r="J354">
            <v>20390.601422591</v>
          </cell>
          <cell r="K354" t="str">
            <v>Small Cap</v>
          </cell>
        </row>
        <row r="355">
          <cell r="C355" t="str">
            <v>INE427F01016</v>
          </cell>
          <cell r="D355" t="str">
            <v>CHALET</v>
          </cell>
          <cell r="E355">
            <v>20367.892913746</v>
          </cell>
          <cell r="F355" t="str">
            <v>CHALET</v>
          </cell>
          <cell r="G355">
            <v>20365.3518</v>
          </cell>
          <cell r="H355" t="str">
            <v>-</v>
          </cell>
          <cell r="I355" t="str">
            <v>-</v>
          </cell>
          <cell r="J355">
            <v>20366.622356872998</v>
          </cell>
          <cell r="K355" t="str">
            <v>Small Cap</v>
          </cell>
        </row>
        <row r="356">
          <cell r="C356" t="str">
            <v>INE242C01024</v>
          </cell>
          <cell r="D356" t="str">
            <v>ANANTRAJ</v>
          </cell>
          <cell r="E356">
            <v>20543.644059235998</v>
          </cell>
          <cell r="F356" t="str">
            <v>ANANTRAJ</v>
          </cell>
          <cell r="G356">
            <v>20146.7402</v>
          </cell>
          <cell r="H356" t="str">
            <v>-</v>
          </cell>
          <cell r="I356" t="str">
            <v>-</v>
          </cell>
          <cell r="J356">
            <v>20345.192129618001</v>
          </cell>
          <cell r="K356" t="str">
            <v>Small Cap</v>
          </cell>
        </row>
        <row r="357">
          <cell r="C357" t="str">
            <v>INE085A01013</v>
          </cell>
          <cell r="D357" t="str">
            <v>CHAMBLFERT</v>
          </cell>
          <cell r="E357">
            <v>20317.268767678001</v>
          </cell>
          <cell r="F357" t="str">
            <v>CHAMBLFERT</v>
          </cell>
          <cell r="G357">
            <v>20316.457900000001</v>
          </cell>
          <cell r="H357" t="str">
            <v>-</v>
          </cell>
          <cell r="I357" t="str">
            <v>-</v>
          </cell>
          <cell r="J357">
            <v>20316.863333838999</v>
          </cell>
          <cell r="K357" t="str">
            <v>Small Cap</v>
          </cell>
        </row>
        <row r="358">
          <cell r="C358" t="str">
            <v>INE738I01010</v>
          </cell>
          <cell r="D358" t="str">
            <v>ECLERX</v>
          </cell>
          <cell r="E358">
            <v>20100.746132408</v>
          </cell>
          <cell r="F358" t="str">
            <v>ECLERX</v>
          </cell>
          <cell r="G358">
            <v>20101.349699999999</v>
          </cell>
          <cell r="H358" t="str">
            <v>-</v>
          </cell>
          <cell r="I358" t="str">
            <v>-</v>
          </cell>
          <cell r="J358">
            <v>20101.047916203999</v>
          </cell>
          <cell r="K358" t="str">
            <v>Small Cap</v>
          </cell>
        </row>
        <row r="359">
          <cell r="C359" t="str">
            <v>INE172A01027</v>
          </cell>
          <cell r="D359" t="str">
            <v>CASTROLIND</v>
          </cell>
          <cell r="E359">
            <v>19988.711097775002</v>
          </cell>
          <cell r="F359" t="str">
            <v>CASTROLIND</v>
          </cell>
          <cell r="G359">
            <v>19987.941800000001</v>
          </cell>
          <cell r="H359" t="str">
            <v>-</v>
          </cell>
          <cell r="I359" t="str">
            <v>-</v>
          </cell>
          <cell r="J359">
            <v>19988.326448887499</v>
          </cell>
          <cell r="K359" t="str">
            <v>Small Cap</v>
          </cell>
        </row>
        <row r="360">
          <cell r="C360" t="str">
            <v>INE839M01018</v>
          </cell>
          <cell r="D360" t="str">
            <v>SCHNEIDER</v>
          </cell>
          <cell r="E360">
            <v>19958.345890388002</v>
          </cell>
          <cell r="F360" t="str">
            <v>SCHNEIDER</v>
          </cell>
          <cell r="G360">
            <v>19958.3933</v>
          </cell>
          <cell r="H360" t="str">
            <v>-</v>
          </cell>
          <cell r="I360" t="str">
            <v>-</v>
          </cell>
          <cell r="J360">
            <v>19958.369595194003</v>
          </cell>
          <cell r="K360" t="str">
            <v>Small Cap</v>
          </cell>
        </row>
        <row r="361">
          <cell r="C361" t="str">
            <v>INE205C01021</v>
          </cell>
          <cell r="D361" t="str">
            <v>POLYMED</v>
          </cell>
          <cell r="E361">
            <v>19949.919984516</v>
          </cell>
          <cell r="F361" t="str">
            <v>POLYMED</v>
          </cell>
          <cell r="G361">
            <v>19948.6603</v>
          </cell>
          <cell r="H361" t="str">
            <v>-</v>
          </cell>
          <cell r="I361" t="str">
            <v>-</v>
          </cell>
          <cell r="J361">
            <v>19949.290142258</v>
          </cell>
          <cell r="K361" t="str">
            <v>Small Cap</v>
          </cell>
        </row>
        <row r="362">
          <cell r="C362" t="str">
            <v>INE499A01024</v>
          </cell>
          <cell r="D362" t="str">
            <v>DCMSHRIRAM</v>
          </cell>
          <cell r="E362">
            <v>19787.715961402999</v>
          </cell>
          <cell r="F362" t="str">
            <v>DCMSHRIRAM</v>
          </cell>
          <cell r="G362">
            <v>19790.884300000002</v>
          </cell>
          <cell r="H362" t="str">
            <v>-</v>
          </cell>
          <cell r="I362" t="str">
            <v>-</v>
          </cell>
          <cell r="J362">
            <v>19789.3001307015</v>
          </cell>
          <cell r="K362" t="str">
            <v>Small Cap</v>
          </cell>
        </row>
        <row r="363">
          <cell r="C363" t="str">
            <v>INE872J01023</v>
          </cell>
          <cell r="D363" t="str">
            <v>DEVYANI</v>
          </cell>
          <cell r="E363">
            <v>19740.244653199999</v>
          </cell>
          <cell r="F363" t="str">
            <v>DEVYANI</v>
          </cell>
          <cell r="G363">
            <v>19546.763200000001</v>
          </cell>
          <cell r="H363" t="str">
            <v>-</v>
          </cell>
          <cell r="I363" t="str">
            <v>-</v>
          </cell>
          <cell r="J363">
            <v>19643.503926600002</v>
          </cell>
          <cell r="K363" t="str">
            <v>Small Cap</v>
          </cell>
        </row>
        <row r="364">
          <cell r="C364" t="str">
            <v>INE373A01013</v>
          </cell>
          <cell r="D364" t="str">
            <v>BASF</v>
          </cell>
          <cell r="E364">
            <v>19608.851823977999</v>
          </cell>
          <cell r="F364" t="str">
            <v>BASF</v>
          </cell>
          <cell r="G364">
            <v>19610.7585</v>
          </cell>
          <cell r="H364" t="str">
            <v>-</v>
          </cell>
          <cell r="I364" t="str">
            <v>-</v>
          </cell>
          <cell r="J364">
            <v>19609.805161988999</v>
          </cell>
          <cell r="K364" t="str">
            <v>Small Cap</v>
          </cell>
        </row>
        <row r="365">
          <cell r="C365" t="str">
            <v>INE19RI01016</v>
          </cell>
          <cell r="D365" t="str">
            <v>TENNIND</v>
          </cell>
          <cell r="E365">
            <v>19602.792218590999</v>
          </cell>
          <cell r="F365" t="str">
            <v>TENNIND</v>
          </cell>
          <cell r="G365">
            <v>19599.899700000002</v>
          </cell>
          <cell r="H365" t="str">
            <v>-</v>
          </cell>
          <cell r="I365" t="str">
            <v>-</v>
          </cell>
          <cell r="J365">
            <v>19601.345959295501</v>
          </cell>
          <cell r="K365" t="str">
            <v>Small Cap</v>
          </cell>
        </row>
        <row r="366">
          <cell r="C366" t="str">
            <v>INE531A01024</v>
          </cell>
          <cell r="D366" t="str">
            <v>KANSAINER</v>
          </cell>
          <cell r="E366">
            <v>19574.340525457003</v>
          </cell>
          <cell r="F366" t="str">
            <v>KANSAINER</v>
          </cell>
          <cell r="G366">
            <v>19574.8213</v>
          </cell>
          <cell r="H366" t="str">
            <v>-</v>
          </cell>
          <cell r="I366" t="str">
            <v>-</v>
          </cell>
          <cell r="J366">
            <v>19574.580912728503</v>
          </cell>
          <cell r="K366" t="str">
            <v>Small Cap</v>
          </cell>
        </row>
        <row r="367">
          <cell r="C367" t="str">
            <v>INE794A01010</v>
          </cell>
          <cell r="D367" t="str">
            <v>NEULANDLAB</v>
          </cell>
          <cell r="E367">
            <v>19314.293602624999</v>
          </cell>
          <cell r="F367" t="str">
            <v>NEULANDLAB</v>
          </cell>
          <cell r="G367">
            <v>19317.159500000002</v>
          </cell>
          <cell r="H367" t="str">
            <v>-</v>
          </cell>
          <cell r="I367" t="str">
            <v>-</v>
          </cell>
          <cell r="J367">
            <v>19315.726551312502</v>
          </cell>
          <cell r="K367" t="str">
            <v>Small Cap</v>
          </cell>
        </row>
        <row r="368">
          <cell r="C368" t="str">
            <v>INE299U01018</v>
          </cell>
          <cell r="D368" t="str">
            <v>CROMPTON</v>
          </cell>
          <cell r="E368">
            <v>19299.165001174999</v>
          </cell>
          <cell r="F368" t="str">
            <v>CROMPTON</v>
          </cell>
          <cell r="G368">
            <v>19297.921600000001</v>
          </cell>
          <cell r="H368" t="str">
            <v>-</v>
          </cell>
          <cell r="I368" t="str">
            <v>-</v>
          </cell>
          <cell r="J368">
            <v>19298.543300587502</v>
          </cell>
          <cell r="K368" t="str">
            <v>Small Cap</v>
          </cell>
        </row>
        <row r="369">
          <cell r="C369" t="str">
            <v>INE596I01020</v>
          </cell>
          <cell r="D369" t="str">
            <v>CAMS</v>
          </cell>
          <cell r="E369">
            <v>19283.8854269</v>
          </cell>
          <cell r="F369" t="str">
            <v>CAMS</v>
          </cell>
          <cell r="G369">
            <v>19271.640200000002</v>
          </cell>
          <cell r="H369" t="str">
            <v>-</v>
          </cell>
          <cell r="I369" t="str">
            <v>-</v>
          </cell>
          <cell r="J369">
            <v>19277.762813450001</v>
          </cell>
          <cell r="K369" t="str">
            <v>Small Cap</v>
          </cell>
        </row>
        <row r="370">
          <cell r="C370" t="str">
            <v>INE126A01031</v>
          </cell>
          <cell r="D370" t="str">
            <v>EIDPARRY</v>
          </cell>
          <cell r="E370">
            <v>19275.294833014003</v>
          </cell>
          <cell r="F370" t="str">
            <v>EIDPARRY</v>
          </cell>
          <cell r="G370">
            <v>19278.4941</v>
          </cell>
          <cell r="H370" t="str">
            <v>-</v>
          </cell>
          <cell r="I370" t="str">
            <v>-</v>
          </cell>
          <cell r="J370">
            <v>19276.894466507001</v>
          </cell>
          <cell r="K370" t="str">
            <v>Small Cap</v>
          </cell>
        </row>
        <row r="371">
          <cell r="C371" t="str">
            <v>INE138Y01010</v>
          </cell>
          <cell r="D371" t="str">
            <v>KFINTECH</v>
          </cell>
          <cell r="E371">
            <v>19261.814610631001</v>
          </cell>
          <cell r="F371" t="str">
            <v>KFINTECH</v>
          </cell>
          <cell r="G371">
            <v>19256.948700000001</v>
          </cell>
          <cell r="H371" t="str">
            <v>-</v>
          </cell>
          <cell r="I371" t="str">
            <v>-</v>
          </cell>
          <cell r="J371">
            <v>19259.381655315501</v>
          </cell>
          <cell r="K371" t="str">
            <v>Small Cap</v>
          </cell>
        </row>
        <row r="372">
          <cell r="C372" t="str">
            <v>INE614G01033</v>
          </cell>
          <cell r="D372" t="str">
            <v>RPOWER</v>
          </cell>
          <cell r="E372">
            <v>19186.038452748999</v>
          </cell>
          <cell r="F372" t="str">
            <v>RPOWER</v>
          </cell>
          <cell r="G372">
            <v>19179.802</v>
          </cell>
          <cell r="H372" t="str">
            <v>-</v>
          </cell>
          <cell r="I372" t="str">
            <v>-</v>
          </cell>
          <cell r="J372">
            <v>19182.920226374499</v>
          </cell>
          <cell r="K372" t="str">
            <v>Small Cap</v>
          </cell>
        </row>
        <row r="373">
          <cell r="C373" t="str">
            <v>INE00E101023</v>
          </cell>
          <cell r="D373" t="str">
            <v>BIKAJI</v>
          </cell>
          <cell r="E373">
            <v>18636.092579097</v>
          </cell>
          <cell r="F373" t="str">
            <v>BIKAJI</v>
          </cell>
          <cell r="G373">
            <v>18639.891199999998</v>
          </cell>
          <cell r="H373" t="str">
            <v>-</v>
          </cell>
          <cell r="I373" t="str">
            <v>-</v>
          </cell>
          <cell r="J373">
            <v>18637.991889548499</v>
          </cell>
          <cell r="K373" t="str">
            <v>Small Cap</v>
          </cell>
        </row>
        <row r="374">
          <cell r="C374" t="str">
            <v>INE217B01036</v>
          </cell>
          <cell r="D374" t="str">
            <v>KAJARIACER</v>
          </cell>
          <cell r="E374">
            <v>18606.296363392001</v>
          </cell>
          <cell r="F374" t="str">
            <v>KAJARIACER</v>
          </cell>
          <cell r="G374">
            <v>18611.573799999998</v>
          </cell>
          <cell r="H374" t="str">
            <v>-</v>
          </cell>
          <cell r="I374" t="str">
            <v>-</v>
          </cell>
          <cell r="J374">
            <v>18608.935081696</v>
          </cell>
          <cell r="K374" t="str">
            <v>Small Cap</v>
          </cell>
        </row>
        <row r="375">
          <cell r="C375" t="str">
            <v>INE100A01010</v>
          </cell>
          <cell r="D375" t="str">
            <v>ATUL</v>
          </cell>
          <cell r="E375">
            <v>18555.167214567999</v>
          </cell>
          <cell r="F375" t="str">
            <v>ATUL</v>
          </cell>
          <cell r="G375">
            <v>18556.8344</v>
          </cell>
          <cell r="H375" t="str">
            <v>-</v>
          </cell>
          <cell r="I375" t="str">
            <v>-</v>
          </cell>
          <cell r="J375">
            <v>18556.000807283999</v>
          </cell>
          <cell r="K375" t="str">
            <v>Small Cap</v>
          </cell>
        </row>
        <row r="376">
          <cell r="C376" t="str">
            <v>INE385C01021</v>
          </cell>
          <cell r="D376" t="str">
            <v>SARDAEN</v>
          </cell>
          <cell r="E376">
            <v>18465.049472366001</v>
          </cell>
          <cell r="F376" t="str">
            <v>SARDAEN</v>
          </cell>
          <cell r="G376">
            <v>18466.708299999998</v>
          </cell>
          <cell r="H376" t="str">
            <v>-</v>
          </cell>
          <cell r="I376" t="str">
            <v>-</v>
          </cell>
          <cell r="J376">
            <v>18465.878886183</v>
          </cell>
          <cell r="K376" t="str">
            <v>Small Cap</v>
          </cell>
        </row>
        <row r="377">
          <cell r="C377" t="str">
            <v>INE901L01018</v>
          </cell>
          <cell r="D377" t="str">
            <v>APLLTD</v>
          </cell>
          <cell r="E377">
            <v>18407.278548963001</v>
          </cell>
          <cell r="F377" t="str">
            <v>APLLTD</v>
          </cell>
          <cell r="G377">
            <v>18406.974300000002</v>
          </cell>
          <cell r="H377" t="str">
            <v>-</v>
          </cell>
          <cell r="I377" t="str">
            <v>-</v>
          </cell>
          <cell r="J377">
            <v>18407.126424481503</v>
          </cell>
          <cell r="K377" t="str">
            <v>Small Cap</v>
          </cell>
        </row>
        <row r="378">
          <cell r="C378" t="str">
            <v>INE501A01019</v>
          </cell>
          <cell r="D378" t="str">
            <v>DEEPAKFERT</v>
          </cell>
          <cell r="E378">
            <v>18331.670842313</v>
          </cell>
          <cell r="F378" t="str">
            <v>DEEPAKFERT</v>
          </cell>
          <cell r="G378">
            <v>18335.5131</v>
          </cell>
          <cell r="H378" t="str">
            <v>-</v>
          </cell>
          <cell r="I378" t="str">
            <v>-</v>
          </cell>
          <cell r="J378">
            <v>18333.5919711565</v>
          </cell>
          <cell r="K378" t="str">
            <v>Small Cap</v>
          </cell>
        </row>
        <row r="379">
          <cell r="C379" t="str">
            <v>INE02RE01045</v>
          </cell>
          <cell r="D379" t="str">
            <v>FIRSTCRY</v>
          </cell>
          <cell r="E379">
            <v>18306.373954097002</v>
          </cell>
          <cell r="F379" t="str">
            <v>FIRSTCRY</v>
          </cell>
          <cell r="G379">
            <v>18301.797399999999</v>
          </cell>
          <cell r="H379" t="str">
            <v>-</v>
          </cell>
          <cell r="I379" t="str">
            <v>-</v>
          </cell>
          <cell r="J379">
            <v>18304.085677048501</v>
          </cell>
          <cell r="K379" t="str">
            <v>Small Cap</v>
          </cell>
        </row>
        <row r="380">
          <cell r="C380" t="str">
            <v>INE718I01012</v>
          </cell>
          <cell r="D380" t="str">
            <v>JSWCEMENT</v>
          </cell>
          <cell r="E380">
            <v>18253.208391283999</v>
          </cell>
          <cell r="F380" t="str">
            <v>JSWCEMENT</v>
          </cell>
          <cell r="G380">
            <v>18255.935099999999</v>
          </cell>
          <cell r="H380" t="str">
            <v>-</v>
          </cell>
          <cell r="I380" t="str">
            <v>-</v>
          </cell>
          <cell r="J380">
            <v>18254.571745641999</v>
          </cell>
          <cell r="K380" t="str">
            <v>Small Cap</v>
          </cell>
        </row>
        <row r="381">
          <cell r="C381" t="str">
            <v>INE570L01029</v>
          </cell>
          <cell r="D381" t="str">
            <v>SAILIFE</v>
          </cell>
          <cell r="E381">
            <v>18094.196346010998</v>
          </cell>
          <cell r="F381" t="str">
            <v>SAILIFE</v>
          </cell>
          <cell r="G381">
            <v>18063.505000000001</v>
          </cell>
          <cell r="H381" t="str">
            <v>-</v>
          </cell>
          <cell r="I381" t="str">
            <v>-</v>
          </cell>
          <cell r="J381">
            <v>18078.850673005501</v>
          </cell>
          <cell r="K381" t="str">
            <v>Small Cap</v>
          </cell>
        </row>
        <row r="382">
          <cell r="C382" t="str">
            <v>INE180C01042</v>
          </cell>
          <cell r="D382" t="str">
            <v>CGCL</v>
          </cell>
          <cell r="E382">
            <v>17989.451583311999</v>
          </cell>
          <cell r="F382" t="str">
            <v>CGCL</v>
          </cell>
          <cell r="G382">
            <v>17988.261600000002</v>
          </cell>
          <cell r="H382" t="str">
            <v>-</v>
          </cell>
          <cell r="I382" t="str">
            <v>-</v>
          </cell>
          <cell r="J382">
            <v>17988.856591656</v>
          </cell>
          <cell r="K382" t="str">
            <v>Small Cap</v>
          </cell>
        </row>
        <row r="383">
          <cell r="C383" t="str">
            <v>INE885A01032</v>
          </cell>
          <cell r="D383" t="str">
            <v>ARE&amp;M</v>
          </cell>
          <cell r="E383">
            <v>17871.562508159001</v>
          </cell>
          <cell r="F383" t="str">
            <v>ARE&amp;M</v>
          </cell>
          <cell r="G383">
            <v>17873.436300000001</v>
          </cell>
          <cell r="H383" t="str">
            <v>-</v>
          </cell>
          <cell r="I383" t="str">
            <v>-</v>
          </cell>
          <cell r="J383">
            <v>17872.499404079499</v>
          </cell>
          <cell r="K383" t="str">
            <v>Small Cap</v>
          </cell>
        </row>
        <row r="384">
          <cell r="C384" t="str">
            <v>INE536A01023</v>
          </cell>
          <cell r="D384" t="str">
            <v>GRINDWELL</v>
          </cell>
          <cell r="E384">
            <v>17855.906666667001</v>
          </cell>
          <cell r="F384" t="str">
            <v>GRINDWELL</v>
          </cell>
          <cell r="G384">
            <v>17857.475200000001</v>
          </cell>
          <cell r="H384" t="str">
            <v>-</v>
          </cell>
          <cell r="I384" t="str">
            <v>-</v>
          </cell>
          <cell r="J384">
            <v>17856.690933333499</v>
          </cell>
          <cell r="K384" t="str">
            <v>Small Cap</v>
          </cell>
        </row>
        <row r="385">
          <cell r="C385" t="str">
            <v>INE410B01037</v>
          </cell>
          <cell r="D385" t="str">
            <v>VINATIORGA</v>
          </cell>
          <cell r="E385">
            <v>17780.515287431001</v>
          </cell>
          <cell r="F385" t="str">
            <v>VINATIORGA</v>
          </cell>
          <cell r="G385">
            <v>17785.402399999999</v>
          </cell>
          <cell r="H385" t="str">
            <v>-</v>
          </cell>
          <cell r="I385" t="str">
            <v>-</v>
          </cell>
          <cell r="J385">
            <v>17782.9588437155</v>
          </cell>
          <cell r="K385" t="str">
            <v>Small Cap</v>
          </cell>
        </row>
        <row r="386">
          <cell r="C386" t="str">
            <v>INE288A01013</v>
          </cell>
          <cell r="D386" t="str">
            <v>MAHSCOOTER</v>
          </cell>
          <cell r="E386">
            <v>17759.859071134</v>
          </cell>
          <cell r="F386" t="str">
            <v>MAHSCOOTER</v>
          </cell>
          <cell r="G386">
            <v>17760.157899999998</v>
          </cell>
          <cell r="H386" t="str">
            <v>-</v>
          </cell>
          <cell r="I386" t="str">
            <v>-</v>
          </cell>
          <cell r="J386">
            <v>17760.008485566999</v>
          </cell>
          <cell r="K386" t="str">
            <v>Small Cap</v>
          </cell>
        </row>
        <row r="387">
          <cell r="C387" t="str">
            <v>INE700A01033</v>
          </cell>
          <cell r="D387" t="str">
            <v>JUBLPHARMA</v>
          </cell>
          <cell r="E387">
            <v>17701.545045081999</v>
          </cell>
          <cell r="F387" t="str">
            <v>JUBLPHARMA</v>
          </cell>
          <cell r="G387">
            <v>17704.958200000001</v>
          </cell>
          <cell r="H387" t="str">
            <v>-</v>
          </cell>
          <cell r="I387" t="str">
            <v>-</v>
          </cell>
          <cell r="J387">
            <v>17703.251622541</v>
          </cell>
          <cell r="K387" t="str">
            <v>Small Cap</v>
          </cell>
        </row>
        <row r="388">
          <cell r="C388" t="str">
            <v>INE520A01027</v>
          </cell>
          <cell r="D388" t="str">
            <v>ZENSARTECH</v>
          </cell>
          <cell r="E388">
            <v>17688.781148786999</v>
          </cell>
          <cell r="F388" t="str">
            <v>ZENSARTECH</v>
          </cell>
          <cell r="G388">
            <v>17686.831900000001</v>
          </cell>
          <cell r="H388" t="str">
            <v>-</v>
          </cell>
          <cell r="I388" t="str">
            <v>-</v>
          </cell>
          <cell r="J388">
            <v>17687.806524393498</v>
          </cell>
          <cell r="K388" t="str">
            <v>Small Cap</v>
          </cell>
        </row>
        <row r="389">
          <cell r="C389" t="str">
            <v>INE128S01021</v>
          </cell>
          <cell r="D389" t="str">
            <v>FIVESTAR</v>
          </cell>
          <cell r="E389">
            <v>17604.031573461998</v>
          </cell>
          <cell r="F389" t="str">
            <v>FIVESTAR</v>
          </cell>
          <cell r="G389">
            <v>17602.734799999998</v>
          </cell>
          <cell r="H389" t="str">
            <v>-</v>
          </cell>
          <cell r="I389" t="str">
            <v>-</v>
          </cell>
          <cell r="J389">
            <v>17603.383186731</v>
          </cell>
          <cell r="K389" t="str">
            <v>Small Cap</v>
          </cell>
        </row>
        <row r="390">
          <cell r="C390" t="str">
            <v>INE152M01016</v>
          </cell>
          <cell r="D390" t="str">
            <v>TRITURBINE</v>
          </cell>
          <cell r="E390">
            <v>17480.377317130999</v>
          </cell>
          <cell r="F390" t="str">
            <v>TRITURBINE</v>
          </cell>
          <cell r="G390">
            <v>17481.7075</v>
          </cell>
          <cell r="H390" t="str">
            <v>-</v>
          </cell>
          <cell r="I390" t="str">
            <v>-</v>
          </cell>
          <cell r="J390">
            <v>17481.042408565499</v>
          </cell>
          <cell r="K390" t="str">
            <v>Small Cap</v>
          </cell>
        </row>
        <row r="391">
          <cell r="C391" t="str">
            <v>INE976G01028</v>
          </cell>
          <cell r="D391" t="str">
            <v>RBLBANK</v>
          </cell>
          <cell r="E391">
            <v>17458.046428285001</v>
          </cell>
          <cell r="F391" t="str">
            <v>RBLBANK</v>
          </cell>
          <cell r="G391">
            <v>17414.114000000001</v>
          </cell>
          <cell r="H391" t="str">
            <v>-</v>
          </cell>
          <cell r="I391" t="str">
            <v>-</v>
          </cell>
          <cell r="J391">
            <v>17436.080214142501</v>
          </cell>
          <cell r="K391" t="str">
            <v>Small Cap</v>
          </cell>
        </row>
        <row r="392">
          <cell r="C392" t="str">
            <v>INE120A01034</v>
          </cell>
          <cell r="D392" t="str">
            <v>CARBORUNIV</v>
          </cell>
          <cell r="E392">
            <v>17436.98334993</v>
          </cell>
          <cell r="F392" t="str">
            <v>CARBORUNIV</v>
          </cell>
          <cell r="G392">
            <v>17434.393899999999</v>
          </cell>
          <cell r="H392" t="str">
            <v>-</v>
          </cell>
          <cell r="I392" t="str">
            <v>-</v>
          </cell>
          <cell r="J392">
            <v>17435.688624964998</v>
          </cell>
          <cell r="K392" t="str">
            <v>Small Cap</v>
          </cell>
        </row>
        <row r="393">
          <cell r="C393" t="str">
            <v>INE246F01010</v>
          </cell>
          <cell r="D393" t="str">
            <v>GSPL</v>
          </cell>
          <cell r="E393">
            <v>17393.315751001002</v>
          </cell>
          <cell r="F393" t="str">
            <v>GSPL</v>
          </cell>
          <cell r="G393">
            <v>17393.696400000001</v>
          </cell>
          <cell r="H393" t="str">
            <v>-</v>
          </cell>
          <cell r="I393" t="str">
            <v>-</v>
          </cell>
          <cell r="J393">
            <v>17393.506075500503</v>
          </cell>
          <cell r="K393" t="str">
            <v>Small Cap</v>
          </cell>
        </row>
        <row r="394">
          <cell r="C394" t="str">
            <v>INE703B01027</v>
          </cell>
          <cell r="D394" t="str">
            <v>RATNAMANI</v>
          </cell>
          <cell r="E394">
            <v>17325.426784285999</v>
          </cell>
          <cell r="F394" t="str">
            <v>RATNAMANI</v>
          </cell>
          <cell r="G394">
            <v>17325.190399999999</v>
          </cell>
          <cell r="H394" t="str">
            <v>-</v>
          </cell>
          <cell r="I394" t="str">
            <v>-</v>
          </cell>
          <cell r="J394">
            <v>17325.308592142999</v>
          </cell>
          <cell r="K394" t="str">
            <v>Small Cap</v>
          </cell>
        </row>
        <row r="395">
          <cell r="C395" t="str">
            <v>INE457L01029</v>
          </cell>
          <cell r="D395" t="str">
            <v>PGEL</v>
          </cell>
          <cell r="E395">
            <v>17286.879349479001</v>
          </cell>
          <cell r="F395" t="str">
            <v>PGEL</v>
          </cell>
          <cell r="G395">
            <v>17271.742900000001</v>
          </cell>
          <cell r="H395" t="str">
            <v>-</v>
          </cell>
          <cell r="I395" t="str">
            <v>-</v>
          </cell>
          <cell r="J395">
            <v>17279.311124739499</v>
          </cell>
          <cell r="K395" t="str">
            <v>Small Cap</v>
          </cell>
        </row>
        <row r="396">
          <cell r="C396" t="str">
            <v>INE725A01030</v>
          </cell>
          <cell r="D396" t="str">
            <v>NAVA</v>
          </cell>
          <cell r="E396">
            <v>17264.021173587</v>
          </cell>
          <cell r="F396" t="str">
            <v>NAVA</v>
          </cell>
          <cell r="G396">
            <v>17264.7961</v>
          </cell>
          <cell r="H396" t="str">
            <v>-</v>
          </cell>
          <cell r="I396" t="str">
            <v>-</v>
          </cell>
          <cell r="J396">
            <v>17264.408636793502</v>
          </cell>
          <cell r="K396" t="str">
            <v>Small Cap</v>
          </cell>
        </row>
        <row r="397">
          <cell r="C397" t="str">
            <v>INE781S01027</v>
          </cell>
          <cell r="D397" t="str">
            <v>VENTIVE</v>
          </cell>
          <cell r="E397">
            <v>17258.993589400001</v>
          </cell>
          <cell r="F397" t="str">
            <v>VENTIVE</v>
          </cell>
          <cell r="G397">
            <v>17267.0841</v>
          </cell>
          <cell r="H397" t="str">
            <v>-</v>
          </cell>
          <cell r="I397" t="str">
            <v>-</v>
          </cell>
          <cell r="J397">
            <v>17263.0388447</v>
          </cell>
          <cell r="K397" t="str">
            <v>Small Cap</v>
          </cell>
        </row>
        <row r="398">
          <cell r="C398" t="str">
            <v>INE491A01021</v>
          </cell>
          <cell r="D398" t="str">
            <v>CUB</v>
          </cell>
          <cell r="E398">
            <v>17207.035828777</v>
          </cell>
          <cell r="F398" t="str">
            <v>CUB</v>
          </cell>
          <cell r="G398">
            <v>17204.286899999999</v>
          </cell>
          <cell r="H398" t="str">
            <v>-</v>
          </cell>
          <cell r="I398" t="str">
            <v>-</v>
          </cell>
          <cell r="J398">
            <v>17205.661364388499</v>
          </cell>
          <cell r="K398" t="str">
            <v>Small Cap</v>
          </cell>
        </row>
        <row r="399">
          <cell r="C399" t="str">
            <v>INE348B01021</v>
          </cell>
          <cell r="D399" t="str">
            <v>CENTURYPLY</v>
          </cell>
          <cell r="E399">
            <v>17169.687362192999</v>
          </cell>
          <cell r="F399" t="str">
            <v>CENTURYPLY</v>
          </cell>
          <cell r="G399">
            <v>17180.055400000001</v>
          </cell>
          <cell r="H399" t="str">
            <v>-</v>
          </cell>
          <cell r="I399" t="str">
            <v>-</v>
          </cell>
          <cell r="J399">
            <v>17174.871381096498</v>
          </cell>
          <cell r="K399" t="str">
            <v>Small Cap</v>
          </cell>
        </row>
        <row r="400">
          <cell r="C400" t="str">
            <v>INE258A01024</v>
          </cell>
          <cell r="D400" t="str">
            <v>BEML</v>
          </cell>
          <cell r="E400">
            <v>16943.382116429002</v>
          </cell>
          <cell r="F400" t="str">
            <v>BEML</v>
          </cell>
          <cell r="G400">
            <v>16944.915700000001</v>
          </cell>
          <cell r="H400" t="str">
            <v>-</v>
          </cell>
          <cell r="I400" t="str">
            <v>-</v>
          </cell>
          <cell r="J400">
            <v>16944.148908214502</v>
          </cell>
          <cell r="K400" t="str">
            <v>Small Cap</v>
          </cell>
        </row>
        <row r="401">
          <cell r="C401" t="str">
            <v>INE825V01034</v>
          </cell>
          <cell r="D401" t="str">
            <v>MANYAVAR</v>
          </cell>
          <cell r="E401">
            <v>16924.375219755999</v>
          </cell>
          <cell r="F401" t="str">
            <v>MANYAVAR</v>
          </cell>
          <cell r="G401">
            <v>16925.303199999998</v>
          </cell>
          <cell r="H401" t="str">
            <v>-</v>
          </cell>
          <cell r="I401" t="str">
            <v>-</v>
          </cell>
          <cell r="J401">
            <v>16924.839209877999</v>
          </cell>
          <cell r="K401" t="str">
            <v>Small Cap</v>
          </cell>
        </row>
        <row r="402">
          <cell r="C402" t="str">
            <v>INE14LE01019</v>
          </cell>
          <cell r="D402" t="str">
            <v>ABLBL</v>
          </cell>
          <cell r="E402">
            <v>16915.108067560002</v>
          </cell>
          <cell r="F402" t="str">
            <v>ABLBL</v>
          </cell>
          <cell r="G402">
            <v>16914.071800000002</v>
          </cell>
          <cell r="H402" t="str">
            <v>-</v>
          </cell>
          <cell r="I402" t="str">
            <v>-</v>
          </cell>
          <cell r="J402">
            <v>16914.58993378</v>
          </cell>
          <cell r="K402" t="str">
            <v>Small Cap</v>
          </cell>
        </row>
        <row r="403">
          <cell r="C403" t="str">
            <v>INE0NT901020</v>
          </cell>
          <cell r="D403" t="str">
            <v>NETWEB</v>
          </cell>
          <cell r="E403">
            <v>16709.388412128999</v>
          </cell>
          <cell r="F403" t="str">
            <v>NETWEB</v>
          </cell>
          <cell r="G403">
            <v>16708.579099999999</v>
          </cell>
          <cell r="H403" t="str">
            <v>-</v>
          </cell>
          <cell r="I403" t="str">
            <v>-</v>
          </cell>
          <cell r="J403">
            <v>16708.983756064499</v>
          </cell>
          <cell r="K403" t="str">
            <v>Small Cap</v>
          </cell>
        </row>
        <row r="404">
          <cell r="C404" t="str">
            <v>INE673O01025</v>
          </cell>
          <cell r="D404" t="str">
            <v>TBOTEK</v>
          </cell>
          <cell r="E404">
            <v>16664.437659073003</v>
          </cell>
          <cell r="F404" t="str">
            <v>TBOTEK</v>
          </cell>
          <cell r="G404">
            <v>16670.698700000001</v>
          </cell>
          <cell r="H404" t="str">
            <v>-</v>
          </cell>
          <cell r="I404" t="str">
            <v>-</v>
          </cell>
          <cell r="J404">
            <v>16667.568179536502</v>
          </cell>
          <cell r="K404" t="str">
            <v>Small Cap</v>
          </cell>
        </row>
        <row r="405">
          <cell r="C405" t="str">
            <v>INE338H01029</v>
          </cell>
          <cell r="D405" t="str">
            <v>CONCORDBIO</v>
          </cell>
          <cell r="E405">
            <v>16592.773427082997</v>
          </cell>
          <cell r="F405" t="str">
            <v>CONCORDBIO</v>
          </cell>
          <cell r="G405">
            <v>16595.517500000002</v>
          </cell>
          <cell r="H405" t="str">
            <v>-</v>
          </cell>
          <cell r="I405" t="str">
            <v>-</v>
          </cell>
          <cell r="J405">
            <v>16594.145463541499</v>
          </cell>
          <cell r="K405" t="str">
            <v>Small Cap</v>
          </cell>
        </row>
        <row r="406">
          <cell r="C406" t="str">
            <v>INE819V01029</v>
          </cell>
          <cell r="D406" t="str">
            <v>CPPLUS</v>
          </cell>
          <cell r="E406">
            <v>16512.489998636</v>
          </cell>
          <cell r="F406" t="str">
            <v>CPPLUS</v>
          </cell>
          <cell r="G406">
            <v>16501.697</v>
          </cell>
          <cell r="H406" t="str">
            <v>-</v>
          </cell>
          <cell r="I406" t="str">
            <v>-</v>
          </cell>
          <cell r="J406">
            <v>16507.093499317998</v>
          </cell>
          <cell r="K406" t="str">
            <v>Small Cap</v>
          </cell>
        </row>
        <row r="407">
          <cell r="C407" t="str">
            <v>INE103V01028</v>
          </cell>
          <cell r="D407" t="str">
            <v>TRAVELFOOD</v>
          </cell>
          <cell r="E407">
            <v>16495.061283723</v>
          </cell>
          <cell r="F407" t="str">
            <v>TRAVELFOOD</v>
          </cell>
          <cell r="G407">
            <v>16503.997500000001</v>
          </cell>
          <cell r="H407" t="str">
            <v>-</v>
          </cell>
          <cell r="I407" t="str">
            <v>-</v>
          </cell>
          <cell r="J407">
            <v>16499.529391861499</v>
          </cell>
          <cell r="K407" t="str">
            <v>Small Cap</v>
          </cell>
        </row>
        <row r="408">
          <cell r="C408" t="str">
            <v>INE094J01016</v>
          </cell>
          <cell r="D408" t="str">
            <v>UTIAMC</v>
          </cell>
          <cell r="E408">
            <v>16428.228302560001</v>
          </cell>
          <cell r="F408" t="str">
            <v>UTIAMC</v>
          </cell>
          <cell r="G408">
            <v>16418.683099999998</v>
          </cell>
          <cell r="H408" t="str">
            <v>-</v>
          </cell>
          <cell r="I408" t="str">
            <v>-</v>
          </cell>
          <cell r="J408">
            <v>16423.45570128</v>
          </cell>
          <cell r="K408" t="str">
            <v>Small Cap</v>
          </cell>
        </row>
        <row r="409">
          <cell r="C409" t="str">
            <v>INE671H01015</v>
          </cell>
          <cell r="D409" t="str">
            <v>SOBHA</v>
          </cell>
          <cell r="E409">
            <v>16406.544662576001</v>
          </cell>
          <cell r="F409" t="str">
            <v>SOBHA</v>
          </cell>
          <cell r="G409">
            <v>16411.596699999998</v>
          </cell>
          <cell r="H409" t="str">
            <v>-</v>
          </cell>
          <cell r="I409" t="str">
            <v>-</v>
          </cell>
          <cell r="J409">
            <v>16409.070681288002</v>
          </cell>
          <cell r="K409" t="str">
            <v>Small Cap</v>
          </cell>
        </row>
        <row r="410">
          <cell r="C410" t="str">
            <v>INE269B01029</v>
          </cell>
          <cell r="D410" t="str">
            <v>LMW</v>
          </cell>
          <cell r="E410">
            <v>16312.502233929001</v>
          </cell>
          <cell r="F410" t="str">
            <v>LMW</v>
          </cell>
          <cell r="G410">
            <v>16315.0861</v>
          </cell>
          <cell r="H410" t="str">
            <v>-</v>
          </cell>
          <cell r="I410" t="str">
            <v>-</v>
          </cell>
          <cell r="J410">
            <v>16313.794166964501</v>
          </cell>
          <cell r="K410" t="str">
            <v>Small Cap</v>
          </cell>
        </row>
        <row r="411">
          <cell r="C411" t="str">
            <v>INE622W01025</v>
          </cell>
          <cell r="D411" t="str">
            <v>ACMESOLAR</v>
          </cell>
          <cell r="E411">
            <v>16266.625648425001</v>
          </cell>
          <cell r="F411" t="str">
            <v>ACMESOLAR</v>
          </cell>
          <cell r="G411">
            <v>16261.382100000001</v>
          </cell>
          <cell r="H411" t="str">
            <v>-</v>
          </cell>
          <cell r="I411" t="str">
            <v>-</v>
          </cell>
          <cell r="J411">
            <v>16264.0038742125</v>
          </cell>
          <cell r="K411" t="str">
            <v>Small Cap</v>
          </cell>
        </row>
        <row r="412">
          <cell r="C412" t="str">
            <v>INE962Y01021</v>
          </cell>
          <cell r="D412" t="str">
            <v>IRCON</v>
          </cell>
          <cell r="E412">
            <v>16191.090430260001</v>
          </cell>
          <cell r="F412" t="str">
            <v>IRCON</v>
          </cell>
          <cell r="G412">
            <v>16191.135200000001</v>
          </cell>
          <cell r="H412" t="str">
            <v>-</v>
          </cell>
          <cell r="I412" t="str">
            <v>-</v>
          </cell>
          <cell r="J412">
            <v>16191.11281513</v>
          </cell>
          <cell r="K412" t="str">
            <v>Small Cap</v>
          </cell>
        </row>
        <row r="413">
          <cell r="C413" t="str">
            <v>INE524A01029</v>
          </cell>
          <cell r="D413" t="str">
            <v>GABRIEL</v>
          </cell>
          <cell r="E413">
            <v>16167.581459507999</v>
          </cell>
          <cell r="F413" t="str">
            <v>GABRIEL</v>
          </cell>
          <cell r="G413">
            <v>16171.3835</v>
          </cell>
          <cell r="H413" t="str">
            <v>-</v>
          </cell>
          <cell r="I413" t="str">
            <v>-</v>
          </cell>
          <cell r="J413">
            <v>16169.482479753999</v>
          </cell>
          <cell r="K413" t="str">
            <v>Small Cap</v>
          </cell>
        </row>
        <row r="414">
          <cell r="C414" t="str">
            <v>INE131A01031</v>
          </cell>
          <cell r="D414" t="str">
            <v>GMDCLTD</v>
          </cell>
          <cell r="E414">
            <v>16122.574761904998</v>
          </cell>
          <cell r="F414" t="str">
            <v>GMDCLTD</v>
          </cell>
          <cell r="G414">
            <v>16123.7988</v>
          </cell>
          <cell r="H414" t="str">
            <v>-</v>
          </cell>
          <cell r="I414" t="str">
            <v>-</v>
          </cell>
          <cell r="J414">
            <v>16123.186780952499</v>
          </cell>
          <cell r="K414" t="str">
            <v>Small Cap</v>
          </cell>
        </row>
        <row r="415">
          <cell r="C415" t="str">
            <v>INE00LO01017</v>
          </cell>
          <cell r="D415" t="str">
            <v>CRAFTSMAN</v>
          </cell>
          <cell r="E415">
            <v>16014.382558966001</v>
          </cell>
          <cell r="F415" t="str">
            <v>CRAFTSMAN</v>
          </cell>
          <cell r="G415">
            <v>16020.434499999999</v>
          </cell>
          <cell r="H415" t="str">
            <v>-</v>
          </cell>
          <cell r="I415" t="str">
            <v>-</v>
          </cell>
          <cell r="J415">
            <v>16017.408529483</v>
          </cell>
          <cell r="K415" t="str">
            <v>Small Cap</v>
          </cell>
        </row>
        <row r="416">
          <cell r="C416" t="str">
            <v>INE102B01014</v>
          </cell>
          <cell r="D416" t="str">
            <v>CHOICEIN</v>
          </cell>
          <cell r="E416">
            <v>15972.270046429001</v>
          </cell>
          <cell r="F416" t="str">
            <v>CHOICEIN</v>
          </cell>
          <cell r="G416">
            <v>15852.3048</v>
          </cell>
          <cell r="H416" t="str">
            <v>-</v>
          </cell>
          <cell r="I416" t="str">
            <v>-</v>
          </cell>
          <cell r="J416">
            <v>15912.2874232145</v>
          </cell>
          <cell r="K416" t="str">
            <v>Small Cap</v>
          </cell>
        </row>
        <row r="417">
          <cell r="C417" t="str">
            <v>INE285A01027</v>
          </cell>
          <cell r="D417" t="str">
            <v>ELGIEQUIP</v>
          </cell>
          <cell r="E417">
            <v>15909.951845360001</v>
          </cell>
          <cell r="F417" t="str">
            <v>ELGIEQUIP</v>
          </cell>
          <cell r="G417">
            <v>15911.787899999999</v>
          </cell>
          <cell r="H417" t="str">
            <v>-</v>
          </cell>
          <cell r="I417" t="str">
            <v>-</v>
          </cell>
          <cell r="J417">
            <v>15910.869872679999</v>
          </cell>
          <cell r="K417" t="str">
            <v>Small Cap</v>
          </cell>
        </row>
        <row r="418">
          <cell r="C418" t="str">
            <v>INE987B01026</v>
          </cell>
          <cell r="D418" t="str">
            <v>NATCOPHARM</v>
          </cell>
          <cell r="E418">
            <v>15878.779406348998</v>
          </cell>
          <cell r="F418" t="str">
            <v>NATCOPHARM</v>
          </cell>
          <cell r="G418">
            <v>15876.8035</v>
          </cell>
          <cell r="H418" t="str">
            <v>-</v>
          </cell>
          <cell r="I418" t="str">
            <v>-</v>
          </cell>
          <cell r="J418">
            <v>15877.791453174499</v>
          </cell>
          <cell r="K418" t="str">
            <v>Small Cap</v>
          </cell>
        </row>
        <row r="419">
          <cell r="C419" t="str">
            <v>INE951I01027</v>
          </cell>
          <cell r="D419" t="str">
            <v>VGUARD</v>
          </cell>
          <cell r="E419">
            <v>15852.183729129998</v>
          </cell>
          <cell r="F419" t="str">
            <v>VGUARD</v>
          </cell>
          <cell r="G419">
            <v>15849.2358</v>
          </cell>
          <cell r="H419" t="str">
            <v>-</v>
          </cell>
          <cell r="I419" t="str">
            <v>-</v>
          </cell>
          <cell r="J419">
            <v>15850.709764564999</v>
          </cell>
          <cell r="K419" t="str">
            <v>Small Cap</v>
          </cell>
        </row>
        <row r="420">
          <cell r="C420" t="str">
            <v>INE852O01025</v>
          </cell>
          <cell r="D420" t="str">
            <v>APTUS</v>
          </cell>
          <cell r="E420">
            <v>15833.183606299999</v>
          </cell>
          <cell r="F420" t="str">
            <v>APTUS</v>
          </cell>
          <cell r="G420">
            <v>15825.6057</v>
          </cell>
          <cell r="H420" t="str">
            <v>-</v>
          </cell>
          <cell r="I420" t="str">
            <v>-</v>
          </cell>
          <cell r="J420">
            <v>15829.394653150001</v>
          </cell>
          <cell r="K420" t="str">
            <v>Small Cap</v>
          </cell>
        </row>
        <row r="421">
          <cell r="C421" t="str">
            <v>INE536H01010</v>
          </cell>
          <cell r="D421" t="str">
            <v>CIEINDIA</v>
          </cell>
          <cell r="E421">
            <v>15773.706986908999</v>
          </cell>
          <cell r="F421" t="str">
            <v>CIEINDIA</v>
          </cell>
          <cell r="G421">
            <v>15769.0553</v>
          </cell>
          <cell r="H421" t="str">
            <v>-</v>
          </cell>
          <cell r="I421" t="str">
            <v>-</v>
          </cell>
          <cell r="J421">
            <v>15771.381143454499</v>
          </cell>
          <cell r="K421" t="str">
            <v>Small Cap</v>
          </cell>
        </row>
        <row r="422">
          <cell r="C422" t="str">
            <v>INE903U01023</v>
          </cell>
          <cell r="D422" t="str">
            <v>SIGNATURE</v>
          </cell>
          <cell r="E422">
            <v>15769.052057781</v>
          </cell>
          <cell r="F422" t="str">
            <v>SIGNATURE</v>
          </cell>
          <cell r="G422">
            <v>15770.964599999999</v>
          </cell>
          <cell r="H422" t="str">
            <v>-</v>
          </cell>
          <cell r="I422" t="str">
            <v>-</v>
          </cell>
          <cell r="J422">
            <v>15770.008328890501</v>
          </cell>
          <cell r="K422" t="str">
            <v>Small Cap</v>
          </cell>
        </row>
        <row r="423">
          <cell r="C423" t="str">
            <v>INE285K01026</v>
          </cell>
          <cell r="D423" t="str">
            <v>TECHNOE</v>
          </cell>
          <cell r="E423">
            <v>15738.627516797</v>
          </cell>
          <cell r="F423" t="str">
            <v>TECHNOE</v>
          </cell>
          <cell r="G423">
            <v>15742.7534</v>
          </cell>
          <cell r="H423" t="str">
            <v>-</v>
          </cell>
          <cell r="I423" t="str">
            <v>-</v>
          </cell>
          <cell r="J423">
            <v>15740.6904583985</v>
          </cell>
          <cell r="K423" t="str">
            <v>Small Cap</v>
          </cell>
        </row>
        <row r="424">
          <cell r="C424" t="str">
            <v>INE716A01013</v>
          </cell>
          <cell r="D424" t="str">
            <v>WHIRLPOOL</v>
          </cell>
          <cell r="E424">
            <v>15737.997397821</v>
          </cell>
          <cell r="F424" t="str">
            <v>WHIRLPOOL</v>
          </cell>
          <cell r="G424">
            <v>15740.4241</v>
          </cell>
          <cell r="H424" t="str">
            <v>-</v>
          </cell>
          <cell r="I424" t="str">
            <v>-</v>
          </cell>
          <cell r="J424">
            <v>15739.2107489105</v>
          </cell>
          <cell r="K424" t="str">
            <v>Small Cap</v>
          </cell>
        </row>
        <row r="425">
          <cell r="C425" t="str">
            <v>INE780C01023</v>
          </cell>
          <cell r="D425" t="str">
            <v>JMFINANCIL</v>
          </cell>
          <cell r="E425">
            <v>15704.793275407999</v>
          </cell>
          <cell r="F425" t="str">
            <v>JMFINANCIL</v>
          </cell>
          <cell r="G425">
            <v>15704.4702</v>
          </cell>
          <cell r="H425" t="str">
            <v>-</v>
          </cell>
          <cell r="I425" t="str">
            <v>-</v>
          </cell>
          <cell r="J425">
            <v>15704.631737704</v>
          </cell>
          <cell r="K425" t="str">
            <v>Small Cap</v>
          </cell>
        </row>
        <row r="426">
          <cell r="C426" t="str">
            <v>INE177H01039</v>
          </cell>
          <cell r="D426" t="str">
            <v>GPIL</v>
          </cell>
          <cell r="E426">
            <v>15675.713544963</v>
          </cell>
          <cell r="F426" t="str">
            <v>GPIL</v>
          </cell>
          <cell r="G426">
            <v>15675.5396</v>
          </cell>
          <cell r="H426" t="str">
            <v>-</v>
          </cell>
          <cell r="I426" t="str">
            <v>-</v>
          </cell>
          <cell r="J426">
            <v>15675.6265724815</v>
          </cell>
          <cell r="K426" t="str">
            <v>Small Cap</v>
          </cell>
        </row>
        <row r="427">
          <cell r="C427" t="str">
            <v>INE101I01011</v>
          </cell>
          <cell r="D427" t="str">
            <v>AFCONS</v>
          </cell>
          <cell r="E427">
            <v>15616.865163670998</v>
          </cell>
          <cell r="F427" t="str">
            <v>AFCONS</v>
          </cell>
          <cell r="G427">
            <v>15615.6392</v>
          </cell>
          <cell r="H427" t="str">
            <v>-</v>
          </cell>
          <cell r="I427" t="str">
            <v>-</v>
          </cell>
          <cell r="J427">
            <v>15616.252181835498</v>
          </cell>
          <cell r="K427" t="str">
            <v>Small Cap</v>
          </cell>
        </row>
        <row r="428">
          <cell r="C428" t="str">
            <v>INE133A01011</v>
          </cell>
          <cell r="D428" t="str">
            <v>AKZOINDIA</v>
          </cell>
          <cell r="E428">
            <v>15607.751708145999</v>
          </cell>
          <cell r="F428" t="str">
            <v>AKZOINDIA</v>
          </cell>
          <cell r="G428">
            <v>15609.054700000001</v>
          </cell>
          <cell r="H428" t="str">
            <v>-</v>
          </cell>
          <cell r="I428" t="str">
            <v>-</v>
          </cell>
          <cell r="J428">
            <v>15608.403204073</v>
          </cell>
          <cell r="K428" t="str">
            <v>Small Cap</v>
          </cell>
        </row>
        <row r="429">
          <cell r="C429" t="str">
            <v>INE552Z01027</v>
          </cell>
          <cell r="D429" t="str">
            <v>ABDL</v>
          </cell>
          <cell r="E429">
            <v>15522.559228182001</v>
          </cell>
          <cell r="F429" t="str">
            <v>ABDL</v>
          </cell>
          <cell r="G429">
            <v>15523.347299999999</v>
          </cell>
          <cell r="H429" t="str">
            <v>-</v>
          </cell>
          <cell r="I429" t="str">
            <v>-</v>
          </cell>
          <cell r="J429">
            <v>15522.953264091</v>
          </cell>
          <cell r="K429" t="str">
            <v>Small Cap</v>
          </cell>
        </row>
        <row r="430">
          <cell r="C430" t="str">
            <v>INE475E01026</v>
          </cell>
          <cell r="D430" t="str">
            <v>CAPLIPOINT</v>
          </cell>
          <cell r="E430">
            <v>15499.131693170999</v>
          </cell>
          <cell r="F430" t="str">
            <v>CAPLIPOINT</v>
          </cell>
          <cell r="G430">
            <v>15501.3547</v>
          </cell>
          <cell r="H430" t="str">
            <v>-</v>
          </cell>
          <cell r="I430" t="str">
            <v>-</v>
          </cell>
          <cell r="J430">
            <v>15500.243196585499</v>
          </cell>
          <cell r="K430" t="str">
            <v>Small Cap</v>
          </cell>
        </row>
        <row r="431">
          <cell r="C431" t="str">
            <v>INE0IX101010</v>
          </cell>
          <cell r="D431" t="str">
            <v xml:space="preserve">DATAPATTNS </v>
          </cell>
          <cell r="E431">
            <v>15268.503422198</v>
          </cell>
          <cell r="F431" t="str">
            <v>DATAPATTNS</v>
          </cell>
          <cell r="G431">
            <v>15270.2318</v>
          </cell>
          <cell r="H431" t="str">
            <v>-</v>
          </cell>
          <cell r="I431" t="str">
            <v>-</v>
          </cell>
          <cell r="J431">
            <v>15269.367611099</v>
          </cell>
          <cell r="K431" t="str">
            <v>Small Cap</v>
          </cell>
        </row>
        <row r="432">
          <cell r="C432" t="str">
            <v>INE0Q9301021</v>
          </cell>
          <cell r="D432" t="str">
            <v>IGIL</v>
          </cell>
          <cell r="E432">
            <v>15204.184117410998</v>
          </cell>
          <cell r="F432" t="str">
            <v>IGIL</v>
          </cell>
          <cell r="G432">
            <v>15203.772499999999</v>
          </cell>
          <cell r="H432" t="str">
            <v>-</v>
          </cell>
          <cell r="I432" t="str">
            <v>-</v>
          </cell>
          <cell r="J432">
            <v>15203.978308705498</v>
          </cell>
          <cell r="K432" t="str">
            <v>Small Cap</v>
          </cell>
        </row>
        <row r="433">
          <cell r="C433" t="str">
            <v>INE321T01012</v>
          </cell>
          <cell r="D433" t="str">
            <v>DOMS</v>
          </cell>
          <cell r="E433">
            <v>15193.511305272001</v>
          </cell>
          <cell r="F433" t="str">
            <v>DOMS</v>
          </cell>
          <cell r="G433">
            <v>15195.883</v>
          </cell>
          <cell r="H433" t="str">
            <v>-</v>
          </cell>
          <cell r="I433" t="str">
            <v>-</v>
          </cell>
          <cell r="J433">
            <v>15194.697152635999</v>
          </cell>
          <cell r="K433" t="str">
            <v>Small Cap</v>
          </cell>
        </row>
        <row r="434">
          <cell r="C434" t="str">
            <v>INE818H01020</v>
          </cell>
          <cell r="D434" t="str">
            <v>LTFOODS</v>
          </cell>
          <cell r="E434">
            <v>15105.365265213</v>
          </cell>
          <cell r="F434" t="str">
            <v>LTFOODS</v>
          </cell>
          <cell r="G434">
            <v>15104.1389</v>
          </cell>
          <cell r="H434" t="str">
            <v>-</v>
          </cell>
          <cell r="I434" t="str">
            <v>-</v>
          </cell>
          <cell r="J434">
            <v>15104.752082606501</v>
          </cell>
          <cell r="K434" t="str">
            <v>Small Cap</v>
          </cell>
        </row>
        <row r="435">
          <cell r="C435" t="str">
            <v>INE732A01036</v>
          </cell>
          <cell r="D435" t="str">
            <v>KIRLOSBROS</v>
          </cell>
          <cell r="E435">
            <v>15092.882729373001</v>
          </cell>
          <cell r="F435" t="str">
            <v>KIRLOSBROS</v>
          </cell>
          <cell r="G435">
            <v>15093.4877</v>
          </cell>
          <cell r="H435" t="str">
            <v>-</v>
          </cell>
          <cell r="I435" t="str">
            <v>-</v>
          </cell>
          <cell r="J435">
            <v>15093.1852146865</v>
          </cell>
          <cell r="K435" t="str">
            <v>Small Cap</v>
          </cell>
        </row>
        <row r="436">
          <cell r="C436" t="str">
            <v>INE943P01029</v>
          </cell>
          <cell r="D436" t="str">
            <v>AGARWALEYE</v>
          </cell>
          <cell r="E436">
            <v>15080.907916007001</v>
          </cell>
          <cell r="F436" t="str">
            <v>AGARWALEYE</v>
          </cell>
          <cell r="G436">
            <v>15076.2248</v>
          </cell>
          <cell r="H436" t="str">
            <v>-</v>
          </cell>
          <cell r="I436" t="str">
            <v>-</v>
          </cell>
          <cell r="J436">
            <v>15078.5663580035</v>
          </cell>
          <cell r="K436" t="str">
            <v>Small Cap</v>
          </cell>
        </row>
        <row r="437">
          <cell r="C437" t="str">
            <v>INE927D01051</v>
          </cell>
          <cell r="D437" t="str">
            <v>JBMA</v>
          </cell>
          <cell r="E437">
            <v>15065.369699389999</v>
          </cell>
          <cell r="F437" t="str">
            <v>JBMA</v>
          </cell>
          <cell r="G437">
            <v>15063.3614</v>
          </cell>
          <cell r="H437" t="str">
            <v>-</v>
          </cell>
          <cell r="I437" t="str">
            <v>-</v>
          </cell>
          <cell r="J437">
            <v>15064.365549695</v>
          </cell>
          <cell r="K437" t="str">
            <v>Small Cap</v>
          </cell>
        </row>
        <row r="438">
          <cell r="C438" t="str">
            <v>INE777K01022</v>
          </cell>
          <cell r="D438" t="str">
            <v>RRKABEL</v>
          </cell>
          <cell r="E438">
            <v>15033.401329703</v>
          </cell>
          <cell r="F438" t="str">
            <v>RRKABEL</v>
          </cell>
          <cell r="G438">
            <v>15035.222</v>
          </cell>
          <cell r="H438" t="str">
            <v>-</v>
          </cell>
          <cell r="I438" t="str">
            <v>-</v>
          </cell>
          <cell r="J438">
            <v>15034.311664851499</v>
          </cell>
          <cell r="K438" t="str">
            <v>Small Cap</v>
          </cell>
        </row>
        <row r="439">
          <cell r="C439" t="str">
            <v>INE017A01032</v>
          </cell>
          <cell r="D439" t="str">
            <v>GESHIP</v>
          </cell>
          <cell r="E439">
            <v>15160.053552863001</v>
          </cell>
          <cell r="F439" t="str">
            <v>GESHIP</v>
          </cell>
          <cell r="G439">
            <v>14730.545700000001</v>
          </cell>
          <cell r="H439" t="str">
            <v>-</v>
          </cell>
          <cell r="I439" t="str">
            <v>-</v>
          </cell>
          <cell r="J439">
            <v>14945.299626431501</v>
          </cell>
          <cell r="K439" t="str">
            <v>Small Cap</v>
          </cell>
        </row>
        <row r="440">
          <cell r="C440" t="str">
            <v>INE297H01019</v>
          </cell>
          <cell r="D440" t="str">
            <v>GALLANTT</v>
          </cell>
          <cell r="E440">
            <v>14943.122551572</v>
          </cell>
          <cell r="F440" t="str">
            <v>GALLANTT</v>
          </cell>
          <cell r="G440">
            <v>14937.6746</v>
          </cell>
          <cell r="H440" t="str">
            <v>-</v>
          </cell>
          <cell r="I440" t="str">
            <v>-</v>
          </cell>
          <cell r="J440">
            <v>14940.398575785999</v>
          </cell>
          <cell r="K440" t="str">
            <v>Small Cap</v>
          </cell>
        </row>
        <row r="441">
          <cell r="C441" t="str">
            <v>INE039A01010</v>
          </cell>
          <cell r="D441" t="str">
            <v>IFCI</v>
          </cell>
          <cell r="E441">
            <v>14856.064319087</v>
          </cell>
          <cell r="F441" t="str">
            <v>IFCI</v>
          </cell>
          <cell r="G441">
            <v>14853.156199999999</v>
          </cell>
          <cell r="H441" t="str">
            <v>-</v>
          </cell>
          <cell r="I441" t="str">
            <v>-</v>
          </cell>
          <cell r="J441">
            <v>14854.6102595435</v>
          </cell>
          <cell r="K441" t="str">
            <v>Small Cap</v>
          </cell>
        </row>
        <row r="442">
          <cell r="C442" t="str">
            <v>INE995S01015</v>
          </cell>
          <cell r="D442" t="str">
            <v>NIVABUPA</v>
          </cell>
          <cell r="E442">
            <v>14769.674277221</v>
          </cell>
          <cell r="F442" t="str">
            <v>NIVABUPA</v>
          </cell>
          <cell r="G442">
            <v>14761.884099999999</v>
          </cell>
          <cell r="H442" t="str">
            <v>-</v>
          </cell>
          <cell r="I442" t="str">
            <v>-</v>
          </cell>
          <cell r="J442">
            <v>14765.779188610501</v>
          </cell>
          <cell r="K442" t="str">
            <v>Small Cap</v>
          </cell>
        </row>
        <row r="443">
          <cell r="C443" t="str">
            <v>INE933S01016</v>
          </cell>
          <cell r="D443" t="str">
            <v>INDIAMART</v>
          </cell>
          <cell r="E443">
            <v>14757.152700895998</v>
          </cell>
          <cell r="F443" t="str">
            <v>INDIAMART</v>
          </cell>
          <cell r="G443">
            <v>14756.928099999999</v>
          </cell>
          <cell r="H443" t="str">
            <v>-</v>
          </cell>
          <cell r="I443" t="str">
            <v>-</v>
          </cell>
          <cell r="J443">
            <v>14757.040400447999</v>
          </cell>
          <cell r="K443" t="str">
            <v>Small Cap</v>
          </cell>
        </row>
        <row r="444">
          <cell r="C444" t="str">
            <v>INE088F01024</v>
          </cell>
          <cell r="D444" t="str">
            <v>PARADEEP</v>
          </cell>
          <cell r="E444">
            <v>14728.398960016</v>
          </cell>
          <cell r="F444" t="str">
            <v>PARADEEP</v>
          </cell>
          <cell r="G444">
            <v>14696.7485</v>
          </cell>
          <cell r="H444" t="str">
            <v>-</v>
          </cell>
          <cell r="I444" t="str">
            <v>-</v>
          </cell>
          <cell r="J444">
            <v>14712.573730008</v>
          </cell>
          <cell r="K444" t="str">
            <v>Small Cap</v>
          </cell>
        </row>
        <row r="445">
          <cell r="C445" t="str">
            <v>INE482A01020</v>
          </cell>
          <cell r="D445" t="str">
            <v>CEATLTD</v>
          </cell>
          <cell r="E445">
            <v>14685.812006682001</v>
          </cell>
          <cell r="F445" t="str">
            <v>CEATLTD</v>
          </cell>
          <cell r="G445">
            <v>14685.9067</v>
          </cell>
          <cell r="H445" t="str">
            <v>-</v>
          </cell>
          <cell r="I445" t="str">
            <v>-</v>
          </cell>
          <cell r="J445">
            <v>14685.859353341</v>
          </cell>
          <cell r="K445" t="str">
            <v>Small Cap</v>
          </cell>
        </row>
        <row r="446">
          <cell r="C446" t="str">
            <v>INE064C01022</v>
          </cell>
          <cell r="D446" t="str">
            <v>TRIDENT</v>
          </cell>
          <cell r="E446">
            <v>14666.16041826</v>
          </cell>
          <cell r="F446" t="str">
            <v>TRIDENT</v>
          </cell>
          <cell r="G446">
            <v>14662.6013</v>
          </cell>
          <cell r="H446" t="str">
            <v>-</v>
          </cell>
          <cell r="I446" t="str">
            <v>-</v>
          </cell>
          <cell r="J446">
            <v>14664.38085913</v>
          </cell>
          <cell r="K446" t="str">
            <v>Small Cap</v>
          </cell>
        </row>
        <row r="447">
          <cell r="C447" t="str">
            <v>INE961O01016</v>
          </cell>
          <cell r="D447" t="str">
            <v>RAINBOW</v>
          </cell>
          <cell r="E447">
            <v>14494.066918691</v>
          </cell>
          <cell r="F447" t="str">
            <v>RAINBOW</v>
          </cell>
          <cell r="G447">
            <v>14495.7641</v>
          </cell>
          <cell r="H447" t="str">
            <v>-</v>
          </cell>
          <cell r="I447" t="str">
            <v>-</v>
          </cell>
          <cell r="J447">
            <v>14494.915509345501</v>
          </cell>
          <cell r="K447" t="str">
            <v>Small Cap</v>
          </cell>
        </row>
        <row r="448">
          <cell r="C448" t="str">
            <v>INE306R01017</v>
          </cell>
          <cell r="D448" t="str">
            <v>INTELLECT</v>
          </cell>
          <cell r="E448">
            <v>14485.595053154</v>
          </cell>
          <cell r="F448" t="str">
            <v>INTELLECT</v>
          </cell>
          <cell r="G448">
            <v>14475.836499999999</v>
          </cell>
          <cell r="H448" t="str">
            <v>-</v>
          </cell>
          <cell r="I448" t="str">
            <v>-</v>
          </cell>
          <cell r="J448">
            <v>14480.715776576999</v>
          </cell>
          <cell r="K448" t="str">
            <v>Small Cap</v>
          </cell>
        </row>
        <row r="449">
          <cell r="C449" t="str">
            <v>INE0DYJ01015</v>
          </cell>
          <cell r="D449" t="str">
            <v>SYRMA</v>
          </cell>
          <cell r="E449">
            <v>14512.793412257999</v>
          </cell>
          <cell r="F449" t="str">
            <v>SYRMA</v>
          </cell>
          <cell r="G449">
            <v>14441.784799999999</v>
          </cell>
          <cell r="H449" t="str">
            <v>-</v>
          </cell>
          <cell r="I449" t="str">
            <v>-</v>
          </cell>
          <cell r="J449">
            <v>14477.289106128999</v>
          </cell>
          <cell r="K449" t="str">
            <v>Small Cap</v>
          </cell>
        </row>
        <row r="450">
          <cell r="C450" t="str">
            <v>INE686Y01026</v>
          </cell>
          <cell r="D450" t="str">
            <v>FINEORG</v>
          </cell>
          <cell r="E450">
            <v>14433.812718173998</v>
          </cell>
          <cell r="F450" t="str">
            <v>FINEORG</v>
          </cell>
          <cell r="G450">
            <v>14440.912</v>
          </cell>
          <cell r="H450" t="str">
            <v>-</v>
          </cell>
          <cell r="I450" t="str">
            <v>-</v>
          </cell>
          <cell r="J450">
            <v>14437.362359086999</v>
          </cell>
          <cell r="K450" t="str">
            <v>Small Cap</v>
          </cell>
        </row>
        <row r="451">
          <cell r="C451" t="str">
            <v>INE176A01028</v>
          </cell>
          <cell r="D451" t="str">
            <v>BATAINDIA</v>
          </cell>
          <cell r="E451">
            <v>14409.645834233999</v>
          </cell>
          <cell r="F451" t="str">
            <v>BATAINDIA</v>
          </cell>
          <cell r="G451">
            <v>14409.8804</v>
          </cell>
          <cell r="H451" t="str">
            <v>-</v>
          </cell>
          <cell r="I451" t="str">
            <v>-</v>
          </cell>
          <cell r="J451">
            <v>14409.763117117</v>
          </cell>
          <cell r="K451" t="str">
            <v>Small Cap</v>
          </cell>
        </row>
        <row r="452">
          <cell r="C452" t="str">
            <v>INE118D01016</v>
          </cell>
          <cell r="D452" t="str">
            <v>NUVOCO</v>
          </cell>
          <cell r="E452">
            <v>14409.365782743</v>
          </cell>
          <cell r="F452" t="str">
            <v>NUVOCO</v>
          </cell>
          <cell r="G452">
            <v>14409.932699999999</v>
          </cell>
          <cell r="H452" t="str">
            <v>-</v>
          </cell>
          <cell r="I452" t="str">
            <v>-</v>
          </cell>
          <cell r="J452">
            <v>14409.649241371499</v>
          </cell>
          <cell r="K452" t="str">
            <v>Small Cap</v>
          </cell>
        </row>
        <row r="453">
          <cell r="C453" t="str">
            <v>INE665A01038</v>
          </cell>
          <cell r="D453" t="str">
            <v>SWANCORP</v>
          </cell>
          <cell r="E453">
            <v>14373.515752469</v>
          </cell>
          <cell r="F453" t="str">
            <v>SWANCORP</v>
          </cell>
          <cell r="G453">
            <v>14375.6677</v>
          </cell>
          <cell r="H453" t="str">
            <v>-</v>
          </cell>
          <cell r="I453" t="str">
            <v>-</v>
          </cell>
          <cell r="J453">
            <v>14374.591726234499</v>
          </cell>
          <cell r="K453" t="str">
            <v>Small Cap</v>
          </cell>
        </row>
        <row r="454">
          <cell r="C454" t="str">
            <v>INE146L01010</v>
          </cell>
          <cell r="D454" t="str">
            <v>KIRLOSENG</v>
          </cell>
          <cell r="E454">
            <v>14319.851736551002</v>
          </cell>
          <cell r="F454" t="str">
            <v>KIRLOSENG</v>
          </cell>
          <cell r="G454">
            <v>14316.8609</v>
          </cell>
          <cell r="H454" t="str">
            <v>-</v>
          </cell>
          <cell r="I454" t="str">
            <v>-</v>
          </cell>
          <cell r="J454">
            <v>14318.356318275501</v>
          </cell>
          <cell r="K454" t="str">
            <v>Small Cap</v>
          </cell>
        </row>
        <row r="455">
          <cell r="C455" t="str">
            <v>INE153T01027</v>
          </cell>
          <cell r="D455" t="str">
            <v>BLS</v>
          </cell>
          <cell r="E455">
            <v>14271.299327627999</v>
          </cell>
          <cell r="F455" t="str">
            <v>BLS</v>
          </cell>
          <cell r="G455">
            <v>14268.1459</v>
          </cell>
          <cell r="H455" t="str">
            <v>-</v>
          </cell>
          <cell r="I455" t="str">
            <v>-</v>
          </cell>
          <cell r="J455">
            <v>14269.722613813999</v>
          </cell>
          <cell r="K455" t="str">
            <v>Small Cap</v>
          </cell>
        </row>
        <row r="456">
          <cell r="C456" t="str">
            <v>INE769A01020</v>
          </cell>
          <cell r="D456" t="str">
            <v>AARTIIND</v>
          </cell>
          <cell r="E456">
            <v>14252.245473068</v>
          </cell>
          <cell r="F456" t="str">
            <v>AARTIIND</v>
          </cell>
          <cell r="G456">
            <v>14250.6065</v>
          </cell>
          <cell r="H456" t="str">
            <v>-</v>
          </cell>
          <cell r="I456" t="str">
            <v>-</v>
          </cell>
          <cell r="J456">
            <v>14251.425986533999</v>
          </cell>
          <cell r="K456" t="str">
            <v>Small Cap</v>
          </cell>
        </row>
        <row r="457">
          <cell r="C457" t="str">
            <v>INE0AQ201015</v>
          </cell>
          <cell r="D457" t="str">
            <v>THELEELA</v>
          </cell>
          <cell r="E457">
            <v>14179.891256770001</v>
          </cell>
          <cell r="F457" t="str">
            <v>THELEELA</v>
          </cell>
          <cell r="G457">
            <v>14180.037</v>
          </cell>
          <cell r="H457" t="str">
            <v>-</v>
          </cell>
          <cell r="I457" t="str">
            <v>-</v>
          </cell>
          <cell r="J457">
            <v>14179.964128385</v>
          </cell>
          <cell r="K457" t="str">
            <v>Small Cap</v>
          </cell>
        </row>
        <row r="458">
          <cell r="C458" t="str">
            <v>INE1C6T01020</v>
          </cell>
          <cell r="D458" t="str">
            <v>EMMVEE</v>
          </cell>
          <cell r="E458">
            <v>14167.054403485998</v>
          </cell>
          <cell r="F458" t="str">
            <v>EMMVEE</v>
          </cell>
          <cell r="G458">
            <v>14164.3297</v>
          </cell>
          <cell r="H458" t="str">
            <v>-</v>
          </cell>
          <cell r="I458" t="str">
            <v>-</v>
          </cell>
          <cell r="J458">
            <v>14165.692051742999</v>
          </cell>
          <cell r="K458" t="str">
            <v>Small Cap</v>
          </cell>
        </row>
        <row r="459">
          <cell r="C459" t="str">
            <v>INE663A01033</v>
          </cell>
          <cell r="D459" t="str">
            <v>SPLPETRO</v>
          </cell>
          <cell r="E459">
            <v>14131.702335075001</v>
          </cell>
          <cell r="F459" t="str">
            <v>SPLPETRO</v>
          </cell>
          <cell r="G459">
            <v>14137.597299999999</v>
          </cell>
          <cell r="H459" t="str">
            <v>-</v>
          </cell>
          <cell r="I459" t="str">
            <v>-</v>
          </cell>
          <cell r="J459">
            <v>14134.6498175375</v>
          </cell>
          <cell r="K459" t="str">
            <v>Small Cap</v>
          </cell>
        </row>
        <row r="460">
          <cell r="C460" t="str">
            <v>INE233B01017</v>
          </cell>
          <cell r="D460" t="str">
            <v>BLUEDART</v>
          </cell>
          <cell r="E460">
            <v>14036.267831961999</v>
          </cell>
          <cell r="F460" t="str">
            <v>BLUEDART</v>
          </cell>
          <cell r="G460">
            <v>14035.393099999999</v>
          </cell>
          <cell r="H460" t="str">
            <v>-</v>
          </cell>
          <cell r="I460" t="str">
            <v>-</v>
          </cell>
          <cell r="J460">
            <v>14035.830465980998</v>
          </cell>
          <cell r="K460" t="str">
            <v>Small Cap</v>
          </cell>
        </row>
        <row r="461">
          <cell r="C461" t="str">
            <v>INE768C01028</v>
          </cell>
          <cell r="D461" t="str">
            <v>ZYDUSWELL</v>
          </cell>
          <cell r="E461">
            <v>14010.621419153</v>
          </cell>
          <cell r="F461" t="str">
            <v>ZYDUSWELL</v>
          </cell>
          <cell r="G461">
            <v>14013.6338</v>
          </cell>
          <cell r="H461" t="str">
            <v>-</v>
          </cell>
          <cell r="I461" t="str">
            <v>-</v>
          </cell>
          <cell r="J461">
            <v>14012.127609576499</v>
          </cell>
          <cell r="K461" t="str">
            <v>Small Cap</v>
          </cell>
        </row>
        <row r="462">
          <cell r="C462" t="str">
            <v>INE999A01023</v>
          </cell>
          <cell r="D462" t="str">
            <v>KSB</v>
          </cell>
          <cell r="E462">
            <v>13962.966337370999</v>
          </cell>
          <cell r="F462" t="str">
            <v>KSB</v>
          </cell>
          <cell r="G462">
            <v>13968.6433</v>
          </cell>
          <cell r="H462" t="str">
            <v>-</v>
          </cell>
          <cell r="I462" t="str">
            <v>-</v>
          </cell>
          <cell r="J462">
            <v>13965.804818685499</v>
          </cell>
          <cell r="K462" t="str">
            <v>Small Cap</v>
          </cell>
        </row>
        <row r="463">
          <cell r="C463" t="str">
            <v>INE602A01031</v>
          </cell>
          <cell r="D463" t="str">
            <v>PCBL</v>
          </cell>
          <cell r="E463">
            <v>13943.933786309</v>
          </cell>
          <cell r="F463" t="str">
            <v>PCBL</v>
          </cell>
          <cell r="G463">
            <v>13896.2498</v>
          </cell>
          <cell r="H463" t="str">
            <v>-</v>
          </cell>
          <cell r="I463" t="str">
            <v>-</v>
          </cell>
          <cell r="J463">
            <v>13920.091793154501</v>
          </cell>
          <cell r="K463" t="str">
            <v>Small Cap</v>
          </cell>
        </row>
        <row r="464">
          <cell r="C464" t="str">
            <v>INE209L01016</v>
          </cell>
          <cell r="D464" t="str">
            <v>JWL</v>
          </cell>
          <cell r="E464">
            <v>13826.912165570002</v>
          </cell>
          <cell r="F464" t="str">
            <v>JWL</v>
          </cell>
          <cell r="G464">
            <v>13827.7207</v>
          </cell>
          <cell r="H464" t="str">
            <v>-</v>
          </cell>
          <cell r="I464" t="str">
            <v>-</v>
          </cell>
          <cell r="J464">
            <v>13827.316432785001</v>
          </cell>
          <cell r="K464" t="str">
            <v>Small Cap</v>
          </cell>
        </row>
        <row r="465">
          <cell r="C465" t="str">
            <v>INE686A01026</v>
          </cell>
          <cell r="D465" t="str">
            <v>CEMPRO</v>
          </cell>
          <cell r="E465">
            <v>13794.890660548999</v>
          </cell>
          <cell r="F465" t="str">
            <v>CEMPRO</v>
          </cell>
          <cell r="G465">
            <v>13797.0653</v>
          </cell>
          <cell r="H465" t="str">
            <v>-</v>
          </cell>
          <cell r="I465" t="str">
            <v>-</v>
          </cell>
          <cell r="J465">
            <v>13795.9779802745</v>
          </cell>
          <cell r="K465" t="str">
            <v>Small Cap</v>
          </cell>
        </row>
        <row r="466">
          <cell r="C466" t="str">
            <v>INE251B01027</v>
          </cell>
          <cell r="D466" t="str">
            <v>ZENTEC</v>
          </cell>
          <cell r="E466">
            <v>13549.354197078001</v>
          </cell>
          <cell r="F466" t="str">
            <v>ZENTEC</v>
          </cell>
          <cell r="G466">
            <v>13552.424800000001</v>
          </cell>
          <cell r="H466" t="str">
            <v>-</v>
          </cell>
          <cell r="I466" t="str">
            <v>-</v>
          </cell>
          <cell r="J466">
            <v>13550.889498539</v>
          </cell>
          <cell r="K466" t="str">
            <v>Small Cap</v>
          </cell>
        </row>
        <row r="467">
          <cell r="C467" t="str">
            <v>INE0YD401026</v>
          </cell>
          <cell r="D467" t="str">
            <v>JAINREC</v>
          </cell>
          <cell r="E467">
            <v>13342.520362301</v>
          </cell>
          <cell r="F467" t="str">
            <v>JAINREC</v>
          </cell>
          <cell r="G467">
            <v>13339.887699999999</v>
          </cell>
          <cell r="H467" t="str">
            <v>-</v>
          </cell>
          <cell r="I467" t="str">
            <v>-</v>
          </cell>
          <cell r="J467">
            <v>13341.204031150501</v>
          </cell>
          <cell r="K467" t="str">
            <v>Small Cap</v>
          </cell>
        </row>
        <row r="468">
          <cell r="C468" t="str">
            <v>INE022Q01020</v>
          </cell>
          <cell r="D468" t="str">
            <v>IEX</v>
          </cell>
          <cell r="E468">
            <v>13370.062961676</v>
          </cell>
          <cell r="F468" t="str">
            <v>IEX</v>
          </cell>
          <cell r="G468">
            <v>13267.5316</v>
          </cell>
          <cell r="H468" t="str">
            <v>-</v>
          </cell>
          <cell r="I468" t="str">
            <v>-</v>
          </cell>
          <cell r="J468">
            <v>13318.797280838</v>
          </cell>
          <cell r="K468" t="str">
            <v>Small Cap</v>
          </cell>
        </row>
        <row r="469">
          <cell r="C469" t="str">
            <v>INE850D01014</v>
          </cell>
          <cell r="D469" t="str">
            <v>GODREJAGRO</v>
          </cell>
          <cell r="E469">
            <v>13316.107210729</v>
          </cell>
          <cell r="F469" t="str">
            <v>GODREJAGRO</v>
          </cell>
          <cell r="G469">
            <v>13318.141100000001</v>
          </cell>
          <cell r="H469" t="str">
            <v>-</v>
          </cell>
          <cell r="I469" t="str">
            <v>-</v>
          </cell>
          <cell r="J469">
            <v>13317.124155364501</v>
          </cell>
          <cell r="K469" t="str">
            <v>Small Cap</v>
          </cell>
        </row>
        <row r="470">
          <cell r="C470" t="str">
            <v>INE050A01025</v>
          </cell>
          <cell r="D470" t="str">
            <v>BBTC</v>
          </cell>
          <cell r="E470">
            <v>13254.343576178999</v>
          </cell>
          <cell r="F470" t="str">
            <v>BBTC</v>
          </cell>
          <cell r="G470">
            <v>13255.5923</v>
          </cell>
          <cell r="H470" t="str">
            <v>-</v>
          </cell>
          <cell r="I470" t="str">
            <v>-</v>
          </cell>
          <cell r="J470">
            <v>13254.9679380895</v>
          </cell>
          <cell r="K470" t="str">
            <v>Small Cap</v>
          </cell>
        </row>
        <row r="471">
          <cell r="C471" t="str">
            <v>INE136B01020</v>
          </cell>
          <cell r="D471" t="str">
            <v>CYIENT</v>
          </cell>
          <cell r="E471">
            <v>13217.84282455</v>
          </cell>
          <cell r="F471" t="str">
            <v>CYIENT</v>
          </cell>
          <cell r="G471">
            <v>13215.580400000001</v>
          </cell>
          <cell r="H471" t="str">
            <v>-</v>
          </cell>
          <cell r="I471" t="str">
            <v>-</v>
          </cell>
          <cell r="J471">
            <v>13216.711612275001</v>
          </cell>
          <cell r="K471" t="str">
            <v>Small Cap</v>
          </cell>
        </row>
        <row r="472">
          <cell r="C472" t="str">
            <v>INE065X01017</v>
          </cell>
          <cell r="D472" t="str">
            <v>INDGN</v>
          </cell>
          <cell r="E472">
            <v>13214.300008075999</v>
          </cell>
          <cell r="F472" t="str">
            <v>INDGN</v>
          </cell>
          <cell r="G472">
            <v>13214.098400000001</v>
          </cell>
          <cell r="H472" t="str">
            <v>-</v>
          </cell>
          <cell r="I472" t="str">
            <v>-</v>
          </cell>
          <cell r="J472">
            <v>13214.199204037999</v>
          </cell>
          <cell r="K472" t="str">
            <v>Small Cap</v>
          </cell>
        </row>
        <row r="473">
          <cell r="C473" t="str">
            <v>INE216P01012</v>
          </cell>
          <cell r="D473" t="str">
            <v>AAVAS</v>
          </cell>
          <cell r="E473">
            <v>13171.556750332</v>
          </cell>
          <cell r="F473" t="str">
            <v>AAVAS</v>
          </cell>
          <cell r="G473">
            <v>13171.2171</v>
          </cell>
          <cell r="H473" t="str">
            <v>-</v>
          </cell>
          <cell r="I473" t="str">
            <v>-</v>
          </cell>
          <cell r="J473">
            <v>13171.386925166</v>
          </cell>
          <cell r="K473" t="str">
            <v>Small Cap</v>
          </cell>
        </row>
        <row r="474">
          <cell r="C474" t="str">
            <v>INE842C01021</v>
          </cell>
          <cell r="D474" t="str">
            <v>MINDACORP</v>
          </cell>
          <cell r="E474">
            <v>13120.100284628001</v>
          </cell>
          <cell r="F474" t="str">
            <v>MINDACORP</v>
          </cell>
          <cell r="G474">
            <v>13122.0167</v>
          </cell>
          <cell r="H474" t="str">
            <v>-</v>
          </cell>
          <cell r="I474" t="str">
            <v>-</v>
          </cell>
          <cell r="J474">
            <v>13121.058492314001</v>
          </cell>
          <cell r="K474" t="str">
            <v>Small Cap</v>
          </cell>
        </row>
        <row r="475">
          <cell r="C475" t="str">
            <v>INE894V01022</v>
          </cell>
          <cell r="D475" t="str">
            <v>BELRISE</v>
          </cell>
          <cell r="E475">
            <v>13106.719867504</v>
          </cell>
          <cell r="F475" t="str">
            <v>BELRISE</v>
          </cell>
          <cell r="G475">
            <v>13107.341399999999</v>
          </cell>
          <cell r="H475" t="str">
            <v>-</v>
          </cell>
          <cell r="I475" t="str">
            <v>-</v>
          </cell>
          <cell r="J475">
            <v>13107.030633752</v>
          </cell>
          <cell r="K475" t="str">
            <v>Small Cap</v>
          </cell>
        </row>
        <row r="476">
          <cell r="C476" t="str">
            <v>INE0LMW01024</v>
          </cell>
          <cell r="D476" t="str">
            <v>CELLO</v>
          </cell>
          <cell r="E476">
            <v>13099.157442693</v>
          </cell>
          <cell r="F476" t="str">
            <v>CELLO</v>
          </cell>
          <cell r="G476">
            <v>13098.123100000001</v>
          </cell>
          <cell r="H476" t="str">
            <v>-</v>
          </cell>
          <cell r="I476" t="str">
            <v>-</v>
          </cell>
          <cell r="J476">
            <v>13098.6402713465</v>
          </cell>
          <cell r="K476" t="str">
            <v>Small Cap</v>
          </cell>
        </row>
        <row r="477">
          <cell r="C477" t="str">
            <v>INE351F01018</v>
          </cell>
          <cell r="D477" t="str">
            <v>JPPOWER</v>
          </cell>
          <cell r="E477">
            <v>13061.00635582</v>
          </cell>
          <cell r="F477" t="str">
            <v>JPPOWER</v>
          </cell>
          <cell r="G477">
            <v>13056.872499999999</v>
          </cell>
          <cell r="H477" t="str">
            <v>-</v>
          </cell>
          <cell r="I477" t="str">
            <v>-</v>
          </cell>
          <cell r="J477">
            <v>13058.93942791</v>
          </cell>
          <cell r="K477" t="str">
            <v>Small Cap</v>
          </cell>
        </row>
        <row r="478">
          <cell r="C478" t="str">
            <v>INE763I01026</v>
          </cell>
          <cell r="D478" t="str">
            <v>TARIL</v>
          </cell>
          <cell r="E478">
            <v>13005.863980968999</v>
          </cell>
          <cell r="F478" t="str">
            <v>TARIL</v>
          </cell>
          <cell r="G478">
            <v>13004.8873</v>
          </cell>
          <cell r="H478" t="str">
            <v>-</v>
          </cell>
          <cell r="I478" t="str">
            <v>-</v>
          </cell>
          <cell r="J478">
            <v>13005.375640484501</v>
          </cell>
          <cell r="K478" t="str">
            <v>Small Cap</v>
          </cell>
        </row>
        <row r="479">
          <cell r="C479" t="str">
            <v>INE619B01017</v>
          </cell>
          <cell r="D479" t="str">
            <v>NEWGEN</v>
          </cell>
          <cell r="E479">
            <v>12934.592120968</v>
          </cell>
          <cell r="F479" t="str">
            <v>NEWGEN</v>
          </cell>
          <cell r="G479">
            <v>12917.2781</v>
          </cell>
          <cell r="H479" t="str">
            <v>-</v>
          </cell>
          <cell r="I479" t="str">
            <v>-</v>
          </cell>
          <cell r="J479">
            <v>12925.935110483999</v>
          </cell>
          <cell r="K479" t="str">
            <v>Small Cap</v>
          </cell>
        </row>
        <row r="480">
          <cell r="C480" t="str">
            <v>INE930P01018</v>
          </cell>
          <cell r="D480" t="str">
            <v>ANURAS</v>
          </cell>
          <cell r="E480">
            <v>12912.649174721</v>
          </cell>
          <cell r="F480" t="str">
            <v>ANURAS</v>
          </cell>
          <cell r="G480">
            <v>12878.620199999999</v>
          </cell>
          <cell r="H480" t="str">
            <v>-</v>
          </cell>
          <cell r="I480" t="str">
            <v>-</v>
          </cell>
          <cell r="J480">
            <v>12895.6346873605</v>
          </cell>
          <cell r="K480" t="str">
            <v>Small Cap</v>
          </cell>
        </row>
        <row r="481">
          <cell r="C481" t="str">
            <v>INE101D01020</v>
          </cell>
          <cell r="D481" t="str">
            <v>GRANULES</v>
          </cell>
          <cell r="E481">
            <v>12802.414948510999</v>
          </cell>
          <cell r="F481" t="str">
            <v>GRANULES</v>
          </cell>
          <cell r="G481">
            <v>12804.9095</v>
          </cell>
          <cell r="H481" t="str">
            <v>-</v>
          </cell>
          <cell r="I481" t="str">
            <v>-</v>
          </cell>
          <cell r="J481">
            <v>12803.662224255499</v>
          </cell>
          <cell r="K481" t="str">
            <v>Small Cap</v>
          </cell>
        </row>
        <row r="482">
          <cell r="C482" t="str">
            <v>INE481N01025</v>
          </cell>
          <cell r="D482" t="str">
            <v>HOMEFIRST</v>
          </cell>
          <cell r="E482">
            <v>12797.703825788001</v>
          </cell>
          <cell r="F482" t="str">
            <v>HOMEFIRST</v>
          </cell>
          <cell r="G482">
            <v>12784.6312</v>
          </cell>
          <cell r="H482" t="str">
            <v>-</v>
          </cell>
          <cell r="I482" t="str">
            <v>-</v>
          </cell>
          <cell r="J482">
            <v>12791.167512894001</v>
          </cell>
          <cell r="K482" t="str">
            <v>Small Cap</v>
          </cell>
        </row>
        <row r="483">
          <cell r="C483" t="str">
            <v>INE024L01027</v>
          </cell>
          <cell r="D483" t="str">
            <v>GRAVITA</v>
          </cell>
          <cell r="E483">
            <v>12784.906574372</v>
          </cell>
          <cell r="F483" t="str">
            <v>GRAVITA</v>
          </cell>
          <cell r="G483">
            <v>12785.5041</v>
          </cell>
          <cell r="H483" t="str">
            <v>-</v>
          </cell>
          <cell r="I483" t="str">
            <v>-</v>
          </cell>
          <cell r="J483">
            <v>12785.205337186</v>
          </cell>
          <cell r="K483" t="str">
            <v>Small Cap</v>
          </cell>
        </row>
        <row r="484">
          <cell r="C484" t="str">
            <v>INE002S01010</v>
          </cell>
          <cell r="D484" t="str">
            <v>MGL</v>
          </cell>
          <cell r="E484">
            <v>12768.826973171001</v>
          </cell>
          <cell r="F484" t="str">
            <v>MGL</v>
          </cell>
          <cell r="G484">
            <v>12769.5051</v>
          </cell>
          <cell r="H484" t="str">
            <v>-</v>
          </cell>
          <cell r="I484" t="str">
            <v>-</v>
          </cell>
          <cell r="J484">
            <v>12769.1660365855</v>
          </cell>
          <cell r="K484" t="str">
            <v>Small Cap</v>
          </cell>
        </row>
        <row r="485">
          <cell r="C485" t="str">
            <v>INE228A01035</v>
          </cell>
          <cell r="D485" t="str">
            <v>USHAMART</v>
          </cell>
          <cell r="E485">
            <v>12707.768504783</v>
          </cell>
          <cell r="F485" t="str">
            <v>USHAMART</v>
          </cell>
          <cell r="G485">
            <v>12709.4131</v>
          </cell>
          <cell r="H485" t="str">
            <v>-</v>
          </cell>
          <cell r="I485" t="str">
            <v>-</v>
          </cell>
          <cell r="J485">
            <v>12708.5908023915</v>
          </cell>
          <cell r="K485" t="str">
            <v>Small Cap</v>
          </cell>
        </row>
        <row r="486">
          <cell r="C486" t="str">
            <v>INE011K01018</v>
          </cell>
          <cell r="D486" t="str">
            <v>TEGA</v>
          </cell>
          <cell r="E486">
            <v>12697.248105444</v>
          </cell>
          <cell r="F486" t="str">
            <v>TEGA</v>
          </cell>
          <cell r="G486">
            <v>12681.981599999999</v>
          </cell>
          <cell r="H486" t="str">
            <v>-</v>
          </cell>
          <cell r="I486" t="str">
            <v>-</v>
          </cell>
          <cell r="J486">
            <v>12689.614852721999</v>
          </cell>
          <cell r="K486" t="str">
            <v>Small Cap</v>
          </cell>
        </row>
        <row r="487">
          <cell r="C487" t="str">
            <v>INE970X01018</v>
          </cell>
          <cell r="D487" t="str">
            <v>LEMONTREE</v>
          </cell>
          <cell r="E487">
            <v>12684.463217323</v>
          </cell>
          <cell r="F487" t="str">
            <v>LEMONTREE</v>
          </cell>
          <cell r="G487">
            <v>12684.482099999999</v>
          </cell>
          <cell r="H487" t="str">
            <v>-</v>
          </cell>
          <cell r="I487" t="str">
            <v>-</v>
          </cell>
          <cell r="J487">
            <v>12684.4726586615</v>
          </cell>
          <cell r="K487" t="str">
            <v>Small Cap</v>
          </cell>
        </row>
        <row r="488">
          <cell r="C488" t="str">
            <v>INE825A01020</v>
          </cell>
          <cell r="D488" t="str">
            <v>VTL</v>
          </cell>
          <cell r="E488">
            <v>12679.564846524001</v>
          </cell>
          <cell r="F488" t="str">
            <v>VTL</v>
          </cell>
          <cell r="G488">
            <v>12677.559499999999</v>
          </cell>
          <cell r="H488" t="str">
            <v>-</v>
          </cell>
          <cell r="I488" t="str">
            <v>-</v>
          </cell>
          <cell r="J488">
            <v>12678.562173262</v>
          </cell>
          <cell r="K488" t="str">
            <v>Small Cap</v>
          </cell>
        </row>
        <row r="489">
          <cell r="C489" t="str">
            <v>INE868B01028</v>
          </cell>
          <cell r="D489" t="str">
            <v>NCC</v>
          </cell>
          <cell r="E489">
            <v>12649.937764483999</v>
          </cell>
          <cell r="F489" t="str">
            <v>NCC</v>
          </cell>
          <cell r="G489">
            <v>12650.251700000001</v>
          </cell>
          <cell r="H489" t="str">
            <v>-</v>
          </cell>
          <cell r="I489" t="str">
            <v>-</v>
          </cell>
          <cell r="J489">
            <v>12650.094732242</v>
          </cell>
          <cell r="K489" t="str">
            <v>Small Cap</v>
          </cell>
        </row>
        <row r="490">
          <cell r="C490" t="str">
            <v>INE235A01022</v>
          </cell>
          <cell r="D490" t="str">
            <v>FINCABLES</v>
          </cell>
          <cell r="E490">
            <v>12635.545232819</v>
          </cell>
          <cell r="F490" t="str">
            <v>FINCABLES</v>
          </cell>
          <cell r="G490">
            <v>12637.250599999999</v>
          </cell>
          <cell r="H490" t="str">
            <v>-</v>
          </cell>
          <cell r="I490" t="str">
            <v>-</v>
          </cell>
          <cell r="J490">
            <v>12636.3979164095</v>
          </cell>
          <cell r="K490" t="str">
            <v>Small Cap</v>
          </cell>
        </row>
        <row r="491">
          <cell r="C491" t="str">
            <v>INE731H01025</v>
          </cell>
          <cell r="D491" t="str">
            <v>ACE</v>
          </cell>
          <cell r="E491">
            <v>12619.383320306</v>
          </cell>
          <cell r="F491" t="str">
            <v>ACE</v>
          </cell>
          <cell r="G491">
            <v>12618.995800000001</v>
          </cell>
          <cell r="H491" t="str">
            <v>-</v>
          </cell>
          <cell r="I491" t="str">
            <v>-</v>
          </cell>
          <cell r="J491">
            <v>12619.189560153001</v>
          </cell>
          <cell r="K491" t="str">
            <v>Small Cap</v>
          </cell>
        </row>
        <row r="492">
          <cell r="C492" t="str">
            <v>INE2J8701016</v>
          </cell>
          <cell r="D492" t="str">
            <v>SKFINDUS</v>
          </cell>
          <cell r="E492">
            <v>12609.770437688001</v>
          </cell>
          <cell r="F492" t="str">
            <v>SKFINDUS</v>
          </cell>
          <cell r="G492">
            <v>12626.0987</v>
          </cell>
          <cell r="H492" t="str">
            <v>-</v>
          </cell>
          <cell r="I492" t="str">
            <v>-</v>
          </cell>
          <cell r="J492">
            <v>12617.934568844001</v>
          </cell>
          <cell r="K492" t="str">
            <v>Small Cap</v>
          </cell>
        </row>
        <row r="493">
          <cell r="C493" t="str">
            <v>INE069I01010</v>
          </cell>
          <cell r="D493" t="str">
            <v>EMBDL</v>
          </cell>
          <cell r="E493">
            <v>12701.474130465</v>
          </cell>
          <cell r="F493" t="str">
            <v>EMBDL</v>
          </cell>
          <cell r="G493">
            <v>12445.4535</v>
          </cell>
          <cell r="H493" t="str">
            <v>-</v>
          </cell>
          <cell r="I493" t="str">
            <v>-</v>
          </cell>
          <cell r="J493">
            <v>12573.463815232499</v>
          </cell>
          <cell r="K493" t="str">
            <v>Small Cap</v>
          </cell>
        </row>
        <row r="494">
          <cell r="C494" t="str">
            <v>INE205B01031</v>
          </cell>
          <cell r="D494" t="str">
            <v>ELECON</v>
          </cell>
          <cell r="E494">
            <v>12486.164200266001</v>
          </cell>
          <cell r="F494" t="str">
            <v>ELECON</v>
          </cell>
          <cell r="G494">
            <v>12486.5738</v>
          </cell>
          <cell r="H494" t="str">
            <v>-</v>
          </cell>
          <cell r="I494" t="str">
            <v>-</v>
          </cell>
          <cell r="J494">
            <v>12486.369000133</v>
          </cell>
          <cell r="K494" t="str">
            <v>Small Cap</v>
          </cell>
        </row>
        <row r="495">
          <cell r="C495" t="str">
            <v>INE324A01032</v>
          </cell>
          <cell r="D495" t="str">
            <v>JINDALSAW</v>
          </cell>
          <cell r="E495">
            <v>12425.670363931</v>
          </cell>
          <cell r="F495" t="str">
            <v>JINDALSAW</v>
          </cell>
          <cell r="G495">
            <v>12426.314899999999</v>
          </cell>
          <cell r="H495" t="str">
            <v>-</v>
          </cell>
          <cell r="I495" t="str">
            <v>-</v>
          </cell>
          <cell r="J495">
            <v>12425.992631965499</v>
          </cell>
          <cell r="K495" t="str">
            <v>Small Cap</v>
          </cell>
        </row>
        <row r="496">
          <cell r="C496" t="str">
            <v>INE0FLR01028</v>
          </cell>
          <cell r="D496" t="str">
            <v>IWEL</v>
          </cell>
          <cell r="E496">
            <v>12410.747088085001</v>
          </cell>
          <cell r="F496" t="str">
            <v>-</v>
          </cell>
          <cell r="G496" t="str">
            <v>-</v>
          </cell>
          <cell r="H496" t="str">
            <v>-</v>
          </cell>
          <cell r="I496" t="str">
            <v>-</v>
          </cell>
          <cell r="J496">
            <v>12410.747088085001</v>
          </cell>
          <cell r="K496" t="str">
            <v>Small Cap</v>
          </cell>
        </row>
        <row r="497">
          <cell r="C497" t="str">
            <v>INE192B01031</v>
          </cell>
          <cell r="D497" t="str">
            <v>WELSPUNLIV</v>
          </cell>
          <cell r="E497">
            <v>12330.248121938999</v>
          </cell>
          <cell r="F497" t="str">
            <v>WELSPUNLIV</v>
          </cell>
          <cell r="G497">
            <v>12331.191999999999</v>
          </cell>
          <cell r="H497" t="str">
            <v>-</v>
          </cell>
          <cell r="I497" t="str">
            <v>-</v>
          </cell>
          <cell r="J497">
            <v>12330.720060969499</v>
          </cell>
          <cell r="K497" t="str">
            <v>Small Cap</v>
          </cell>
        </row>
        <row r="498">
          <cell r="C498" t="str">
            <v>INE0NNS01018</v>
          </cell>
          <cell r="D498" t="str">
            <v>NSLNISP</v>
          </cell>
          <cell r="E498">
            <v>12252.025742893</v>
          </cell>
          <cell r="F498" t="str">
            <v>NSLNISP</v>
          </cell>
          <cell r="G498">
            <v>12248.420599999999</v>
          </cell>
          <cell r="H498" t="str">
            <v>-</v>
          </cell>
          <cell r="I498" t="str">
            <v>-</v>
          </cell>
          <cell r="J498">
            <v>12250.2231714465</v>
          </cell>
          <cell r="K498" t="str">
            <v>Small Cap</v>
          </cell>
        </row>
        <row r="499">
          <cell r="C499" t="str">
            <v>INE00FF01025</v>
          </cell>
          <cell r="D499" t="str">
            <v>ACUTAAS</v>
          </cell>
          <cell r="E499">
            <v>12190.948233735</v>
          </cell>
          <cell r="F499" t="str">
            <v>ACUTAAS</v>
          </cell>
          <cell r="G499">
            <v>12190.9352</v>
          </cell>
          <cell r="H499" t="str">
            <v>-</v>
          </cell>
          <cell r="I499" t="str">
            <v>-</v>
          </cell>
          <cell r="J499">
            <v>12190.941716867499</v>
          </cell>
          <cell r="K499" t="str">
            <v>Small Cap</v>
          </cell>
        </row>
        <row r="500">
          <cell r="C500" t="str">
            <v>INE320J01015</v>
          </cell>
          <cell r="D500" t="str">
            <v>RITES</v>
          </cell>
          <cell r="E500">
            <v>12178.347060533</v>
          </cell>
          <cell r="F500" t="str">
            <v>RITES</v>
          </cell>
          <cell r="G500">
            <v>12178.072399999999</v>
          </cell>
          <cell r="H500" t="str">
            <v>-</v>
          </cell>
          <cell r="I500" t="str">
            <v>-</v>
          </cell>
          <cell r="J500">
            <v>12178.209730266499</v>
          </cell>
          <cell r="K500" t="str">
            <v>Small Cap</v>
          </cell>
        </row>
        <row r="501">
          <cell r="C501" t="str">
            <v>INE421D01022</v>
          </cell>
          <cell r="D501" t="str">
            <v>CCL</v>
          </cell>
          <cell r="E501">
            <v>12161.654070149001</v>
          </cell>
          <cell r="F501" t="str">
            <v>CCL</v>
          </cell>
          <cell r="G501">
            <v>12168.4205</v>
          </cell>
          <cell r="H501" t="str">
            <v>-</v>
          </cell>
          <cell r="I501" t="str">
            <v>-</v>
          </cell>
          <cell r="J501">
            <v>12165.037285074501</v>
          </cell>
          <cell r="K501" t="str">
            <v>Small Cap</v>
          </cell>
        </row>
        <row r="502">
          <cell r="C502" t="str">
            <v>INE183A01024</v>
          </cell>
          <cell r="D502" t="str">
            <v>FINPIPE</v>
          </cell>
          <cell r="E502">
            <v>12094.473716017001</v>
          </cell>
          <cell r="F502" t="str">
            <v>FINPIPE</v>
          </cell>
          <cell r="G502">
            <v>12092.410400000001</v>
          </cell>
          <cell r="H502" t="str">
            <v>-</v>
          </cell>
          <cell r="I502" t="str">
            <v>-</v>
          </cell>
          <cell r="J502">
            <v>12093.442058008501</v>
          </cell>
          <cell r="K502" t="str">
            <v>Small Cap</v>
          </cell>
        </row>
        <row r="503">
          <cell r="C503" t="str">
            <v>INE148I01020</v>
          </cell>
          <cell r="D503" t="str">
            <v>SAMMAANCAP</v>
          </cell>
          <cell r="E503">
            <v>12088.314579529</v>
          </cell>
          <cell r="F503" t="str">
            <v>SAMMAANCAP</v>
          </cell>
          <cell r="G503">
            <v>12088.196400000001</v>
          </cell>
          <cell r="H503" t="str">
            <v>-</v>
          </cell>
          <cell r="I503" t="str">
            <v>-</v>
          </cell>
          <cell r="J503">
            <v>12088.2554897645</v>
          </cell>
          <cell r="K503" t="str">
            <v>Small Cap</v>
          </cell>
        </row>
        <row r="504">
          <cell r="C504" t="str">
            <v>INE177A01018</v>
          </cell>
          <cell r="D504" t="str">
            <v>INGERRAND</v>
          </cell>
          <cell r="E504">
            <v>12067.733614602999</v>
          </cell>
          <cell r="F504" t="str">
            <v>INGERRAND</v>
          </cell>
          <cell r="G504">
            <v>12067.4367</v>
          </cell>
          <cell r="H504" t="str">
            <v>-</v>
          </cell>
          <cell r="I504" t="str">
            <v>-</v>
          </cell>
          <cell r="J504">
            <v>12067.585157301499</v>
          </cell>
          <cell r="K504" t="str">
            <v>Small Cap</v>
          </cell>
        </row>
        <row r="505">
          <cell r="C505" t="str">
            <v>INE383A01012</v>
          </cell>
          <cell r="D505" t="str">
            <v>INDIACEM</v>
          </cell>
          <cell r="E505">
            <v>12014.161094911</v>
          </cell>
          <cell r="F505" t="str">
            <v>INDIACEM</v>
          </cell>
          <cell r="G505">
            <v>12016.8788</v>
          </cell>
          <cell r="H505" t="str">
            <v>-</v>
          </cell>
          <cell r="I505" t="str">
            <v>-</v>
          </cell>
          <cell r="J505">
            <v>12015.519947455501</v>
          </cell>
          <cell r="K505" t="str">
            <v>Small Cap</v>
          </cell>
        </row>
        <row r="506">
          <cell r="C506" t="str">
            <v>INE0KBH01020</v>
          </cell>
          <cell r="D506" t="str">
            <v>BLUEJET</v>
          </cell>
          <cell r="E506">
            <v>11961.872831860999</v>
          </cell>
          <cell r="F506" t="str">
            <v>BLUEJET</v>
          </cell>
          <cell r="G506">
            <v>11961.466700000001</v>
          </cell>
          <cell r="H506" t="str">
            <v>-</v>
          </cell>
          <cell r="I506" t="str">
            <v>-</v>
          </cell>
          <cell r="J506">
            <v>11961.669765930499</v>
          </cell>
          <cell r="K506" t="str">
            <v>Small Cap</v>
          </cell>
        </row>
        <row r="507">
          <cell r="C507" t="str">
            <v>INE290S01011</v>
          </cell>
          <cell r="D507" t="str">
            <v>CARTRADE</v>
          </cell>
          <cell r="E507">
            <v>11969.094026299001</v>
          </cell>
          <cell r="F507" t="str">
            <v>CARTRADE</v>
          </cell>
          <cell r="G507">
            <v>11950.7593</v>
          </cell>
          <cell r="H507" t="str">
            <v>-</v>
          </cell>
          <cell r="I507" t="str">
            <v>-</v>
          </cell>
          <cell r="J507">
            <v>11959.926663149501</v>
          </cell>
          <cell r="K507" t="str">
            <v>Small Cap</v>
          </cell>
        </row>
        <row r="508">
          <cell r="C508" t="str">
            <v>INE178A01016</v>
          </cell>
          <cell r="D508" t="str">
            <v>CHENNPETRO</v>
          </cell>
          <cell r="E508">
            <v>11917.781166413</v>
          </cell>
          <cell r="F508" t="str">
            <v>CHENNPETRO</v>
          </cell>
          <cell r="G508">
            <v>11920.6944</v>
          </cell>
          <cell r="H508" t="str">
            <v>-</v>
          </cell>
          <cell r="I508" t="str">
            <v>-</v>
          </cell>
          <cell r="J508">
            <v>11919.237783206499</v>
          </cell>
          <cell r="K508" t="str">
            <v>Small Cap</v>
          </cell>
        </row>
        <row r="509">
          <cell r="C509" t="str">
            <v>INE202Z01029</v>
          </cell>
          <cell r="D509" t="str">
            <v>-</v>
          </cell>
          <cell r="E509" t="str">
            <v>-</v>
          </cell>
          <cell r="F509" t="str">
            <v>TSFINV</v>
          </cell>
          <cell r="G509">
            <v>11907.2435</v>
          </cell>
          <cell r="H509" t="str">
            <v>-</v>
          </cell>
          <cell r="I509" t="str">
            <v>-</v>
          </cell>
          <cell r="J509">
            <v>11907.2435</v>
          </cell>
          <cell r="K509" t="str">
            <v>Small Cap</v>
          </cell>
        </row>
        <row r="510">
          <cell r="C510" t="str">
            <v>INE423Y01016</v>
          </cell>
          <cell r="D510" t="str">
            <v>SBFC</v>
          </cell>
          <cell r="E510">
            <v>11888.824073705</v>
          </cell>
          <cell r="F510" t="str">
            <v>SBFC</v>
          </cell>
          <cell r="G510">
            <v>11872.311299999999</v>
          </cell>
          <cell r="H510" t="str">
            <v>-</v>
          </cell>
          <cell r="I510" t="str">
            <v>-</v>
          </cell>
          <cell r="J510">
            <v>11880.567686852501</v>
          </cell>
          <cell r="K510" t="str">
            <v>Small Cap</v>
          </cell>
        </row>
        <row r="511">
          <cell r="C511" t="str">
            <v>INE01TY01017</v>
          </cell>
          <cell r="D511" t="str">
            <v>CANHLIFE</v>
          </cell>
          <cell r="E511">
            <v>11799.651960784</v>
          </cell>
          <cell r="F511" t="str">
            <v>CANHLIFE</v>
          </cell>
          <cell r="G511">
            <v>11802.0363</v>
          </cell>
          <cell r="H511" t="str">
            <v>-</v>
          </cell>
          <cell r="I511" t="str">
            <v>-</v>
          </cell>
          <cell r="J511">
            <v>11800.844130392001</v>
          </cell>
          <cell r="K511" t="str">
            <v>Small Cap</v>
          </cell>
        </row>
        <row r="512">
          <cell r="C512" t="str">
            <v>INE0DD101019</v>
          </cell>
          <cell r="D512" t="str">
            <v>RAILTEL</v>
          </cell>
          <cell r="E512">
            <v>11782.604094800001</v>
          </cell>
          <cell r="F512" t="str">
            <v>RAILTEL</v>
          </cell>
          <cell r="G512">
            <v>11783.2027</v>
          </cell>
          <cell r="H512" t="str">
            <v>-</v>
          </cell>
          <cell r="I512" t="str">
            <v>-</v>
          </cell>
          <cell r="J512">
            <v>11782.903397400001</v>
          </cell>
          <cell r="K512" t="str">
            <v>Small Cap</v>
          </cell>
        </row>
        <row r="513">
          <cell r="C513" t="str">
            <v>INE227W01023</v>
          </cell>
          <cell r="D513" t="str">
            <v>CLEAN</v>
          </cell>
          <cell r="E513">
            <v>11732.728781452999</v>
          </cell>
          <cell r="F513" t="str">
            <v>CLEAN</v>
          </cell>
          <cell r="G513">
            <v>11731.505300000001</v>
          </cell>
          <cell r="H513" t="str">
            <v>-</v>
          </cell>
          <cell r="I513" t="str">
            <v>-</v>
          </cell>
          <cell r="J513">
            <v>11732.1170407265</v>
          </cell>
          <cell r="K513" t="str">
            <v>Small Cap</v>
          </cell>
        </row>
        <row r="514">
          <cell r="C514" t="str">
            <v>INE615H01020</v>
          </cell>
          <cell r="D514" t="str">
            <v>TITAGARH</v>
          </cell>
          <cell r="E514">
            <v>11720.930583094001</v>
          </cell>
          <cell r="F514" t="str">
            <v>TITAGARH</v>
          </cell>
          <cell r="G514">
            <v>11721.283299999999</v>
          </cell>
          <cell r="H514" t="str">
            <v>-</v>
          </cell>
          <cell r="I514" t="str">
            <v>-</v>
          </cell>
          <cell r="J514">
            <v>11721.106941547001</v>
          </cell>
          <cell r="K514" t="str">
            <v>Small Cap</v>
          </cell>
        </row>
        <row r="515">
          <cell r="C515" t="str">
            <v>INE668F01031</v>
          </cell>
          <cell r="D515" t="str">
            <v>JYOTHYLAB</v>
          </cell>
          <cell r="E515">
            <v>11720.496294819999</v>
          </cell>
          <cell r="F515" t="str">
            <v>JYOTHYLAB</v>
          </cell>
          <cell r="G515">
            <v>11719.651099999999</v>
          </cell>
          <cell r="H515" t="str">
            <v>-</v>
          </cell>
          <cell r="I515" t="str">
            <v>-</v>
          </cell>
          <cell r="J515">
            <v>11720.07369741</v>
          </cell>
          <cell r="K515" t="str">
            <v>Small Cap</v>
          </cell>
        </row>
        <row r="516">
          <cell r="C516" t="str">
            <v>INE526E01018</v>
          </cell>
          <cell r="D516" t="str">
            <v>SHRIPISTON</v>
          </cell>
          <cell r="E516">
            <v>11708.642492213001</v>
          </cell>
          <cell r="F516" t="str">
            <v>SHRIPISTON</v>
          </cell>
          <cell r="G516">
            <v>11712.3658</v>
          </cell>
          <cell r="H516" t="str">
            <v>-</v>
          </cell>
          <cell r="I516" t="str">
            <v>-</v>
          </cell>
          <cell r="J516">
            <v>11710.504146106501</v>
          </cell>
          <cell r="K516" t="str">
            <v>Small Cap</v>
          </cell>
        </row>
        <row r="517">
          <cell r="C517" t="str">
            <v>INE03Q201024</v>
          </cell>
          <cell r="D517" t="str">
            <v>ALIVUS</v>
          </cell>
          <cell r="E517">
            <v>11606.672315832</v>
          </cell>
          <cell r="F517" t="str">
            <v>ALIVUS</v>
          </cell>
          <cell r="G517">
            <v>11605.411599999999</v>
          </cell>
          <cell r="H517" t="str">
            <v>-</v>
          </cell>
          <cell r="I517" t="str">
            <v>-</v>
          </cell>
          <cell r="J517">
            <v>11606.041957916001</v>
          </cell>
          <cell r="K517" t="str">
            <v>Small Cap</v>
          </cell>
        </row>
        <row r="518">
          <cell r="C518" t="str">
            <v>INE510A01028</v>
          </cell>
          <cell r="D518" t="str">
            <v>ENGINERSIN</v>
          </cell>
          <cell r="E518">
            <v>11601.290586589001</v>
          </cell>
          <cell r="F518" t="str">
            <v>ENGINERSIN</v>
          </cell>
          <cell r="G518">
            <v>11602.976699999999</v>
          </cell>
          <cell r="H518" t="str">
            <v>-</v>
          </cell>
          <cell r="I518" t="str">
            <v>-</v>
          </cell>
          <cell r="J518">
            <v>11602.133643294499</v>
          </cell>
          <cell r="K518" t="str">
            <v>Small Cap</v>
          </cell>
        </row>
        <row r="519">
          <cell r="C519" t="str">
            <v>INE168A01041</v>
          </cell>
          <cell r="D519" t="str">
            <v>J&amp;KBANK</v>
          </cell>
          <cell r="E519">
            <v>11565.037724507001</v>
          </cell>
          <cell r="F519" t="str">
            <v>J&amp;KBANK</v>
          </cell>
          <cell r="G519">
            <v>11564.679400000001</v>
          </cell>
          <cell r="H519" t="str">
            <v>-</v>
          </cell>
          <cell r="I519" t="str">
            <v>-</v>
          </cell>
          <cell r="J519">
            <v>11564.858562253501</v>
          </cell>
          <cell r="K519" t="str">
            <v>Small Cap</v>
          </cell>
        </row>
        <row r="520">
          <cell r="C520" t="str">
            <v>INE260D01016</v>
          </cell>
          <cell r="D520" t="str">
            <v>OLECTRA</v>
          </cell>
          <cell r="E520">
            <v>11559.560478594</v>
          </cell>
          <cell r="F520" t="str">
            <v>OLECTRA</v>
          </cell>
          <cell r="G520">
            <v>11558.7462</v>
          </cell>
          <cell r="H520" t="str">
            <v>-</v>
          </cell>
          <cell r="I520" t="str">
            <v>-</v>
          </cell>
          <cell r="J520">
            <v>11559.153339297</v>
          </cell>
          <cell r="K520" t="str">
            <v>Small Cap</v>
          </cell>
        </row>
        <row r="521">
          <cell r="C521" t="str">
            <v>INE201P01022</v>
          </cell>
          <cell r="D521" t="str">
            <v>GRINFRA</v>
          </cell>
          <cell r="E521">
            <v>11554.821347575</v>
          </cell>
          <cell r="F521" t="str">
            <v>GRINFRA</v>
          </cell>
          <cell r="G521">
            <v>11556.653899999999</v>
          </cell>
          <cell r="H521" t="str">
            <v>-</v>
          </cell>
          <cell r="I521" t="str">
            <v>-</v>
          </cell>
          <cell r="J521">
            <v>11555.7376237875</v>
          </cell>
          <cell r="K521" t="str">
            <v>Small Cap</v>
          </cell>
        </row>
        <row r="522">
          <cell r="C522" t="str">
            <v>INE058A01010</v>
          </cell>
          <cell r="D522" t="str">
            <v>SANOFI</v>
          </cell>
          <cell r="E522">
            <v>11413.951305556</v>
          </cell>
          <cell r="F522" t="str">
            <v>SANOFI</v>
          </cell>
          <cell r="G522">
            <v>11410.402899999999</v>
          </cell>
          <cell r="H522" t="str">
            <v>-</v>
          </cell>
          <cell r="I522" t="str">
            <v>-</v>
          </cell>
          <cell r="J522">
            <v>11412.177102778</v>
          </cell>
          <cell r="K522" t="str">
            <v>Small Cap</v>
          </cell>
        </row>
        <row r="523">
          <cell r="C523" t="str">
            <v>INE0BY001018</v>
          </cell>
          <cell r="D523" t="str">
            <v>JUBLINGREA</v>
          </cell>
          <cell r="E523">
            <v>11409.706189417999</v>
          </cell>
          <cell r="F523" t="str">
            <v>JUBLINGREA</v>
          </cell>
          <cell r="G523">
            <v>11412.1144</v>
          </cell>
          <cell r="H523" t="str">
            <v>-</v>
          </cell>
          <cell r="I523" t="str">
            <v>-</v>
          </cell>
          <cell r="J523">
            <v>11410.910294709</v>
          </cell>
          <cell r="K523" t="str">
            <v>Small Cap</v>
          </cell>
        </row>
        <row r="524">
          <cell r="C524" t="str">
            <v>INE0UOS01011</v>
          </cell>
          <cell r="D524" t="str">
            <v>SANOFICONR</v>
          </cell>
          <cell r="E524">
            <v>11294.479321994999</v>
          </cell>
          <cell r="F524" t="str">
            <v>SANOFICONR</v>
          </cell>
          <cell r="G524">
            <v>11300.195900000001</v>
          </cell>
          <cell r="H524" t="str">
            <v>-</v>
          </cell>
          <cell r="I524" t="str">
            <v>-</v>
          </cell>
          <cell r="J524">
            <v>11297.3376109975</v>
          </cell>
          <cell r="K524" t="str">
            <v>Small Cap</v>
          </cell>
        </row>
        <row r="525">
          <cell r="C525" t="str">
            <v>INE0KCE01017</v>
          </cell>
          <cell r="D525" t="str">
            <v>EUREKAFORB</v>
          </cell>
          <cell r="E525">
            <v>11218.235276211999</v>
          </cell>
          <cell r="F525" t="str">
            <v>EUREKAFORB</v>
          </cell>
          <cell r="G525">
            <v>11220.3609</v>
          </cell>
          <cell r="H525" t="str">
            <v>-</v>
          </cell>
          <cell r="I525" t="str">
            <v>-</v>
          </cell>
          <cell r="J525">
            <v>11219.298088105999</v>
          </cell>
          <cell r="K525" t="str">
            <v>Small Cap</v>
          </cell>
        </row>
        <row r="526">
          <cell r="C526" t="str">
            <v>INE299N01021</v>
          </cell>
          <cell r="D526" t="str">
            <v>WAAREERTL</v>
          </cell>
          <cell r="E526">
            <v>11173.186188154999</v>
          </cell>
          <cell r="F526" t="str">
            <v>WAAREERTL</v>
          </cell>
          <cell r="G526">
            <v>11170.4584</v>
          </cell>
          <cell r="H526" t="str">
            <v>-</v>
          </cell>
          <cell r="I526" t="str">
            <v>-</v>
          </cell>
          <cell r="J526">
            <v>11171.822294077499</v>
          </cell>
          <cell r="K526" t="str">
            <v>Small Cap</v>
          </cell>
        </row>
        <row r="527">
          <cell r="C527" t="str">
            <v>INE131B01039</v>
          </cell>
          <cell r="D527" t="str">
            <v>RELAXO</v>
          </cell>
          <cell r="E527">
            <v>11144.822438974999</v>
          </cell>
          <cell r="F527" t="str">
            <v>RELAXO</v>
          </cell>
          <cell r="G527">
            <v>11144.871800000001</v>
          </cell>
          <cell r="H527" t="str">
            <v>-</v>
          </cell>
          <cell r="I527" t="str">
            <v>-</v>
          </cell>
          <cell r="J527">
            <v>11144.8471194875</v>
          </cell>
          <cell r="K527" t="str">
            <v>Small Cap</v>
          </cell>
        </row>
        <row r="528">
          <cell r="C528" t="str">
            <v>INE00F201020</v>
          </cell>
          <cell r="D528" t="str">
            <v>PRUDENT</v>
          </cell>
          <cell r="E528">
            <v>11144.2530076</v>
          </cell>
          <cell r="F528" t="str">
            <v>PRUDENT</v>
          </cell>
          <cell r="G528">
            <v>11143.888199999999</v>
          </cell>
          <cell r="H528" t="str">
            <v>-</v>
          </cell>
          <cell r="I528" t="str">
            <v>-</v>
          </cell>
          <cell r="J528">
            <v>11144.070603799999</v>
          </cell>
          <cell r="K528" t="str">
            <v>Small Cap</v>
          </cell>
        </row>
        <row r="529">
          <cell r="C529" t="str">
            <v>INE078V01014</v>
          </cell>
          <cell r="D529" t="str">
            <v>VIKRAMSOLR</v>
          </cell>
          <cell r="E529">
            <v>11039.08089487</v>
          </cell>
          <cell r="F529" t="str">
            <v>VIKRAMSOLR</v>
          </cell>
          <cell r="G529">
            <v>11033.4519</v>
          </cell>
          <cell r="H529" t="str">
            <v>-</v>
          </cell>
          <cell r="I529" t="str">
            <v>-</v>
          </cell>
          <cell r="J529">
            <v>11036.266397435</v>
          </cell>
          <cell r="K529" t="str">
            <v>Small Cap</v>
          </cell>
        </row>
        <row r="530">
          <cell r="C530" t="str">
            <v>INE517B01013</v>
          </cell>
          <cell r="D530" t="str">
            <v>TTML</v>
          </cell>
          <cell r="E530">
            <v>11031.579586964001</v>
          </cell>
          <cell r="F530" t="str">
            <v>TTML</v>
          </cell>
          <cell r="G530">
            <v>11028.6937</v>
          </cell>
          <cell r="H530" t="str">
            <v>-</v>
          </cell>
          <cell r="I530" t="str">
            <v>-</v>
          </cell>
          <cell r="J530">
            <v>11030.136643482001</v>
          </cell>
          <cell r="K530" t="str">
            <v>Small Cap</v>
          </cell>
        </row>
        <row r="531">
          <cell r="C531" t="str">
            <v>INE477A01020</v>
          </cell>
          <cell r="D531" t="str">
            <v>CANFINHOME</v>
          </cell>
          <cell r="E531">
            <v>10931.578506037</v>
          </cell>
          <cell r="F531" t="str">
            <v>CANFINHOME</v>
          </cell>
          <cell r="G531">
            <v>10933.628699999999</v>
          </cell>
          <cell r="H531" t="str">
            <v>-</v>
          </cell>
          <cell r="I531" t="str">
            <v>-</v>
          </cell>
          <cell r="J531">
            <v>10932.603603018499</v>
          </cell>
          <cell r="K531" t="str">
            <v>Small Cap</v>
          </cell>
        </row>
        <row r="532">
          <cell r="C532" t="str">
            <v>INE836A01035</v>
          </cell>
          <cell r="D532" t="str">
            <v>BSOFT</v>
          </cell>
          <cell r="E532">
            <v>10900.626710410001</v>
          </cell>
          <cell r="F532" t="str">
            <v>BSOFT</v>
          </cell>
          <cell r="G532">
            <v>10896.544</v>
          </cell>
          <cell r="H532" t="str">
            <v>-</v>
          </cell>
          <cell r="I532" t="str">
            <v>-</v>
          </cell>
          <cell r="J532">
            <v>10898.585355204999</v>
          </cell>
          <cell r="K532" t="str">
            <v>Small Cap</v>
          </cell>
        </row>
        <row r="533">
          <cell r="C533" t="str">
            <v>INE371A01025</v>
          </cell>
          <cell r="D533" t="str">
            <v>GRAPHITE</v>
          </cell>
          <cell r="E533">
            <v>10876.698871975999</v>
          </cell>
          <cell r="F533" t="str">
            <v>GRAPHITE</v>
          </cell>
          <cell r="G533">
            <v>10877.419900000001</v>
          </cell>
          <cell r="H533" t="str">
            <v>-</v>
          </cell>
          <cell r="I533" t="str">
            <v>-</v>
          </cell>
          <cell r="J533">
            <v>10877.059385987999</v>
          </cell>
          <cell r="K533" t="str">
            <v>Small Cap</v>
          </cell>
        </row>
        <row r="534">
          <cell r="C534" t="str">
            <v>INE573A01042</v>
          </cell>
          <cell r="D534" t="str">
            <v>JKTYRE</v>
          </cell>
          <cell r="E534">
            <v>10822.236111585</v>
          </cell>
          <cell r="F534" t="str">
            <v>JKTYRE</v>
          </cell>
          <cell r="G534">
            <v>10823.2148</v>
          </cell>
          <cell r="H534" t="str">
            <v>-</v>
          </cell>
          <cell r="I534" t="str">
            <v>-</v>
          </cell>
          <cell r="J534">
            <v>10822.725455792501</v>
          </cell>
          <cell r="K534" t="str">
            <v>Small Cap</v>
          </cell>
        </row>
        <row r="535">
          <cell r="C535" t="str">
            <v>INE0UIZ01018</v>
          </cell>
          <cell r="D535" t="str">
            <v>BLACKBUCK</v>
          </cell>
          <cell r="E535">
            <v>10797.506799299001</v>
          </cell>
          <cell r="F535" t="str">
            <v>BLACKBUCK</v>
          </cell>
          <cell r="G535">
            <v>10757.3927</v>
          </cell>
          <cell r="H535" t="str">
            <v>-</v>
          </cell>
          <cell r="I535" t="str">
            <v>-</v>
          </cell>
          <cell r="J535">
            <v>10777.449749649501</v>
          </cell>
          <cell r="K535" t="str">
            <v>Small Cap</v>
          </cell>
        </row>
        <row r="536">
          <cell r="C536" t="str">
            <v>INE256A01028</v>
          </cell>
          <cell r="D536" t="str">
            <v>ZEEL</v>
          </cell>
          <cell r="E536">
            <v>10743.638407799999</v>
          </cell>
          <cell r="F536" t="str">
            <v>ZEEL</v>
          </cell>
          <cell r="G536">
            <v>10743.691800000001</v>
          </cell>
          <cell r="H536" t="str">
            <v>-</v>
          </cell>
          <cell r="I536" t="str">
            <v>-</v>
          </cell>
          <cell r="J536">
            <v>10743.665103899999</v>
          </cell>
          <cell r="K536" t="str">
            <v>Small Cap</v>
          </cell>
        </row>
        <row r="537">
          <cell r="C537" t="str">
            <v>INE429E01023</v>
          </cell>
          <cell r="D537" t="str">
            <v>SAFARI</v>
          </cell>
          <cell r="E537">
            <v>10742.309194808</v>
          </cell>
          <cell r="F537" t="str">
            <v>SAFARI</v>
          </cell>
          <cell r="G537">
            <v>10740.358399999999</v>
          </cell>
          <cell r="H537" t="str">
            <v>-</v>
          </cell>
          <cell r="I537" t="str">
            <v>-</v>
          </cell>
          <cell r="J537">
            <v>10741.333797404001</v>
          </cell>
          <cell r="K537" t="str">
            <v>Small Cap</v>
          </cell>
        </row>
        <row r="538">
          <cell r="C538" t="str">
            <v>INE616N01034</v>
          </cell>
          <cell r="D538" t="str">
            <v>INOXINDIA</v>
          </cell>
          <cell r="E538">
            <v>10689.959350595</v>
          </cell>
          <cell r="F538" t="str">
            <v>INOXINDIA</v>
          </cell>
          <cell r="G538">
            <v>10691.270399999999</v>
          </cell>
          <cell r="H538" t="str">
            <v>-</v>
          </cell>
          <cell r="I538" t="str">
            <v>-</v>
          </cell>
          <cell r="J538">
            <v>10690.614875297499</v>
          </cell>
          <cell r="K538" t="str">
            <v>Small Cap</v>
          </cell>
        </row>
        <row r="539">
          <cell r="C539" t="str">
            <v>INE548A01028</v>
          </cell>
          <cell r="D539" t="str">
            <v>HFCL</v>
          </cell>
          <cell r="E539">
            <v>10693.562700566001</v>
          </cell>
          <cell r="F539" t="str">
            <v>HFCL</v>
          </cell>
          <cell r="G539">
            <v>10679.7997</v>
          </cell>
          <cell r="H539" t="str">
            <v>-</v>
          </cell>
          <cell r="I539" t="str">
            <v>-</v>
          </cell>
          <cell r="J539">
            <v>10686.681200283001</v>
          </cell>
          <cell r="K539" t="str">
            <v>Small Cap</v>
          </cell>
        </row>
        <row r="540">
          <cell r="C540" t="str">
            <v>INE506V01022</v>
          </cell>
          <cell r="D540" t="str">
            <v>RUBICON</v>
          </cell>
          <cell r="E540">
            <v>10637.436369478</v>
          </cell>
          <cell r="F540" t="str">
            <v>RUBICON</v>
          </cell>
          <cell r="G540">
            <v>10638.212600000001</v>
          </cell>
          <cell r="H540" t="str">
            <v>-</v>
          </cell>
          <cell r="I540" t="str">
            <v>-</v>
          </cell>
          <cell r="J540">
            <v>10637.824484739001</v>
          </cell>
          <cell r="K540" t="str">
            <v>Small Cap</v>
          </cell>
        </row>
        <row r="541">
          <cell r="C541" t="str">
            <v>INE191H01014</v>
          </cell>
          <cell r="D541" t="str">
            <v>PVRINOX</v>
          </cell>
          <cell r="E541">
            <v>10616.160185563</v>
          </cell>
          <cell r="F541" t="str">
            <v>PVRINOX</v>
          </cell>
          <cell r="G541">
            <v>10617.4617</v>
          </cell>
          <cell r="H541" t="str">
            <v>-</v>
          </cell>
          <cell r="I541" t="str">
            <v>-</v>
          </cell>
          <cell r="J541">
            <v>10616.8109427815</v>
          </cell>
          <cell r="K541" t="str">
            <v>Small Cap</v>
          </cell>
        </row>
        <row r="542">
          <cell r="C542" t="str">
            <v>INE786A01032</v>
          </cell>
          <cell r="D542" t="str">
            <v>JKLAKSHMI</v>
          </cell>
          <cell r="E542">
            <v>10578.234899860001</v>
          </cell>
          <cell r="F542" t="str">
            <v>JKLAKSHMI</v>
          </cell>
          <cell r="G542">
            <v>10558.6384</v>
          </cell>
          <cell r="H542" t="str">
            <v>-</v>
          </cell>
          <cell r="I542" t="str">
            <v>-</v>
          </cell>
          <cell r="J542">
            <v>10568.436649930001</v>
          </cell>
          <cell r="K542" t="str">
            <v>Small Cap</v>
          </cell>
        </row>
        <row r="543">
          <cell r="C543" t="str">
            <v>INE109A01011</v>
          </cell>
          <cell r="D543" t="str">
            <v>SCI</v>
          </cell>
          <cell r="E543">
            <v>10561.474997294001</v>
          </cell>
          <cell r="F543" t="str">
            <v>SCI</v>
          </cell>
          <cell r="G543">
            <v>10562.195900000001</v>
          </cell>
          <cell r="H543" t="str">
            <v>-</v>
          </cell>
          <cell r="I543" t="str">
            <v>-</v>
          </cell>
          <cell r="J543">
            <v>10561.835448647002</v>
          </cell>
          <cell r="K543" t="str">
            <v>Small Cap</v>
          </cell>
        </row>
        <row r="544">
          <cell r="C544" t="str">
            <v>INE043W01024</v>
          </cell>
          <cell r="D544" t="str">
            <v>VIJAYA</v>
          </cell>
          <cell r="E544">
            <v>10549.938262835001</v>
          </cell>
          <cell r="F544" t="str">
            <v>VIJAYA</v>
          </cell>
          <cell r="G544">
            <v>10551.4121</v>
          </cell>
          <cell r="H544" t="str">
            <v>-</v>
          </cell>
          <cell r="I544" t="str">
            <v>-</v>
          </cell>
          <cell r="J544">
            <v>10550.6751814175</v>
          </cell>
          <cell r="K544" t="str">
            <v>Small Cap</v>
          </cell>
        </row>
        <row r="545">
          <cell r="C545" t="str">
            <v>INE959A01019</v>
          </cell>
          <cell r="D545" t="str">
            <v>PRIVISCL</v>
          </cell>
          <cell r="E545">
            <v>10530.908710110001</v>
          </cell>
          <cell r="F545" t="str">
            <v>PRIVISCL</v>
          </cell>
          <cell r="G545">
            <v>10533.246300000001</v>
          </cell>
          <cell r="H545" t="str">
            <v>-</v>
          </cell>
          <cell r="I545" t="str">
            <v>-</v>
          </cell>
          <cell r="J545">
            <v>10532.077505055</v>
          </cell>
          <cell r="K545" t="str">
            <v>Small Cap</v>
          </cell>
        </row>
        <row r="546">
          <cell r="C546" t="str">
            <v>INE269A01021</v>
          </cell>
          <cell r="D546" t="str">
            <v>SONATSOFTW</v>
          </cell>
          <cell r="E546">
            <v>10506.783409573</v>
          </cell>
          <cell r="F546" t="str">
            <v>SONATSOFTW</v>
          </cell>
          <cell r="G546">
            <v>10504.924999999999</v>
          </cell>
          <cell r="H546" t="str">
            <v>-</v>
          </cell>
          <cell r="I546" t="str">
            <v>-</v>
          </cell>
          <cell r="J546">
            <v>10505.854204786499</v>
          </cell>
          <cell r="K546" t="str">
            <v>Small Cap</v>
          </cell>
        </row>
        <row r="547">
          <cell r="C547" t="str">
            <v>INE0BWX01014</v>
          </cell>
          <cell r="D547" t="str">
            <v>AETHER</v>
          </cell>
          <cell r="E547">
            <v>10420.651635800999</v>
          </cell>
          <cell r="F547" t="str">
            <v>AETHER</v>
          </cell>
          <cell r="G547">
            <v>10423.007900000001</v>
          </cell>
          <cell r="H547" t="str">
            <v>-</v>
          </cell>
          <cell r="I547" t="str">
            <v>-</v>
          </cell>
          <cell r="J547">
            <v>10421.829767900501</v>
          </cell>
          <cell r="K547" t="str">
            <v>Small Cap</v>
          </cell>
        </row>
        <row r="548">
          <cell r="C548" t="str">
            <v>INE02IJ01035</v>
          </cell>
          <cell r="D548" t="str">
            <v>AZAD</v>
          </cell>
          <cell r="E548">
            <v>10421.696820127001</v>
          </cell>
          <cell r="F548" t="str">
            <v>AZAD</v>
          </cell>
          <cell r="G548">
            <v>10421.335499999999</v>
          </cell>
          <cell r="H548" t="str">
            <v>-</v>
          </cell>
          <cell r="I548" t="str">
            <v>-</v>
          </cell>
          <cell r="J548">
            <v>10421.5161600635</v>
          </cell>
          <cell r="K548" t="str">
            <v>Small Cap</v>
          </cell>
        </row>
        <row r="549">
          <cell r="C549" t="str">
            <v>INE418L01047</v>
          </cell>
          <cell r="D549" t="str">
            <v>NAZARA</v>
          </cell>
          <cell r="E549">
            <v>10458.619009717</v>
          </cell>
          <cell r="F549" t="str">
            <v>NAZARA</v>
          </cell>
          <cell r="G549">
            <v>10381.034600000001</v>
          </cell>
          <cell r="H549" t="str">
            <v>-</v>
          </cell>
          <cell r="I549" t="str">
            <v>-</v>
          </cell>
          <cell r="J549">
            <v>10419.826804858501</v>
          </cell>
          <cell r="K549" t="str">
            <v>Small Cap</v>
          </cell>
        </row>
        <row r="550">
          <cell r="C550" t="str">
            <v>INE532F01054</v>
          </cell>
          <cell r="D550" t="str">
            <v>EDELWEISS</v>
          </cell>
          <cell r="E550">
            <v>10411.876577485</v>
          </cell>
          <cell r="F550" t="str">
            <v>EDELWEISS</v>
          </cell>
          <cell r="G550">
            <v>10410.8802</v>
          </cell>
          <cell r="H550" t="str">
            <v>-</v>
          </cell>
          <cell r="I550" t="str">
            <v>-</v>
          </cell>
          <cell r="J550">
            <v>10411.3783887425</v>
          </cell>
          <cell r="K550" t="str">
            <v>Small Cap</v>
          </cell>
        </row>
        <row r="551">
          <cell r="C551" t="str">
            <v>INE112L01020</v>
          </cell>
          <cell r="D551" t="str">
            <v>METROPOLIS</v>
          </cell>
          <cell r="E551">
            <v>10325.877258274</v>
          </cell>
          <cell r="F551" t="str">
            <v>METROPOLIS</v>
          </cell>
          <cell r="G551">
            <v>10326.826800000001</v>
          </cell>
          <cell r="H551" t="str">
            <v>-</v>
          </cell>
          <cell r="I551" t="str">
            <v>-</v>
          </cell>
          <cell r="J551">
            <v>10326.352029137</v>
          </cell>
          <cell r="K551" t="str">
            <v>Small Cap</v>
          </cell>
        </row>
        <row r="552">
          <cell r="C552" t="str">
            <v>INE0HV901016</v>
          </cell>
          <cell r="D552" t="str">
            <v>IXIGO</v>
          </cell>
          <cell r="E552">
            <v>10385.50441152</v>
          </cell>
          <cell r="F552" t="str">
            <v>IXIGO</v>
          </cell>
          <cell r="G552">
            <v>10261.0805</v>
          </cell>
          <cell r="H552" t="str">
            <v>-</v>
          </cell>
          <cell r="I552" t="str">
            <v>-</v>
          </cell>
          <cell r="J552">
            <v>10323.29245576</v>
          </cell>
          <cell r="K552" t="str">
            <v>Small Cap</v>
          </cell>
        </row>
        <row r="553">
          <cell r="C553" t="str">
            <v>INE080I01025</v>
          </cell>
          <cell r="D553" t="str">
            <v>LLOYDSENT</v>
          </cell>
          <cell r="E553">
            <v>10403.130717785998</v>
          </cell>
          <cell r="F553" t="str">
            <v>LLOYDSENT</v>
          </cell>
          <cell r="G553">
            <v>10106.769</v>
          </cell>
          <cell r="H553" t="str">
            <v>-</v>
          </cell>
          <cell r="I553" t="str">
            <v>-</v>
          </cell>
          <cell r="J553">
            <v>10254.949858893</v>
          </cell>
          <cell r="K553" t="str">
            <v>Small Cap</v>
          </cell>
        </row>
        <row r="554">
          <cell r="C554" t="str">
            <v>INE119A01028</v>
          </cell>
          <cell r="D554" t="str">
            <v>BALRAMCHIN</v>
          </cell>
          <cell r="E554">
            <v>10252.405897230999</v>
          </cell>
          <cell r="F554" t="str">
            <v>BALRAMCHIN</v>
          </cell>
          <cell r="G554">
            <v>10253.1013</v>
          </cell>
          <cell r="H554" t="str">
            <v>-</v>
          </cell>
          <cell r="I554" t="str">
            <v>-</v>
          </cell>
          <cell r="J554">
            <v>10252.7535986155</v>
          </cell>
          <cell r="K554" t="str">
            <v>Small Cap</v>
          </cell>
        </row>
        <row r="555">
          <cell r="C555" t="str">
            <v>INE386A01023</v>
          </cell>
          <cell r="D555" t="str">
            <v>VESUVIUS</v>
          </cell>
          <cell r="E555">
            <v>10245.541724000001</v>
          </cell>
          <cell r="F555" t="str">
            <v>VESUVIUS</v>
          </cell>
          <cell r="G555">
            <v>10246.4357</v>
          </cell>
          <cell r="H555" t="str">
            <v>-</v>
          </cell>
          <cell r="I555" t="str">
            <v>-</v>
          </cell>
          <cell r="J555">
            <v>10245.988712</v>
          </cell>
          <cell r="K555" t="str">
            <v>Small Cap</v>
          </cell>
        </row>
        <row r="556">
          <cell r="C556" t="str">
            <v>INE274F01020</v>
          </cell>
          <cell r="D556" t="str">
            <v>WESTLIFE</v>
          </cell>
          <cell r="E556">
            <v>10238.836661274001</v>
          </cell>
          <cell r="F556" t="str">
            <v>WESTLIFE</v>
          </cell>
          <cell r="G556">
            <v>10240.6435</v>
          </cell>
          <cell r="H556" t="str">
            <v>-</v>
          </cell>
          <cell r="I556" t="str">
            <v>-</v>
          </cell>
          <cell r="J556">
            <v>10239.740080637001</v>
          </cell>
          <cell r="K556" t="str">
            <v>Small Cap</v>
          </cell>
        </row>
        <row r="557">
          <cell r="C557" t="str">
            <v>INE399G01023</v>
          </cell>
          <cell r="D557" t="str">
            <v>RKFORGE</v>
          </cell>
          <cell r="E557">
            <v>10236.806528428</v>
          </cell>
          <cell r="F557" t="str">
            <v>RKFORGE</v>
          </cell>
          <cell r="G557">
            <v>10237.359700000001</v>
          </cell>
          <cell r="H557" t="str">
            <v>-</v>
          </cell>
          <cell r="I557" t="str">
            <v>-</v>
          </cell>
          <cell r="J557">
            <v>10237.083114214001</v>
          </cell>
          <cell r="K557" t="str">
            <v>Small Cap</v>
          </cell>
        </row>
        <row r="558">
          <cell r="C558" t="str">
            <v>INE955D01029</v>
          </cell>
          <cell r="D558" t="str">
            <v>GENUSPOWER</v>
          </cell>
          <cell r="E558">
            <v>10142.770283873</v>
          </cell>
          <cell r="F558" t="str">
            <v>GENUSPOWER</v>
          </cell>
          <cell r="G558">
            <v>10142.0735</v>
          </cell>
          <cell r="H558" t="str">
            <v>-</v>
          </cell>
          <cell r="I558" t="str">
            <v>-</v>
          </cell>
          <cell r="J558">
            <v>10142.421891936501</v>
          </cell>
          <cell r="K558" t="str">
            <v>Small Cap</v>
          </cell>
        </row>
        <row r="559">
          <cell r="C559" t="str">
            <v>INE460H01021</v>
          </cell>
          <cell r="D559" t="str">
            <v>STARCEMENT</v>
          </cell>
          <cell r="E559">
            <v>10009.592182627001</v>
          </cell>
          <cell r="F559" t="str">
            <v>STARCEMENT</v>
          </cell>
          <cell r="G559">
            <v>10215.1625</v>
          </cell>
          <cell r="H559" t="str">
            <v>-</v>
          </cell>
          <cell r="I559" t="str">
            <v>-</v>
          </cell>
          <cell r="J559">
            <v>10112.3773413135</v>
          </cell>
          <cell r="K559" t="str">
            <v>Small Cap</v>
          </cell>
        </row>
        <row r="560">
          <cell r="C560" t="str">
            <v>INE545A01024</v>
          </cell>
          <cell r="D560" t="str">
            <v>HEG</v>
          </cell>
          <cell r="E560">
            <v>10079.201076223</v>
          </cell>
          <cell r="F560" t="str">
            <v>HEG</v>
          </cell>
          <cell r="G560">
            <v>10079.185799999999</v>
          </cell>
          <cell r="H560" t="str">
            <v>-</v>
          </cell>
          <cell r="I560" t="str">
            <v>-</v>
          </cell>
          <cell r="J560">
            <v>10079.193438111499</v>
          </cell>
          <cell r="K560" t="str">
            <v>Small Cap</v>
          </cell>
        </row>
        <row r="561">
          <cell r="C561" t="str">
            <v>INE199A01012</v>
          </cell>
          <cell r="D561" t="str">
            <v>PGHL</v>
          </cell>
          <cell r="E561">
            <v>10014.121941060001</v>
          </cell>
          <cell r="F561" t="str">
            <v>PGHL</v>
          </cell>
          <cell r="G561">
            <v>10016.851000000001</v>
          </cell>
          <cell r="H561" t="str">
            <v>-</v>
          </cell>
          <cell r="I561" t="str">
            <v>-</v>
          </cell>
          <cell r="J561">
            <v>10015.486470530001</v>
          </cell>
          <cell r="K561" t="str">
            <v>Small Cap</v>
          </cell>
        </row>
        <row r="562">
          <cell r="C562" t="str">
            <v>INE508G01029</v>
          </cell>
          <cell r="D562" t="str">
            <v>TIMETECHNO</v>
          </cell>
          <cell r="E562">
            <v>10036.185223602999</v>
          </cell>
          <cell r="F562" t="str">
            <v>TIMETECHNO</v>
          </cell>
          <cell r="G562">
            <v>9964.9416000000001</v>
          </cell>
          <cell r="H562" t="str">
            <v>-</v>
          </cell>
          <cell r="I562" t="str">
            <v>-</v>
          </cell>
          <cell r="J562">
            <v>10000.5634118015</v>
          </cell>
          <cell r="K562" t="str">
            <v>Small Cap</v>
          </cell>
        </row>
        <row r="563">
          <cell r="C563" t="str">
            <v>INE036A01016</v>
          </cell>
          <cell r="D563" t="str">
            <v>RELINFRA</v>
          </cell>
          <cell r="E563">
            <v>10042.876343714999</v>
          </cell>
          <cell r="F563" t="str">
            <v>RELINFRA</v>
          </cell>
          <cell r="G563">
            <v>9947.1396000000004</v>
          </cell>
          <cell r="H563" t="str">
            <v>-</v>
          </cell>
          <cell r="I563" t="str">
            <v>-</v>
          </cell>
          <cell r="J563">
            <v>9995.0079718574998</v>
          </cell>
          <cell r="K563" t="str">
            <v>Small Cap</v>
          </cell>
        </row>
        <row r="564">
          <cell r="C564" t="str">
            <v>INE010J01012</v>
          </cell>
          <cell r="D564" t="str">
            <v>TEJASNET</v>
          </cell>
          <cell r="E564">
            <v>9997.9299392649991</v>
          </cell>
          <cell r="F564" t="str">
            <v>TEJASNET</v>
          </cell>
          <cell r="G564">
            <v>9989.1960999999992</v>
          </cell>
          <cell r="H564" t="str">
            <v>-</v>
          </cell>
          <cell r="I564" t="str">
            <v>-</v>
          </cell>
          <cell r="J564">
            <v>9993.5630196325001</v>
          </cell>
          <cell r="K564" t="str">
            <v>Small Cap</v>
          </cell>
        </row>
        <row r="565">
          <cell r="C565" t="str">
            <v>INE150B01039</v>
          </cell>
          <cell r="D565" t="str">
            <v>ALKYLAMINE</v>
          </cell>
          <cell r="E565">
            <v>9989.5205200830005</v>
          </cell>
          <cell r="F565" t="str">
            <v>ALKYLAMINE</v>
          </cell>
          <cell r="G565">
            <v>9991.9181000000008</v>
          </cell>
          <cell r="H565" t="str">
            <v>-</v>
          </cell>
          <cell r="I565" t="str">
            <v>-</v>
          </cell>
          <cell r="J565">
            <v>9990.7193100415006</v>
          </cell>
          <cell r="K565" t="str">
            <v>Small Cap</v>
          </cell>
        </row>
        <row r="566">
          <cell r="C566" t="str">
            <v>INE151G01028</v>
          </cell>
          <cell r="D566" t="str">
            <v>SHAILY</v>
          </cell>
          <cell r="E566">
            <v>9987.1869389949989</v>
          </cell>
          <cell r="F566" t="str">
            <v>SHAILY</v>
          </cell>
          <cell r="G566">
            <v>9987.5480000000007</v>
          </cell>
          <cell r="H566" t="str">
            <v>-</v>
          </cell>
          <cell r="I566" t="str">
            <v>-</v>
          </cell>
          <cell r="J566">
            <v>9987.3674694974998</v>
          </cell>
          <cell r="K566" t="str">
            <v>Small Cap</v>
          </cell>
        </row>
        <row r="567">
          <cell r="C567" t="str">
            <v>INE213C01025</v>
          </cell>
          <cell r="D567" t="str">
            <v>BANCOINDIA</v>
          </cell>
          <cell r="E567">
            <v>9932.0503492499993</v>
          </cell>
          <cell r="F567" t="str">
            <v>BANCOINDIA</v>
          </cell>
          <cell r="G567">
            <v>9931.9141</v>
          </cell>
          <cell r="H567" t="str">
            <v>-</v>
          </cell>
          <cell r="I567" t="str">
            <v>-</v>
          </cell>
          <cell r="J567">
            <v>9931.9822246250005</v>
          </cell>
          <cell r="K567" t="str">
            <v>Small Cap</v>
          </cell>
        </row>
        <row r="568">
          <cell r="C568" t="str">
            <v>INE713N01013</v>
          </cell>
          <cell r="D568" t="str">
            <v>RRP</v>
          </cell>
          <cell r="E568">
            <v>9902.7027955560006</v>
          </cell>
          <cell r="F568" t="str">
            <v>-</v>
          </cell>
          <cell r="G568" t="str">
            <v>-</v>
          </cell>
          <cell r="H568" t="str">
            <v>-</v>
          </cell>
          <cell r="I568" t="str">
            <v>-</v>
          </cell>
          <cell r="J568">
            <v>9902.7027955560006</v>
          </cell>
          <cell r="K568" t="str">
            <v>Small Cap</v>
          </cell>
        </row>
        <row r="569">
          <cell r="C569" t="str">
            <v>INE871C01038</v>
          </cell>
          <cell r="D569" t="str">
            <v>AVANTIFEED</v>
          </cell>
          <cell r="E569">
            <v>9879.6788491259995</v>
          </cell>
          <cell r="F569" t="str">
            <v>AVANTIFEED</v>
          </cell>
          <cell r="G569">
            <v>9879.1165999999994</v>
          </cell>
          <cell r="H569" t="str">
            <v>-</v>
          </cell>
          <cell r="I569" t="str">
            <v>-</v>
          </cell>
          <cell r="J569">
            <v>9879.3977245629994</v>
          </cell>
          <cell r="K569" t="str">
            <v>Small Cap</v>
          </cell>
        </row>
        <row r="570">
          <cell r="C570" t="str">
            <v>INE489L01022</v>
          </cell>
          <cell r="D570" t="str">
            <v>IIFLCAPS</v>
          </cell>
          <cell r="E570">
            <v>9864.039451857001</v>
          </cell>
          <cell r="F570" t="str">
            <v>IIFLCAPS</v>
          </cell>
          <cell r="G570">
            <v>9856.9851999999992</v>
          </cell>
          <cell r="H570" t="str">
            <v>-</v>
          </cell>
          <cell r="I570" t="str">
            <v>-</v>
          </cell>
          <cell r="J570">
            <v>9860.5123259284992</v>
          </cell>
          <cell r="K570" t="str">
            <v>Small Cap</v>
          </cell>
        </row>
        <row r="571">
          <cell r="C571" t="str">
            <v>INE908D01010</v>
          </cell>
          <cell r="D571" t="str">
            <v>SHAKTIPUMP</v>
          </cell>
          <cell r="E571">
            <v>9917.98015442</v>
          </cell>
          <cell r="F571" t="str">
            <v>SHAKTIPUMP</v>
          </cell>
          <cell r="G571">
            <v>9795.9410000000007</v>
          </cell>
          <cell r="H571" t="str">
            <v>-</v>
          </cell>
          <cell r="I571" t="str">
            <v>-</v>
          </cell>
          <cell r="J571">
            <v>9856.9605772100003</v>
          </cell>
          <cell r="K571" t="str">
            <v>Small Cap</v>
          </cell>
        </row>
        <row r="572">
          <cell r="C572" t="str">
            <v>INE491J01022</v>
          </cell>
          <cell r="D572" t="str">
            <v>ASKAUTOLTD</v>
          </cell>
          <cell r="E572">
            <v>9832.940915905001</v>
          </cell>
          <cell r="F572" t="str">
            <v>ASKAUTOLTD</v>
          </cell>
          <cell r="G572">
            <v>9831.2433000000001</v>
          </cell>
          <cell r="H572" t="str">
            <v>-</v>
          </cell>
          <cell r="I572" t="str">
            <v>-</v>
          </cell>
          <cell r="J572">
            <v>9832.0921079524996</v>
          </cell>
          <cell r="K572" t="str">
            <v>Small Cap</v>
          </cell>
        </row>
        <row r="573">
          <cell r="C573" t="str">
            <v>INE804L01022</v>
          </cell>
          <cell r="D573" t="str">
            <v>MEDPLUS</v>
          </cell>
          <cell r="E573">
            <v>9822.3239948629998</v>
          </cell>
          <cell r="F573" t="str">
            <v>MEDPLUS</v>
          </cell>
          <cell r="G573">
            <v>9823.7739000000001</v>
          </cell>
          <cell r="H573" t="str">
            <v>-</v>
          </cell>
          <cell r="I573" t="str">
            <v>-</v>
          </cell>
          <cell r="J573">
            <v>9823.0489474315</v>
          </cell>
          <cell r="K573" t="str">
            <v>Small Cap</v>
          </cell>
        </row>
        <row r="574">
          <cell r="C574" t="str">
            <v>INE640A01023</v>
          </cell>
          <cell r="D574" t="str">
            <v>SKFINDIA</v>
          </cell>
          <cell r="E574">
            <v>9790.6149052210003</v>
          </cell>
          <cell r="F574" t="str">
            <v>SKFINDIA</v>
          </cell>
          <cell r="G574">
            <v>9779.3888000000006</v>
          </cell>
          <cell r="H574" t="str">
            <v>-</v>
          </cell>
          <cell r="I574" t="str">
            <v>-</v>
          </cell>
          <cell r="J574">
            <v>9785.0018526105014</v>
          </cell>
          <cell r="K574" t="str">
            <v>Small Cap</v>
          </cell>
        </row>
        <row r="575">
          <cell r="C575" t="str">
            <v>INE647O01011</v>
          </cell>
          <cell r="D575" t="str">
            <v>ABFRL</v>
          </cell>
          <cell r="E575">
            <v>9756.0389393669993</v>
          </cell>
          <cell r="F575" t="str">
            <v>ABFRL</v>
          </cell>
          <cell r="G575">
            <v>9755.6005000000005</v>
          </cell>
          <cell r="H575" t="str">
            <v>-</v>
          </cell>
          <cell r="I575" t="str">
            <v>-</v>
          </cell>
          <cell r="J575">
            <v>9755.819719683499</v>
          </cell>
          <cell r="K575" t="str">
            <v>Small Cap</v>
          </cell>
        </row>
        <row r="576">
          <cell r="C576" t="str">
            <v>INE123F01029</v>
          </cell>
          <cell r="D576" t="str">
            <v>MMTC</v>
          </cell>
          <cell r="E576">
            <v>9732.1190476190004</v>
          </cell>
          <cell r="F576" t="str">
            <v>MMTC</v>
          </cell>
          <cell r="G576">
            <v>9732.6190000000006</v>
          </cell>
          <cell r="H576" t="str">
            <v>-</v>
          </cell>
          <cell r="I576" t="str">
            <v>-</v>
          </cell>
          <cell r="J576">
            <v>9732.3690238095005</v>
          </cell>
          <cell r="K576" t="str">
            <v>Small Cap</v>
          </cell>
        </row>
        <row r="577">
          <cell r="C577" t="str">
            <v>INE659A01023</v>
          </cell>
          <cell r="D577" t="str">
            <v>SUDARSCHEM</v>
          </cell>
          <cell r="E577">
            <v>9731.8428332509993</v>
          </cell>
          <cell r="F577" t="str">
            <v>SUDARSCHEM</v>
          </cell>
          <cell r="G577">
            <v>9732.2785000000003</v>
          </cell>
          <cell r="H577" t="str">
            <v>-</v>
          </cell>
          <cell r="I577" t="str">
            <v>-</v>
          </cell>
          <cell r="J577">
            <v>9732.0606666255007</v>
          </cell>
          <cell r="K577" t="str">
            <v>Small Cap</v>
          </cell>
        </row>
        <row r="578">
          <cell r="C578" t="str">
            <v>INE743M01012</v>
          </cell>
          <cell r="D578" t="str">
            <v>RHIM</v>
          </cell>
          <cell r="E578">
            <v>9721.7019945320008</v>
          </cell>
          <cell r="F578" t="str">
            <v>RHIM</v>
          </cell>
          <cell r="G578">
            <v>9722.9639000000006</v>
          </cell>
          <cell r="H578" t="str">
            <v>-</v>
          </cell>
          <cell r="I578" t="str">
            <v>-</v>
          </cell>
          <cell r="J578">
            <v>9722.3329472660007</v>
          </cell>
          <cell r="K578" t="str">
            <v>Small Cap</v>
          </cell>
        </row>
        <row r="579">
          <cell r="C579" t="str">
            <v>INE947N01017</v>
          </cell>
          <cell r="D579" t="str">
            <v>AEQUS</v>
          </cell>
          <cell r="E579">
            <v>9690.4477601149993</v>
          </cell>
          <cell r="F579" t="str">
            <v>AEQUS</v>
          </cell>
          <cell r="G579">
            <v>9686.7366999999995</v>
          </cell>
          <cell r="H579" t="str">
            <v>-</v>
          </cell>
          <cell r="I579" t="str">
            <v>-</v>
          </cell>
          <cell r="J579">
            <v>9688.5922300575003</v>
          </cell>
          <cell r="K579" t="str">
            <v>Small Cap</v>
          </cell>
        </row>
        <row r="580">
          <cell r="C580" t="str">
            <v>INE922K01024</v>
          </cell>
          <cell r="D580" t="str">
            <v>INDIASHLTR</v>
          </cell>
          <cell r="E580">
            <v>9626.9672272469998</v>
          </cell>
          <cell r="F580" t="str">
            <v>INDIASHLTR</v>
          </cell>
          <cell r="G580">
            <v>9610.7221000000009</v>
          </cell>
          <cell r="H580" t="str">
            <v>-</v>
          </cell>
          <cell r="I580" t="str">
            <v>-</v>
          </cell>
          <cell r="J580">
            <v>9618.8446636235003</v>
          </cell>
          <cell r="K580" t="str">
            <v>Small Cap</v>
          </cell>
        </row>
        <row r="581">
          <cell r="C581" t="str">
            <v>INE682M01012</v>
          </cell>
          <cell r="D581" t="str">
            <v>JLHL</v>
          </cell>
          <cell r="E581">
            <v>9608.9086702020013</v>
          </cell>
          <cell r="F581" t="str">
            <v>JLHL</v>
          </cell>
          <cell r="G581">
            <v>9612.0620999999992</v>
          </cell>
          <cell r="H581" t="str">
            <v>-</v>
          </cell>
          <cell r="I581" t="str">
            <v>-</v>
          </cell>
          <cell r="J581">
            <v>9610.4853851010012</v>
          </cell>
          <cell r="K581" t="str">
            <v>Small Cap</v>
          </cell>
        </row>
        <row r="582">
          <cell r="C582" t="str">
            <v>INE386C01029</v>
          </cell>
          <cell r="D582" t="str">
            <v>ASTRAMICRO</v>
          </cell>
          <cell r="E582">
            <v>9591.9399982899995</v>
          </cell>
          <cell r="F582" t="str">
            <v>ASTRAMICRO</v>
          </cell>
          <cell r="G582">
            <v>9593.7296000000006</v>
          </cell>
          <cell r="H582" t="str">
            <v>-</v>
          </cell>
          <cell r="I582" t="str">
            <v>-</v>
          </cell>
          <cell r="J582">
            <v>9592.8347991449991</v>
          </cell>
          <cell r="K582" t="str">
            <v>Small Cap</v>
          </cell>
        </row>
        <row r="583">
          <cell r="C583" t="str">
            <v>INE419M01027</v>
          </cell>
          <cell r="D583" t="str">
            <v>TDPOWERSYS</v>
          </cell>
          <cell r="E583">
            <v>9556.0708833549998</v>
          </cell>
          <cell r="F583" t="str">
            <v>TDPOWERSYS</v>
          </cell>
          <cell r="G583">
            <v>9559.5755000000008</v>
          </cell>
          <cell r="H583" t="str">
            <v>-</v>
          </cell>
          <cell r="I583" t="str">
            <v>-</v>
          </cell>
          <cell r="J583">
            <v>9557.8231916775003</v>
          </cell>
          <cell r="K583" t="str">
            <v>Small Cap</v>
          </cell>
        </row>
        <row r="584">
          <cell r="C584" t="str">
            <v>INE542W01025</v>
          </cell>
          <cell r="D584" t="str">
            <v>KPIGREEN</v>
          </cell>
          <cell r="E584">
            <v>9517.5720069109993</v>
          </cell>
          <cell r="F584" t="str">
            <v>KPIGREEN</v>
          </cell>
          <cell r="G584">
            <v>9517.8618000000006</v>
          </cell>
          <cell r="H584" t="str">
            <v>-</v>
          </cell>
          <cell r="I584" t="str">
            <v>-</v>
          </cell>
          <cell r="J584">
            <v>9517.7169034555009</v>
          </cell>
          <cell r="K584" t="str">
            <v>Small Cap</v>
          </cell>
        </row>
        <row r="585">
          <cell r="C585" t="str">
            <v>INE454P01035</v>
          </cell>
          <cell r="D585" t="str">
            <v>TRANSRAILL</v>
          </cell>
          <cell r="E585">
            <v>9513.0569466779998</v>
          </cell>
          <cell r="F585" t="str">
            <v>TRANSRAILL</v>
          </cell>
          <cell r="G585">
            <v>9513.5097999999998</v>
          </cell>
          <cell r="H585" t="str">
            <v>-</v>
          </cell>
          <cell r="I585" t="str">
            <v>-</v>
          </cell>
          <cell r="J585">
            <v>9513.2833733389998</v>
          </cell>
          <cell r="K585" t="str">
            <v>Small Cap</v>
          </cell>
        </row>
        <row r="586">
          <cell r="C586" t="str">
            <v>INE411F01010</v>
          </cell>
          <cell r="D586" t="str">
            <v>KAMAHOLD</v>
          </cell>
          <cell r="E586">
            <v>9505.3607522940001</v>
          </cell>
          <cell r="F586" t="str">
            <v>-</v>
          </cell>
          <cell r="G586" t="str">
            <v>-</v>
          </cell>
          <cell r="H586" t="str">
            <v>-</v>
          </cell>
          <cell r="I586" t="str">
            <v>-</v>
          </cell>
          <cell r="J586">
            <v>9505.3607522940001</v>
          </cell>
          <cell r="K586" t="str">
            <v>Small Cap</v>
          </cell>
        </row>
        <row r="587">
          <cell r="C587" t="str">
            <v>INE340A01012</v>
          </cell>
          <cell r="D587" t="str">
            <v>BIRLACORPN</v>
          </cell>
          <cell r="E587">
            <v>9492.7424783930001</v>
          </cell>
          <cell r="F587" t="str">
            <v>BIRLACORPN</v>
          </cell>
          <cell r="G587">
            <v>9493.2924999999996</v>
          </cell>
          <cell r="H587" t="str">
            <v>-</v>
          </cell>
          <cell r="I587" t="str">
            <v>-</v>
          </cell>
          <cell r="J587">
            <v>9493.0174891964998</v>
          </cell>
          <cell r="K587" t="str">
            <v>Small Cap</v>
          </cell>
        </row>
        <row r="588">
          <cell r="C588" t="str">
            <v>INE806T01020</v>
          </cell>
          <cell r="D588" t="str">
            <v>SAPPHIRE</v>
          </cell>
          <cell r="E588">
            <v>9452.0625353979995</v>
          </cell>
          <cell r="F588" t="str">
            <v>SAPPHIRE</v>
          </cell>
          <cell r="G588">
            <v>9451.1442999999999</v>
          </cell>
          <cell r="H588" t="str">
            <v>-</v>
          </cell>
          <cell r="I588" t="str">
            <v>-</v>
          </cell>
          <cell r="J588">
            <v>9451.6034176989997</v>
          </cell>
          <cell r="K588" t="str">
            <v>Small Cap</v>
          </cell>
        </row>
        <row r="589">
          <cell r="C589" t="str">
            <v>INE0BV301023</v>
          </cell>
          <cell r="D589" t="str">
            <v>MAPMYINDIA</v>
          </cell>
          <cell r="E589">
            <v>9440.7824365340002</v>
          </cell>
          <cell r="F589" t="str">
            <v>MAPMYINDIA</v>
          </cell>
          <cell r="G589">
            <v>9432.3541000000005</v>
          </cell>
          <cell r="H589" t="str">
            <v>-</v>
          </cell>
          <cell r="I589" t="str">
            <v>-</v>
          </cell>
          <cell r="J589">
            <v>9436.5682682670013</v>
          </cell>
          <cell r="K589" t="str">
            <v>Small Cap</v>
          </cell>
        </row>
        <row r="590">
          <cell r="C590" t="str">
            <v>INE551W01018</v>
          </cell>
          <cell r="D590" t="str">
            <v>UJJIVANSFB</v>
          </cell>
          <cell r="E590">
            <v>9433.3152284030002</v>
          </cell>
          <cell r="F590" t="str">
            <v>UJJIVANSFB</v>
          </cell>
          <cell r="G590">
            <v>9430.81</v>
          </cell>
          <cell r="H590" t="str">
            <v>-</v>
          </cell>
          <cell r="I590" t="str">
            <v>-</v>
          </cell>
          <cell r="J590">
            <v>9432.0626142014989</v>
          </cell>
          <cell r="K590" t="str">
            <v>Small Cap</v>
          </cell>
        </row>
        <row r="591">
          <cell r="C591" t="str">
            <v>INE075I01017</v>
          </cell>
          <cell r="D591" t="str">
            <v>HCG</v>
          </cell>
          <cell r="E591">
            <v>9415.2317336870001</v>
          </cell>
          <cell r="F591" t="str">
            <v>HCG</v>
          </cell>
          <cell r="G591">
            <v>9413.2890000000007</v>
          </cell>
          <cell r="H591" t="str">
            <v>-</v>
          </cell>
          <cell r="I591" t="str">
            <v>-</v>
          </cell>
          <cell r="J591">
            <v>9414.2603668435004</v>
          </cell>
          <cell r="K591" t="str">
            <v>Small Cap</v>
          </cell>
        </row>
        <row r="592">
          <cell r="C592" t="str">
            <v>INE317F01035</v>
          </cell>
          <cell r="D592" t="str">
            <v>NESCO</v>
          </cell>
          <cell r="E592">
            <v>9355.8748029710005</v>
          </cell>
          <cell r="F592" t="str">
            <v>NESCO</v>
          </cell>
          <cell r="G592">
            <v>9356.7135999999991</v>
          </cell>
          <cell r="H592" t="str">
            <v>-</v>
          </cell>
          <cell r="I592" t="str">
            <v>-</v>
          </cell>
          <cell r="J592">
            <v>9356.2942014854998</v>
          </cell>
          <cell r="K592" t="str">
            <v>Small Cap</v>
          </cell>
        </row>
        <row r="593">
          <cell r="C593" t="str">
            <v>INE330T01021</v>
          </cell>
          <cell r="D593" t="str">
            <v>HAPPYFORGE</v>
          </cell>
          <cell r="E593">
            <v>9250.7201505869998</v>
          </cell>
          <cell r="F593" t="str">
            <v>HAPPYFORGE</v>
          </cell>
          <cell r="G593">
            <v>9256.5051999999996</v>
          </cell>
          <cell r="H593" t="str">
            <v>-</v>
          </cell>
          <cell r="I593" t="str">
            <v>-</v>
          </cell>
          <cell r="J593">
            <v>9253.6126752934997</v>
          </cell>
          <cell r="K593" t="str">
            <v>Small Cap</v>
          </cell>
        </row>
        <row r="594">
          <cell r="C594" t="str">
            <v>INE0J5401028</v>
          </cell>
          <cell r="D594" t="str">
            <v>HONASA</v>
          </cell>
          <cell r="E594">
            <v>9245.8495250550004</v>
          </cell>
          <cell r="F594" t="str">
            <v>HONASA</v>
          </cell>
          <cell r="G594">
            <v>9245.3639999999996</v>
          </cell>
          <cell r="H594" t="str">
            <v>-</v>
          </cell>
          <cell r="I594" t="str">
            <v>-</v>
          </cell>
          <cell r="J594">
            <v>9245.6067625274991</v>
          </cell>
          <cell r="K594" t="str">
            <v>Small Cap</v>
          </cell>
        </row>
        <row r="595">
          <cell r="C595" t="str">
            <v>INE001B01026</v>
          </cell>
          <cell r="D595" t="str">
            <v>KRBL</v>
          </cell>
          <cell r="E595">
            <v>9180.5101630860008</v>
          </cell>
          <cell r="F595" t="str">
            <v>KRBL</v>
          </cell>
          <cell r="G595">
            <v>9179.6200000000008</v>
          </cell>
          <cell r="H595" t="str">
            <v>-</v>
          </cell>
          <cell r="I595" t="str">
            <v>-</v>
          </cell>
          <cell r="J595">
            <v>9180.0650815430017</v>
          </cell>
          <cell r="K595" t="str">
            <v>Small Cap</v>
          </cell>
        </row>
        <row r="596">
          <cell r="C596" t="str">
            <v>INE0J5801029</v>
          </cell>
          <cell r="D596" t="str">
            <v>JSLL</v>
          </cell>
          <cell r="E596">
            <v>9141.915034489999</v>
          </cell>
          <cell r="F596" t="str">
            <v>JSLL</v>
          </cell>
          <cell r="G596">
            <v>9138.4678999999996</v>
          </cell>
          <cell r="H596" t="str">
            <v>-</v>
          </cell>
          <cell r="I596" t="str">
            <v>-</v>
          </cell>
          <cell r="J596">
            <v>9140.1914672450002</v>
          </cell>
          <cell r="K596" t="str">
            <v>Small Cap</v>
          </cell>
        </row>
        <row r="597">
          <cell r="C597" t="str">
            <v>INE665L01035</v>
          </cell>
          <cell r="D597" t="str">
            <v>VARROC</v>
          </cell>
          <cell r="E597">
            <v>9138.7790680950002</v>
          </cell>
          <cell r="F597" t="str">
            <v>VARROC</v>
          </cell>
          <cell r="G597">
            <v>9139.9491999999991</v>
          </cell>
          <cell r="H597" t="str">
            <v>-</v>
          </cell>
          <cell r="I597" t="str">
            <v>-</v>
          </cell>
          <cell r="J597">
            <v>9139.3641340475006</v>
          </cell>
          <cell r="K597" t="str">
            <v>Small Cap</v>
          </cell>
        </row>
        <row r="598">
          <cell r="C598" t="str">
            <v>INE953O01021</v>
          </cell>
          <cell r="D598" t="str">
            <v>SANSERA</v>
          </cell>
          <cell r="E598">
            <v>9119.6628137150001</v>
          </cell>
          <cell r="F598" t="str">
            <v>SANSERA</v>
          </cell>
          <cell r="G598">
            <v>9107.2410999999993</v>
          </cell>
          <cell r="H598" t="str">
            <v>-</v>
          </cell>
          <cell r="I598" t="str">
            <v>-</v>
          </cell>
          <cell r="J598">
            <v>9113.4519568574997</v>
          </cell>
          <cell r="K598" t="str">
            <v>Small Cap</v>
          </cell>
        </row>
        <row r="599">
          <cell r="C599" t="str">
            <v>INE0I7C01011</v>
          </cell>
          <cell r="D599" t="str">
            <v>LATENTVIEW</v>
          </cell>
          <cell r="E599">
            <v>9087.0918697130001</v>
          </cell>
          <cell r="F599" t="str">
            <v>LATENTVIEW</v>
          </cell>
          <cell r="G599">
            <v>9083.1962000000003</v>
          </cell>
          <cell r="H599" t="str">
            <v>-</v>
          </cell>
          <cell r="I599" t="str">
            <v>-</v>
          </cell>
          <cell r="J599">
            <v>9085.1440348565011</v>
          </cell>
          <cell r="K599" t="str">
            <v>Small Cap</v>
          </cell>
        </row>
        <row r="600">
          <cell r="C600" t="str">
            <v>INE304W01038</v>
          </cell>
          <cell r="D600" t="str">
            <v>BLUESTONE</v>
          </cell>
          <cell r="E600">
            <v>9026.6220428630004</v>
          </cell>
          <cell r="F600" t="str">
            <v>BLUESTONE</v>
          </cell>
          <cell r="G600">
            <v>9025.9887999999992</v>
          </cell>
          <cell r="H600" t="str">
            <v>-</v>
          </cell>
          <cell r="I600" t="str">
            <v>-</v>
          </cell>
          <cell r="J600">
            <v>9026.3054214314998</v>
          </cell>
          <cell r="K600" t="str">
            <v>Small Cap</v>
          </cell>
        </row>
        <row r="601">
          <cell r="C601" t="str">
            <v>INE956G01038</v>
          </cell>
          <cell r="D601" t="str">
            <v>WABAG</v>
          </cell>
          <cell r="E601">
            <v>9014.5456779979995</v>
          </cell>
          <cell r="F601" t="str">
            <v>WABAG</v>
          </cell>
          <cell r="G601">
            <v>9012.4470999999994</v>
          </cell>
          <cell r="H601" t="str">
            <v>-</v>
          </cell>
          <cell r="I601" t="str">
            <v>-</v>
          </cell>
          <cell r="J601">
            <v>9013.4963889989995</v>
          </cell>
          <cell r="K601" t="str">
            <v>Small Cap</v>
          </cell>
        </row>
        <row r="602">
          <cell r="C602" t="str">
            <v>INE133E01013</v>
          </cell>
          <cell r="D602" t="str">
            <v>TI</v>
          </cell>
          <cell r="E602">
            <v>9049.2670689980005</v>
          </cell>
          <cell r="F602" t="str">
            <v>TI</v>
          </cell>
          <cell r="G602">
            <v>8969.2001999999993</v>
          </cell>
          <cell r="H602" t="str">
            <v>-</v>
          </cell>
          <cell r="I602" t="str">
            <v>-</v>
          </cell>
          <cell r="J602">
            <v>9009.2336344989999</v>
          </cell>
          <cell r="K602" t="str">
            <v>Small Cap</v>
          </cell>
        </row>
        <row r="603">
          <cell r="C603" t="str">
            <v>INE083K01017</v>
          </cell>
          <cell r="D603" t="str">
            <v>BENGALASM</v>
          </cell>
          <cell r="E603">
            <v>8958.9652130529994</v>
          </cell>
          <cell r="F603" t="str">
            <v>-</v>
          </cell>
          <cell r="G603" t="str">
            <v>-</v>
          </cell>
          <cell r="H603" t="str">
            <v>-</v>
          </cell>
          <cell r="I603" t="str">
            <v>-</v>
          </cell>
          <cell r="J603">
            <v>8958.9652130529994</v>
          </cell>
          <cell r="K603" t="str">
            <v>Small Cap</v>
          </cell>
        </row>
        <row r="604">
          <cell r="C604" t="str">
            <v>INE270A01029</v>
          </cell>
          <cell r="D604" t="str">
            <v>ALOKINDS</v>
          </cell>
          <cell r="E604">
            <v>8931.6793480020006</v>
          </cell>
          <cell r="F604" t="str">
            <v>ALOKINDS</v>
          </cell>
          <cell r="G604">
            <v>8928.9208999999992</v>
          </cell>
          <cell r="H604" t="str">
            <v>-</v>
          </cell>
          <cell r="I604" t="str">
            <v>-</v>
          </cell>
          <cell r="J604">
            <v>8930.3001240009999</v>
          </cell>
          <cell r="K604" t="str">
            <v>Small Cap</v>
          </cell>
        </row>
        <row r="605">
          <cell r="C605" t="str">
            <v>INE149K01016</v>
          </cell>
          <cell r="D605" t="str">
            <v>SANDUMA</v>
          </cell>
          <cell r="E605">
            <v>8928.5366011030001</v>
          </cell>
          <cell r="F605" t="str">
            <v>SANDUMA</v>
          </cell>
          <cell r="G605">
            <v>8926.5715999999993</v>
          </cell>
          <cell r="H605" t="str">
            <v>-</v>
          </cell>
          <cell r="I605" t="str">
            <v>-</v>
          </cell>
          <cell r="J605">
            <v>8927.5541005515006</v>
          </cell>
          <cell r="K605" t="str">
            <v>Small Cap</v>
          </cell>
        </row>
        <row r="606">
          <cell r="C606" t="str">
            <v>INE690A01028</v>
          </cell>
          <cell r="D606" t="str">
            <v>TTKPRESTIG</v>
          </cell>
          <cell r="E606">
            <v>8855.9469009889999</v>
          </cell>
          <cell r="F606" t="str">
            <v>TTKPRESTIG</v>
          </cell>
          <cell r="G606">
            <v>8856.7129000000004</v>
          </cell>
          <cell r="H606" t="str">
            <v>-</v>
          </cell>
          <cell r="I606" t="str">
            <v>-</v>
          </cell>
          <cell r="J606">
            <v>8856.3299004945002</v>
          </cell>
          <cell r="K606" t="str">
            <v>Small Cap</v>
          </cell>
        </row>
        <row r="607">
          <cell r="C607" t="str">
            <v>INE750C01026</v>
          </cell>
          <cell r="D607" t="str">
            <v>MARKSANS</v>
          </cell>
          <cell r="E607">
            <v>8841.8360958630001</v>
          </cell>
          <cell r="F607" t="str">
            <v>MARKSANS</v>
          </cell>
          <cell r="G607">
            <v>8844.3266000000003</v>
          </cell>
          <cell r="H607" t="str">
            <v>-</v>
          </cell>
          <cell r="I607" t="str">
            <v>-</v>
          </cell>
          <cell r="J607">
            <v>8843.0813479315002</v>
          </cell>
          <cell r="K607" t="str">
            <v>Small Cap</v>
          </cell>
        </row>
        <row r="608">
          <cell r="C608" t="str">
            <v>INE688A01022</v>
          </cell>
          <cell r="D608" t="str">
            <v>TCI</v>
          </cell>
          <cell r="E608">
            <v>8832.0562406169993</v>
          </cell>
          <cell r="F608" t="str">
            <v>TCI</v>
          </cell>
          <cell r="G608">
            <v>8825.9125999999997</v>
          </cell>
          <cell r="H608" t="str">
            <v>-</v>
          </cell>
          <cell r="I608" t="str">
            <v>-</v>
          </cell>
          <cell r="J608">
            <v>8828.9844203084995</v>
          </cell>
          <cell r="K608" t="str">
            <v>Small Cap</v>
          </cell>
        </row>
        <row r="609">
          <cell r="C609" t="str">
            <v>INE093R01011</v>
          </cell>
          <cell r="D609" t="str">
            <v>LLOYDSENGG</v>
          </cell>
          <cell r="E609">
            <v>8931.2175292739994</v>
          </cell>
          <cell r="F609" t="str">
            <v>LLOYDSENGG</v>
          </cell>
          <cell r="G609">
            <v>8716.1686000000009</v>
          </cell>
          <cell r="H609" t="str">
            <v>-</v>
          </cell>
          <cell r="I609" t="str">
            <v>-</v>
          </cell>
          <cell r="J609">
            <v>8823.6930646370001</v>
          </cell>
          <cell r="K609" t="str">
            <v>Small Cap</v>
          </cell>
        </row>
        <row r="610">
          <cell r="C610" t="str">
            <v>INE676A01027</v>
          </cell>
          <cell r="D610" t="str">
            <v>BBOX</v>
          </cell>
          <cell r="E610">
            <v>8804.3282046289987</v>
          </cell>
          <cell r="F610" t="str">
            <v>BBOX</v>
          </cell>
          <cell r="G610">
            <v>8794.9935999999998</v>
          </cell>
          <cell r="H610" t="str">
            <v>-</v>
          </cell>
          <cell r="I610" t="str">
            <v>-</v>
          </cell>
          <cell r="J610">
            <v>8799.6609023144993</v>
          </cell>
          <cell r="K610" t="str">
            <v>Small Cap</v>
          </cell>
        </row>
        <row r="611">
          <cell r="C611" t="str">
            <v>INE211R01019</v>
          </cell>
          <cell r="D611" t="str">
            <v>POWERMECH</v>
          </cell>
          <cell r="E611">
            <v>8795.144315421001</v>
          </cell>
          <cell r="F611" t="str">
            <v>POWERMECH</v>
          </cell>
          <cell r="G611">
            <v>8793.2886999999992</v>
          </cell>
          <cell r="H611" t="str">
            <v>-</v>
          </cell>
          <cell r="I611" t="str">
            <v>-</v>
          </cell>
          <cell r="J611">
            <v>8794.2165077105001</v>
          </cell>
          <cell r="K611" t="str">
            <v>Small Cap</v>
          </cell>
        </row>
        <row r="612">
          <cell r="C612" t="str">
            <v>INE16NZ01023</v>
          </cell>
          <cell r="D612" t="str">
            <v>ORKLAINDIA</v>
          </cell>
          <cell r="E612">
            <v>8782.1687826380003</v>
          </cell>
          <cell r="F612" t="str">
            <v>ORKLAINDIA</v>
          </cell>
          <cell r="G612">
            <v>8782.3093000000008</v>
          </cell>
          <cell r="H612" t="str">
            <v>-</v>
          </cell>
          <cell r="I612" t="str">
            <v>-</v>
          </cell>
          <cell r="J612">
            <v>8782.2390413190005</v>
          </cell>
          <cell r="K612" t="str">
            <v>Small Cap</v>
          </cell>
        </row>
        <row r="613">
          <cell r="C613" t="str">
            <v>INE683A01023</v>
          </cell>
          <cell r="D613" t="str">
            <v>SOUTHBANK</v>
          </cell>
          <cell r="E613">
            <v>8752.12955865</v>
          </cell>
          <cell r="F613" t="str">
            <v>SOUTHBANK</v>
          </cell>
          <cell r="G613">
            <v>8750.5437000000002</v>
          </cell>
          <cell r="H613" t="str">
            <v>-</v>
          </cell>
          <cell r="I613" t="str">
            <v>-</v>
          </cell>
          <cell r="J613">
            <v>8751.3366293250001</v>
          </cell>
          <cell r="K613" t="str">
            <v>Small Cap</v>
          </cell>
        </row>
        <row r="614">
          <cell r="C614" t="str">
            <v>INE0V9Q01010</v>
          </cell>
          <cell r="D614" t="str">
            <v>LOTUSDEV</v>
          </cell>
          <cell r="E614">
            <v>8689.1898933890006</v>
          </cell>
          <cell r="F614" t="str">
            <v>LOTUSDEV</v>
          </cell>
          <cell r="G614">
            <v>8686.9760000000006</v>
          </cell>
          <cell r="H614" t="str">
            <v>-</v>
          </cell>
          <cell r="I614" t="str">
            <v>-</v>
          </cell>
          <cell r="J614">
            <v>8688.0829466944997</v>
          </cell>
          <cell r="K614" t="str">
            <v>Small Cap</v>
          </cell>
        </row>
        <row r="615">
          <cell r="C615" t="str">
            <v>INE091G01026</v>
          </cell>
          <cell r="D615" t="str">
            <v>JAIBALAJI</v>
          </cell>
          <cell r="E615">
            <v>8649.910138534</v>
          </cell>
          <cell r="F615" t="str">
            <v>JAIBALAJI</v>
          </cell>
          <cell r="G615">
            <v>8647.0735000000004</v>
          </cell>
          <cell r="H615" t="str">
            <v>-</v>
          </cell>
          <cell r="I615" t="str">
            <v>-</v>
          </cell>
          <cell r="J615">
            <v>8648.4918192670011</v>
          </cell>
          <cell r="K615" t="str">
            <v>Small Cap</v>
          </cell>
        </row>
        <row r="616">
          <cell r="C616" t="str">
            <v>INE979A01025</v>
          </cell>
          <cell r="D616" t="str">
            <v>SAREGAMA</v>
          </cell>
          <cell r="E616">
            <v>8635.27905646</v>
          </cell>
          <cell r="F616" t="str">
            <v>SAREGAMA</v>
          </cell>
          <cell r="G616">
            <v>8636.0442000000003</v>
          </cell>
          <cell r="H616" t="str">
            <v>-</v>
          </cell>
          <cell r="I616" t="str">
            <v>-</v>
          </cell>
          <cell r="J616">
            <v>8635.6616282300001</v>
          </cell>
          <cell r="K616" t="str">
            <v>Small Cap</v>
          </cell>
        </row>
        <row r="617">
          <cell r="C617" t="str">
            <v>INE884B01025</v>
          </cell>
          <cell r="D617" t="str">
            <v>KIRLFER</v>
          </cell>
          <cell r="E617">
            <v>8620.587935780999</v>
          </cell>
          <cell r="F617" t="str">
            <v>-</v>
          </cell>
          <cell r="G617" t="str">
            <v>-</v>
          </cell>
          <cell r="H617" t="str">
            <v>-</v>
          </cell>
          <cell r="I617" t="str">
            <v>-</v>
          </cell>
          <cell r="J617">
            <v>8620.587935780999</v>
          </cell>
          <cell r="K617" t="str">
            <v>Small Cap</v>
          </cell>
        </row>
        <row r="618">
          <cell r="C618" t="str">
            <v>INE785M01021</v>
          </cell>
          <cell r="D618" t="str">
            <v>PCJEWELLER</v>
          </cell>
          <cell r="E618">
            <v>8577.0602109110005</v>
          </cell>
          <cell r="F618" t="str">
            <v>PCJEWELLER</v>
          </cell>
          <cell r="G618">
            <v>8504.0730999999996</v>
          </cell>
          <cell r="H618" t="str">
            <v>-</v>
          </cell>
          <cell r="I618" t="str">
            <v>-</v>
          </cell>
          <cell r="J618">
            <v>8540.5666554554991</v>
          </cell>
          <cell r="K618" t="str">
            <v>Small Cap</v>
          </cell>
        </row>
        <row r="619">
          <cell r="C619" t="str">
            <v>INE872H01027</v>
          </cell>
          <cell r="D619" t="str">
            <v>LUMAXTECH</v>
          </cell>
          <cell r="E619">
            <v>8475.9001621710013</v>
          </cell>
          <cell r="F619" t="str">
            <v>LUMAXTECH</v>
          </cell>
          <cell r="G619">
            <v>8477.5365000000002</v>
          </cell>
          <cell r="H619" t="str">
            <v>-</v>
          </cell>
          <cell r="I619" t="str">
            <v>-</v>
          </cell>
          <cell r="J619">
            <v>8476.7183310854998</v>
          </cell>
          <cell r="K619" t="str">
            <v>Small Cap</v>
          </cell>
        </row>
        <row r="620">
          <cell r="C620" t="str">
            <v>INE02ZQ01018</v>
          </cell>
          <cell r="D620" t="str">
            <v>CORONA</v>
          </cell>
          <cell r="E620">
            <v>8453.445429880001</v>
          </cell>
          <cell r="F620" t="str">
            <v>CORONA</v>
          </cell>
          <cell r="G620">
            <v>8454.3628000000008</v>
          </cell>
          <cell r="H620" t="str">
            <v>-</v>
          </cell>
          <cell r="I620" t="str">
            <v>-</v>
          </cell>
          <cell r="J620">
            <v>8453.90411494</v>
          </cell>
          <cell r="K620" t="str">
            <v>Small Cap</v>
          </cell>
        </row>
        <row r="621">
          <cell r="C621" t="str">
            <v>INE483C01032</v>
          </cell>
          <cell r="D621" t="str">
            <v>TANLA</v>
          </cell>
          <cell r="E621">
            <v>8409.801218599001</v>
          </cell>
          <cell r="F621" t="str">
            <v>TANLA</v>
          </cell>
          <cell r="G621">
            <v>8414.8551000000007</v>
          </cell>
          <cell r="H621" t="str">
            <v>-</v>
          </cell>
          <cell r="I621" t="str">
            <v>-</v>
          </cell>
          <cell r="J621">
            <v>8412.3281592995008</v>
          </cell>
          <cell r="K621" t="str">
            <v>Small Cap</v>
          </cell>
        </row>
        <row r="622">
          <cell r="C622" t="str">
            <v>INE879I01012</v>
          </cell>
          <cell r="D622" t="str">
            <v>DBREALTY</v>
          </cell>
          <cell r="E622">
            <v>8405.7437658300005</v>
          </cell>
          <cell r="F622" t="str">
            <v>DBREALTY</v>
          </cell>
          <cell r="G622">
            <v>8399.8896000000004</v>
          </cell>
          <cell r="H622" t="str">
            <v>-</v>
          </cell>
          <cell r="I622" t="str">
            <v>-</v>
          </cell>
          <cell r="J622">
            <v>8402.8166829149995</v>
          </cell>
          <cell r="K622" t="str">
            <v>Small Cap</v>
          </cell>
        </row>
        <row r="623">
          <cell r="C623" t="str">
            <v>INE00VM01036</v>
          </cell>
          <cell r="D623" t="str">
            <v>MANORAMA</v>
          </cell>
          <cell r="E623">
            <v>8395.0922322589995</v>
          </cell>
          <cell r="F623" t="str">
            <v>MANORAMA</v>
          </cell>
          <cell r="G623">
            <v>8394.7026000000005</v>
          </cell>
          <cell r="H623" t="str">
            <v>-</v>
          </cell>
          <cell r="I623" t="str">
            <v>-</v>
          </cell>
          <cell r="J623">
            <v>8394.8974161295009</v>
          </cell>
          <cell r="K623" t="str">
            <v>Small Cap</v>
          </cell>
        </row>
        <row r="624">
          <cell r="C624" t="str">
            <v>INE034A01011</v>
          </cell>
          <cell r="D624" t="str">
            <v>ARVIND</v>
          </cell>
          <cell r="E624">
            <v>8381.0192849429986</v>
          </cell>
          <cell r="F624" t="str">
            <v>ARVIND</v>
          </cell>
          <cell r="G624">
            <v>8381.5368999999992</v>
          </cell>
          <cell r="H624" t="str">
            <v>-</v>
          </cell>
          <cell r="I624" t="str">
            <v>-</v>
          </cell>
          <cell r="J624">
            <v>8381.2780924714989</v>
          </cell>
          <cell r="K624" t="str">
            <v>Small Cap</v>
          </cell>
        </row>
        <row r="625">
          <cell r="C625" t="str">
            <v>INE280B01018</v>
          </cell>
          <cell r="D625" t="str">
            <v>ELANTAS</v>
          </cell>
          <cell r="E625">
            <v>8368.9094107420005</v>
          </cell>
          <cell r="F625" t="str">
            <v>-</v>
          </cell>
          <cell r="G625" t="str">
            <v>-</v>
          </cell>
          <cell r="H625" t="str">
            <v>-</v>
          </cell>
          <cell r="I625" t="str">
            <v>-</v>
          </cell>
          <cell r="J625">
            <v>8368.9094107420005</v>
          </cell>
          <cell r="K625" t="str">
            <v>Small Cap</v>
          </cell>
        </row>
        <row r="626">
          <cell r="C626" t="str">
            <v>INE713T01028</v>
          </cell>
          <cell r="D626" t="str">
            <v>APOLLO</v>
          </cell>
          <cell r="E626">
            <v>8395.1656246589991</v>
          </cell>
          <cell r="F626" t="str">
            <v>APOLLO</v>
          </cell>
          <cell r="G626">
            <v>8332.1115000000009</v>
          </cell>
          <cell r="H626" t="str">
            <v>-</v>
          </cell>
          <cell r="I626" t="str">
            <v>-</v>
          </cell>
          <cell r="J626">
            <v>8363.6385623294991</v>
          </cell>
          <cell r="K626" t="str">
            <v>Small Cap</v>
          </cell>
        </row>
        <row r="627">
          <cell r="C627" t="str">
            <v>INE953R01016</v>
          </cell>
          <cell r="D627" t="str">
            <v>PNGJL</v>
          </cell>
          <cell r="E627">
            <v>8329.5243727279994</v>
          </cell>
          <cell r="F627" t="str">
            <v>PNGJL</v>
          </cell>
          <cell r="G627">
            <v>8328.2373000000007</v>
          </cell>
          <cell r="H627" t="str">
            <v>-</v>
          </cell>
          <cell r="I627" t="str">
            <v>-</v>
          </cell>
          <cell r="J627">
            <v>8328.8808363640001</v>
          </cell>
          <cell r="K627" t="str">
            <v>Small Cap</v>
          </cell>
        </row>
        <row r="628">
          <cell r="C628" t="str">
            <v>INE271B01025</v>
          </cell>
          <cell r="D628" t="str">
            <v>MAHSEAMLES</v>
          </cell>
          <cell r="E628">
            <v>8327.1079473150003</v>
          </cell>
          <cell r="F628" t="str">
            <v>MAHSEAMLES</v>
          </cell>
          <cell r="G628">
            <v>8328.2237000000005</v>
          </cell>
          <cell r="H628" t="str">
            <v>-</v>
          </cell>
          <cell r="I628" t="str">
            <v>-</v>
          </cell>
          <cell r="J628">
            <v>8327.6658236575004</v>
          </cell>
          <cell r="K628" t="str">
            <v>Small Cap</v>
          </cell>
        </row>
        <row r="629">
          <cell r="C629" t="str">
            <v>INE419U01012</v>
          </cell>
          <cell r="D629" t="str">
            <v>HAPPSTMNDS</v>
          </cell>
          <cell r="E629">
            <v>8327.3595323280006</v>
          </cell>
          <cell r="F629" t="str">
            <v>HAPPSTMNDS</v>
          </cell>
          <cell r="G629">
            <v>8327.3958000000002</v>
          </cell>
          <cell r="H629" t="str">
            <v>-</v>
          </cell>
          <cell r="I629" t="str">
            <v>-</v>
          </cell>
          <cell r="J629">
            <v>8327.3776661640004</v>
          </cell>
          <cell r="K629" t="str">
            <v>Small Cap</v>
          </cell>
        </row>
        <row r="630">
          <cell r="C630" t="str">
            <v>INE278Y01022</v>
          </cell>
          <cell r="D630" t="str">
            <v>CAMPUS</v>
          </cell>
          <cell r="E630">
            <v>8324.9923000130002</v>
          </cell>
          <cell r="F630" t="str">
            <v>CAMPUS</v>
          </cell>
          <cell r="G630">
            <v>8326.3207000000002</v>
          </cell>
          <cell r="H630" t="str">
            <v>-</v>
          </cell>
          <cell r="I630" t="str">
            <v>-</v>
          </cell>
          <cell r="J630">
            <v>8325.6565000065002</v>
          </cell>
          <cell r="K630" t="str">
            <v>Small Cap</v>
          </cell>
        </row>
        <row r="631">
          <cell r="C631" t="str">
            <v>INE621H01010</v>
          </cell>
          <cell r="D631" t="str">
            <v>RELIGARE</v>
          </cell>
          <cell r="E631">
            <v>8324.2354502050002</v>
          </cell>
          <cell r="F631" t="str">
            <v>RELIGARE</v>
          </cell>
          <cell r="G631">
            <v>8325.7741999999998</v>
          </cell>
          <cell r="H631" t="str">
            <v>-</v>
          </cell>
          <cell r="I631" t="str">
            <v>-</v>
          </cell>
          <cell r="J631">
            <v>8325.0048251025</v>
          </cell>
          <cell r="K631" t="str">
            <v>Small Cap</v>
          </cell>
        </row>
        <row r="632">
          <cell r="C632" t="str">
            <v>INE0CU601026</v>
          </cell>
          <cell r="D632" t="str">
            <v>GMRP&amp;UI</v>
          </cell>
          <cell r="E632">
            <v>8320.1543343630001</v>
          </cell>
          <cell r="F632" t="str">
            <v>GMRP&amp;UI</v>
          </cell>
          <cell r="G632">
            <v>8320.7160000000003</v>
          </cell>
          <cell r="H632" t="str">
            <v>-</v>
          </cell>
          <cell r="I632" t="str">
            <v>-</v>
          </cell>
          <cell r="J632">
            <v>8320.4351671815002</v>
          </cell>
          <cell r="K632" t="str">
            <v>Small Cap</v>
          </cell>
        </row>
        <row r="633">
          <cell r="C633" t="str">
            <v>INE495P01020</v>
          </cell>
          <cell r="D633" t="str">
            <v>BECTORFOOD</v>
          </cell>
          <cell r="E633">
            <v>8292.7929807009987</v>
          </cell>
          <cell r="F633" t="str">
            <v>BECTORFOOD</v>
          </cell>
          <cell r="G633">
            <v>8293.0195999999996</v>
          </cell>
          <cell r="H633" t="str">
            <v>-</v>
          </cell>
          <cell r="I633" t="str">
            <v>-</v>
          </cell>
          <cell r="J633">
            <v>8292.9062903505001</v>
          </cell>
          <cell r="K633" t="str">
            <v>Small Cap</v>
          </cell>
        </row>
        <row r="634">
          <cell r="C634" t="str">
            <v>INE085001019</v>
          </cell>
          <cell r="D634" t="str">
            <v>WEWORK</v>
          </cell>
          <cell r="E634">
            <v>8219.825969906</v>
          </cell>
          <cell r="F634" t="str">
            <v>WEWORK</v>
          </cell>
          <cell r="G634">
            <v>8227.3767000000007</v>
          </cell>
          <cell r="H634" t="str">
            <v>-</v>
          </cell>
          <cell r="I634" t="str">
            <v>-</v>
          </cell>
          <cell r="J634">
            <v>8223.6013349530003</v>
          </cell>
          <cell r="K634" t="str">
            <v>Small Cap</v>
          </cell>
        </row>
        <row r="635">
          <cell r="C635" t="str">
            <v>INE027A01015</v>
          </cell>
          <cell r="D635" t="str">
            <v>RCF</v>
          </cell>
          <cell r="E635">
            <v>8221.1378473210007</v>
          </cell>
          <cell r="F635" t="str">
            <v>RCF</v>
          </cell>
          <cell r="G635">
            <v>8221.5493999999999</v>
          </cell>
          <cell r="H635" t="str">
            <v>-</v>
          </cell>
          <cell r="I635" t="str">
            <v>-</v>
          </cell>
          <cell r="J635">
            <v>8221.3436236605012</v>
          </cell>
          <cell r="K635" t="str">
            <v>Small Cap</v>
          </cell>
        </row>
        <row r="636">
          <cell r="C636" t="str">
            <v>INE284A01012</v>
          </cell>
          <cell r="D636" t="str">
            <v>ESABINDIA</v>
          </cell>
          <cell r="E636">
            <v>8216.6138799330001</v>
          </cell>
          <cell r="F636" t="str">
            <v>ESABINDIA</v>
          </cell>
          <cell r="G636">
            <v>8218.8330000000005</v>
          </cell>
          <cell r="H636" t="str">
            <v>-</v>
          </cell>
          <cell r="I636" t="str">
            <v>-</v>
          </cell>
          <cell r="J636">
            <v>8217.7234399664994</v>
          </cell>
          <cell r="K636" t="str">
            <v>Small Cap</v>
          </cell>
        </row>
        <row r="637">
          <cell r="C637" t="str">
            <v>INE540H01012</v>
          </cell>
          <cell r="D637" t="str">
            <v>VOLTAMP</v>
          </cell>
          <cell r="E637">
            <v>8126.6946730669997</v>
          </cell>
          <cell r="F637" t="str">
            <v>VOLTAMP</v>
          </cell>
          <cell r="G637">
            <v>8127.5240999999996</v>
          </cell>
          <cell r="H637" t="str">
            <v>-</v>
          </cell>
          <cell r="I637" t="str">
            <v>-</v>
          </cell>
          <cell r="J637">
            <v>8127.1093865334997</v>
          </cell>
          <cell r="K637" t="str">
            <v>Small Cap</v>
          </cell>
        </row>
        <row r="638">
          <cell r="C638" t="str">
            <v>INE939A01011</v>
          </cell>
          <cell r="D638" t="str">
            <v>STAR</v>
          </cell>
          <cell r="E638">
            <v>8100.5972026219997</v>
          </cell>
          <cell r="F638" t="str">
            <v>STAR</v>
          </cell>
          <cell r="G638">
            <v>8103.0002000000004</v>
          </cell>
          <cell r="H638" t="str">
            <v>-</v>
          </cell>
          <cell r="I638" t="str">
            <v>-</v>
          </cell>
          <cell r="J638">
            <v>8101.7987013109996</v>
          </cell>
          <cell r="K638" t="str">
            <v>Small Cap</v>
          </cell>
        </row>
        <row r="639">
          <cell r="C639" t="str">
            <v>INE600K01018</v>
          </cell>
          <cell r="D639" t="str">
            <v>GALAXYSURF</v>
          </cell>
          <cell r="E639">
            <v>8084.2814032059996</v>
          </cell>
          <cell r="F639" t="str">
            <v>GALAXYSURF</v>
          </cell>
          <cell r="G639">
            <v>8083.4668000000001</v>
          </cell>
          <cell r="H639" t="str">
            <v>-</v>
          </cell>
          <cell r="I639" t="str">
            <v>-</v>
          </cell>
          <cell r="J639">
            <v>8083.8741016029999</v>
          </cell>
          <cell r="K639" t="str">
            <v>Small Cap</v>
          </cell>
        </row>
        <row r="640">
          <cell r="C640" t="str">
            <v>INE813A01018</v>
          </cell>
          <cell r="D640" t="str">
            <v>MAHLIFE</v>
          </cell>
          <cell r="E640">
            <v>8034.296335561</v>
          </cell>
          <cell r="F640" t="str">
            <v>MAHLIFE</v>
          </cell>
          <cell r="G640">
            <v>8034.0902999999998</v>
          </cell>
          <cell r="H640" t="str">
            <v>-</v>
          </cell>
          <cell r="I640" t="str">
            <v>-</v>
          </cell>
          <cell r="J640">
            <v>8034.1933177805004</v>
          </cell>
          <cell r="K640" t="str">
            <v>Small Cap</v>
          </cell>
        </row>
        <row r="641">
          <cell r="C641" t="str">
            <v>INE517F01014</v>
          </cell>
          <cell r="D641" t="str">
            <v>GPPL</v>
          </cell>
          <cell r="E641">
            <v>8014.9157364679995</v>
          </cell>
          <cell r="F641" t="str">
            <v>GPPL</v>
          </cell>
          <cell r="G641">
            <v>8015.3684999999996</v>
          </cell>
          <cell r="H641" t="str">
            <v>-</v>
          </cell>
          <cell r="I641" t="str">
            <v>-</v>
          </cell>
          <cell r="J641">
            <v>8015.142118234</v>
          </cell>
          <cell r="K641" t="str">
            <v>Small Cap</v>
          </cell>
        </row>
        <row r="642">
          <cell r="C642" t="str">
            <v>INE0BYP01024</v>
          </cell>
          <cell r="D642" t="str">
            <v>OSWALPUMPS</v>
          </cell>
          <cell r="E642">
            <v>8001.5491583809999</v>
          </cell>
          <cell r="F642" t="str">
            <v>OSWALPUMPS</v>
          </cell>
          <cell r="G642">
            <v>7999.6224000000002</v>
          </cell>
          <cell r="H642" t="str">
            <v>-</v>
          </cell>
          <cell r="I642" t="str">
            <v>-</v>
          </cell>
          <cell r="J642">
            <v>8000.5857791905</v>
          </cell>
          <cell r="K642" t="str">
            <v>Small Cap</v>
          </cell>
        </row>
        <row r="643">
          <cell r="C643" t="str">
            <v>INE221J01015</v>
          </cell>
          <cell r="D643" t="str">
            <v>SHARDACROP</v>
          </cell>
          <cell r="E643">
            <v>7999.0743929429991</v>
          </cell>
          <cell r="F643" t="str">
            <v>SHARDACROP</v>
          </cell>
          <cell r="G643">
            <v>8001.5160999999998</v>
          </cell>
          <cell r="H643" t="str">
            <v>-</v>
          </cell>
          <cell r="I643" t="str">
            <v>-</v>
          </cell>
          <cell r="J643">
            <v>8000.2952464714999</v>
          </cell>
          <cell r="K643" t="str">
            <v>Small Cap</v>
          </cell>
        </row>
        <row r="644">
          <cell r="C644" t="str">
            <v>INE021O01019</v>
          </cell>
          <cell r="D644" t="str">
            <v>DODLA</v>
          </cell>
          <cell r="E644">
            <v>7930.1000688929989</v>
          </cell>
          <cell r="F644" t="str">
            <v>DODLA</v>
          </cell>
          <cell r="G644">
            <v>7928.9126999999999</v>
          </cell>
          <cell r="H644" t="str">
            <v>-</v>
          </cell>
          <cell r="I644" t="str">
            <v>-</v>
          </cell>
          <cell r="J644">
            <v>7929.5063844464994</v>
          </cell>
          <cell r="K644" t="str">
            <v>Small Cap</v>
          </cell>
        </row>
        <row r="645">
          <cell r="C645" t="str">
            <v>INE870H01013</v>
          </cell>
          <cell r="D645" t="str">
            <v>NETWORK18</v>
          </cell>
          <cell r="E645">
            <v>7923.1142829640003</v>
          </cell>
          <cell r="F645" t="str">
            <v>NETWORK18</v>
          </cell>
          <cell r="G645">
            <v>7921.2051000000001</v>
          </cell>
          <cell r="H645" t="str">
            <v>-</v>
          </cell>
          <cell r="I645" t="str">
            <v>-</v>
          </cell>
          <cell r="J645">
            <v>7922.1596914820002</v>
          </cell>
          <cell r="K645" t="str">
            <v>Small Cap</v>
          </cell>
        </row>
        <row r="646">
          <cell r="C646" t="str">
            <v>INE989C01038</v>
          </cell>
          <cell r="D646" t="str">
            <v>DIACABS</v>
          </cell>
          <cell r="E646">
            <v>7902.2238064000003</v>
          </cell>
          <cell r="F646" t="str">
            <v>DIACABS</v>
          </cell>
          <cell r="G646">
            <v>7904.1769000000004</v>
          </cell>
          <cell r="H646" t="str">
            <v>-</v>
          </cell>
          <cell r="I646" t="str">
            <v>-</v>
          </cell>
          <cell r="J646">
            <v>7903.2003531999999</v>
          </cell>
          <cell r="K646" t="str">
            <v>Small Cap</v>
          </cell>
        </row>
        <row r="647">
          <cell r="C647" t="str">
            <v>INE291A01017</v>
          </cell>
          <cell r="D647" t="str">
            <v>GRWRHITECH</v>
          </cell>
          <cell r="E647">
            <v>7871.8763111990002</v>
          </cell>
          <cell r="F647" t="str">
            <v>GRWRHITECH</v>
          </cell>
          <cell r="G647">
            <v>7870.8530000000001</v>
          </cell>
          <cell r="H647" t="str">
            <v>-</v>
          </cell>
          <cell r="I647" t="str">
            <v>-</v>
          </cell>
          <cell r="J647">
            <v>7871.3646555995001</v>
          </cell>
          <cell r="K647" t="str">
            <v>Small Cap</v>
          </cell>
        </row>
        <row r="648">
          <cell r="C648" t="str">
            <v>INE739E01017</v>
          </cell>
          <cell r="D648" t="str">
            <v>CERA</v>
          </cell>
          <cell r="E648">
            <v>7863.6952354049999</v>
          </cell>
          <cell r="F648" t="str">
            <v>CERA</v>
          </cell>
          <cell r="G648">
            <v>7863.9940999999999</v>
          </cell>
          <cell r="H648" t="str">
            <v>-</v>
          </cell>
          <cell r="I648" t="str">
            <v>-</v>
          </cell>
          <cell r="J648">
            <v>7863.8446677025004</v>
          </cell>
          <cell r="K648" t="str">
            <v>Small Cap</v>
          </cell>
        </row>
        <row r="649">
          <cell r="C649" t="str">
            <v>INE811A01020</v>
          </cell>
          <cell r="D649" t="str">
            <v>KIRLPNU</v>
          </cell>
          <cell r="E649">
            <v>7844.7438125630006</v>
          </cell>
          <cell r="F649" t="str">
            <v>KIRLPNU</v>
          </cell>
          <cell r="G649">
            <v>7847.2092000000002</v>
          </cell>
          <cell r="H649" t="str">
            <v>-</v>
          </cell>
          <cell r="I649" t="str">
            <v>-</v>
          </cell>
          <cell r="J649">
            <v>7845.9765062815004</v>
          </cell>
          <cell r="K649" t="str">
            <v>Small Cap</v>
          </cell>
        </row>
        <row r="650">
          <cell r="C650" t="str">
            <v>INE666D01022</v>
          </cell>
          <cell r="D650" t="str">
            <v>BORORENEW</v>
          </cell>
          <cell r="E650">
            <v>7839.539780823</v>
          </cell>
          <cell r="F650" t="str">
            <v>BORORENEW</v>
          </cell>
          <cell r="G650">
            <v>7832.0820000000003</v>
          </cell>
          <cell r="H650" t="str">
            <v>-</v>
          </cell>
          <cell r="I650" t="str">
            <v>-</v>
          </cell>
          <cell r="J650">
            <v>7835.8108904114997</v>
          </cell>
          <cell r="K650" t="str">
            <v>Small Cap</v>
          </cell>
        </row>
        <row r="651">
          <cell r="C651" t="str">
            <v>INE227J01012</v>
          </cell>
          <cell r="D651" t="str">
            <v>KALPATARU</v>
          </cell>
          <cell r="E651">
            <v>7827.3546860539991</v>
          </cell>
          <cell r="F651" t="str">
            <v>KALPATARU</v>
          </cell>
          <cell r="G651">
            <v>7829.9695000000002</v>
          </cell>
          <cell r="H651" t="str">
            <v>-</v>
          </cell>
          <cell r="I651" t="str">
            <v>-</v>
          </cell>
          <cell r="J651">
            <v>7828.6620930270001</v>
          </cell>
          <cell r="K651" t="str">
            <v>Small Cap</v>
          </cell>
        </row>
        <row r="652">
          <cell r="C652" t="str">
            <v>INE256C01024</v>
          </cell>
          <cell r="D652" t="str">
            <v>TRIVENI</v>
          </cell>
          <cell r="E652">
            <v>7821.4068116130002</v>
          </cell>
          <cell r="F652" t="str">
            <v>TRIVENI</v>
          </cell>
          <cell r="G652">
            <v>7822.1625000000004</v>
          </cell>
          <cell r="H652" t="str">
            <v>-</v>
          </cell>
          <cell r="I652" t="str">
            <v>-</v>
          </cell>
          <cell r="J652">
            <v>7821.7846558065003</v>
          </cell>
          <cell r="K652" t="str">
            <v>Small Cap</v>
          </cell>
        </row>
        <row r="653">
          <cell r="C653" t="str">
            <v>INE026A01025</v>
          </cell>
          <cell r="D653" t="str">
            <v>GSFC</v>
          </cell>
          <cell r="E653">
            <v>7800.6245899610003</v>
          </cell>
          <cell r="F653" t="str">
            <v>GSFC</v>
          </cell>
          <cell r="G653">
            <v>7799.9161999999997</v>
          </cell>
          <cell r="H653" t="str">
            <v>-</v>
          </cell>
          <cell r="I653" t="str">
            <v>-</v>
          </cell>
          <cell r="J653">
            <v>7800.2703949805</v>
          </cell>
          <cell r="K653" t="str">
            <v>Small Cap</v>
          </cell>
        </row>
        <row r="654">
          <cell r="C654" t="str">
            <v>INE276A01018</v>
          </cell>
          <cell r="D654" t="str">
            <v>GARFIBRES</v>
          </cell>
          <cell r="E654">
            <v>7781.0399209830002</v>
          </cell>
          <cell r="F654" t="str">
            <v>GARFIBRES</v>
          </cell>
          <cell r="G654">
            <v>7780.3624</v>
          </cell>
          <cell r="H654" t="str">
            <v>-</v>
          </cell>
          <cell r="I654" t="str">
            <v>-</v>
          </cell>
          <cell r="J654">
            <v>7780.7011604915006</v>
          </cell>
          <cell r="K654" t="str">
            <v>Small Cap</v>
          </cell>
        </row>
        <row r="655">
          <cell r="C655" t="str">
            <v>INE128X01021</v>
          </cell>
          <cell r="D655" t="str">
            <v>ACI</v>
          </cell>
          <cell r="E655">
            <v>7771.4475896160002</v>
          </cell>
          <cell r="F655" t="str">
            <v>ACI</v>
          </cell>
          <cell r="G655">
            <v>7772.4898000000003</v>
          </cell>
          <cell r="H655" t="str">
            <v>-</v>
          </cell>
          <cell r="I655" t="str">
            <v>-</v>
          </cell>
          <cell r="J655">
            <v>7771.9686948079998</v>
          </cell>
          <cell r="K655" t="str">
            <v>Small Cap</v>
          </cell>
        </row>
        <row r="656">
          <cell r="C656" t="str">
            <v>INE790G01031</v>
          </cell>
          <cell r="D656" t="str">
            <v>SHILPAMED</v>
          </cell>
          <cell r="E656">
            <v>7654.0322796949995</v>
          </cell>
          <cell r="F656" t="str">
            <v>SHILPAMED</v>
          </cell>
          <cell r="G656">
            <v>7653.9857000000002</v>
          </cell>
          <cell r="H656" t="str">
            <v>-</v>
          </cell>
          <cell r="I656" t="str">
            <v>-</v>
          </cell>
          <cell r="J656">
            <v>7654.0089898474998</v>
          </cell>
          <cell r="K656" t="str">
            <v>Small Cap</v>
          </cell>
        </row>
        <row r="657">
          <cell r="C657" t="str">
            <v>INE917M01012</v>
          </cell>
          <cell r="D657" t="str">
            <v>DBL</v>
          </cell>
          <cell r="E657">
            <v>7654.8046734440004</v>
          </cell>
          <cell r="F657" t="str">
            <v>DBL</v>
          </cell>
          <cell r="G657">
            <v>7617.7204000000002</v>
          </cell>
          <cell r="H657" t="str">
            <v>-</v>
          </cell>
          <cell r="I657" t="str">
            <v>-</v>
          </cell>
          <cell r="J657">
            <v>7636.2625367220007</v>
          </cell>
          <cell r="K657" t="str">
            <v>Small Cap</v>
          </cell>
        </row>
        <row r="658">
          <cell r="C658" t="str">
            <v>INE03EI01018</v>
          </cell>
          <cell r="D658" t="str">
            <v>MAXESTATES</v>
          </cell>
          <cell r="E658">
            <v>7580.8312079509997</v>
          </cell>
          <cell r="F658" t="str">
            <v>MAXESTATES</v>
          </cell>
          <cell r="G658">
            <v>7576.3208000000004</v>
          </cell>
          <cell r="H658" t="str">
            <v>-</v>
          </cell>
          <cell r="I658" t="str">
            <v>-</v>
          </cell>
          <cell r="J658">
            <v>7578.5760039755005</v>
          </cell>
          <cell r="K658" t="str">
            <v>Small Cap</v>
          </cell>
        </row>
        <row r="659">
          <cell r="C659" t="str">
            <v>INE332A01027</v>
          </cell>
          <cell r="D659" t="str">
            <v>THOMASCOOK</v>
          </cell>
          <cell r="E659">
            <v>7549.9626721109998</v>
          </cell>
          <cell r="F659" t="str">
            <v>THOMASCOOK</v>
          </cell>
          <cell r="G659">
            <v>7550.7653</v>
          </cell>
          <cell r="H659" t="str">
            <v>-</v>
          </cell>
          <cell r="I659" t="str">
            <v>-</v>
          </cell>
          <cell r="J659">
            <v>7550.3639860554995</v>
          </cell>
          <cell r="K659" t="str">
            <v>Small Cap</v>
          </cell>
        </row>
        <row r="660">
          <cell r="C660" t="str">
            <v>INE0QPI01025</v>
          </cell>
          <cell r="D660" t="str">
            <v>SUDEEPPHRM</v>
          </cell>
          <cell r="E660">
            <v>7546.0485281520005</v>
          </cell>
          <cell r="F660" t="str">
            <v>SUDEEPPHRM</v>
          </cell>
          <cell r="G660">
            <v>7545.0663999999997</v>
          </cell>
          <cell r="H660" t="str">
            <v>-</v>
          </cell>
          <cell r="I660" t="str">
            <v>-</v>
          </cell>
          <cell r="J660">
            <v>7545.5574640760005</v>
          </cell>
          <cell r="K660" t="str">
            <v>Small Cap</v>
          </cell>
        </row>
        <row r="661">
          <cell r="C661" t="str">
            <v>INE0LRU01027</v>
          </cell>
          <cell r="D661" t="str">
            <v>AARTIPHARM</v>
          </cell>
          <cell r="E661">
            <v>7527.579789337</v>
          </cell>
          <cell r="F661" t="str">
            <v>AARTIPHARM</v>
          </cell>
          <cell r="G661">
            <v>7527.4034000000001</v>
          </cell>
          <cell r="H661" t="str">
            <v>-</v>
          </cell>
          <cell r="I661" t="str">
            <v>-</v>
          </cell>
          <cell r="J661">
            <v>7527.4915946684996</v>
          </cell>
          <cell r="K661" t="str">
            <v>Small Cap</v>
          </cell>
        </row>
        <row r="662">
          <cell r="C662" t="str">
            <v>INE113A01013</v>
          </cell>
          <cell r="D662" t="str">
            <v>GNFC</v>
          </cell>
          <cell r="E662">
            <v>7519.7827481969998</v>
          </cell>
          <cell r="F662" t="str">
            <v>GNFC</v>
          </cell>
          <cell r="G662">
            <v>7520.1617999999999</v>
          </cell>
          <cell r="H662" t="str">
            <v>-</v>
          </cell>
          <cell r="I662" t="str">
            <v>-</v>
          </cell>
          <cell r="J662">
            <v>7519.9722740984998</v>
          </cell>
          <cell r="K662" t="str">
            <v>Small Cap</v>
          </cell>
        </row>
        <row r="663">
          <cell r="C663" t="str">
            <v>INE085J01014</v>
          </cell>
          <cell r="D663" t="str">
            <v>THANGAMAYL</v>
          </cell>
          <cell r="E663">
            <v>7505.4126132759993</v>
          </cell>
          <cell r="F663" t="str">
            <v>THANGAMAYL</v>
          </cell>
          <cell r="G663">
            <v>7506.6361999999999</v>
          </cell>
          <cell r="H663" t="str">
            <v>-</v>
          </cell>
          <cell r="I663" t="str">
            <v>-</v>
          </cell>
          <cell r="J663">
            <v>7506.0244066380001</v>
          </cell>
          <cell r="K663" t="str">
            <v>Small Cap</v>
          </cell>
        </row>
        <row r="664">
          <cell r="C664" t="str">
            <v>INE010A01011</v>
          </cell>
          <cell r="D664" t="str">
            <v>PRSMJOHNSN</v>
          </cell>
          <cell r="E664">
            <v>7482.775076582001</v>
          </cell>
          <cell r="F664" t="str">
            <v>PRSMJOHNSN</v>
          </cell>
          <cell r="G664">
            <v>7481.7843000000003</v>
          </cell>
          <cell r="H664" t="str">
            <v>-</v>
          </cell>
          <cell r="I664" t="str">
            <v>-</v>
          </cell>
          <cell r="J664">
            <v>7482.2796882910006</v>
          </cell>
          <cell r="K664" t="str">
            <v>Small Cap</v>
          </cell>
        </row>
        <row r="665">
          <cell r="C665" t="str">
            <v>INE263M01029</v>
          </cell>
          <cell r="D665" t="str">
            <v>RUSTOMJEE</v>
          </cell>
          <cell r="E665">
            <v>7450.6639730859997</v>
          </cell>
          <cell r="F665" t="str">
            <v>RUSTOMJEE</v>
          </cell>
          <cell r="G665">
            <v>7447.6637000000001</v>
          </cell>
          <cell r="H665" t="str">
            <v>-</v>
          </cell>
          <cell r="I665" t="str">
            <v>-</v>
          </cell>
          <cell r="J665">
            <v>7449.1638365429999</v>
          </cell>
          <cell r="K665" t="str">
            <v>Small Cap</v>
          </cell>
        </row>
        <row r="666">
          <cell r="C666" t="str">
            <v>INE09XN01023</v>
          </cell>
          <cell r="D666" t="str">
            <v>AKUMS</v>
          </cell>
          <cell r="E666">
            <v>7433.2433729589993</v>
          </cell>
          <cell r="F666" t="str">
            <v>AKUMS</v>
          </cell>
          <cell r="G666">
            <v>7432.5001000000002</v>
          </cell>
          <cell r="H666" t="str">
            <v>-</v>
          </cell>
          <cell r="I666" t="str">
            <v>-</v>
          </cell>
          <cell r="J666">
            <v>7432.8717364794993</v>
          </cell>
          <cell r="K666" t="str">
            <v>Small Cap</v>
          </cell>
        </row>
        <row r="667">
          <cell r="C667" t="str">
            <v>INE274Y01021</v>
          </cell>
          <cell r="D667" t="str">
            <v>AJAXENGG</v>
          </cell>
          <cell r="E667">
            <v>7404.5669943330004</v>
          </cell>
          <cell r="F667" t="str">
            <v>AJAXENGG</v>
          </cell>
          <cell r="G667">
            <v>7405.3568999999998</v>
          </cell>
          <cell r="H667" t="str">
            <v>-</v>
          </cell>
          <cell r="I667" t="str">
            <v>-</v>
          </cell>
          <cell r="J667">
            <v>7404.9619471665001</v>
          </cell>
          <cell r="K667" t="str">
            <v>Small Cap</v>
          </cell>
        </row>
        <row r="668">
          <cell r="C668" t="str">
            <v>INE04TZ01018</v>
          </cell>
          <cell r="D668" t="str">
            <v>ETHOSLTD</v>
          </cell>
          <cell r="E668">
            <v>7389.1602818410001</v>
          </cell>
          <cell r="F668" t="str">
            <v>ETHOSLTD</v>
          </cell>
          <cell r="G668">
            <v>7391.2564000000002</v>
          </cell>
          <cell r="H668" t="str">
            <v>-</v>
          </cell>
          <cell r="I668" t="str">
            <v>-</v>
          </cell>
          <cell r="J668">
            <v>7390.2083409205006</v>
          </cell>
          <cell r="K668" t="str">
            <v>Small Cap</v>
          </cell>
        </row>
        <row r="669">
          <cell r="C669" t="str">
            <v>INE195J01029</v>
          </cell>
          <cell r="D669" t="str">
            <v>PNCINFRA</v>
          </cell>
          <cell r="E669">
            <v>7383.5941935979999</v>
          </cell>
          <cell r="F669" t="str">
            <v>PNCINFRA</v>
          </cell>
          <cell r="G669">
            <v>7382.6637000000001</v>
          </cell>
          <cell r="H669" t="str">
            <v>-</v>
          </cell>
          <cell r="I669" t="str">
            <v>-</v>
          </cell>
          <cell r="J669">
            <v>7383.128946799</v>
          </cell>
          <cell r="K669" t="str">
            <v>Small Cap</v>
          </cell>
        </row>
        <row r="670">
          <cell r="C670" t="str">
            <v>INE367G01038</v>
          </cell>
          <cell r="D670" t="str">
            <v>PFOCUS</v>
          </cell>
          <cell r="E670">
            <v>7572.101249073</v>
          </cell>
          <cell r="F670" t="str">
            <v>PFOCUS</v>
          </cell>
          <cell r="G670">
            <v>7181.9557000000004</v>
          </cell>
          <cell r="H670" t="str">
            <v>-</v>
          </cell>
          <cell r="I670" t="str">
            <v>-</v>
          </cell>
          <cell r="J670">
            <v>7377.0284745365007</v>
          </cell>
          <cell r="K670" t="str">
            <v>Small Cap</v>
          </cell>
        </row>
        <row r="671">
          <cell r="C671" t="str">
            <v>INE258B01022</v>
          </cell>
          <cell r="D671" t="str">
            <v>FDC</v>
          </cell>
          <cell r="E671">
            <v>7370.3091311979997</v>
          </cell>
          <cell r="F671" t="str">
            <v>FDC</v>
          </cell>
          <cell r="G671">
            <v>7372.2280000000001</v>
          </cell>
          <cell r="H671" t="str">
            <v>-</v>
          </cell>
          <cell r="I671" t="str">
            <v>-</v>
          </cell>
          <cell r="J671">
            <v>7371.2685655989999</v>
          </cell>
          <cell r="K671" t="str">
            <v>Small Cap</v>
          </cell>
        </row>
        <row r="672">
          <cell r="C672" t="str">
            <v>INE0LXT01019</v>
          </cell>
          <cell r="D672" t="str">
            <v>REDTAPE</v>
          </cell>
          <cell r="E672">
            <v>7351.1126186669999</v>
          </cell>
          <cell r="F672" t="str">
            <v>REDTAPE</v>
          </cell>
          <cell r="G672">
            <v>7348.3310000000001</v>
          </cell>
          <cell r="H672" t="str">
            <v>-</v>
          </cell>
          <cell r="I672" t="str">
            <v>-</v>
          </cell>
          <cell r="J672">
            <v>7349.7218093334996</v>
          </cell>
          <cell r="K672" t="str">
            <v>Small Cap</v>
          </cell>
        </row>
        <row r="673">
          <cell r="C673" t="str">
            <v>INE668A01016</v>
          </cell>
          <cell r="D673" t="str">
            <v>TMB</v>
          </cell>
          <cell r="E673">
            <v>7312.6638619320011</v>
          </cell>
          <cell r="F673" t="str">
            <v>TMB</v>
          </cell>
          <cell r="G673">
            <v>7313.6692999999996</v>
          </cell>
          <cell r="H673" t="str">
            <v>-</v>
          </cell>
          <cell r="I673" t="str">
            <v>-</v>
          </cell>
          <cell r="J673">
            <v>7313.1665809660008</v>
          </cell>
          <cell r="K673" t="str">
            <v>Small Cap</v>
          </cell>
        </row>
        <row r="674">
          <cell r="C674" t="str">
            <v>INE716B01029</v>
          </cell>
          <cell r="D674" t="str">
            <v>TIPSMUSIC</v>
          </cell>
          <cell r="E674">
            <v>7264.1569188039994</v>
          </cell>
          <cell r="F674" t="str">
            <v>TIPSMUSIC</v>
          </cell>
          <cell r="G674">
            <v>7298.8755000000001</v>
          </cell>
          <cell r="H674" t="str">
            <v>-</v>
          </cell>
          <cell r="I674" t="str">
            <v>-</v>
          </cell>
          <cell r="J674">
            <v>7281.5162094019997</v>
          </cell>
          <cell r="K674" t="str">
            <v>Small Cap</v>
          </cell>
        </row>
        <row r="675">
          <cell r="C675" t="str">
            <v>INE0Z4F01028</v>
          </cell>
          <cell r="D675" t="str">
            <v>ATLANTAELE</v>
          </cell>
          <cell r="E675">
            <v>7260.0386531049999</v>
          </cell>
          <cell r="F675" t="str">
            <v>ATLANTAELE</v>
          </cell>
          <cell r="G675">
            <v>7260.8256000000001</v>
          </cell>
          <cell r="H675" t="str">
            <v>-</v>
          </cell>
          <cell r="I675" t="str">
            <v>-</v>
          </cell>
          <cell r="J675">
            <v>7260.4321265524995</v>
          </cell>
          <cell r="K675" t="str">
            <v>Small Cap</v>
          </cell>
        </row>
        <row r="676">
          <cell r="C676" t="str">
            <v>INE071N01016</v>
          </cell>
          <cell r="D676" t="str">
            <v>EPIGRAL</v>
          </cell>
          <cell r="E676">
            <v>7236.0007531000001</v>
          </cell>
          <cell r="F676" t="str">
            <v>EPIGRAL</v>
          </cell>
          <cell r="G676">
            <v>7236.8635999999997</v>
          </cell>
          <cell r="H676" t="str">
            <v>-</v>
          </cell>
          <cell r="I676" t="str">
            <v>-</v>
          </cell>
          <cell r="J676">
            <v>7236.4321765499999</v>
          </cell>
          <cell r="K676" t="str">
            <v>Small Cap</v>
          </cell>
        </row>
        <row r="677">
          <cell r="C677" t="str">
            <v>INE945H01013</v>
          </cell>
          <cell r="D677" t="str">
            <v>V2RETAIL</v>
          </cell>
          <cell r="E677">
            <v>7263.3583771649992</v>
          </cell>
          <cell r="F677" t="str">
            <v>V2RETAIL</v>
          </cell>
          <cell r="G677">
            <v>7206.5748000000003</v>
          </cell>
          <cell r="H677" t="str">
            <v>-</v>
          </cell>
          <cell r="I677" t="str">
            <v>-</v>
          </cell>
          <cell r="J677">
            <v>7234.9665885824998</v>
          </cell>
          <cell r="K677" t="str">
            <v>Small Cap</v>
          </cell>
        </row>
        <row r="678">
          <cell r="C678" t="str">
            <v>INE510W01014</v>
          </cell>
          <cell r="D678" t="str">
            <v>INOXGREEN</v>
          </cell>
          <cell r="E678">
            <v>7232.3926865220001</v>
          </cell>
          <cell r="F678" t="str">
            <v>INOXGREEN</v>
          </cell>
          <cell r="G678">
            <v>7235.5007999999998</v>
          </cell>
          <cell r="H678" t="str">
            <v>-</v>
          </cell>
          <cell r="I678" t="str">
            <v>-</v>
          </cell>
          <cell r="J678">
            <v>7233.9467432609999</v>
          </cell>
          <cell r="K678" t="str">
            <v>Small Cap</v>
          </cell>
        </row>
        <row r="679">
          <cell r="C679" t="str">
            <v>INE916U01025</v>
          </cell>
          <cell r="D679" t="str">
            <v>SFL</v>
          </cell>
          <cell r="E679">
            <v>7209.9188068679996</v>
          </cell>
          <cell r="F679" t="str">
            <v>SFL</v>
          </cell>
          <cell r="G679">
            <v>7210.0352999999996</v>
          </cell>
          <cell r="H679" t="str">
            <v>-</v>
          </cell>
          <cell r="I679" t="str">
            <v>-</v>
          </cell>
          <cell r="J679">
            <v>7209.9770534339996</v>
          </cell>
          <cell r="K679" t="str">
            <v>Small Cap</v>
          </cell>
        </row>
        <row r="680">
          <cell r="C680" t="str">
            <v>INE759A01021</v>
          </cell>
          <cell r="D680" t="str">
            <v>MASTEK</v>
          </cell>
          <cell r="E680">
            <v>7205.6799095380002</v>
          </cell>
          <cell r="F680" t="str">
            <v>MASTEK</v>
          </cell>
          <cell r="G680">
            <v>7203.9597999999996</v>
          </cell>
          <cell r="H680" t="str">
            <v>-</v>
          </cell>
          <cell r="I680" t="str">
            <v>-</v>
          </cell>
          <cell r="J680">
            <v>7204.8198547689999</v>
          </cell>
          <cell r="K680" t="str">
            <v>Small Cap</v>
          </cell>
        </row>
        <row r="681">
          <cell r="C681" t="str">
            <v>INE011E01029</v>
          </cell>
          <cell r="D681" t="str">
            <v>BALUFORGE</v>
          </cell>
          <cell r="E681">
            <v>7196.3949970039994</v>
          </cell>
          <cell r="F681" t="str">
            <v>BALUFORGE</v>
          </cell>
          <cell r="G681">
            <v>7201.8694999999998</v>
          </cell>
          <cell r="H681" t="str">
            <v>-</v>
          </cell>
          <cell r="I681" t="str">
            <v>-</v>
          </cell>
          <cell r="J681">
            <v>7199.1322485019991</v>
          </cell>
          <cell r="K681" t="str">
            <v>Small Cap</v>
          </cell>
        </row>
        <row r="682">
          <cell r="C682" t="str">
            <v>INE834M01019</v>
          </cell>
          <cell r="D682" t="str">
            <v>RTNINDIA</v>
          </cell>
          <cell r="E682">
            <v>7200.6591796839994</v>
          </cell>
          <cell r="F682" t="str">
            <v>RTNINDIA</v>
          </cell>
          <cell r="G682">
            <v>7197.5436</v>
          </cell>
          <cell r="H682" t="str">
            <v>-</v>
          </cell>
          <cell r="I682" t="str">
            <v>-</v>
          </cell>
          <cell r="J682">
            <v>7199.1013898419997</v>
          </cell>
          <cell r="K682" t="str">
            <v>Small Cap</v>
          </cell>
        </row>
        <row r="683">
          <cell r="C683" t="str">
            <v>INE490G01020</v>
          </cell>
          <cell r="D683" t="str">
            <v>MOIL</v>
          </cell>
          <cell r="E683">
            <v>7198.4669849440006</v>
          </cell>
          <cell r="F683" t="str">
            <v>MOIL</v>
          </cell>
          <cell r="G683">
            <v>7198.9515000000001</v>
          </cell>
          <cell r="H683" t="str">
            <v>-</v>
          </cell>
          <cell r="I683" t="str">
            <v>-</v>
          </cell>
          <cell r="J683">
            <v>7198.7092424720004</v>
          </cell>
          <cell r="K683" t="str">
            <v>Small Cap</v>
          </cell>
        </row>
        <row r="684">
          <cell r="C684" t="str">
            <v>INE460C01014</v>
          </cell>
          <cell r="D684" t="str">
            <v>GANESHHOU</v>
          </cell>
          <cell r="E684">
            <v>7197.619544569</v>
          </cell>
          <cell r="F684" t="str">
            <v>GANESHHOU</v>
          </cell>
          <cell r="G684">
            <v>7198.7214000000004</v>
          </cell>
          <cell r="H684" t="str">
            <v>-</v>
          </cell>
          <cell r="I684" t="str">
            <v>-</v>
          </cell>
          <cell r="J684">
            <v>7198.1704722845006</v>
          </cell>
          <cell r="K684" t="str">
            <v>Small Cap</v>
          </cell>
        </row>
        <row r="685">
          <cell r="C685" t="str">
            <v>INE625G01013</v>
          </cell>
          <cell r="D685" t="str">
            <v>WELENT</v>
          </cell>
          <cell r="E685">
            <v>7120.8632337949994</v>
          </cell>
          <cell r="F685" t="str">
            <v>WELENT</v>
          </cell>
          <cell r="G685">
            <v>7121.9672</v>
          </cell>
          <cell r="H685" t="str">
            <v>-</v>
          </cell>
          <cell r="I685" t="str">
            <v>-</v>
          </cell>
          <cell r="J685">
            <v>7121.4152168974997</v>
          </cell>
          <cell r="K685" t="str">
            <v>Small Cap</v>
          </cell>
        </row>
        <row r="686">
          <cell r="C686" t="str">
            <v>INE02ID01020</v>
          </cell>
          <cell r="D686" t="str">
            <v>RAYMONDLSL</v>
          </cell>
          <cell r="E686">
            <v>7113.0077532610003</v>
          </cell>
          <cell r="F686" t="str">
            <v>RAYMONDLSL</v>
          </cell>
          <cell r="G686">
            <v>7113.5057999999999</v>
          </cell>
          <cell r="H686" t="str">
            <v>-</v>
          </cell>
          <cell r="I686" t="str">
            <v>-</v>
          </cell>
          <cell r="J686">
            <v>7113.2567766305001</v>
          </cell>
          <cell r="K686" t="str">
            <v>Small Cap</v>
          </cell>
        </row>
        <row r="687">
          <cell r="C687" t="str">
            <v>INE858B01029</v>
          </cell>
          <cell r="D687" t="str">
            <v>ISGEC</v>
          </cell>
          <cell r="E687">
            <v>7078.1898952910005</v>
          </cell>
          <cell r="F687" t="str">
            <v>ISGEC</v>
          </cell>
          <cell r="G687">
            <v>7077.6383999999998</v>
          </cell>
          <cell r="H687" t="str">
            <v>-</v>
          </cell>
          <cell r="I687" t="str">
            <v>-</v>
          </cell>
          <cell r="J687">
            <v>7077.9141476455006</v>
          </cell>
          <cell r="K687" t="str">
            <v>Small Cap</v>
          </cell>
        </row>
        <row r="688">
          <cell r="C688" t="str">
            <v>INE074A01025</v>
          </cell>
          <cell r="D688" t="str">
            <v>PRAJIND</v>
          </cell>
          <cell r="E688">
            <v>7072.2742083309995</v>
          </cell>
          <cell r="F688" t="str">
            <v>PRAJIND</v>
          </cell>
          <cell r="G688">
            <v>7071.7781999999997</v>
          </cell>
          <cell r="H688" t="str">
            <v>-</v>
          </cell>
          <cell r="I688" t="str">
            <v>-</v>
          </cell>
          <cell r="J688">
            <v>7072.0262041654996</v>
          </cell>
          <cell r="K688" t="str">
            <v>Small Cap</v>
          </cell>
        </row>
        <row r="689">
          <cell r="C689" t="str">
            <v>INE0CLI01024</v>
          </cell>
          <cell r="D689" t="str">
            <v>RATEGAIN</v>
          </cell>
          <cell r="E689">
            <v>7055.3732411309993</v>
          </cell>
          <cell r="F689" t="str">
            <v>RATEGAIN</v>
          </cell>
          <cell r="G689">
            <v>7056.5631000000003</v>
          </cell>
          <cell r="H689" t="str">
            <v>-</v>
          </cell>
          <cell r="I689" t="str">
            <v>-</v>
          </cell>
          <cell r="J689">
            <v>7055.9681705655003</v>
          </cell>
          <cell r="K689" t="str">
            <v>Small Cap</v>
          </cell>
        </row>
        <row r="690">
          <cell r="C690" t="str">
            <v>INE099Z01011</v>
          </cell>
          <cell r="D690" t="str">
            <v>MIDHANI</v>
          </cell>
          <cell r="E690">
            <v>7042.794539683</v>
          </cell>
          <cell r="F690" t="str">
            <v>MIDHANI</v>
          </cell>
          <cell r="G690">
            <v>7042.46</v>
          </cell>
          <cell r="H690" t="str">
            <v>-</v>
          </cell>
          <cell r="I690" t="str">
            <v>-</v>
          </cell>
          <cell r="J690">
            <v>7042.6272698414996</v>
          </cell>
          <cell r="K690" t="str">
            <v>Small Cap</v>
          </cell>
        </row>
        <row r="691">
          <cell r="C691" t="str">
            <v>INE614B01018</v>
          </cell>
          <cell r="D691" t="str">
            <v>KTKBANK</v>
          </cell>
          <cell r="E691">
            <v>6991.1239793520008</v>
          </cell>
          <cell r="F691" t="str">
            <v>KTKBANK</v>
          </cell>
          <cell r="G691">
            <v>6988.9623000000001</v>
          </cell>
          <cell r="H691" t="str">
            <v>-</v>
          </cell>
          <cell r="I691" t="str">
            <v>-</v>
          </cell>
          <cell r="J691">
            <v>6990.0431396760005</v>
          </cell>
          <cell r="K691" t="str">
            <v>Small Cap</v>
          </cell>
        </row>
        <row r="692">
          <cell r="C692" t="str">
            <v>INE0JO301016</v>
          </cell>
          <cell r="D692" t="str">
            <v>YATHARTH</v>
          </cell>
          <cell r="E692">
            <v>6967.3070829580001</v>
          </cell>
          <cell r="F692" t="str">
            <v>YATHARTH</v>
          </cell>
          <cell r="G692">
            <v>6966.5996999999998</v>
          </cell>
          <cell r="H692" t="str">
            <v>-</v>
          </cell>
          <cell r="I692" t="str">
            <v>-</v>
          </cell>
          <cell r="J692">
            <v>6966.9533914789999</v>
          </cell>
          <cell r="K692" t="str">
            <v>Small Cap</v>
          </cell>
        </row>
        <row r="693">
          <cell r="C693" t="str">
            <v>INE679A01013</v>
          </cell>
          <cell r="D693" t="str">
            <v>CSBBANK</v>
          </cell>
          <cell r="E693">
            <v>6965.8208250350008</v>
          </cell>
          <cell r="F693" t="str">
            <v>CSBBANK</v>
          </cell>
          <cell r="G693">
            <v>6966.3095999999996</v>
          </cell>
          <cell r="H693" t="str">
            <v>-</v>
          </cell>
          <cell r="I693" t="str">
            <v>-</v>
          </cell>
          <cell r="J693">
            <v>6966.0652125175002</v>
          </cell>
          <cell r="K693" t="str">
            <v>Small Cap</v>
          </cell>
        </row>
        <row r="694">
          <cell r="C694" t="str">
            <v>INE255A01020</v>
          </cell>
          <cell r="D694" t="str">
            <v>EPL</v>
          </cell>
          <cell r="E694">
            <v>6950.7255334309993</v>
          </cell>
          <cell r="F694" t="str">
            <v>EPL</v>
          </cell>
          <cell r="G694">
            <v>6948.4119000000001</v>
          </cell>
          <cell r="H694" t="str">
            <v>-</v>
          </cell>
          <cell r="I694" t="str">
            <v>-</v>
          </cell>
          <cell r="J694">
            <v>6949.5687167154992</v>
          </cell>
          <cell r="K694" t="str">
            <v>Small Cap</v>
          </cell>
        </row>
        <row r="695">
          <cell r="C695" t="str">
            <v>INE132H01018</v>
          </cell>
          <cell r="D695" t="str">
            <v>AURIONPRO</v>
          </cell>
          <cell r="E695">
            <v>6924.3200332479992</v>
          </cell>
          <cell r="F695" t="str">
            <v>AURIONPRO</v>
          </cell>
          <cell r="G695">
            <v>6924.3157000000001</v>
          </cell>
          <cell r="H695" t="str">
            <v>-</v>
          </cell>
          <cell r="I695" t="str">
            <v>-</v>
          </cell>
          <cell r="J695">
            <v>6924.3178666240001</v>
          </cell>
          <cell r="K695" t="str">
            <v>Small Cap</v>
          </cell>
        </row>
        <row r="696">
          <cell r="C696" t="str">
            <v>INE599M01018</v>
          </cell>
          <cell r="D696" t="str">
            <v>JUSTDIAL</v>
          </cell>
          <cell r="E696">
            <v>6872.5734749610001</v>
          </cell>
          <cell r="F696" t="str">
            <v>JUSTDIAL</v>
          </cell>
          <cell r="G696">
            <v>6871.5609999999997</v>
          </cell>
          <cell r="H696" t="str">
            <v>JUSTDIAL</v>
          </cell>
          <cell r="I696">
            <v>6871.7466519070267</v>
          </cell>
          <cell r="J696">
            <v>6871.9603756226752</v>
          </cell>
          <cell r="K696" t="str">
            <v>Small Cap</v>
          </cell>
        </row>
        <row r="697">
          <cell r="C697" t="str">
            <v>INE998I01010</v>
          </cell>
          <cell r="D697" t="str">
            <v>MHRIL</v>
          </cell>
          <cell r="E697">
            <v>6857.1534806899999</v>
          </cell>
          <cell r="F697" t="str">
            <v>MHRIL</v>
          </cell>
          <cell r="G697">
            <v>6856.5177000000003</v>
          </cell>
          <cell r="H697" t="str">
            <v>-</v>
          </cell>
          <cell r="I697" t="str">
            <v>-</v>
          </cell>
          <cell r="J697">
            <v>6856.8355903450001</v>
          </cell>
          <cell r="K697" t="str">
            <v>Small Cap</v>
          </cell>
        </row>
        <row r="698">
          <cell r="C698" t="str">
            <v>INE594H01019</v>
          </cell>
          <cell r="D698" t="str">
            <v>THYROCARE</v>
          </cell>
          <cell r="E698">
            <v>6845.1293743639999</v>
          </cell>
          <cell r="F698" t="str">
            <v>THYROCARE</v>
          </cell>
          <cell r="G698">
            <v>6843.6377000000002</v>
          </cell>
          <cell r="H698" t="str">
            <v>-</v>
          </cell>
          <cell r="I698" t="str">
            <v>-</v>
          </cell>
          <cell r="J698">
            <v>6844.3835371820005</v>
          </cell>
          <cell r="K698" t="str">
            <v>Small Cap</v>
          </cell>
        </row>
        <row r="699">
          <cell r="C699" t="str">
            <v>INE955V01021</v>
          </cell>
          <cell r="D699" t="str">
            <v>ARVINDFASN</v>
          </cell>
          <cell r="E699">
            <v>6845.1021465470003</v>
          </cell>
          <cell r="F699" t="str">
            <v>ARVINDFASN</v>
          </cell>
          <cell r="G699">
            <v>6839.5769</v>
          </cell>
          <cell r="H699" t="str">
            <v>-</v>
          </cell>
          <cell r="I699" t="str">
            <v>-</v>
          </cell>
          <cell r="J699">
            <v>6842.3395232735002</v>
          </cell>
          <cell r="K699" t="str">
            <v>Small Cap</v>
          </cell>
        </row>
        <row r="700">
          <cell r="C700" t="str">
            <v>INE177F01017</v>
          </cell>
          <cell r="D700" t="str">
            <v>KOVAI</v>
          </cell>
          <cell r="E700">
            <v>6783.5776021019992</v>
          </cell>
          <cell r="F700" t="str">
            <v>-</v>
          </cell>
          <cell r="G700" t="str">
            <v>-</v>
          </cell>
          <cell r="H700" t="str">
            <v>-</v>
          </cell>
          <cell r="I700" t="str">
            <v>-</v>
          </cell>
          <cell r="J700">
            <v>6783.5776021019992</v>
          </cell>
          <cell r="K700" t="str">
            <v>Small Cap</v>
          </cell>
        </row>
        <row r="701">
          <cell r="C701" t="str">
            <v>INE063P01018</v>
          </cell>
          <cell r="D701" t="str">
            <v>EQUITASBNK</v>
          </cell>
          <cell r="E701">
            <v>6724.6139313240001</v>
          </cell>
          <cell r="F701" t="str">
            <v>EQUITASBNK</v>
          </cell>
          <cell r="G701">
            <v>6724.6808000000001</v>
          </cell>
          <cell r="H701" t="str">
            <v>-</v>
          </cell>
          <cell r="I701" t="str">
            <v>-</v>
          </cell>
          <cell r="J701">
            <v>6724.6473656620001</v>
          </cell>
          <cell r="K701" t="str">
            <v>Small Cap</v>
          </cell>
        </row>
        <row r="702">
          <cell r="C702" t="str">
            <v>INE236E01022</v>
          </cell>
          <cell r="D702" t="str">
            <v>ELLEN</v>
          </cell>
          <cell r="E702">
            <v>6713.6854206190001</v>
          </cell>
          <cell r="F702" t="str">
            <v>ELLEN</v>
          </cell>
          <cell r="G702">
            <v>6711.6441000000004</v>
          </cell>
          <cell r="H702" t="str">
            <v>-</v>
          </cell>
          <cell r="I702" t="str">
            <v>-</v>
          </cell>
          <cell r="J702">
            <v>6712.6647603095007</v>
          </cell>
          <cell r="K702" t="str">
            <v>Small Cap</v>
          </cell>
        </row>
        <row r="703">
          <cell r="C703" t="str">
            <v>INE925R01014</v>
          </cell>
          <cell r="D703" t="str">
            <v>CMSINFO</v>
          </cell>
          <cell r="E703">
            <v>6693.3405897580005</v>
          </cell>
          <cell r="F703" t="str">
            <v>CMSINFO</v>
          </cell>
          <cell r="G703">
            <v>6690.8333000000002</v>
          </cell>
          <cell r="H703" t="str">
            <v>-</v>
          </cell>
          <cell r="I703" t="str">
            <v>-</v>
          </cell>
          <cell r="J703">
            <v>6692.0869448789999</v>
          </cell>
          <cell r="K703" t="str">
            <v>Small Cap</v>
          </cell>
        </row>
        <row r="704">
          <cell r="C704" t="str">
            <v>INE940H01022</v>
          </cell>
          <cell r="D704" t="str">
            <v>PGIL</v>
          </cell>
          <cell r="E704">
            <v>6666.9216743940005</v>
          </cell>
          <cell r="F704" t="str">
            <v>PGIL</v>
          </cell>
          <cell r="G704">
            <v>6664.8404</v>
          </cell>
          <cell r="H704" t="str">
            <v>-</v>
          </cell>
          <cell r="I704" t="str">
            <v>-</v>
          </cell>
          <cell r="J704">
            <v>6665.8810371970003</v>
          </cell>
          <cell r="K704" t="str">
            <v>Small Cap</v>
          </cell>
        </row>
        <row r="705">
          <cell r="C705" t="str">
            <v>INE435G01025</v>
          </cell>
          <cell r="D705" t="str">
            <v>DHANUKA</v>
          </cell>
          <cell r="E705">
            <v>6647.5287133309994</v>
          </cell>
          <cell r="F705" t="str">
            <v>DHANUKA</v>
          </cell>
          <cell r="G705">
            <v>6648.6806999999999</v>
          </cell>
          <cell r="H705" t="str">
            <v>-</v>
          </cell>
          <cell r="I705" t="str">
            <v>-</v>
          </cell>
          <cell r="J705">
            <v>6648.1047066654992</v>
          </cell>
          <cell r="K705" t="str">
            <v>Small Cap</v>
          </cell>
        </row>
        <row r="706">
          <cell r="C706" t="str">
            <v>INE225D01027</v>
          </cell>
          <cell r="D706" t="str">
            <v>SYMPHONY</v>
          </cell>
          <cell r="E706">
            <v>6552.4560345559994</v>
          </cell>
          <cell r="F706" t="str">
            <v>SYMPHONY</v>
          </cell>
          <cell r="G706">
            <v>6551.1562000000004</v>
          </cell>
          <cell r="H706" t="str">
            <v>-</v>
          </cell>
          <cell r="I706" t="str">
            <v>-</v>
          </cell>
          <cell r="J706">
            <v>6551.8061172779999</v>
          </cell>
          <cell r="K706" t="str">
            <v>Small Cap</v>
          </cell>
        </row>
        <row r="707">
          <cell r="C707" t="str">
            <v>INE0SII01026</v>
          </cell>
          <cell r="D707" t="str">
            <v>QPOWER</v>
          </cell>
          <cell r="E707">
            <v>6529.4196322500002</v>
          </cell>
          <cell r="F707" t="str">
            <v>QPOWER</v>
          </cell>
          <cell r="G707">
            <v>6529.7239</v>
          </cell>
          <cell r="H707" t="str">
            <v>-</v>
          </cell>
          <cell r="I707" t="str">
            <v>-</v>
          </cell>
          <cell r="J707">
            <v>6529.5717661250001</v>
          </cell>
          <cell r="K707" t="str">
            <v>Small Cap</v>
          </cell>
        </row>
        <row r="708">
          <cell r="C708" t="str">
            <v>INE509F01029</v>
          </cell>
          <cell r="D708" t="str">
            <v>CUPID</v>
          </cell>
          <cell r="E708">
            <v>6515.891740735</v>
          </cell>
          <cell r="F708" t="str">
            <v>CUPID</v>
          </cell>
          <cell r="G708">
            <v>6516.7488999999996</v>
          </cell>
          <cell r="H708" t="str">
            <v>-</v>
          </cell>
          <cell r="I708" t="str">
            <v>-</v>
          </cell>
          <cell r="J708">
            <v>6516.3203203675002</v>
          </cell>
          <cell r="K708" t="str">
            <v>Small Cap</v>
          </cell>
        </row>
        <row r="709">
          <cell r="C709" t="str">
            <v>INE758C01029</v>
          </cell>
          <cell r="D709" t="str">
            <v>AHLUCONT</v>
          </cell>
          <cell r="E709">
            <v>6516.0580630459999</v>
          </cell>
          <cell r="F709" t="str">
            <v>AHLUCONT</v>
          </cell>
          <cell r="G709">
            <v>6515.7071999999998</v>
          </cell>
          <cell r="H709" t="str">
            <v>-</v>
          </cell>
          <cell r="I709" t="str">
            <v>-</v>
          </cell>
          <cell r="J709">
            <v>6515.8826315229999</v>
          </cell>
          <cell r="K709" t="str">
            <v>Small Cap</v>
          </cell>
        </row>
        <row r="710">
          <cell r="C710" t="str">
            <v>INE559A01017</v>
          </cell>
          <cell r="D710" t="str">
            <v>IFBIND</v>
          </cell>
          <cell r="E710">
            <v>6478.8831254070001</v>
          </cell>
          <cell r="F710" t="str">
            <v>IFBIND</v>
          </cell>
          <cell r="G710">
            <v>6480.9975000000004</v>
          </cell>
          <cell r="H710" t="str">
            <v>-</v>
          </cell>
          <cell r="I710" t="str">
            <v>-</v>
          </cell>
          <cell r="J710">
            <v>6479.9403127035002</v>
          </cell>
          <cell r="K710" t="str">
            <v>Small Cap</v>
          </cell>
        </row>
        <row r="711">
          <cell r="C711" t="str">
            <v>INE119201023</v>
          </cell>
          <cell r="D711" t="str">
            <v>PARKHOSPS</v>
          </cell>
          <cell r="E711">
            <v>6447.2160414959999</v>
          </cell>
          <cell r="F711" t="str">
            <v>PARKHOSPS</v>
          </cell>
          <cell r="G711">
            <v>6443.8469999999998</v>
          </cell>
          <cell r="H711" t="str">
            <v>-</v>
          </cell>
          <cell r="I711" t="str">
            <v>-</v>
          </cell>
          <cell r="J711">
            <v>6445.5315207479998</v>
          </cell>
          <cell r="K711" t="str">
            <v>Small Cap</v>
          </cell>
        </row>
        <row r="712">
          <cell r="C712" t="str">
            <v>INE193E01025</v>
          </cell>
          <cell r="D712" t="str">
            <v>BAJAJELEC</v>
          </cell>
          <cell r="E712">
            <v>6445.9925330570004</v>
          </cell>
          <cell r="F712" t="str">
            <v>BAJAJELEC</v>
          </cell>
          <cell r="G712">
            <v>6444.6063000000004</v>
          </cell>
          <cell r="H712" t="str">
            <v>-</v>
          </cell>
          <cell r="I712" t="str">
            <v>-</v>
          </cell>
          <cell r="J712">
            <v>6445.2994165284999</v>
          </cell>
          <cell r="K712" t="str">
            <v>Small Cap</v>
          </cell>
        </row>
        <row r="713">
          <cell r="C713" t="str">
            <v>INE789E01012</v>
          </cell>
          <cell r="D713" t="str">
            <v>JKPAPER</v>
          </cell>
          <cell r="E713">
            <v>6436.2874470300003</v>
          </cell>
          <cell r="F713" t="str">
            <v>JKPAPER</v>
          </cell>
          <cell r="G713">
            <v>6437</v>
          </cell>
          <cell r="H713" t="str">
            <v>-</v>
          </cell>
          <cell r="I713" t="str">
            <v>-</v>
          </cell>
          <cell r="J713">
            <v>6436.6437235150006</v>
          </cell>
          <cell r="K713" t="str">
            <v>Small Cap</v>
          </cell>
        </row>
        <row r="714">
          <cell r="C714" t="str">
            <v>INE726V01018</v>
          </cell>
          <cell r="D714" t="str">
            <v>PRICOLLTD</v>
          </cell>
          <cell r="E714">
            <v>6432.4798465100002</v>
          </cell>
          <cell r="F714" t="str">
            <v>PRICOLLTD</v>
          </cell>
          <cell r="G714">
            <v>6433.1376</v>
          </cell>
          <cell r="H714" t="str">
            <v>-</v>
          </cell>
          <cell r="I714" t="str">
            <v>-</v>
          </cell>
          <cell r="J714">
            <v>6432.8087232550006</v>
          </cell>
          <cell r="K714" t="str">
            <v>Small Cap</v>
          </cell>
        </row>
        <row r="715">
          <cell r="C715" t="str">
            <v>INE254N01026</v>
          </cell>
          <cell r="D715" t="str">
            <v>HNDFDS</v>
          </cell>
          <cell r="E715">
            <v>6393.8646785839992</v>
          </cell>
          <cell r="F715" t="str">
            <v>HNDFDS</v>
          </cell>
          <cell r="G715">
            <v>6361.6684999999998</v>
          </cell>
          <cell r="H715" t="str">
            <v>-</v>
          </cell>
          <cell r="I715" t="str">
            <v>-</v>
          </cell>
          <cell r="J715">
            <v>6377.7665892919995</v>
          </cell>
          <cell r="K715" t="str">
            <v>Small Cap</v>
          </cell>
        </row>
        <row r="716">
          <cell r="C716" t="str">
            <v>INE0LCL01028</v>
          </cell>
          <cell r="D716" t="str">
            <v>AVALON</v>
          </cell>
          <cell r="E716">
            <v>6368.6696157320002</v>
          </cell>
          <cell r="F716" t="str">
            <v>AVALON</v>
          </cell>
          <cell r="G716">
            <v>6364.3924999999999</v>
          </cell>
          <cell r="H716" t="str">
            <v>-</v>
          </cell>
          <cell r="I716" t="str">
            <v>-</v>
          </cell>
          <cell r="J716">
            <v>6366.5310578660001</v>
          </cell>
          <cell r="K716" t="str">
            <v>Small Cap</v>
          </cell>
        </row>
        <row r="717">
          <cell r="C717" t="str">
            <v>INE335A01020</v>
          </cell>
          <cell r="D717" t="str">
            <v>SURYAROSNI</v>
          </cell>
          <cell r="E717">
            <v>6361.3245131779995</v>
          </cell>
          <cell r="F717" t="str">
            <v>SURYAROSNI</v>
          </cell>
          <cell r="G717">
            <v>6362.24</v>
          </cell>
          <cell r="H717" t="str">
            <v>-</v>
          </cell>
          <cell r="I717" t="str">
            <v>-</v>
          </cell>
          <cell r="J717">
            <v>6361.7822565890001</v>
          </cell>
          <cell r="K717" t="str">
            <v>Small Cap</v>
          </cell>
        </row>
        <row r="718">
          <cell r="C718" t="str">
            <v>INE323I01011</v>
          </cell>
          <cell r="D718" t="str">
            <v>PURVA</v>
          </cell>
          <cell r="E718">
            <v>6356.0444770839995</v>
          </cell>
          <cell r="F718" t="str">
            <v>PURVA</v>
          </cell>
          <cell r="G718">
            <v>6351.4877999999999</v>
          </cell>
          <cell r="H718" t="str">
            <v>-</v>
          </cell>
          <cell r="I718" t="str">
            <v>-</v>
          </cell>
          <cell r="J718">
            <v>6353.7661385419997</v>
          </cell>
          <cell r="K718" t="str">
            <v>Small Cap</v>
          </cell>
        </row>
        <row r="719">
          <cell r="C719" t="str">
            <v>INE12UR01024</v>
          </cell>
          <cell r="D719" t="str">
            <v>UTLSOLAR</v>
          </cell>
          <cell r="E719">
            <v>6342.1252096150001</v>
          </cell>
          <cell r="F719" t="str">
            <v>UTLSOLAR</v>
          </cell>
          <cell r="G719">
            <v>6341.6496999999999</v>
          </cell>
          <cell r="H719" t="str">
            <v>-</v>
          </cell>
          <cell r="I719" t="str">
            <v>-</v>
          </cell>
          <cell r="J719">
            <v>6341.8874548075</v>
          </cell>
          <cell r="K719" t="str">
            <v>Small Cap</v>
          </cell>
        </row>
        <row r="720">
          <cell r="C720" t="str">
            <v>INE679V01027</v>
          </cell>
          <cell r="D720" t="str">
            <v>AVL</v>
          </cell>
          <cell r="E720">
            <v>6326.6023973870006</v>
          </cell>
          <cell r="F720" t="str">
            <v>AVL</v>
          </cell>
          <cell r="G720">
            <v>6324.9889000000003</v>
          </cell>
          <cell r="H720" t="str">
            <v>-</v>
          </cell>
          <cell r="I720" t="str">
            <v>-</v>
          </cell>
          <cell r="J720">
            <v>6325.7956486935</v>
          </cell>
          <cell r="K720" t="str">
            <v>Small Cap</v>
          </cell>
        </row>
        <row r="721">
          <cell r="C721" t="str">
            <v>INE399K01017</v>
          </cell>
          <cell r="D721" t="str">
            <v>RTNPOWER</v>
          </cell>
          <cell r="E721">
            <v>6318.3983630559997</v>
          </cell>
          <cell r="F721" t="str">
            <v>RTNPOWER</v>
          </cell>
          <cell r="G721">
            <v>6314.2215999999999</v>
          </cell>
          <cell r="H721" t="str">
            <v>-</v>
          </cell>
          <cell r="I721" t="str">
            <v>-</v>
          </cell>
          <cell r="J721">
            <v>6316.3099815280002</v>
          </cell>
          <cell r="K721" t="str">
            <v>Small Cap</v>
          </cell>
        </row>
        <row r="722">
          <cell r="C722" t="str">
            <v>INE087H01022</v>
          </cell>
          <cell r="D722" t="str">
            <v>RENUKA</v>
          </cell>
          <cell r="E722">
            <v>6285.7512624129995</v>
          </cell>
          <cell r="F722" t="str">
            <v>RENUKA</v>
          </cell>
          <cell r="G722">
            <v>6285.0249000000003</v>
          </cell>
          <cell r="H722" t="str">
            <v>-</v>
          </cell>
          <cell r="I722" t="str">
            <v>-</v>
          </cell>
          <cell r="J722">
            <v>6285.3880812064999</v>
          </cell>
          <cell r="K722" t="str">
            <v>Small Cap</v>
          </cell>
        </row>
        <row r="723">
          <cell r="C723" t="str">
            <v>INE544R01021</v>
          </cell>
          <cell r="D723" t="str">
            <v>GREENLAM</v>
          </cell>
          <cell r="E723">
            <v>6283.7411551839996</v>
          </cell>
          <cell r="F723" t="str">
            <v>GREENLAM</v>
          </cell>
          <cell r="G723">
            <v>6283.5102999999999</v>
          </cell>
          <cell r="H723" t="str">
            <v>-</v>
          </cell>
          <cell r="I723" t="str">
            <v>-</v>
          </cell>
          <cell r="J723">
            <v>6283.6257275919997</v>
          </cell>
          <cell r="K723" t="str">
            <v>Small Cap</v>
          </cell>
        </row>
        <row r="724">
          <cell r="C724" t="str">
            <v>INE399C01030</v>
          </cell>
          <cell r="D724" t="str">
            <v>SUPRAJIT</v>
          </cell>
          <cell r="E724">
            <v>6274.25819864</v>
          </cell>
          <cell r="F724" t="str">
            <v>SUPRAJIT</v>
          </cell>
          <cell r="G724">
            <v>6273.9875000000002</v>
          </cell>
          <cell r="H724" t="str">
            <v>-</v>
          </cell>
          <cell r="I724" t="str">
            <v>-</v>
          </cell>
          <cell r="J724">
            <v>6274.1228493199997</v>
          </cell>
          <cell r="K724" t="str">
            <v>Small Cap</v>
          </cell>
        </row>
        <row r="725">
          <cell r="C725" t="str">
            <v>INE854B01010</v>
          </cell>
          <cell r="D725" t="str">
            <v>JAYNECOIND</v>
          </cell>
          <cell r="E725">
            <v>6256.488471179</v>
          </cell>
          <cell r="F725" t="str">
            <v>JAYNECOIND</v>
          </cell>
          <cell r="G725">
            <v>6254.9395000000004</v>
          </cell>
          <cell r="H725" t="str">
            <v>-</v>
          </cell>
          <cell r="I725" t="str">
            <v>-</v>
          </cell>
          <cell r="J725">
            <v>6255.7139855895002</v>
          </cell>
          <cell r="K725" t="str">
            <v>Small Cap</v>
          </cell>
        </row>
        <row r="726">
          <cell r="C726" t="str">
            <v>INE665J01013</v>
          </cell>
          <cell r="D726" t="str">
            <v>VMART</v>
          </cell>
          <cell r="E726">
            <v>6203.8917700040001</v>
          </cell>
          <cell r="F726" t="str">
            <v>VMART</v>
          </cell>
          <cell r="G726">
            <v>6204.9609</v>
          </cell>
          <cell r="H726" t="str">
            <v>-</v>
          </cell>
          <cell r="I726" t="str">
            <v>-</v>
          </cell>
          <cell r="J726">
            <v>6204.4263350020001</v>
          </cell>
          <cell r="K726" t="str">
            <v>Small Cap</v>
          </cell>
        </row>
        <row r="727">
          <cell r="C727" t="str">
            <v>INE570A01022</v>
          </cell>
          <cell r="D727" t="str">
            <v>IONEXCHANG</v>
          </cell>
          <cell r="E727">
            <v>6178.388304778</v>
          </cell>
          <cell r="F727" t="str">
            <v>IONEXCHANG</v>
          </cell>
          <cell r="G727">
            <v>6177.5559999999996</v>
          </cell>
          <cell r="H727" t="str">
            <v>-</v>
          </cell>
          <cell r="I727" t="str">
            <v>-</v>
          </cell>
          <cell r="J727">
            <v>6177.9721523890003</v>
          </cell>
          <cell r="K727" t="str">
            <v>Small Cap</v>
          </cell>
        </row>
        <row r="728">
          <cell r="C728" t="str">
            <v>INE805D01034</v>
          </cell>
          <cell r="D728" t="str">
            <v>SUNTECK</v>
          </cell>
          <cell r="E728">
            <v>6170.5213191430003</v>
          </cell>
          <cell r="F728" t="str">
            <v>SUNTECK</v>
          </cell>
          <cell r="G728">
            <v>6168.6262999999999</v>
          </cell>
          <cell r="H728" t="str">
            <v>-</v>
          </cell>
          <cell r="I728" t="str">
            <v>-</v>
          </cell>
          <cell r="J728">
            <v>6169.5738095715005</v>
          </cell>
          <cell r="K728" t="str">
            <v>Small Cap</v>
          </cell>
        </row>
        <row r="729">
          <cell r="C729" t="str">
            <v>INE696F01016</v>
          </cell>
          <cell r="D729" t="str">
            <v>JUNIPER</v>
          </cell>
          <cell r="E729">
            <v>6162.088741904</v>
          </cell>
          <cell r="F729" t="str">
            <v>JUNIPER</v>
          </cell>
          <cell r="G729">
            <v>6163.6904000000004</v>
          </cell>
          <cell r="H729" t="str">
            <v>-</v>
          </cell>
          <cell r="I729" t="str">
            <v>-</v>
          </cell>
          <cell r="J729">
            <v>6162.8895709520002</v>
          </cell>
          <cell r="K729" t="str">
            <v>Small Cap</v>
          </cell>
        </row>
        <row r="730">
          <cell r="C730" t="str">
            <v>INE0E7301029</v>
          </cell>
          <cell r="D730" t="str">
            <v>WAKEFIT</v>
          </cell>
          <cell r="E730">
            <v>6153.6392357919995</v>
          </cell>
          <cell r="F730" t="str">
            <v>WAKEFIT</v>
          </cell>
          <cell r="G730">
            <v>6151.4331000000002</v>
          </cell>
          <cell r="H730" t="str">
            <v>-</v>
          </cell>
          <cell r="I730" t="str">
            <v>-</v>
          </cell>
          <cell r="J730">
            <v>6152.5361678959998</v>
          </cell>
          <cell r="K730" t="str">
            <v>Small Cap</v>
          </cell>
        </row>
        <row r="731">
          <cell r="C731" t="str">
            <v>INE926X01010</v>
          </cell>
          <cell r="D731" t="str">
            <v>HGINFRA</v>
          </cell>
          <cell r="E731">
            <v>6148.0202023929996</v>
          </cell>
          <cell r="F731" t="str">
            <v>HGINFRA</v>
          </cell>
          <cell r="G731">
            <v>6146.7503999999999</v>
          </cell>
          <cell r="H731" t="str">
            <v>-</v>
          </cell>
          <cell r="I731" t="str">
            <v>-</v>
          </cell>
          <cell r="J731">
            <v>6147.3853011965002</v>
          </cell>
          <cell r="K731" t="str">
            <v>Small Cap</v>
          </cell>
        </row>
        <row r="732">
          <cell r="C732" t="str">
            <v>INE725G01011</v>
          </cell>
          <cell r="D732" t="str">
            <v>ICRA</v>
          </cell>
          <cell r="E732">
            <v>6140.1169920539996</v>
          </cell>
          <cell r="F732" t="str">
            <v>ICRA</v>
          </cell>
          <cell r="G732">
            <v>6141.1701999999996</v>
          </cell>
          <cell r="H732" t="str">
            <v>-</v>
          </cell>
          <cell r="I732" t="str">
            <v>-</v>
          </cell>
          <cell r="J732">
            <v>6140.6435960269991</v>
          </cell>
          <cell r="K732" t="str">
            <v>Small Cap</v>
          </cell>
        </row>
        <row r="733">
          <cell r="C733" t="str">
            <v>INE287B01021</v>
          </cell>
          <cell r="D733" t="str">
            <v>SUBROS</v>
          </cell>
          <cell r="E733">
            <v>6125.3547544940002</v>
          </cell>
          <cell r="F733" t="str">
            <v>SUBROS</v>
          </cell>
          <cell r="G733">
            <v>6126.4084000000003</v>
          </cell>
          <cell r="H733" t="str">
            <v>-</v>
          </cell>
          <cell r="I733" t="str">
            <v>-</v>
          </cell>
          <cell r="J733">
            <v>6125.8815772470007</v>
          </cell>
          <cell r="K733" t="str">
            <v>Small Cap</v>
          </cell>
        </row>
        <row r="734">
          <cell r="C734" t="str">
            <v>INE555B01013</v>
          </cell>
          <cell r="D734" t="str">
            <v>AXISCADES</v>
          </cell>
          <cell r="E734">
            <v>6081.8963670720004</v>
          </cell>
          <cell r="F734" t="str">
            <v>AXISCADES</v>
          </cell>
          <cell r="G734">
            <v>6081.0672000000004</v>
          </cell>
          <cell r="H734" t="str">
            <v>-</v>
          </cell>
          <cell r="I734" t="str">
            <v>-</v>
          </cell>
          <cell r="J734">
            <v>6081.4817835360009</v>
          </cell>
          <cell r="K734" t="str">
            <v>Small Cap</v>
          </cell>
        </row>
        <row r="735">
          <cell r="C735" t="str">
            <v>INE218I01013</v>
          </cell>
          <cell r="D735" t="str">
            <v>CRAMC</v>
          </cell>
          <cell r="E735">
            <v>6074.3699053959999</v>
          </cell>
          <cell r="F735" t="str">
            <v>CRAMC</v>
          </cell>
          <cell r="G735">
            <v>6073.3344999999999</v>
          </cell>
          <cell r="H735" t="str">
            <v>-</v>
          </cell>
          <cell r="I735" t="str">
            <v>-</v>
          </cell>
          <cell r="J735">
            <v>6073.8522026979999</v>
          </cell>
          <cell r="K735" t="str">
            <v>Small Cap</v>
          </cell>
        </row>
        <row r="736">
          <cell r="C736" t="str">
            <v>INE613A01020</v>
          </cell>
          <cell r="D736" t="str">
            <v>RALLIS</v>
          </cell>
          <cell r="E736">
            <v>6039.5400597279995</v>
          </cell>
          <cell r="F736" t="str">
            <v>RALLIS</v>
          </cell>
          <cell r="G736">
            <v>6039.0384999999997</v>
          </cell>
          <cell r="H736" t="str">
            <v>-</v>
          </cell>
          <cell r="I736" t="str">
            <v>-</v>
          </cell>
          <cell r="J736">
            <v>6039.2892798639996</v>
          </cell>
          <cell r="K736" t="str">
            <v>Small Cap</v>
          </cell>
        </row>
        <row r="737">
          <cell r="C737" t="str">
            <v>INE887G01027</v>
          </cell>
          <cell r="D737" t="str">
            <v>GOKEX</v>
          </cell>
          <cell r="E737">
            <v>6022.8461167730002</v>
          </cell>
          <cell r="F737" t="str">
            <v>GOKEX</v>
          </cell>
          <cell r="G737">
            <v>6018.2093999999997</v>
          </cell>
          <cell r="H737" t="str">
            <v>-</v>
          </cell>
          <cell r="I737" t="str">
            <v>-</v>
          </cell>
          <cell r="J737">
            <v>6020.5277583865</v>
          </cell>
          <cell r="K737" t="str">
            <v>Small Cap</v>
          </cell>
        </row>
        <row r="738">
          <cell r="C738" t="str">
            <v>INE635Q01029</v>
          </cell>
          <cell r="D738" t="str">
            <v>GULFOILLUB</v>
          </cell>
          <cell r="E738">
            <v>6012.0892148800003</v>
          </cell>
          <cell r="F738" t="str">
            <v>GULFOILLUB</v>
          </cell>
          <cell r="G738">
            <v>6012.4929000000002</v>
          </cell>
          <cell r="H738" t="str">
            <v>-</v>
          </cell>
          <cell r="I738" t="str">
            <v>-</v>
          </cell>
          <cell r="J738">
            <v>6012.2910574400003</v>
          </cell>
          <cell r="K738" t="str">
            <v>Small Cap</v>
          </cell>
        </row>
        <row r="739">
          <cell r="C739" t="str">
            <v>INE864I01014</v>
          </cell>
          <cell r="D739" t="str">
            <v xml:space="preserve">MTARTECH </v>
          </cell>
          <cell r="E739">
            <v>6011.4896815169996</v>
          </cell>
          <cell r="F739" t="str">
            <v>MTARTECH</v>
          </cell>
          <cell r="G739">
            <v>6012.9483</v>
          </cell>
          <cell r="H739" t="str">
            <v>-</v>
          </cell>
          <cell r="I739" t="str">
            <v>-</v>
          </cell>
          <cell r="J739">
            <v>6012.2189907584998</v>
          </cell>
          <cell r="K739" t="str">
            <v>Small Cap</v>
          </cell>
        </row>
        <row r="740">
          <cell r="C740" t="str">
            <v>INE488A01050</v>
          </cell>
          <cell r="D740" t="str">
            <v>CHEMPLASTS</v>
          </cell>
          <cell r="E740">
            <v>5980.3315076239996</v>
          </cell>
          <cell r="F740" t="str">
            <v>CHEMPLASTS</v>
          </cell>
          <cell r="G740">
            <v>5980.2749999999996</v>
          </cell>
          <cell r="H740" t="str">
            <v>-</v>
          </cell>
          <cell r="I740" t="str">
            <v>-</v>
          </cell>
          <cell r="J740">
            <v>5980.3032538119996</v>
          </cell>
          <cell r="K740" t="str">
            <v>Small Cap</v>
          </cell>
        </row>
        <row r="741">
          <cell r="C741" t="str">
            <v>INE348A01023</v>
          </cell>
          <cell r="D741" t="str">
            <v>ASHAPURMIN</v>
          </cell>
          <cell r="E741">
            <v>5957.7390798879997</v>
          </cell>
          <cell r="F741" t="str">
            <v>ASHAPURMIN</v>
          </cell>
          <cell r="G741">
            <v>5958.0839999999998</v>
          </cell>
          <cell r="H741" t="str">
            <v>-</v>
          </cell>
          <cell r="I741" t="str">
            <v>-</v>
          </cell>
          <cell r="J741">
            <v>5957.9115399439997</v>
          </cell>
          <cell r="K741" t="str">
            <v>Small Cap</v>
          </cell>
        </row>
        <row r="742">
          <cell r="C742" t="str">
            <v>INE00M201021</v>
          </cell>
          <cell r="D742" t="str">
            <v>SWSOLAR</v>
          </cell>
          <cell r="E742">
            <v>5958.2554900980003</v>
          </cell>
          <cell r="F742" t="str">
            <v>SWSOLAR</v>
          </cell>
          <cell r="G742">
            <v>5956.8652000000002</v>
          </cell>
          <cell r="H742" t="str">
            <v>-</v>
          </cell>
          <cell r="I742" t="str">
            <v>-</v>
          </cell>
          <cell r="J742">
            <v>5957.5603450489998</v>
          </cell>
          <cell r="K742" t="str">
            <v>Small Cap</v>
          </cell>
        </row>
        <row r="743">
          <cell r="C743" t="str">
            <v>INE597I01028</v>
          </cell>
          <cell r="D743" t="str">
            <v>SHARDAMOTR</v>
          </cell>
          <cell r="E743">
            <v>5946.5043273359997</v>
          </cell>
          <cell r="F743" t="str">
            <v>SHARDAMOTR</v>
          </cell>
          <cell r="G743">
            <v>5945.9052000000001</v>
          </cell>
          <cell r="H743" t="str">
            <v>-</v>
          </cell>
          <cell r="I743" t="str">
            <v>-</v>
          </cell>
          <cell r="J743">
            <v>5946.2047636679999</v>
          </cell>
          <cell r="K743" t="str">
            <v>Small Cap</v>
          </cell>
        </row>
        <row r="744">
          <cell r="C744" t="str">
            <v>INE949H01023</v>
          </cell>
          <cell r="D744" t="str">
            <v xml:space="preserve"> MANINFRA</v>
          </cell>
          <cell r="E744">
            <v>5965.709708421</v>
          </cell>
          <cell r="F744" t="str">
            <v>MANINFRA</v>
          </cell>
          <cell r="G744">
            <v>5905.6929</v>
          </cell>
          <cell r="H744" t="str">
            <v>-</v>
          </cell>
          <cell r="I744" t="str">
            <v>-</v>
          </cell>
          <cell r="J744">
            <v>5935.7013042105</v>
          </cell>
          <cell r="K744" t="str">
            <v>Small Cap</v>
          </cell>
        </row>
        <row r="745">
          <cell r="C745" t="str">
            <v>INE546C01010</v>
          </cell>
          <cell r="D745" t="str">
            <v>PICCADIL</v>
          </cell>
          <cell r="E745">
            <v>5925.6736933449993</v>
          </cell>
          <cell r="F745" t="str">
            <v>PICCADIL</v>
          </cell>
          <cell r="G745">
            <v>5923.7654000000002</v>
          </cell>
          <cell r="H745" t="str">
            <v>-</v>
          </cell>
          <cell r="I745" t="str">
            <v>-</v>
          </cell>
          <cell r="J745">
            <v>5924.7195466724997</v>
          </cell>
          <cell r="K745" t="str">
            <v>Small Cap</v>
          </cell>
        </row>
        <row r="746">
          <cell r="C746" t="str">
            <v>INE560A01023</v>
          </cell>
          <cell r="D746" t="str">
            <v>INDIAGLYCO</v>
          </cell>
          <cell r="E746">
            <v>5917.253760476</v>
          </cell>
          <cell r="F746" t="str">
            <v>INDIAGLYCO</v>
          </cell>
          <cell r="G746">
            <v>5917.9983000000002</v>
          </cell>
          <cell r="H746" t="str">
            <v>-</v>
          </cell>
          <cell r="I746" t="str">
            <v>-</v>
          </cell>
          <cell r="J746">
            <v>5917.6260302379997</v>
          </cell>
          <cell r="K746" t="str">
            <v>Small Cap</v>
          </cell>
        </row>
        <row r="747">
          <cell r="C747" t="str">
            <v>INE054A01027</v>
          </cell>
          <cell r="D747" t="str">
            <v>VIPIND</v>
          </cell>
          <cell r="E747">
            <v>5892.5749554240001</v>
          </cell>
          <cell r="F747" t="str">
            <v>VIPIND</v>
          </cell>
          <cell r="G747">
            <v>5893.6525000000001</v>
          </cell>
          <cell r="H747" t="str">
            <v>-</v>
          </cell>
          <cell r="I747" t="str">
            <v>-</v>
          </cell>
          <cell r="J747">
            <v>5893.1137277119997</v>
          </cell>
          <cell r="K747" t="str">
            <v>Small Cap</v>
          </cell>
        </row>
        <row r="748">
          <cell r="C748" t="str">
            <v>INE086A01029</v>
          </cell>
          <cell r="D748" t="str">
            <v>ELECTCAST</v>
          </cell>
          <cell r="E748">
            <v>5878.2682135499999</v>
          </cell>
          <cell r="F748" t="str">
            <v>ELECTCAST</v>
          </cell>
          <cell r="G748">
            <v>5877.3654999999999</v>
          </cell>
          <cell r="H748" t="str">
            <v>-</v>
          </cell>
          <cell r="I748" t="str">
            <v>-</v>
          </cell>
          <cell r="J748">
            <v>5877.8168567749999</v>
          </cell>
          <cell r="K748" t="str">
            <v>Small Cap</v>
          </cell>
        </row>
        <row r="749">
          <cell r="C749" t="str">
            <v>INE545H01011</v>
          </cell>
          <cell r="D749" t="str">
            <v>TIIL</v>
          </cell>
          <cell r="E749">
            <v>5863.9593170170001</v>
          </cell>
          <cell r="F749" t="str">
            <v>TIIL</v>
          </cell>
          <cell r="G749">
            <v>5865.3719000000001</v>
          </cell>
          <cell r="H749" t="str">
            <v>-</v>
          </cell>
          <cell r="I749" t="str">
            <v>-</v>
          </cell>
          <cell r="J749">
            <v>5864.6656085084996</v>
          </cell>
          <cell r="K749" t="str">
            <v>Small Cap</v>
          </cell>
        </row>
        <row r="750">
          <cell r="C750" t="str">
            <v>INE417C01014</v>
          </cell>
          <cell r="D750" t="str">
            <v>PILANIINVS</v>
          </cell>
          <cell r="E750">
            <v>5809.5080793750003</v>
          </cell>
          <cell r="F750" t="str">
            <v>PILANIINVS</v>
          </cell>
          <cell r="G750">
            <v>5812.4522999999999</v>
          </cell>
          <cell r="H750" t="str">
            <v>-</v>
          </cell>
          <cell r="I750" t="str">
            <v>-</v>
          </cell>
          <cell r="J750">
            <v>5810.9801896874997</v>
          </cell>
          <cell r="K750" t="str">
            <v>Small Cap</v>
          </cell>
        </row>
        <row r="751">
          <cell r="C751" t="str">
            <v>INE0NAZ01010</v>
          </cell>
          <cell r="D751" t="str">
            <v>SMARTWORKS</v>
          </cell>
          <cell r="E751">
            <v>5802.7389574939998</v>
          </cell>
          <cell r="F751" t="str">
            <v>SMARTWORKS</v>
          </cell>
          <cell r="G751">
            <v>5801.0983999999999</v>
          </cell>
          <cell r="H751" t="str">
            <v>-</v>
          </cell>
          <cell r="I751" t="str">
            <v>-</v>
          </cell>
          <cell r="J751">
            <v>5801.9186787469998</v>
          </cell>
          <cell r="K751" t="str">
            <v>Small Cap</v>
          </cell>
        </row>
        <row r="752">
          <cell r="C752" t="str">
            <v>INE919H01018</v>
          </cell>
          <cell r="D752" t="str">
            <v>IMFA</v>
          </cell>
          <cell r="E752">
            <v>5772.4470312140002</v>
          </cell>
          <cell r="F752" t="str">
            <v>IMFA</v>
          </cell>
          <cell r="G752">
            <v>5773.3397999999997</v>
          </cell>
          <cell r="H752" t="str">
            <v>-</v>
          </cell>
          <cell r="I752" t="str">
            <v>-</v>
          </cell>
          <cell r="J752">
            <v>5772.893415607</v>
          </cell>
          <cell r="K752" t="str">
            <v>Small Cap</v>
          </cell>
        </row>
        <row r="753">
          <cell r="C753" t="str">
            <v>INE07RO01027</v>
          </cell>
          <cell r="D753" t="str">
            <v>SUPRIYA</v>
          </cell>
          <cell r="E753">
            <v>5757.7203494289997</v>
          </cell>
          <cell r="F753" t="str">
            <v>SUPRIYA</v>
          </cell>
          <cell r="G753">
            <v>5759.6972999999998</v>
          </cell>
          <cell r="H753" t="str">
            <v>-</v>
          </cell>
          <cell r="I753" t="str">
            <v>-</v>
          </cell>
          <cell r="J753">
            <v>5758.7088247145002</v>
          </cell>
          <cell r="K753" t="str">
            <v>Small Cap</v>
          </cell>
        </row>
        <row r="754">
          <cell r="C754" t="str">
            <v>INE045601023</v>
          </cell>
          <cell r="D754" t="str">
            <v>PARAS</v>
          </cell>
          <cell r="E754">
            <v>5720.1446468240001</v>
          </cell>
          <cell r="F754" t="str">
            <v>PARAS</v>
          </cell>
          <cell r="G754">
            <v>5720.5075999999999</v>
          </cell>
          <cell r="H754" t="str">
            <v>-</v>
          </cell>
          <cell r="I754" t="str">
            <v>-</v>
          </cell>
          <cell r="J754">
            <v>5720.326123412</v>
          </cell>
          <cell r="K754" t="str">
            <v>Small Cap</v>
          </cell>
        </row>
        <row r="755">
          <cell r="C755" t="str">
            <v>INE539A01019</v>
          </cell>
          <cell r="D755" t="str">
            <v>GHCL</v>
          </cell>
          <cell r="E755">
            <v>5707.4367605039997</v>
          </cell>
          <cell r="F755" t="str">
            <v>GHCL</v>
          </cell>
          <cell r="G755">
            <v>5706.0779000000002</v>
          </cell>
          <cell r="H755" t="str">
            <v>-</v>
          </cell>
          <cell r="I755" t="str">
            <v>-</v>
          </cell>
          <cell r="J755">
            <v>5706.7573302519995</v>
          </cell>
          <cell r="K755" t="str">
            <v>Small Cap</v>
          </cell>
        </row>
        <row r="756">
          <cell r="C756" t="str">
            <v>INE13B501022</v>
          </cell>
          <cell r="D756" t="str">
            <v>SAATVIKGL</v>
          </cell>
          <cell r="E756">
            <v>5695.9174350200001</v>
          </cell>
          <cell r="F756" t="str">
            <v>SAATVIKGL</v>
          </cell>
          <cell r="G756">
            <v>5696.6311999999998</v>
          </cell>
          <cell r="H756" t="str">
            <v>-</v>
          </cell>
          <cell r="I756" t="str">
            <v>-</v>
          </cell>
          <cell r="J756">
            <v>5696.2743175100004</v>
          </cell>
          <cell r="K756" t="str">
            <v>Small Cap</v>
          </cell>
        </row>
        <row r="757">
          <cell r="C757" t="str">
            <v>INE348L01012</v>
          </cell>
          <cell r="D757" t="str">
            <v>MASFIN</v>
          </cell>
          <cell r="E757">
            <v>5662.7998696280001</v>
          </cell>
          <cell r="F757" t="str">
            <v>MASFIN</v>
          </cell>
          <cell r="G757">
            <v>5663.8944000000001</v>
          </cell>
          <cell r="H757" t="str">
            <v>-</v>
          </cell>
          <cell r="I757" t="str">
            <v>-</v>
          </cell>
          <cell r="J757">
            <v>5663.3471348140001</v>
          </cell>
          <cell r="K757" t="str">
            <v>Small Cap</v>
          </cell>
        </row>
        <row r="758">
          <cell r="C758" t="str">
            <v>INE621L01012</v>
          </cell>
          <cell r="D758" t="str">
            <v>TEXRAIL</v>
          </cell>
          <cell r="E758">
            <v>5653.1059838599995</v>
          </cell>
          <cell r="F758" t="str">
            <v>TEXRAIL</v>
          </cell>
          <cell r="G758">
            <v>5626.2885999999999</v>
          </cell>
          <cell r="H758" t="str">
            <v>-</v>
          </cell>
          <cell r="I758" t="str">
            <v>-</v>
          </cell>
          <cell r="J758">
            <v>5639.6972919299997</v>
          </cell>
          <cell r="K758" t="str">
            <v>Small Cap</v>
          </cell>
        </row>
        <row r="759">
          <cell r="C759" t="str">
            <v>INE439E01022</v>
          </cell>
          <cell r="D759" t="str">
            <v>SKIPPER</v>
          </cell>
          <cell r="E759">
            <v>5620.9026806989996</v>
          </cell>
          <cell r="F759" t="str">
            <v>SKIPPER</v>
          </cell>
          <cell r="G759">
            <v>5621.3005999999996</v>
          </cell>
          <cell r="H759" t="str">
            <v>-</v>
          </cell>
          <cell r="I759" t="str">
            <v>-</v>
          </cell>
          <cell r="J759">
            <v>5621.1016403494996</v>
          </cell>
          <cell r="K759" t="str">
            <v>Small Cap</v>
          </cell>
        </row>
        <row r="760">
          <cell r="C760" t="str">
            <v>INE343B01030</v>
          </cell>
          <cell r="D760" t="str">
            <v>RAJESHEXPO</v>
          </cell>
          <cell r="E760">
            <v>5610.0798209800005</v>
          </cell>
          <cell r="F760" t="str">
            <v>RAJESHEXPO</v>
          </cell>
          <cell r="G760">
            <v>5609.3627999999999</v>
          </cell>
          <cell r="H760" t="str">
            <v>-</v>
          </cell>
          <cell r="I760" t="str">
            <v>-</v>
          </cell>
          <cell r="J760">
            <v>5609.7213104900002</v>
          </cell>
          <cell r="K760" t="str">
            <v>Small Cap</v>
          </cell>
        </row>
        <row r="761">
          <cell r="C761" t="str">
            <v>INE089C01029</v>
          </cell>
          <cell r="D761" t="str">
            <v>STLTECH</v>
          </cell>
          <cell r="E761">
            <v>5608.3024720029998</v>
          </cell>
          <cell r="F761" t="str">
            <v>STLTECH</v>
          </cell>
          <cell r="G761">
            <v>5608.8468999999996</v>
          </cell>
          <cell r="H761" t="str">
            <v>-</v>
          </cell>
          <cell r="I761" t="str">
            <v>-</v>
          </cell>
          <cell r="J761">
            <v>5608.5746860014997</v>
          </cell>
          <cell r="K761" t="str">
            <v>Small Cap</v>
          </cell>
        </row>
        <row r="762">
          <cell r="C762" t="str">
            <v>INE602W01027</v>
          </cell>
          <cell r="D762" t="str">
            <v>SENCO</v>
          </cell>
          <cell r="E762">
            <v>5559.6054351230005</v>
          </cell>
          <cell r="F762" t="str">
            <v>SENCO</v>
          </cell>
          <cell r="G762">
            <v>5559.2932000000001</v>
          </cell>
          <cell r="H762" t="str">
            <v>-</v>
          </cell>
          <cell r="I762" t="str">
            <v>-</v>
          </cell>
          <cell r="J762">
            <v>5559.4493175615007</v>
          </cell>
          <cell r="K762" t="str">
            <v>Small Cap</v>
          </cell>
        </row>
        <row r="763">
          <cell r="C763" t="str">
            <v>INE771F01041</v>
          </cell>
          <cell r="D763" t="str">
            <v>FISCHER</v>
          </cell>
          <cell r="E763">
            <v>5546.7322271169996</v>
          </cell>
          <cell r="F763" t="str">
            <v>FISCHER</v>
          </cell>
          <cell r="G763">
            <v>5553.4996000000001</v>
          </cell>
          <cell r="H763" t="str">
            <v>-</v>
          </cell>
          <cell r="I763" t="str">
            <v>-</v>
          </cell>
          <cell r="J763">
            <v>5550.1159135585003</v>
          </cell>
          <cell r="K763" t="str">
            <v>Small Cap</v>
          </cell>
        </row>
        <row r="764">
          <cell r="C764" t="str">
            <v>INE04VU01023</v>
          </cell>
          <cell r="D764" t="str">
            <v>STYL</v>
          </cell>
          <cell r="E764">
            <v>5542.3503680570002</v>
          </cell>
          <cell r="F764" t="str">
            <v>STYL</v>
          </cell>
          <cell r="G764">
            <v>5543.5703000000003</v>
          </cell>
          <cell r="H764" t="str">
            <v>-</v>
          </cell>
          <cell r="I764" t="str">
            <v>-</v>
          </cell>
          <cell r="J764">
            <v>5542.9603340285003</v>
          </cell>
          <cell r="K764" t="str">
            <v>Small Cap</v>
          </cell>
        </row>
        <row r="765">
          <cell r="C765" t="str">
            <v>INE455I01029</v>
          </cell>
          <cell r="D765" t="str">
            <v>KSCL</v>
          </cell>
          <cell r="E765">
            <v>5535.5809247039997</v>
          </cell>
          <cell r="F765" t="str">
            <v>KSCL</v>
          </cell>
          <cell r="G765">
            <v>5536.4831000000004</v>
          </cell>
          <cell r="H765" t="str">
            <v>-</v>
          </cell>
          <cell r="I765" t="str">
            <v>-</v>
          </cell>
          <cell r="J765">
            <v>5536.0320123519996</v>
          </cell>
          <cell r="K765" t="str">
            <v>Small Cap</v>
          </cell>
        </row>
        <row r="766">
          <cell r="C766" t="str">
            <v>INE01QM01018</v>
          </cell>
          <cell r="D766" t="str">
            <v>EMUDHRA</v>
          </cell>
          <cell r="E766">
            <v>5364.2317851220005</v>
          </cell>
          <cell r="F766" t="str">
            <v>EMUDHRA</v>
          </cell>
          <cell r="G766">
            <v>5690.1073999999999</v>
          </cell>
          <cell r="H766" t="str">
            <v>-</v>
          </cell>
          <cell r="I766" t="str">
            <v>-</v>
          </cell>
          <cell r="J766">
            <v>5527.1695925610002</v>
          </cell>
          <cell r="K766" t="str">
            <v>Small Cap</v>
          </cell>
        </row>
        <row r="767">
          <cell r="C767" t="str">
            <v>INE483B01026</v>
          </cell>
          <cell r="D767" t="str">
            <v>ICIL</v>
          </cell>
          <cell r="E767">
            <v>5515.6404644169997</v>
          </cell>
          <cell r="F767" t="str">
            <v>ICIL</v>
          </cell>
          <cell r="G767">
            <v>5515.5901999999996</v>
          </cell>
          <cell r="H767" t="str">
            <v>-</v>
          </cell>
          <cell r="I767" t="str">
            <v>-</v>
          </cell>
          <cell r="J767">
            <v>5515.6153322084992</v>
          </cell>
          <cell r="K767" t="str">
            <v>Small Cap</v>
          </cell>
        </row>
        <row r="768">
          <cell r="C768" t="str">
            <v>INE498B01024</v>
          </cell>
          <cell r="D768" t="str">
            <v>SHOPERSTOP</v>
          </cell>
          <cell r="E768">
            <v>5497.2245095150001</v>
          </cell>
          <cell r="F768" t="str">
            <v>SHOPERSTOP</v>
          </cell>
          <cell r="G768">
            <v>5498.41</v>
          </cell>
          <cell r="H768" t="str">
            <v>-</v>
          </cell>
          <cell r="I768" t="str">
            <v>-</v>
          </cell>
          <cell r="J768">
            <v>5497.8172547574995</v>
          </cell>
          <cell r="K768" t="str">
            <v>Small Cap</v>
          </cell>
        </row>
        <row r="769">
          <cell r="C769" t="str">
            <v>INE09VQ01012</v>
          </cell>
          <cell r="D769" t="str">
            <v>INDIGOPNTS</v>
          </cell>
          <cell r="E769">
            <v>5493.5578743220003</v>
          </cell>
          <cell r="F769" t="str">
            <v>INDIGOPNTS</v>
          </cell>
          <cell r="G769">
            <v>5493.1369999999997</v>
          </cell>
          <cell r="H769" t="str">
            <v>-</v>
          </cell>
          <cell r="I769" t="str">
            <v>-</v>
          </cell>
          <cell r="J769">
            <v>5493.347437161</v>
          </cell>
          <cell r="K769" t="str">
            <v>Small Cap</v>
          </cell>
        </row>
        <row r="770">
          <cell r="C770" t="str">
            <v>INE737H01014</v>
          </cell>
          <cell r="D770" t="str">
            <v>FIEMIND</v>
          </cell>
          <cell r="E770">
            <v>5481.0775504480007</v>
          </cell>
          <cell r="F770" t="str">
            <v>FIEMIND</v>
          </cell>
          <cell r="G770">
            <v>5482.1679000000004</v>
          </cell>
          <cell r="H770" t="str">
            <v>-</v>
          </cell>
          <cell r="I770" t="str">
            <v>-</v>
          </cell>
          <cell r="J770">
            <v>5481.6227252240005</v>
          </cell>
          <cell r="K770" t="str">
            <v>Small Cap</v>
          </cell>
        </row>
        <row r="771">
          <cell r="C771" t="str">
            <v>INE395N01027</v>
          </cell>
          <cell r="D771" t="str">
            <v>TVSSCS</v>
          </cell>
          <cell r="E771">
            <v>5471.5674381540002</v>
          </cell>
          <cell r="F771" t="str">
            <v>TVSSCS</v>
          </cell>
          <cell r="G771">
            <v>5470.8612000000003</v>
          </cell>
          <cell r="H771" t="str">
            <v>-</v>
          </cell>
          <cell r="I771" t="str">
            <v>-</v>
          </cell>
          <cell r="J771">
            <v>5471.2143190770003</v>
          </cell>
          <cell r="K771" t="str">
            <v>Small Cap</v>
          </cell>
        </row>
        <row r="772">
          <cell r="C772" t="str">
            <v>INE688D01026</v>
          </cell>
          <cell r="D772" t="str">
            <v>RESPONIND</v>
          </cell>
          <cell r="E772">
            <v>5456.1226935519999</v>
          </cell>
          <cell r="F772" t="str">
            <v>RESPONIND</v>
          </cell>
          <cell r="G772">
            <v>5455.1662999999999</v>
          </cell>
          <cell r="H772" t="str">
            <v>-</v>
          </cell>
          <cell r="I772" t="str">
            <v>-</v>
          </cell>
          <cell r="J772">
            <v>5455.6444967759999</v>
          </cell>
          <cell r="K772" t="str">
            <v>Small Cap</v>
          </cell>
        </row>
        <row r="773">
          <cell r="C773" t="str">
            <v>INE0B9K01025</v>
          </cell>
          <cell r="D773" t="str">
            <v>BANSALWIRE</v>
          </cell>
          <cell r="E773">
            <v>5445.5565013470004</v>
          </cell>
          <cell r="F773" t="str">
            <v>BANSALWIRE</v>
          </cell>
          <cell r="G773">
            <v>5446.4884000000002</v>
          </cell>
          <cell r="H773" t="str">
            <v>-</v>
          </cell>
          <cell r="I773" t="str">
            <v>-</v>
          </cell>
          <cell r="J773">
            <v>5446.0224506735003</v>
          </cell>
          <cell r="K773" t="str">
            <v>Small Cap</v>
          </cell>
        </row>
        <row r="774">
          <cell r="C774" t="str">
            <v>INE576O01020</v>
          </cell>
          <cell r="D774" t="str">
            <v>LXCHEM</v>
          </cell>
          <cell r="E774">
            <v>5444.3750373230005</v>
          </cell>
          <cell r="F774" t="str">
            <v>LXCHEM</v>
          </cell>
          <cell r="G774">
            <v>5444.0883000000003</v>
          </cell>
          <cell r="H774" t="str">
            <v>-</v>
          </cell>
          <cell r="I774" t="str">
            <v>-</v>
          </cell>
          <cell r="J774">
            <v>5444.2316686615004</v>
          </cell>
          <cell r="K774" t="str">
            <v>Small Cap</v>
          </cell>
        </row>
        <row r="775">
          <cell r="C775" t="str">
            <v>INE0S4R01014</v>
          </cell>
          <cell r="D775" t="str">
            <v>CRIZAC</v>
          </cell>
          <cell r="E775">
            <v>5442.1890599999997</v>
          </cell>
          <cell r="F775" t="str">
            <v>CRIZAC</v>
          </cell>
          <cell r="G775">
            <v>5442.2226000000001</v>
          </cell>
          <cell r="H775" t="str">
            <v>-</v>
          </cell>
          <cell r="I775" t="str">
            <v>-</v>
          </cell>
          <cell r="J775">
            <v>5442.2058299999999</v>
          </cell>
          <cell r="K775" t="str">
            <v>Small Cap</v>
          </cell>
        </row>
        <row r="776">
          <cell r="C776" t="str">
            <v>INE415A01038</v>
          </cell>
          <cell r="D776" t="str">
            <v>AGI</v>
          </cell>
          <cell r="E776">
            <v>5412.9038140089997</v>
          </cell>
          <cell r="F776" t="str">
            <v>AGI</v>
          </cell>
          <cell r="G776">
            <v>5412.7909</v>
          </cell>
          <cell r="H776" t="str">
            <v>-</v>
          </cell>
          <cell r="I776" t="str">
            <v>-</v>
          </cell>
          <cell r="J776">
            <v>5412.8473570044998</v>
          </cell>
          <cell r="K776" t="str">
            <v>Small Cap</v>
          </cell>
        </row>
        <row r="777">
          <cell r="C777" t="str">
            <v>INE0ILV01024</v>
          </cell>
          <cell r="D777" t="str">
            <v>CAPILLARY</v>
          </cell>
          <cell r="E777">
            <v>5378.3579321959996</v>
          </cell>
          <cell r="F777" t="str">
            <v>CAPILLARY</v>
          </cell>
          <cell r="G777">
            <v>5372.8343999999997</v>
          </cell>
          <cell r="H777" t="str">
            <v>-</v>
          </cell>
          <cell r="I777" t="str">
            <v>-</v>
          </cell>
          <cell r="J777">
            <v>5375.5961660979992</v>
          </cell>
          <cell r="K777" t="str">
            <v>Small Cap</v>
          </cell>
        </row>
        <row r="778">
          <cell r="C778" t="str">
            <v>INE634I01029</v>
          </cell>
          <cell r="D778" t="str">
            <v>KNRCON</v>
          </cell>
          <cell r="E778">
            <v>5343.1783974210002</v>
          </cell>
          <cell r="F778" t="str">
            <v>KNRCON</v>
          </cell>
          <cell r="G778">
            <v>5342.6783999999998</v>
          </cell>
          <cell r="H778" t="str">
            <v>-</v>
          </cell>
          <cell r="I778" t="str">
            <v>-</v>
          </cell>
          <cell r="J778">
            <v>5342.9283987105</v>
          </cell>
          <cell r="K778" t="str">
            <v>Small Cap</v>
          </cell>
        </row>
        <row r="779">
          <cell r="C779" t="str">
            <v>INE0U3I01011</v>
          </cell>
          <cell r="D779" t="str">
            <v>UNIMECH</v>
          </cell>
          <cell r="E779">
            <v>5336.0898323459996</v>
          </cell>
          <cell r="F779" t="str">
            <v>UNIMECH</v>
          </cell>
          <cell r="G779">
            <v>5333.7972</v>
          </cell>
          <cell r="H779" t="str">
            <v>-</v>
          </cell>
          <cell r="I779" t="str">
            <v>-</v>
          </cell>
          <cell r="J779">
            <v>5334.9435161729998</v>
          </cell>
          <cell r="K779" t="str">
            <v>Small Cap</v>
          </cell>
        </row>
        <row r="780">
          <cell r="C780" t="str">
            <v>INE541A01023</v>
          </cell>
          <cell r="D780" t="str">
            <v>GMMPFAUDLR</v>
          </cell>
          <cell r="E780">
            <v>5329.762753991</v>
          </cell>
          <cell r="F780" t="str">
            <v>GMMPFAUDLR</v>
          </cell>
          <cell r="G780">
            <v>5330.8919999999998</v>
          </cell>
          <cell r="H780" t="str">
            <v>-</v>
          </cell>
          <cell r="I780" t="str">
            <v>-</v>
          </cell>
          <cell r="J780">
            <v>5330.3273769954994</v>
          </cell>
          <cell r="K780" t="str">
            <v>Small Cap</v>
          </cell>
        </row>
        <row r="781">
          <cell r="C781" t="str">
            <v>INE442H01029</v>
          </cell>
          <cell r="D781" t="str">
            <v>ASHOKA</v>
          </cell>
          <cell r="E781">
            <v>5298.3276663790002</v>
          </cell>
          <cell r="F781" t="str">
            <v>ASHOKA</v>
          </cell>
          <cell r="G781">
            <v>5297.6481000000003</v>
          </cell>
          <cell r="H781" t="str">
            <v>-</v>
          </cell>
          <cell r="I781" t="str">
            <v>-</v>
          </cell>
          <cell r="J781">
            <v>5297.9878831895003</v>
          </cell>
          <cell r="K781" t="str">
            <v>Small Cap</v>
          </cell>
        </row>
        <row r="782">
          <cell r="C782" t="str">
            <v>INE221B01012</v>
          </cell>
          <cell r="D782" t="str">
            <v>DYNAMATECH</v>
          </cell>
          <cell r="E782">
            <v>5255.4606059320004</v>
          </cell>
          <cell r="F782" t="str">
            <v>DYNAMATECH</v>
          </cell>
          <cell r="G782">
            <v>5255.8303999999998</v>
          </cell>
          <cell r="H782" t="str">
            <v>-</v>
          </cell>
          <cell r="I782" t="str">
            <v>-</v>
          </cell>
          <cell r="J782">
            <v>5255.6455029660001</v>
          </cell>
          <cell r="K782" t="str">
            <v>Small Cap</v>
          </cell>
        </row>
        <row r="783">
          <cell r="C783" t="str">
            <v>INE255Z01019</v>
          </cell>
          <cell r="D783" t="str">
            <v>-</v>
          </cell>
          <cell r="E783" t="str">
            <v>-</v>
          </cell>
          <cell r="F783" t="str">
            <v>E2E</v>
          </cell>
          <cell r="G783">
            <v>5239.7758000000003</v>
          </cell>
          <cell r="H783" t="str">
            <v>-</v>
          </cell>
          <cell r="I783" t="str">
            <v>-</v>
          </cell>
          <cell r="J783">
            <v>5239.7758000000003</v>
          </cell>
          <cell r="K783" t="str">
            <v>Small Cap</v>
          </cell>
        </row>
        <row r="784">
          <cell r="C784" t="str">
            <v>INE314T01033</v>
          </cell>
          <cell r="D784" t="str">
            <v>GOKULAGRO</v>
          </cell>
          <cell r="E784">
            <v>5234.299691485</v>
          </cell>
          <cell r="F784" t="str">
            <v>GOKULAGRO</v>
          </cell>
          <cell r="G784">
            <v>5234.2470000000003</v>
          </cell>
          <cell r="H784" t="str">
            <v>-</v>
          </cell>
          <cell r="I784" t="str">
            <v>-</v>
          </cell>
          <cell r="J784">
            <v>5234.2733457425002</v>
          </cell>
          <cell r="K784" t="str">
            <v>Small Cap</v>
          </cell>
        </row>
        <row r="785">
          <cell r="C785" t="str">
            <v>INE007N01010</v>
          </cell>
          <cell r="D785" t="str">
            <v>FEDFINA</v>
          </cell>
          <cell r="E785">
            <v>5221.9335718449993</v>
          </cell>
          <cell r="F785" t="str">
            <v>FEDFINA</v>
          </cell>
          <cell r="G785">
            <v>5218.7116999999998</v>
          </cell>
          <cell r="H785" t="str">
            <v>-</v>
          </cell>
          <cell r="I785" t="str">
            <v>-</v>
          </cell>
          <cell r="J785">
            <v>5220.3226359224991</v>
          </cell>
          <cell r="K785" t="str">
            <v>Small Cap</v>
          </cell>
        </row>
        <row r="786">
          <cell r="C786" t="str">
            <v>INE473D01015</v>
          </cell>
          <cell r="D786" t="str">
            <v>KINGFA</v>
          </cell>
          <cell r="E786">
            <v>5224.2564144999997</v>
          </cell>
          <cell r="F786" t="str">
            <v>KINGFA</v>
          </cell>
          <cell r="G786">
            <v>5187.8743000000004</v>
          </cell>
          <cell r="H786" t="str">
            <v>-</v>
          </cell>
          <cell r="I786" t="str">
            <v>-</v>
          </cell>
          <cell r="J786">
            <v>5206.0653572499996</v>
          </cell>
          <cell r="K786" t="str">
            <v>Small Cap</v>
          </cell>
        </row>
        <row r="787">
          <cell r="C787" t="str">
            <v>INE350C01017</v>
          </cell>
          <cell r="D787" t="str">
            <v>OPTIEMUS</v>
          </cell>
          <cell r="E787">
            <v>5203.7203231040003</v>
          </cell>
          <cell r="F787" t="str">
            <v>OPTIEMUS</v>
          </cell>
          <cell r="G787">
            <v>5200.4317000000001</v>
          </cell>
          <cell r="H787" t="str">
            <v>-</v>
          </cell>
          <cell r="I787" t="str">
            <v>-</v>
          </cell>
          <cell r="J787">
            <v>5202.0760115520006</v>
          </cell>
          <cell r="K787" t="str">
            <v>Small Cap</v>
          </cell>
        </row>
        <row r="788">
          <cell r="C788" t="str">
            <v>INE0Q3J01015</v>
          </cell>
          <cell r="D788" t="str">
            <v>KRN</v>
          </cell>
          <cell r="E788">
            <v>5183.2191417459999</v>
          </cell>
          <cell r="F788" t="str">
            <v>KRN</v>
          </cell>
          <cell r="G788">
            <v>5183.7420000000002</v>
          </cell>
          <cell r="H788" t="str">
            <v>-</v>
          </cell>
          <cell r="I788" t="str">
            <v>-</v>
          </cell>
          <cell r="J788">
            <v>5183.480570873</v>
          </cell>
          <cell r="K788" t="str">
            <v>Small Cap</v>
          </cell>
        </row>
        <row r="789">
          <cell r="C789" t="str">
            <v>INE365B01017</v>
          </cell>
          <cell r="D789" t="str">
            <v>DATAMATICS</v>
          </cell>
          <cell r="E789">
            <v>5172.4329382730002</v>
          </cell>
          <cell r="F789" t="str">
            <v>DATAMATICS</v>
          </cell>
          <cell r="G789">
            <v>5172.6863000000003</v>
          </cell>
          <cell r="H789" t="str">
            <v>-</v>
          </cell>
          <cell r="I789" t="str">
            <v>-</v>
          </cell>
          <cell r="J789">
            <v>5172.5596191365003</v>
          </cell>
          <cell r="K789" t="str">
            <v>Small Cap</v>
          </cell>
        </row>
        <row r="790">
          <cell r="C790" t="str">
            <v>INE855C01023</v>
          </cell>
          <cell r="D790" t="str">
            <v>WEBELSOLAR</v>
          </cell>
          <cell r="E790">
            <v>5131.6938719509999</v>
          </cell>
          <cell r="F790" t="str">
            <v>WEBELSOLAR</v>
          </cell>
          <cell r="G790">
            <v>5132.0673999999999</v>
          </cell>
          <cell r="H790" t="str">
            <v>-</v>
          </cell>
          <cell r="I790" t="str">
            <v>-</v>
          </cell>
          <cell r="J790">
            <v>5131.8806359754999</v>
          </cell>
          <cell r="K790" t="str">
            <v>Small Cap</v>
          </cell>
        </row>
        <row r="791">
          <cell r="C791" t="str">
            <v>INE02YR01019</v>
          </cell>
          <cell r="D791" t="str">
            <v>EMIL</v>
          </cell>
          <cell r="E791">
            <v>5127.8612680189999</v>
          </cell>
          <cell r="F791" t="str">
            <v>EMIL</v>
          </cell>
          <cell r="G791">
            <v>5127.1223</v>
          </cell>
          <cell r="H791" t="str">
            <v>-</v>
          </cell>
          <cell r="I791" t="str">
            <v>-</v>
          </cell>
          <cell r="J791">
            <v>5127.4917840095004</v>
          </cell>
          <cell r="K791" t="str">
            <v>Small Cap</v>
          </cell>
        </row>
        <row r="792">
          <cell r="C792" t="str">
            <v>INE877F01012</v>
          </cell>
          <cell r="D792" t="str">
            <v>PTC</v>
          </cell>
          <cell r="E792">
            <v>5094.9844934029998</v>
          </cell>
          <cell r="F792" t="str">
            <v>PTC</v>
          </cell>
          <cell r="G792">
            <v>5094.8434999999999</v>
          </cell>
          <cell r="H792" t="str">
            <v>-</v>
          </cell>
          <cell r="I792" t="str">
            <v>-</v>
          </cell>
          <cell r="J792">
            <v>5094.9139967014999</v>
          </cell>
          <cell r="K792" t="str">
            <v>Small Cap</v>
          </cell>
        </row>
        <row r="793">
          <cell r="C793" t="str">
            <v>INE450U01017</v>
          </cell>
          <cell r="D793" t="str">
            <v>ROUTE</v>
          </cell>
          <cell r="E793">
            <v>5081.5174590349998</v>
          </cell>
          <cell r="F793" t="str">
            <v>ROUTE</v>
          </cell>
          <cell r="G793">
            <v>5080.6374999999998</v>
          </cell>
          <cell r="H793" t="str">
            <v>-</v>
          </cell>
          <cell r="I793" t="str">
            <v>-</v>
          </cell>
          <cell r="J793">
            <v>5081.0774795175003</v>
          </cell>
          <cell r="K793" t="str">
            <v>Small Cap</v>
          </cell>
        </row>
        <row r="794">
          <cell r="C794" t="str">
            <v>INE353K01014</v>
          </cell>
          <cell r="D794" t="str">
            <v>ITDC</v>
          </cell>
          <cell r="E794">
            <v>5048.8429593809997</v>
          </cell>
          <cell r="F794" t="str">
            <v>ITDC</v>
          </cell>
          <cell r="G794">
            <v>5047.8014999999996</v>
          </cell>
          <cell r="H794" t="str">
            <v>-</v>
          </cell>
          <cell r="I794" t="str">
            <v>-</v>
          </cell>
          <cell r="J794">
            <v>5048.3222296904996</v>
          </cell>
          <cell r="K794" t="str">
            <v>Small Cap</v>
          </cell>
        </row>
        <row r="795">
          <cell r="C795" t="str">
            <v>INE411H01032</v>
          </cell>
          <cell r="D795" t="str">
            <v>RSYSTEMS</v>
          </cell>
          <cell r="E795">
            <v>5046.7204066059994</v>
          </cell>
          <cell r="F795" t="str">
            <v>RSYSTEMS</v>
          </cell>
          <cell r="G795">
            <v>5047.0082000000002</v>
          </cell>
          <cell r="H795" t="str">
            <v>-</v>
          </cell>
          <cell r="I795" t="str">
            <v>-</v>
          </cell>
          <cell r="J795">
            <v>5046.8643033030003</v>
          </cell>
          <cell r="K795" t="str">
            <v>Small Cap</v>
          </cell>
        </row>
        <row r="796">
          <cell r="C796" t="str">
            <v>INE07K301024</v>
          </cell>
          <cell r="D796" t="str">
            <v>ZAGGLE</v>
          </cell>
          <cell r="E796">
            <v>5042.3038678290004</v>
          </cell>
          <cell r="F796" t="str">
            <v>ZAGGLE</v>
          </cell>
          <cell r="G796">
            <v>5040.6081999999997</v>
          </cell>
          <cell r="H796" t="str">
            <v>-</v>
          </cell>
          <cell r="I796" t="str">
            <v>-</v>
          </cell>
          <cell r="J796">
            <v>5041.4560339145</v>
          </cell>
          <cell r="K796" t="str">
            <v>Small Cap</v>
          </cell>
        </row>
        <row r="797">
          <cell r="C797" t="str">
            <v>INE036B01030</v>
          </cell>
          <cell r="D797" t="str">
            <v>GAEL</v>
          </cell>
          <cell r="E797">
            <v>5031.7263475</v>
          </cell>
          <cell r="F797" t="str">
            <v>GAEL</v>
          </cell>
          <cell r="G797">
            <v>5031.8537999999999</v>
          </cell>
          <cell r="H797" t="str">
            <v>-</v>
          </cell>
          <cell r="I797" t="str">
            <v>-</v>
          </cell>
          <cell r="J797">
            <v>5031.7900737500004</v>
          </cell>
          <cell r="K797" t="str">
            <v>Small Cap</v>
          </cell>
        </row>
        <row r="798">
          <cell r="C798" t="str">
            <v>INE285J01028</v>
          </cell>
          <cell r="D798" t="str">
            <v>SIS</v>
          </cell>
          <cell r="E798">
            <v>4983.7469253079998</v>
          </cell>
          <cell r="F798" t="str">
            <v>SIS</v>
          </cell>
          <cell r="G798">
            <v>4987.3987999999999</v>
          </cell>
          <cell r="H798" t="str">
            <v>-</v>
          </cell>
          <cell r="I798" t="str">
            <v>-</v>
          </cell>
          <cell r="J798">
            <v>4985.5728626540003</v>
          </cell>
          <cell r="K798" t="str">
            <v>Small Cap</v>
          </cell>
        </row>
        <row r="799">
          <cell r="C799" t="str">
            <v>INE807F01027</v>
          </cell>
          <cell r="D799" t="str">
            <v>SEQUENT</v>
          </cell>
          <cell r="E799">
            <v>4985.6679171559999</v>
          </cell>
          <cell r="F799" t="str">
            <v>SEQUENT</v>
          </cell>
          <cell r="G799">
            <v>4974.9872999999998</v>
          </cell>
          <cell r="H799" t="str">
            <v>-</v>
          </cell>
          <cell r="I799" t="str">
            <v>-</v>
          </cell>
          <cell r="J799">
            <v>4980.3276085779999</v>
          </cell>
          <cell r="K799" t="str">
            <v>Small Cap</v>
          </cell>
        </row>
        <row r="800">
          <cell r="C800" t="str">
            <v>INE111Q01021</v>
          </cell>
          <cell r="D800" t="str">
            <v>PDSL</v>
          </cell>
          <cell r="E800">
            <v>4964.1602720820001</v>
          </cell>
          <cell r="F800" t="str">
            <v>PDSL</v>
          </cell>
          <cell r="G800">
            <v>4962.1145999999999</v>
          </cell>
          <cell r="H800" t="str">
            <v>-</v>
          </cell>
          <cell r="I800" t="str">
            <v>-</v>
          </cell>
          <cell r="J800">
            <v>4963.137436041</v>
          </cell>
          <cell r="K800" t="str">
            <v>Small Cap</v>
          </cell>
        </row>
        <row r="801">
          <cell r="C801" t="str">
            <v>INE294B01019</v>
          </cell>
          <cell r="D801" t="str">
            <v>SMLMAH</v>
          </cell>
          <cell r="E801">
            <v>4950.1763992050001</v>
          </cell>
          <cell r="F801" t="str">
            <v>SMLMAH</v>
          </cell>
          <cell r="G801">
            <v>4948.6895999999997</v>
          </cell>
          <cell r="H801" t="str">
            <v>-</v>
          </cell>
          <cell r="I801" t="str">
            <v>-</v>
          </cell>
          <cell r="J801">
            <v>4949.4329996024999</v>
          </cell>
          <cell r="K801" t="str">
            <v>Small Cap</v>
          </cell>
        </row>
        <row r="802">
          <cell r="C802" t="str">
            <v>INE549A01026</v>
          </cell>
          <cell r="D802" t="str">
            <v>HCC</v>
          </cell>
          <cell r="E802">
            <v>4947.9446701919996</v>
          </cell>
          <cell r="F802" t="str">
            <v>HCC</v>
          </cell>
          <cell r="G802">
            <v>4947.1010999999999</v>
          </cell>
          <cell r="H802" t="str">
            <v>-</v>
          </cell>
          <cell r="I802" t="str">
            <v>-</v>
          </cell>
          <cell r="J802">
            <v>4947.5228850959993</v>
          </cell>
          <cell r="K802" t="str">
            <v>Small Cap</v>
          </cell>
        </row>
        <row r="803">
          <cell r="C803" t="str">
            <v>INE010601016</v>
          </cell>
          <cell r="D803" t="str">
            <v>ENTERO</v>
          </cell>
          <cell r="E803">
            <v>4936.0087811499998</v>
          </cell>
          <cell r="F803" t="str">
            <v>ENTERO</v>
          </cell>
          <cell r="G803">
            <v>4936.17</v>
          </cell>
          <cell r="H803" t="str">
            <v>-</v>
          </cell>
          <cell r="I803" t="str">
            <v>-</v>
          </cell>
          <cell r="J803">
            <v>4936.0893905749999</v>
          </cell>
          <cell r="K803" t="str">
            <v>Small Cap</v>
          </cell>
        </row>
        <row r="804">
          <cell r="C804" t="str">
            <v>INE366I01010</v>
          </cell>
          <cell r="D804" t="str">
            <v>VRLLOG</v>
          </cell>
          <cell r="E804">
            <v>4898.4960429019993</v>
          </cell>
          <cell r="F804" t="str">
            <v>VRLLOG</v>
          </cell>
          <cell r="G804">
            <v>4946.3978999999999</v>
          </cell>
          <cell r="H804" t="str">
            <v>-</v>
          </cell>
          <cell r="I804" t="str">
            <v>-</v>
          </cell>
          <cell r="J804">
            <v>4922.4469714509996</v>
          </cell>
          <cell r="K804" t="str">
            <v>Small Cap</v>
          </cell>
        </row>
        <row r="805">
          <cell r="C805" t="str">
            <v>INE947A01014</v>
          </cell>
          <cell r="D805" t="str">
            <v>SUNFLAG</v>
          </cell>
          <cell r="E805">
            <v>4918.6678908019994</v>
          </cell>
          <cell r="F805" t="str">
            <v>SUNFLAG</v>
          </cell>
          <cell r="G805">
            <v>4918.9324999999999</v>
          </cell>
          <cell r="H805" t="str">
            <v>-</v>
          </cell>
          <cell r="I805" t="str">
            <v>-</v>
          </cell>
          <cell r="J805">
            <v>4918.8001954009997</v>
          </cell>
          <cell r="K805" t="str">
            <v>Small Cap</v>
          </cell>
        </row>
        <row r="806">
          <cell r="C806" t="str">
            <v>INE483S01020</v>
          </cell>
          <cell r="D806" t="str">
            <v>INFIBEAM</v>
          </cell>
          <cell r="E806">
            <v>5050.1242236750004</v>
          </cell>
          <cell r="F806" t="str">
            <v>INFIBEAM</v>
          </cell>
          <cell r="G806">
            <v>4769.3001000000004</v>
          </cell>
          <cell r="H806" t="str">
            <v>-</v>
          </cell>
          <cell r="I806" t="str">
            <v>-</v>
          </cell>
          <cell r="J806">
            <v>4909.7121618375004</v>
          </cell>
          <cell r="K806" t="str">
            <v>Small Cap</v>
          </cell>
        </row>
        <row r="807">
          <cell r="C807" t="str">
            <v>INE024F01011</v>
          </cell>
          <cell r="D807" t="str">
            <v>SHILCTECH</v>
          </cell>
          <cell r="E807">
            <v>5261.6612235709999</v>
          </cell>
          <cell r="F807" t="str">
            <v>SHILCTECH</v>
          </cell>
          <cell r="G807">
            <v>4553.0640000000003</v>
          </cell>
          <cell r="H807" t="str">
            <v>-</v>
          </cell>
          <cell r="I807" t="str">
            <v>-</v>
          </cell>
          <cell r="J807">
            <v>4907.3626117855001</v>
          </cell>
          <cell r="K807" t="str">
            <v>Small Cap</v>
          </cell>
        </row>
        <row r="808">
          <cell r="C808" t="str">
            <v>INE277A01016</v>
          </cell>
          <cell r="D808" t="str">
            <v>SWARAJENG</v>
          </cell>
          <cell r="E808">
            <v>4900.8416510050001</v>
          </cell>
          <cell r="F808" t="str">
            <v>SWARAJENG</v>
          </cell>
          <cell r="G808">
            <v>4901.491</v>
          </cell>
          <cell r="H808" t="str">
            <v>-</v>
          </cell>
          <cell r="I808" t="str">
            <v>-</v>
          </cell>
          <cell r="J808">
            <v>4901.1663255024996</v>
          </cell>
          <cell r="K808" t="str">
            <v>Small Cap</v>
          </cell>
        </row>
        <row r="809">
          <cell r="C809" t="str">
            <v>INE953L01027</v>
          </cell>
          <cell r="D809" t="str">
            <v>JSFB</v>
          </cell>
          <cell r="E809">
            <v>4886.3177702379999</v>
          </cell>
          <cell r="F809" t="str">
            <v>JSFB</v>
          </cell>
          <cell r="G809">
            <v>4885.4758000000002</v>
          </cell>
          <cell r="H809" t="str">
            <v>-</v>
          </cell>
          <cell r="I809" t="str">
            <v>-</v>
          </cell>
          <cell r="J809">
            <v>4885.896785119</v>
          </cell>
          <cell r="K809" t="str">
            <v>Small Cap</v>
          </cell>
        </row>
        <row r="810">
          <cell r="C810" t="str">
            <v>INE576I01022</v>
          </cell>
          <cell r="D810" t="str">
            <v>JKIL</v>
          </cell>
          <cell r="E810">
            <v>4845.4628690690006</v>
          </cell>
          <cell r="F810" t="str">
            <v>JKIL</v>
          </cell>
          <cell r="G810">
            <v>4845.1836000000003</v>
          </cell>
          <cell r="H810" t="str">
            <v>-</v>
          </cell>
          <cell r="I810" t="str">
            <v>-</v>
          </cell>
          <cell r="J810">
            <v>4845.3232345345004</v>
          </cell>
          <cell r="K810" t="str">
            <v>Small Cap</v>
          </cell>
        </row>
        <row r="811">
          <cell r="C811" t="str">
            <v>INE752H01013</v>
          </cell>
          <cell r="D811" t="str">
            <v>CARERATING</v>
          </cell>
          <cell r="E811">
            <v>4836.4304176610003</v>
          </cell>
          <cell r="F811" t="str">
            <v>CARERATING</v>
          </cell>
          <cell r="G811">
            <v>4834.8706000000002</v>
          </cell>
          <cell r="H811" t="str">
            <v>-</v>
          </cell>
          <cell r="I811" t="str">
            <v>-</v>
          </cell>
          <cell r="J811">
            <v>4835.6505088305003</v>
          </cell>
          <cell r="K811" t="str">
            <v>Small Cap</v>
          </cell>
        </row>
        <row r="812">
          <cell r="C812" t="str">
            <v>INE0XAD01024</v>
          </cell>
          <cell r="D812" t="str">
            <v>MIDWESTLTD</v>
          </cell>
          <cell r="E812">
            <v>4818.5518326499996</v>
          </cell>
          <cell r="F812" t="str">
            <v>MIDWESTLTD</v>
          </cell>
          <cell r="G812">
            <v>4819.3981000000003</v>
          </cell>
          <cell r="H812" t="str">
            <v>-</v>
          </cell>
          <cell r="I812" t="str">
            <v>-</v>
          </cell>
          <cell r="J812">
            <v>4818.9749663250004</v>
          </cell>
          <cell r="K812" t="str">
            <v>Small Cap</v>
          </cell>
        </row>
        <row r="813">
          <cell r="C813" t="str">
            <v>INE294Z01018</v>
          </cell>
          <cell r="D813" t="str">
            <v>ANUP</v>
          </cell>
          <cell r="E813">
            <v>4809.7953929309997</v>
          </cell>
          <cell r="F813" t="str">
            <v>ANUP</v>
          </cell>
          <cell r="G813">
            <v>4809.9687000000004</v>
          </cell>
          <cell r="H813" t="str">
            <v>-</v>
          </cell>
          <cell r="I813" t="str">
            <v>-</v>
          </cell>
          <cell r="J813">
            <v>4809.8820464655</v>
          </cell>
          <cell r="K813" t="str">
            <v>Small Cap</v>
          </cell>
        </row>
        <row r="814">
          <cell r="C814" t="str">
            <v>INE224A01026</v>
          </cell>
          <cell r="D814" t="str">
            <v>GREAVESCOT</v>
          </cell>
          <cell r="E814">
            <v>4808.7611245540002</v>
          </cell>
          <cell r="F814" t="str">
            <v>GREAVESCOT</v>
          </cell>
          <cell r="G814">
            <v>4808.6678000000002</v>
          </cell>
          <cell r="H814" t="str">
            <v>-</v>
          </cell>
          <cell r="I814" t="str">
            <v>-</v>
          </cell>
          <cell r="J814">
            <v>4808.7144622770002</v>
          </cell>
          <cell r="K814" t="str">
            <v>Small Cap</v>
          </cell>
        </row>
        <row r="815">
          <cell r="C815" t="str">
            <v>INE717A01029</v>
          </cell>
          <cell r="D815" t="str">
            <v>KENNAMET</v>
          </cell>
          <cell r="E815">
            <v>4802.8402479239994</v>
          </cell>
          <cell r="F815" t="str">
            <v>-</v>
          </cell>
          <cell r="G815" t="str">
            <v>-</v>
          </cell>
          <cell r="H815" t="str">
            <v>-</v>
          </cell>
          <cell r="I815" t="str">
            <v>-</v>
          </cell>
          <cell r="J815">
            <v>4802.8402479239994</v>
          </cell>
          <cell r="K815" t="str">
            <v>Small Cap</v>
          </cell>
        </row>
        <row r="816">
          <cell r="C816" t="str">
            <v>INE495B01038</v>
          </cell>
          <cell r="D816" t="str">
            <v>SUVEN</v>
          </cell>
          <cell r="E816">
            <v>4816.8681049030001</v>
          </cell>
          <cell r="F816" t="str">
            <v>SUVEN</v>
          </cell>
          <cell r="G816">
            <v>4779.9492</v>
          </cell>
          <cell r="H816" t="str">
            <v>-</v>
          </cell>
          <cell r="I816" t="str">
            <v>-</v>
          </cell>
          <cell r="J816">
            <v>4798.4086524515005</v>
          </cell>
          <cell r="K816" t="str">
            <v>Small Cap</v>
          </cell>
        </row>
        <row r="817">
          <cell r="C817" t="str">
            <v>INE01IU01018</v>
          </cell>
          <cell r="D817" t="str">
            <v>SKYGOLD</v>
          </cell>
          <cell r="E817">
            <v>4795.4005948679996</v>
          </cell>
          <cell r="F817" t="str">
            <v>SKYGOLD</v>
          </cell>
          <cell r="G817">
            <v>4769.1949000000004</v>
          </cell>
          <cell r="H817" t="str">
            <v>-</v>
          </cell>
          <cell r="I817" t="str">
            <v>-</v>
          </cell>
          <cell r="J817">
            <v>4782.2977474340005</v>
          </cell>
          <cell r="K817" t="str">
            <v>Small Cap</v>
          </cell>
        </row>
        <row r="818">
          <cell r="C818" t="str">
            <v>INE056I01025</v>
          </cell>
          <cell r="D818" t="str">
            <v>REFEX</v>
          </cell>
          <cell r="E818">
            <v>4787.731332454</v>
          </cell>
          <cell r="F818" t="str">
            <v>REFEX</v>
          </cell>
          <cell r="G818">
            <v>4768.9251000000004</v>
          </cell>
          <cell r="H818" t="str">
            <v>-</v>
          </cell>
          <cell r="I818" t="str">
            <v>-</v>
          </cell>
          <cell r="J818">
            <v>4778.3282162270007</v>
          </cell>
          <cell r="K818" t="str">
            <v>Small Cap</v>
          </cell>
        </row>
        <row r="819">
          <cell r="C819" t="str">
            <v>INE337A01034</v>
          </cell>
          <cell r="D819" t="str">
            <v>LGBBROSLTD</v>
          </cell>
          <cell r="E819">
            <v>4769.2032787890003</v>
          </cell>
          <cell r="F819" t="str">
            <v>LGBBROSLTD</v>
          </cell>
          <cell r="G819">
            <v>4770.4296000000004</v>
          </cell>
          <cell r="H819" t="str">
            <v>-</v>
          </cell>
          <cell r="I819" t="str">
            <v>-</v>
          </cell>
          <cell r="J819">
            <v>4769.8164393945008</v>
          </cell>
          <cell r="K819" t="str">
            <v>Small Cap</v>
          </cell>
        </row>
        <row r="820">
          <cell r="C820" t="str">
            <v>INE0EK901012</v>
          </cell>
          <cell r="D820" t="str">
            <v>TARC</v>
          </cell>
          <cell r="E820">
            <v>4765.2437219929998</v>
          </cell>
          <cell r="F820" t="str">
            <v>TARC</v>
          </cell>
          <cell r="G820">
            <v>4765.5106999999998</v>
          </cell>
          <cell r="H820" t="str">
            <v>-</v>
          </cell>
          <cell r="I820" t="str">
            <v>-</v>
          </cell>
          <cell r="J820">
            <v>4765.3772109964993</v>
          </cell>
          <cell r="K820" t="str">
            <v>Small Cap</v>
          </cell>
        </row>
        <row r="821">
          <cell r="C821" t="str">
            <v>INE342G01023</v>
          </cell>
          <cell r="D821" t="str">
            <v>NIITMTS</v>
          </cell>
          <cell r="E821">
            <v>4751.3280928900003</v>
          </cell>
          <cell r="F821" t="str">
            <v>NIITMTS</v>
          </cell>
          <cell r="G821">
            <v>4745.5222999999996</v>
          </cell>
          <cell r="H821" t="str">
            <v>-</v>
          </cell>
          <cell r="I821" t="str">
            <v>-</v>
          </cell>
          <cell r="J821">
            <v>4748.4251964449995</v>
          </cell>
          <cell r="K821" t="str">
            <v>Small Cap</v>
          </cell>
        </row>
        <row r="822">
          <cell r="C822" t="str">
            <v>INE950I01011</v>
          </cell>
          <cell r="D822" t="str">
            <v>DBCORP</v>
          </cell>
          <cell r="E822">
            <v>4737.1980353870003</v>
          </cell>
          <cell r="F822" t="str">
            <v>DBCORP</v>
          </cell>
          <cell r="G822">
            <v>4735.5614999999998</v>
          </cell>
          <cell r="H822" t="str">
            <v>-</v>
          </cell>
          <cell r="I822" t="str">
            <v>-</v>
          </cell>
          <cell r="J822">
            <v>4736.3797676935001</v>
          </cell>
          <cell r="K822" t="str">
            <v>Small Cap</v>
          </cell>
        </row>
        <row r="823">
          <cell r="C823" t="str">
            <v>INE0DUT01020</v>
          </cell>
          <cell r="D823" t="str">
            <v>INNOVACAP</v>
          </cell>
          <cell r="E823">
            <v>4719.7758940889998</v>
          </cell>
          <cell r="F823" t="str">
            <v>INNOVACAP</v>
          </cell>
          <cell r="G823">
            <v>4721.5448999999999</v>
          </cell>
          <cell r="H823" t="str">
            <v>-</v>
          </cell>
          <cell r="I823" t="str">
            <v>-</v>
          </cell>
          <cell r="J823">
            <v>4720.6603970444994</v>
          </cell>
          <cell r="K823" t="str">
            <v>Small Cap</v>
          </cell>
        </row>
        <row r="824">
          <cell r="C824" t="str">
            <v>INE439N01031</v>
          </cell>
          <cell r="D824" t="str">
            <v>BPAGRI</v>
          </cell>
          <cell r="E824">
            <v>4703.2637968250001</v>
          </cell>
          <cell r="F824" t="str">
            <v>-</v>
          </cell>
          <cell r="G824" t="str">
            <v>-</v>
          </cell>
          <cell r="H824" t="str">
            <v>-</v>
          </cell>
          <cell r="I824" t="str">
            <v>-</v>
          </cell>
          <cell r="J824">
            <v>4703.2637968250001</v>
          </cell>
          <cell r="K824" t="str">
            <v>Small Cap</v>
          </cell>
        </row>
        <row r="825">
          <cell r="C825" t="str">
            <v>INE428V01029</v>
          </cell>
          <cell r="D825" t="str">
            <v>NEPHROPLUS</v>
          </cell>
          <cell r="E825">
            <v>4677.3825229550002</v>
          </cell>
          <cell r="F825" t="str">
            <v>NEPHROPLUS</v>
          </cell>
          <cell r="G825">
            <v>4675.3756999999996</v>
          </cell>
          <cell r="H825" t="str">
            <v>-</v>
          </cell>
          <cell r="I825" t="str">
            <v>-</v>
          </cell>
          <cell r="J825">
            <v>4676.3791114774995</v>
          </cell>
          <cell r="K825" t="str">
            <v>Small Cap</v>
          </cell>
        </row>
        <row r="826">
          <cell r="C826" t="str">
            <v>INE910A01012</v>
          </cell>
          <cell r="D826" t="str">
            <v>NIRLON</v>
          </cell>
          <cell r="E826">
            <v>4671.9087275730008</v>
          </cell>
          <cell r="F826" t="str">
            <v>-</v>
          </cell>
          <cell r="G826" t="str">
            <v>-</v>
          </cell>
          <cell r="H826" t="str">
            <v>-</v>
          </cell>
          <cell r="I826" t="str">
            <v>-</v>
          </cell>
          <cell r="J826">
            <v>4671.9087275730008</v>
          </cell>
          <cell r="K826" t="str">
            <v>Small Cap</v>
          </cell>
        </row>
        <row r="827">
          <cell r="C827" t="str">
            <v>INE867C01010</v>
          </cell>
          <cell r="D827" t="str">
            <v>ASMTEC</v>
          </cell>
          <cell r="E827">
            <v>4666.5324146209996</v>
          </cell>
          <cell r="F827" t="str">
            <v>-</v>
          </cell>
          <cell r="G827" t="str">
            <v>-</v>
          </cell>
          <cell r="H827" t="str">
            <v>-</v>
          </cell>
          <cell r="I827" t="str">
            <v>-</v>
          </cell>
          <cell r="J827">
            <v>4666.5324146209996</v>
          </cell>
          <cell r="K827" t="str">
            <v>Small Cap</v>
          </cell>
        </row>
        <row r="828">
          <cell r="C828" t="str">
            <v>INE503A01015</v>
          </cell>
          <cell r="D828" t="str">
            <v>DCBBANK</v>
          </cell>
          <cell r="E828">
            <v>4660.9577005780002</v>
          </cell>
          <cell r="F828" t="str">
            <v>DCBBANK</v>
          </cell>
          <cell r="G828">
            <v>4637.8105999999998</v>
          </cell>
          <cell r="H828" t="str">
            <v>-</v>
          </cell>
          <cell r="I828" t="str">
            <v>-</v>
          </cell>
          <cell r="J828">
            <v>4649.384150289</v>
          </cell>
          <cell r="K828" t="str">
            <v>Small Cap</v>
          </cell>
        </row>
        <row r="829">
          <cell r="C829" t="str">
            <v>INE050E01027</v>
          </cell>
          <cell r="D829" t="str">
            <v>BALAMINES</v>
          </cell>
          <cell r="E829">
            <v>4645.3352272620004</v>
          </cell>
          <cell r="F829" t="str">
            <v>BALAMINES</v>
          </cell>
          <cell r="G829">
            <v>4644.7861999999996</v>
          </cell>
          <cell r="H829" t="str">
            <v>-</v>
          </cell>
          <cell r="I829" t="str">
            <v>-</v>
          </cell>
          <cell r="J829">
            <v>4645.060713631</v>
          </cell>
          <cell r="K829" t="str">
            <v>Small Cap</v>
          </cell>
        </row>
        <row r="830">
          <cell r="C830" t="str">
            <v>INE284S01014</v>
          </cell>
          <cell r="D830" t="str">
            <v>SJS</v>
          </cell>
          <cell r="E830">
            <v>4658.3392959390003</v>
          </cell>
          <cell r="F830" t="str">
            <v>SJS</v>
          </cell>
          <cell r="G830">
            <v>4631.4508999999998</v>
          </cell>
          <cell r="H830" t="str">
            <v>-</v>
          </cell>
          <cell r="I830" t="str">
            <v>-</v>
          </cell>
          <cell r="J830">
            <v>4644.8950979695001</v>
          </cell>
          <cell r="K830" t="str">
            <v>Small Cap</v>
          </cell>
        </row>
        <row r="831">
          <cell r="C831" t="str">
            <v>INE295D01020</v>
          </cell>
          <cell r="D831" t="str">
            <v>NACLIND</v>
          </cell>
          <cell r="E831">
            <v>4642.9565795099998</v>
          </cell>
          <cell r="F831" t="str">
            <v>NACLIND</v>
          </cell>
          <cell r="G831">
            <v>4641.12</v>
          </cell>
          <cell r="H831" t="str">
            <v>-</v>
          </cell>
          <cell r="I831" t="str">
            <v>-</v>
          </cell>
          <cell r="J831">
            <v>4642.0382897549998</v>
          </cell>
          <cell r="K831" t="str">
            <v>Small Cap</v>
          </cell>
        </row>
        <row r="832">
          <cell r="C832" t="str">
            <v>INE675C01017</v>
          </cell>
          <cell r="D832" t="str">
            <v>CIGNITITEC</v>
          </cell>
          <cell r="E832">
            <v>4639.2801700649998</v>
          </cell>
          <cell r="F832" t="str">
            <v>CIGNITITEC</v>
          </cell>
          <cell r="G832">
            <v>4639.3775999999998</v>
          </cell>
          <cell r="H832" t="str">
            <v>-</v>
          </cell>
          <cell r="I832" t="str">
            <v>-</v>
          </cell>
          <cell r="J832">
            <v>4639.3288850324998</v>
          </cell>
          <cell r="K832" t="str">
            <v>Small Cap</v>
          </cell>
        </row>
        <row r="833">
          <cell r="C833" t="str">
            <v>INE979B01015</v>
          </cell>
          <cell r="D833" t="str">
            <v>HAWKINCOOK</v>
          </cell>
          <cell r="E833">
            <v>4608.955448105</v>
          </cell>
          <cell r="F833" t="str">
            <v>-</v>
          </cell>
          <cell r="G833" t="str">
            <v>-</v>
          </cell>
          <cell r="H833" t="str">
            <v>-</v>
          </cell>
          <cell r="I833" t="str">
            <v>-</v>
          </cell>
          <cell r="J833">
            <v>4608.955448105</v>
          </cell>
          <cell r="K833" t="str">
            <v>Small Cap</v>
          </cell>
        </row>
        <row r="834">
          <cell r="C834" t="str">
            <v>INE782A01015</v>
          </cell>
          <cell r="D834" t="str">
            <v>BOSCH-HCIL</v>
          </cell>
          <cell r="E834">
            <v>4605.778599497</v>
          </cell>
          <cell r="F834" t="str">
            <v>BOSCH-HCIL</v>
          </cell>
          <cell r="G834">
            <v>4605.9610000000002</v>
          </cell>
          <cell r="H834" t="str">
            <v>-</v>
          </cell>
          <cell r="I834" t="str">
            <v>-</v>
          </cell>
          <cell r="J834">
            <v>4605.8697997484996</v>
          </cell>
          <cell r="K834" t="str">
            <v>Small Cap</v>
          </cell>
        </row>
        <row r="835">
          <cell r="C835" t="str">
            <v>INE870D01012</v>
          </cell>
          <cell r="D835" t="str">
            <v>NFL</v>
          </cell>
          <cell r="E835">
            <v>4598.2380649520001</v>
          </cell>
          <cell r="F835" t="str">
            <v>NFL</v>
          </cell>
          <cell r="G835">
            <v>4598.5963000000002</v>
          </cell>
          <cell r="H835" t="str">
            <v>-</v>
          </cell>
          <cell r="I835" t="str">
            <v>-</v>
          </cell>
          <cell r="J835">
            <v>4598.4171824759997</v>
          </cell>
          <cell r="K835" t="str">
            <v>Small Cap</v>
          </cell>
        </row>
        <row r="836">
          <cell r="C836" t="str">
            <v>INE232I01014</v>
          </cell>
          <cell r="D836" t="str">
            <v>SPARC</v>
          </cell>
          <cell r="E836">
            <v>4597.5565752639995</v>
          </cell>
          <cell r="F836" t="str">
            <v>SPARC</v>
          </cell>
          <cell r="G836">
            <v>4596.5748999999996</v>
          </cell>
          <cell r="H836" t="str">
            <v>-</v>
          </cell>
          <cell r="I836" t="str">
            <v>-</v>
          </cell>
          <cell r="J836">
            <v>4597.0657376319996</v>
          </cell>
          <cell r="K836" t="str">
            <v>Small Cap</v>
          </cell>
        </row>
        <row r="837">
          <cell r="C837" t="str">
            <v>INE06ST01018</v>
          </cell>
          <cell r="D837" t="str">
            <v>INDIQUBE</v>
          </cell>
          <cell r="E837">
            <v>4593.7617024740002</v>
          </cell>
          <cell r="F837" t="str">
            <v>INDIQUBE</v>
          </cell>
          <cell r="G837">
            <v>4594.5517</v>
          </cell>
          <cell r="H837" t="str">
            <v>-</v>
          </cell>
          <cell r="I837" t="str">
            <v>-</v>
          </cell>
          <cell r="J837">
            <v>4594.1567012369997</v>
          </cell>
          <cell r="K837" t="str">
            <v>Small Cap</v>
          </cell>
        </row>
        <row r="838">
          <cell r="C838" t="str">
            <v>INE459A01010</v>
          </cell>
          <cell r="D838" t="str">
            <v>BANARISUG</v>
          </cell>
          <cell r="E838">
            <v>4576.6476486789998</v>
          </cell>
          <cell r="F838" t="str">
            <v>BANARISUG</v>
          </cell>
          <cell r="G838">
            <v>4582.0810000000001</v>
          </cell>
          <cell r="H838" t="str">
            <v>-</v>
          </cell>
          <cell r="I838" t="str">
            <v>-</v>
          </cell>
          <cell r="J838">
            <v>4579.3643243394999</v>
          </cell>
          <cell r="K838" t="str">
            <v>Small Cap</v>
          </cell>
        </row>
        <row r="839">
          <cell r="C839" t="str">
            <v>INE1B6101010</v>
          </cell>
          <cell r="D839" t="str">
            <v>SHREEJISPG</v>
          </cell>
          <cell r="E839">
            <v>4577.8156750389999</v>
          </cell>
          <cell r="F839" t="str">
            <v>SHREEJISPG</v>
          </cell>
          <cell r="G839">
            <v>4578.5423000000001</v>
          </cell>
          <cell r="H839" t="str">
            <v>-</v>
          </cell>
          <cell r="I839" t="str">
            <v>-</v>
          </cell>
          <cell r="J839">
            <v>4578.1789875195</v>
          </cell>
          <cell r="K839" t="str">
            <v>Small Cap</v>
          </cell>
        </row>
        <row r="840">
          <cell r="C840" t="str">
            <v>INE341O01029</v>
          </cell>
          <cell r="D840" t="str">
            <v>-</v>
          </cell>
          <cell r="E840" t="str">
            <v>-</v>
          </cell>
          <cell r="F840" t="str">
            <v>-</v>
          </cell>
          <cell r="G840" t="str">
            <v>-</v>
          </cell>
          <cell r="H840" t="str">
            <v>SITAL</v>
          </cell>
          <cell r="I840">
            <v>4565.7406584821429</v>
          </cell>
          <cell r="J840">
            <v>4565.7406584821429</v>
          </cell>
          <cell r="K840" t="str">
            <v>Small Cap</v>
          </cell>
        </row>
        <row r="841">
          <cell r="C841" t="str">
            <v>INE764D01017</v>
          </cell>
          <cell r="D841" t="str">
            <v>VSTTILLERS</v>
          </cell>
          <cell r="E841">
            <v>4549.385865577</v>
          </cell>
          <cell r="F841" t="str">
            <v>VSTTILLERS</v>
          </cell>
          <cell r="G841">
            <v>4549.6077999999998</v>
          </cell>
          <cell r="H841" t="str">
            <v>-</v>
          </cell>
          <cell r="I841" t="str">
            <v>-</v>
          </cell>
          <cell r="J841">
            <v>4549.4968327884999</v>
          </cell>
          <cell r="K841" t="str">
            <v>Small Cap</v>
          </cell>
        </row>
        <row r="842">
          <cell r="C842" t="str">
            <v>INE681B01017</v>
          </cell>
          <cell r="D842" t="str">
            <v>INDRAMEDCO</v>
          </cell>
          <cell r="E842">
            <v>4544.3579336109997</v>
          </cell>
          <cell r="F842" t="str">
            <v>INDRAMEDCO</v>
          </cell>
          <cell r="G842">
            <v>4544.0924000000005</v>
          </cell>
          <cell r="H842" t="str">
            <v>-</v>
          </cell>
          <cell r="I842" t="str">
            <v>-</v>
          </cell>
          <cell r="J842">
            <v>4544.2251668054996</v>
          </cell>
          <cell r="K842" t="str">
            <v>Small Cap</v>
          </cell>
        </row>
        <row r="843">
          <cell r="C843" t="str">
            <v>INE0S3G01027</v>
          </cell>
          <cell r="D843" t="str">
            <v>PACEDIGITK</v>
          </cell>
          <cell r="E843">
            <v>4536.3135006209995</v>
          </cell>
          <cell r="F843" t="str">
            <v>PACEDIGITK</v>
          </cell>
          <cell r="G843">
            <v>4536.3423000000003</v>
          </cell>
          <cell r="H843" t="str">
            <v>-</v>
          </cell>
          <cell r="I843" t="str">
            <v>-</v>
          </cell>
          <cell r="J843">
            <v>4536.3279003104999</v>
          </cell>
          <cell r="K843" t="str">
            <v>Small Cap</v>
          </cell>
        </row>
        <row r="844">
          <cell r="C844" t="str">
            <v>INE710A01016</v>
          </cell>
          <cell r="D844" t="str">
            <v>VSTIND</v>
          </cell>
          <cell r="E844">
            <v>4536.4512735489998</v>
          </cell>
          <cell r="F844" t="str">
            <v>VSTIND</v>
          </cell>
          <cell r="G844">
            <v>4536.1547</v>
          </cell>
          <cell r="H844" t="str">
            <v>-</v>
          </cell>
          <cell r="I844" t="str">
            <v>-</v>
          </cell>
          <cell r="J844">
            <v>4536.3029867744999</v>
          </cell>
          <cell r="K844" t="str">
            <v>Small Cap</v>
          </cell>
        </row>
        <row r="845">
          <cell r="C845" t="str">
            <v>INE855B01025</v>
          </cell>
          <cell r="D845" t="str">
            <v>RAIN</v>
          </cell>
          <cell r="E845">
            <v>4526.0649929749998</v>
          </cell>
          <cell r="F845" t="str">
            <v>RAIN</v>
          </cell>
          <cell r="G845">
            <v>4525.6886000000004</v>
          </cell>
          <cell r="H845" t="str">
            <v>-</v>
          </cell>
          <cell r="I845" t="str">
            <v>-</v>
          </cell>
          <cell r="J845">
            <v>4525.8767964875005</v>
          </cell>
          <cell r="K845" t="str">
            <v>Small Cap</v>
          </cell>
        </row>
        <row r="846">
          <cell r="C846" t="str">
            <v>INE08U801020</v>
          </cell>
          <cell r="D846" t="str">
            <v>SAMHI</v>
          </cell>
          <cell r="E846">
            <v>4524.7367679819999</v>
          </cell>
          <cell r="F846" t="str">
            <v>SAMHI</v>
          </cell>
          <cell r="G846">
            <v>4524.7473</v>
          </cell>
          <cell r="H846" t="str">
            <v>-</v>
          </cell>
          <cell r="I846" t="str">
            <v>-</v>
          </cell>
          <cell r="J846">
            <v>4524.7420339910004</v>
          </cell>
          <cell r="K846" t="str">
            <v>Small Cap</v>
          </cell>
        </row>
        <row r="847">
          <cell r="C847" t="str">
            <v>INE0Q8P01029</v>
          </cell>
          <cell r="D847" t="str">
            <v>BONDADA</v>
          </cell>
          <cell r="E847">
            <v>4521.1498861720002</v>
          </cell>
          <cell r="F847" t="str">
            <v>-</v>
          </cell>
          <cell r="G847" t="str">
            <v>-</v>
          </cell>
          <cell r="H847" t="str">
            <v>-</v>
          </cell>
          <cell r="I847" t="str">
            <v>-</v>
          </cell>
          <cell r="J847">
            <v>4521.1498861720002</v>
          </cell>
          <cell r="K847" t="str">
            <v>Small Cap</v>
          </cell>
        </row>
        <row r="848">
          <cell r="C848" t="str">
            <v>INE578A01017</v>
          </cell>
          <cell r="D848" t="str">
            <v>HEIDELBERG</v>
          </cell>
          <cell r="E848">
            <v>4516.0217133529995</v>
          </cell>
          <cell r="F848" t="str">
            <v>HEIDELBERG</v>
          </cell>
          <cell r="G848">
            <v>4516.8580000000002</v>
          </cell>
          <cell r="H848" t="str">
            <v>-</v>
          </cell>
          <cell r="I848" t="str">
            <v>-</v>
          </cell>
          <cell r="J848">
            <v>4516.4398566764994</v>
          </cell>
          <cell r="K848" t="str">
            <v>Small Cap</v>
          </cell>
        </row>
        <row r="849">
          <cell r="C849" t="str">
            <v>INE0AG901020</v>
          </cell>
          <cell r="D849" t="str">
            <v>CEIGALL</v>
          </cell>
          <cell r="E849">
            <v>4466.9029774749997</v>
          </cell>
          <cell r="F849" t="str">
            <v>CEIGALL</v>
          </cell>
          <cell r="G849">
            <v>4466.6208999999999</v>
          </cell>
          <cell r="H849" t="str">
            <v>-</v>
          </cell>
          <cell r="I849" t="str">
            <v>-</v>
          </cell>
          <cell r="J849">
            <v>4466.7619387374998</v>
          </cell>
          <cell r="K849" t="str">
            <v>Small Cap</v>
          </cell>
        </row>
        <row r="850">
          <cell r="C850" t="str">
            <v>INE972A01020</v>
          </cell>
          <cell r="D850" t="str">
            <v>KOTIC</v>
          </cell>
          <cell r="E850">
            <v>4463.5895514449994</v>
          </cell>
          <cell r="F850" t="str">
            <v>-</v>
          </cell>
          <cell r="G850" t="str">
            <v>-</v>
          </cell>
          <cell r="H850" t="str">
            <v>-</v>
          </cell>
          <cell r="I850" t="str">
            <v>-</v>
          </cell>
          <cell r="J850">
            <v>4463.5895514449994</v>
          </cell>
          <cell r="K850" t="str">
            <v>Small Cap</v>
          </cell>
        </row>
        <row r="851">
          <cell r="C851" t="str">
            <v>INE978A01027</v>
          </cell>
          <cell r="D851" t="str">
            <v>HERITGFOOD</v>
          </cell>
          <cell r="E851">
            <v>4444.2397947620002</v>
          </cell>
          <cell r="F851" t="str">
            <v>HERITGFOOD</v>
          </cell>
          <cell r="G851">
            <v>4444.4827999999998</v>
          </cell>
          <cell r="H851" t="str">
            <v>-</v>
          </cell>
          <cell r="I851" t="str">
            <v>-</v>
          </cell>
          <cell r="J851">
            <v>4444.3612973809995</v>
          </cell>
          <cell r="K851" t="str">
            <v>Small Cap</v>
          </cell>
        </row>
        <row r="852">
          <cell r="C852" t="str">
            <v>INE189B01011</v>
          </cell>
          <cell r="D852" t="str">
            <v>STYRENIX</v>
          </cell>
          <cell r="E852">
            <v>4425.442768676</v>
          </cell>
          <cell r="F852" t="str">
            <v>STYRENIX</v>
          </cell>
          <cell r="G852">
            <v>4426.6576999999997</v>
          </cell>
          <cell r="H852" t="str">
            <v>-</v>
          </cell>
          <cell r="I852" t="str">
            <v>-</v>
          </cell>
          <cell r="J852">
            <v>4426.0502343379994</v>
          </cell>
          <cell r="K852" t="str">
            <v>Small Cap</v>
          </cell>
        </row>
        <row r="853">
          <cell r="C853" t="str">
            <v>INE285B01017</v>
          </cell>
          <cell r="D853" t="str">
            <v>SPICEJET</v>
          </cell>
          <cell r="E853">
            <v>4417.4220814769997</v>
          </cell>
          <cell r="F853" t="str">
            <v>-</v>
          </cell>
          <cell r="G853" t="str">
            <v>-</v>
          </cell>
          <cell r="H853" t="str">
            <v>-</v>
          </cell>
          <cell r="I853" t="str">
            <v>-</v>
          </cell>
          <cell r="J853">
            <v>4417.4220814769997</v>
          </cell>
          <cell r="K853" t="str">
            <v>Small Cap</v>
          </cell>
        </row>
        <row r="854">
          <cell r="C854" t="str">
            <v>INE838B01021</v>
          </cell>
          <cell r="D854" t="str">
            <v>BHARATRAS</v>
          </cell>
          <cell r="E854">
            <v>4410.5237511919995</v>
          </cell>
          <cell r="F854" t="str">
            <v>BHARATRAS</v>
          </cell>
          <cell r="G854">
            <v>4320.4926999999998</v>
          </cell>
          <cell r="H854" t="str">
            <v>-</v>
          </cell>
          <cell r="I854" t="str">
            <v>-</v>
          </cell>
          <cell r="J854">
            <v>4365.5082255959996</v>
          </cell>
          <cell r="K854" t="str">
            <v>Small Cap</v>
          </cell>
        </row>
        <row r="855">
          <cell r="C855" t="str">
            <v>INE876N01018</v>
          </cell>
          <cell r="D855" t="str">
            <v>ORIENTCEM</v>
          </cell>
          <cell r="E855">
            <v>4358.2360243169996</v>
          </cell>
          <cell r="F855" t="str">
            <v>ORIENTCEM</v>
          </cell>
          <cell r="G855">
            <v>4358.0909000000001</v>
          </cell>
          <cell r="H855" t="str">
            <v>-</v>
          </cell>
          <cell r="I855" t="str">
            <v>-</v>
          </cell>
          <cell r="J855">
            <v>4358.1634621584999</v>
          </cell>
          <cell r="K855" t="str">
            <v>Small Cap</v>
          </cell>
        </row>
        <row r="856">
          <cell r="C856" t="str">
            <v>INE767A01016</v>
          </cell>
          <cell r="D856" t="str">
            <v>AARTIDRUGS</v>
          </cell>
          <cell r="E856">
            <v>4349.1350202379999</v>
          </cell>
          <cell r="F856" t="str">
            <v>AARTIDRUGS</v>
          </cell>
          <cell r="G856">
            <v>4350.1129000000001</v>
          </cell>
          <cell r="H856" t="str">
            <v>-</v>
          </cell>
          <cell r="I856" t="str">
            <v>-</v>
          </cell>
          <cell r="J856">
            <v>4349.623960119</v>
          </cell>
          <cell r="K856" t="str">
            <v>Small Cap</v>
          </cell>
        </row>
        <row r="857">
          <cell r="C857" t="str">
            <v>INE942C01045</v>
          </cell>
          <cell r="D857" t="str">
            <v>GUJTHEM</v>
          </cell>
          <cell r="E857">
            <v>4349.633937693</v>
          </cell>
          <cell r="F857" t="str">
            <v>GUJTHEM</v>
          </cell>
          <cell r="G857">
            <v>4347.1648999999998</v>
          </cell>
          <cell r="H857" t="str">
            <v>-</v>
          </cell>
          <cell r="I857" t="str">
            <v>-</v>
          </cell>
          <cell r="J857">
            <v>4348.3994188465003</v>
          </cell>
          <cell r="K857" t="str">
            <v>Small Cap</v>
          </cell>
        </row>
        <row r="858">
          <cell r="C858" t="str">
            <v>INE142Z01019</v>
          </cell>
          <cell r="D858" t="str">
            <v>ORIENTELEC</v>
          </cell>
          <cell r="E858">
            <v>4348.2530843069999</v>
          </cell>
          <cell r="F858" t="str">
            <v>ORIENTELEC</v>
          </cell>
          <cell r="G858">
            <v>4347.4859999999999</v>
          </cell>
          <cell r="H858" t="str">
            <v>-</v>
          </cell>
          <cell r="I858" t="str">
            <v>-</v>
          </cell>
          <cell r="J858">
            <v>4347.8695421534994</v>
          </cell>
          <cell r="K858" t="str">
            <v>Small Cap</v>
          </cell>
        </row>
        <row r="859">
          <cell r="C859" t="str">
            <v>INE0L9R01028</v>
          </cell>
          <cell r="D859" t="str">
            <v>GOPAL</v>
          </cell>
          <cell r="E859">
            <v>4337.6191521910005</v>
          </cell>
          <cell r="F859" t="str">
            <v>GOPAL</v>
          </cell>
          <cell r="G859">
            <v>4337.9159</v>
          </cell>
          <cell r="H859" t="str">
            <v>-</v>
          </cell>
          <cell r="I859" t="str">
            <v>-</v>
          </cell>
          <cell r="J859">
            <v>4337.7675260955002</v>
          </cell>
          <cell r="K859" t="str">
            <v>Small Cap</v>
          </cell>
        </row>
        <row r="860">
          <cell r="C860" t="str">
            <v>INE07T201019</v>
          </cell>
          <cell r="D860" t="str">
            <v>RBA</v>
          </cell>
          <cell r="E860">
            <v>4316.7585318050005</v>
          </cell>
          <cell r="F860" t="str">
            <v>RBA</v>
          </cell>
          <cell r="G860">
            <v>4315.4059999999999</v>
          </cell>
          <cell r="H860" t="str">
            <v>-</v>
          </cell>
          <cell r="I860" t="str">
            <v>-</v>
          </cell>
          <cell r="J860">
            <v>4316.0822659024998</v>
          </cell>
          <cell r="K860" t="str">
            <v>Small Cap</v>
          </cell>
        </row>
        <row r="861">
          <cell r="C861" t="str">
            <v>INE385F01024</v>
          </cell>
          <cell r="D861" t="str">
            <v>SGMART</v>
          </cell>
          <cell r="E861">
            <v>4137.1383481349994</v>
          </cell>
          <cell r="F861" t="str">
            <v>SGMART</v>
          </cell>
          <cell r="G861">
            <v>4464.9528</v>
          </cell>
          <cell r="H861" t="str">
            <v>-</v>
          </cell>
          <cell r="I861" t="str">
            <v>-</v>
          </cell>
          <cell r="J861">
            <v>4301.0455740674997</v>
          </cell>
          <cell r="K861" t="str">
            <v>Small Cap</v>
          </cell>
        </row>
        <row r="862">
          <cell r="C862" t="str">
            <v>INE162B01018</v>
          </cell>
          <cell r="D862" t="str">
            <v>LUMAXIND</v>
          </cell>
          <cell r="E862">
            <v>4280.74082473</v>
          </cell>
          <cell r="F862" t="str">
            <v>LUMAXIND</v>
          </cell>
          <cell r="G862">
            <v>4281.2960999999996</v>
          </cell>
          <cell r="H862" t="str">
            <v>-</v>
          </cell>
          <cell r="I862" t="str">
            <v>-</v>
          </cell>
          <cell r="J862">
            <v>4281.0184623650002</v>
          </cell>
          <cell r="K862" t="str">
            <v>Small Cap</v>
          </cell>
        </row>
        <row r="863">
          <cell r="C863" t="str">
            <v>INE358U01012</v>
          </cell>
          <cell r="D863" t="str">
            <v>-</v>
          </cell>
          <cell r="E863" t="str">
            <v>-</v>
          </cell>
          <cell r="F863" t="str">
            <v>ZOTA</v>
          </cell>
          <cell r="G863">
            <v>4272.2052999999996</v>
          </cell>
          <cell r="H863" t="str">
            <v>-</v>
          </cell>
          <cell r="I863" t="str">
            <v>-</v>
          </cell>
          <cell r="J863">
            <v>4272.2052999999996</v>
          </cell>
          <cell r="K863" t="str">
            <v>Small Cap</v>
          </cell>
        </row>
        <row r="864">
          <cell r="C864" t="str">
            <v>INE639B01015</v>
          </cell>
          <cell r="D864" t="str">
            <v>TANFACIND</v>
          </cell>
          <cell r="E864">
            <v>4266.9669583330005</v>
          </cell>
          <cell r="F864" t="str">
            <v>-</v>
          </cell>
          <cell r="G864" t="str">
            <v>-</v>
          </cell>
          <cell r="H864" t="str">
            <v>-</v>
          </cell>
          <cell r="I864" t="str">
            <v>-</v>
          </cell>
          <cell r="J864">
            <v>4266.9669583330005</v>
          </cell>
          <cell r="K864" t="str">
            <v>Small Cap</v>
          </cell>
        </row>
        <row r="865">
          <cell r="C865" t="str">
            <v>INE005B01027</v>
          </cell>
          <cell r="D865" t="str">
            <v>AVANTEL</v>
          </cell>
          <cell r="E865">
            <v>4252.3840781870003</v>
          </cell>
          <cell r="F865" t="str">
            <v>AVANTEL</v>
          </cell>
          <cell r="G865">
            <v>4252.2480999999998</v>
          </cell>
          <cell r="H865" t="str">
            <v>-</v>
          </cell>
          <cell r="I865" t="str">
            <v>-</v>
          </cell>
          <cell r="J865">
            <v>4252.3160890934996</v>
          </cell>
          <cell r="K865" t="str">
            <v>Small Cap</v>
          </cell>
        </row>
        <row r="866">
          <cell r="C866" t="str">
            <v>INE0LGX01024</v>
          </cell>
          <cell r="D866" t="str">
            <v>INA</v>
          </cell>
          <cell r="E866">
            <v>4222.4913031400001</v>
          </cell>
          <cell r="F866" t="str">
            <v>-</v>
          </cell>
          <cell r="G866" t="str">
            <v>-</v>
          </cell>
          <cell r="H866" t="str">
            <v>-</v>
          </cell>
          <cell r="I866" t="str">
            <v>-</v>
          </cell>
          <cell r="J866">
            <v>4222.4913031400001</v>
          </cell>
          <cell r="K866" t="str">
            <v>Small Cap</v>
          </cell>
        </row>
        <row r="867">
          <cell r="C867" t="str">
            <v>INE0LLY01014</v>
          </cell>
          <cell r="D867" t="str">
            <v>EIEL</v>
          </cell>
          <cell r="E867">
            <v>4220.96712381</v>
          </cell>
          <cell r="F867" t="str">
            <v>EIEL</v>
          </cell>
          <cell r="G867">
            <v>4221.4575000000004</v>
          </cell>
          <cell r="H867" t="str">
            <v>-</v>
          </cell>
          <cell r="I867" t="str">
            <v>-</v>
          </cell>
          <cell r="J867">
            <v>4221.2123119050002</v>
          </cell>
          <cell r="K867" t="str">
            <v>Small Cap</v>
          </cell>
        </row>
        <row r="868">
          <cell r="C868" t="str">
            <v>INE703H01016</v>
          </cell>
          <cell r="D868" t="str">
            <v>HUBTOWN</v>
          </cell>
          <cell r="E868">
            <v>4231.3256103910007</v>
          </cell>
          <cell r="F868" t="str">
            <v>HUBTOWN</v>
          </cell>
          <cell r="G868">
            <v>4207.5907999999999</v>
          </cell>
          <cell r="H868" t="str">
            <v>-</v>
          </cell>
          <cell r="I868" t="str">
            <v>-</v>
          </cell>
          <cell r="J868">
            <v>4219.4582051955003</v>
          </cell>
          <cell r="K868" t="str">
            <v>Small Cap</v>
          </cell>
        </row>
        <row r="869">
          <cell r="C869" t="str">
            <v>INE602G01020</v>
          </cell>
          <cell r="D869" t="str">
            <v>KITEX</v>
          </cell>
          <cell r="E869">
            <v>4184.6312500000004</v>
          </cell>
          <cell r="F869" t="str">
            <v>KITEX</v>
          </cell>
          <cell r="G869">
            <v>4183.0146999999997</v>
          </cell>
          <cell r="H869" t="str">
            <v>-</v>
          </cell>
          <cell r="I869" t="str">
            <v>-</v>
          </cell>
          <cell r="J869">
            <v>4183.822975</v>
          </cell>
          <cell r="K869" t="str">
            <v>Small Cap</v>
          </cell>
        </row>
        <row r="870">
          <cell r="C870" t="str">
            <v>INE765D01022</v>
          </cell>
          <cell r="D870" t="str">
            <v>WPIL</v>
          </cell>
          <cell r="E870">
            <v>4173.5740554599997</v>
          </cell>
          <cell r="F870" t="str">
            <v>-</v>
          </cell>
          <cell r="G870" t="str">
            <v>-</v>
          </cell>
          <cell r="H870" t="str">
            <v>-</v>
          </cell>
          <cell r="I870" t="str">
            <v>-</v>
          </cell>
          <cell r="J870">
            <v>4173.5740554599997</v>
          </cell>
          <cell r="K870" t="str">
            <v>Small Cap</v>
          </cell>
        </row>
        <row r="871">
          <cell r="C871" t="str">
            <v>INE1SY401010</v>
          </cell>
          <cell r="D871" t="str">
            <v>RAYMONDREL</v>
          </cell>
          <cell r="E871">
            <v>4168.7994825550004</v>
          </cell>
          <cell r="F871" t="str">
            <v>RAYMONDREL</v>
          </cell>
          <cell r="G871">
            <v>4168.8576000000003</v>
          </cell>
          <cell r="H871" t="str">
            <v>-</v>
          </cell>
          <cell r="I871" t="str">
            <v>-</v>
          </cell>
          <cell r="J871">
            <v>4168.8285412775003</v>
          </cell>
          <cell r="K871" t="str">
            <v>Small Cap</v>
          </cell>
        </row>
        <row r="872">
          <cell r="C872" t="str">
            <v>INE0JPD01013</v>
          </cell>
          <cell r="D872" t="str">
            <v>SANATHAN</v>
          </cell>
          <cell r="E872">
            <v>4153.5505383290001</v>
          </cell>
          <cell r="F872" t="str">
            <v>SANATHAN</v>
          </cell>
          <cell r="G872">
            <v>4153.5137000000004</v>
          </cell>
          <cell r="H872" t="str">
            <v>-</v>
          </cell>
          <cell r="I872" t="str">
            <v>-</v>
          </cell>
          <cell r="J872">
            <v>4153.5321191644998</v>
          </cell>
          <cell r="K872" t="str">
            <v>Small Cap</v>
          </cell>
        </row>
        <row r="873">
          <cell r="C873" t="str">
            <v>INE850M01015</v>
          </cell>
          <cell r="D873" t="str">
            <v>NORTHARC</v>
          </cell>
          <cell r="E873">
            <v>4152.8393218000001</v>
          </cell>
          <cell r="F873" t="str">
            <v>NORTHARC</v>
          </cell>
          <cell r="G873">
            <v>4151.3123999999998</v>
          </cell>
          <cell r="H873" t="str">
            <v>-</v>
          </cell>
          <cell r="I873" t="str">
            <v>-</v>
          </cell>
          <cell r="J873">
            <v>4152.0758609000004</v>
          </cell>
          <cell r="K873" t="str">
            <v>Small Cap</v>
          </cell>
        </row>
        <row r="874">
          <cell r="C874" t="str">
            <v>INE039C01032</v>
          </cell>
          <cell r="D874" t="str">
            <v>JAMNAAUTO</v>
          </cell>
          <cell r="E874">
            <v>4137.5797328010003</v>
          </cell>
          <cell r="F874" t="str">
            <v>JAMNAAUTO</v>
          </cell>
          <cell r="G874">
            <v>4137.4911000000002</v>
          </cell>
          <cell r="H874" t="str">
            <v>-</v>
          </cell>
          <cell r="I874" t="str">
            <v>-</v>
          </cell>
          <cell r="J874">
            <v>4137.5354164005003</v>
          </cell>
          <cell r="K874" t="str">
            <v>Small Cap</v>
          </cell>
        </row>
        <row r="875">
          <cell r="C875" t="str">
            <v>INE186A01019</v>
          </cell>
          <cell r="D875" t="str">
            <v>GUJALKALI</v>
          </cell>
          <cell r="E875">
            <v>4116.5157415309995</v>
          </cell>
          <cell r="F875" t="str">
            <v>GUJALKALI</v>
          </cell>
          <cell r="G875">
            <v>4117.2412000000004</v>
          </cell>
          <cell r="H875" t="str">
            <v>-</v>
          </cell>
          <cell r="I875" t="str">
            <v>-</v>
          </cell>
          <cell r="J875">
            <v>4116.8784707654995</v>
          </cell>
          <cell r="K875" t="str">
            <v>Small Cap</v>
          </cell>
        </row>
        <row r="876">
          <cell r="C876" t="str">
            <v>INE108V01019</v>
          </cell>
          <cell r="D876" t="str">
            <v>AWFIS</v>
          </cell>
          <cell r="E876">
            <v>4104.3512609939999</v>
          </cell>
          <cell r="F876" t="str">
            <v>AWFIS</v>
          </cell>
          <cell r="G876">
            <v>4103.2111999999997</v>
          </cell>
          <cell r="H876" t="str">
            <v>-</v>
          </cell>
          <cell r="I876" t="str">
            <v>-</v>
          </cell>
          <cell r="J876">
            <v>4103.7812304969993</v>
          </cell>
          <cell r="K876" t="str">
            <v>Small Cap</v>
          </cell>
        </row>
        <row r="877">
          <cell r="C877" t="str">
            <v>INE385W01011</v>
          </cell>
          <cell r="D877" t="str">
            <v>DCAL</v>
          </cell>
          <cell r="E877">
            <v>4100.4627600809999</v>
          </cell>
          <cell r="F877" t="str">
            <v>DCAL</v>
          </cell>
          <cell r="G877">
            <v>4104.4744000000001</v>
          </cell>
          <cell r="H877" t="str">
            <v>-</v>
          </cell>
          <cell r="I877" t="str">
            <v>-</v>
          </cell>
          <cell r="J877">
            <v>4102.4685800405005</v>
          </cell>
          <cell r="K877" t="str">
            <v>Small Cap</v>
          </cell>
        </row>
        <row r="878">
          <cell r="C878" t="str">
            <v>INE025B01025</v>
          </cell>
          <cell r="D878" t="str">
            <v>GOLDIAM</v>
          </cell>
          <cell r="E878">
            <v>4091.2702811449999</v>
          </cell>
          <cell r="F878" t="str">
            <v>GOLDIAM</v>
          </cell>
          <cell r="G878">
            <v>4080.2152999999998</v>
          </cell>
          <cell r="H878" t="str">
            <v>-</v>
          </cell>
          <cell r="I878" t="str">
            <v>-</v>
          </cell>
          <cell r="J878">
            <v>4085.7427905724999</v>
          </cell>
          <cell r="K878" t="str">
            <v>Small Cap</v>
          </cell>
        </row>
        <row r="879">
          <cell r="C879" t="str">
            <v>INE935B01025</v>
          </cell>
          <cell r="D879" t="str">
            <v>MOSCHIP</v>
          </cell>
          <cell r="E879">
            <v>4087.9354557290003</v>
          </cell>
          <cell r="F879" t="str">
            <v>MOSCHIP</v>
          </cell>
          <cell r="G879">
            <v>4082.3625999999999</v>
          </cell>
          <cell r="H879" t="str">
            <v>-</v>
          </cell>
          <cell r="I879" t="str">
            <v>-</v>
          </cell>
          <cell r="J879">
            <v>4085.1490278645001</v>
          </cell>
          <cell r="K879" t="str">
            <v>Small Cap</v>
          </cell>
        </row>
        <row r="880">
          <cell r="C880" t="str">
            <v>INE874I01013</v>
          </cell>
          <cell r="D880" t="str">
            <v>RAMKY</v>
          </cell>
          <cell r="E880">
            <v>4080.8216486290003</v>
          </cell>
          <cell r="F880" t="str">
            <v>RAMKY</v>
          </cell>
          <cell r="G880">
            <v>4081.3296</v>
          </cell>
          <cell r="H880" t="str">
            <v>-</v>
          </cell>
          <cell r="I880" t="str">
            <v>-</v>
          </cell>
          <cell r="J880">
            <v>4081.0756243145001</v>
          </cell>
          <cell r="K880" t="str">
            <v>Small Cap</v>
          </cell>
        </row>
        <row r="881">
          <cell r="C881" t="str">
            <v>INE643A01035</v>
          </cell>
          <cell r="D881" t="str">
            <v>JTEKTINDIA</v>
          </cell>
          <cell r="E881">
            <v>4071.3322592629997</v>
          </cell>
          <cell r="F881" t="str">
            <v>JTEKTINDIA</v>
          </cell>
          <cell r="G881">
            <v>4072.8274000000001</v>
          </cell>
          <cell r="H881" t="str">
            <v>-</v>
          </cell>
          <cell r="I881" t="str">
            <v>-</v>
          </cell>
          <cell r="J881">
            <v>4072.0798296314997</v>
          </cell>
          <cell r="K881" t="str">
            <v>Small Cap</v>
          </cell>
        </row>
        <row r="882">
          <cell r="C882" t="str">
            <v>INE0AJG01018</v>
          </cell>
          <cell r="D882" t="str">
            <v>HEMIPROP</v>
          </cell>
          <cell r="E882">
            <v>4072.0732142860002</v>
          </cell>
          <cell r="F882" t="str">
            <v>HEMIPROP</v>
          </cell>
          <cell r="G882">
            <v>4071.7181</v>
          </cell>
          <cell r="H882" t="str">
            <v>-</v>
          </cell>
          <cell r="I882" t="str">
            <v>-</v>
          </cell>
          <cell r="J882">
            <v>4071.8956571429999</v>
          </cell>
          <cell r="K882" t="str">
            <v>Small Cap</v>
          </cell>
        </row>
        <row r="883">
          <cell r="C883" t="str">
            <v>INE111B01023</v>
          </cell>
          <cell r="D883" t="str">
            <v>63MOONS</v>
          </cell>
          <cell r="E883">
            <v>4050.6800760550004</v>
          </cell>
          <cell r="F883" t="str">
            <v>63MOONS</v>
          </cell>
          <cell r="G883">
            <v>4050.7312999999999</v>
          </cell>
          <cell r="H883" t="str">
            <v>-</v>
          </cell>
          <cell r="I883" t="str">
            <v>-</v>
          </cell>
          <cell r="J883">
            <v>4050.7056880275004</v>
          </cell>
          <cell r="K883" t="str">
            <v>Small Cap</v>
          </cell>
        </row>
        <row r="884">
          <cell r="C884" t="str">
            <v>INE266D01021</v>
          </cell>
          <cell r="D884" t="str">
            <v>GRAUWEIL</v>
          </cell>
          <cell r="E884">
            <v>4036.53186379</v>
          </cell>
          <cell r="F884" t="str">
            <v>-</v>
          </cell>
          <cell r="G884" t="str">
            <v>-</v>
          </cell>
          <cell r="H884" t="str">
            <v>-</v>
          </cell>
          <cell r="I884" t="str">
            <v>-</v>
          </cell>
          <cell r="J884">
            <v>4036.53186379</v>
          </cell>
          <cell r="K884" t="str">
            <v>Small Cap</v>
          </cell>
        </row>
        <row r="885">
          <cell r="C885" t="str">
            <v>INE182D01020</v>
          </cell>
          <cell r="D885" t="str">
            <v>MARATHON</v>
          </cell>
          <cell r="E885">
            <v>4116.8932207010002</v>
          </cell>
          <cell r="F885" t="str">
            <v>MARATHON</v>
          </cell>
          <cell r="G885">
            <v>3952.4151999999999</v>
          </cell>
          <cell r="H885" t="str">
            <v>-</v>
          </cell>
          <cell r="I885" t="str">
            <v>-</v>
          </cell>
          <cell r="J885">
            <v>4034.6542103504999</v>
          </cell>
          <cell r="K885" t="str">
            <v>Small Cap</v>
          </cell>
        </row>
        <row r="886">
          <cell r="C886" t="str">
            <v>INE250A01039</v>
          </cell>
          <cell r="D886" t="str">
            <v>KIRLOSIND</v>
          </cell>
          <cell r="E886">
            <v>4020.6210629620005</v>
          </cell>
          <cell r="F886" t="str">
            <v>KIRLOSIND</v>
          </cell>
          <cell r="G886">
            <v>4007.1324</v>
          </cell>
          <cell r="H886" t="str">
            <v>-</v>
          </cell>
          <cell r="I886" t="str">
            <v>-</v>
          </cell>
          <cell r="J886">
            <v>4013.8767314810002</v>
          </cell>
          <cell r="K886" t="str">
            <v>Small Cap</v>
          </cell>
        </row>
        <row r="887">
          <cell r="C887" t="str">
            <v>INE631A01022</v>
          </cell>
          <cell r="D887" t="str">
            <v>SHANTIGEAR</v>
          </cell>
          <cell r="E887">
            <v>3973.1870895870002</v>
          </cell>
          <cell r="F887" t="str">
            <v>SHANTIGEAR</v>
          </cell>
          <cell r="G887">
            <v>3972.5538999999999</v>
          </cell>
          <cell r="H887" t="str">
            <v>-</v>
          </cell>
          <cell r="I887" t="str">
            <v>-</v>
          </cell>
          <cell r="J887">
            <v>3972.8704947935003</v>
          </cell>
          <cell r="K887" t="str">
            <v>Small Cap</v>
          </cell>
        </row>
        <row r="888">
          <cell r="C888" t="str">
            <v>INE325D01025</v>
          </cell>
          <cell r="D888" t="str">
            <v>SINDHUTRAD</v>
          </cell>
          <cell r="E888">
            <v>3970.2585704900002</v>
          </cell>
          <cell r="F888" t="str">
            <v>SINDHUTRAD</v>
          </cell>
          <cell r="G888">
            <v>3969.6712000000002</v>
          </cell>
          <cell r="H888" t="str">
            <v>-</v>
          </cell>
          <cell r="I888" t="str">
            <v>-</v>
          </cell>
          <cell r="J888">
            <v>3969.964885245</v>
          </cell>
          <cell r="K888" t="str">
            <v>Small Cap</v>
          </cell>
        </row>
        <row r="889">
          <cell r="C889" t="str">
            <v>INE02PY01013</v>
          </cell>
          <cell r="D889" t="str">
            <v>BOROLTD</v>
          </cell>
          <cell r="E889">
            <v>3964.8520828739997</v>
          </cell>
          <cell r="F889" t="str">
            <v>BOROLTD</v>
          </cell>
          <cell r="G889">
            <v>3964.5189999999998</v>
          </cell>
          <cell r="H889" t="str">
            <v>-</v>
          </cell>
          <cell r="I889" t="str">
            <v>-</v>
          </cell>
          <cell r="J889">
            <v>3964.6855414369998</v>
          </cell>
          <cell r="K889" t="str">
            <v>Small Cap</v>
          </cell>
        </row>
        <row r="890">
          <cell r="C890" t="str">
            <v>INE052I01032</v>
          </cell>
          <cell r="D890" t="str">
            <v>CAMLINFINE</v>
          </cell>
          <cell r="E890">
            <v>3934.6031626399999</v>
          </cell>
          <cell r="F890" t="str">
            <v>CAMLINFINE</v>
          </cell>
          <cell r="G890">
            <v>3936.7453</v>
          </cell>
          <cell r="H890" t="str">
            <v>-</v>
          </cell>
          <cell r="I890" t="str">
            <v>-</v>
          </cell>
          <cell r="J890">
            <v>3935.6742313200002</v>
          </cell>
          <cell r="K890" t="str">
            <v>Small Cap</v>
          </cell>
        </row>
        <row r="891">
          <cell r="C891" t="str">
            <v>INE516A01017</v>
          </cell>
          <cell r="D891" t="str">
            <v>UFLEX</v>
          </cell>
          <cell r="E891">
            <v>3930.0298905660002</v>
          </cell>
          <cell r="F891" t="str">
            <v>UFLEX</v>
          </cell>
          <cell r="G891">
            <v>3929.6745999999998</v>
          </cell>
          <cell r="H891" t="str">
            <v>-</v>
          </cell>
          <cell r="I891" t="str">
            <v>-</v>
          </cell>
          <cell r="J891">
            <v>3929.8522452830002</v>
          </cell>
          <cell r="K891" t="str">
            <v>Small Cap</v>
          </cell>
        </row>
        <row r="892">
          <cell r="C892" t="str">
            <v>INE884A01027</v>
          </cell>
          <cell r="D892" t="str">
            <v>VAIBHAVGBL</v>
          </cell>
          <cell r="E892">
            <v>3930.7364538489996</v>
          </cell>
          <cell r="F892" t="str">
            <v>VAIBHAVGBL</v>
          </cell>
          <cell r="G892">
            <v>3927.9279000000001</v>
          </cell>
          <cell r="H892" t="str">
            <v>-</v>
          </cell>
          <cell r="I892" t="str">
            <v>-</v>
          </cell>
          <cell r="J892">
            <v>3929.3321769244999</v>
          </cell>
          <cell r="K892" t="str">
            <v>Small Cap</v>
          </cell>
        </row>
        <row r="893">
          <cell r="C893" t="str">
            <v>INE105J01010</v>
          </cell>
          <cell r="D893" t="str">
            <v>RPGLIFE</v>
          </cell>
          <cell r="E893">
            <v>3900.8953594510003</v>
          </cell>
          <cell r="F893" t="str">
            <v>RPGLIFE</v>
          </cell>
          <cell r="G893">
            <v>3902.3096999999998</v>
          </cell>
          <cell r="H893" t="str">
            <v>-</v>
          </cell>
          <cell r="I893" t="str">
            <v>-</v>
          </cell>
          <cell r="J893">
            <v>3901.6025297255001</v>
          </cell>
          <cell r="K893" t="str">
            <v>Small Cap</v>
          </cell>
        </row>
        <row r="894">
          <cell r="C894" t="str">
            <v>INE301A01014</v>
          </cell>
          <cell r="D894" t="str">
            <v>RAYMOND</v>
          </cell>
          <cell r="E894">
            <v>3882.4769611460001</v>
          </cell>
          <cell r="F894" t="str">
            <v>RAYMOND</v>
          </cell>
          <cell r="G894">
            <v>3882.0331000000001</v>
          </cell>
          <cell r="H894" t="str">
            <v>-</v>
          </cell>
          <cell r="I894" t="str">
            <v>-</v>
          </cell>
          <cell r="J894">
            <v>3882.2550305730001</v>
          </cell>
          <cell r="K894" t="str">
            <v>Small Cap</v>
          </cell>
        </row>
        <row r="895">
          <cell r="C895" t="str">
            <v>INE191A01027</v>
          </cell>
          <cell r="D895" t="str">
            <v>ORCHPHARMA</v>
          </cell>
          <cell r="E895">
            <v>3872.3915907730002</v>
          </cell>
          <cell r="F895" t="str">
            <v>ORCHPHARMA</v>
          </cell>
          <cell r="G895">
            <v>3873.5488999999998</v>
          </cell>
          <cell r="H895" t="str">
            <v>-</v>
          </cell>
          <cell r="I895" t="str">
            <v>-</v>
          </cell>
          <cell r="J895">
            <v>3872.9702453865002</v>
          </cell>
          <cell r="K895" t="str">
            <v>Small Cap</v>
          </cell>
        </row>
        <row r="896">
          <cell r="C896" t="str">
            <v>INE150G01020</v>
          </cell>
          <cell r="D896" t="str">
            <v>LUXIND</v>
          </cell>
          <cell r="E896">
            <v>3866.7826145540002</v>
          </cell>
          <cell r="F896" t="str">
            <v>LUXIND</v>
          </cell>
          <cell r="G896">
            <v>3868.4949999999999</v>
          </cell>
          <cell r="H896" t="str">
            <v>-</v>
          </cell>
          <cell r="I896" t="str">
            <v>-</v>
          </cell>
          <cell r="J896">
            <v>3867.6388072770001</v>
          </cell>
          <cell r="K896" t="str">
            <v>Small Cap</v>
          </cell>
        </row>
        <row r="897">
          <cell r="C897" t="str">
            <v>INE943D01017</v>
          </cell>
          <cell r="D897" t="str">
            <v>MPSLTD</v>
          </cell>
          <cell r="E897">
            <v>3862.6649897620005</v>
          </cell>
          <cell r="F897" t="str">
            <v>MPSLTD</v>
          </cell>
          <cell r="G897">
            <v>3864.2554</v>
          </cell>
          <cell r="H897" t="str">
            <v>-</v>
          </cell>
          <cell r="I897" t="str">
            <v>-</v>
          </cell>
          <cell r="J897">
            <v>3863.4601948810005</v>
          </cell>
          <cell r="K897" t="str">
            <v>Small Cap</v>
          </cell>
        </row>
        <row r="898">
          <cell r="C898" t="str">
            <v>INE613C01026</v>
          </cell>
          <cell r="D898" t="str">
            <v>MCLOUD</v>
          </cell>
          <cell r="E898">
            <v>3827.6210659660005</v>
          </cell>
          <cell r="F898" t="str">
            <v>MCLOUD</v>
          </cell>
          <cell r="G898">
            <v>3825.5803000000001</v>
          </cell>
          <cell r="H898" t="str">
            <v>-</v>
          </cell>
          <cell r="I898" t="str">
            <v>-</v>
          </cell>
          <cell r="J898">
            <v>3826.6006829830003</v>
          </cell>
          <cell r="K898" t="str">
            <v>Small Cap</v>
          </cell>
        </row>
        <row r="899">
          <cell r="C899" t="str">
            <v>INE0MWH01014</v>
          </cell>
          <cell r="D899" t="str">
            <v>TRUALT</v>
          </cell>
          <cell r="E899">
            <v>3821.9226918610002</v>
          </cell>
          <cell r="F899" t="str">
            <v>TRUALT</v>
          </cell>
          <cell r="G899">
            <v>3820.8964999999998</v>
          </cell>
          <cell r="H899" t="str">
            <v>-</v>
          </cell>
          <cell r="I899" t="str">
            <v>-</v>
          </cell>
          <cell r="J899">
            <v>3821.4095959305</v>
          </cell>
          <cell r="K899" t="str">
            <v>Small Cap</v>
          </cell>
        </row>
        <row r="900">
          <cell r="C900" t="str">
            <v>INE298G01027</v>
          </cell>
          <cell r="D900" t="str">
            <v>AJMERA</v>
          </cell>
          <cell r="E900">
            <v>3803.2071333499998</v>
          </cell>
          <cell r="F900" t="str">
            <v>AJMERA</v>
          </cell>
          <cell r="G900">
            <v>3803.5147999999999</v>
          </cell>
          <cell r="H900" t="str">
            <v>-</v>
          </cell>
          <cell r="I900" t="str">
            <v>-</v>
          </cell>
          <cell r="J900">
            <v>3803.3609666749999</v>
          </cell>
          <cell r="K900" t="str">
            <v>Small Cap</v>
          </cell>
        </row>
        <row r="901">
          <cell r="C901" t="str">
            <v>INE127I01024</v>
          </cell>
          <cell r="D901" t="str">
            <v>GOODLUCK</v>
          </cell>
          <cell r="E901">
            <v>3801.5740085790003</v>
          </cell>
          <cell r="F901" t="str">
            <v>GOODLUCK</v>
          </cell>
          <cell r="G901">
            <v>3801.9315000000001</v>
          </cell>
          <cell r="H901" t="str">
            <v>-</v>
          </cell>
          <cell r="I901" t="str">
            <v>-</v>
          </cell>
          <cell r="J901">
            <v>3801.7527542895004</v>
          </cell>
          <cell r="K901" t="str">
            <v>Small Cap</v>
          </cell>
        </row>
        <row r="902">
          <cell r="C902" t="str">
            <v>INE694D01016</v>
          </cell>
          <cell r="D902" t="str">
            <v>VADILALIND</v>
          </cell>
          <cell r="E902">
            <v>3796.5601791260001</v>
          </cell>
          <cell r="F902" t="str">
            <v>VADILALIND</v>
          </cell>
          <cell r="G902">
            <v>3797.69</v>
          </cell>
          <cell r="H902" t="str">
            <v>-</v>
          </cell>
          <cell r="I902" t="str">
            <v>-</v>
          </cell>
          <cell r="J902">
            <v>3797.1250895630001</v>
          </cell>
          <cell r="K902" t="str">
            <v>Small Cap</v>
          </cell>
        </row>
        <row r="903">
          <cell r="C903" t="str">
            <v>INE18JU01028</v>
          </cell>
          <cell r="D903" t="str">
            <v>EBGNG</v>
          </cell>
          <cell r="E903">
            <v>3783.1898774120004</v>
          </cell>
          <cell r="F903" t="str">
            <v>EBGNG</v>
          </cell>
          <cell r="G903">
            <v>3783.3506000000002</v>
          </cell>
          <cell r="H903" t="str">
            <v>-</v>
          </cell>
          <cell r="I903" t="str">
            <v>-</v>
          </cell>
          <cell r="J903">
            <v>3783.2702387060003</v>
          </cell>
          <cell r="K903" t="str">
            <v>Small Cap</v>
          </cell>
        </row>
        <row r="904">
          <cell r="C904" t="str">
            <v>INE615P01015</v>
          </cell>
          <cell r="D904" t="str">
            <v>QUESS</v>
          </cell>
          <cell r="E904">
            <v>3775.3156067769996</v>
          </cell>
          <cell r="F904" t="str">
            <v>QUESS</v>
          </cell>
          <cell r="G904">
            <v>3773.5275000000001</v>
          </cell>
          <cell r="H904" t="str">
            <v>-</v>
          </cell>
          <cell r="I904" t="str">
            <v>-</v>
          </cell>
          <cell r="J904">
            <v>3774.4215533884999</v>
          </cell>
          <cell r="K904" t="str">
            <v>Small Cap</v>
          </cell>
        </row>
        <row r="905">
          <cell r="C905" t="str">
            <v>INE066O01014</v>
          </cell>
          <cell r="D905" t="str">
            <v>WONDERLA</v>
          </cell>
          <cell r="E905">
            <v>3770.6169995139999</v>
          </cell>
          <cell r="F905" t="str">
            <v>WONDERLA</v>
          </cell>
          <cell r="G905">
            <v>3770.2833000000001</v>
          </cell>
          <cell r="H905" t="str">
            <v>-</v>
          </cell>
          <cell r="I905" t="str">
            <v>-</v>
          </cell>
          <cell r="J905">
            <v>3770.450149757</v>
          </cell>
          <cell r="K905" t="str">
            <v>Small Cap</v>
          </cell>
        </row>
        <row r="906">
          <cell r="C906" t="str">
            <v>INE558B01017</v>
          </cell>
          <cell r="D906" t="str">
            <v>MANGCHEFER</v>
          </cell>
          <cell r="E906">
            <v>3759.2112013390001</v>
          </cell>
          <cell r="F906" t="str">
            <v>-</v>
          </cell>
          <cell r="G906" t="str">
            <v>-</v>
          </cell>
          <cell r="H906" t="str">
            <v>-</v>
          </cell>
          <cell r="I906" t="str">
            <v>-</v>
          </cell>
          <cell r="J906">
            <v>3759.2112013390001</v>
          </cell>
          <cell r="K906" t="str">
            <v>Small Cap</v>
          </cell>
        </row>
        <row r="907">
          <cell r="C907" t="str">
            <v>INE461C01038</v>
          </cell>
          <cell r="D907" t="str">
            <v>GREENPLY</v>
          </cell>
          <cell r="E907">
            <v>3751.472822917</v>
          </cell>
          <cell r="F907" t="str">
            <v>GREENPLY</v>
          </cell>
          <cell r="G907">
            <v>3751.2739999999999</v>
          </cell>
          <cell r="H907" t="str">
            <v>-</v>
          </cell>
          <cell r="I907" t="str">
            <v>-</v>
          </cell>
          <cell r="J907">
            <v>3751.3734114585</v>
          </cell>
          <cell r="K907" t="str">
            <v>Small Cap</v>
          </cell>
        </row>
        <row r="908">
          <cell r="C908" t="str">
            <v>INE136S01016</v>
          </cell>
          <cell r="D908" t="str">
            <v>NEOGEN</v>
          </cell>
          <cell r="E908">
            <v>3704.868512517</v>
          </cell>
          <cell r="F908" t="str">
            <v>NEOGEN</v>
          </cell>
          <cell r="G908">
            <v>3705.4798999999998</v>
          </cell>
          <cell r="H908" t="str">
            <v>-</v>
          </cell>
          <cell r="I908" t="str">
            <v>-</v>
          </cell>
          <cell r="J908">
            <v>3705.1742062584999</v>
          </cell>
          <cell r="K908" t="str">
            <v>Small Cap</v>
          </cell>
        </row>
        <row r="909">
          <cell r="C909" t="str">
            <v>INE094I01018</v>
          </cell>
          <cell r="D909" t="str">
            <v>KOLTEPATIL</v>
          </cell>
          <cell r="E909">
            <v>3709.4929644800004</v>
          </cell>
          <cell r="F909" t="str">
            <v>KOLTEPATIL</v>
          </cell>
          <cell r="G909">
            <v>3687.5605</v>
          </cell>
          <cell r="H909" t="str">
            <v>-</v>
          </cell>
          <cell r="I909" t="str">
            <v>-</v>
          </cell>
          <cell r="J909">
            <v>3698.5267322400005</v>
          </cell>
          <cell r="K909" t="str">
            <v>Small Cap</v>
          </cell>
        </row>
        <row r="910">
          <cell r="C910" t="str">
            <v>INE00M901018</v>
          </cell>
          <cell r="D910" t="str">
            <v>INTERARCH</v>
          </cell>
          <cell r="E910">
            <v>3696.4302779769996</v>
          </cell>
          <cell r="F910" t="str">
            <v>INTERARCH</v>
          </cell>
          <cell r="G910">
            <v>3694.2910000000002</v>
          </cell>
          <cell r="H910" t="str">
            <v>-</v>
          </cell>
          <cell r="I910" t="str">
            <v>-</v>
          </cell>
          <cell r="J910">
            <v>3695.3606389884999</v>
          </cell>
          <cell r="K910" t="str">
            <v>Small Cap</v>
          </cell>
        </row>
        <row r="911">
          <cell r="C911" t="str">
            <v>INE372C01037</v>
          </cell>
          <cell r="D911" t="str">
            <v>PRECWIRE</v>
          </cell>
          <cell r="E911">
            <v>3695.9783966620003</v>
          </cell>
          <cell r="F911" t="str">
            <v>PRECWIRE</v>
          </cell>
          <cell r="G911">
            <v>3692.4375</v>
          </cell>
          <cell r="H911" t="str">
            <v>-</v>
          </cell>
          <cell r="I911" t="str">
            <v>-</v>
          </cell>
          <cell r="J911">
            <v>3694.2079483309999</v>
          </cell>
          <cell r="K911" t="str">
            <v>Small Cap</v>
          </cell>
        </row>
        <row r="912">
          <cell r="C912" t="str">
            <v>INE247D01039</v>
          </cell>
          <cell r="D912" t="str">
            <v>JINDWORLD</v>
          </cell>
          <cell r="E912">
            <v>3673.1597415400001</v>
          </cell>
          <cell r="F912" t="str">
            <v>JINDWORLD</v>
          </cell>
          <cell r="G912">
            <v>3673.2154</v>
          </cell>
          <cell r="H912" t="str">
            <v>-</v>
          </cell>
          <cell r="I912" t="str">
            <v>-</v>
          </cell>
          <cell r="J912">
            <v>3673.1875707700001</v>
          </cell>
          <cell r="K912" t="str">
            <v>Small Cap</v>
          </cell>
        </row>
        <row r="913">
          <cell r="C913" t="str">
            <v>INE542F01020</v>
          </cell>
          <cell r="D913" t="str">
            <v>SWANDEF</v>
          </cell>
          <cell r="E913">
            <v>3763.2427666129997</v>
          </cell>
          <cell r="F913" t="str">
            <v>SWANDEF</v>
          </cell>
          <cell r="G913">
            <v>3582.7231999999999</v>
          </cell>
          <cell r="H913" t="str">
            <v>-</v>
          </cell>
          <cell r="I913" t="str">
            <v>-</v>
          </cell>
          <cell r="J913">
            <v>3672.9829833064996</v>
          </cell>
          <cell r="K913" t="str">
            <v>Small Cap</v>
          </cell>
        </row>
        <row r="914">
          <cell r="C914" t="str">
            <v>INE900L01010</v>
          </cell>
          <cell r="D914" t="str">
            <v>-</v>
          </cell>
          <cell r="E914" t="str">
            <v>-</v>
          </cell>
          <cell r="F914" t="str">
            <v>MBAPL</v>
          </cell>
          <cell r="G914">
            <v>3668.3002000000001</v>
          </cell>
          <cell r="H914" t="str">
            <v>-</v>
          </cell>
          <cell r="I914" t="str">
            <v>-</v>
          </cell>
          <cell r="J914">
            <v>3668.3002000000001</v>
          </cell>
          <cell r="K914" t="str">
            <v>Small Cap</v>
          </cell>
        </row>
        <row r="915">
          <cell r="C915" t="str">
            <v>INE549H01021</v>
          </cell>
          <cell r="D915" t="str">
            <v>ARSSBL</v>
          </cell>
          <cell r="E915">
            <v>3667.754451667</v>
          </cell>
          <cell r="F915" t="str">
            <v>ARSSBL</v>
          </cell>
          <cell r="G915">
            <v>3667.9535999999998</v>
          </cell>
          <cell r="H915" t="str">
            <v>-</v>
          </cell>
          <cell r="I915" t="str">
            <v>-</v>
          </cell>
          <cell r="J915">
            <v>3667.8540258334997</v>
          </cell>
          <cell r="K915" t="str">
            <v>Small Cap</v>
          </cell>
        </row>
        <row r="916">
          <cell r="C916" t="str">
            <v>INE456Z01021</v>
          </cell>
          <cell r="D916" t="str">
            <v>MEDIASSIST</v>
          </cell>
          <cell r="E916">
            <v>3677.122084397</v>
          </cell>
          <cell r="F916" t="str">
            <v>MEDIASSIST</v>
          </cell>
          <cell r="G916">
            <v>3649.7062000000001</v>
          </cell>
          <cell r="H916" t="str">
            <v>-</v>
          </cell>
          <cell r="I916" t="str">
            <v>-</v>
          </cell>
          <cell r="J916">
            <v>3663.4141421985</v>
          </cell>
          <cell r="K916" t="str">
            <v>Small Cap</v>
          </cell>
        </row>
        <row r="917">
          <cell r="C917" t="str">
            <v>INE052V01019</v>
          </cell>
          <cell r="D917" t="str">
            <v>CIANAGRO</v>
          </cell>
          <cell r="E917">
            <v>3662.7583999559997</v>
          </cell>
          <cell r="F917" t="str">
            <v>-</v>
          </cell>
          <cell r="G917" t="str">
            <v>-</v>
          </cell>
          <cell r="H917" t="str">
            <v>-</v>
          </cell>
          <cell r="I917" t="str">
            <v>-</v>
          </cell>
          <cell r="J917">
            <v>3662.7583999559997</v>
          </cell>
          <cell r="K917" t="str">
            <v>Small Cap</v>
          </cell>
        </row>
        <row r="918">
          <cell r="C918" t="str">
            <v>INE0FFK01017</v>
          </cell>
          <cell r="D918" t="str">
            <v>NPST</v>
          </cell>
          <cell r="E918">
            <v>3669.5825798589995</v>
          </cell>
          <cell r="F918" t="str">
            <v>NPST</v>
          </cell>
          <cell r="G918">
            <v>3648.8728000000001</v>
          </cell>
          <cell r="H918" t="str">
            <v>-</v>
          </cell>
          <cell r="I918" t="str">
            <v>-</v>
          </cell>
          <cell r="J918">
            <v>3659.2276899294998</v>
          </cell>
          <cell r="K918" t="str">
            <v>Small Cap</v>
          </cell>
        </row>
        <row r="919">
          <cell r="C919" t="str">
            <v>INE320B01020</v>
          </cell>
          <cell r="D919" t="str">
            <v>CENTUM</v>
          </cell>
          <cell r="E919">
            <v>3643.6874121989999</v>
          </cell>
          <cell r="F919" t="str">
            <v>CENTUM</v>
          </cell>
          <cell r="G919">
            <v>3643.7132999999999</v>
          </cell>
          <cell r="H919" t="str">
            <v>-</v>
          </cell>
          <cell r="I919" t="str">
            <v>-</v>
          </cell>
          <cell r="J919">
            <v>3643.7003560994999</v>
          </cell>
          <cell r="K919" t="str">
            <v>Small Cap</v>
          </cell>
        </row>
        <row r="920">
          <cell r="C920" t="str">
            <v>INE274G01010</v>
          </cell>
          <cell r="D920" t="str">
            <v>DHANI</v>
          </cell>
          <cell r="E920">
            <v>3642.5018264800001</v>
          </cell>
          <cell r="F920" t="str">
            <v>-</v>
          </cell>
          <cell r="G920" t="str">
            <v>-</v>
          </cell>
          <cell r="H920" t="str">
            <v>-</v>
          </cell>
          <cell r="I920" t="str">
            <v>-</v>
          </cell>
          <cell r="J920">
            <v>3642.5018264800001</v>
          </cell>
          <cell r="K920" t="str">
            <v>Small Cap</v>
          </cell>
        </row>
        <row r="921">
          <cell r="C921" t="str">
            <v>INE0JUS01029</v>
          </cell>
          <cell r="D921" t="str">
            <v>HARSHA</v>
          </cell>
          <cell r="E921">
            <v>3631.929991515</v>
          </cell>
          <cell r="F921" t="str">
            <v>HARSHA</v>
          </cell>
          <cell r="G921">
            <v>3633.404</v>
          </cell>
          <cell r="H921" t="str">
            <v>-</v>
          </cell>
          <cell r="I921" t="str">
            <v>-</v>
          </cell>
          <cell r="J921">
            <v>3632.6669957575</v>
          </cell>
          <cell r="K921" t="str">
            <v>Small Cap</v>
          </cell>
        </row>
        <row r="922">
          <cell r="C922" t="str">
            <v>INE0BJS01011</v>
          </cell>
          <cell r="D922" t="str">
            <v>GOCOLORS</v>
          </cell>
          <cell r="E922">
            <v>3631.0818610890001</v>
          </cell>
          <cell r="F922" t="str">
            <v>GOCOLORS</v>
          </cell>
          <cell r="G922">
            <v>3631.7977000000001</v>
          </cell>
          <cell r="H922" t="str">
            <v>-</v>
          </cell>
          <cell r="I922" t="str">
            <v>-</v>
          </cell>
          <cell r="J922">
            <v>3631.4397805445001</v>
          </cell>
          <cell r="K922" t="str">
            <v>Small Cap</v>
          </cell>
        </row>
        <row r="923">
          <cell r="C923" t="str">
            <v>INE166R01015</v>
          </cell>
          <cell r="D923" t="str">
            <v> NATIONSTD</v>
          </cell>
          <cell r="E923">
            <v>3629.6476190480003</v>
          </cell>
          <cell r="F923" t="str">
            <v>-</v>
          </cell>
          <cell r="G923" t="str">
            <v>-</v>
          </cell>
          <cell r="H923" t="str">
            <v>-</v>
          </cell>
          <cell r="I923" t="str">
            <v>-</v>
          </cell>
          <cell r="J923">
            <v>3629.6476190480003</v>
          </cell>
          <cell r="K923" t="str">
            <v>Small Cap</v>
          </cell>
        </row>
        <row r="924">
          <cell r="C924" t="str">
            <v>INE023A01030</v>
          </cell>
          <cell r="D924" t="str">
            <v>NSIL</v>
          </cell>
          <cell r="E924">
            <v>3625.9517199269999</v>
          </cell>
          <cell r="F924" t="str">
            <v>NSIL</v>
          </cell>
          <cell r="G924">
            <v>3626.502</v>
          </cell>
          <cell r="H924" t="str">
            <v>-</v>
          </cell>
          <cell r="I924" t="str">
            <v>-</v>
          </cell>
          <cell r="J924">
            <v>3626.2268599634999</v>
          </cell>
          <cell r="K924" t="str">
            <v>Small Cap</v>
          </cell>
        </row>
        <row r="925">
          <cell r="C925" t="str">
            <v>INE1AG301022</v>
          </cell>
          <cell r="D925" t="str">
            <v>GKENERGY</v>
          </cell>
          <cell r="E925">
            <v>3623.112038496</v>
          </cell>
          <cell r="F925" t="str">
            <v>GKENERGY</v>
          </cell>
          <cell r="G925">
            <v>3622.0075000000002</v>
          </cell>
          <cell r="H925" t="str">
            <v>-</v>
          </cell>
          <cell r="I925" t="str">
            <v>-</v>
          </cell>
          <cell r="J925">
            <v>3622.5597692480001</v>
          </cell>
          <cell r="K925" t="str">
            <v>Small Cap</v>
          </cell>
        </row>
        <row r="926">
          <cell r="C926" t="str">
            <v>INE896L01010</v>
          </cell>
          <cell r="D926" t="str">
            <v>INDOSTAR</v>
          </cell>
          <cell r="E926">
            <v>3616.0488188169998</v>
          </cell>
          <cell r="F926" t="str">
            <v>INDOSTAR</v>
          </cell>
          <cell r="G926">
            <v>3616.6684</v>
          </cell>
          <cell r="H926" t="str">
            <v>-</v>
          </cell>
          <cell r="I926" t="str">
            <v>-</v>
          </cell>
          <cell r="J926">
            <v>3616.3586094084999</v>
          </cell>
          <cell r="K926" t="str">
            <v>Small Cap</v>
          </cell>
        </row>
        <row r="927">
          <cell r="C927" t="str">
            <v>INE907A01026</v>
          </cell>
          <cell r="D927" t="str">
            <v>KSL</v>
          </cell>
          <cell r="E927">
            <v>3613.6730619</v>
          </cell>
          <cell r="F927" t="str">
            <v>KSL</v>
          </cell>
          <cell r="G927">
            <v>3614.8474999999999</v>
          </cell>
          <cell r="H927" t="str">
            <v>-</v>
          </cell>
          <cell r="I927" t="str">
            <v>-</v>
          </cell>
          <cell r="J927">
            <v>3614.2602809499999</v>
          </cell>
          <cell r="K927" t="str">
            <v>Small Cap</v>
          </cell>
        </row>
        <row r="928">
          <cell r="C928" t="str">
            <v>INE063E01053</v>
          </cell>
          <cell r="D928" t="str">
            <v>POCL</v>
          </cell>
          <cell r="E928">
            <v>3628.6727923429999</v>
          </cell>
          <cell r="F928" t="str">
            <v>POCL</v>
          </cell>
          <cell r="G928">
            <v>3578.9551999999999</v>
          </cell>
          <cell r="H928" t="str">
            <v>-</v>
          </cell>
          <cell r="I928" t="str">
            <v>-</v>
          </cell>
          <cell r="J928">
            <v>3603.8139961714996</v>
          </cell>
          <cell r="K928" t="str">
            <v>Small Cap</v>
          </cell>
        </row>
        <row r="929">
          <cell r="C929" t="str">
            <v>INE932X01026</v>
          </cell>
          <cell r="D929" t="str">
            <v>SHAREINDIA</v>
          </cell>
          <cell r="E929">
            <v>3613.6686430580003</v>
          </cell>
          <cell r="F929" t="str">
            <v>SHAREINDIA</v>
          </cell>
          <cell r="G929">
            <v>3587.2899000000002</v>
          </cell>
          <cell r="H929" t="str">
            <v>-</v>
          </cell>
          <cell r="I929" t="str">
            <v>-</v>
          </cell>
          <cell r="J929">
            <v>3600.4792715290005</v>
          </cell>
          <cell r="K929" t="str">
            <v>Small Cap</v>
          </cell>
        </row>
        <row r="930">
          <cell r="C930" t="str">
            <v>INE645S01024</v>
          </cell>
          <cell r="D930" t="str">
            <v>ROLEXRINGS</v>
          </cell>
          <cell r="E930">
            <v>3594.0990602080001</v>
          </cell>
          <cell r="F930" t="str">
            <v>ROLEXRINGS</v>
          </cell>
          <cell r="G930">
            <v>3594.192</v>
          </cell>
          <cell r="H930" t="str">
            <v>-</v>
          </cell>
          <cell r="I930" t="str">
            <v>-</v>
          </cell>
          <cell r="J930">
            <v>3594.145530104</v>
          </cell>
          <cell r="K930" t="str">
            <v>Small Cap</v>
          </cell>
        </row>
        <row r="931">
          <cell r="C931" t="str">
            <v>INE837H01020</v>
          </cell>
          <cell r="D931" t="str">
            <v>ADVENZYMES</v>
          </cell>
          <cell r="E931">
            <v>3589.9121208550005</v>
          </cell>
          <cell r="F931" t="str">
            <v>ADVENZYMES</v>
          </cell>
          <cell r="G931">
            <v>3590.0817000000002</v>
          </cell>
          <cell r="H931" t="str">
            <v>-</v>
          </cell>
          <cell r="I931" t="str">
            <v>-</v>
          </cell>
          <cell r="J931">
            <v>3589.9969104275006</v>
          </cell>
          <cell r="K931" t="str">
            <v>Small Cap</v>
          </cell>
        </row>
        <row r="932">
          <cell r="C932" t="str">
            <v>INE742B01025</v>
          </cell>
          <cell r="D932" t="str">
            <v>GUFICBIO</v>
          </cell>
          <cell r="E932">
            <v>3569.8024839279997</v>
          </cell>
          <cell r="F932" t="str">
            <v>GUFICBIO</v>
          </cell>
          <cell r="G932">
            <v>3570.5331000000001</v>
          </cell>
          <cell r="H932" t="str">
            <v>-</v>
          </cell>
          <cell r="I932" t="str">
            <v>-</v>
          </cell>
          <cell r="J932">
            <v>3570.1677919639997</v>
          </cell>
          <cell r="K932" t="str">
            <v>Small Cap</v>
          </cell>
        </row>
        <row r="933">
          <cell r="C933" t="str">
            <v>INE175A01038</v>
          </cell>
          <cell r="D933" t="str">
            <v>JISLJALEQS</v>
          </cell>
          <cell r="E933">
            <v>3580.3511213769998</v>
          </cell>
          <cell r="F933" t="str">
            <v>JISLJALEQS</v>
          </cell>
          <cell r="G933">
            <v>3541.1803999999997</v>
          </cell>
          <cell r="H933" t="str">
            <v>-</v>
          </cell>
          <cell r="I933" t="str">
            <v>-</v>
          </cell>
          <cell r="J933">
            <v>3560.7657606884995</v>
          </cell>
          <cell r="K933" t="str">
            <v>Small Cap</v>
          </cell>
        </row>
        <row r="934">
          <cell r="C934" t="str">
            <v>INE255X01014</v>
          </cell>
          <cell r="D934" t="str">
            <v>MSTCLTD</v>
          </cell>
          <cell r="E934">
            <v>3560.8236190480002</v>
          </cell>
          <cell r="F934" t="str">
            <v>MSTCLTD</v>
          </cell>
          <cell r="G934">
            <v>3559.5021999999999</v>
          </cell>
          <cell r="H934" t="str">
            <v>-</v>
          </cell>
          <cell r="I934" t="str">
            <v>-</v>
          </cell>
          <cell r="J934">
            <v>3560.162909524</v>
          </cell>
          <cell r="K934" t="str">
            <v>Small Cap</v>
          </cell>
        </row>
        <row r="935">
          <cell r="C935" t="str">
            <v>INE351A01035</v>
          </cell>
          <cell r="D935" t="str">
            <v>UNICHEMLAB</v>
          </cell>
          <cell r="E935">
            <v>3559.3068136709999</v>
          </cell>
          <cell r="F935" t="str">
            <v>UNICHEMLAB</v>
          </cell>
          <cell r="G935">
            <v>3560.0081</v>
          </cell>
          <cell r="H935" t="str">
            <v>-</v>
          </cell>
          <cell r="I935" t="str">
            <v>-</v>
          </cell>
          <cell r="J935">
            <v>3559.6574568354999</v>
          </cell>
          <cell r="K935" t="str">
            <v>Small Cap</v>
          </cell>
        </row>
        <row r="936">
          <cell r="C936" t="str">
            <v>INE03CC01015</v>
          </cell>
          <cell r="D936" t="str">
            <v>JUBLCPL</v>
          </cell>
          <cell r="E936">
            <v>3564.3375585150002</v>
          </cell>
          <cell r="F936" t="str">
            <v>JUBLCPL</v>
          </cell>
          <cell r="G936">
            <v>3547.9403000000002</v>
          </cell>
          <cell r="H936" t="str">
            <v>-</v>
          </cell>
          <cell r="I936" t="str">
            <v>-</v>
          </cell>
          <cell r="J936">
            <v>3556.1389292575004</v>
          </cell>
          <cell r="K936" t="str">
            <v>Small Cap</v>
          </cell>
        </row>
        <row r="937">
          <cell r="C937" t="str">
            <v>INE02A801020</v>
          </cell>
          <cell r="D937" t="str">
            <v>ROSSARI</v>
          </cell>
          <cell r="E937">
            <v>3550.4800656790003</v>
          </cell>
          <cell r="F937" t="str">
            <v>ROSSARI</v>
          </cell>
          <cell r="G937">
            <v>3551.7873</v>
          </cell>
          <cell r="H937" t="str">
            <v>-</v>
          </cell>
          <cell r="I937" t="str">
            <v>-</v>
          </cell>
          <cell r="J937">
            <v>3551.1336828395001</v>
          </cell>
          <cell r="K937" t="str">
            <v>Small Cap</v>
          </cell>
        </row>
        <row r="938">
          <cell r="C938" t="str">
            <v>INE055S01018</v>
          </cell>
          <cell r="D938" t="str">
            <v>CYIENTDLM</v>
          </cell>
          <cell r="E938">
            <v>3544.4517179300001</v>
          </cell>
          <cell r="F938" t="str">
            <v>CYIENTDLM</v>
          </cell>
          <cell r="G938">
            <v>3543.7532000000001</v>
          </cell>
          <cell r="H938" t="str">
            <v>-</v>
          </cell>
          <cell r="I938" t="str">
            <v>-</v>
          </cell>
          <cell r="J938">
            <v>3544.1024589650001</v>
          </cell>
          <cell r="K938" t="str">
            <v>Small Cap</v>
          </cell>
        </row>
        <row r="939">
          <cell r="C939" t="str">
            <v>INE0Q3R01026</v>
          </cell>
          <cell r="D939" t="str">
            <v>SUNCLAY</v>
          </cell>
          <cell r="E939">
            <v>3534.3943249120002</v>
          </cell>
          <cell r="F939" t="str">
            <v>SUNCLAY</v>
          </cell>
          <cell r="G939">
            <v>3534.3235</v>
          </cell>
          <cell r="H939" t="str">
            <v>-</v>
          </cell>
          <cell r="I939" t="str">
            <v>-</v>
          </cell>
          <cell r="J939">
            <v>3534.3589124560003</v>
          </cell>
          <cell r="K939" t="str">
            <v>Small Cap</v>
          </cell>
        </row>
        <row r="940">
          <cell r="C940" t="str">
            <v>INE912T01018</v>
          </cell>
          <cell r="D940" t="str">
            <v>RPEL</v>
          </cell>
          <cell r="E940">
            <v>3524.7030729730004</v>
          </cell>
          <cell r="F940" t="str">
            <v>RPEL</v>
          </cell>
          <cell r="G940">
            <v>3525.1822000000002</v>
          </cell>
          <cell r="H940" t="str">
            <v>-</v>
          </cell>
          <cell r="I940" t="str">
            <v>-</v>
          </cell>
          <cell r="J940">
            <v>3524.9426364865003</v>
          </cell>
          <cell r="K940" t="str">
            <v>Small Cap</v>
          </cell>
        </row>
        <row r="941">
          <cell r="C941" t="str">
            <v>INE164A01016</v>
          </cell>
          <cell r="D941" t="str">
            <v>BALMLAWRIE</v>
          </cell>
          <cell r="E941">
            <v>3502.0434063430002</v>
          </cell>
          <cell r="F941" t="str">
            <v>BALMLAWRIE</v>
          </cell>
          <cell r="G941">
            <v>3502.0039999999999</v>
          </cell>
          <cell r="H941" t="str">
            <v>-</v>
          </cell>
          <cell r="I941" t="str">
            <v>-</v>
          </cell>
          <cell r="J941">
            <v>3502.0237031715001</v>
          </cell>
          <cell r="K941" t="str">
            <v>Small Cap</v>
          </cell>
        </row>
        <row r="942">
          <cell r="C942" t="str">
            <v>INE025R01021</v>
          </cell>
          <cell r="D942" t="str">
            <v>ARTEMISMED</v>
          </cell>
          <cell r="E942">
            <v>3509.0856250930001</v>
          </cell>
          <cell r="F942" t="str">
            <v>ARTEMISMED</v>
          </cell>
          <cell r="G942">
            <v>3490.1084000000001</v>
          </cell>
          <cell r="H942" t="str">
            <v>-</v>
          </cell>
          <cell r="I942" t="str">
            <v>-</v>
          </cell>
          <cell r="J942">
            <v>3499.5970125465001</v>
          </cell>
          <cell r="K942" t="str">
            <v>Small Cap</v>
          </cell>
        </row>
        <row r="943">
          <cell r="C943" t="str">
            <v>INE689W01016</v>
          </cell>
          <cell r="D943" t="str">
            <v>PRINCEPIPE</v>
          </cell>
          <cell r="E943">
            <v>3484.091100743</v>
          </cell>
          <cell r="F943" t="str">
            <v>PRINCEPIPE</v>
          </cell>
          <cell r="G943">
            <v>3485.3984999999998</v>
          </cell>
          <cell r="H943" t="str">
            <v>-</v>
          </cell>
          <cell r="I943" t="str">
            <v>-</v>
          </cell>
          <cell r="J943">
            <v>3484.7448003714999</v>
          </cell>
          <cell r="K943" t="str">
            <v>Small Cap</v>
          </cell>
        </row>
        <row r="944">
          <cell r="C944" t="str">
            <v>INE519A01011</v>
          </cell>
          <cell r="D944" t="str">
            <v>FOSECOIND</v>
          </cell>
          <cell r="E944">
            <v>3478.104132551</v>
          </cell>
          <cell r="F944" t="str">
            <v>FOSECOIND</v>
          </cell>
          <cell r="G944">
            <v>3466.0097000000001</v>
          </cell>
          <cell r="H944" t="str">
            <v>-</v>
          </cell>
          <cell r="I944" t="str">
            <v>-</v>
          </cell>
          <cell r="J944">
            <v>3472.0569162755</v>
          </cell>
          <cell r="K944" t="str">
            <v>Small Cap</v>
          </cell>
        </row>
        <row r="945">
          <cell r="C945" t="str">
            <v>INE450D01021</v>
          </cell>
          <cell r="D945" t="str">
            <v>PITTIENG</v>
          </cell>
          <cell r="E945">
            <v>3468.2062463199995</v>
          </cell>
          <cell r="F945" t="str">
            <v>PITTIENG</v>
          </cell>
          <cell r="G945">
            <v>3469.1370999999999</v>
          </cell>
          <cell r="H945" t="str">
            <v>-</v>
          </cell>
          <cell r="I945" t="str">
            <v>-</v>
          </cell>
          <cell r="J945">
            <v>3468.67167316</v>
          </cell>
          <cell r="K945" t="str">
            <v>Small Cap</v>
          </cell>
        </row>
        <row r="946">
          <cell r="C946" t="str">
            <v>INE266Y01019</v>
          </cell>
          <cell r="D946" t="str">
            <v>DPABHUSHAN</v>
          </cell>
          <cell r="E946">
            <v>3466.235291429</v>
          </cell>
          <cell r="F946" t="str">
            <v>DPABHUSHAN</v>
          </cell>
          <cell r="G946">
            <v>3463.1668</v>
          </cell>
          <cell r="H946" t="str">
            <v>-</v>
          </cell>
          <cell r="I946" t="str">
            <v>-</v>
          </cell>
          <cell r="J946">
            <v>3464.7010457144997</v>
          </cell>
          <cell r="K946" t="str">
            <v>Small Cap</v>
          </cell>
        </row>
        <row r="947">
          <cell r="C947" t="str">
            <v>INE802C01033</v>
          </cell>
          <cell r="D947" t="str">
            <v>SSWL</v>
          </cell>
          <cell r="E947">
            <v>3462.4103207379999</v>
          </cell>
          <cell r="F947" t="str">
            <v>SSWL</v>
          </cell>
          <cell r="G947">
            <v>3459.4185000000002</v>
          </cell>
          <cell r="H947" t="str">
            <v>-</v>
          </cell>
          <cell r="I947" t="str">
            <v>-</v>
          </cell>
          <cell r="J947">
            <v>3460.9144103690001</v>
          </cell>
          <cell r="K947" t="str">
            <v>Small Cap</v>
          </cell>
        </row>
        <row r="948">
          <cell r="C948" t="str">
            <v>INE0M4D01010</v>
          </cell>
          <cell r="D948" t="str">
            <v>SGLTL</v>
          </cell>
          <cell r="E948">
            <v>3446.0759670059997</v>
          </cell>
          <cell r="F948" t="str">
            <v>SGLTL</v>
          </cell>
          <cell r="G948">
            <v>3448.5632999999998</v>
          </cell>
          <cell r="H948" t="str">
            <v>-</v>
          </cell>
          <cell r="I948" t="str">
            <v>-</v>
          </cell>
          <cell r="J948">
            <v>3447.3196335029997</v>
          </cell>
          <cell r="K948" t="str">
            <v>Small Cap</v>
          </cell>
        </row>
        <row r="949">
          <cell r="C949" t="str">
            <v>INE337M01021</v>
          </cell>
          <cell r="D949" t="str">
            <v>INDOTHAI</v>
          </cell>
          <cell r="E949">
            <v>3446.177417329</v>
          </cell>
          <cell r="F949" t="str">
            <v>INDOTHAI</v>
          </cell>
          <cell r="G949">
            <v>3404.9229999999998</v>
          </cell>
          <cell r="H949" t="str">
            <v>-</v>
          </cell>
          <cell r="I949" t="str">
            <v>-</v>
          </cell>
          <cell r="J949">
            <v>3425.5502086645001</v>
          </cell>
          <cell r="K949" t="str">
            <v>Small Cap</v>
          </cell>
        </row>
        <row r="950">
          <cell r="C950" t="str">
            <v>INE414D01027</v>
          </cell>
          <cell r="D950" t="str">
            <v>BHAGCHEM</v>
          </cell>
          <cell r="E950">
            <v>3416.6979284250001</v>
          </cell>
          <cell r="F950" t="str">
            <v>BHAGCHEM</v>
          </cell>
          <cell r="G950">
            <v>3417.3863999999999</v>
          </cell>
          <cell r="H950" t="str">
            <v>-</v>
          </cell>
          <cell r="I950" t="str">
            <v>-</v>
          </cell>
          <cell r="J950">
            <v>3417.0421642125002</v>
          </cell>
          <cell r="K950" t="str">
            <v>Small Cap</v>
          </cell>
        </row>
        <row r="951">
          <cell r="C951" t="str">
            <v>INE933K01021</v>
          </cell>
          <cell r="D951" t="str">
            <v>BAJAJCON</v>
          </cell>
          <cell r="E951">
            <v>3366.164674608</v>
          </cell>
          <cell r="F951" t="str">
            <v>BAJAJCON</v>
          </cell>
          <cell r="G951">
            <v>3412.0612999999998</v>
          </cell>
          <cell r="H951" t="str">
            <v>-</v>
          </cell>
          <cell r="I951" t="str">
            <v>-</v>
          </cell>
          <cell r="J951">
            <v>3389.1129873039999</v>
          </cell>
          <cell r="K951" t="str">
            <v>Small Cap</v>
          </cell>
        </row>
        <row r="952">
          <cell r="C952" t="str">
            <v>INE08ZM01014</v>
          </cell>
          <cell r="D952" t="str">
            <v>GREENPANEL</v>
          </cell>
          <cell r="E952">
            <v>3385.7569744490002</v>
          </cell>
          <cell r="F952" t="str">
            <v>GREENPANEL</v>
          </cell>
          <cell r="G952">
            <v>3386.1705999999999</v>
          </cell>
          <cell r="H952" t="str">
            <v>-</v>
          </cell>
          <cell r="I952" t="str">
            <v>-</v>
          </cell>
          <cell r="J952">
            <v>3385.9637872245003</v>
          </cell>
          <cell r="K952" t="str">
            <v>Small Cap</v>
          </cell>
        </row>
        <row r="953">
          <cell r="C953" t="str">
            <v>INE00HZ01011</v>
          </cell>
          <cell r="D953" t="str">
            <v>BNAGROCHEM</v>
          </cell>
          <cell r="E953">
            <v>3384.3443947790001</v>
          </cell>
          <cell r="F953" t="str">
            <v>-</v>
          </cell>
          <cell r="G953" t="str">
            <v>-</v>
          </cell>
          <cell r="H953" t="str">
            <v>-</v>
          </cell>
          <cell r="I953" t="str">
            <v>-</v>
          </cell>
          <cell r="J953">
            <v>3384.3443947790001</v>
          </cell>
          <cell r="K953" t="str">
            <v>Small Cap</v>
          </cell>
        </row>
        <row r="954">
          <cell r="C954" t="str">
            <v>INE464A01036</v>
          </cell>
          <cell r="D954" t="str">
            <v>BBL</v>
          </cell>
          <cell r="E954">
            <v>3380.4990039970003</v>
          </cell>
          <cell r="F954" t="str">
            <v>BBL</v>
          </cell>
          <cell r="G954">
            <v>3380.5837999999999</v>
          </cell>
          <cell r="H954" t="str">
            <v>-</v>
          </cell>
          <cell r="I954" t="str">
            <v>-</v>
          </cell>
          <cell r="J954">
            <v>3380.5414019985001</v>
          </cell>
          <cell r="K954" t="str">
            <v>Small Cap</v>
          </cell>
        </row>
        <row r="955">
          <cell r="C955" t="str">
            <v>INE060A01024</v>
          </cell>
          <cell r="D955" t="str">
            <v>NAVNETEDUL</v>
          </cell>
          <cell r="E955">
            <v>3336.6760382540001</v>
          </cell>
          <cell r="F955" t="str">
            <v>NAVNETEDUL</v>
          </cell>
          <cell r="G955">
            <v>3411.8472000000002</v>
          </cell>
          <cell r="H955" t="str">
            <v>-</v>
          </cell>
          <cell r="I955" t="str">
            <v>-</v>
          </cell>
          <cell r="J955">
            <v>3374.2616191269999</v>
          </cell>
          <cell r="K955" t="str">
            <v>Small Cap</v>
          </cell>
        </row>
        <row r="956">
          <cell r="C956" t="str">
            <v>INE004A01022</v>
          </cell>
          <cell r="D956" t="str">
            <v>PROTEAN</v>
          </cell>
          <cell r="E956">
            <v>3368.5857214860002</v>
          </cell>
          <cell r="F956" t="str">
            <v>PROTEAN</v>
          </cell>
          <cell r="G956">
            <v>3365.9245999999998</v>
          </cell>
          <cell r="H956" t="str">
            <v>-</v>
          </cell>
          <cell r="I956" t="str">
            <v>-</v>
          </cell>
          <cell r="J956">
            <v>3367.255160743</v>
          </cell>
          <cell r="K956" t="str">
            <v>Small Cap</v>
          </cell>
        </row>
        <row r="957">
          <cell r="C957" t="str">
            <v>INE270I01022</v>
          </cell>
          <cell r="D957" t="str">
            <v>VISHNU</v>
          </cell>
          <cell r="E957">
            <v>3361.5142548869999</v>
          </cell>
          <cell r="F957" t="str">
            <v>VISHNU</v>
          </cell>
          <cell r="G957">
            <v>3361.8856000000001</v>
          </cell>
          <cell r="H957" t="str">
            <v>-</v>
          </cell>
          <cell r="I957" t="str">
            <v>-</v>
          </cell>
          <cell r="J957">
            <v>3361.6999274435002</v>
          </cell>
          <cell r="K957" t="str">
            <v>Small Cap</v>
          </cell>
        </row>
        <row r="958">
          <cell r="C958" t="str">
            <v>INE12NJ01018</v>
          </cell>
          <cell r="D958" t="str">
            <v>SAMBHV</v>
          </cell>
          <cell r="E958">
            <v>3361.352351174</v>
          </cell>
          <cell r="F958" t="str">
            <v>SAMBHV</v>
          </cell>
          <cell r="G958">
            <v>3361.0412000000001</v>
          </cell>
          <cell r="H958" t="str">
            <v>-</v>
          </cell>
          <cell r="I958" t="str">
            <v>-</v>
          </cell>
          <cell r="J958">
            <v>3361.196775587</v>
          </cell>
          <cell r="K958" t="str">
            <v>Small Cap</v>
          </cell>
        </row>
        <row r="959">
          <cell r="C959" t="str">
            <v>INE883N01014</v>
          </cell>
          <cell r="D959" t="str">
            <v>PARAGMILK</v>
          </cell>
          <cell r="E959">
            <v>3382.9436441160001</v>
          </cell>
          <cell r="F959" t="str">
            <v>PARAGMILK</v>
          </cell>
          <cell r="G959">
            <v>3328.0392999999999</v>
          </cell>
          <cell r="H959" t="str">
            <v>-</v>
          </cell>
          <cell r="I959" t="str">
            <v>-</v>
          </cell>
          <cell r="J959">
            <v>3355.491472058</v>
          </cell>
          <cell r="K959" t="str">
            <v>Small Cap</v>
          </cell>
        </row>
        <row r="960">
          <cell r="C960" t="str">
            <v>INE032A01023</v>
          </cell>
          <cell r="D960" t="str">
            <v>BOMDYEING</v>
          </cell>
          <cell r="E960">
            <v>3354.0120343889998</v>
          </cell>
          <cell r="F960" t="str">
            <v>BOMDYEING</v>
          </cell>
          <cell r="G960">
            <v>3354.0857999999998</v>
          </cell>
          <cell r="H960" t="str">
            <v>-</v>
          </cell>
          <cell r="I960" t="str">
            <v>-</v>
          </cell>
          <cell r="J960">
            <v>3354.0489171945001</v>
          </cell>
          <cell r="K960" t="str">
            <v>Small Cap</v>
          </cell>
        </row>
        <row r="961">
          <cell r="C961" t="str">
            <v>INE899L01030</v>
          </cell>
          <cell r="D961" t="str">
            <v>UEL</v>
          </cell>
          <cell r="E961">
            <v>2771.5295986729998</v>
          </cell>
          <cell r="F961" t="str">
            <v>UEL</v>
          </cell>
          <cell r="G961">
            <v>3902.6446000000001</v>
          </cell>
          <cell r="H961" t="str">
            <v>-</v>
          </cell>
          <cell r="I961" t="str">
            <v>-</v>
          </cell>
          <cell r="J961">
            <v>3337.0870993364997</v>
          </cell>
          <cell r="K961" t="str">
            <v>Small Cap</v>
          </cell>
        </row>
        <row r="962">
          <cell r="C962" t="str">
            <v>INE0RB801010</v>
          </cell>
          <cell r="D962" t="str">
            <v>SENORES</v>
          </cell>
          <cell r="E962">
            <v>3322.0956731369997</v>
          </cell>
          <cell r="F962" t="str">
            <v>SENORES</v>
          </cell>
          <cell r="G962">
            <v>3323.6709999999998</v>
          </cell>
          <cell r="H962" t="str">
            <v>-</v>
          </cell>
          <cell r="I962" t="str">
            <v>-</v>
          </cell>
          <cell r="J962">
            <v>3322.8833365684995</v>
          </cell>
          <cell r="K962" t="str">
            <v>Small Cap</v>
          </cell>
        </row>
        <row r="963">
          <cell r="C963" t="str">
            <v>INE314H01012</v>
          </cell>
          <cell r="D963" t="str">
            <v>TECHNVISN</v>
          </cell>
          <cell r="E963">
            <v>3321.1296577380003</v>
          </cell>
          <cell r="F963" t="str">
            <v>-</v>
          </cell>
          <cell r="G963" t="str">
            <v>-</v>
          </cell>
          <cell r="H963" t="str">
            <v>-</v>
          </cell>
          <cell r="I963" t="str">
            <v>-</v>
          </cell>
          <cell r="J963">
            <v>3321.1296577380003</v>
          </cell>
          <cell r="K963" t="str">
            <v>Small Cap</v>
          </cell>
        </row>
        <row r="964">
          <cell r="C964" t="str">
            <v>INE461D01028</v>
          </cell>
          <cell r="D964" t="str">
            <v>HLEGLAS</v>
          </cell>
          <cell r="E964">
            <v>3301.9870875080001</v>
          </cell>
          <cell r="F964" t="str">
            <v>HLEGLAS</v>
          </cell>
          <cell r="G964">
            <v>3294.6275000000001</v>
          </cell>
          <cell r="H964" t="str">
            <v>-</v>
          </cell>
          <cell r="I964" t="str">
            <v>-</v>
          </cell>
          <cell r="J964">
            <v>3298.3072937540001</v>
          </cell>
          <cell r="K964" t="str">
            <v>Small Cap</v>
          </cell>
        </row>
        <row r="965">
          <cell r="C965" t="str">
            <v>INE475B01022</v>
          </cell>
          <cell r="D965" t="str">
            <v>HIKAL</v>
          </cell>
          <cell r="E965">
            <v>3280.9448855360001</v>
          </cell>
          <cell r="F965" t="str">
            <v>HIKAL</v>
          </cell>
          <cell r="G965">
            <v>3280.9252999999999</v>
          </cell>
          <cell r="H965" t="str">
            <v>-</v>
          </cell>
          <cell r="I965" t="str">
            <v>-</v>
          </cell>
          <cell r="J965">
            <v>3280.9350927679998</v>
          </cell>
          <cell r="K965" t="str">
            <v>Small Cap</v>
          </cell>
        </row>
        <row r="966">
          <cell r="C966" t="str">
            <v>INE415I01015</v>
          </cell>
          <cell r="D966" t="str">
            <v>KIRIINDUS</v>
          </cell>
          <cell r="E966">
            <v>3294.3038610230001</v>
          </cell>
          <cell r="F966" t="str">
            <v>KIRIINDUS</v>
          </cell>
          <cell r="G966">
            <v>3265.0657000000001</v>
          </cell>
          <cell r="H966" t="str">
            <v>-</v>
          </cell>
          <cell r="I966" t="str">
            <v>-</v>
          </cell>
          <cell r="J966">
            <v>3279.6847805115003</v>
          </cell>
          <cell r="K966" t="str">
            <v>Small Cap</v>
          </cell>
        </row>
        <row r="967">
          <cell r="C967" t="str">
            <v>INE00Y201027</v>
          </cell>
          <cell r="D967" t="str">
            <v>FLAIR</v>
          </cell>
          <cell r="E967">
            <v>3268.8083721759999</v>
          </cell>
          <cell r="F967" t="str">
            <v>FLAIR</v>
          </cell>
          <cell r="G967">
            <v>3269.4942999999998</v>
          </cell>
          <cell r="H967" t="str">
            <v>-</v>
          </cell>
          <cell r="I967" t="str">
            <v>-</v>
          </cell>
          <cell r="J967">
            <v>3269.1513360879999</v>
          </cell>
          <cell r="K967" t="str">
            <v>Small Cap</v>
          </cell>
        </row>
        <row r="968">
          <cell r="C968" t="str">
            <v>INE401H01017</v>
          </cell>
          <cell r="D968" t="str">
            <v>KKCL</v>
          </cell>
          <cell r="E968">
            <v>3258.6615285970001</v>
          </cell>
          <cell r="F968" t="str">
            <v>KKCL</v>
          </cell>
          <cell r="G968">
            <v>3258.4268000000002</v>
          </cell>
          <cell r="H968" t="str">
            <v>-</v>
          </cell>
          <cell r="I968" t="str">
            <v>-</v>
          </cell>
          <cell r="J968">
            <v>3258.5441642985002</v>
          </cell>
          <cell r="K968" t="str">
            <v>Small Cap</v>
          </cell>
        </row>
        <row r="969">
          <cell r="C969" t="str">
            <v>INE766P01016</v>
          </cell>
          <cell r="D969" t="str">
            <v>MAHLOG</v>
          </cell>
          <cell r="E969">
            <v>3247.7813279679999</v>
          </cell>
          <cell r="F969" t="str">
            <v>MAHLOG</v>
          </cell>
          <cell r="G969">
            <v>3248.0418</v>
          </cell>
          <cell r="H969" t="str">
            <v>-</v>
          </cell>
          <cell r="I969" t="str">
            <v>-</v>
          </cell>
          <cell r="J969">
            <v>3247.9115639840002</v>
          </cell>
          <cell r="K969" t="str">
            <v>Small Cap</v>
          </cell>
        </row>
        <row r="970">
          <cell r="C970" t="str">
            <v>INE064A01026</v>
          </cell>
          <cell r="D970" t="str">
            <v>TIMEX</v>
          </cell>
          <cell r="E970">
            <v>3243.495458333</v>
          </cell>
          <cell r="F970" t="str">
            <v>-</v>
          </cell>
          <cell r="G970" t="str">
            <v>-</v>
          </cell>
          <cell r="H970" t="str">
            <v>-</v>
          </cell>
          <cell r="I970" t="str">
            <v>-</v>
          </cell>
          <cell r="J970">
            <v>3243.495458333</v>
          </cell>
          <cell r="K970" t="str">
            <v>Small Cap</v>
          </cell>
        </row>
        <row r="971">
          <cell r="C971" t="str">
            <v>INE0G5901015</v>
          </cell>
          <cell r="D971" t="str">
            <v>EPACK</v>
          </cell>
          <cell r="E971">
            <v>3237.9382384840001</v>
          </cell>
          <cell r="F971" t="str">
            <v>EPACK</v>
          </cell>
          <cell r="G971">
            <v>3234.9400999999998</v>
          </cell>
          <cell r="H971" t="str">
            <v>-</v>
          </cell>
          <cell r="I971" t="str">
            <v>-</v>
          </cell>
          <cell r="J971">
            <v>3236.4391692419999</v>
          </cell>
          <cell r="K971" t="str">
            <v>Small Cap</v>
          </cell>
        </row>
        <row r="972">
          <cell r="C972" t="str">
            <v>INE0QRL01017</v>
          </cell>
          <cell r="D972" t="str">
            <v xml:space="preserve">ARKADE </v>
          </cell>
          <cell r="E972">
            <v>3232.8161577860001</v>
          </cell>
          <cell r="F972" t="str">
            <v>ARKADE</v>
          </cell>
          <cell r="G972">
            <v>3233.2523000000001</v>
          </cell>
          <cell r="H972" t="str">
            <v>-</v>
          </cell>
          <cell r="I972" t="str">
            <v>-</v>
          </cell>
          <cell r="J972">
            <v>3233.0342288930001</v>
          </cell>
          <cell r="K972" t="str">
            <v>Small Cap</v>
          </cell>
        </row>
        <row r="973">
          <cell r="C973" t="str">
            <v>INE932A01024</v>
          </cell>
          <cell r="D973" t="str">
            <v>PENIND</v>
          </cell>
          <cell r="E973">
            <v>3315.9735275839998</v>
          </cell>
          <cell r="F973" t="str">
            <v>PENIND</v>
          </cell>
          <cell r="G973">
            <v>3148.1927999999998</v>
          </cell>
          <cell r="H973" t="str">
            <v>-</v>
          </cell>
          <cell r="I973" t="str">
            <v>-</v>
          </cell>
          <cell r="J973">
            <v>3232.0831637920001</v>
          </cell>
          <cell r="K973" t="str">
            <v>Small Cap</v>
          </cell>
        </row>
        <row r="974">
          <cell r="C974" t="str">
            <v>INE488V01015</v>
          </cell>
          <cell r="D974" t="str">
            <v>PSPPROJECT</v>
          </cell>
          <cell r="E974">
            <v>3212.9844645060002</v>
          </cell>
          <cell r="F974" t="str">
            <v>PSPPROJECT</v>
          </cell>
          <cell r="G974">
            <v>3214.4191000000001</v>
          </cell>
          <cell r="H974" t="str">
            <v>-</v>
          </cell>
          <cell r="I974" t="str">
            <v>-</v>
          </cell>
          <cell r="J974">
            <v>3213.7017822530001</v>
          </cell>
          <cell r="K974" t="str">
            <v>Small Cap</v>
          </cell>
        </row>
        <row r="975">
          <cell r="C975" t="str">
            <v>INE506W01012</v>
          </cell>
          <cell r="D975" t="str">
            <v>-</v>
          </cell>
          <cell r="E975" t="str">
            <v>-</v>
          </cell>
          <cell r="F975" t="str">
            <v>KRISHANA</v>
          </cell>
          <cell r="G975">
            <v>3180.4315999999999</v>
          </cell>
          <cell r="H975" t="str">
            <v>-</v>
          </cell>
          <cell r="I975" t="str">
            <v>-</v>
          </cell>
          <cell r="J975">
            <v>3180.4315999999999</v>
          </cell>
          <cell r="K975" t="str">
            <v>Small Cap</v>
          </cell>
        </row>
        <row r="976">
          <cell r="C976" t="str">
            <v>INE239C01020</v>
          </cell>
          <cell r="D976" t="str">
            <v>STYLAMIND</v>
          </cell>
          <cell r="E976">
            <v>3179.3612275689998</v>
          </cell>
          <cell r="F976" t="str">
            <v>STYLAMIND</v>
          </cell>
          <cell r="G976">
            <v>3181.1334000000002</v>
          </cell>
          <cell r="H976" t="str">
            <v>-</v>
          </cell>
          <cell r="I976" t="str">
            <v>-</v>
          </cell>
          <cell r="J976">
            <v>3180.2473137845</v>
          </cell>
          <cell r="K976" t="str">
            <v>Small Cap</v>
          </cell>
        </row>
        <row r="977">
          <cell r="C977" t="str">
            <v>INE988S01028</v>
          </cell>
          <cell r="D977" t="str">
            <v>PARKHOTELS</v>
          </cell>
          <cell r="E977">
            <v>3176.0671844779999</v>
          </cell>
          <cell r="F977" t="str">
            <v>PARKHOTELS</v>
          </cell>
          <cell r="G977">
            <v>3175.3186999999998</v>
          </cell>
          <cell r="H977" t="str">
            <v>-</v>
          </cell>
          <cell r="I977" t="str">
            <v>-</v>
          </cell>
          <cell r="J977">
            <v>3175.6929422389999</v>
          </cell>
          <cell r="K977" t="str">
            <v>Small Cap</v>
          </cell>
        </row>
        <row r="978">
          <cell r="C978" t="str">
            <v>INE079J01017</v>
          </cell>
          <cell r="D978" t="str">
            <v>GATEWAY</v>
          </cell>
          <cell r="E978">
            <v>3169.6373944749998</v>
          </cell>
          <cell r="F978" t="str">
            <v>GATEWAY</v>
          </cell>
          <cell r="G978">
            <v>3169.6532999999999</v>
          </cell>
          <cell r="H978" t="str">
            <v>-</v>
          </cell>
          <cell r="I978" t="str">
            <v>-</v>
          </cell>
          <cell r="J978">
            <v>3169.6453472374997</v>
          </cell>
          <cell r="K978" t="str">
            <v>Small Cap</v>
          </cell>
        </row>
        <row r="979">
          <cell r="C979" t="str">
            <v>INE0I0M01023</v>
          </cell>
          <cell r="D979" t="str">
            <v>PRABHA</v>
          </cell>
          <cell r="E979">
            <v>3167.4670097009998</v>
          </cell>
          <cell r="F979" t="str">
            <v>PRABHA</v>
          </cell>
          <cell r="G979">
            <v>3167.3388</v>
          </cell>
          <cell r="H979" t="str">
            <v>-</v>
          </cell>
          <cell r="I979" t="str">
            <v>-</v>
          </cell>
          <cell r="J979">
            <v>3167.4029048504999</v>
          </cell>
          <cell r="K979" t="str">
            <v>Small Cap</v>
          </cell>
        </row>
        <row r="980">
          <cell r="C980" t="str">
            <v>INE172N01012</v>
          </cell>
          <cell r="D980" t="str">
            <v>IMAGICAA</v>
          </cell>
          <cell r="E980">
            <v>3165.5711768820001</v>
          </cell>
          <cell r="F980" t="str">
            <v>IMAGICAA</v>
          </cell>
          <cell r="G980">
            <v>3164.6469999999999</v>
          </cell>
          <cell r="H980" t="str">
            <v>-</v>
          </cell>
          <cell r="I980" t="str">
            <v>-</v>
          </cell>
          <cell r="J980">
            <v>3165.109088441</v>
          </cell>
          <cell r="K980" t="str">
            <v>Small Cap</v>
          </cell>
        </row>
        <row r="981">
          <cell r="C981" t="str">
            <v>INE615I01010</v>
          </cell>
          <cell r="D981" t="str">
            <v>GLOBUSSPR</v>
          </cell>
          <cell r="E981">
            <v>3165.459391159</v>
          </cell>
          <cell r="F981" t="str">
            <v>GLOBUSSPR</v>
          </cell>
          <cell r="G981">
            <v>3161.3479000000002</v>
          </cell>
          <cell r="H981" t="str">
            <v>-</v>
          </cell>
          <cell r="I981" t="str">
            <v>-</v>
          </cell>
          <cell r="J981">
            <v>3163.4036455795003</v>
          </cell>
          <cell r="K981" t="str">
            <v>Small Cap</v>
          </cell>
        </row>
        <row r="982">
          <cell r="C982" t="str">
            <v>INE039O01011</v>
          </cell>
          <cell r="D982" t="str">
            <v>-</v>
          </cell>
          <cell r="E982" t="str">
            <v>-</v>
          </cell>
          <cell r="F982" t="str">
            <v>JASH</v>
          </cell>
          <cell r="G982">
            <v>3163.09</v>
          </cell>
          <cell r="H982" t="str">
            <v>-</v>
          </cell>
          <cell r="I982" t="str">
            <v>-</v>
          </cell>
          <cell r="J982">
            <v>3163.09</v>
          </cell>
          <cell r="K982" t="str">
            <v>Small Cap</v>
          </cell>
        </row>
        <row r="983">
          <cell r="C983" t="str">
            <v>INE039O01029</v>
          </cell>
          <cell r="D983" t="str">
            <v>JASH</v>
          </cell>
          <cell r="E983">
            <v>3161.8175147289999</v>
          </cell>
          <cell r="F983" t="str">
            <v>-</v>
          </cell>
          <cell r="G983" t="str">
            <v>-</v>
          </cell>
          <cell r="H983" t="str">
            <v>-</v>
          </cell>
          <cell r="I983" t="str">
            <v>-</v>
          </cell>
          <cell r="J983">
            <v>3161.8175147289999</v>
          </cell>
          <cell r="K983" t="str">
            <v>Small Cap</v>
          </cell>
        </row>
        <row r="984">
          <cell r="C984" t="str">
            <v>INE420C01059</v>
          </cell>
          <cell r="D984" t="str">
            <v>PAISALO</v>
          </cell>
          <cell r="E984">
            <v>3164.113159987</v>
          </cell>
          <cell r="F984" t="str">
            <v>PAISALO</v>
          </cell>
          <cell r="G984">
            <v>3157.4409999999998</v>
          </cell>
          <cell r="H984" t="str">
            <v>-</v>
          </cell>
          <cell r="I984" t="str">
            <v>-</v>
          </cell>
          <cell r="J984">
            <v>3160.7770799934997</v>
          </cell>
          <cell r="K984" t="str">
            <v>Small Cap</v>
          </cell>
        </row>
        <row r="985">
          <cell r="C985" t="str">
            <v>INE631E01024</v>
          </cell>
          <cell r="D985" t="str">
            <v>SPICELOUNG</v>
          </cell>
          <cell r="E985">
            <v>3068.540040033</v>
          </cell>
          <cell r="F985" t="str">
            <v>-</v>
          </cell>
          <cell r="G985" t="str">
            <v>-</v>
          </cell>
          <cell r="H985" t="str">
            <v>SPICELOUNG</v>
          </cell>
          <cell r="I985">
            <v>3244.1426676556698</v>
          </cell>
          <cell r="J985">
            <v>3156.3413538443347</v>
          </cell>
          <cell r="K985" t="str">
            <v>Small Cap</v>
          </cell>
        </row>
        <row r="986">
          <cell r="C986" t="str">
            <v>INE0HR601026</v>
          </cell>
          <cell r="D986" t="str">
            <v>DDEVPLSTIK</v>
          </cell>
          <cell r="E986">
            <v>3155.3278764890001</v>
          </cell>
          <cell r="F986" t="str">
            <v>DDEVPLSTIK</v>
          </cell>
          <cell r="G986">
            <v>3155.9027000000001</v>
          </cell>
          <cell r="H986" t="str">
            <v>-</v>
          </cell>
          <cell r="I986" t="str">
            <v>-</v>
          </cell>
          <cell r="J986">
            <v>3155.6152882445003</v>
          </cell>
          <cell r="K986" t="str">
            <v>Small Cap</v>
          </cell>
        </row>
        <row r="987">
          <cell r="C987" t="str">
            <v>INE244B01030</v>
          </cell>
          <cell r="D987" t="str">
            <v>PATELENG</v>
          </cell>
          <cell r="E987">
            <v>3154.5756025639998</v>
          </cell>
          <cell r="F987" t="str">
            <v>PATELENG</v>
          </cell>
          <cell r="G987">
            <v>3154.4096</v>
          </cell>
          <cell r="H987" t="str">
            <v>-</v>
          </cell>
          <cell r="I987" t="str">
            <v>-</v>
          </cell>
          <cell r="J987">
            <v>3154.4926012819997</v>
          </cell>
          <cell r="K987" t="str">
            <v>Small Cap</v>
          </cell>
        </row>
        <row r="988">
          <cell r="C988" t="str">
            <v>INE976A01021</v>
          </cell>
          <cell r="D988" t="str">
            <v>WSTCSTPAPR</v>
          </cell>
          <cell r="E988">
            <v>3140.5076309209999</v>
          </cell>
          <cell r="F988" t="str">
            <v>WSTCSTPAPR</v>
          </cell>
          <cell r="G988">
            <v>3140.8824</v>
          </cell>
          <cell r="H988" t="str">
            <v>-</v>
          </cell>
          <cell r="I988" t="str">
            <v>-</v>
          </cell>
          <cell r="J988">
            <v>3140.6950154605001</v>
          </cell>
          <cell r="K988" t="str">
            <v>Small Cap</v>
          </cell>
        </row>
        <row r="989">
          <cell r="C989" t="str">
            <v>INE845D01014</v>
          </cell>
          <cell r="D989" t="str">
            <v>GANECOS</v>
          </cell>
          <cell r="E989">
            <v>3140.5085842379999</v>
          </cell>
          <cell r="F989" t="str">
            <v>GANECOS</v>
          </cell>
          <cell r="G989">
            <v>3136.4504000000002</v>
          </cell>
          <cell r="H989" t="str">
            <v>-</v>
          </cell>
          <cell r="I989" t="str">
            <v>-</v>
          </cell>
          <cell r="J989">
            <v>3138.479492119</v>
          </cell>
          <cell r="K989" t="str">
            <v>Small Cap</v>
          </cell>
        </row>
        <row r="990">
          <cell r="C990" t="str">
            <v>INE291D01011</v>
          </cell>
          <cell r="D990" t="str">
            <v>KDDL</v>
          </cell>
          <cell r="E990">
            <v>3133.7218376000001</v>
          </cell>
          <cell r="F990" t="str">
            <v>KDDL</v>
          </cell>
          <cell r="G990">
            <v>3133.6554999999998</v>
          </cell>
          <cell r="H990" t="str">
            <v>-</v>
          </cell>
          <cell r="I990" t="str">
            <v>-</v>
          </cell>
          <cell r="J990">
            <v>3133.6886688</v>
          </cell>
          <cell r="K990" t="str">
            <v>Small Cap</v>
          </cell>
        </row>
        <row r="991">
          <cell r="C991" t="str">
            <v>INE683C01011</v>
          </cell>
          <cell r="D991" t="str">
            <v>MAITHANALL</v>
          </cell>
          <cell r="E991">
            <v>3132.7528117319998</v>
          </cell>
          <cell r="F991" t="str">
            <v>MAITHANALL</v>
          </cell>
          <cell r="G991">
            <v>3132.9203000000002</v>
          </cell>
          <cell r="H991" t="str">
            <v>-</v>
          </cell>
          <cell r="I991" t="str">
            <v>-</v>
          </cell>
          <cell r="J991">
            <v>3132.8365558659998</v>
          </cell>
          <cell r="K991" t="str">
            <v>Small Cap</v>
          </cell>
        </row>
        <row r="992">
          <cell r="C992" t="str">
            <v>INE633B01018</v>
          </cell>
          <cell r="D992" t="str">
            <v>POLYPLEX</v>
          </cell>
          <cell r="E992">
            <v>3127.1787881189998</v>
          </cell>
          <cell r="F992" t="str">
            <v>POLYPLEX</v>
          </cell>
          <cell r="G992">
            <v>3127.1426999999999</v>
          </cell>
          <cell r="H992" t="str">
            <v>-</v>
          </cell>
          <cell r="I992" t="str">
            <v>-</v>
          </cell>
          <cell r="J992">
            <v>3127.1607440594998</v>
          </cell>
          <cell r="K992" t="str">
            <v>Small Cap</v>
          </cell>
        </row>
        <row r="993">
          <cell r="C993" t="str">
            <v>INE0FHS01024</v>
          </cell>
          <cell r="D993" t="str">
            <v>DEEPINDS</v>
          </cell>
          <cell r="E993">
            <v>3126.3923809520002</v>
          </cell>
          <cell r="F993" t="str">
            <v>DEEPINDS</v>
          </cell>
          <cell r="G993">
            <v>3127.1289000000002</v>
          </cell>
          <cell r="H993" t="str">
            <v>-</v>
          </cell>
          <cell r="I993" t="str">
            <v>-</v>
          </cell>
          <cell r="J993">
            <v>3126.7606404759999</v>
          </cell>
          <cell r="K993" t="str">
            <v>Small Cap</v>
          </cell>
        </row>
        <row r="994">
          <cell r="C994" t="str">
            <v>INE229C01021</v>
          </cell>
          <cell r="D994" t="str">
            <v>SAGCEM</v>
          </cell>
          <cell r="E994">
            <v>3123.0597607770001</v>
          </cell>
          <cell r="F994" t="str">
            <v>SAGCEM</v>
          </cell>
          <cell r="G994">
            <v>3122.623</v>
          </cell>
          <cell r="H994" t="str">
            <v>-</v>
          </cell>
          <cell r="I994" t="str">
            <v>-</v>
          </cell>
          <cell r="J994">
            <v>3122.8413803885001</v>
          </cell>
          <cell r="K994" t="str">
            <v>Small Cap</v>
          </cell>
        </row>
        <row r="995">
          <cell r="C995" t="str">
            <v>INE076B01028</v>
          </cell>
          <cell r="D995" t="str">
            <v>SIYSIL</v>
          </cell>
          <cell r="E995">
            <v>3120.8895270990001</v>
          </cell>
          <cell r="F995" t="str">
            <v>SIYSIL</v>
          </cell>
          <cell r="G995">
            <v>3120.8463000000002</v>
          </cell>
          <cell r="H995" t="str">
            <v>-</v>
          </cell>
          <cell r="I995" t="str">
            <v>-</v>
          </cell>
          <cell r="J995">
            <v>3120.8679135495004</v>
          </cell>
          <cell r="K995" t="str">
            <v>Small Cap</v>
          </cell>
        </row>
        <row r="996">
          <cell r="C996" t="str">
            <v>INE198501012</v>
          </cell>
          <cell r="D996" t="str">
            <v>EUROPRATIK</v>
          </cell>
          <cell r="E996">
            <v>3101.5069852940001</v>
          </cell>
          <cell r="F996" t="str">
            <v>EUROPRATIK</v>
          </cell>
          <cell r="G996">
            <v>3102.5455000000002</v>
          </cell>
          <cell r="H996" t="str">
            <v>-</v>
          </cell>
          <cell r="I996" t="str">
            <v>-</v>
          </cell>
          <cell r="J996">
            <v>3102.0262426469999</v>
          </cell>
          <cell r="K996" t="str">
            <v>Small Cap</v>
          </cell>
        </row>
        <row r="997">
          <cell r="C997" t="str">
            <v>INE415B01044</v>
          </cell>
          <cell r="D997" t="str">
            <v>MARSONS</v>
          </cell>
          <cell r="E997">
            <v>3091.1823452379999</v>
          </cell>
          <cell r="F997" t="str">
            <v>-</v>
          </cell>
          <cell r="G997" t="str">
            <v>-</v>
          </cell>
          <cell r="H997" t="str">
            <v>-</v>
          </cell>
          <cell r="I997" t="str">
            <v>-</v>
          </cell>
          <cell r="J997">
            <v>3091.1823452379999</v>
          </cell>
          <cell r="K997" t="str">
            <v>Small Cap</v>
          </cell>
        </row>
        <row r="998">
          <cell r="C998" t="str">
            <v>INE07O001026</v>
          </cell>
          <cell r="D998" t="str">
            <v>EASEMYTRIP</v>
          </cell>
          <cell r="E998">
            <v>3093.1612303000002</v>
          </cell>
          <cell r="F998" t="str">
            <v>EASEMYTRIP</v>
          </cell>
          <cell r="G998">
            <v>3076.6502</v>
          </cell>
          <cell r="H998" t="str">
            <v>-</v>
          </cell>
          <cell r="I998" t="str">
            <v>-</v>
          </cell>
          <cell r="J998">
            <v>3084.9057151500001</v>
          </cell>
          <cell r="K998" t="str">
            <v>Small Cap</v>
          </cell>
        </row>
        <row r="999">
          <cell r="C999" t="str">
            <v>INE495S01016</v>
          </cell>
          <cell r="D999" t="str">
            <v>HPL</v>
          </cell>
          <cell r="E999">
            <v>3080.5138071439997</v>
          </cell>
          <cell r="F999" t="str">
            <v>HPL</v>
          </cell>
          <cell r="G999">
            <v>3079.9319999999998</v>
          </cell>
          <cell r="H999" t="str">
            <v>-</v>
          </cell>
          <cell r="I999" t="str">
            <v>-</v>
          </cell>
          <cell r="J999">
            <v>3080.2229035719997</v>
          </cell>
          <cell r="K999" t="str">
            <v>Small Cap</v>
          </cell>
        </row>
        <row r="1000">
          <cell r="C1000" t="str">
            <v>INE365D01021</v>
          </cell>
          <cell r="D1000" t="str">
            <v>ASHIANA</v>
          </cell>
          <cell r="E1000">
            <v>3067.65164013</v>
          </cell>
          <cell r="F1000" t="str">
            <v>ASHIANA</v>
          </cell>
          <cell r="G1000">
            <v>3066.7660999999998</v>
          </cell>
          <cell r="H1000" t="str">
            <v>-</v>
          </cell>
          <cell r="I1000" t="str">
            <v>-</v>
          </cell>
          <cell r="J1000">
            <v>3067.2088700650002</v>
          </cell>
          <cell r="K1000" t="str">
            <v>Small Cap</v>
          </cell>
        </row>
        <row r="1001">
          <cell r="C1001" t="str">
            <v>INE822C01015</v>
          </cell>
          <cell r="D1001" t="str">
            <v>TCPLPACK</v>
          </cell>
          <cell r="E1001">
            <v>3066.4652777779997</v>
          </cell>
          <cell r="F1001" t="str">
            <v>TCPLPACK</v>
          </cell>
          <cell r="G1001">
            <v>3065.7264</v>
          </cell>
          <cell r="H1001" t="str">
            <v>-</v>
          </cell>
          <cell r="I1001" t="str">
            <v>-</v>
          </cell>
          <cell r="J1001">
            <v>3066.0958388889999</v>
          </cell>
          <cell r="K1001" t="str">
            <v>Small Cap</v>
          </cell>
        </row>
        <row r="1002">
          <cell r="C1002" t="str">
            <v>INE03NU01014</v>
          </cell>
          <cell r="D1002" t="str">
            <v>BRIGHOTEL</v>
          </cell>
          <cell r="E1002">
            <v>3050.3147612349999</v>
          </cell>
          <cell r="F1002" t="str">
            <v>BRIGHOTEL</v>
          </cell>
          <cell r="G1002">
            <v>3049.9313000000002</v>
          </cell>
          <cell r="H1002" t="str">
            <v>-</v>
          </cell>
          <cell r="I1002" t="str">
            <v>-</v>
          </cell>
          <cell r="J1002">
            <v>3050.1230306175003</v>
          </cell>
          <cell r="K1002" t="str">
            <v>Small Cap</v>
          </cell>
        </row>
        <row r="1003">
          <cell r="C1003" t="str">
            <v>INE886D01026</v>
          </cell>
          <cell r="D1003" t="str">
            <v>EFCIL</v>
          </cell>
          <cell r="E1003">
            <v>3074.386024766</v>
          </cell>
          <cell r="F1003" t="str">
            <v>EFCIL</v>
          </cell>
          <cell r="G1003">
            <v>2993.9474</v>
          </cell>
          <cell r="H1003" t="str">
            <v>-</v>
          </cell>
          <cell r="I1003" t="str">
            <v>-</v>
          </cell>
          <cell r="J1003">
            <v>3034.1667123830002</v>
          </cell>
          <cell r="K1003" t="str">
            <v>Small Cap</v>
          </cell>
        </row>
        <row r="1004">
          <cell r="C1004" t="str">
            <v>INE278H01035</v>
          </cell>
          <cell r="D1004" t="str">
            <v>SANDHAR</v>
          </cell>
          <cell r="E1004">
            <v>3029.5034285269999</v>
          </cell>
          <cell r="F1004" t="str">
            <v>SANDHAR</v>
          </cell>
          <cell r="G1004">
            <v>3029.5583999999999</v>
          </cell>
          <cell r="H1004" t="str">
            <v>-</v>
          </cell>
          <cell r="I1004" t="str">
            <v>-</v>
          </cell>
          <cell r="J1004">
            <v>3029.5309142634997</v>
          </cell>
          <cell r="K1004" t="str">
            <v>Small Cap</v>
          </cell>
        </row>
        <row r="1005">
          <cell r="C1005" t="str">
            <v>INE500L01026</v>
          </cell>
          <cell r="D1005" t="str">
            <v>SHK</v>
          </cell>
          <cell r="E1005">
            <v>3022.1819956110003</v>
          </cell>
          <cell r="F1005" t="str">
            <v>SHK</v>
          </cell>
          <cell r="G1005">
            <v>3021.8184000000001</v>
          </cell>
          <cell r="H1005" t="str">
            <v>-</v>
          </cell>
          <cell r="I1005" t="str">
            <v>-</v>
          </cell>
          <cell r="J1005">
            <v>3022.0001978055002</v>
          </cell>
          <cell r="K1005" t="str">
            <v>Small Cap</v>
          </cell>
        </row>
        <row r="1006">
          <cell r="C1006" t="str">
            <v>INE305A01023</v>
          </cell>
          <cell r="D1006" t="str">
            <v>TFCILTD</v>
          </cell>
          <cell r="E1006">
            <v>3021.88184086</v>
          </cell>
          <cell r="F1006" t="str">
            <v>TFCILTD</v>
          </cell>
          <cell r="G1006">
            <v>3021.7554</v>
          </cell>
          <cell r="H1006" t="str">
            <v>-</v>
          </cell>
          <cell r="I1006" t="str">
            <v>-</v>
          </cell>
          <cell r="J1006">
            <v>3021.81862043</v>
          </cell>
          <cell r="K1006" t="str">
            <v>Small Cap</v>
          </cell>
        </row>
        <row r="1007">
          <cell r="C1007" t="str">
            <v>INE207E01023</v>
          </cell>
          <cell r="D1007" t="str">
            <v>RAMRAT</v>
          </cell>
          <cell r="E1007">
            <v>3030.1868995970003</v>
          </cell>
          <cell r="F1007" t="str">
            <v>RAMRAT</v>
          </cell>
          <cell r="G1007">
            <v>3009.9036000000001</v>
          </cell>
          <cell r="H1007" t="str">
            <v>-</v>
          </cell>
          <cell r="I1007" t="str">
            <v>-</v>
          </cell>
          <cell r="J1007">
            <v>3020.0452497985002</v>
          </cell>
          <cell r="K1007" t="str">
            <v>Small Cap</v>
          </cell>
        </row>
        <row r="1008">
          <cell r="C1008" t="str">
            <v>INE958L01026</v>
          </cell>
          <cell r="D1008" t="str">
            <v>META</v>
          </cell>
          <cell r="E1008">
            <v>3018.5030423450003</v>
          </cell>
          <cell r="F1008" t="str">
            <v>-</v>
          </cell>
          <cell r="G1008" t="str">
            <v>-</v>
          </cell>
          <cell r="H1008" t="str">
            <v>-</v>
          </cell>
          <cell r="I1008" t="str">
            <v>-</v>
          </cell>
          <cell r="J1008">
            <v>3018.5030423450003</v>
          </cell>
          <cell r="K1008" t="str">
            <v>Small Cap</v>
          </cell>
        </row>
        <row r="1009">
          <cell r="C1009" t="str">
            <v>INE209A01019</v>
          </cell>
          <cell r="D1009" t="str">
            <v>SUNDROP</v>
          </cell>
          <cell r="E1009">
            <v>3007.233538124</v>
          </cell>
          <cell r="F1009" t="str">
            <v>SUNDROP</v>
          </cell>
          <cell r="G1009">
            <v>3007.9022</v>
          </cell>
          <cell r="H1009" t="str">
            <v>-</v>
          </cell>
          <cell r="I1009" t="str">
            <v>-</v>
          </cell>
          <cell r="J1009">
            <v>3007.5678690619998</v>
          </cell>
          <cell r="K1009" t="str">
            <v>Small Cap</v>
          </cell>
        </row>
        <row r="1010">
          <cell r="C1010" t="str">
            <v>INE725E01024</v>
          </cell>
          <cell r="D1010" t="str">
            <v>ORISSAMINE</v>
          </cell>
          <cell r="E1010">
            <v>2987.51952381</v>
          </cell>
          <cell r="F1010" t="str">
            <v>ORISSAMINE</v>
          </cell>
          <cell r="G1010">
            <v>2987.9771000000001</v>
          </cell>
          <cell r="H1010" t="str">
            <v>-</v>
          </cell>
          <cell r="I1010" t="str">
            <v>-</v>
          </cell>
          <cell r="J1010">
            <v>2987.7483119050003</v>
          </cell>
          <cell r="K1010" t="str">
            <v>Small Cap</v>
          </cell>
        </row>
        <row r="1011">
          <cell r="C1011" t="str">
            <v>INE484C01030</v>
          </cell>
          <cell r="D1011" t="str">
            <v>VEEDOL</v>
          </cell>
          <cell r="E1011">
            <v>2986.0933142859999</v>
          </cell>
          <cell r="F1011" t="str">
            <v>VEEDOL</v>
          </cell>
          <cell r="G1011">
            <v>2987.5536000000002</v>
          </cell>
          <cell r="H1011" t="str">
            <v>-</v>
          </cell>
          <cell r="I1011" t="str">
            <v>-</v>
          </cell>
          <cell r="J1011">
            <v>2986.8234571430003</v>
          </cell>
          <cell r="K1011" t="str">
            <v>Small Cap</v>
          </cell>
        </row>
        <row r="1012">
          <cell r="C1012" t="str">
            <v>INE985S01024</v>
          </cell>
          <cell r="D1012" t="str">
            <v>TEAMLEASE</v>
          </cell>
          <cell r="E1012">
            <v>2980.955449262</v>
          </cell>
          <cell r="F1012" t="str">
            <v>TEAMLEASE</v>
          </cell>
          <cell r="G1012">
            <v>2981.7633000000001</v>
          </cell>
          <cell r="H1012" t="str">
            <v>-</v>
          </cell>
          <cell r="I1012" t="str">
            <v>-</v>
          </cell>
          <cell r="J1012">
            <v>2981.3593746309998</v>
          </cell>
          <cell r="K1012" t="str">
            <v>Small Cap</v>
          </cell>
        </row>
        <row r="1013">
          <cell r="C1013" t="str">
            <v>INE976R01033</v>
          </cell>
          <cell r="D1013" t="str">
            <v>AGIIL</v>
          </cell>
          <cell r="E1013">
            <v>2977.7673251430001</v>
          </cell>
          <cell r="F1013" t="str">
            <v>AGIIL</v>
          </cell>
          <cell r="G1013">
            <v>2976.5234</v>
          </cell>
          <cell r="H1013" t="str">
            <v>-</v>
          </cell>
          <cell r="I1013" t="str">
            <v>-</v>
          </cell>
          <cell r="J1013">
            <v>2977.1453625715003</v>
          </cell>
          <cell r="K1013" t="str">
            <v>Small Cap</v>
          </cell>
        </row>
        <row r="1014">
          <cell r="C1014" t="str">
            <v>INE163A01018</v>
          </cell>
          <cell r="D1014" t="str">
            <v>NOCIL</v>
          </cell>
          <cell r="E1014">
            <v>2973.759575129</v>
          </cell>
          <cell r="F1014" t="str">
            <v>NOCIL</v>
          </cell>
          <cell r="G1014">
            <v>2974.0075000000002</v>
          </cell>
          <cell r="H1014" t="str">
            <v>-</v>
          </cell>
          <cell r="I1014" t="str">
            <v>-</v>
          </cell>
          <cell r="J1014">
            <v>2973.8835375645003</v>
          </cell>
          <cell r="K1014" t="str">
            <v>Small Cap</v>
          </cell>
        </row>
        <row r="1015">
          <cell r="C1015" t="str">
            <v>INE624Z01016</v>
          </cell>
          <cell r="D1015" t="str">
            <v>SOLARA</v>
          </cell>
          <cell r="E1015">
            <v>3233.5713592080001</v>
          </cell>
          <cell r="F1015" t="str">
            <v>SOLARA</v>
          </cell>
          <cell r="G1015">
            <v>2699.7426</v>
          </cell>
          <cell r="H1015" t="str">
            <v>-</v>
          </cell>
          <cell r="I1015" t="str">
            <v>-</v>
          </cell>
          <cell r="J1015">
            <v>2966.6569796040003</v>
          </cell>
          <cell r="K1015" t="str">
            <v>Small Cap</v>
          </cell>
        </row>
        <row r="1016">
          <cell r="C1016" t="str">
            <v>INE056001014</v>
          </cell>
          <cell r="D1016" t="str">
            <v>CPML</v>
          </cell>
          <cell r="E1016">
            <v>2955.58752706</v>
          </cell>
          <cell r="F1016" t="str">
            <v>-</v>
          </cell>
          <cell r="G1016" t="str">
            <v>-</v>
          </cell>
          <cell r="H1016" t="str">
            <v>-</v>
          </cell>
          <cell r="I1016" t="str">
            <v>-</v>
          </cell>
          <cell r="J1016">
            <v>2955.58752706</v>
          </cell>
          <cell r="K1016" t="str">
            <v>Small Cap</v>
          </cell>
        </row>
        <row r="1017">
          <cell r="C1017" t="str">
            <v>INE0OV601013</v>
          </cell>
          <cell r="D1017" t="str">
            <v>EMSLIMITED</v>
          </cell>
          <cell r="E1017">
            <v>2948.8996012349999</v>
          </cell>
          <cell r="F1017" t="str">
            <v>EMSLIMITED</v>
          </cell>
          <cell r="G1017">
            <v>2949.1970999999999</v>
          </cell>
          <cell r="H1017" t="str">
            <v>-</v>
          </cell>
          <cell r="I1017" t="str">
            <v>-</v>
          </cell>
          <cell r="J1017">
            <v>2949.0483506174996</v>
          </cell>
          <cell r="K1017" t="str">
            <v>Small Cap</v>
          </cell>
        </row>
        <row r="1018">
          <cell r="C1018" t="str">
            <v>INE993A01026</v>
          </cell>
          <cell r="D1018" t="str">
            <v>MANINDS</v>
          </cell>
          <cell r="E1018">
            <v>2982.888048324</v>
          </cell>
          <cell r="F1018" t="str">
            <v>MANINDS</v>
          </cell>
          <cell r="G1018">
            <v>2910.5293999999999</v>
          </cell>
          <cell r="H1018" t="str">
            <v>-</v>
          </cell>
          <cell r="I1018" t="str">
            <v>-</v>
          </cell>
          <cell r="J1018">
            <v>2946.7087241620002</v>
          </cell>
          <cell r="K1018" t="str">
            <v>Small Cap</v>
          </cell>
        </row>
        <row r="1019">
          <cell r="C1019" t="str">
            <v>INE863B01029</v>
          </cell>
          <cell r="D1019" t="str">
            <v>PREMEXPLN</v>
          </cell>
          <cell r="E1019">
            <v>2945.2729339830003</v>
          </cell>
          <cell r="F1019" t="str">
            <v>PREMEXPLN</v>
          </cell>
          <cell r="G1019">
            <v>2944.7139999999999</v>
          </cell>
          <cell r="H1019" t="str">
            <v>-</v>
          </cell>
          <cell r="I1019" t="str">
            <v>-</v>
          </cell>
          <cell r="J1019">
            <v>2944.9934669915001</v>
          </cell>
          <cell r="K1019" t="str">
            <v>Small Cap</v>
          </cell>
        </row>
        <row r="1020">
          <cell r="C1020" t="str">
            <v>INE338A01024</v>
          </cell>
          <cell r="D1020" t="str">
            <v>TIRUMALCHM</v>
          </cell>
          <cell r="E1020">
            <v>2947.7718677729999</v>
          </cell>
          <cell r="F1020" t="str">
            <v>TIRUMALCHM</v>
          </cell>
          <cell r="G1020">
            <v>2902.9578000000001</v>
          </cell>
          <cell r="H1020" t="str">
            <v>-</v>
          </cell>
          <cell r="I1020" t="str">
            <v>-</v>
          </cell>
          <cell r="J1020">
            <v>2925.3648338865</v>
          </cell>
          <cell r="K1020" t="str">
            <v>Small Cap</v>
          </cell>
        </row>
        <row r="1021">
          <cell r="C1021" t="str">
            <v>INE989A01032</v>
          </cell>
          <cell r="D1021" t="str">
            <v>SANGHVIMOV</v>
          </cell>
          <cell r="E1021">
            <v>2895.4449955560003</v>
          </cell>
          <cell r="F1021" t="str">
            <v>SANGHVIMOV</v>
          </cell>
          <cell r="G1021">
            <v>2893.8234000000002</v>
          </cell>
          <cell r="H1021" t="str">
            <v>-</v>
          </cell>
          <cell r="I1021" t="str">
            <v>-</v>
          </cell>
          <cell r="J1021">
            <v>2894.6341977780003</v>
          </cell>
          <cell r="K1021" t="str">
            <v>Small Cap</v>
          </cell>
        </row>
        <row r="1022">
          <cell r="C1022" t="str">
            <v>INE529A01010</v>
          </cell>
          <cell r="D1022" t="str">
            <v>FMGOETZE</v>
          </cell>
          <cell r="E1022">
            <v>2881.293978662</v>
          </cell>
          <cell r="F1022" t="str">
            <v>FMGOETZE</v>
          </cell>
          <cell r="G1022">
            <v>2882.2674999999999</v>
          </cell>
          <cell r="H1022" t="str">
            <v>-</v>
          </cell>
          <cell r="I1022" t="str">
            <v>-</v>
          </cell>
          <cell r="J1022">
            <v>2881.7807393309999</v>
          </cell>
          <cell r="K1022" t="str">
            <v>Small Cap</v>
          </cell>
        </row>
        <row r="1023">
          <cell r="C1023" t="str">
            <v>INE579C01029</v>
          </cell>
          <cell r="D1023" t="str">
            <v>VIMTALABS</v>
          </cell>
          <cell r="E1023">
            <v>2881.0907096810001</v>
          </cell>
          <cell r="F1023" t="str">
            <v>VIMTALABS</v>
          </cell>
          <cell r="G1023">
            <v>2879.6570000000002</v>
          </cell>
          <cell r="H1023" t="str">
            <v>-</v>
          </cell>
          <cell r="I1023" t="str">
            <v>-</v>
          </cell>
          <cell r="J1023">
            <v>2880.3738548404999</v>
          </cell>
          <cell r="K1023" t="str">
            <v>Small Cap</v>
          </cell>
        </row>
        <row r="1024">
          <cell r="C1024" t="str">
            <v>INE386D01027</v>
          </cell>
          <cell r="D1024" t="str">
            <v>SBCL</v>
          </cell>
          <cell r="E1024">
            <v>2880.2122858810003</v>
          </cell>
          <cell r="F1024" t="str">
            <v>SBCL</v>
          </cell>
          <cell r="G1024">
            <v>2879.7779999999998</v>
          </cell>
          <cell r="H1024" t="str">
            <v>-</v>
          </cell>
          <cell r="I1024" t="str">
            <v>-</v>
          </cell>
          <cell r="J1024">
            <v>2879.9951429405</v>
          </cell>
          <cell r="K1024" t="str">
            <v>Small Cap</v>
          </cell>
        </row>
        <row r="1025">
          <cell r="C1025" t="str">
            <v>INE045J01034</v>
          </cell>
          <cell r="D1025" t="str">
            <v>FCL</v>
          </cell>
          <cell r="E1025">
            <v>2879.7403146470001</v>
          </cell>
          <cell r="F1025" t="str">
            <v>FCL</v>
          </cell>
          <cell r="G1025">
            <v>2879.7012</v>
          </cell>
          <cell r="H1025" t="str">
            <v>-</v>
          </cell>
          <cell r="I1025" t="str">
            <v>-</v>
          </cell>
          <cell r="J1025">
            <v>2879.7207573235</v>
          </cell>
          <cell r="K1025" t="str">
            <v>Small Cap</v>
          </cell>
        </row>
        <row r="1026">
          <cell r="C1026" t="str">
            <v>INE046W01019</v>
          </cell>
          <cell r="D1026" t="str">
            <v>MUTHOOTMF</v>
          </cell>
          <cell r="E1026">
            <v>2850.0541099040001</v>
          </cell>
          <cell r="F1026" t="str">
            <v>MUTHOOTMF</v>
          </cell>
          <cell r="G1026">
            <v>2850.9756000000002</v>
          </cell>
          <cell r="H1026" t="str">
            <v>-</v>
          </cell>
          <cell r="I1026" t="str">
            <v>-</v>
          </cell>
          <cell r="J1026">
            <v>2850.514854952</v>
          </cell>
          <cell r="K1026" t="str">
            <v>Small Cap</v>
          </cell>
        </row>
        <row r="1027">
          <cell r="C1027" t="str">
            <v>INE01JE01028</v>
          </cell>
          <cell r="D1027" t="str">
            <v>-</v>
          </cell>
          <cell r="E1027" t="str">
            <v>-</v>
          </cell>
          <cell r="F1027" t="str">
            <v>MARINE</v>
          </cell>
          <cell r="G1027">
            <v>2849.9819000000002</v>
          </cell>
          <cell r="H1027" t="str">
            <v>-</v>
          </cell>
          <cell r="I1027" t="str">
            <v>-</v>
          </cell>
          <cell r="J1027">
            <v>2849.9819000000002</v>
          </cell>
          <cell r="K1027" t="str">
            <v>Small Cap</v>
          </cell>
        </row>
        <row r="1028">
          <cell r="C1028" t="str">
            <v>INE034S01021</v>
          </cell>
          <cell r="D1028" t="str">
            <v>ARVSMART</v>
          </cell>
          <cell r="E1028">
            <v>2845.7245556509997</v>
          </cell>
          <cell r="F1028" t="str">
            <v>ARVSMART</v>
          </cell>
          <cell r="G1028">
            <v>2846.7521999999999</v>
          </cell>
          <cell r="H1028" t="str">
            <v>-</v>
          </cell>
          <cell r="I1028" t="str">
            <v>-</v>
          </cell>
          <cell r="J1028">
            <v>2846.2383778254998</v>
          </cell>
          <cell r="K1028" t="str">
            <v>Small Cap</v>
          </cell>
        </row>
        <row r="1029">
          <cell r="C1029" t="str">
            <v>INE127T01021</v>
          </cell>
          <cell r="D1029" t="str">
            <v>KPEL</v>
          </cell>
          <cell r="E1029">
            <v>2840.8782709430002</v>
          </cell>
          <cell r="F1029" t="str">
            <v>KPEL</v>
          </cell>
          <cell r="G1029">
            <v>2840.2278000000001</v>
          </cell>
          <cell r="H1029" t="str">
            <v>-</v>
          </cell>
          <cell r="I1029" t="str">
            <v>-</v>
          </cell>
          <cell r="J1029">
            <v>2840.5530354715002</v>
          </cell>
          <cell r="K1029" t="str">
            <v>Small Cap</v>
          </cell>
        </row>
        <row r="1030">
          <cell r="C1030" t="str">
            <v>INE162A01010</v>
          </cell>
          <cell r="D1030" t="str">
            <v>GIPCL</v>
          </cell>
          <cell r="E1030">
            <v>2839.189105814</v>
          </cell>
          <cell r="F1030" t="str">
            <v>GIPCL</v>
          </cell>
          <cell r="G1030">
            <v>2838.8798999999999</v>
          </cell>
          <cell r="H1030" t="str">
            <v>-</v>
          </cell>
          <cell r="I1030" t="str">
            <v>-</v>
          </cell>
          <cell r="J1030">
            <v>2839.0345029069999</v>
          </cell>
          <cell r="K1030" t="str">
            <v>Small Cap</v>
          </cell>
        </row>
        <row r="1031">
          <cell r="C1031" t="str">
            <v>INE603A01013</v>
          </cell>
          <cell r="D1031" t="str">
            <v>PRAKASH</v>
          </cell>
          <cell r="E1031">
            <v>2822.49323035</v>
          </cell>
          <cell r="F1031" t="str">
            <v>PRAKASH</v>
          </cell>
          <cell r="G1031">
            <v>2822.1563999999998</v>
          </cell>
          <cell r="H1031" t="str">
            <v>-</v>
          </cell>
          <cell r="I1031" t="str">
            <v>-</v>
          </cell>
          <cell r="J1031">
            <v>2822.3248151749999</v>
          </cell>
          <cell r="K1031" t="str">
            <v>Small Cap</v>
          </cell>
        </row>
        <row r="1032">
          <cell r="C1032" t="str">
            <v>INE416A01044</v>
          </cell>
          <cell r="D1032" t="str">
            <v>SABTNL</v>
          </cell>
          <cell r="E1032">
            <v>2818.2568174980001</v>
          </cell>
          <cell r="F1032" t="str">
            <v>SABTNL</v>
          </cell>
          <cell r="G1032">
            <v>2822.0648000000001</v>
          </cell>
          <cell r="H1032" t="str">
            <v>-</v>
          </cell>
          <cell r="I1032" t="str">
            <v>-</v>
          </cell>
          <cell r="J1032">
            <v>2820.1608087490004</v>
          </cell>
          <cell r="K1032" t="str">
            <v>Small Cap</v>
          </cell>
        </row>
        <row r="1033">
          <cell r="C1033" t="str">
            <v>INE425Y01011</v>
          </cell>
          <cell r="D1033" t="str">
            <v>RPSGVENT</v>
          </cell>
          <cell r="E1033">
            <v>2818.129634764</v>
          </cell>
          <cell r="F1033" t="str">
            <v>RPSGVENT</v>
          </cell>
          <cell r="G1033">
            <v>2817.9839000000002</v>
          </cell>
          <cell r="H1033" t="str">
            <v>-</v>
          </cell>
          <cell r="I1033" t="str">
            <v>-</v>
          </cell>
          <cell r="J1033">
            <v>2818.0567673820001</v>
          </cell>
          <cell r="K1033" t="str">
            <v>Small Cap</v>
          </cell>
        </row>
        <row r="1034">
          <cell r="C1034" t="str">
            <v>INE0GK401011</v>
          </cell>
          <cell r="D1034" t="str">
            <v>TATVA</v>
          </cell>
          <cell r="E1034">
            <v>2815.3507795249998</v>
          </cell>
          <cell r="F1034" t="str">
            <v>TATVA</v>
          </cell>
          <cell r="G1034">
            <v>2815.4919</v>
          </cell>
          <cell r="H1034" t="str">
            <v>-</v>
          </cell>
          <cell r="I1034" t="str">
            <v>-</v>
          </cell>
          <cell r="J1034">
            <v>2815.4213397624999</v>
          </cell>
          <cell r="K1034" t="str">
            <v>Small Cap</v>
          </cell>
        </row>
        <row r="1035">
          <cell r="C1035" t="str">
            <v>INE485C01029</v>
          </cell>
          <cell r="D1035" t="str">
            <v>IOLCP</v>
          </cell>
          <cell r="E1035">
            <v>2803.7165359349997</v>
          </cell>
          <cell r="F1035" t="str">
            <v>IOLCP</v>
          </cell>
          <cell r="G1035">
            <v>2803.6116999999999</v>
          </cell>
          <cell r="H1035" t="str">
            <v>-</v>
          </cell>
          <cell r="I1035" t="str">
            <v>-</v>
          </cell>
          <cell r="J1035">
            <v>2803.6641179674998</v>
          </cell>
          <cell r="K1035" t="str">
            <v>Small Cap</v>
          </cell>
        </row>
        <row r="1036">
          <cell r="C1036" t="str">
            <v>INE306A01021</v>
          </cell>
          <cell r="D1036" t="str">
            <v>BAJAJHIND</v>
          </cell>
          <cell r="E1036">
            <v>2801.473383907</v>
          </cell>
          <cell r="F1036" t="str">
            <v>BAJAJHIND</v>
          </cell>
          <cell r="G1036">
            <v>2800.0945999999999</v>
          </cell>
          <cell r="H1036" t="str">
            <v>-</v>
          </cell>
          <cell r="I1036" t="str">
            <v>-</v>
          </cell>
          <cell r="J1036">
            <v>2800.7839919534999</v>
          </cell>
          <cell r="K1036" t="str">
            <v>Small Cap</v>
          </cell>
        </row>
        <row r="1037">
          <cell r="C1037" t="str">
            <v>INE243D01012</v>
          </cell>
          <cell r="D1037" t="str">
            <v>BFUTILITIE</v>
          </cell>
          <cell r="E1037">
            <v>2798.044082163</v>
          </cell>
          <cell r="F1037" t="str">
            <v>BFUTILITIE</v>
          </cell>
          <cell r="G1037">
            <v>2798.4133000000002</v>
          </cell>
          <cell r="H1037" t="str">
            <v>-</v>
          </cell>
          <cell r="I1037" t="str">
            <v>-</v>
          </cell>
          <cell r="J1037">
            <v>2798.2286910815001</v>
          </cell>
          <cell r="K1037" t="str">
            <v>Small Cap</v>
          </cell>
        </row>
        <row r="1038">
          <cell r="C1038" t="str">
            <v>INE345D01031</v>
          </cell>
          <cell r="D1038" t="str">
            <v>LSIND</v>
          </cell>
          <cell r="E1038">
            <v>2780.056395565</v>
          </cell>
          <cell r="F1038" t="str">
            <v>-</v>
          </cell>
          <cell r="G1038" t="str">
            <v>-</v>
          </cell>
          <cell r="H1038" t="str">
            <v>-</v>
          </cell>
          <cell r="I1038" t="str">
            <v>-</v>
          </cell>
          <cell r="J1038">
            <v>2780.056395565</v>
          </cell>
          <cell r="K1038" t="str">
            <v>Small Cap</v>
          </cell>
        </row>
        <row r="1039">
          <cell r="C1039" t="str">
            <v>INE614A01028</v>
          </cell>
          <cell r="D1039" t="str">
            <v>RAMCOIND</v>
          </cell>
          <cell r="E1039">
            <v>2777.8909545729998</v>
          </cell>
          <cell r="F1039" t="str">
            <v>RAMCOIND</v>
          </cell>
          <cell r="G1039">
            <v>2777.6705999999999</v>
          </cell>
          <cell r="H1039" t="str">
            <v>-</v>
          </cell>
          <cell r="I1039" t="str">
            <v>-</v>
          </cell>
          <cell r="J1039">
            <v>2777.7807772864999</v>
          </cell>
          <cell r="K1039" t="str">
            <v>Small Cap</v>
          </cell>
        </row>
        <row r="1040">
          <cell r="C1040" t="str">
            <v>INE421C01016</v>
          </cell>
          <cell r="D1040" t="str">
            <v>TVSSRICHAK</v>
          </cell>
          <cell r="E1040">
            <v>2772.8414394759998</v>
          </cell>
          <cell r="F1040" t="str">
            <v>TVSSRICHAK</v>
          </cell>
          <cell r="G1040">
            <v>2773.1889999999999</v>
          </cell>
          <cell r="H1040" t="str">
            <v>-</v>
          </cell>
          <cell r="I1040" t="str">
            <v>-</v>
          </cell>
          <cell r="J1040">
            <v>2773.0152197379998</v>
          </cell>
          <cell r="K1040" t="str">
            <v>Small Cap</v>
          </cell>
        </row>
        <row r="1041">
          <cell r="C1041" t="str">
            <v>INE0MLS01022</v>
          </cell>
          <cell r="D1041" t="str">
            <v>EPACKPEB</v>
          </cell>
          <cell r="E1041">
            <v>2768.4084315150003</v>
          </cell>
          <cell r="F1041" t="str">
            <v>EPACKPEB</v>
          </cell>
          <cell r="G1041">
            <v>2768.5023999999999</v>
          </cell>
          <cell r="H1041" t="str">
            <v>-</v>
          </cell>
          <cell r="I1041" t="str">
            <v>-</v>
          </cell>
          <cell r="J1041">
            <v>2768.4554157575003</v>
          </cell>
          <cell r="K1041" t="str">
            <v>Small Cap</v>
          </cell>
        </row>
        <row r="1042">
          <cell r="C1042" t="str">
            <v>INE425B01027</v>
          </cell>
          <cell r="D1042" t="str">
            <v>BCG</v>
          </cell>
          <cell r="E1042">
            <v>2761.814357754</v>
          </cell>
          <cell r="F1042" t="str">
            <v>BCG</v>
          </cell>
          <cell r="G1042">
            <v>2762.3589000000002</v>
          </cell>
          <cell r="H1042" t="str">
            <v>-</v>
          </cell>
          <cell r="I1042" t="str">
            <v>-</v>
          </cell>
          <cell r="J1042">
            <v>2762.0866288770003</v>
          </cell>
          <cell r="K1042" t="str">
            <v>Small Cap</v>
          </cell>
        </row>
        <row r="1043">
          <cell r="C1043" t="str">
            <v>INE637C01025</v>
          </cell>
          <cell r="D1043" t="str">
            <v>POKARNA</v>
          </cell>
          <cell r="E1043">
            <v>2760.1790823810002</v>
          </cell>
          <cell r="F1043" t="str">
            <v>POKARNA</v>
          </cell>
          <cell r="G1043">
            <v>2760.0745000000002</v>
          </cell>
          <cell r="H1043" t="str">
            <v>-</v>
          </cell>
          <cell r="I1043" t="str">
            <v>-</v>
          </cell>
          <cell r="J1043">
            <v>2760.1267911905002</v>
          </cell>
          <cell r="K1043" t="str">
            <v>Small Cap</v>
          </cell>
        </row>
        <row r="1044">
          <cell r="C1044" t="str">
            <v>INE128A01029</v>
          </cell>
          <cell r="D1044" t="str">
            <v>EVEREADY</v>
          </cell>
          <cell r="E1044">
            <v>2753.0068971790001</v>
          </cell>
          <cell r="F1044" t="str">
            <v>EVEREADY</v>
          </cell>
          <cell r="G1044">
            <v>2752.3809999999999</v>
          </cell>
          <cell r="H1044" t="str">
            <v>-</v>
          </cell>
          <cell r="I1044" t="str">
            <v>-</v>
          </cell>
          <cell r="J1044">
            <v>2752.6939485895</v>
          </cell>
          <cell r="K1044" t="str">
            <v>Small Cap</v>
          </cell>
        </row>
        <row r="1045">
          <cell r="C1045" t="str">
            <v>INE0V7W01012</v>
          </cell>
          <cell r="D1045" t="str">
            <v>CARRARO</v>
          </cell>
          <cell r="E1045">
            <v>2750.6082572179998</v>
          </cell>
          <cell r="F1045" t="str">
            <v>CARRARO</v>
          </cell>
          <cell r="G1045">
            <v>2751.3415</v>
          </cell>
          <cell r="H1045" t="str">
            <v>-</v>
          </cell>
          <cell r="I1045" t="str">
            <v>-</v>
          </cell>
          <cell r="J1045">
            <v>2750.9748786089999</v>
          </cell>
          <cell r="K1045" t="str">
            <v>Small Cap</v>
          </cell>
        </row>
        <row r="1046">
          <cell r="C1046" t="str">
            <v>INE349A01021</v>
          </cell>
          <cell r="D1046" t="str">
            <v>NRBBEARING</v>
          </cell>
          <cell r="E1046">
            <v>2749.6095470320001</v>
          </cell>
          <cell r="F1046" t="str">
            <v>NRBBEARING</v>
          </cell>
          <cell r="G1046">
            <v>2750.5133999999998</v>
          </cell>
          <cell r="H1046" t="str">
            <v>-</v>
          </cell>
          <cell r="I1046" t="str">
            <v>-</v>
          </cell>
          <cell r="J1046">
            <v>2750.0614735159998</v>
          </cell>
          <cell r="K1046" t="str">
            <v>Small Cap</v>
          </cell>
        </row>
        <row r="1047">
          <cell r="C1047" t="str">
            <v>INE634A01018</v>
          </cell>
          <cell r="D1047" t="str">
            <v>HONDAPOWER</v>
          </cell>
          <cell r="E1047">
            <v>2747.4889309519999</v>
          </cell>
          <cell r="F1047" t="str">
            <v>HONDAPOWER</v>
          </cell>
          <cell r="G1047">
            <v>2747.6774</v>
          </cell>
          <cell r="H1047" t="str">
            <v>-</v>
          </cell>
          <cell r="I1047" t="str">
            <v>-</v>
          </cell>
          <cell r="J1047">
            <v>2747.583165476</v>
          </cell>
          <cell r="K1047" t="str">
            <v>Small Cap</v>
          </cell>
        </row>
        <row r="1048">
          <cell r="C1048" t="str">
            <v>INE083A01026</v>
          </cell>
          <cell r="D1048" t="str">
            <v>MOREPENLAB</v>
          </cell>
          <cell r="E1048">
            <v>2738.5638666300001</v>
          </cell>
          <cell r="F1048" t="str">
            <v>MOREPENLAB</v>
          </cell>
          <cell r="G1048">
            <v>2738.0985000000001</v>
          </cell>
          <cell r="H1048" t="str">
            <v>-</v>
          </cell>
          <cell r="I1048" t="str">
            <v>-</v>
          </cell>
          <cell r="J1048">
            <v>2738.3311833150001</v>
          </cell>
          <cell r="K1048" t="str">
            <v>Small Cap</v>
          </cell>
        </row>
        <row r="1049">
          <cell r="C1049" t="str">
            <v>INE835D01023</v>
          </cell>
          <cell r="D1049" t="str">
            <v>HIRECT</v>
          </cell>
          <cell r="E1049">
            <v>2738.3658204160001</v>
          </cell>
          <cell r="F1049" t="str">
            <v>HIRECT</v>
          </cell>
          <cell r="G1049">
            <v>2737.3456999999999</v>
          </cell>
          <cell r="H1049" t="str">
            <v>-</v>
          </cell>
          <cell r="I1049" t="str">
            <v>-</v>
          </cell>
          <cell r="J1049">
            <v>2737.855760208</v>
          </cell>
          <cell r="K1049" t="str">
            <v>Small Cap</v>
          </cell>
        </row>
        <row r="1050">
          <cell r="C1050" t="str">
            <v>INE0JA001018</v>
          </cell>
          <cell r="D1050" t="str">
            <v>VENUSPIPES</v>
          </cell>
          <cell r="E1050">
            <v>2734.6979230840002</v>
          </cell>
          <cell r="F1050" t="str">
            <v>VENUSPIPES</v>
          </cell>
          <cell r="G1050">
            <v>2730.3851</v>
          </cell>
          <cell r="H1050" t="str">
            <v>-</v>
          </cell>
          <cell r="I1050" t="str">
            <v>-</v>
          </cell>
          <cell r="J1050">
            <v>2732.5415115420001</v>
          </cell>
          <cell r="K1050" t="str">
            <v>Small Cap</v>
          </cell>
        </row>
        <row r="1051">
          <cell r="C1051" t="str">
            <v>INE035D01020</v>
          </cell>
          <cell r="D1051" t="str">
            <v>SOTL</v>
          </cell>
          <cell r="E1051">
            <v>2728.010750896</v>
          </cell>
          <cell r="F1051" t="str">
            <v>SOTL</v>
          </cell>
          <cell r="G1051">
            <v>2729.4744999999998</v>
          </cell>
          <cell r="H1051" t="str">
            <v>-</v>
          </cell>
          <cell r="I1051" t="str">
            <v>-</v>
          </cell>
          <cell r="J1051">
            <v>2728.7426254479997</v>
          </cell>
          <cell r="K1051" t="str">
            <v>Small Cap</v>
          </cell>
        </row>
        <row r="1052">
          <cell r="C1052" t="str">
            <v>INE338F01015</v>
          </cell>
          <cell r="D1052" t="str">
            <v>KLBRENG-B</v>
          </cell>
          <cell r="E1052">
            <v>2722.4725347029998</v>
          </cell>
          <cell r="F1052" t="str">
            <v>-</v>
          </cell>
          <cell r="G1052" t="str">
            <v>-</v>
          </cell>
          <cell r="H1052" t="str">
            <v>-</v>
          </cell>
          <cell r="I1052" t="str">
            <v>-</v>
          </cell>
          <cell r="J1052">
            <v>2722.4725347029998</v>
          </cell>
          <cell r="K1052" t="str">
            <v>Small Cap</v>
          </cell>
        </row>
        <row r="1053">
          <cell r="C1053" t="str">
            <v>INE391J01032</v>
          </cell>
          <cell r="D1053" t="str">
            <v>JTLIND</v>
          </cell>
          <cell r="E1053">
            <v>2677.1961392190001</v>
          </cell>
          <cell r="F1053" t="str">
            <v>JTLIND</v>
          </cell>
          <cell r="G1053">
            <v>2754.7222999999999</v>
          </cell>
          <cell r="H1053" t="str">
            <v>-</v>
          </cell>
          <cell r="I1053" t="str">
            <v>-</v>
          </cell>
          <cell r="J1053">
            <v>2715.9592196095</v>
          </cell>
          <cell r="K1053" t="str">
            <v>Small Cap</v>
          </cell>
        </row>
        <row r="1054">
          <cell r="C1054" t="str">
            <v>INE153A01019</v>
          </cell>
          <cell r="D1054" t="str">
            <v>MTNL</v>
          </cell>
          <cell r="E1054">
            <v>2707.52</v>
          </cell>
          <cell r="F1054" t="str">
            <v>MTNL</v>
          </cell>
          <cell r="G1054">
            <v>2706.75</v>
          </cell>
          <cell r="H1054" t="str">
            <v>-</v>
          </cell>
          <cell r="I1054" t="str">
            <v>-</v>
          </cell>
          <cell r="J1054">
            <v>2707.1350000000002</v>
          </cell>
          <cell r="K1054" t="str">
            <v>Small Cap</v>
          </cell>
        </row>
        <row r="1055">
          <cell r="C1055" t="str">
            <v>INE206N01018</v>
          </cell>
          <cell r="D1055" t="str">
            <v>RELTD</v>
          </cell>
          <cell r="E1055">
            <v>2706.1204256669998</v>
          </cell>
          <cell r="F1055" t="str">
            <v>RELTD</v>
          </cell>
          <cell r="G1055">
            <v>2705.0207999999998</v>
          </cell>
          <cell r="H1055" t="str">
            <v>-</v>
          </cell>
          <cell r="I1055" t="str">
            <v>-</v>
          </cell>
          <cell r="J1055">
            <v>2705.5706128334996</v>
          </cell>
          <cell r="K1055" t="str">
            <v>Small Cap</v>
          </cell>
        </row>
        <row r="1056">
          <cell r="C1056" t="str">
            <v>INE426A01027</v>
          </cell>
          <cell r="D1056" t="str">
            <v>ALEMBICLTD</v>
          </cell>
          <cell r="E1056">
            <v>2701.7768761749999</v>
          </cell>
          <cell r="F1056" t="str">
            <v>ALEMBICLTD</v>
          </cell>
          <cell r="G1056">
            <v>2702.1233000000002</v>
          </cell>
          <cell r="H1056" t="str">
            <v>-</v>
          </cell>
          <cell r="I1056" t="str">
            <v>-</v>
          </cell>
          <cell r="J1056">
            <v>2701.9500880875003</v>
          </cell>
          <cell r="K1056" t="str">
            <v>Small Cap</v>
          </cell>
        </row>
        <row r="1057">
          <cell r="C1057" t="str">
            <v>INE0U4701011</v>
          </cell>
          <cell r="D1057" t="str">
            <v>DIGITIDE</v>
          </cell>
          <cell r="E1057">
            <v>2689.8136139040002</v>
          </cell>
          <cell r="F1057" t="str">
            <v>DIGITIDE</v>
          </cell>
          <cell r="G1057">
            <v>2689.8584999999998</v>
          </cell>
          <cell r="H1057" t="str">
            <v>-</v>
          </cell>
          <cell r="I1057" t="str">
            <v>-</v>
          </cell>
          <cell r="J1057">
            <v>2689.836056952</v>
          </cell>
          <cell r="K1057" t="str">
            <v>Small Cap</v>
          </cell>
        </row>
        <row r="1058">
          <cell r="C1058" t="str">
            <v>INE519N01014</v>
          </cell>
          <cell r="D1058" t="str">
            <v>MIDWEST</v>
          </cell>
          <cell r="E1058">
            <v>2666.491474378</v>
          </cell>
          <cell r="F1058" t="str">
            <v>-</v>
          </cell>
          <cell r="G1058" t="str">
            <v>-</v>
          </cell>
          <cell r="H1058" t="str">
            <v>-</v>
          </cell>
          <cell r="I1058" t="str">
            <v>-</v>
          </cell>
          <cell r="J1058">
            <v>2666.491474378</v>
          </cell>
          <cell r="K1058" t="str">
            <v>Small Cap</v>
          </cell>
        </row>
        <row r="1059">
          <cell r="C1059" t="str">
            <v>INE927X01018</v>
          </cell>
          <cell r="D1059" t="str">
            <v>ELCIDIN</v>
          </cell>
          <cell r="E1059">
            <v>2665.2507301589999</v>
          </cell>
          <cell r="F1059" t="str">
            <v>-</v>
          </cell>
          <cell r="G1059" t="str">
            <v>-</v>
          </cell>
          <cell r="H1059" t="str">
            <v>-</v>
          </cell>
          <cell r="I1059" t="str">
            <v>-</v>
          </cell>
          <cell r="J1059">
            <v>2665.2507301589999</v>
          </cell>
          <cell r="K1059" t="str">
            <v>Small Cap</v>
          </cell>
        </row>
        <row r="1060">
          <cell r="C1060" t="str">
            <v>INE667G01023</v>
          </cell>
          <cell r="D1060" t="str">
            <v>SAKSOFT</v>
          </cell>
          <cell r="E1060">
            <v>2586.0813492060001</v>
          </cell>
          <cell r="F1060" t="str">
            <v>SAKSOFT</v>
          </cell>
          <cell r="G1060">
            <v>2742.1298000000002</v>
          </cell>
          <cell r="H1060" t="str">
            <v>-</v>
          </cell>
          <cell r="I1060" t="str">
            <v>-</v>
          </cell>
          <cell r="J1060">
            <v>2664.1055746030002</v>
          </cell>
          <cell r="K1060" t="str">
            <v>Small Cap</v>
          </cell>
        </row>
        <row r="1061">
          <cell r="C1061" t="str">
            <v>INE735W01017</v>
          </cell>
          <cell r="D1061" t="str">
            <v>UTKARSHBNK</v>
          </cell>
          <cell r="E1061">
            <v>2663.473491831</v>
          </cell>
          <cell r="F1061" t="str">
            <v>UTKARSHBNK</v>
          </cell>
          <cell r="G1061">
            <v>2662.5837000000001</v>
          </cell>
          <cell r="H1061" t="str">
            <v>-</v>
          </cell>
          <cell r="I1061" t="str">
            <v>-</v>
          </cell>
          <cell r="J1061">
            <v>2663.0285959154999</v>
          </cell>
          <cell r="K1061" t="str">
            <v>Small Cap</v>
          </cell>
        </row>
        <row r="1062">
          <cell r="C1062" t="str">
            <v>INE096B01018</v>
          </cell>
          <cell r="D1062" t="str">
            <v>NUCLEUS</v>
          </cell>
          <cell r="E1062">
            <v>2660.2860386950001</v>
          </cell>
          <cell r="F1062" t="str">
            <v>NUCLEUS</v>
          </cell>
          <cell r="G1062">
            <v>2660.5722999999998</v>
          </cell>
          <cell r="H1062" t="str">
            <v>-</v>
          </cell>
          <cell r="I1062" t="str">
            <v>-</v>
          </cell>
          <cell r="J1062">
            <v>2660.4291693474997</v>
          </cell>
          <cell r="K1062" t="str">
            <v>Small Cap</v>
          </cell>
        </row>
        <row r="1063">
          <cell r="C1063" t="str">
            <v>INE782X01033</v>
          </cell>
          <cell r="D1063" t="str">
            <v>-</v>
          </cell>
          <cell r="E1063" t="str">
            <v>-</v>
          </cell>
          <cell r="F1063" t="str">
            <v>SERVOTECH</v>
          </cell>
          <cell r="G1063">
            <v>2659.5835999999999</v>
          </cell>
          <cell r="H1063" t="str">
            <v>-</v>
          </cell>
          <cell r="I1063" t="str">
            <v>-</v>
          </cell>
          <cell r="J1063">
            <v>2659.5835999999999</v>
          </cell>
          <cell r="K1063" t="str">
            <v>Small Cap</v>
          </cell>
        </row>
        <row r="1064">
          <cell r="C1064" t="str">
            <v>INE262A01018</v>
          </cell>
          <cell r="D1064" t="str">
            <v>HMT</v>
          </cell>
          <cell r="E1064">
            <v>2662.2631247230001</v>
          </cell>
          <cell r="F1064" t="str">
            <v>HMT</v>
          </cell>
          <cell r="G1064">
            <v>2652.2013999999999</v>
          </cell>
          <cell r="H1064" t="str">
            <v>-</v>
          </cell>
          <cell r="I1064" t="str">
            <v>-</v>
          </cell>
          <cell r="J1064">
            <v>2657.2322623615</v>
          </cell>
          <cell r="K1064" t="str">
            <v>Small Cap</v>
          </cell>
        </row>
        <row r="1065">
          <cell r="C1065" t="str">
            <v>INE449A01011</v>
          </cell>
          <cell r="D1065" t="str">
            <v>AUTOAXLES</v>
          </cell>
          <cell r="E1065">
            <v>2654.555379762</v>
          </cell>
          <cell r="F1065" t="str">
            <v>AUTOAXLES</v>
          </cell>
          <cell r="G1065">
            <v>2654.8670000000002</v>
          </cell>
          <cell r="H1065" t="str">
            <v>-</v>
          </cell>
          <cell r="I1065" t="str">
            <v>-</v>
          </cell>
          <cell r="J1065">
            <v>2654.7111898809999</v>
          </cell>
          <cell r="K1065" t="str">
            <v>Small Cap</v>
          </cell>
        </row>
        <row r="1066">
          <cell r="C1066" t="str">
            <v>INE059D01020</v>
          </cell>
          <cell r="D1066" t="str">
            <v>LAOPALA</v>
          </cell>
          <cell r="E1066">
            <v>2649.8078571430001</v>
          </cell>
          <cell r="F1066" t="str">
            <v>LAOPALA</v>
          </cell>
          <cell r="G1066">
            <v>2649.2757999999999</v>
          </cell>
          <cell r="H1066" t="str">
            <v>-</v>
          </cell>
          <cell r="I1066" t="str">
            <v>-</v>
          </cell>
          <cell r="J1066">
            <v>2649.5418285715</v>
          </cell>
          <cell r="K1066" t="str">
            <v>Small Cap</v>
          </cell>
        </row>
        <row r="1067">
          <cell r="C1067" t="str">
            <v>INE0KL801015</v>
          </cell>
          <cell r="D1067" t="str">
            <v>DCXINDIA</v>
          </cell>
          <cell r="E1067">
            <v>2626.3991266380003</v>
          </cell>
          <cell r="F1067" t="str">
            <v>DCXINDIA</v>
          </cell>
          <cell r="G1067">
            <v>2626.1842999999999</v>
          </cell>
          <cell r="H1067" t="str">
            <v>-</v>
          </cell>
          <cell r="I1067" t="str">
            <v>-</v>
          </cell>
          <cell r="J1067">
            <v>2626.2917133190003</v>
          </cell>
          <cell r="K1067" t="str">
            <v>Small Cap</v>
          </cell>
        </row>
        <row r="1068">
          <cell r="C1068" t="str">
            <v>INE05AN01011</v>
          </cell>
          <cell r="D1068" t="str">
            <v>HINDWAREAP</v>
          </cell>
          <cell r="E1068">
            <v>2612.591062599</v>
          </cell>
          <cell r="F1068" t="str">
            <v>HINDWAREAP</v>
          </cell>
          <cell r="G1068">
            <v>2613.9054999999998</v>
          </cell>
          <cell r="H1068" t="str">
            <v>-</v>
          </cell>
          <cell r="I1068" t="str">
            <v>-</v>
          </cell>
          <cell r="J1068">
            <v>2613.2482812994999</v>
          </cell>
          <cell r="K1068" t="str">
            <v>Small Cap</v>
          </cell>
        </row>
        <row r="1069">
          <cell r="C1069" t="str">
            <v>INE873D01024</v>
          </cell>
          <cell r="D1069" t="str">
            <v>INDOCO</v>
          </cell>
          <cell r="E1069">
            <v>2608.283889457</v>
          </cell>
          <cell r="F1069" t="str">
            <v>INDOCO</v>
          </cell>
          <cell r="G1069">
            <v>2607.8701999999998</v>
          </cell>
          <cell r="H1069" t="str">
            <v>-</v>
          </cell>
          <cell r="I1069" t="str">
            <v>-</v>
          </cell>
          <cell r="J1069">
            <v>2608.0770447284999</v>
          </cell>
          <cell r="K1069" t="str">
            <v>Small Cap</v>
          </cell>
        </row>
        <row r="1070">
          <cell r="C1070" t="str">
            <v>INE0TY101024</v>
          </cell>
          <cell r="D1070" t="str">
            <v>SOLARWORLD</v>
          </cell>
          <cell r="E1070">
            <v>2602.4771332089999</v>
          </cell>
          <cell r="F1070" t="str">
            <v>SOLARWORLD</v>
          </cell>
          <cell r="G1070">
            <v>2601.3903</v>
          </cell>
          <cell r="H1070" t="str">
            <v>-</v>
          </cell>
          <cell r="I1070" t="str">
            <v>-</v>
          </cell>
          <cell r="J1070">
            <v>2601.9337166044998</v>
          </cell>
          <cell r="K1070" t="str">
            <v>Small Cap</v>
          </cell>
        </row>
        <row r="1071">
          <cell r="C1071" t="str">
            <v>INE052A01021</v>
          </cell>
          <cell r="D1071" t="str">
            <v>WINDMACHIN</v>
          </cell>
          <cell r="E1071">
            <v>2601.9540066439999</v>
          </cell>
          <cell r="F1071" t="str">
            <v>WINDMACHIN</v>
          </cell>
          <cell r="G1071">
            <v>2601.4209000000001</v>
          </cell>
          <cell r="H1071" t="str">
            <v>-</v>
          </cell>
          <cell r="I1071" t="str">
            <v>-</v>
          </cell>
          <cell r="J1071">
            <v>2601.6874533219998</v>
          </cell>
          <cell r="K1071" t="str">
            <v>Small Cap</v>
          </cell>
        </row>
        <row r="1072">
          <cell r="C1072" t="str">
            <v>INE586B01026</v>
          </cell>
          <cell r="D1072" t="str">
            <v>TAJGVK</v>
          </cell>
          <cell r="E1072">
            <v>2598.974479595</v>
          </cell>
          <cell r="F1072" t="str">
            <v>TAJGVK</v>
          </cell>
          <cell r="G1072">
            <v>2598.5540000000001</v>
          </cell>
          <cell r="H1072" t="str">
            <v>-</v>
          </cell>
          <cell r="I1072" t="str">
            <v>-</v>
          </cell>
          <cell r="J1072">
            <v>2598.7642397975001</v>
          </cell>
          <cell r="K1072" t="str">
            <v>Small Cap</v>
          </cell>
        </row>
        <row r="1073">
          <cell r="C1073" t="str">
            <v>INE792Z01011</v>
          </cell>
          <cell r="D1073" t="str">
            <v>SIRCA</v>
          </cell>
          <cell r="E1073">
            <v>2597.5490665709999</v>
          </cell>
          <cell r="F1073" t="str">
            <v>SIRCA</v>
          </cell>
          <cell r="G1073">
            <v>2594.5862000000002</v>
          </cell>
          <cell r="H1073" t="str">
            <v>-</v>
          </cell>
          <cell r="I1073" t="str">
            <v>-</v>
          </cell>
          <cell r="J1073">
            <v>2596.0676332855001</v>
          </cell>
          <cell r="K1073" t="str">
            <v>Small Cap</v>
          </cell>
        </row>
        <row r="1074">
          <cell r="C1074" t="str">
            <v>INE858F01012</v>
          </cell>
          <cell r="D1074" t="str">
            <v>NITCO</v>
          </cell>
          <cell r="E1074">
            <v>2594.8429702549997</v>
          </cell>
          <cell r="F1074" t="str">
            <v>NITCO</v>
          </cell>
          <cell r="G1074">
            <v>2594.9038999999998</v>
          </cell>
          <cell r="H1074" t="str">
            <v>-</v>
          </cell>
          <cell r="I1074" t="str">
            <v>-</v>
          </cell>
          <cell r="J1074">
            <v>2594.8734351274998</v>
          </cell>
          <cell r="K1074" t="str">
            <v>Small Cap</v>
          </cell>
        </row>
        <row r="1075">
          <cell r="C1075" t="str">
            <v>INE279A01012</v>
          </cell>
          <cell r="D1075" t="str">
            <v>UNIVCABLES</v>
          </cell>
          <cell r="E1075">
            <v>2698.035361834</v>
          </cell>
          <cell r="F1075" t="str">
            <v>UNIVCABLES</v>
          </cell>
          <cell r="G1075">
            <v>2488.5102999999999</v>
          </cell>
          <cell r="H1075" t="str">
            <v>-</v>
          </cell>
          <cell r="I1075" t="str">
            <v>-</v>
          </cell>
          <cell r="J1075">
            <v>2593.2728309169997</v>
          </cell>
          <cell r="K1075" t="str">
            <v>Small Cap</v>
          </cell>
        </row>
        <row r="1076">
          <cell r="C1076" t="str">
            <v>INE01R501028</v>
          </cell>
          <cell r="D1076" t="str">
            <v>VIKRAN</v>
          </cell>
          <cell r="E1076">
            <v>2592.0907332229999</v>
          </cell>
          <cell r="F1076" t="str">
            <v>VIKRAN</v>
          </cell>
          <cell r="G1076">
            <v>2592.1033000000002</v>
          </cell>
          <cell r="H1076" t="str">
            <v>-</v>
          </cell>
          <cell r="I1076" t="str">
            <v>-</v>
          </cell>
          <cell r="J1076">
            <v>2592.0970166115003</v>
          </cell>
          <cell r="K1076" t="str">
            <v>Small Cap</v>
          </cell>
        </row>
        <row r="1077">
          <cell r="C1077" t="str">
            <v>INE050M01012</v>
          </cell>
          <cell r="D1077" t="str">
            <v>VSSL</v>
          </cell>
          <cell r="E1077">
            <v>2598.0965359790002</v>
          </cell>
          <cell r="F1077" t="str">
            <v>VSSL</v>
          </cell>
          <cell r="G1077">
            <v>2584.7806999999998</v>
          </cell>
          <cell r="H1077" t="str">
            <v>-</v>
          </cell>
          <cell r="I1077" t="str">
            <v>-</v>
          </cell>
          <cell r="J1077">
            <v>2591.4386179895</v>
          </cell>
          <cell r="K1077" t="str">
            <v>Small Cap</v>
          </cell>
        </row>
        <row r="1078">
          <cell r="C1078" t="str">
            <v>INE438K01021</v>
          </cell>
          <cell r="D1078" t="str">
            <v>KALAMANDIR</v>
          </cell>
          <cell r="E1078">
            <v>2591.144806067</v>
          </cell>
          <cell r="F1078" t="str">
            <v>KALAMANDIR</v>
          </cell>
          <cell r="G1078">
            <v>2590.9452000000001</v>
          </cell>
          <cell r="H1078" t="str">
            <v>-</v>
          </cell>
          <cell r="I1078" t="str">
            <v>-</v>
          </cell>
          <cell r="J1078">
            <v>2591.0450030335001</v>
          </cell>
          <cell r="K1078" t="str">
            <v>Small Cap</v>
          </cell>
        </row>
        <row r="1079">
          <cell r="C1079" t="str">
            <v>INE0QVH01025</v>
          </cell>
          <cell r="D1079" t="str">
            <v>KPGEL</v>
          </cell>
          <cell r="E1079">
            <v>2588.1964285710001</v>
          </cell>
          <cell r="F1079" t="str">
            <v>-</v>
          </cell>
          <cell r="G1079" t="str">
            <v>-</v>
          </cell>
          <cell r="H1079" t="str">
            <v>-</v>
          </cell>
          <cell r="I1079" t="str">
            <v>-</v>
          </cell>
          <cell r="J1079">
            <v>2588.1964285710001</v>
          </cell>
          <cell r="K1079" t="str">
            <v>Small Cap</v>
          </cell>
        </row>
        <row r="1080">
          <cell r="C1080" t="str">
            <v>INE08LI01020</v>
          </cell>
          <cell r="D1080" t="str">
            <v>KRSNAA</v>
          </cell>
          <cell r="E1080">
            <v>2588.8474399439997</v>
          </cell>
          <cell r="F1080" t="str">
            <v>KRSNAA</v>
          </cell>
          <cell r="G1080">
            <v>2584.4110999999998</v>
          </cell>
          <cell r="H1080" t="str">
            <v>-</v>
          </cell>
          <cell r="I1080" t="str">
            <v>-</v>
          </cell>
          <cell r="J1080">
            <v>2586.6292699719997</v>
          </cell>
          <cell r="K1080" t="str">
            <v>Small Cap</v>
          </cell>
        </row>
        <row r="1081">
          <cell r="C1081" t="str">
            <v>INE317W01030</v>
          </cell>
          <cell r="D1081" t="str">
            <v>COLAB</v>
          </cell>
          <cell r="E1081">
            <v>2579.6819999999998</v>
          </cell>
          <cell r="F1081" t="str">
            <v>-</v>
          </cell>
          <cell r="G1081" t="str">
            <v>-</v>
          </cell>
          <cell r="H1081" t="str">
            <v>-</v>
          </cell>
          <cell r="I1081" t="str">
            <v>-</v>
          </cell>
          <cell r="J1081">
            <v>2579.6819999999998</v>
          </cell>
          <cell r="K1081" t="str">
            <v>Small Cap</v>
          </cell>
        </row>
        <row r="1082">
          <cell r="C1082" t="str">
            <v>INE482D01024</v>
          </cell>
          <cell r="D1082" t="str">
            <v>CARYSIL</v>
          </cell>
          <cell r="E1082">
            <v>2577.1517980900003</v>
          </cell>
          <cell r="F1082" t="str">
            <v>CARYSIL</v>
          </cell>
          <cell r="G1082">
            <v>2577.8121000000001</v>
          </cell>
          <cell r="H1082" t="str">
            <v>-</v>
          </cell>
          <cell r="I1082" t="str">
            <v>-</v>
          </cell>
          <cell r="J1082">
            <v>2577.481949045</v>
          </cell>
          <cell r="K1082" t="str">
            <v>Small Cap</v>
          </cell>
        </row>
        <row r="1083">
          <cell r="C1083" t="str">
            <v>INE586V01016</v>
          </cell>
          <cell r="D1083" t="str">
            <v>TCIEXP</v>
          </cell>
          <cell r="E1083">
            <v>2572.5152382419997</v>
          </cell>
          <cell r="F1083" t="str">
            <v>TCIEXP</v>
          </cell>
          <cell r="G1083">
            <v>2573.0934000000002</v>
          </cell>
          <cell r="H1083" t="str">
            <v>-</v>
          </cell>
          <cell r="I1083" t="str">
            <v>-</v>
          </cell>
          <cell r="J1083">
            <v>2572.8043191209999</v>
          </cell>
          <cell r="K1083" t="str">
            <v>Small Cap</v>
          </cell>
        </row>
        <row r="1084">
          <cell r="C1084" t="str">
            <v>INE480C01038</v>
          </cell>
          <cell r="D1084" t="str">
            <v>SDBL</v>
          </cell>
          <cell r="E1084">
            <v>2564.6756397720001</v>
          </cell>
          <cell r="F1084" t="str">
            <v>SDBL</v>
          </cell>
          <cell r="G1084">
            <v>2580.268</v>
          </cell>
          <cell r="H1084" t="str">
            <v>-</v>
          </cell>
          <cell r="I1084" t="str">
            <v>-</v>
          </cell>
          <cell r="J1084">
            <v>2572.471819886</v>
          </cell>
          <cell r="K1084" t="str">
            <v>Small Cap</v>
          </cell>
        </row>
        <row r="1085">
          <cell r="C1085" t="str">
            <v>INE0CJD01029</v>
          </cell>
          <cell r="D1085" t="str">
            <v>KMEW</v>
          </cell>
          <cell r="E1085">
            <v>2578.8573503140001</v>
          </cell>
          <cell r="F1085" t="str">
            <v>KMEW</v>
          </cell>
          <cell r="G1085">
            <v>2530.4413</v>
          </cell>
          <cell r="H1085" t="str">
            <v>-</v>
          </cell>
          <cell r="I1085" t="str">
            <v>-</v>
          </cell>
          <cell r="J1085">
            <v>2554.649325157</v>
          </cell>
          <cell r="K1085" t="str">
            <v>Small Cap</v>
          </cell>
        </row>
        <row r="1086">
          <cell r="C1086" t="str">
            <v>INE805C01028</v>
          </cell>
          <cell r="D1086" t="str">
            <v>KCP</v>
          </cell>
          <cell r="E1086">
            <v>2541.1997730099997</v>
          </cell>
          <cell r="F1086" t="str">
            <v>KCP</v>
          </cell>
          <cell r="G1086">
            <v>2541.2130999999999</v>
          </cell>
          <cell r="H1086" t="str">
            <v>-</v>
          </cell>
          <cell r="I1086" t="str">
            <v>-</v>
          </cell>
          <cell r="J1086">
            <v>2541.2064365050001</v>
          </cell>
          <cell r="K1086" t="str">
            <v>Small Cap</v>
          </cell>
        </row>
        <row r="1087">
          <cell r="C1087" t="str">
            <v>INE016Q01014</v>
          </cell>
          <cell r="D1087" t="str">
            <v>CEINSYSTECH</v>
          </cell>
          <cell r="E1087">
            <v>2540.3051775110002</v>
          </cell>
          <cell r="F1087" t="str">
            <v>-</v>
          </cell>
          <cell r="G1087" t="str">
            <v>-</v>
          </cell>
          <cell r="H1087" t="str">
            <v>-</v>
          </cell>
          <cell r="I1087" t="str">
            <v>-</v>
          </cell>
          <cell r="J1087">
            <v>2540.3051775110002</v>
          </cell>
          <cell r="K1087" t="str">
            <v>Small Cap</v>
          </cell>
        </row>
        <row r="1088">
          <cell r="C1088" t="str">
            <v>INE922A01025</v>
          </cell>
          <cell r="D1088" t="str">
            <v>BEPL</v>
          </cell>
          <cell r="E1088">
            <v>2537.27790534</v>
          </cell>
          <cell r="F1088" t="str">
            <v>BEPL</v>
          </cell>
          <cell r="G1088">
            <v>2537.1298000000002</v>
          </cell>
          <cell r="H1088" t="str">
            <v>-</v>
          </cell>
          <cell r="I1088" t="str">
            <v>-</v>
          </cell>
          <cell r="J1088">
            <v>2537.2038526699998</v>
          </cell>
          <cell r="K1088" t="str">
            <v>Small Cap</v>
          </cell>
        </row>
        <row r="1089">
          <cell r="C1089" t="str">
            <v>INE982F01036</v>
          </cell>
          <cell r="D1089" t="str">
            <v>HATHWAY</v>
          </cell>
          <cell r="E1089">
            <v>2503.8409121469999</v>
          </cell>
          <cell r="F1089" t="str">
            <v>HATHWAY</v>
          </cell>
          <cell r="G1089">
            <v>2503.0120999999999</v>
          </cell>
          <cell r="H1089" t="str">
            <v>-</v>
          </cell>
          <cell r="I1089" t="str">
            <v>-</v>
          </cell>
          <cell r="J1089">
            <v>2503.4265060734997</v>
          </cell>
          <cell r="K1089" t="str">
            <v>Small Cap</v>
          </cell>
        </row>
        <row r="1090">
          <cell r="C1090" t="str">
            <v>INE903D01011</v>
          </cell>
          <cell r="D1090" t="str">
            <v>MONARCH</v>
          </cell>
          <cell r="E1090">
            <v>2589.4623846180002</v>
          </cell>
          <cell r="F1090" t="str">
            <v>MONARCH</v>
          </cell>
          <cell r="G1090">
            <v>2414.3220999999999</v>
          </cell>
          <cell r="H1090" t="str">
            <v>-</v>
          </cell>
          <cell r="I1090" t="str">
            <v>-</v>
          </cell>
          <cell r="J1090">
            <v>2501.8922423089998</v>
          </cell>
          <cell r="K1090" t="str">
            <v>Small Cap</v>
          </cell>
        </row>
        <row r="1091">
          <cell r="C1091" t="str">
            <v>INE495A01022</v>
          </cell>
          <cell r="D1091" t="str">
            <v>DALMIASUG</v>
          </cell>
          <cell r="E1091">
            <v>2497.2280239639999</v>
          </cell>
          <cell r="F1091" t="str">
            <v>DALMIASUG</v>
          </cell>
          <cell r="G1091">
            <v>2495.1660000000002</v>
          </cell>
          <cell r="H1091" t="str">
            <v>-</v>
          </cell>
          <cell r="I1091" t="str">
            <v>-</v>
          </cell>
          <cell r="J1091">
            <v>2496.1970119819998</v>
          </cell>
          <cell r="K1091" t="str">
            <v>Small Cap</v>
          </cell>
        </row>
        <row r="1092">
          <cell r="C1092" t="str">
            <v>INE612J01015</v>
          </cell>
          <cell r="D1092" t="str">
            <v>REPCOHOME</v>
          </cell>
          <cell r="E1092">
            <v>2495.0389725279997</v>
          </cell>
          <cell r="F1092" t="str">
            <v>REPCOHOME</v>
          </cell>
          <cell r="G1092">
            <v>2495.9798999999998</v>
          </cell>
          <cell r="H1092" t="str">
            <v>-</v>
          </cell>
          <cell r="I1092" t="str">
            <v>-</v>
          </cell>
          <cell r="J1092">
            <v>2495.5094362639998</v>
          </cell>
          <cell r="K1092" t="str">
            <v>Small Cap</v>
          </cell>
        </row>
        <row r="1093">
          <cell r="C1093" t="str">
            <v>INE0VN801010</v>
          </cell>
          <cell r="D1093" t="str">
            <v>RAJESH</v>
          </cell>
          <cell r="E1093">
            <v>2494.321056884</v>
          </cell>
          <cell r="F1093" t="str">
            <v>-</v>
          </cell>
          <cell r="G1093" t="str">
            <v>-</v>
          </cell>
          <cell r="H1093" t="str">
            <v>-</v>
          </cell>
          <cell r="I1093" t="str">
            <v>-</v>
          </cell>
          <cell r="J1093">
            <v>2494.321056884</v>
          </cell>
          <cell r="K1093" t="str">
            <v>Small Cap</v>
          </cell>
        </row>
        <row r="1094">
          <cell r="C1094" t="str">
            <v>INE982B01027</v>
          </cell>
          <cell r="D1094" t="str">
            <v>ADFFOODS</v>
          </cell>
          <cell r="E1094">
            <v>2490.8431206390001</v>
          </cell>
          <cell r="F1094" t="str">
            <v>ADFFOODS</v>
          </cell>
          <cell r="G1094">
            <v>2490.6896999999999</v>
          </cell>
          <cell r="H1094" t="str">
            <v>-</v>
          </cell>
          <cell r="I1094" t="str">
            <v>-</v>
          </cell>
          <cell r="J1094">
            <v>2490.7664103195002</v>
          </cell>
          <cell r="K1094" t="str">
            <v>Small Cap</v>
          </cell>
        </row>
        <row r="1095">
          <cell r="C1095" t="str">
            <v>INE922B01023</v>
          </cell>
          <cell r="D1095" t="str">
            <v>PANACEABIO</v>
          </cell>
          <cell r="E1095">
            <v>2480.3416675150002</v>
          </cell>
          <cell r="F1095" t="str">
            <v>PANACEABIO</v>
          </cell>
          <cell r="G1095">
            <v>2480.6455000000001</v>
          </cell>
          <cell r="H1095" t="str">
            <v>-</v>
          </cell>
          <cell r="I1095" t="str">
            <v>-</v>
          </cell>
          <cell r="J1095">
            <v>2480.4935837575003</v>
          </cell>
          <cell r="K1095" t="str">
            <v>Small Cap</v>
          </cell>
        </row>
        <row r="1096">
          <cell r="C1096" t="str">
            <v>INE903A01025</v>
          </cell>
          <cell r="D1096" t="str">
            <v>JAYKAY</v>
          </cell>
          <cell r="E1096">
            <v>2346.7709647509996</v>
          </cell>
          <cell r="F1096" t="str">
            <v>JAYKAY</v>
          </cell>
          <cell r="G1096">
            <v>2609.9951999999998</v>
          </cell>
          <cell r="H1096" t="str">
            <v>-</v>
          </cell>
          <cell r="I1096" t="str">
            <v>-</v>
          </cell>
          <cell r="J1096">
            <v>2478.3830823754997</v>
          </cell>
          <cell r="K1096" t="str">
            <v>Small Cap</v>
          </cell>
        </row>
        <row r="1097">
          <cell r="C1097" t="str">
            <v>INE192H01020</v>
          </cell>
          <cell r="D1097" t="str">
            <v>GRMOVER</v>
          </cell>
          <cell r="E1097">
            <v>2474.8694685709997</v>
          </cell>
          <cell r="F1097" t="str">
            <v>GRMOVER</v>
          </cell>
          <cell r="G1097">
            <v>2468.0288</v>
          </cell>
          <cell r="H1097" t="str">
            <v>-</v>
          </cell>
          <cell r="I1097" t="str">
            <v>-</v>
          </cell>
          <cell r="J1097">
            <v>2471.4491342854999</v>
          </cell>
          <cell r="K1097" t="str">
            <v>Small Cap</v>
          </cell>
        </row>
        <row r="1098">
          <cell r="C1098" t="str">
            <v>INE393P01035</v>
          </cell>
          <cell r="D1098" t="str">
            <v>DIAMONDYD</v>
          </cell>
          <cell r="E1098">
            <v>2468.1744026599999</v>
          </cell>
          <cell r="F1098" t="str">
            <v>DIAMONDYD</v>
          </cell>
          <cell r="G1098">
            <v>2467.7606000000001</v>
          </cell>
          <cell r="H1098" t="str">
            <v>-</v>
          </cell>
          <cell r="I1098" t="str">
            <v>-</v>
          </cell>
          <cell r="J1098">
            <v>2467.9675013300002</v>
          </cell>
          <cell r="K1098" t="str">
            <v>Small Cap</v>
          </cell>
        </row>
        <row r="1099">
          <cell r="C1099" t="str">
            <v>INE264T01014</v>
          </cell>
          <cell r="D1099" t="str">
            <v>CAPACITE</v>
          </cell>
          <cell r="E1099">
            <v>2455.263044713</v>
          </cell>
          <cell r="F1099" t="str">
            <v>CAPACITE</v>
          </cell>
          <cell r="G1099">
            <v>2455.1723999999999</v>
          </cell>
          <cell r="H1099" t="str">
            <v>-</v>
          </cell>
          <cell r="I1099" t="str">
            <v>-</v>
          </cell>
          <cell r="J1099">
            <v>2455.2177223565</v>
          </cell>
          <cell r="K1099" t="str">
            <v>Small Cap</v>
          </cell>
        </row>
        <row r="1100">
          <cell r="C1100" t="str">
            <v>INE445C01015</v>
          </cell>
          <cell r="D1100" t="str">
            <v>XPROINDIA</v>
          </cell>
          <cell r="E1100">
            <v>2387.7000685599996</v>
          </cell>
          <cell r="F1100" t="str">
            <v>XPROINDIA</v>
          </cell>
          <cell r="G1100">
            <v>2518.5349000000001</v>
          </cell>
          <cell r="H1100" t="str">
            <v>-</v>
          </cell>
          <cell r="I1100" t="str">
            <v>-</v>
          </cell>
          <cell r="J1100">
            <v>2453.1174842800001</v>
          </cell>
          <cell r="K1100" t="str">
            <v>Small Cap</v>
          </cell>
        </row>
        <row r="1101">
          <cell r="C1101" t="str">
            <v>INE0OJW01016</v>
          </cell>
          <cell r="D1101" t="str">
            <v>ROSSTECH</v>
          </cell>
          <cell r="E1101">
            <v>2450.4219600779998</v>
          </cell>
          <cell r="F1101" t="str">
            <v>ROSSTECH</v>
          </cell>
          <cell r="G1101">
            <v>2449.14</v>
          </cell>
          <cell r="H1101" t="str">
            <v>-</v>
          </cell>
          <cell r="I1101" t="str">
            <v>-</v>
          </cell>
          <cell r="J1101">
            <v>2449.7809800389996</v>
          </cell>
          <cell r="K1101" t="str">
            <v>Small Cap</v>
          </cell>
        </row>
        <row r="1102">
          <cell r="C1102" t="str">
            <v>INE816B01035</v>
          </cell>
          <cell r="D1102" t="str">
            <v>FILATEX</v>
          </cell>
          <cell r="E1102">
            <v>2448.0571160540003</v>
          </cell>
          <cell r="F1102" t="str">
            <v>FILATEX</v>
          </cell>
          <cell r="G1102">
            <v>2447.2051999999999</v>
          </cell>
          <cell r="H1102" t="str">
            <v>-</v>
          </cell>
          <cell r="I1102" t="str">
            <v>-</v>
          </cell>
          <cell r="J1102">
            <v>2447.6311580270003</v>
          </cell>
          <cell r="K1102" t="str">
            <v>Small Cap</v>
          </cell>
        </row>
        <row r="1103">
          <cell r="C1103" t="str">
            <v>INE812G01025</v>
          </cell>
          <cell r="D1103" t="str">
            <v>SMSPHARMA</v>
          </cell>
          <cell r="E1103">
            <v>2445.8624586159999</v>
          </cell>
          <cell r="F1103" t="str">
            <v>SMSPHARMA</v>
          </cell>
          <cell r="G1103">
            <v>2428.4728</v>
          </cell>
          <cell r="H1103" t="str">
            <v>-</v>
          </cell>
          <cell r="I1103" t="str">
            <v>-</v>
          </cell>
          <cell r="J1103">
            <v>2437.167629308</v>
          </cell>
          <cell r="K1103" t="str">
            <v>Small Cap</v>
          </cell>
        </row>
        <row r="1104">
          <cell r="C1104" t="str">
            <v>INE197D01010</v>
          </cell>
          <cell r="D1104" t="str">
            <v>JINDALPOLY</v>
          </cell>
          <cell r="E1104">
            <v>2436.0449243630001</v>
          </cell>
          <cell r="F1104" t="str">
            <v>JINDALPOLY</v>
          </cell>
          <cell r="G1104">
            <v>2436.1804999999999</v>
          </cell>
          <cell r="H1104" t="str">
            <v>-</v>
          </cell>
          <cell r="I1104" t="str">
            <v>-</v>
          </cell>
          <cell r="J1104">
            <v>2436.1127121814998</v>
          </cell>
          <cell r="K1104" t="str">
            <v>Small Cap</v>
          </cell>
        </row>
        <row r="1105">
          <cell r="C1105" t="str">
            <v>INE438E01032</v>
          </cell>
          <cell r="D1105" t="str">
            <v>SIKA</v>
          </cell>
          <cell r="E1105">
            <v>2417.4087392609999</v>
          </cell>
          <cell r="F1105" t="str">
            <v>-</v>
          </cell>
          <cell r="G1105" t="str">
            <v>-</v>
          </cell>
          <cell r="H1105" t="str">
            <v>-</v>
          </cell>
          <cell r="I1105" t="str">
            <v>-</v>
          </cell>
          <cell r="J1105">
            <v>2417.4087392609999</v>
          </cell>
          <cell r="K1105" t="str">
            <v>Small Cap</v>
          </cell>
        </row>
        <row r="1106">
          <cell r="C1106" t="str">
            <v>INE488B01017</v>
          </cell>
          <cell r="D1106" t="str">
            <v>TASTYBITE</v>
          </cell>
          <cell r="E1106">
            <v>2411.5791382540001</v>
          </cell>
          <cell r="F1106" t="str">
            <v>TASTYBITE</v>
          </cell>
          <cell r="G1106">
            <v>2411.9056</v>
          </cell>
          <cell r="H1106" t="str">
            <v>-</v>
          </cell>
          <cell r="I1106" t="str">
            <v>-</v>
          </cell>
          <cell r="J1106">
            <v>2411.7423691270001</v>
          </cell>
          <cell r="K1106" t="str">
            <v>Small Cap</v>
          </cell>
        </row>
        <row r="1107">
          <cell r="C1107" t="str">
            <v>INE170I01016</v>
          </cell>
          <cell r="D1107" t="str">
            <v>HGS</v>
          </cell>
          <cell r="E1107">
            <v>2398.6357377630002</v>
          </cell>
          <cell r="F1107" t="str">
            <v>HGS</v>
          </cell>
          <cell r="G1107">
            <v>2398.0099</v>
          </cell>
          <cell r="H1107" t="str">
            <v>-</v>
          </cell>
          <cell r="I1107" t="str">
            <v>-</v>
          </cell>
          <cell r="J1107">
            <v>2398.3228188815001</v>
          </cell>
          <cell r="K1107" t="str">
            <v>Small Cap</v>
          </cell>
        </row>
        <row r="1108">
          <cell r="C1108" t="str">
            <v>INE024001021</v>
          </cell>
          <cell r="D1108" t="str">
            <v>AEROFLEX</v>
          </cell>
          <cell r="E1108">
            <v>2398.2719204539999</v>
          </cell>
          <cell r="F1108" t="str">
            <v>AEROFLEX</v>
          </cell>
          <cell r="G1108">
            <v>2398.2903999999999</v>
          </cell>
          <cell r="H1108" t="str">
            <v>-</v>
          </cell>
          <cell r="I1108" t="str">
            <v>-</v>
          </cell>
          <cell r="J1108">
            <v>2398.2811602269999</v>
          </cell>
          <cell r="K1108" t="str">
            <v>Small Cap</v>
          </cell>
        </row>
        <row r="1109">
          <cell r="C1109" t="str">
            <v>INE515A01019</v>
          </cell>
          <cell r="D1109" t="str">
            <v>COCKERILL</v>
          </cell>
          <cell r="E1109">
            <v>2395.6563954849998</v>
          </cell>
          <cell r="F1109" t="str">
            <v>-</v>
          </cell>
          <cell r="G1109" t="str">
            <v>-</v>
          </cell>
          <cell r="H1109" t="str">
            <v>-</v>
          </cell>
          <cell r="I1109" t="str">
            <v>-</v>
          </cell>
          <cell r="J1109">
            <v>2395.6563954849998</v>
          </cell>
          <cell r="K1109" t="str">
            <v>Small Cap</v>
          </cell>
        </row>
        <row r="1110">
          <cell r="C1110" t="str">
            <v>INE070D01027</v>
          </cell>
          <cell r="D1110" t="str">
            <v>JAICORPLTD</v>
          </cell>
          <cell r="E1110">
            <v>2393.5538365709999</v>
          </cell>
          <cell r="F1110" t="str">
            <v>JAICORPLTD</v>
          </cell>
          <cell r="G1110">
            <v>2392.8323</v>
          </cell>
          <cell r="H1110" t="str">
            <v>-</v>
          </cell>
          <cell r="I1110" t="str">
            <v>-</v>
          </cell>
          <cell r="J1110">
            <v>2393.1930682855</v>
          </cell>
          <cell r="K1110" t="str">
            <v>Small Cap</v>
          </cell>
        </row>
        <row r="1111">
          <cell r="C1111" t="str">
            <v>INE893J01029</v>
          </cell>
          <cell r="D1111" t="str">
            <v>MOLDTKPAC</v>
          </cell>
          <cell r="E1111">
            <v>2395.0834209889999</v>
          </cell>
          <cell r="F1111" t="str">
            <v>MOLDTKPAC</v>
          </cell>
          <cell r="G1111">
            <v>2387.7811999999999</v>
          </cell>
          <cell r="H1111" t="str">
            <v>-</v>
          </cell>
          <cell r="I1111" t="str">
            <v>-</v>
          </cell>
          <cell r="J1111">
            <v>2391.4323104944997</v>
          </cell>
          <cell r="K1111" t="str">
            <v>Small Cap</v>
          </cell>
        </row>
        <row r="1112">
          <cell r="C1112" t="str">
            <v>INE757A01017</v>
          </cell>
          <cell r="D1112" t="str">
            <v>COSMOFIRST</v>
          </cell>
          <cell r="E1112">
            <v>2386.7376776700003</v>
          </cell>
          <cell r="F1112" t="str">
            <v>COSMOFIRST</v>
          </cell>
          <cell r="G1112">
            <v>2387.2053999999998</v>
          </cell>
          <cell r="H1112" t="str">
            <v>-</v>
          </cell>
          <cell r="I1112" t="str">
            <v>-</v>
          </cell>
          <cell r="J1112">
            <v>2386.971538835</v>
          </cell>
          <cell r="K1112" t="str">
            <v>Small Cap</v>
          </cell>
        </row>
        <row r="1113">
          <cell r="C1113" t="str">
            <v>INE560K01014</v>
          </cell>
          <cell r="D1113" t="str">
            <v>PFS</v>
          </cell>
          <cell r="E1113">
            <v>2378.6351613310003</v>
          </cell>
          <cell r="F1113" t="str">
            <v>PFS</v>
          </cell>
          <cell r="G1113">
            <v>2378.6759000000002</v>
          </cell>
          <cell r="H1113" t="str">
            <v>-</v>
          </cell>
          <cell r="I1113" t="str">
            <v>-</v>
          </cell>
          <cell r="J1113">
            <v>2378.6555306655</v>
          </cell>
          <cell r="K1113" t="str">
            <v>Small Cap</v>
          </cell>
        </row>
        <row r="1114">
          <cell r="C1114" t="str">
            <v>INE08N601015</v>
          </cell>
          <cell r="D1114" t="str">
            <v>MBEL</v>
          </cell>
          <cell r="E1114">
            <v>2370.2107874819999</v>
          </cell>
          <cell r="F1114" t="str">
            <v>MBEL</v>
          </cell>
          <cell r="G1114">
            <v>2370.3164999999999</v>
          </cell>
          <cell r="H1114" t="str">
            <v>-</v>
          </cell>
          <cell r="I1114" t="str">
            <v>-</v>
          </cell>
          <cell r="J1114">
            <v>2370.2636437410001</v>
          </cell>
          <cell r="K1114" t="str">
            <v>Small Cap</v>
          </cell>
        </row>
        <row r="1115">
          <cell r="C1115" t="str">
            <v>INE0KQN01018</v>
          </cell>
          <cell r="D1115" t="str">
            <v>BAJEL</v>
          </cell>
          <cell r="E1115">
            <v>2359.9359084860002</v>
          </cell>
          <cell r="F1115" t="str">
            <v>BAJEL</v>
          </cell>
          <cell r="G1115">
            <v>2358.6671000000001</v>
          </cell>
          <cell r="H1115" t="str">
            <v>-</v>
          </cell>
          <cell r="I1115" t="str">
            <v>-</v>
          </cell>
          <cell r="J1115">
            <v>2359.3015042430002</v>
          </cell>
          <cell r="K1115" t="str">
            <v>Small Cap</v>
          </cell>
        </row>
        <row r="1116">
          <cell r="C1116" t="str">
            <v>INE731F01037</v>
          </cell>
          <cell r="D1116" t="str">
            <v>WELSPLSOL</v>
          </cell>
          <cell r="E1116">
            <v>2352.4757237690001</v>
          </cell>
          <cell r="F1116" t="str">
            <v>-</v>
          </cell>
          <cell r="G1116" t="str">
            <v>-</v>
          </cell>
          <cell r="H1116" t="str">
            <v>-</v>
          </cell>
          <cell r="I1116" t="str">
            <v>-</v>
          </cell>
          <cell r="J1116">
            <v>2352.4757237690001</v>
          </cell>
          <cell r="K1116" t="str">
            <v>Small Cap</v>
          </cell>
        </row>
        <row r="1117">
          <cell r="C1117" t="str">
            <v>INE987S01020</v>
          </cell>
          <cell r="D1117" t="str">
            <v>KSHINTL</v>
          </cell>
          <cell r="E1117">
            <v>2350.4452329999999</v>
          </cell>
          <cell r="F1117" t="str">
            <v>KSHINTL</v>
          </cell>
          <cell r="G1117">
            <v>2351.8568</v>
          </cell>
          <cell r="H1117" t="str">
            <v>-</v>
          </cell>
          <cell r="I1117" t="str">
            <v>-</v>
          </cell>
          <cell r="J1117">
            <v>2351.1510165</v>
          </cell>
          <cell r="K1117" t="str">
            <v>Small Cap</v>
          </cell>
        </row>
        <row r="1118">
          <cell r="C1118" t="str">
            <v>INE070I01018</v>
          </cell>
          <cell r="D1118" t="str">
            <v>INSECTICID</v>
          </cell>
          <cell r="E1118">
            <v>2346.448421004</v>
          </cell>
          <cell r="F1118" t="str">
            <v>INSECTICID</v>
          </cell>
          <cell r="G1118">
            <v>2346.6505000000002</v>
          </cell>
          <cell r="H1118" t="str">
            <v>-</v>
          </cell>
          <cell r="I1118" t="str">
            <v>-</v>
          </cell>
          <cell r="J1118">
            <v>2346.5494605020003</v>
          </cell>
          <cell r="K1118" t="str">
            <v>Small Cap</v>
          </cell>
        </row>
        <row r="1119">
          <cell r="C1119" t="str">
            <v>INE597J01018</v>
          </cell>
          <cell r="D1119" t="str">
            <v>SHALBY</v>
          </cell>
          <cell r="E1119">
            <v>2339.8302202569998</v>
          </cell>
          <cell r="F1119" t="str">
            <v>SHALBY</v>
          </cell>
          <cell r="G1119">
            <v>2339.9304999999999</v>
          </cell>
          <cell r="H1119" t="str">
            <v>-</v>
          </cell>
          <cell r="I1119" t="str">
            <v>-</v>
          </cell>
          <cell r="J1119">
            <v>2339.8803601284999</v>
          </cell>
          <cell r="K1119" t="str">
            <v>Small Cap</v>
          </cell>
        </row>
        <row r="1120">
          <cell r="C1120" t="str">
            <v>INE07OG01012</v>
          </cell>
          <cell r="D1120" t="str">
            <v>NDRAUTO</v>
          </cell>
          <cell r="E1120">
            <v>2332.6209878350001</v>
          </cell>
          <cell r="F1120" t="str">
            <v>NDRAUTO</v>
          </cell>
          <cell r="G1120">
            <v>2333.1930000000002</v>
          </cell>
          <cell r="H1120" t="str">
            <v>-</v>
          </cell>
          <cell r="I1120" t="str">
            <v>-</v>
          </cell>
          <cell r="J1120">
            <v>2332.9069939175001</v>
          </cell>
          <cell r="K1120" t="str">
            <v>Small Cap</v>
          </cell>
        </row>
        <row r="1121">
          <cell r="C1121" t="str">
            <v>INE934C01018</v>
          </cell>
          <cell r="D1121" t="str">
            <v>DRAGARWQ</v>
          </cell>
          <cell r="E1121">
            <v>2330.9367865900003</v>
          </cell>
          <cell r="F1121" t="str">
            <v>-</v>
          </cell>
          <cell r="G1121" t="str">
            <v>-</v>
          </cell>
          <cell r="H1121" t="str">
            <v>-</v>
          </cell>
          <cell r="I1121" t="str">
            <v>-</v>
          </cell>
          <cell r="J1121">
            <v>2330.9367865900003</v>
          </cell>
          <cell r="K1121" t="str">
            <v>Small Cap</v>
          </cell>
        </row>
        <row r="1122">
          <cell r="C1122" t="str">
            <v>INE02NC01014</v>
          </cell>
          <cell r="D1122" t="str">
            <v>FINOPB</v>
          </cell>
          <cell r="E1122">
            <v>2328.186702557</v>
          </cell>
          <cell r="F1122" t="str">
            <v>FINOPB</v>
          </cell>
          <cell r="G1122">
            <v>2328.1174000000001</v>
          </cell>
          <cell r="H1122" t="str">
            <v>-</v>
          </cell>
          <cell r="I1122" t="str">
            <v>-</v>
          </cell>
          <cell r="J1122">
            <v>2328.1520512785</v>
          </cell>
          <cell r="K1122" t="str">
            <v>Small Cap</v>
          </cell>
        </row>
        <row r="1123">
          <cell r="C1123" t="str">
            <v>INE750A01020</v>
          </cell>
          <cell r="D1123" t="str">
            <v>ORIENTHOT</v>
          </cell>
          <cell r="E1123">
            <v>2327.848955036</v>
          </cell>
          <cell r="F1123" t="str">
            <v>ORIENTHOT</v>
          </cell>
          <cell r="G1123">
            <v>2327.5853000000002</v>
          </cell>
          <cell r="H1123" t="str">
            <v>-</v>
          </cell>
          <cell r="I1123" t="str">
            <v>-</v>
          </cell>
          <cell r="J1123">
            <v>2327.7171275179999</v>
          </cell>
          <cell r="K1123" t="str">
            <v>Small Cap</v>
          </cell>
        </row>
        <row r="1124">
          <cell r="C1124" t="str">
            <v>INE01FR01028</v>
          </cell>
          <cell r="D1124" t="str">
            <v xml:space="preserve">STYLEBAAZA </v>
          </cell>
          <cell r="E1124">
            <v>2324.742125794</v>
          </cell>
          <cell r="F1124" t="str">
            <v>STYLEBAAZA</v>
          </cell>
          <cell r="G1124">
            <v>2325.3314</v>
          </cell>
          <cell r="H1124" t="str">
            <v>-</v>
          </cell>
          <cell r="I1124" t="str">
            <v>-</v>
          </cell>
          <cell r="J1124">
            <v>2325.0367628969998</v>
          </cell>
          <cell r="K1124" t="str">
            <v>Small Cap</v>
          </cell>
        </row>
        <row r="1125">
          <cell r="C1125" t="str">
            <v>INE0PB301013</v>
          </cell>
          <cell r="D1125" t="str">
            <v>SCILAL</v>
          </cell>
          <cell r="E1125">
            <v>2324.455358061</v>
          </cell>
          <cell r="F1125" t="str">
            <v>SCILAL</v>
          </cell>
          <cell r="G1125">
            <v>2324.4258</v>
          </cell>
          <cell r="H1125" t="str">
            <v>-</v>
          </cell>
          <cell r="I1125" t="str">
            <v>-</v>
          </cell>
          <cell r="J1125">
            <v>2324.4405790305</v>
          </cell>
          <cell r="K1125" t="str">
            <v>Small Cap</v>
          </cell>
        </row>
        <row r="1126">
          <cell r="C1126" t="str">
            <v>INE310A01015</v>
          </cell>
          <cell r="D1126" t="str">
            <v>NILKAMAL</v>
          </cell>
          <cell r="E1126">
            <v>2320.820371152</v>
          </cell>
          <cell r="F1126" t="str">
            <v>NILKAMAL</v>
          </cell>
          <cell r="G1126">
            <v>2321.3337999999999</v>
          </cell>
          <cell r="H1126" t="str">
            <v>-</v>
          </cell>
          <cell r="I1126" t="str">
            <v>-</v>
          </cell>
          <cell r="J1126">
            <v>2321.0770855760002</v>
          </cell>
          <cell r="K1126" t="str">
            <v>Small Cap</v>
          </cell>
        </row>
        <row r="1127">
          <cell r="C1127" t="str">
            <v>INE559R01029</v>
          </cell>
          <cell r="D1127" t="str">
            <v>LANDMARK</v>
          </cell>
          <cell r="E1127">
            <v>2319.3765676439998</v>
          </cell>
          <cell r="F1127" t="str">
            <v>LANDMARK</v>
          </cell>
          <cell r="G1127">
            <v>2320.277</v>
          </cell>
          <cell r="H1127" t="str">
            <v>-</v>
          </cell>
          <cell r="I1127" t="str">
            <v>-</v>
          </cell>
          <cell r="J1127">
            <v>2319.8267838219999</v>
          </cell>
          <cell r="K1127" t="str">
            <v>Small Cap</v>
          </cell>
        </row>
        <row r="1128">
          <cell r="C1128" t="str">
            <v>INE276C01014</v>
          </cell>
          <cell r="D1128" t="str">
            <v>EIHAHOTELS</v>
          </cell>
          <cell r="E1128">
            <v>2318.4156113990002</v>
          </cell>
          <cell r="F1128" t="str">
            <v>EIHAHOTELS</v>
          </cell>
          <cell r="G1128">
            <v>2318.1302999999998</v>
          </cell>
          <cell r="H1128" t="str">
            <v>-</v>
          </cell>
          <cell r="I1128" t="str">
            <v>-</v>
          </cell>
          <cell r="J1128">
            <v>2318.2729556995</v>
          </cell>
          <cell r="K1128" t="str">
            <v>Small Cap</v>
          </cell>
        </row>
        <row r="1129">
          <cell r="C1129" t="str">
            <v>INE0D6701023</v>
          </cell>
          <cell r="D1129" t="str">
            <v>IPL</v>
          </cell>
          <cell r="E1129">
            <v>2315.1292593359999</v>
          </cell>
          <cell r="F1129" t="str">
            <v>IPL</v>
          </cell>
          <cell r="G1129">
            <v>2315.1549</v>
          </cell>
          <cell r="H1129" t="str">
            <v>-</v>
          </cell>
          <cell r="I1129" t="str">
            <v>-</v>
          </cell>
          <cell r="J1129">
            <v>2315.142079668</v>
          </cell>
          <cell r="K1129" t="str">
            <v>Small Cap</v>
          </cell>
        </row>
        <row r="1130">
          <cell r="C1130" t="str">
            <v>INE519C01017</v>
          </cell>
          <cell r="D1130" t="str">
            <v>SUMMITSEC</v>
          </cell>
          <cell r="E1130">
            <v>2310.5887893039999</v>
          </cell>
          <cell r="F1130" t="str">
            <v>SUMMITSEC</v>
          </cell>
          <cell r="G1130">
            <v>2309.6280000000002</v>
          </cell>
          <cell r="H1130" t="str">
            <v>-</v>
          </cell>
          <cell r="I1130" t="str">
            <v>-</v>
          </cell>
          <cell r="J1130">
            <v>2310.1083946520002</v>
          </cell>
          <cell r="K1130" t="str">
            <v>Small Cap</v>
          </cell>
        </row>
        <row r="1131">
          <cell r="C1131" t="str">
            <v>INE139R01012</v>
          </cell>
          <cell r="D1131" t="str">
            <v>FUSION</v>
          </cell>
          <cell r="E1131">
            <v>2828.6701891419998</v>
          </cell>
          <cell r="F1131" t="str">
            <v>FUSION</v>
          </cell>
          <cell r="G1131">
            <v>1762.5909999999999</v>
          </cell>
          <cell r="H1131" t="str">
            <v>-</v>
          </cell>
          <cell r="I1131" t="str">
            <v>-</v>
          </cell>
          <cell r="J1131">
            <v>2295.6305945710001</v>
          </cell>
          <cell r="K1131" t="str">
            <v>Small Cap</v>
          </cell>
        </row>
        <row r="1132">
          <cell r="C1132" t="str">
            <v>INE497B01018</v>
          </cell>
          <cell r="D1132" t="str">
            <v>SEAMECLTD</v>
          </cell>
          <cell r="E1132">
            <v>2287.8181785709999</v>
          </cell>
          <cell r="F1132" t="str">
            <v>SEAMECLTD</v>
          </cell>
          <cell r="G1132">
            <v>2288.8453</v>
          </cell>
          <cell r="H1132" t="str">
            <v>-</v>
          </cell>
          <cell r="I1132" t="str">
            <v>-</v>
          </cell>
          <cell r="J1132">
            <v>2288.3317392854997</v>
          </cell>
          <cell r="K1132" t="str">
            <v>Small Cap</v>
          </cell>
        </row>
        <row r="1133">
          <cell r="C1133" t="str">
            <v>INE040D01038</v>
          </cell>
          <cell r="D1133" t="str">
            <v>MAYURUNIQ</v>
          </cell>
          <cell r="E1133">
            <v>2285.8412660950003</v>
          </cell>
          <cell r="F1133" t="str">
            <v>MAYURUNIQ</v>
          </cell>
          <cell r="G1133">
            <v>2286.9861999999998</v>
          </cell>
          <cell r="H1133" t="str">
            <v>-</v>
          </cell>
          <cell r="I1133" t="str">
            <v>-</v>
          </cell>
          <cell r="J1133">
            <v>2286.4137330475</v>
          </cell>
          <cell r="K1133" t="str">
            <v>Small Cap</v>
          </cell>
        </row>
        <row r="1134">
          <cell r="C1134" t="str">
            <v>INE050H01012</v>
          </cell>
          <cell r="D1134" t="str">
            <v>RML</v>
          </cell>
          <cell r="E1134">
            <v>2283.0435684220001</v>
          </cell>
          <cell r="F1134" t="str">
            <v>RML</v>
          </cell>
          <cell r="G1134">
            <v>2284.3409999999999</v>
          </cell>
          <cell r="H1134" t="str">
            <v>-</v>
          </cell>
          <cell r="I1134" t="str">
            <v>-</v>
          </cell>
          <cell r="J1134">
            <v>2283.6922842109998</v>
          </cell>
          <cell r="K1134" t="str">
            <v>Small Cap</v>
          </cell>
        </row>
        <row r="1135">
          <cell r="C1135" t="str">
            <v>INE0JR601024</v>
          </cell>
          <cell r="D1135" t="str">
            <v>YATRA</v>
          </cell>
          <cell r="E1135">
            <v>2276.7842199000002</v>
          </cell>
          <cell r="F1135" t="str">
            <v>YATRA</v>
          </cell>
          <cell r="G1135">
            <v>2276.5551</v>
          </cell>
          <cell r="H1135" t="str">
            <v>-</v>
          </cell>
          <cell r="I1135" t="str">
            <v>-</v>
          </cell>
          <cell r="J1135">
            <v>2276.6696599500001</v>
          </cell>
          <cell r="K1135" t="str">
            <v>Small Cap</v>
          </cell>
        </row>
        <row r="1136">
          <cell r="C1136" t="str">
            <v>INE124E01038</v>
          </cell>
          <cell r="D1136" t="str">
            <v>STEELCAS</v>
          </cell>
          <cell r="E1136">
            <v>2226.191174603</v>
          </cell>
          <cell r="F1136" t="str">
            <v>STEELCAS</v>
          </cell>
          <cell r="G1136">
            <v>2226.9229</v>
          </cell>
          <cell r="H1136" t="str">
            <v>-</v>
          </cell>
          <cell r="I1136" t="str">
            <v>-</v>
          </cell>
          <cell r="J1136">
            <v>2226.5570373014998</v>
          </cell>
          <cell r="K1136" t="str">
            <v>Small Cap</v>
          </cell>
        </row>
        <row r="1137">
          <cell r="C1137" t="str">
            <v>INE727B01026</v>
          </cell>
          <cell r="D1137" t="str">
            <v>GENESYS</v>
          </cell>
          <cell r="E1137">
            <v>2221.782294398</v>
          </cell>
          <cell r="F1137" t="str">
            <v>GENESYS</v>
          </cell>
          <cell r="G1137">
            <v>2218.8440999999998</v>
          </cell>
          <cell r="H1137" t="str">
            <v>-</v>
          </cell>
          <cell r="I1137" t="str">
            <v>-</v>
          </cell>
          <cell r="J1137">
            <v>2220.3131971989997</v>
          </cell>
          <cell r="K1137" t="str">
            <v>Small Cap</v>
          </cell>
        </row>
        <row r="1138">
          <cell r="C1138" t="str">
            <v>INE234A01025</v>
          </cell>
          <cell r="D1138" t="str">
            <v>NOVARTIND</v>
          </cell>
          <cell r="E1138">
            <v>2216.258676036</v>
          </cell>
          <cell r="F1138" t="str">
            <v>-</v>
          </cell>
          <cell r="G1138" t="str">
            <v>-</v>
          </cell>
          <cell r="H1138" t="str">
            <v>-</v>
          </cell>
          <cell r="I1138" t="str">
            <v>-</v>
          </cell>
          <cell r="J1138">
            <v>2216.258676036</v>
          </cell>
          <cell r="K1138" t="str">
            <v>Small Cap</v>
          </cell>
        </row>
        <row r="1139">
          <cell r="C1139" t="str">
            <v>INE878A01011</v>
          </cell>
          <cell r="D1139" t="str">
            <v>GVPIL</v>
          </cell>
          <cell r="E1139">
            <v>2211.2369057589999</v>
          </cell>
          <cell r="F1139" t="str">
            <v>GVPIL</v>
          </cell>
          <cell r="G1139">
            <v>2211.0101</v>
          </cell>
          <cell r="H1139" t="str">
            <v>-</v>
          </cell>
          <cell r="I1139" t="str">
            <v>-</v>
          </cell>
          <cell r="J1139">
            <v>2211.1235028794999</v>
          </cell>
          <cell r="K1139" t="str">
            <v>Small Cap</v>
          </cell>
        </row>
        <row r="1140">
          <cell r="C1140" t="str">
            <v>INE029L01018</v>
          </cell>
          <cell r="D1140" t="str">
            <v>KICL</v>
          </cell>
          <cell r="E1140">
            <v>2203.644058935</v>
          </cell>
          <cell r="F1140" t="str">
            <v>KICL</v>
          </cell>
          <cell r="G1140">
            <v>2202.6911</v>
          </cell>
          <cell r="H1140" t="str">
            <v>-</v>
          </cell>
          <cell r="I1140" t="str">
            <v>-</v>
          </cell>
          <cell r="J1140">
            <v>2203.1675794675002</v>
          </cell>
          <cell r="K1140" t="str">
            <v>Small Cap</v>
          </cell>
        </row>
        <row r="1141">
          <cell r="C1141" t="str">
            <v>INE059B01024</v>
          </cell>
          <cell r="D1141" t="str">
            <v>SIMPLEXINF</v>
          </cell>
          <cell r="E1141">
            <v>2223.497567631</v>
          </cell>
          <cell r="F1141" t="str">
            <v>SIMPLEXINF</v>
          </cell>
          <cell r="G1141">
            <v>2174.3443000000002</v>
          </cell>
          <cell r="H1141" t="str">
            <v>-</v>
          </cell>
          <cell r="I1141" t="str">
            <v>-</v>
          </cell>
          <cell r="J1141">
            <v>2198.9209338155001</v>
          </cell>
          <cell r="K1141" t="str">
            <v>Small Cap</v>
          </cell>
        </row>
        <row r="1142">
          <cell r="C1142" t="str">
            <v>INE533A01012</v>
          </cell>
          <cell r="D1142" t="str">
            <v>GOODYEAR</v>
          </cell>
          <cell r="E1142">
            <v>2198.2280483869999</v>
          </cell>
          <cell r="F1142" t="str">
            <v>-</v>
          </cell>
          <cell r="G1142" t="str">
            <v>-</v>
          </cell>
          <cell r="H1142" t="str">
            <v>-</v>
          </cell>
          <cell r="I1142" t="str">
            <v>-</v>
          </cell>
          <cell r="J1142">
            <v>2198.2280483869999</v>
          </cell>
          <cell r="K1142" t="str">
            <v>Small Cap</v>
          </cell>
        </row>
        <row r="1143">
          <cell r="C1143" t="str">
            <v>INE01EO01010</v>
          </cell>
          <cell r="D1143" t="str">
            <v>SPECTRUM</v>
          </cell>
          <cell r="E1143">
            <v>2192.6401954090002</v>
          </cell>
          <cell r="F1143" t="str">
            <v>SPECTRUM</v>
          </cell>
          <cell r="G1143">
            <v>2189.5556999999999</v>
          </cell>
          <cell r="H1143" t="str">
            <v>-</v>
          </cell>
          <cell r="I1143" t="str">
            <v>-</v>
          </cell>
          <cell r="J1143">
            <v>2191.0979477045003</v>
          </cell>
          <cell r="K1143" t="str">
            <v>Small Cap</v>
          </cell>
        </row>
        <row r="1144">
          <cell r="C1144" t="str">
            <v>INE0OXY01013</v>
          </cell>
          <cell r="D1144" t="str">
            <v>AFCOM</v>
          </cell>
          <cell r="E1144">
            <v>2184.6924866610002</v>
          </cell>
          <cell r="F1144" t="str">
            <v>-</v>
          </cell>
          <cell r="G1144" t="str">
            <v>-</v>
          </cell>
          <cell r="H1144" t="str">
            <v>-</v>
          </cell>
          <cell r="I1144" t="str">
            <v>-</v>
          </cell>
          <cell r="J1144">
            <v>2184.6924866610002</v>
          </cell>
          <cell r="K1144" t="str">
            <v>Small Cap</v>
          </cell>
        </row>
        <row r="1145">
          <cell r="C1145" t="str">
            <v>INE809Q01020</v>
          </cell>
          <cell r="D1145" t="str">
            <v>GHVINFRA</v>
          </cell>
          <cell r="E1145">
            <v>2183.8484749999998</v>
          </cell>
          <cell r="F1145" t="str">
            <v>-</v>
          </cell>
          <cell r="G1145" t="str">
            <v>-</v>
          </cell>
          <cell r="H1145" t="str">
            <v>-</v>
          </cell>
          <cell r="I1145" t="str">
            <v>-</v>
          </cell>
          <cell r="J1145">
            <v>2183.8484749999998</v>
          </cell>
          <cell r="K1145" t="str">
            <v>Small Cap</v>
          </cell>
        </row>
        <row r="1146">
          <cell r="C1146" t="str">
            <v>INE142Q01026</v>
          </cell>
          <cell r="D1146" t="str">
            <v>SULA</v>
          </cell>
          <cell r="E1146">
            <v>2183.9516652000002</v>
          </cell>
          <cell r="F1146" t="str">
            <v>SULA</v>
          </cell>
          <cell r="G1146">
            <v>2183.3487</v>
          </cell>
          <cell r="H1146" t="str">
            <v>-</v>
          </cell>
          <cell r="I1146" t="str">
            <v>-</v>
          </cell>
          <cell r="J1146">
            <v>2183.6501826000003</v>
          </cell>
          <cell r="K1146" t="str">
            <v>Small Cap</v>
          </cell>
        </row>
        <row r="1147">
          <cell r="C1147" t="str">
            <v>INE618R01015</v>
          </cell>
          <cell r="D1147" t="str">
            <v>SGFIN</v>
          </cell>
          <cell r="E1147">
            <v>2185.2039347220002</v>
          </cell>
          <cell r="F1147" t="str">
            <v>SGFIN</v>
          </cell>
          <cell r="G1147">
            <v>2165.0457999999999</v>
          </cell>
          <cell r="H1147" t="str">
            <v>-</v>
          </cell>
          <cell r="I1147" t="str">
            <v>-</v>
          </cell>
          <cell r="J1147">
            <v>2175.1248673609998</v>
          </cell>
          <cell r="K1147" t="str">
            <v>Small Cap</v>
          </cell>
        </row>
        <row r="1148">
          <cell r="C1148" t="str">
            <v>INE068L01024</v>
          </cell>
          <cell r="D1148" t="str">
            <v>CANTABIL</v>
          </cell>
          <cell r="E1148">
            <v>2160.6161769680002</v>
          </cell>
          <cell r="F1148" t="str">
            <v>CANTABIL</v>
          </cell>
          <cell r="G1148">
            <v>2160.6062000000002</v>
          </cell>
          <cell r="H1148" t="str">
            <v>-</v>
          </cell>
          <cell r="I1148" t="str">
            <v>-</v>
          </cell>
          <cell r="J1148">
            <v>2160.6111884840002</v>
          </cell>
          <cell r="K1148" t="str">
            <v>Small Cap</v>
          </cell>
        </row>
        <row r="1149">
          <cell r="C1149" t="str">
            <v>INE124G01033</v>
          </cell>
          <cell r="D1149" t="str">
            <v>DELTACORP</v>
          </cell>
          <cell r="E1149">
            <v>2142.8722064210001</v>
          </cell>
          <cell r="F1149" t="str">
            <v>DELTACORP</v>
          </cell>
          <cell r="G1149">
            <v>2142.4047</v>
          </cell>
          <cell r="H1149" t="str">
            <v>-</v>
          </cell>
          <cell r="I1149" t="str">
            <v>-</v>
          </cell>
          <cell r="J1149">
            <v>2142.6384532105003</v>
          </cell>
          <cell r="K1149" t="str">
            <v>Small Cap</v>
          </cell>
        </row>
        <row r="1150">
          <cell r="C1150" t="str">
            <v>INE00Q601028</v>
          </cell>
          <cell r="D1150" t="str">
            <v>STUDDS</v>
          </cell>
          <cell r="E1150">
            <v>2142.2541097889998</v>
          </cell>
          <cell r="F1150" t="str">
            <v>STUDDS</v>
          </cell>
          <cell r="G1150">
            <v>2141.8813</v>
          </cell>
          <cell r="H1150" t="str">
            <v>-</v>
          </cell>
          <cell r="I1150" t="str">
            <v>-</v>
          </cell>
          <cell r="J1150">
            <v>2142.0677048944999</v>
          </cell>
          <cell r="K1150" t="str">
            <v>Small Cap</v>
          </cell>
        </row>
        <row r="1151">
          <cell r="C1151" t="str">
            <v>INE231F01020</v>
          </cell>
          <cell r="D1151" t="str">
            <v>SASKEN</v>
          </cell>
          <cell r="E1151">
            <v>2140.0772862900003</v>
          </cell>
          <cell r="F1151" t="str">
            <v>SASKEN</v>
          </cell>
          <cell r="G1151">
            <v>2139.7332000000001</v>
          </cell>
          <cell r="H1151" t="str">
            <v>-</v>
          </cell>
          <cell r="I1151" t="str">
            <v>-</v>
          </cell>
          <cell r="J1151">
            <v>2139.905243145</v>
          </cell>
          <cell r="K1151" t="str">
            <v>Small Cap</v>
          </cell>
        </row>
        <row r="1152">
          <cell r="C1152" t="str">
            <v>INE384A01010</v>
          </cell>
          <cell r="D1152" t="str">
            <v>RANEHOLDIN</v>
          </cell>
          <cell r="E1152">
            <v>2138.109263286</v>
          </cell>
          <cell r="F1152" t="str">
            <v>RANEHOLDIN</v>
          </cell>
          <cell r="G1152">
            <v>2138.9699000000001</v>
          </cell>
          <cell r="H1152" t="str">
            <v>-</v>
          </cell>
          <cell r="I1152" t="str">
            <v>-</v>
          </cell>
          <cell r="J1152">
            <v>2138.539581643</v>
          </cell>
          <cell r="K1152" t="str">
            <v>Small Cap</v>
          </cell>
        </row>
        <row r="1153">
          <cell r="C1153" t="str">
            <v>INE495C01010</v>
          </cell>
          <cell r="D1153" t="str">
            <v>SANGAMIND</v>
          </cell>
          <cell r="E1153">
            <v>2137.3430643520001</v>
          </cell>
          <cell r="F1153" t="str">
            <v>SANGAMIND</v>
          </cell>
          <cell r="G1153">
            <v>2139.3469</v>
          </cell>
          <cell r="H1153" t="str">
            <v>-</v>
          </cell>
          <cell r="I1153" t="str">
            <v>-</v>
          </cell>
          <cell r="J1153">
            <v>2138.344982176</v>
          </cell>
          <cell r="K1153" t="str">
            <v>Small Cap</v>
          </cell>
        </row>
        <row r="1154">
          <cell r="C1154" t="str">
            <v>INE345A01011</v>
          </cell>
          <cell r="D1154" t="str">
            <v>HINDOILEXP</v>
          </cell>
          <cell r="E1154">
            <v>2136.5845005290003</v>
          </cell>
          <cell r="F1154" t="str">
            <v>HINDOILEXP</v>
          </cell>
          <cell r="G1154">
            <v>2137.3688000000002</v>
          </cell>
          <cell r="H1154" t="str">
            <v>-</v>
          </cell>
          <cell r="I1154" t="str">
            <v>-</v>
          </cell>
          <cell r="J1154">
            <v>2136.9766502645002</v>
          </cell>
          <cell r="K1154" t="str">
            <v>Small Cap</v>
          </cell>
        </row>
        <row r="1155">
          <cell r="C1155" t="str">
            <v>INE572J01011</v>
          </cell>
          <cell r="D1155" t="str">
            <v>SPANDANA</v>
          </cell>
          <cell r="E1155">
            <v>2148.466219724</v>
          </cell>
          <cell r="F1155" t="str">
            <v>SPANDANA</v>
          </cell>
          <cell r="G1155">
            <v>2091.2527</v>
          </cell>
          <cell r="H1155" t="str">
            <v>-</v>
          </cell>
          <cell r="I1155" t="str">
            <v>-</v>
          </cell>
          <cell r="J1155">
            <v>2119.8594598620002</v>
          </cell>
          <cell r="K1155" t="str">
            <v>Small Cap</v>
          </cell>
        </row>
        <row r="1156">
          <cell r="C1156" t="str">
            <v>INE00IN01015</v>
          </cell>
          <cell r="D1156" t="str">
            <v>STOVEKRAFT</v>
          </cell>
          <cell r="E1156">
            <v>2113.0644740779999</v>
          </cell>
          <cell r="F1156" t="str">
            <v>STOVEKRAFT</v>
          </cell>
          <cell r="G1156">
            <v>2112.7539000000002</v>
          </cell>
          <cell r="H1156" t="str">
            <v>-</v>
          </cell>
          <cell r="I1156" t="str">
            <v>-</v>
          </cell>
          <cell r="J1156">
            <v>2112.9091870390002</v>
          </cell>
          <cell r="K1156" t="str">
            <v>Small Cap</v>
          </cell>
        </row>
        <row r="1157">
          <cell r="C1157" t="str">
            <v>INE007B01023</v>
          </cell>
          <cell r="D1157" t="str">
            <v>GEOJITFSL</v>
          </cell>
          <cell r="E1157">
            <v>2112.3491361269998</v>
          </cell>
          <cell r="F1157" t="str">
            <v>GEOJITFSL</v>
          </cell>
          <cell r="G1157">
            <v>2112.0682000000002</v>
          </cell>
          <cell r="H1157" t="str">
            <v>-</v>
          </cell>
          <cell r="I1157" t="str">
            <v>-</v>
          </cell>
          <cell r="J1157">
            <v>2112.2086680635002</v>
          </cell>
          <cell r="K1157" t="str">
            <v>Small Cap</v>
          </cell>
        </row>
        <row r="1158">
          <cell r="C1158" t="str">
            <v>INE349Y01013</v>
          </cell>
          <cell r="D1158" t="str">
            <v>IDEAFORGE</v>
          </cell>
          <cell r="E1158">
            <v>2105.4061368880002</v>
          </cell>
          <cell r="F1158" t="str">
            <v>IDEAFORGE</v>
          </cell>
          <cell r="G1158">
            <v>2103.6352999999999</v>
          </cell>
          <cell r="H1158" t="str">
            <v>-</v>
          </cell>
          <cell r="I1158" t="str">
            <v>-</v>
          </cell>
          <cell r="J1158">
            <v>2104.5207184440001</v>
          </cell>
          <cell r="K1158" t="str">
            <v>Small Cap</v>
          </cell>
        </row>
        <row r="1159">
          <cell r="C1159" t="str">
            <v>INE795B01031</v>
          </cell>
          <cell r="D1159" t="str">
            <v>CITURGIA</v>
          </cell>
          <cell r="E1159">
            <v>2089.7478833</v>
          </cell>
          <cell r="F1159" t="str">
            <v>-</v>
          </cell>
          <cell r="G1159" t="str">
            <v>-</v>
          </cell>
          <cell r="H1159" t="str">
            <v>-</v>
          </cell>
          <cell r="I1159" t="str">
            <v>-</v>
          </cell>
          <cell r="J1159">
            <v>2089.7478833</v>
          </cell>
          <cell r="K1159" t="str">
            <v>Small Cap</v>
          </cell>
        </row>
        <row r="1160">
          <cell r="C1160" t="str">
            <v>INE793A01012</v>
          </cell>
          <cell r="D1160" t="str">
            <v>ACCELYA</v>
          </cell>
          <cell r="E1160">
            <v>2080.456019961</v>
          </cell>
          <cell r="F1160" t="str">
            <v>ACCELYA</v>
          </cell>
          <cell r="G1160">
            <v>2079.9684999999999</v>
          </cell>
          <cell r="H1160" t="str">
            <v>-</v>
          </cell>
          <cell r="I1160" t="str">
            <v>-</v>
          </cell>
          <cell r="J1160">
            <v>2080.2122599804998</v>
          </cell>
          <cell r="K1160" t="str">
            <v>Small Cap</v>
          </cell>
        </row>
        <row r="1161">
          <cell r="C1161" t="str">
            <v>INE0J1F01024</v>
          </cell>
          <cell r="D1161" t="str">
            <v>RPTECH</v>
          </cell>
          <cell r="E1161">
            <v>2079.7620466069998</v>
          </cell>
          <cell r="F1161" t="str">
            <v>RPTECH</v>
          </cell>
          <cell r="G1161">
            <v>2079.9816999999998</v>
          </cell>
          <cell r="H1161" t="str">
            <v>-</v>
          </cell>
          <cell r="I1161" t="str">
            <v>-</v>
          </cell>
          <cell r="J1161">
            <v>2079.8718733034998</v>
          </cell>
          <cell r="K1161" t="str">
            <v>Small Cap</v>
          </cell>
        </row>
        <row r="1162">
          <cell r="C1162" t="str">
            <v>INE398A01010</v>
          </cell>
          <cell r="D1162" t="str">
            <v>VENKEYS</v>
          </cell>
          <cell r="E1162">
            <v>2074.1232009820001</v>
          </cell>
          <cell r="F1162" t="str">
            <v>VENKEYS</v>
          </cell>
          <cell r="G1162">
            <v>2073.9564999999998</v>
          </cell>
          <cell r="H1162" t="str">
            <v>-</v>
          </cell>
          <cell r="I1162" t="str">
            <v>-</v>
          </cell>
          <cell r="J1162">
            <v>2074.0398504909999</v>
          </cell>
          <cell r="K1162" t="str">
            <v>Small Cap</v>
          </cell>
        </row>
        <row r="1163">
          <cell r="C1163" t="str">
            <v>INE806C01018</v>
          </cell>
          <cell r="D1163" t="str">
            <v>TIL</v>
          </cell>
          <cell r="E1163">
            <v>2074.7174749299998</v>
          </cell>
          <cell r="F1163" t="str">
            <v>TIL</v>
          </cell>
          <cell r="G1163">
            <v>2072.8833</v>
          </cell>
          <cell r="H1163" t="str">
            <v>-</v>
          </cell>
          <cell r="I1163" t="str">
            <v>-</v>
          </cell>
          <cell r="J1163">
            <v>2073.8003874649999</v>
          </cell>
          <cell r="K1163" t="str">
            <v>Small Cap</v>
          </cell>
        </row>
        <row r="1164">
          <cell r="C1164" t="str">
            <v>INE616Z01012</v>
          </cell>
          <cell r="D1164" t="str">
            <v>YASHO</v>
          </cell>
          <cell r="E1164">
            <v>2070.8706578299998</v>
          </cell>
          <cell r="F1164" t="str">
            <v>YASHO</v>
          </cell>
          <cell r="G1164">
            <v>2070.9562999999998</v>
          </cell>
          <cell r="H1164" t="str">
            <v>-</v>
          </cell>
          <cell r="I1164" t="str">
            <v>-</v>
          </cell>
          <cell r="J1164">
            <v>2070.9134789149998</v>
          </cell>
          <cell r="K1164" t="str">
            <v>Small Cap</v>
          </cell>
        </row>
        <row r="1165">
          <cell r="C1165" t="str">
            <v>INE945F01025</v>
          </cell>
          <cell r="D1165" t="str">
            <v>DECNGOLD</v>
          </cell>
          <cell r="E1165">
            <v>2070.5005577869997</v>
          </cell>
          <cell r="F1165" t="str">
            <v>-</v>
          </cell>
          <cell r="G1165" t="str">
            <v>-</v>
          </cell>
          <cell r="H1165" t="str">
            <v>-</v>
          </cell>
          <cell r="I1165" t="str">
            <v>-</v>
          </cell>
          <cell r="J1165">
            <v>2070.5005577869997</v>
          </cell>
          <cell r="K1165" t="str">
            <v>Small Cap</v>
          </cell>
        </row>
        <row r="1166">
          <cell r="C1166" t="str">
            <v>INE02WG01024</v>
          </cell>
          <cell r="D1166" t="str">
            <v>WEL</v>
          </cell>
          <cell r="E1166">
            <v>2069.929046667</v>
          </cell>
          <cell r="F1166" t="str">
            <v>WEL</v>
          </cell>
          <cell r="G1166">
            <v>2070.5511999999999</v>
          </cell>
          <cell r="H1166" t="str">
            <v>-</v>
          </cell>
          <cell r="I1166" t="str">
            <v>-</v>
          </cell>
          <cell r="J1166">
            <v>2070.2401233334999</v>
          </cell>
          <cell r="K1166" t="str">
            <v>Small Cap</v>
          </cell>
        </row>
        <row r="1167">
          <cell r="C1167" t="str">
            <v>INE325C01035</v>
          </cell>
          <cell r="D1167" t="str">
            <v>DOLLAR</v>
          </cell>
          <cell r="E1167">
            <v>2069.5712188000002</v>
          </cell>
          <cell r="F1167" t="str">
            <v>DOLLAR</v>
          </cell>
          <cell r="G1167">
            <v>2069.7130000000002</v>
          </cell>
          <cell r="H1167" t="str">
            <v>-</v>
          </cell>
          <cell r="I1167" t="str">
            <v>-</v>
          </cell>
          <cell r="J1167">
            <v>2069.6421094000002</v>
          </cell>
          <cell r="K1167" t="str">
            <v>Small Cap</v>
          </cell>
        </row>
        <row r="1168">
          <cell r="C1168" t="str">
            <v>INE323C01030</v>
          </cell>
          <cell r="D1168" t="str">
            <v>INDIANHUME</v>
          </cell>
          <cell r="E1168">
            <v>2067.0570489000002</v>
          </cell>
          <cell r="F1168" t="str">
            <v>INDIANHUME</v>
          </cell>
          <cell r="G1168">
            <v>2066.9942999999998</v>
          </cell>
          <cell r="H1168" t="str">
            <v>-</v>
          </cell>
          <cell r="I1168" t="str">
            <v>-</v>
          </cell>
          <cell r="J1168">
            <v>2067.0256744500002</v>
          </cell>
          <cell r="K1168" t="str">
            <v>Small Cap</v>
          </cell>
        </row>
        <row r="1169">
          <cell r="C1169" t="str">
            <v>INE506A01018</v>
          </cell>
          <cell r="D1169" t="str">
            <v>DREDGECORP</v>
          </cell>
          <cell r="E1169">
            <v>2065.013333333</v>
          </cell>
          <cell r="F1169" t="str">
            <v>DREDGECORP</v>
          </cell>
          <cell r="G1169">
            <v>2065.3278</v>
          </cell>
          <cell r="H1169" t="str">
            <v>-</v>
          </cell>
          <cell r="I1169" t="str">
            <v>-</v>
          </cell>
          <cell r="J1169">
            <v>2065.1705666665002</v>
          </cell>
          <cell r="K1169" t="str">
            <v>Small Cap</v>
          </cell>
        </row>
        <row r="1170">
          <cell r="C1170" t="str">
            <v>INE0CT101020</v>
          </cell>
          <cell r="D1170" t="str">
            <v>MOL</v>
          </cell>
          <cell r="E1170">
            <v>2064.5712057000001</v>
          </cell>
          <cell r="F1170" t="str">
            <v>MOL</v>
          </cell>
          <cell r="G1170">
            <v>2064.3613</v>
          </cell>
          <cell r="H1170" t="str">
            <v>-</v>
          </cell>
          <cell r="I1170" t="str">
            <v>-</v>
          </cell>
          <cell r="J1170">
            <v>2064.4662528500003</v>
          </cell>
          <cell r="K1170" t="str">
            <v>Small Cap</v>
          </cell>
        </row>
        <row r="1171">
          <cell r="C1171" t="str">
            <v>INE500A01029</v>
          </cell>
          <cell r="D1171" t="str">
            <v>DCW</v>
          </cell>
          <cell r="E1171">
            <v>2058.703901075</v>
          </cell>
          <cell r="F1171" t="str">
            <v>DCW</v>
          </cell>
          <cell r="G1171">
            <v>2058.1815000000001</v>
          </cell>
          <cell r="H1171" t="str">
            <v>-</v>
          </cell>
          <cell r="I1171" t="str">
            <v>-</v>
          </cell>
          <cell r="J1171">
            <v>2058.4427005375001</v>
          </cell>
          <cell r="K1171" t="str">
            <v>Small Cap</v>
          </cell>
        </row>
        <row r="1172">
          <cell r="C1172" t="str">
            <v>INE098F01031</v>
          </cell>
          <cell r="D1172" t="str">
            <v>AMRUTANJAN</v>
          </cell>
          <cell r="E1172">
            <v>2060.2026410950002</v>
          </cell>
          <cell r="F1172" t="str">
            <v>AMRUTANJAN</v>
          </cell>
          <cell r="G1172">
            <v>2038.8946000000001</v>
          </cell>
          <cell r="H1172" t="str">
            <v>-</v>
          </cell>
          <cell r="I1172" t="str">
            <v>-</v>
          </cell>
          <cell r="J1172">
            <v>2049.5486205474999</v>
          </cell>
          <cell r="K1172" t="str">
            <v>Small Cap</v>
          </cell>
        </row>
        <row r="1173">
          <cell r="C1173" t="str">
            <v>INE121N01019</v>
          </cell>
          <cell r="D1173" t="str">
            <v>-</v>
          </cell>
          <cell r="E1173" t="str">
            <v>-</v>
          </cell>
          <cell r="F1173" t="str">
            <v>THEJO</v>
          </cell>
          <cell r="G1173">
            <v>2047.873</v>
          </cell>
          <cell r="H1173" t="str">
            <v>-</v>
          </cell>
          <cell r="I1173" t="str">
            <v>-</v>
          </cell>
          <cell r="J1173">
            <v>2047.873</v>
          </cell>
          <cell r="K1173" t="str">
            <v>Small Cap</v>
          </cell>
        </row>
        <row r="1174">
          <cell r="C1174" t="str">
            <v>INE583D01011</v>
          </cell>
          <cell r="D1174" t="str">
            <v>UGROCAP</v>
          </cell>
          <cell r="E1174">
            <v>2039.536135111</v>
          </cell>
          <cell r="F1174" t="str">
            <v>UGROCAP</v>
          </cell>
          <cell r="G1174">
            <v>2050.4702000000002</v>
          </cell>
          <cell r="H1174" t="str">
            <v>-</v>
          </cell>
          <cell r="I1174" t="str">
            <v>-</v>
          </cell>
          <cell r="J1174">
            <v>2045.0031675555001</v>
          </cell>
          <cell r="K1174" t="str">
            <v>Small Cap</v>
          </cell>
        </row>
        <row r="1175">
          <cell r="C1175" t="str">
            <v>INE106T01025</v>
          </cell>
          <cell r="D1175" t="str">
            <v>HITECH</v>
          </cell>
          <cell r="E1175">
            <v>2045.053086459</v>
          </cell>
          <cell r="F1175" t="str">
            <v>HITECH</v>
          </cell>
          <cell r="G1175">
            <v>2044.6661999999999</v>
          </cell>
          <cell r="H1175" t="str">
            <v>-</v>
          </cell>
          <cell r="I1175" t="str">
            <v>-</v>
          </cell>
          <cell r="J1175">
            <v>2044.8596432294999</v>
          </cell>
          <cell r="K1175" t="str">
            <v>Small Cap</v>
          </cell>
        </row>
        <row r="1176">
          <cell r="C1176" t="str">
            <v>INE302D01024</v>
          </cell>
          <cell r="D1176" t="str">
            <v>RIR</v>
          </cell>
          <cell r="E1176">
            <v>2044.1556787310001</v>
          </cell>
          <cell r="F1176" t="str">
            <v>-</v>
          </cell>
          <cell r="G1176" t="str">
            <v>-</v>
          </cell>
          <cell r="H1176" t="str">
            <v>-</v>
          </cell>
          <cell r="I1176" t="str">
            <v>-</v>
          </cell>
          <cell r="J1176">
            <v>2044.1556787310001</v>
          </cell>
          <cell r="K1176" t="str">
            <v>Small Cap</v>
          </cell>
        </row>
        <row r="1177">
          <cell r="C1177" t="str">
            <v>INE347A01017</v>
          </cell>
          <cell r="D1177" t="str">
            <v>MANGLMCEM</v>
          </cell>
          <cell r="E1177">
            <v>2043.31984973</v>
          </cell>
          <cell r="F1177" t="str">
            <v>MANGLMCEM</v>
          </cell>
          <cell r="G1177">
            <v>2043.7007000000001</v>
          </cell>
          <cell r="H1177" t="str">
            <v>-</v>
          </cell>
          <cell r="I1177" t="str">
            <v>-</v>
          </cell>
          <cell r="J1177">
            <v>2043.5102748650002</v>
          </cell>
          <cell r="K1177" t="str">
            <v>Small Cap</v>
          </cell>
        </row>
        <row r="1178">
          <cell r="C1178" t="str">
            <v>INE1B3L01017</v>
          </cell>
          <cell r="D1178" t="str">
            <v>SHRINGARMS</v>
          </cell>
          <cell r="E1178">
            <v>2031.3216751830003</v>
          </cell>
          <cell r="F1178" t="str">
            <v>SHRINGARMS</v>
          </cell>
          <cell r="G1178">
            <v>2030.0492999999999</v>
          </cell>
          <cell r="H1178" t="str">
            <v>-</v>
          </cell>
          <cell r="I1178" t="str">
            <v>-</v>
          </cell>
          <cell r="J1178">
            <v>2030.6854875915001</v>
          </cell>
          <cell r="K1178" t="str">
            <v>Small Cap</v>
          </cell>
        </row>
        <row r="1179">
          <cell r="C1179" t="str">
            <v>INE715A01015</v>
          </cell>
          <cell r="D1179" t="str">
            <v>WHEELS</v>
          </cell>
          <cell r="E1179">
            <v>2028.4751953099999</v>
          </cell>
          <cell r="F1179" t="str">
            <v>WHEELS</v>
          </cell>
          <cell r="G1179">
            <v>2028.6458</v>
          </cell>
          <cell r="H1179" t="str">
            <v>-</v>
          </cell>
          <cell r="I1179" t="str">
            <v>-</v>
          </cell>
          <cell r="J1179">
            <v>2028.5604976549998</v>
          </cell>
          <cell r="K1179" t="str">
            <v>Small Cap</v>
          </cell>
        </row>
        <row r="1180">
          <cell r="C1180" t="str">
            <v>INE116A01032</v>
          </cell>
          <cell r="D1180" t="str">
            <v>APCOTEXIND</v>
          </cell>
          <cell r="E1180">
            <v>2027.3313259299998</v>
          </cell>
          <cell r="F1180" t="str">
            <v>APCOTEXIND</v>
          </cell>
          <cell r="G1180">
            <v>2027.5659000000001</v>
          </cell>
          <cell r="H1180" t="str">
            <v>-</v>
          </cell>
          <cell r="I1180" t="str">
            <v>-</v>
          </cell>
          <cell r="J1180">
            <v>2027.4486129649999</v>
          </cell>
          <cell r="K1180" t="str">
            <v>Small Cap</v>
          </cell>
        </row>
        <row r="1181">
          <cell r="C1181" t="str">
            <v>INE356B01024</v>
          </cell>
          <cell r="D1181" t="str">
            <v>SYSTMTXC</v>
          </cell>
          <cell r="E1181">
            <v>1903.4428047250001</v>
          </cell>
          <cell r="F1181" t="str">
            <v>SYSTMTXC</v>
          </cell>
          <cell r="G1181">
            <v>2150.5192000000002</v>
          </cell>
          <cell r="H1181" t="str">
            <v>-</v>
          </cell>
          <cell r="I1181" t="str">
            <v>-</v>
          </cell>
          <cell r="J1181">
            <v>2026.9810023625</v>
          </cell>
          <cell r="K1181" t="str">
            <v>Small Cap</v>
          </cell>
        </row>
        <row r="1182">
          <cell r="C1182" t="str">
            <v>INE0IQ001011</v>
          </cell>
          <cell r="D1182" t="str">
            <v>VERANDA</v>
          </cell>
          <cell r="E1182">
            <v>2036.66144915</v>
          </cell>
          <cell r="F1182" t="str">
            <v>VERANDA</v>
          </cell>
          <cell r="G1182">
            <v>1997.5423000000001</v>
          </cell>
          <cell r="H1182" t="str">
            <v>-</v>
          </cell>
          <cell r="I1182" t="str">
            <v>-</v>
          </cell>
          <cell r="J1182">
            <v>2017.101874575</v>
          </cell>
          <cell r="K1182" t="str">
            <v>Small Cap</v>
          </cell>
        </row>
        <row r="1183">
          <cell r="C1183" t="str">
            <v>INE225C01029</v>
          </cell>
          <cell r="D1183" t="str">
            <v>UDAICEMENT</v>
          </cell>
          <cell r="E1183">
            <v>2017.0147286849999</v>
          </cell>
          <cell r="F1183" t="str">
            <v>-</v>
          </cell>
          <cell r="G1183" t="str">
            <v>-</v>
          </cell>
          <cell r="H1183" t="str">
            <v>-</v>
          </cell>
          <cell r="I1183" t="str">
            <v>-</v>
          </cell>
          <cell r="J1183">
            <v>2017.0147286849999</v>
          </cell>
          <cell r="K1183" t="str">
            <v>Small Cap</v>
          </cell>
        </row>
        <row r="1184">
          <cell r="C1184" t="str">
            <v>INE075D01018</v>
          </cell>
          <cell r="D1184" t="str">
            <v>GMBREW</v>
          </cell>
          <cell r="E1184">
            <v>2016.6942667139999</v>
          </cell>
          <cell r="F1184" t="str">
            <v>GMBREW</v>
          </cell>
          <cell r="G1184">
            <v>2016.4712999999999</v>
          </cell>
          <cell r="H1184" t="str">
            <v>-</v>
          </cell>
          <cell r="I1184" t="str">
            <v>-</v>
          </cell>
          <cell r="J1184">
            <v>2016.5827833569999</v>
          </cell>
          <cell r="K1184" t="str">
            <v>Small Cap</v>
          </cell>
        </row>
        <row r="1185">
          <cell r="C1185" t="str">
            <v>INE964H01014</v>
          </cell>
          <cell r="D1185" t="str">
            <v>SEPC</v>
          </cell>
          <cell r="E1185">
            <v>2212.972458487</v>
          </cell>
          <cell r="F1185" t="str">
            <v>SEPC</v>
          </cell>
          <cell r="G1185">
            <v>1806.3779999999999</v>
          </cell>
          <cell r="H1185" t="str">
            <v>-</v>
          </cell>
          <cell r="I1185" t="str">
            <v>-</v>
          </cell>
          <cell r="J1185">
            <v>2009.6752292434999</v>
          </cell>
          <cell r="K1185" t="str">
            <v>Small Cap</v>
          </cell>
        </row>
        <row r="1186">
          <cell r="C1186" t="str">
            <v>INE0HLU01028</v>
          </cell>
          <cell r="D1186" t="str">
            <v>MOBIKWIK</v>
          </cell>
          <cell r="E1186">
            <v>1997.8067121680001</v>
          </cell>
          <cell r="F1186" t="str">
            <v>MOBIKWIK</v>
          </cell>
          <cell r="G1186">
            <v>1985.6860999999999</v>
          </cell>
          <cell r="H1186" t="str">
            <v>-</v>
          </cell>
          <cell r="I1186" t="str">
            <v>-</v>
          </cell>
          <cell r="J1186">
            <v>1991.746406084</v>
          </cell>
          <cell r="K1186" t="str">
            <v>Small Cap</v>
          </cell>
        </row>
        <row r="1187">
          <cell r="C1187" t="str">
            <v>INE751B01018</v>
          </cell>
          <cell r="D1187" t="str">
            <v>PIXTRANS</v>
          </cell>
          <cell r="E1187">
            <v>1989.600365429</v>
          </cell>
          <cell r="F1187" t="str">
            <v>PIXTRANS</v>
          </cell>
          <cell r="G1187">
            <v>1989.6890000000001</v>
          </cell>
          <cell r="H1187" t="str">
            <v>-</v>
          </cell>
          <cell r="I1187" t="str">
            <v>-</v>
          </cell>
          <cell r="J1187">
            <v>1989.6446827145</v>
          </cell>
          <cell r="K1187" t="str">
            <v>Small Cap</v>
          </cell>
        </row>
        <row r="1188">
          <cell r="C1188" t="str">
            <v>INE440T01028</v>
          </cell>
          <cell r="D1188" t="str">
            <v>SEIL</v>
          </cell>
          <cell r="E1188">
            <v>1984.2802777779998</v>
          </cell>
          <cell r="F1188" t="str">
            <v>-</v>
          </cell>
          <cell r="G1188" t="str">
            <v>-</v>
          </cell>
          <cell r="H1188" t="str">
            <v>-</v>
          </cell>
          <cell r="I1188" t="str">
            <v>-</v>
          </cell>
          <cell r="J1188">
            <v>1984.2802777779998</v>
          </cell>
          <cell r="K1188" t="str">
            <v>Small Cap</v>
          </cell>
        </row>
        <row r="1189">
          <cell r="C1189" t="str">
            <v>INE244O01017</v>
          </cell>
          <cell r="D1189" t="str">
            <v>UNIPARTS</v>
          </cell>
          <cell r="E1189">
            <v>1983.7808008119998</v>
          </cell>
          <cell r="F1189" t="str">
            <v>UNIPARTS</v>
          </cell>
          <cell r="G1189">
            <v>1983.7777000000001</v>
          </cell>
          <cell r="H1189" t="str">
            <v>-</v>
          </cell>
          <cell r="I1189" t="str">
            <v>-</v>
          </cell>
          <cell r="J1189">
            <v>1983.7792504059998</v>
          </cell>
          <cell r="K1189" t="str">
            <v>Small Cap</v>
          </cell>
        </row>
        <row r="1190">
          <cell r="C1190" t="str">
            <v>INE451D01029</v>
          </cell>
          <cell r="D1190" t="str">
            <v>RAJRATAN</v>
          </cell>
          <cell r="E1190">
            <v>1981.366481111</v>
          </cell>
          <cell r="F1190" t="str">
            <v>RAJRATAN</v>
          </cell>
          <cell r="G1190">
            <v>1980.4577999999999</v>
          </cell>
          <cell r="H1190" t="str">
            <v>-</v>
          </cell>
          <cell r="I1190" t="str">
            <v>-</v>
          </cell>
          <cell r="J1190">
            <v>1980.9121405554999</v>
          </cell>
          <cell r="K1190" t="str">
            <v>Small Cap</v>
          </cell>
        </row>
        <row r="1191">
          <cell r="C1191" t="str">
            <v>INE498Q01014</v>
          </cell>
          <cell r="D1191" t="str">
            <v>VINCOFE</v>
          </cell>
          <cell r="E1191">
            <v>2001.866857645</v>
          </cell>
          <cell r="F1191" t="str">
            <v>VINCOFE</v>
          </cell>
          <cell r="G1191">
            <v>1959.8878999999999</v>
          </cell>
          <cell r="H1191" t="str">
            <v>-</v>
          </cell>
          <cell r="I1191" t="str">
            <v>-</v>
          </cell>
          <cell r="J1191">
            <v>1980.8773788224998</v>
          </cell>
          <cell r="K1191" t="str">
            <v>Small Cap</v>
          </cell>
        </row>
        <row r="1192">
          <cell r="C1192" t="str">
            <v>INE131C01011</v>
          </cell>
          <cell r="D1192" t="str">
            <v>DISAQ</v>
          </cell>
          <cell r="E1192">
            <v>1968.1906410959998</v>
          </cell>
          <cell r="F1192" t="str">
            <v>-</v>
          </cell>
          <cell r="G1192" t="str">
            <v>-</v>
          </cell>
          <cell r="H1192" t="str">
            <v>-</v>
          </cell>
          <cell r="I1192" t="str">
            <v>-</v>
          </cell>
          <cell r="J1192">
            <v>1968.1906410959998</v>
          </cell>
          <cell r="K1192" t="str">
            <v>Small Cap</v>
          </cell>
        </row>
        <row r="1193">
          <cell r="C1193" t="str">
            <v>INE092B01025</v>
          </cell>
          <cell r="D1193" t="str">
            <v>INDNIPPON</v>
          </cell>
          <cell r="E1193">
            <v>1965.408563707</v>
          </cell>
          <cell r="F1193" t="str">
            <v>INDNIPPON</v>
          </cell>
          <cell r="G1193">
            <v>1965.5817999999999</v>
          </cell>
          <cell r="H1193" t="str">
            <v>-</v>
          </cell>
          <cell r="I1193" t="str">
            <v>-</v>
          </cell>
          <cell r="J1193">
            <v>1965.4951818535001</v>
          </cell>
          <cell r="K1193" t="str">
            <v>Small Cap</v>
          </cell>
        </row>
        <row r="1194">
          <cell r="C1194" t="str">
            <v>INE0ALI01010</v>
          </cell>
          <cell r="D1194" t="str">
            <v>ADVAIT</v>
          </cell>
          <cell r="E1194">
            <v>1963.5475003810002</v>
          </cell>
          <cell r="F1194" t="str">
            <v>-</v>
          </cell>
          <cell r="G1194" t="str">
            <v>-</v>
          </cell>
          <cell r="H1194" t="str">
            <v>-</v>
          </cell>
          <cell r="I1194" t="str">
            <v>-</v>
          </cell>
          <cell r="J1194">
            <v>1963.5475003810002</v>
          </cell>
          <cell r="K1194" t="str">
            <v>Small Cap</v>
          </cell>
        </row>
        <row r="1195">
          <cell r="C1195" t="str">
            <v>INE304A01026</v>
          </cell>
          <cell r="D1195" t="str">
            <v>MUKANDLTD</v>
          </cell>
          <cell r="E1195">
            <v>1959.8586880089999</v>
          </cell>
          <cell r="F1195" t="str">
            <v>MUKANDLTD</v>
          </cell>
          <cell r="G1195">
            <v>1959.5307</v>
          </cell>
          <cell r="H1195" t="str">
            <v>-</v>
          </cell>
          <cell r="I1195" t="str">
            <v>-</v>
          </cell>
          <cell r="J1195">
            <v>1959.6946940045</v>
          </cell>
          <cell r="K1195" t="str">
            <v>Small Cap</v>
          </cell>
        </row>
        <row r="1196">
          <cell r="C1196" t="str">
            <v>INE355A01028</v>
          </cell>
          <cell r="D1196" t="str">
            <v>SOMANYCERA</v>
          </cell>
          <cell r="E1196">
            <v>1951.7843011220002</v>
          </cell>
          <cell r="F1196" t="str">
            <v>SOMANYCERA</v>
          </cell>
          <cell r="G1196">
            <v>1951.3085000000001</v>
          </cell>
          <cell r="H1196" t="str">
            <v>-</v>
          </cell>
          <cell r="I1196" t="str">
            <v>-</v>
          </cell>
          <cell r="J1196">
            <v>1951.5464005610002</v>
          </cell>
          <cell r="K1196" t="str">
            <v>Small Cap</v>
          </cell>
        </row>
        <row r="1197">
          <cell r="C1197" t="str">
            <v>INE162D01014</v>
          </cell>
          <cell r="D1197" t="str">
            <v>-</v>
          </cell>
          <cell r="E1197" t="str">
            <v>-</v>
          </cell>
          <cell r="F1197" t="str">
            <v>-</v>
          </cell>
          <cell r="G1197" t="str">
            <v>-</v>
          </cell>
          <cell r="H1197" t="str">
            <v>EMRALD</v>
          </cell>
          <cell r="I1197">
            <v>1948.8680139000044</v>
          </cell>
          <cell r="J1197">
            <v>1948.8680139000044</v>
          </cell>
          <cell r="K1197" t="str">
            <v>Small Cap</v>
          </cell>
        </row>
        <row r="1198">
          <cell r="C1198" t="str">
            <v>INE600Y01019</v>
          </cell>
          <cell r="D1198" t="str">
            <v>DYCL</v>
          </cell>
          <cell r="E1198">
            <v>1945.7873822639999</v>
          </cell>
          <cell r="F1198" t="str">
            <v>DYCL</v>
          </cell>
          <cell r="G1198">
            <v>1944.8643999999999</v>
          </cell>
          <cell r="H1198" t="str">
            <v>-</v>
          </cell>
          <cell r="I1198" t="str">
            <v>-</v>
          </cell>
          <cell r="J1198">
            <v>1945.3258911319999</v>
          </cell>
          <cell r="K1198" t="str">
            <v>Small Cap</v>
          </cell>
        </row>
        <row r="1199">
          <cell r="C1199" t="str">
            <v>INE045B01015</v>
          </cell>
          <cell r="D1199" t="str">
            <v>NELCO</v>
          </cell>
          <cell r="E1199">
            <v>1937.9431692060002</v>
          </cell>
          <cell r="F1199" t="str">
            <v>NELCO</v>
          </cell>
          <cell r="G1199">
            <v>1937.4432999999999</v>
          </cell>
          <cell r="H1199" t="str">
            <v>-</v>
          </cell>
          <cell r="I1199" t="str">
            <v>-</v>
          </cell>
          <cell r="J1199">
            <v>1937.6932346030001</v>
          </cell>
          <cell r="K1199" t="str">
            <v>Small Cap</v>
          </cell>
        </row>
        <row r="1200">
          <cell r="C1200" t="str">
            <v>INE753U01022</v>
          </cell>
          <cell r="D1200" t="str">
            <v>DIVGIITTS</v>
          </cell>
          <cell r="E1200">
            <v>1937.1808493740002</v>
          </cell>
          <cell r="F1200" t="str">
            <v>DIVGIITTS</v>
          </cell>
          <cell r="G1200">
            <v>1936.3118999999999</v>
          </cell>
          <cell r="H1200" t="str">
            <v>-</v>
          </cell>
          <cell r="I1200" t="str">
            <v>-</v>
          </cell>
          <cell r="J1200">
            <v>1936.7463746870001</v>
          </cell>
          <cell r="K1200" t="str">
            <v>Small Cap</v>
          </cell>
        </row>
        <row r="1201">
          <cell r="C1201" t="str">
            <v>INE752G01015</v>
          </cell>
          <cell r="D1201" t="str">
            <v>MSPL</v>
          </cell>
          <cell r="E1201">
            <v>1935.4396040040001</v>
          </cell>
          <cell r="F1201" t="str">
            <v>MSPL</v>
          </cell>
          <cell r="G1201">
            <v>1934.2384999999999</v>
          </cell>
          <cell r="H1201" t="str">
            <v>-</v>
          </cell>
          <cell r="I1201" t="str">
            <v>-</v>
          </cell>
          <cell r="J1201">
            <v>1934.839052002</v>
          </cell>
          <cell r="K1201" t="str">
            <v>Small Cap</v>
          </cell>
        </row>
        <row r="1202">
          <cell r="C1202" t="str">
            <v>INE202H01019</v>
          </cell>
          <cell r="D1202" t="str">
            <v>KERNEX</v>
          </cell>
          <cell r="E1202">
            <v>1925.5072850470001</v>
          </cell>
          <cell r="F1202" t="str">
            <v>KERNEX</v>
          </cell>
          <cell r="G1202">
            <v>1924.9858999999999</v>
          </cell>
          <cell r="H1202" t="str">
            <v>-</v>
          </cell>
          <cell r="I1202" t="str">
            <v>-</v>
          </cell>
          <cell r="J1202">
            <v>1925.2465925235001</v>
          </cell>
          <cell r="K1202" t="str">
            <v>Small Cap</v>
          </cell>
        </row>
        <row r="1203">
          <cell r="C1203" t="str">
            <v>INE866K01023</v>
          </cell>
          <cell r="D1203" t="str">
            <v>WAAREEINDO</v>
          </cell>
          <cell r="E1203">
            <v>1923.1563711409999</v>
          </cell>
          <cell r="F1203" t="str">
            <v>WAAREEINDO</v>
          </cell>
          <cell r="G1203">
            <v>1923.4905000000001</v>
          </cell>
          <cell r="H1203" t="str">
            <v>-</v>
          </cell>
          <cell r="I1203" t="str">
            <v>-</v>
          </cell>
          <cell r="J1203">
            <v>1923.3234355704999</v>
          </cell>
          <cell r="K1203" t="str">
            <v>Small Cap</v>
          </cell>
        </row>
        <row r="1204">
          <cell r="C1204" t="str">
            <v>INE0L1C01019</v>
          </cell>
          <cell r="D1204" t="str">
            <v>KESAR</v>
          </cell>
          <cell r="E1204">
            <v>1920.1894740729999</v>
          </cell>
          <cell r="F1204" t="str">
            <v>-</v>
          </cell>
          <cell r="G1204" t="str">
            <v>-</v>
          </cell>
          <cell r="H1204" t="str">
            <v>-</v>
          </cell>
          <cell r="I1204" t="str">
            <v>-</v>
          </cell>
          <cell r="J1204">
            <v>1920.1894740729999</v>
          </cell>
          <cell r="K1204" t="str">
            <v>Small Cap</v>
          </cell>
        </row>
        <row r="1205">
          <cell r="C1205" t="str">
            <v>INE229H01012</v>
          </cell>
          <cell r="D1205" t="str">
            <v>NITINSPIN</v>
          </cell>
          <cell r="E1205">
            <v>1920.107092857</v>
          </cell>
          <cell r="F1205" t="str">
            <v>NITINSPIN</v>
          </cell>
          <cell r="G1205">
            <v>1920.0401999999999</v>
          </cell>
          <cell r="H1205" t="str">
            <v>-</v>
          </cell>
          <cell r="I1205" t="str">
            <v>-</v>
          </cell>
          <cell r="J1205">
            <v>1920.0736464285001</v>
          </cell>
          <cell r="K1205" t="str">
            <v>Small Cap</v>
          </cell>
        </row>
        <row r="1206">
          <cell r="C1206" t="str">
            <v>INE661I01014</v>
          </cell>
          <cell r="D1206" t="str">
            <v>BGRENERGY</v>
          </cell>
          <cell r="E1206">
            <v>1914.647208289</v>
          </cell>
          <cell r="F1206" t="str">
            <v>BGRENERGY</v>
          </cell>
          <cell r="G1206">
            <v>1914.4043999999999</v>
          </cell>
          <cell r="H1206" t="str">
            <v>-</v>
          </cell>
          <cell r="I1206" t="str">
            <v>-</v>
          </cell>
          <cell r="J1206">
            <v>1914.5258041444999</v>
          </cell>
          <cell r="K1206" t="str">
            <v>Small Cap</v>
          </cell>
        </row>
        <row r="1207">
          <cell r="C1207" t="str">
            <v>INE0H5O01029</v>
          </cell>
          <cell r="D1207" t="str">
            <v>WINDLAS</v>
          </cell>
          <cell r="E1207">
            <v>1909.7063993049999</v>
          </cell>
          <cell r="F1207" t="str">
            <v>WINDLAS</v>
          </cell>
          <cell r="G1207">
            <v>1902.78</v>
          </cell>
          <cell r="H1207" t="str">
            <v>-</v>
          </cell>
          <cell r="I1207" t="str">
            <v>-</v>
          </cell>
          <cell r="J1207">
            <v>1906.2431996524999</v>
          </cell>
          <cell r="K1207" t="str">
            <v>Small Cap</v>
          </cell>
        </row>
        <row r="1208">
          <cell r="C1208" t="str">
            <v>INE926B01016</v>
          </cell>
          <cell r="D1208" t="str">
            <v>GRANDOAK</v>
          </cell>
          <cell r="E1208">
            <v>1899.3979435150002</v>
          </cell>
          <cell r="F1208" t="str">
            <v>-</v>
          </cell>
          <cell r="G1208" t="str">
            <v>-</v>
          </cell>
          <cell r="H1208" t="str">
            <v>-</v>
          </cell>
          <cell r="I1208" t="str">
            <v>-</v>
          </cell>
          <cell r="J1208">
            <v>1899.3979435150002</v>
          </cell>
          <cell r="K1208" t="str">
            <v>Small Cap</v>
          </cell>
        </row>
        <row r="1209">
          <cell r="C1209" t="str">
            <v>INE246B01019</v>
          </cell>
          <cell r="D1209" t="str">
            <v>RAMCOSYS</v>
          </cell>
          <cell r="E1209">
            <v>1895.5571061970002</v>
          </cell>
          <cell r="F1209" t="str">
            <v>RAMCOSYS</v>
          </cell>
          <cell r="G1209">
            <v>1896.0226</v>
          </cell>
          <cell r="H1209" t="str">
            <v>-</v>
          </cell>
          <cell r="I1209" t="str">
            <v>-</v>
          </cell>
          <cell r="J1209">
            <v>1895.7898530985001</v>
          </cell>
          <cell r="K1209" t="str">
            <v>Small Cap</v>
          </cell>
        </row>
        <row r="1210">
          <cell r="C1210" t="str">
            <v>INE212I01016</v>
          </cell>
          <cell r="D1210" t="str">
            <v>SPAL</v>
          </cell>
          <cell r="E1210">
            <v>1891.7042290709999</v>
          </cell>
          <cell r="F1210" t="str">
            <v>SPAL</v>
          </cell>
          <cell r="G1210">
            <v>1892.4779000000001</v>
          </cell>
          <cell r="H1210" t="str">
            <v>-</v>
          </cell>
          <cell r="I1210" t="str">
            <v>-</v>
          </cell>
          <cell r="J1210">
            <v>1892.0910645355</v>
          </cell>
          <cell r="K1210" t="str">
            <v>Small Cap</v>
          </cell>
        </row>
        <row r="1211">
          <cell r="C1211" t="str">
            <v>INE219Y01026</v>
          </cell>
          <cell r="D1211" t="str">
            <v>RMDRIP</v>
          </cell>
          <cell r="E1211">
            <v>1890.9134390479999</v>
          </cell>
          <cell r="F1211" t="str">
            <v>RMDRIP</v>
          </cell>
          <cell r="G1211">
            <v>1889.8535999999999</v>
          </cell>
          <cell r="H1211" t="str">
            <v>-</v>
          </cell>
          <cell r="I1211" t="str">
            <v>-</v>
          </cell>
          <cell r="J1211">
            <v>1890.3835195239999</v>
          </cell>
          <cell r="K1211" t="str">
            <v>Small Cap</v>
          </cell>
        </row>
        <row r="1212">
          <cell r="C1212" t="str">
            <v>INE221H01019</v>
          </cell>
          <cell r="D1212" t="str">
            <v>GTLINFRA</v>
          </cell>
          <cell r="E1212">
            <v>1892.3244196720002</v>
          </cell>
          <cell r="F1212" t="str">
            <v>GTLINFRA</v>
          </cell>
          <cell r="G1212">
            <v>1885.5826</v>
          </cell>
          <cell r="H1212" t="str">
            <v>-</v>
          </cell>
          <cell r="I1212" t="str">
            <v>-</v>
          </cell>
          <cell r="J1212">
            <v>1888.9535098360002</v>
          </cell>
          <cell r="K1212" t="str">
            <v>Small Cap</v>
          </cell>
        </row>
        <row r="1213">
          <cell r="C1213" t="str">
            <v>INE073G01016</v>
          </cell>
          <cell r="D1213" t="str">
            <v>ASALCBR</v>
          </cell>
          <cell r="E1213">
            <v>1902.0116482860001</v>
          </cell>
          <cell r="F1213" t="str">
            <v>ASALCBR</v>
          </cell>
          <cell r="G1213">
            <v>1871.2014999999999</v>
          </cell>
          <cell r="H1213" t="str">
            <v>-</v>
          </cell>
          <cell r="I1213" t="str">
            <v>-</v>
          </cell>
          <cell r="J1213">
            <v>1886.606574143</v>
          </cell>
          <cell r="K1213" t="str">
            <v>Small Cap</v>
          </cell>
        </row>
        <row r="1214">
          <cell r="C1214" t="str">
            <v>INE149O01018</v>
          </cell>
          <cell r="D1214" t="str">
            <v>NIBE</v>
          </cell>
          <cell r="E1214">
            <v>1887.3343932820001</v>
          </cell>
          <cell r="F1214" t="str">
            <v>NIBE</v>
          </cell>
          <cell r="G1214">
            <v>1882.1259</v>
          </cell>
          <cell r="H1214" t="str">
            <v>-</v>
          </cell>
          <cell r="I1214" t="str">
            <v>-</v>
          </cell>
          <cell r="J1214">
            <v>1884.7301466409999</v>
          </cell>
          <cell r="K1214" t="str">
            <v>Small Cap</v>
          </cell>
        </row>
        <row r="1215">
          <cell r="C1215" t="str">
            <v>INE147A01011</v>
          </cell>
          <cell r="D1215" t="str">
            <v>SPIC</v>
          </cell>
          <cell r="E1215">
            <v>1879.0653413499999</v>
          </cell>
          <cell r="F1215" t="str">
            <v>SPIC</v>
          </cell>
          <cell r="G1215">
            <v>1878.6967999999999</v>
          </cell>
          <cell r="H1215" t="str">
            <v>-</v>
          </cell>
          <cell r="I1215" t="str">
            <v>-</v>
          </cell>
          <cell r="J1215">
            <v>1878.881070675</v>
          </cell>
          <cell r="K1215" t="str">
            <v>Small Cap</v>
          </cell>
        </row>
        <row r="1216">
          <cell r="C1216" t="str">
            <v>INE598D01035</v>
          </cell>
          <cell r="D1216" t="str">
            <v>ALGOQUANT</v>
          </cell>
          <cell r="E1216">
            <v>1876.4135277169999</v>
          </cell>
          <cell r="F1216" t="str">
            <v>-</v>
          </cell>
          <cell r="G1216" t="str">
            <v>-</v>
          </cell>
          <cell r="H1216" t="str">
            <v>-</v>
          </cell>
          <cell r="I1216" t="str">
            <v>-</v>
          </cell>
          <cell r="J1216">
            <v>1876.4135277169999</v>
          </cell>
          <cell r="K1216" t="str">
            <v>Small Cap</v>
          </cell>
        </row>
        <row r="1217">
          <cell r="C1217" t="str">
            <v>INE0WO601020</v>
          </cell>
          <cell r="D1217" t="str">
            <v>LAXMIDENTL</v>
          </cell>
          <cell r="E1217">
            <v>1875.0577045490002</v>
          </cell>
          <cell r="F1217" t="str">
            <v>LAXMIDENTL</v>
          </cell>
          <cell r="G1217">
            <v>1875.1646000000001</v>
          </cell>
          <cell r="H1217" t="str">
            <v>-</v>
          </cell>
          <cell r="I1217" t="str">
            <v>-</v>
          </cell>
          <cell r="J1217">
            <v>1875.1111522745</v>
          </cell>
          <cell r="K1217" t="str">
            <v>Small Cap</v>
          </cell>
        </row>
        <row r="1218">
          <cell r="C1218" t="str">
            <v>INE887D01016</v>
          </cell>
          <cell r="D1218" t="str">
            <v>TCC</v>
          </cell>
          <cell r="E1218">
            <v>1874.9498516310002</v>
          </cell>
          <cell r="F1218" t="str">
            <v>-</v>
          </cell>
          <cell r="G1218" t="str">
            <v>-</v>
          </cell>
          <cell r="H1218" t="str">
            <v>-</v>
          </cell>
          <cell r="I1218" t="str">
            <v>-</v>
          </cell>
          <cell r="J1218">
            <v>1874.9498516310002</v>
          </cell>
          <cell r="K1218" t="str">
            <v>Small Cap</v>
          </cell>
        </row>
        <row r="1219">
          <cell r="C1219" t="str">
            <v>INE305C01029</v>
          </cell>
          <cell r="D1219" t="str">
            <v>PANAMAPET</v>
          </cell>
          <cell r="E1219">
            <v>1853.5262432599998</v>
          </cell>
          <cell r="F1219" t="str">
            <v>PANAMAPET</v>
          </cell>
          <cell r="G1219">
            <v>1853.1278</v>
          </cell>
          <cell r="H1219" t="str">
            <v>-</v>
          </cell>
          <cell r="I1219" t="str">
            <v>-</v>
          </cell>
          <cell r="J1219">
            <v>1853.3270216299998</v>
          </cell>
          <cell r="K1219" t="str">
            <v>Small Cap</v>
          </cell>
        </row>
        <row r="1220">
          <cell r="C1220" t="str">
            <v>INE332H01014</v>
          </cell>
          <cell r="D1220" t="str">
            <v>INDOTECH</v>
          </cell>
          <cell r="E1220">
            <v>1848.399621429</v>
          </cell>
          <cell r="F1220" t="str">
            <v>INDOTECH</v>
          </cell>
          <cell r="G1220">
            <v>1848.0814</v>
          </cell>
          <cell r="H1220" t="str">
            <v>-</v>
          </cell>
          <cell r="I1220" t="str">
            <v>-</v>
          </cell>
          <cell r="J1220">
            <v>1848.2405107145</v>
          </cell>
          <cell r="K1220" t="str">
            <v>Small Cap</v>
          </cell>
        </row>
        <row r="1221">
          <cell r="C1221" t="str">
            <v>INE0GV601021</v>
          </cell>
          <cell r="D1221" t="str">
            <v>ALLTIME</v>
          </cell>
          <cell r="E1221">
            <v>1847.3750909</v>
          </cell>
          <cell r="F1221" t="str">
            <v>ALLTIME</v>
          </cell>
          <cell r="G1221">
            <v>1847.7514000000001</v>
          </cell>
          <cell r="H1221" t="str">
            <v>-</v>
          </cell>
          <cell r="I1221" t="str">
            <v>-</v>
          </cell>
          <cell r="J1221">
            <v>1847.5632454500001</v>
          </cell>
          <cell r="K1221" t="str">
            <v>Small Cap</v>
          </cell>
        </row>
        <row r="1222">
          <cell r="C1222" t="str">
            <v>INE632C01026</v>
          </cell>
          <cell r="D1222" t="str">
            <v>VIDHIING</v>
          </cell>
          <cell r="E1222">
            <v>1840.8379277779998</v>
          </cell>
          <cell r="F1222" t="str">
            <v>VIDHIING</v>
          </cell>
          <cell r="G1222">
            <v>1842.9486999999999</v>
          </cell>
          <cell r="H1222" t="str">
            <v>-</v>
          </cell>
          <cell r="I1222" t="str">
            <v>-</v>
          </cell>
          <cell r="J1222">
            <v>1841.8933138889997</v>
          </cell>
          <cell r="K1222" t="str">
            <v>Small Cap</v>
          </cell>
        </row>
        <row r="1223">
          <cell r="C1223" t="str">
            <v>INE274C01019</v>
          </cell>
          <cell r="D1223" t="str">
            <v>WENDT</v>
          </cell>
          <cell r="E1223">
            <v>1831.5142063490002</v>
          </cell>
          <cell r="F1223" t="str">
            <v>WENDT</v>
          </cell>
          <cell r="G1223">
            <v>1831.6746000000001</v>
          </cell>
          <cell r="H1223" t="str">
            <v>-</v>
          </cell>
          <cell r="I1223" t="str">
            <v>-</v>
          </cell>
          <cell r="J1223">
            <v>1831.5944031745003</v>
          </cell>
          <cell r="K1223" t="str">
            <v>Small Cap</v>
          </cell>
        </row>
        <row r="1224">
          <cell r="C1224" t="str">
            <v>INE694A01020</v>
          </cell>
          <cell r="D1224" t="str">
            <v>UNITECH</v>
          </cell>
          <cell r="E1224">
            <v>1824.7658626069999</v>
          </cell>
          <cell r="F1224" t="str">
            <v>UNITECH</v>
          </cell>
          <cell r="G1224">
            <v>1824.4547</v>
          </cell>
          <cell r="H1224" t="str">
            <v>-</v>
          </cell>
          <cell r="I1224" t="str">
            <v>-</v>
          </cell>
          <cell r="J1224">
            <v>1824.6102813035</v>
          </cell>
          <cell r="K1224" t="str">
            <v>Small Cap</v>
          </cell>
        </row>
        <row r="1225">
          <cell r="C1225" t="str">
            <v>INE0FRK01020</v>
          </cell>
          <cell r="D1225" t="str">
            <v>MOTISONS</v>
          </cell>
          <cell r="E1225">
            <v>1811.265762857</v>
          </cell>
          <cell r="F1225" t="str">
            <v>MOTISONS</v>
          </cell>
          <cell r="G1225">
            <v>1811.2032999999999</v>
          </cell>
          <cell r="H1225" t="str">
            <v>-</v>
          </cell>
          <cell r="I1225" t="str">
            <v>-</v>
          </cell>
          <cell r="J1225">
            <v>1811.2345314284998</v>
          </cell>
          <cell r="K1225" t="str">
            <v>Small Cap</v>
          </cell>
        </row>
        <row r="1226">
          <cell r="C1226" t="str">
            <v>INE841L01016</v>
          </cell>
          <cell r="D1226" t="str">
            <v>DEEDEV</v>
          </cell>
          <cell r="E1226">
            <v>1810.5475443360001</v>
          </cell>
          <cell r="F1226" t="str">
            <v>DEEDEV</v>
          </cell>
          <cell r="G1226">
            <v>1810.4553000000001</v>
          </cell>
          <cell r="H1226" t="str">
            <v>-</v>
          </cell>
          <cell r="I1226" t="str">
            <v>-</v>
          </cell>
          <cell r="J1226">
            <v>1810.5014221680001</v>
          </cell>
          <cell r="K1226" t="str">
            <v>Small Cap</v>
          </cell>
        </row>
        <row r="1227">
          <cell r="C1227" t="str">
            <v>INE045A01017</v>
          </cell>
          <cell r="D1227" t="str">
            <v>ADOR</v>
          </cell>
          <cell r="E1227">
            <v>1803.8687617759999</v>
          </cell>
          <cell r="F1227" t="str">
            <v>ADOR</v>
          </cell>
          <cell r="G1227">
            <v>1804.4840999999999</v>
          </cell>
          <cell r="H1227" t="str">
            <v>-</v>
          </cell>
          <cell r="I1227" t="str">
            <v>-</v>
          </cell>
          <cell r="J1227">
            <v>1804.1764308879999</v>
          </cell>
          <cell r="K1227" t="str">
            <v>Small Cap</v>
          </cell>
        </row>
        <row r="1228">
          <cell r="C1228" t="str">
            <v>INE0JVO01026</v>
          </cell>
          <cell r="D1228" t="str">
            <v>GARUDA</v>
          </cell>
          <cell r="E1228">
            <v>1801.3545835069999</v>
          </cell>
          <cell r="F1228" t="str">
            <v>GARUDA</v>
          </cell>
          <cell r="G1228">
            <v>1801.0496000000001</v>
          </cell>
          <cell r="H1228" t="str">
            <v>-</v>
          </cell>
          <cell r="I1228" t="str">
            <v>-</v>
          </cell>
          <cell r="J1228">
            <v>1801.2020917535001</v>
          </cell>
          <cell r="K1228" t="str">
            <v>Small Cap</v>
          </cell>
        </row>
        <row r="1229">
          <cell r="C1229" t="str">
            <v>INE572D01014</v>
          </cell>
          <cell r="D1229" t="str">
            <v>FRONTSP</v>
          </cell>
          <cell r="E1229">
            <v>1799.3604823790001</v>
          </cell>
          <cell r="F1229" t="str">
            <v>-</v>
          </cell>
          <cell r="G1229" t="str">
            <v>-</v>
          </cell>
          <cell r="H1229" t="str">
            <v>-</v>
          </cell>
          <cell r="I1229" t="str">
            <v>-</v>
          </cell>
          <cell r="J1229">
            <v>1799.3604823790001</v>
          </cell>
          <cell r="K1229" t="str">
            <v>Small Cap</v>
          </cell>
        </row>
        <row r="1230">
          <cell r="C1230" t="str">
            <v>INE525F01025</v>
          </cell>
          <cell r="D1230" t="str">
            <v>BLIL</v>
          </cell>
          <cell r="E1230">
            <v>1791.6895627830002</v>
          </cell>
          <cell r="F1230" t="str">
            <v>-</v>
          </cell>
          <cell r="G1230" t="str">
            <v>-</v>
          </cell>
          <cell r="H1230" t="str">
            <v>-</v>
          </cell>
          <cell r="I1230" t="str">
            <v>-</v>
          </cell>
          <cell r="J1230">
            <v>1791.6895627830002</v>
          </cell>
          <cell r="K1230" t="str">
            <v>Small Cap</v>
          </cell>
        </row>
        <row r="1231">
          <cell r="C1231" t="str">
            <v>INE707A01012</v>
          </cell>
          <cell r="D1231" t="str">
            <v>VINDHYATEL</v>
          </cell>
          <cell r="E1231">
            <v>1780.3184672470002</v>
          </cell>
          <cell r="F1231" t="str">
            <v>VINDHYATEL</v>
          </cell>
          <cell r="G1231">
            <v>1780.0231000000001</v>
          </cell>
          <cell r="H1231" t="str">
            <v>-</v>
          </cell>
          <cell r="I1231" t="str">
            <v>-</v>
          </cell>
          <cell r="J1231">
            <v>1780.1707836235</v>
          </cell>
          <cell r="K1231" t="str">
            <v>Small Cap</v>
          </cell>
        </row>
        <row r="1232">
          <cell r="C1232" t="str">
            <v>INE484I01029</v>
          </cell>
          <cell r="D1232" t="str">
            <v>PRECAM</v>
          </cell>
          <cell r="E1232">
            <v>1777.6523634669998</v>
          </cell>
          <cell r="F1232" t="str">
            <v>PRECAM</v>
          </cell>
          <cell r="G1232">
            <v>1777.2257</v>
          </cell>
          <cell r="H1232" t="str">
            <v>-</v>
          </cell>
          <cell r="I1232" t="str">
            <v>-</v>
          </cell>
          <cell r="J1232">
            <v>1777.4390317334999</v>
          </cell>
          <cell r="K1232" t="str">
            <v>Small Cap</v>
          </cell>
        </row>
        <row r="1233">
          <cell r="C1233" t="str">
            <v>INE563J01010</v>
          </cell>
          <cell r="D1233" t="str">
            <v>ASTEC</v>
          </cell>
          <cell r="E1233">
            <v>1772.918477641</v>
          </cell>
          <cell r="F1233" t="str">
            <v>ASTEC</v>
          </cell>
          <cell r="G1233">
            <v>1776.4580000000001</v>
          </cell>
          <cell r="H1233" t="str">
            <v>-</v>
          </cell>
          <cell r="I1233" t="str">
            <v>-</v>
          </cell>
          <cell r="J1233">
            <v>1774.6882388204999</v>
          </cell>
          <cell r="K1233" t="str">
            <v>Small Cap</v>
          </cell>
        </row>
        <row r="1234">
          <cell r="C1234" t="str">
            <v>INE777F01014</v>
          </cell>
          <cell r="D1234" t="str">
            <v>EXICOM</v>
          </cell>
          <cell r="E1234">
            <v>1562.2334440940001</v>
          </cell>
          <cell r="F1234" t="str">
            <v>EXICOM</v>
          </cell>
          <cell r="G1234">
            <v>1974.5134</v>
          </cell>
          <cell r="H1234" t="str">
            <v>-</v>
          </cell>
          <cell r="I1234" t="str">
            <v>-</v>
          </cell>
          <cell r="J1234">
            <v>1768.3734220470001</v>
          </cell>
          <cell r="K1234" t="str">
            <v>Small Cap</v>
          </cell>
        </row>
        <row r="1235">
          <cell r="C1235" t="str">
            <v>INE187D01029</v>
          </cell>
          <cell r="D1235" t="str">
            <v>TALBROAUTO</v>
          </cell>
          <cell r="E1235">
            <v>1760.7342405060001</v>
          </cell>
          <cell r="F1235" t="str">
            <v>TALBROAUTO</v>
          </cell>
          <cell r="G1235">
            <v>1760.9229</v>
          </cell>
          <cell r="H1235" t="str">
            <v>-</v>
          </cell>
          <cell r="I1235" t="str">
            <v>-</v>
          </cell>
          <cell r="J1235">
            <v>1760.8285702530002</v>
          </cell>
          <cell r="K1235" t="str">
            <v>Small Cap</v>
          </cell>
        </row>
        <row r="1236">
          <cell r="C1236" t="str">
            <v>INE133Y01011</v>
          </cell>
          <cell r="D1236" t="str">
            <v>IFGLEXPOR</v>
          </cell>
          <cell r="E1236">
            <v>1755.3518962169999</v>
          </cell>
          <cell r="F1236" t="str">
            <v>IFGLEXPOR</v>
          </cell>
          <cell r="G1236">
            <v>1756.1298999999999</v>
          </cell>
          <cell r="H1236" t="str">
            <v>-</v>
          </cell>
          <cell r="I1236" t="str">
            <v>-</v>
          </cell>
          <cell r="J1236">
            <v>1755.7408981085</v>
          </cell>
          <cell r="K1236" t="str">
            <v>Small Cap</v>
          </cell>
        </row>
        <row r="1237">
          <cell r="C1237" t="str">
            <v>INE0NLT01010</v>
          </cell>
          <cell r="D1237" t="str">
            <v>BLSE</v>
          </cell>
          <cell r="E1237">
            <v>1750.7648063730001</v>
          </cell>
          <cell r="F1237" t="str">
            <v>BLSE</v>
          </cell>
          <cell r="G1237">
            <v>1750.5615</v>
          </cell>
          <cell r="H1237" t="str">
            <v>-</v>
          </cell>
          <cell r="I1237" t="str">
            <v>-</v>
          </cell>
          <cell r="J1237">
            <v>1750.6631531865</v>
          </cell>
          <cell r="K1237" t="str">
            <v>Small Cap</v>
          </cell>
        </row>
        <row r="1238">
          <cell r="C1238" t="str">
            <v>INE0KKN01029</v>
          </cell>
          <cell r="D1238" t="str">
            <v>RHETAN</v>
          </cell>
          <cell r="E1238">
            <v>1646.4386160709998</v>
          </cell>
          <cell r="F1238" t="str">
            <v>RHETAN</v>
          </cell>
          <cell r="G1238">
            <v>1839.0771999999999</v>
          </cell>
          <cell r="H1238" t="str">
            <v>-</v>
          </cell>
          <cell r="I1238" t="str">
            <v>-</v>
          </cell>
          <cell r="J1238">
            <v>1742.7579080354999</v>
          </cell>
          <cell r="K1238" t="str">
            <v>Small Cap</v>
          </cell>
        </row>
        <row r="1239">
          <cell r="C1239" t="str">
            <v>INE878K01010</v>
          </cell>
          <cell r="D1239" t="str">
            <v>BFINVEST</v>
          </cell>
          <cell r="E1239">
            <v>1739.715273111</v>
          </cell>
          <cell r="F1239" t="str">
            <v>BFINVEST</v>
          </cell>
          <cell r="G1239">
            <v>1739.9513999999999</v>
          </cell>
          <cell r="H1239" t="str">
            <v>-</v>
          </cell>
          <cell r="I1239" t="str">
            <v>-</v>
          </cell>
          <cell r="J1239">
            <v>1739.8333365555</v>
          </cell>
          <cell r="K1239" t="str">
            <v>Small Cap</v>
          </cell>
        </row>
        <row r="1240">
          <cell r="C1240" t="str">
            <v>INE278M01019</v>
          </cell>
          <cell r="D1240" t="str">
            <v>NAVKARCORP</v>
          </cell>
          <cell r="E1240">
            <v>1732.6215141040002</v>
          </cell>
          <cell r="F1240" t="str">
            <v>NAVKARCORP</v>
          </cell>
          <cell r="G1240">
            <v>1732.7086999999999</v>
          </cell>
          <cell r="H1240" t="str">
            <v>-</v>
          </cell>
          <cell r="I1240" t="str">
            <v>-</v>
          </cell>
          <cell r="J1240">
            <v>1732.6651070520002</v>
          </cell>
          <cell r="K1240" t="str">
            <v>Small Cap</v>
          </cell>
        </row>
        <row r="1241">
          <cell r="C1241" t="str">
            <v>INE937A01023</v>
          </cell>
          <cell r="D1241" t="str">
            <v>SPMLINFRA</v>
          </cell>
          <cell r="E1241">
            <v>1724.942740336</v>
          </cell>
          <cell r="F1241" t="str">
            <v>SPMLINFRA</v>
          </cell>
          <cell r="G1241">
            <v>1721.2768000000001</v>
          </cell>
          <cell r="H1241" t="str">
            <v>-</v>
          </cell>
          <cell r="I1241" t="str">
            <v>-</v>
          </cell>
          <cell r="J1241">
            <v>1723.1097701680001</v>
          </cell>
          <cell r="K1241" t="str">
            <v>Small Cap</v>
          </cell>
        </row>
        <row r="1242">
          <cell r="C1242" t="str">
            <v>INE197A01024</v>
          </cell>
          <cell r="D1242" t="str">
            <v>JYOTISTRUC</v>
          </cell>
          <cell r="E1242">
            <v>1722.2545579950001</v>
          </cell>
          <cell r="F1242" t="str">
            <v>JYOTISTRUC</v>
          </cell>
          <cell r="G1242">
            <v>1720.7396000000001</v>
          </cell>
          <cell r="H1242" t="str">
            <v>-</v>
          </cell>
          <cell r="I1242" t="str">
            <v>-</v>
          </cell>
          <cell r="J1242">
            <v>1721.4970789975</v>
          </cell>
          <cell r="K1242" t="str">
            <v>Small Cap</v>
          </cell>
        </row>
        <row r="1243">
          <cell r="C1243" t="str">
            <v>INE0MB501011</v>
          </cell>
          <cell r="D1243" t="str">
            <v>JGCHEM</v>
          </cell>
          <cell r="E1243">
            <v>1716.8689302350001</v>
          </cell>
          <cell r="F1243" t="str">
            <v>JGCHEM</v>
          </cell>
          <cell r="G1243">
            <v>1717.3634</v>
          </cell>
          <cell r="H1243" t="str">
            <v>-</v>
          </cell>
          <cell r="I1243" t="str">
            <v>-</v>
          </cell>
          <cell r="J1243">
            <v>1717.1161651175</v>
          </cell>
          <cell r="K1243" t="str">
            <v>Small Cap</v>
          </cell>
        </row>
        <row r="1244">
          <cell r="C1244" t="str">
            <v>INE077F01035</v>
          </cell>
          <cell r="D1244" t="str">
            <v>GOCLCORP</v>
          </cell>
          <cell r="E1244">
            <v>1716.808246328</v>
          </cell>
          <cell r="F1244" t="str">
            <v>GOCLCORP</v>
          </cell>
          <cell r="G1244">
            <v>1716.6717000000001</v>
          </cell>
          <cell r="H1244" t="str">
            <v>-</v>
          </cell>
          <cell r="I1244" t="str">
            <v>-</v>
          </cell>
          <cell r="J1244">
            <v>1716.739973164</v>
          </cell>
          <cell r="K1244" t="str">
            <v>Small Cap</v>
          </cell>
        </row>
        <row r="1245">
          <cell r="C1245" t="str">
            <v>INE275B01026</v>
          </cell>
          <cell r="D1245" t="str">
            <v>HUHTAMAKI</v>
          </cell>
          <cell r="E1245">
            <v>1716.1999873239999</v>
          </cell>
          <cell r="F1245" t="str">
            <v>HUHTAMAKI</v>
          </cell>
          <cell r="G1245">
            <v>1716.143</v>
          </cell>
          <cell r="H1245" t="str">
            <v>-</v>
          </cell>
          <cell r="I1245" t="str">
            <v>-</v>
          </cell>
          <cell r="J1245">
            <v>1716.1714936620001</v>
          </cell>
          <cell r="K1245" t="str">
            <v>Small Cap</v>
          </cell>
        </row>
        <row r="1246">
          <cell r="C1246" t="str">
            <v>INE306L01010</v>
          </cell>
          <cell r="D1246" t="str">
            <v>QUICKHEAL</v>
          </cell>
          <cell r="E1246">
            <v>1709.0284553190002</v>
          </cell>
          <cell r="F1246" t="str">
            <v>QUICKHEAL</v>
          </cell>
          <cell r="G1246">
            <v>1707.2217000000001</v>
          </cell>
          <cell r="H1246" t="str">
            <v>-</v>
          </cell>
          <cell r="I1246" t="str">
            <v>-</v>
          </cell>
          <cell r="J1246">
            <v>1708.1250776595002</v>
          </cell>
          <cell r="K1246" t="str">
            <v>Small Cap</v>
          </cell>
        </row>
        <row r="1247">
          <cell r="C1247" t="str">
            <v>INE0N0J01014</v>
          </cell>
          <cell r="D1247" t="str">
            <v>CNCRD</v>
          </cell>
          <cell r="E1247">
            <v>1706.2274461120001</v>
          </cell>
          <cell r="F1247" t="str">
            <v>-</v>
          </cell>
          <cell r="G1247" t="str">
            <v>-</v>
          </cell>
          <cell r="H1247" t="str">
            <v>-</v>
          </cell>
          <cell r="I1247" t="str">
            <v>-</v>
          </cell>
          <cell r="J1247">
            <v>1706.2274461120001</v>
          </cell>
          <cell r="K1247" t="str">
            <v>Small Cap</v>
          </cell>
        </row>
        <row r="1248">
          <cell r="C1248" t="str">
            <v>INE859A01011</v>
          </cell>
          <cell r="D1248" t="str">
            <v>PNBGILTS</v>
          </cell>
          <cell r="E1248">
            <v>1702.062963607</v>
          </cell>
          <cell r="F1248" t="str">
            <v>PNBGILTS</v>
          </cell>
          <cell r="G1248">
            <v>1702.2729999999999</v>
          </cell>
          <cell r="H1248" t="str">
            <v>-</v>
          </cell>
          <cell r="I1248" t="str">
            <v>-</v>
          </cell>
          <cell r="J1248">
            <v>1702.1679818035</v>
          </cell>
          <cell r="K1248" t="str">
            <v>Small Cap</v>
          </cell>
        </row>
        <row r="1249">
          <cell r="C1249" t="str">
            <v>INE742C01031</v>
          </cell>
          <cell r="D1249" t="str">
            <v>JINDRILL</v>
          </cell>
          <cell r="E1249">
            <v>1701.3380104079999</v>
          </cell>
          <cell r="F1249" t="str">
            <v>JINDRILL</v>
          </cell>
          <cell r="G1249">
            <v>1701.66</v>
          </cell>
          <cell r="H1249" t="str">
            <v>-</v>
          </cell>
          <cell r="I1249" t="str">
            <v>-</v>
          </cell>
          <cell r="J1249">
            <v>1701.499005204</v>
          </cell>
          <cell r="K1249" t="str">
            <v>Small Cap</v>
          </cell>
        </row>
        <row r="1250">
          <cell r="C1250" t="str">
            <v>INE250K01012</v>
          </cell>
          <cell r="D1250" t="str">
            <v>DLINKINDIA</v>
          </cell>
          <cell r="E1250">
            <v>1697.0402500299999</v>
          </cell>
          <cell r="F1250" t="str">
            <v>DLINKINDIA</v>
          </cell>
          <cell r="G1250">
            <v>1696.867</v>
          </cell>
          <cell r="H1250" t="str">
            <v>-</v>
          </cell>
          <cell r="I1250" t="str">
            <v>-</v>
          </cell>
          <cell r="J1250">
            <v>1696.9536250149999</v>
          </cell>
          <cell r="K1250" t="str">
            <v>Small Cap</v>
          </cell>
        </row>
        <row r="1251">
          <cell r="C1251" t="str">
            <v>INE880Y01017</v>
          </cell>
          <cell r="D1251" t="str">
            <v>-</v>
          </cell>
          <cell r="E1251" t="str">
            <v>-</v>
          </cell>
          <cell r="F1251" t="str">
            <v>SOLEX</v>
          </cell>
          <cell r="G1251">
            <v>1690.691</v>
          </cell>
          <cell r="H1251" t="str">
            <v>-</v>
          </cell>
          <cell r="I1251" t="str">
            <v>-</v>
          </cell>
          <cell r="J1251">
            <v>1690.691</v>
          </cell>
          <cell r="K1251" t="str">
            <v>Small Cap</v>
          </cell>
        </row>
        <row r="1252">
          <cell r="C1252" t="str">
            <v>INE893C01032</v>
          </cell>
          <cell r="D1252" t="str">
            <v>BGDL</v>
          </cell>
          <cell r="E1252">
            <v>1684.248515857</v>
          </cell>
          <cell r="F1252" t="str">
            <v>-</v>
          </cell>
          <cell r="G1252" t="str">
            <v>-</v>
          </cell>
          <cell r="H1252" t="str">
            <v>-</v>
          </cell>
          <cell r="I1252" t="str">
            <v>-</v>
          </cell>
          <cell r="J1252">
            <v>1684.248515857</v>
          </cell>
          <cell r="K1252" t="str">
            <v>Small Cap</v>
          </cell>
        </row>
        <row r="1253">
          <cell r="C1253" t="str">
            <v>INE416D01022</v>
          </cell>
          <cell r="D1253" t="str">
            <v>BLISSGVS</v>
          </cell>
          <cell r="E1253">
            <v>1677.9394425110002</v>
          </cell>
          <cell r="F1253" t="str">
            <v>BLISSGVS</v>
          </cell>
          <cell r="G1253">
            <v>1675.8534</v>
          </cell>
          <cell r="H1253" t="str">
            <v>-</v>
          </cell>
          <cell r="I1253" t="str">
            <v>-</v>
          </cell>
          <cell r="J1253">
            <v>1676.8964212555002</v>
          </cell>
          <cell r="K1253" t="str">
            <v>Small Cap</v>
          </cell>
        </row>
        <row r="1254">
          <cell r="C1254" t="str">
            <v>INE08NE01025</v>
          </cell>
          <cell r="D1254" t="str">
            <v>SANSTAR</v>
          </cell>
          <cell r="E1254">
            <v>1673.5937856209998</v>
          </cell>
          <cell r="F1254" t="str">
            <v>SANSTAR</v>
          </cell>
          <cell r="G1254">
            <v>1673.6907000000001</v>
          </cell>
          <cell r="H1254" t="str">
            <v>-</v>
          </cell>
          <cell r="I1254" t="str">
            <v>-</v>
          </cell>
          <cell r="J1254">
            <v>1673.6422428105</v>
          </cell>
          <cell r="K1254" t="str">
            <v>Small Cap</v>
          </cell>
        </row>
        <row r="1255">
          <cell r="C1255" t="str">
            <v>INE999B01013</v>
          </cell>
          <cell r="D1255" t="str">
            <v>SANGHIIND</v>
          </cell>
          <cell r="E1255">
            <v>1673.4768321270001</v>
          </cell>
          <cell r="F1255" t="str">
            <v>SANGHIIND</v>
          </cell>
          <cell r="G1255">
            <v>1673.7782</v>
          </cell>
          <cell r="H1255" t="str">
            <v>-</v>
          </cell>
          <cell r="I1255" t="str">
            <v>-</v>
          </cell>
          <cell r="J1255">
            <v>1673.6275160635</v>
          </cell>
          <cell r="K1255" t="str">
            <v>Small Cap</v>
          </cell>
        </row>
        <row r="1256">
          <cell r="C1256" t="str">
            <v>INE201K01015</v>
          </cell>
          <cell r="D1256" t="str">
            <v>EXPLEOSOL</v>
          </cell>
          <cell r="E1256">
            <v>1667.1463758090001</v>
          </cell>
          <cell r="F1256" t="str">
            <v>EXPLEOSOL</v>
          </cell>
          <cell r="G1256">
            <v>1666.9592</v>
          </cell>
          <cell r="H1256" t="str">
            <v>-</v>
          </cell>
          <cell r="I1256" t="str">
            <v>-</v>
          </cell>
          <cell r="J1256">
            <v>1667.0527879045001</v>
          </cell>
          <cell r="K1256" t="str">
            <v>Small Cap</v>
          </cell>
        </row>
        <row r="1257">
          <cell r="C1257" t="str">
            <v>INE622Q01019</v>
          </cell>
          <cell r="D1257" t="str">
            <v>MOBAVENUE</v>
          </cell>
          <cell r="E1257">
            <v>1660.175</v>
          </cell>
          <cell r="F1257" t="str">
            <v>-</v>
          </cell>
          <cell r="G1257" t="str">
            <v>-</v>
          </cell>
          <cell r="H1257" t="str">
            <v>-</v>
          </cell>
          <cell r="I1257" t="str">
            <v>-</v>
          </cell>
          <cell r="J1257">
            <v>1660.175</v>
          </cell>
          <cell r="K1257" t="str">
            <v>Small Cap</v>
          </cell>
        </row>
        <row r="1258">
          <cell r="C1258" t="str">
            <v>INE293E01031</v>
          </cell>
          <cell r="D1258" t="str">
            <v>CROPSTER</v>
          </cell>
          <cell r="E1258">
            <v>1655.3533333329999</v>
          </cell>
          <cell r="F1258" t="str">
            <v>-</v>
          </cell>
          <cell r="G1258" t="str">
            <v>-</v>
          </cell>
          <cell r="H1258" t="str">
            <v>-</v>
          </cell>
          <cell r="I1258" t="str">
            <v>-</v>
          </cell>
          <cell r="J1258">
            <v>1655.3533333329999</v>
          </cell>
          <cell r="K1258" t="str">
            <v>Small Cap</v>
          </cell>
        </row>
        <row r="1259">
          <cell r="C1259" t="str">
            <v>INE630A01024</v>
          </cell>
          <cell r="D1259" t="str">
            <v>SESHAPAPER</v>
          </cell>
          <cell r="E1259">
            <v>1652.900825017</v>
          </cell>
          <cell r="F1259" t="str">
            <v>SESHAPAPER</v>
          </cell>
          <cell r="G1259">
            <v>1652.4508000000001</v>
          </cell>
          <cell r="H1259" t="str">
            <v>-</v>
          </cell>
          <cell r="I1259" t="str">
            <v>-</v>
          </cell>
          <cell r="J1259">
            <v>1652.6758125085</v>
          </cell>
          <cell r="K1259" t="str">
            <v>Small Cap</v>
          </cell>
        </row>
        <row r="1260">
          <cell r="C1260" t="str">
            <v>INE947J01015</v>
          </cell>
          <cell r="D1260" t="str">
            <v>DEN</v>
          </cell>
          <cell r="E1260">
            <v>1652.671625125</v>
          </cell>
          <cell r="F1260" t="str">
            <v>DEN</v>
          </cell>
          <cell r="G1260">
            <v>1652.2511999999999</v>
          </cell>
          <cell r="H1260" t="str">
            <v>-</v>
          </cell>
          <cell r="I1260" t="str">
            <v>-</v>
          </cell>
          <cell r="J1260">
            <v>1652.4614125624998</v>
          </cell>
          <cell r="K1260" t="str">
            <v>Small Cap</v>
          </cell>
        </row>
        <row r="1261">
          <cell r="C1261" t="str">
            <v>INE910C01018</v>
          </cell>
          <cell r="D1261" t="str">
            <v>TTKHLTCARE</v>
          </cell>
          <cell r="E1261">
            <v>1651.1058604950001</v>
          </cell>
          <cell r="F1261" t="str">
            <v>TTKHLTCARE</v>
          </cell>
          <cell r="G1261">
            <v>1649.3552999999999</v>
          </cell>
          <cell r="H1261" t="str">
            <v>-</v>
          </cell>
          <cell r="I1261" t="str">
            <v>-</v>
          </cell>
          <cell r="J1261">
            <v>1650.2305802475</v>
          </cell>
          <cell r="K1261" t="str">
            <v>Small Cap</v>
          </cell>
        </row>
        <row r="1262">
          <cell r="C1262" t="str">
            <v>INE284H01025</v>
          </cell>
          <cell r="D1262" t="str">
            <v>DAMCAPITAL</v>
          </cell>
          <cell r="E1262">
            <v>1649.3568299999999</v>
          </cell>
          <cell r="F1262" t="str">
            <v>DAMCAPITAL</v>
          </cell>
          <cell r="G1262">
            <v>1648.9282000000001</v>
          </cell>
          <cell r="H1262" t="str">
            <v>-</v>
          </cell>
          <cell r="I1262" t="str">
            <v>-</v>
          </cell>
          <cell r="J1262">
            <v>1649.142515</v>
          </cell>
          <cell r="K1262" t="str">
            <v>Small Cap</v>
          </cell>
        </row>
        <row r="1263">
          <cell r="C1263" t="str">
            <v>INE109C01017</v>
          </cell>
          <cell r="D1263" t="str">
            <v>ARMANFIN</v>
          </cell>
          <cell r="E1263">
            <v>1643.8256433030001</v>
          </cell>
          <cell r="F1263" t="str">
            <v>ARMANFIN</v>
          </cell>
          <cell r="G1263">
            <v>1644.0586000000001</v>
          </cell>
          <cell r="H1263" t="str">
            <v>-</v>
          </cell>
          <cell r="I1263" t="str">
            <v>-</v>
          </cell>
          <cell r="J1263">
            <v>1643.9421216515002</v>
          </cell>
          <cell r="K1263" t="str">
            <v>Small Cap</v>
          </cell>
        </row>
        <row r="1264">
          <cell r="C1264" t="str">
            <v>INE643K01018</v>
          </cell>
          <cell r="D1264" t="str">
            <v>ARIHANTSUP</v>
          </cell>
          <cell r="E1264">
            <v>1643.643239406</v>
          </cell>
          <cell r="F1264" t="str">
            <v>ARIHANTSUP</v>
          </cell>
          <cell r="G1264">
            <v>1642.0724</v>
          </cell>
          <cell r="H1264" t="str">
            <v>-</v>
          </cell>
          <cell r="I1264" t="str">
            <v>-</v>
          </cell>
          <cell r="J1264">
            <v>1642.8578197030001</v>
          </cell>
          <cell r="K1264" t="str">
            <v>Small Cap</v>
          </cell>
        </row>
        <row r="1265">
          <cell r="C1265" t="str">
            <v>INE836B01017</v>
          </cell>
          <cell r="D1265" t="str">
            <v>SATIN</v>
          </cell>
          <cell r="E1265">
            <v>1640.406154881</v>
          </cell>
          <cell r="F1265" t="str">
            <v>SATIN</v>
          </cell>
          <cell r="G1265">
            <v>1641.154</v>
          </cell>
          <cell r="H1265" t="str">
            <v>-</v>
          </cell>
          <cell r="I1265" t="str">
            <v>-</v>
          </cell>
          <cell r="J1265">
            <v>1640.7800774405</v>
          </cell>
          <cell r="K1265" t="str">
            <v>Small Cap</v>
          </cell>
        </row>
        <row r="1266">
          <cell r="C1266" t="str">
            <v>INE230R01035</v>
          </cell>
          <cell r="D1266" t="str">
            <v>RAMASTEEL</v>
          </cell>
          <cell r="E1266">
            <v>1649.509101938</v>
          </cell>
          <cell r="F1266" t="str">
            <v>RAMASTEEL</v>
          </cell>
          <cell r="G1266">
            <v>1630.6955</v>
          </cell>
          <cell r="H1266" t="str">
            <v>-</v>
          </cell>
          <cell r="I1266" t="str">
            <v>-</v>
          </cell>
          <cell r="J1266">
            <v>1640.102300969</v>
          </cell>
          <cell r="K1266" t="str">
            <v>Small Cap</v>
          </cell>
        </row>
        <row r="1267">
          <cell r="C1267" t="str">
            <v>INE351Y01019</v>
          </cell>
          <cell r="D1267" t="str">
            <v>-</v>
          </cell>
          <cell r="E1267" t="str">
            <v>-</v>
          </cell>
          <cell r="F1267" t="str">
            <v>BETA</v>
          </cell>
          <cell r="G1267">
            <v>1634.1175000000001</v>
          </cell>
          <cell r="H1267" t="str">
            <v>-</v>
          </cell>
          <cell r="I1267" t="str">
            <v>-</v>
          </cell>
          <cell r="J1267">
            <v>1634.1175000000001</v>
          </cell>
          <cell r="K1267" t="str">
            <v>Small Cap</v>
          </cell>
        </row>
        <row r="1268">
          <cell r="C1268" t="str">
            <v>INE08KJ01020</v>
          </cell>
          <cell r="D1268" t="str">
            <v>MUFIN</v>
          </cell>
          <cell r="E1268">
            <v>1644.5911578170001</v>
          </cell>
          <cell r="F1268" t="str">
            <v>MUFIN</v>
          </cell>
          <cell r="G1268">
            <v>1613.8658</v>
          </cell>
          <cell r="H1268" t="str">
            <v>-</v>
          </cell>
          <cell r="I1268" t="str">
            <v>-</v>
          </cell>
          <cell r="J1268">
            <v>1629.2284789085002</v>
          </cell>
          <cell r="K1268" t="str">
            <v>Small Cap</v>
          </cell>
        </row>
        <row r="1269">
          <cell r="C1269" t="str">
            <v>INE535F01024</v>
          </cell>
          <cell r="D1269" t="str">
            <v>RAJOOENG</v>
          </cell>
          <cell r="E1269">
            <v>1629.6966503200001</v>
          </cell>
          <cell r="F1269" t="str">
            <v>RAJOOENG</v>
          </cell>
          <cell r="G1269">
            <v>1622.1857</v>
          </cell>
          <cell r="H1269" t="str">
            <v>-</v>
          </cell>
          <cell r="I1269" t="str">
            <v>-</v>
          </cell>
          <cell r="J1269">
            <v>1625.9411751600001</v>
          </cell>
          <cell r="K1269" t="str">
            <v>Small Cap</v>
          </cell>
        </row>
        <row r="1270">
          <cell r="C1270" t="str">
            <v>INE920A01037</v>
          </cell>
          <cell r="D1270" t="str">
            <v>DOLPHIN</v>
          </cell>
          <cell r="E1270">
            <v>1624.884440667</v>
          </cell>
          <cell r="F1270" t="str">
            <v>DOLPHIN</v>
          </cell>
          <cell r="G1270">
            <v>1622.6731</v>
          </cell>
          <cell r="H1270" t="str">
            <v>-</v>
          </cell>
          <cell r="I1270" t="str">
            <v>-</v>
          </cell>
          <cell r="J1270">
            <v>1623.7787703335</v>
          </cell>
          <cell r="K1270" t="str">
            <v>Small Cap</v>
          </cell>
        </row>
        <row r="1271">
          <cell r="C1271" t="str">
            <v>INE01A001028</v>
          </cell>
          <cell r="D1271" t="str">
            <v>STANLEY</v>
          </cell>
          <cell r="E1271">
            <v>1619.0020155729999</v>
          </cell>
          <cell r="F1271" t="str">
            <v>STANLEY</v>
          </cell>
          <cell r="G1271">
            <v>1618.2706000000001</v>
          </cell>
          <cell r="H1271" t="str">
            <v>-</v>
          </cell>
          <cell r="I1271" t="str">
            <v>-</v>
          </cell>
          <cell r="J1271">
            <v>1618.6363077864999</v>
          </cell>
          <cell r="K1271" t="str">
            <v>Small Cap</v>
          </cell>
        </row>
        <row r="1272">
          <cell r="C1272" t="str">
            <v>INE0OAF01028</v>
          </cell>
          <cell r="D1272" t="str">
            <v>JNKINDIA</v>
          </cell>
          <cell r="E1272">
            <v>1613.788622371</v>
          </cell>
          <cell r="F1272" t="str">
            <v>JNKINDIA</v>
          </cell>
          <cell r="G1272">
            <v>1613.075</v>
          </cell>
          <cell r="H1272" t="str">
            <v>-</v>
          </cell>
          <cell r="I1272" t="str">
            <v>-</v>
          </cell>
          <cell r="J1272">
            <v>1613.4318111855</v>
          </cell>
          <cell r="K1272" t="str">
            <v>Small Cap</v>
          </cell>
        </row>
        <row r="1273">
          <cell r="C1273" t="str">
            <v>INE144Z01023</v>
          </cell>
          <cell r="D1273" t="str">
            <v>TARSONS</v>
          </cell>
          <cell r="E1273">
            <v>1608.404761026</v>
          </cell>
          <cell r="F1273" t="str">
            <v>TARSONS</v>
          </cell>
          <cell r="G1273">
            <v>1608.4871000000001</v>
          </cell>
          <cell r="H1273" t="str">
            <v>-</v>
          </cell>
          <cell r="I1273" t="str">
            <v>-</v>
          </cell>
          <cell r="J1273">
            <v>1608.4459305129999</v>
          </cell>
          <cell r="K1273" t="str">
            <v>Small Cap</v>
          </cell>
        </row>
        <row r="1274">
          <cell r="C1274" t="str">
            <v>INE049A01027</v>
          </cell>
          <cell r="D1274" t="str">
            <v>HIMATSEIDE</v>
          </cell>
          <cell r="E1274">
            <v>1604.6412599350001</v>
          </cell>
          <cell r="F1274" t="str">
            <v>HIMATSEIDE</v>
          </cell>
          <cell r="G1274">
            <v>1604.1452999999999</v>
          </cell>
          <cell r="H1274" t="str">
            <v>-</v>
          </cell>
          <cell r="I1274" t="str">
            <v>-</v>
          </cell>
          <cell r="J1274">
            <v>1604.3932799674999</v>
          </cell>
          <cell r="K1274" t="str">
            <v>Small Cap</v>
          </cell>
        </row>
        <row r="1275">
          <cell r="C1275" t="str">
            <v>INE227C01017</v>
          </cell>
          <cell r="D1275" t="str">
            <v>MMFL</v>
          </cell>
          <cell r="E1275">
            <v>1599.701607619</v>
          </cell>
          <cell r="F1275" t="str">
            <v>MMFL</v>
          </cell>
          <cell r="G1275">
            <v>1599.4870000000001</v>
          </cell>
          <cell r="H1275" t="str">
            <v>-</v>
          </cell>
          <cell r="I1275" t="str">
            <v>-</v>
          </cell>
          <cell r="J1275">
            <v>1599.5943038095002</v>
          </cell>
          <cell r="K1275" t="str">
            <v>Small Cap</v>
          </cell>
        </row>
        <row r="1276">
          <cell r="C1276" t="str">
            <v>INE0P9J01013</v>
          </cell>
          <cell r="D1276" t="str">
            <v>AMIC</v>
          </cell>
          <cell r="E1276">
            <v>1599.5104108519999</v>
          </cell>
          <cell r="F1276" t="str">
            <v>-</v>
          </cell>
          <cell r="G1276" t="str">
            <v>-</v>
          </cell>
          <cell r="H1276" t="str">
            <v>-</v>
          </cell>
          <cell r="I1276" t="str">
            <v>-</v>
          </cell>
          <cell r="J1276">
            <v>1599.5104108519999</v>
          </cell>
          <cell r="K1276" t="str">
            <v>Small Cap</v>
          </cell>
        </row>
        <row r="1277">
          <cell r="C1277" t="str">
            <v>INE0OWC01011</v>
          </cell>
          <cell r="D1277" t="str">
            <v xml:space="preserve">KHAZANCHI </v>
          </cell>
          <cell r="E1277">
            <v>1594.5939980559999</v>
          </cell>
          <cell r="F1277" t="str">
            <v>-</v>
          </cell>
          <cell r="G1277" t="str">
            <v>-</v>
          </cell>
          <cell r="H1277" t="str">
            <v>-</v>
          </cell>
          <cell r="I1277" t="str">
            <v>-</v>
          </cell>
          <cell r="J1277">
            <v>1594.5939980559999</v>
          </cell>
          <cell r="K1277" t="str">
            <v>Small Cap</v>
          </cell>
        </row>
        <row r="1278">
          <cell r="C1278" t="str">
            <v>INE015C01016</v>
          </cell>
          <cell r="D1278" t="str">
            <v>TINNARUBR</v>
          </cell>
          <cell r="E1278">
            <v>1597.33704485</v>
          </cell>
          <cell r="F1278" t="str">
            <v>TINNARUBR</v>
          </cell>
          <cell r="G1278">
            <v>1582.2369000000001</v>
          </cell>
          <cell r="H1278" t="str">
            <v>-</v>
          </cell>
          <cell r="I1278" t="str">
            <v>-</v>
          </cell>
          <cell r="J1278">
            <v>1589.7869724249999</v>
          </cell>
          <cell r="K1278" t="str">
            <v>Small Cap</v>
          </cell>
        </row>
        <row r="1279">
          <cell r="C1279" t="str">
            <v>INE851I01011</v>
          </cell>
          <cell r="D1279" t="str">
            <v>UDS</v>
          </cell>
          <cell r="E1279">
            <v>1587.2700491360001</v>
          </cell>
          <cell r="F1279" t="str">
            <v>UDS</v>
          </cell>
          <cell r="G1279">
            <v>1587.0793000000001</v>
          </cell>
          <cell r="H1279" t="str">
            <v>-</v>
          </cell>
          <cell r="I1279" t="str">
            <v>-</v>
          </cell>
          <cell r="J1279">
            <v>1587.1746745680002</v>
          </cell>
          <cell r="K1279" t="str">
            <v>Small Cap</v>
          </cell>
        </row>
        <row r="1280">
          <cell r="C1280" t="str">
            <v>INE312C01025</v>
          </cell>
          <cell r="D1280" t="str">
            <v>SYNCOMF</v>
          </cell>
          <cell r="E1280">
            <v>1586.1082539680001</v>
          </cell>
          <cell r="F1280" t="str">
            <v>SYNCOMF</v>
          </cell>
          <cell r="G1280">
            <v>1585.1234999999999</v>
          </cell>
          <cell r="H1280" t="str">
            <v>-</v>
          </cell>
          <cell r="I1280" t="str">
            <v>-</v>
          </cell>
          <cell r="J1280">
            <v>1585.6158769839999</v>
          </cell>
          <cell r="K1280" t="str">
            <v>Small Cap</v>
          </cell>
        </row>
        <row r="1281">
          <cell r="C1281" t="str">
            <v>INE188B01013</v>
          </cell>
          <cell r="D1281" t="str">
            <v>IGARASHI</v>
          </cell>
          <cell r="E1281">
            <v>1585.296997963</v>
          </cell>
          <cell r="F1281" t="str">
            <v>IGARASHI</v>
          </cell>
          <cell r="G1281">
            <v>1584.9548</v>
          </cell>
          <cell r="H1281" t="str">
            <v>-</v>
          </cell>
          <cell r="I1281" t="str">
            <v>-</v>
          </cell>
          <cell r="J1281">
            <v>1585.1258989815001</v>
          </cell>
          <cell r="K1281" t="str">
            <v>Small Cap</v>
          </cell>
        </row>
        <row r="1282">
          <cell r="C1282" t="str">
            <v>INE111F01024</v>
          </cell>
          <cell r="D1282" t="str">
            <v>PAUSHAKLTD</v>
          </cell>
          <cell r="E1282">
            <v>1712.592176976</v>
          </cell>
          <cell r="F1282" t="str">
            <v>PAUSHAKLTD</v>
          </cell>
          <cell r="G1282">
            <v>1448.0164</v>
          </cell>
          <cell r="H1282" t="str">
            <v>-</v>
          </cell>
          <cell r="I1282" t="str">
            <v>-</v>
          </cell>
          <cell r="J1282">
            <v>1580.3042884880001</v>
          </cell>
          <cell r="K1282" t="str">
            <v>Small Cap</v>
          </cell>
        </row>
        <row r="1283">
          <cell r="C1283" t="str">
            <v>INE999K01014</v>
          </cell>
          <cell r="D1283" t="str">
            <v>GREENPOWER</v>
          </cell>
          <cell r="E1283">
            <v>1580.250543871</v>
          </cell>
          <cell r="F1283" t="str">
            <v>GREENPOWER</v>
          </cell>
          <cell r="G1283">
            <v>1579.9872</v>
          </cell>
          <cell r="H1283" t="str">
            <v>-</v>
          </cell>
          <cell r="I1283" t="str">
            <v>-</v>
          </cell>
          <cell r="J1283">
            <v>1580.1188719355</v>
          </cell>
          <cell r="K1283" t="str">
            <v>Small Cap</v>
          </cell>
        </row>
        <row r="1284">
          <cell r="C1284" t="str">
            <v>INE277B01014</v>
          </cell>
          <cell r="D1284" t="str">
            <v>PUNJABCHEM</v>
          </cell>
          <cell r="E1284">
            <v>1578.6093671680001</v>
          </cell>
          <cell r="F1284" t="str">
            <v>PUNJABCHEM</v>
          </cell>
          <cell r="G1284">
            <v>1579.3266000000001</v>
          </cell>
          <cell r="H1284" t="str">
            <v>-</v>
          </cell>
          <cell r="I1284" t="str">
            <v>-</v>
          </cell>
          <cell r="J1284">
            <v>1578.9679835840002</v>
          </cell>
          <cell r="K1284" t="str">
            <v>Small Cap</v>
          </cell>
        </row>
        <row r="1285">
          <cell r="C1285" t="str">
            <v>INE877V01027</v>
          </cell>
          <cell r="D1285" t="str">
            <v>SURAKSHA</v>
          </cell>
          <cell r="E1285">
            <v>1576.680880851</v>
          </cell>
          <cell r="F1285" t="str">
            <v>SURAKSHA</v>
          </cell>
          <cell r="G1285">
            <v>1577.3712</v>
          </cell>
          <cell r="H1285" t="str">
            <v>-</v>
          </cell>
          <cell r="I1285" t="str">
            <v>-</v>
          </cell>
          <cell r="J1285">
            <v>1577.0260404255</v>
          </cell>
          <cell r="K1285" t="str">
            <v>Small Cap</v>
          </cell>
        </row>
        <row r="1286">
          <cell r="C1286" t="str">
            <v>INE677D01037</v>
          </cell>
          <cell r="D1286" t="str">
            <v>MASTERTR</v>
          </cell>
          <cell r="E1286">
            <v>1577.726680238</v>
          </cell>
          <cell r="F1286" t="str">
            <v>MASTERTR</v>
          </cell>
          <cell r="G1286">
            <v>1569.0074999999999</v>
          </cell>
          <cell r="H1286" t="str">
            <v>-</v>
          </cell>
          <cell r="I1286" t="str">
            <v>-</v>
          </cell>
          <cell r="J1286">
            <v>1573.3670901189998</v>
          </cell>
          <cell r="K1286" t="str">
            <v>Small Cap</v>
          </cell>
        </row>
        <row r="1287">
          <cell r="C1287" t="str">
            <v>INE06ZD01017</v>
          </cell>
          <cell r="D1287" t="str">
            <v>SHANTIGOLD</v>
          </cell>
          <cell r="E1287">
            <v>1572.336764272</v>
          </cell>
          <cell r="F1287" t="str">
            <v>SHANTIGOLD</v>
          </cell>
          <cell r="G1287">
            <v>1571.3063999999999</v>
          </cell>
          <cell r="H1287" t="str">
            <v>-</v>
          </cell>
          <cell r="I1287" t="str">
            <v>-</v>
          </cell>
          <cell r="J1287">
            <v>1571.821582136</v>
          </cell>
          <cell r="K1287" t="str">
            <v>Small Cap</v>
          </cell>
        </row>
        <row r="1288">
          <cell r="C1288" t="str">
            <v>INE126J01016</v>
          </cell>
          <cell r="D1288" t="str">
            <v>APOLLOPIPE</v>
          </cell>
          <cell r="E1288">
            <v>1571.8095407139999</v>
          </cell>
          <cell r="F1288" t="str">
            <v>APOLLOPIPE</v>
          </cell>
          <cell r="G1288">
            <v>1571.6068</v>
          </cell>
          <cell r="H1288" t="str">
            <v>-</v>
          </cell>
          <cell r="I1288" t="str">
            <v>-</v>
          </cell>
          <cell r="J1288">
            <v>1571.708170357</v>
          </cell>
          <cell r="K1288" t="str">
            <v>Small Cap</v>
          </cell>
        </row>
        <row r="1289">
          <cell r="C1289" t="str">
            <v>INE0LOJ01019</v>
          </cell>
          <cell r="D1289" t="str">
            <v>IKIO</v>
          </cell>
          <cell r="E1289">
            <v>1569.2613011670001</v>
          </cell>
          <cell r="F1289" t="str">
            <v>IKIO</v>
          </cell>
          <cell r="G1289">
            <v>1568.6080999999999</v>
          </cell>
          <cell r="H1289" t="str">
            <v>-</v>
          </cell>
          <cell r="I1289" t="str">
            <v>-</v>
          </cell>
          <cell r="J1289">
            <v>1568.9347005835</v>
          </cell>
          <cell r="K1289" t="str">
            <v>Small Cap</v>
          </cell>
        </row>
        <row r="1290">
          <cell r="C1290" t="str">
            <v>INE01BK01022</v>
          </cell>
          <cell r="D1290" t="str">
            <v>AWHCL</v>
          </cell>
          <cell r="E1290">
            <v>1565.1624401670001</v>
          </cell>
          <cell r="F1290" t="str">
            <v>AWHCL</v>
          </cell>
          <cell r="G1290">
            <v>1564.9698000000001</v>
          </cell>
          <cell r="H1290" t="str">
            <v>-</v>
          </cell>
          <cell r="I1290" t="str">
            <v>-</v>
          </cell>
          <cell r="J1290">
            <v>1565.0661200835002</v>
          </cell>
          <cell r="K1290" t="str">
            <v>Small Cap</v>
          </cell>
        </row>
        <row r="1291">
          <cell r="C1291" t="str">
            <v>INE0RYC01010</v>
          </cell>
          <cell r="D1291" t="str">
            <v>STALLION</v>
          </cell>
          <cell r="E1291">
            <v>1564.2146836260001</v>
          </cell>
          <cell r="F1291" t="str">
            <v>STALLION</v>
          </cell>
          <cell r="G1291">
            <v>1563.1639</v>
          </cell>
          <cell r="H1291" t="str">
            <v>-</v>
          </cell>
          <cell r="I1291" t="str">
            <v>-</v>
          </cell>
          <cell r="J1291">
            <v>1563.6892918130002</v>
          </cell>
          <cell r="K1291" t="str">
            <v>Small Cap</v>
          </cell>
        </row>
        <row r="1292">
          <cell r="C1292" t="str">
            <v>INE258Y01016</v>
          </cell>
          <cell r="D1292" t="str">
            <v>-</v>
          </cell>
          <cell r="E1292" t="str">
            <v>-</v>
          </cell>
          <cell r="F1292" t="str">
            <v>LGHL</v>
          </cell>
          <cell r="G1292">
            <v>1562.7877000000001</v>
          </cell>
          <cell r="H1292" t="str">
            <v>-</v>
          </cell>
          <cell r="I1292" t="str">
            <v>-</v>
          </cell>
          <cell r="J1292">
            <v>1562.7877000000001</v>
          </cell>
          <cell r="K1292" t="str">
            <v>Small Cap</v>
          </cell>
        </row>
        <row r="1293">
          <cell r="C1293" t="str">
            <v>INE06HJ01020</v>
          </cell>
          <cell r="D1293" t="str">
            <v>ECOSMOBLTY</v>
          </cell>
          <cell r="E1293">
            <v>1557.0476190479999</v>
          </cell>
          <cell r="F1293" t="str">
            <v>ECOSMOBLTY</v>
          </cell>
          <cell r="G1293">
            <v>1556.5918999999999</v>
          </cell>
          <cell r="H1293" t="str">
            <v>-</v>
          </cell>
          <cell r="I1293" t="str">
            <v>-</v>
          </cell>
          <cell r="J1293">
            <v>1556.8197595239999</v>
          </cell>
          <cell r="K1293" t="str">
            <v>Small Cap</v>
          </cell>
        </row>
        <row r="1294">
          <cell r="C1294" t="str">
            <v>INE199G01027</v>
          </cell>
          <cell r="D1294" t="str">
            <v>JAGRAN</v>
          </cell>
          <cell r="E1294">
            <v>1556.824002926</v>
          </cell>
          <cell r="F1294" t="str">
            <v>JAGRAN</v>
          </cell>
          <cell r="G1294">
            <v>1556.4784999999999</v>
          </cell>
          <cell r="H1294" t="str">
            <v>-</v>
          </cell>
          <cell r="I1294" t="str">
            <v>-</v>
          </cell>
          <cell r="J1294">
            <v>1556.6512514629999</v>
          </cell>
          <cell r="K1294" t="str">
            <v>Small Cap</v>
          </cell>
        </row>
        <row r="1295">
          <cell r="C1295" t="str">
            <v>INE895B01021</v>
          </cell>
          <cell r="D1295" t="str">
            <v>RUPA</v>
          </cell>
          <cell r="E1295">
            <v>1550.997157603</v>
          </cell>
          <cell r="F1295" t="str">
            <v>RUPA</v>
          </cell>
          <cell r="G1295">
            <v>1551.5885000000001</v>
          </cell>
          <cell r="H1295" t="str">
            <v>-</v>
          </cell>
          <cell r="I1295" t="str">
            <v>-</v>
          </cell>
          <cell r="J1295">
            <v>1551.2928288015</v>
          </cell>
          <cell r="K1295" t="str">
            <v>Small Cap</v>
          </cell>
        </row>
        <row r="1296">
          <cell r="C1296" t="str">
            <v>INE800H01010</v>
          </cell>
          <cell r="D1296" t="str">
            <v>OMAXE</v>
          </cell>
          <cell r="E1296">
            <v>1548.7320963239999</v>
          </cell>
          <cell r="F1296" t="str">
            <v>OMAXE</v>
          </cell>
          <cell r="G1296">
            <v>1548.2501999999999</v>
          </cell>
          <cell r="H1296" t="str">
            <v>-</v>
          </cell>
          <cell r="I1296" t="str">
            <v>-</v>
          </cell>
          <cell r="J1296">
            <v>1548.4911481619999</v>
          </cell>
          <cell r="K1296" t="str">
            <v>Small Cap</v>
          </cell>
        </row>
        <row r="1297">
          <cell r="C1297" t="str">
            <v>INE217L01019</v>
          </cell>
          <cell r="D1297" t="str">
            <v>SHRIRAMPPS</v>
          </cell>
          <cell r="E1297">
            <v>1548.356274623</v>
          </cell>
          <cell r="F1297" t="str">
            <v>SHRIRAMPPS</v>
          </cell>
          <cell r="G1297">
            <v>1546.9233999999999</v>
          </cell>
          <cell r="H1297" t="str">
            <v>-</v>
          </cell>
          <cell r="I1297" t="str">
            <v>-</v>
          </cell>
          <cell r="J1297">
            <v>1547.6398373114998</v>
          </cell>
          <cell r="K1297" t="str">
            <v>Small Cap</v>
          </cell>
        </row>
        <row r="1298">
          <cell r="C1298" t="str">
            <v>INE056801025</v>
          </cell>
          <cell r="D1298" t="str">
            <v>IVALUE</v>
          </cell>
          <cell r="E1298">
            <v>1547.0145523420001</v>
          </cell>
          <cell r="F1298" t="str">
            <v>IVALUE</v>
          </cell>
          <cell r="G1298">
            <v>1546.7834</v>
          </cell>
          <cell r="H1298" t="str">
            <v>-</v>
          </cell>
          <cell r="I1298" t="str">
            <v>-</v>
          </cell>
          <cell r="J1298">
            <v>1546.898976171</v>
          </cell>
          <cell r="K1298" t="str">
            <v>Small Cap</v>
          </cell>
        </row>
        <row r="1299">
          <cell r="C1299" t="str">
            <v>INE782E01017</v>
          </cell>
          <cell r="D1299" t="str">
            <v>HESTERBIO</v>
          </cell>
          <cell r="E1299">
            <v>1540.1138964090001</v>
          </cell>
          <cell r="F1299" t="str">
            <v>HESTERBIO</v>
          </cell>
          <cell r="G1299">
            <v>1540.6257000000001</v>
          </cell>
          <cell r="H1299" t="str">
            <v>-</v>
          </cell>
          <cell r="I1299" t="str">
            <v>-</v>
          </cell>
          <cell r="J1299">
            <v>1540.3697982045001</v>
          </cell>
          <cell r="K1299" t="str">
            <v>Small Cap</v>
          </cell>
        </row>
        <row r="1300">
          <cell r="C1300" t="str">
            <v>INE0LRY01011</v>
          </cell>
          <cell r="D1300" t="str">
            <v>QUADFUTURE</v>
          </cell>
          <cell r="E1300">
            <v>1534.5253968249999</v>
          </cell>
          <cell r="F1300" t="str">
            <v>QUADFUTURE</v>
          </cell>
          <cell r="G1300">
            <v>1533.9381000000001</v>
          </cell>
          <cell r="H1300" t="str">
            <v>-</v>
          </cell>
          <cell r="I1300" t="str">
            <v>-</v>
          </cell>
          <cell r="J1300">
            <v>1534.2317484125001</v>
          </cell>
          <cell r="K1300" t="str">
            <v>Small Cap</v>
          </cell>
        </row>
        <row r="1301">
          <cell r="C1301" t="str">
            <v>INE716F01012</v>
          </cell>
          <cell r="D1301" t="str">
            <v>INDOKEM</v>
          </cell>
          <cell r="E1301">
            <v>1533.181165514</v>
          </cell>
          <cell r="F1301" t="str">
            <v>-</v>
          </cell>
          <cell r="G1301" t="str">
            <v>-</v>
          </cell>
          <cell r="H1301" t="str">
            <v>-</v>
          </cell>
          <cell r="I1301" t="str">
            <v>-</v>
          </cell>
          <cell r="J1301">
            <v>1533.181165514</v>
          </cell>
          <cell r="K1301" t="str">
            <v>Small Cap</v>
          </cell>
        </row>
        <row r="1302">
          <cell r="C1302" t="str">
            <v>INE103C01036</v>
          </cell>
          <cell r="D1302" t="str">
            <v>SMCGLOBAL</v>
          </cell>
          <cell r="E1302">
            <v>1576.4908634190001</v>
          </cell>
          <cell r="F1302" t="str">
            <v>SMCGLOBAL</v>
          </cell>
          <cell r="G1302">
            <v>1489.65</v>
          </cell>
          <cell r="H1302" t="str">
            <v>-</v>
          </cell>
          <cell r="I1302" t="str">
            <v>-</v>
          </cell>
          <cell r="J1302">
            <v>1533.0704317095001</v>
          </cell>
          <cell r="K1302" t="str">
            <v>Small Cap</v>
          </cell>
        </row>
        <row r="1303">
          <cell r="C1303" t="str">
            <v>INE0ECP01024</v>
          </cell>
          <cell r="D1303" t="str">
            <v>HMAAGRO</v>
          </cell>
          <cell r="E1303">
            <v>1529.776134448</v>
          </cell>
          <cell r="F1303" t="str">
            <v>HMAAGRO</v>
          </cell>
          <cell r="G1303">
            <v>1528.9096999999999</v>
          </cell>
          <cell r="H1303" t="str">
            <v>-</v>
          </cell>
          <cell r="I1303" t="str">
            <v>-</v>
          </cell>
          <cell r="J1303">
            <v>1529.3429172239998</v>
          </cell>
          <cell r="K1303" t="str">
            <v>Small Cap</v>
          </cell>
        </row>
        <row r="1304">
          <cell r="C1304" t="str">
            <v>INE734I01027</v>
          </cell>
          <cell r="D1304" t="str">
            <v>FINKURVE</v>
          </cell>
          <cell r="E1304">
            <v>1515.618830654</v>
          </cell>
          <cell r="F1304" t="str">
            <v>FINKURVE</v>
          </cell>
          <cell r="G1304">
            <v>1535.4760000000001</v>
          </cell>
          <cell r="H1304" t="str">
            <v>-</v>
          </cell>
          <cell r="I1304" t="str">
            <v>-</v>
          </cell>
          <cell r="J1304">
            <v>1525.5474153270002</v>
          </cell>
          <cell r="K1304" t="str">
            <v>Small Cap</v>
          </cell>
        </row>
        <row r="1305">
          <cell r="C1305" t="str">
            <v>INE048B01035</v>
          </cell>
          <cell r="D1305" t="str">
            <v>JAGSNPHARM</v>
          </cell>
          <cell r="E1305">
            <v>1526.5813624510001</v>
          </cell>
          <cell r="F1305" t="str">
            <v>JAGSNPHARM</v>
          </cell>
          <cell r="G1305">
            <v>1524.318</v>
          </cell>
          <cell r="H1305" t="str">
            <v>-</v>
          </cell>
          <cell r="I1305" t="str">
            <v>-</v>
          </cell>
          <cell r="J1305">
            <v>1525.4496812255002</v>
          </cell>
          <cell r="K1305" t="str">
            <v>Small Cap</v>
          </cell>
        </row>
        <row r="1306">
          <cell r="C1306" t="str">
            <v>INE0PT501018</v>
          </cell>
          <cell r="D1306" t="str">
            <v>PLATIND</v>
          </cell>
          <cell r="E1306">
            <v>1522.5959436639998</v>
          </cell>
          <cell r="F1306" t="str">
            <v>PLATIND</v>
          </cell>
          <cell r="G1306">
            <v>1522.3779999999999</v>
          </cell>
          <cell r="H1306" t="str">
            <v>-</v>
          </cell>
          <cell r="I1306" t="str">
            <v>-</v>
          </cell>
          <cell r="J1306">
            <v>1522.4869718319999</v>
          </cell>
          <cell r="K1306" t="str">
            <v>Small Cap</v>
          </cell>
        </row>
        <row r="1307">
          <cell r="C1307" t="str">
            <v>INE579B01039</v>
          </cell>
          <cell r="D1307" t="str">
            <v>ELPROINTL</v>
          </cell>
          <cell r="E1307">
            <v>1517.0520800209999</v>
          </cell>
          <cell r="F1307" t="str">
            <v>-</v>
          </cell>
          <cell r="G1307" t="str">
            <v>-</v>
          </cell>
          <cell r="H1307" t="str">
            <v>-</v>
          </cell>
          <cell r="I1307" t="str">
            <v>-</v>
          </cell>
          <cell r="J1307">
            <v>1517.0520800209999</v>
          </cell>
          <cell r="K1307" t="str">
            <v>Small Cap</v>
          </cell>
        </row>
        <row r="1308">
          <cell r="C1308" t="str">
            <v>INE0PPK01015</v>
          </cell>
          <cell r="D1308" t="str">
            <v>ORIENTTECH</v>
          </cell>
          <cell r="E1308">
            <v>1513.503814442</v>
          </cell>
          <cell r="F1308" t="str">
            <v>ORIENTTECH</v>
          </cell>
          <cell r="G1308">
            <v>1513.2575999999999</v>
          </cell>
          <cell r="H1308" t="str">
            <v>-</v>
          </cell>
          <cell r="I1308" t="str">
            <v>-</v>
          </cell>
          <cell r="J1308">
            <v>1513.380707221</v>
          </cell>
          <cell r="K1308" t="str">
            <v>Small Cap</v>
          </cell>
        </row>
        <row r="1309">
          <cell r="C1309" t="str">
            <v>INE184H01027</v>
          </cell>
          <cell r="D1309" t="str">
            <v>EKC</v>
          </cell>
          <cell r="E1309">
            <v>1511.063450933</v>
          </cell>
          <cell r="F1309" t="str">
            <v>EKC</v>
          </cell>
          <cell r="G1309">
            <v>1510.9396999999999</v>
          </cell>
          <cell r="H1309" t="str">
            <v>-</v>
          </cell>
          <cell r="I1309" t="str">
            <v>-</v>
          </cell>
          <cell r="J1309">
            <v>1511.0015754665001</v>
          </cell>
          <cell r="K1309" t="str">
            <v>Small Cap</v>
          </cell>
        </row>
        <row r="1310">
          <cell r="C1310" t="str">
            <v>INE577D01013</v>
          </cell>
          <cell r="D1310" t="str">
            <v>JYOTIRES</v>
          </cell>
          <cell r="E1310">
            <v>1507.5409523809999</v>
          </cell>
          <cell r="F1310" t="str">
            <v>-</v>
          </cell>
          <cell r="G1310" t="str">
            <v>-</v>
          </cell>
          <cell r="H1310" t="str">
            <v>-</v>
          </cell>
          <cell r="I1310" t="str">
            <v>-</v>
          </cell>
          <cell r="J1310">
            <v>1507.5409523809999</v>
          </cell>
          <cell r="K1310" t="str">
            <v>Small Cap</v>
          </cell>
        </row>
        <row r="1311">
          <cell r="C1311" t="str">
            <v>INE435A01051</v>
          </cell>
          <cell r="D1311" t="str">
            <v>ANDHRAPAP</v>
          </cell>
          <cell r="E1311">
            <v>1506.839432425</v>
          </cell>
          <cell r="F1311" t="str">
            <v>ANDHRAPAP</v>
          </cell>
          <cell r="G1311">
            <v>1507.2276999999999</v>
          </cell>
          <cell r="H1311" t="str">
            <v>-</v>
          </cell>
          <cell r="I1311" t="str">
            <v>-</v>
          </cell>
          <cell r="J1311">
            <v>1507.0335662124999</v>
          </cell>
          <cell r="K1311" t="str">
            <v>Small Cap</v>
          </cell>
        </row>
        <row r="1312">
          <cell r="C1312" t="str">
            <v>INE170V01027</v>
          </cell>
          <cell r="D1312" t="str">
            <v>SALASAR</v>
          </cell>
          <cell r="E1312">
            <v>1504.6473307910001</v>
          </cell>
          <cell r="F1312" t="str">
            <v>SALASAR</v>
          </cell>
          <cell r="G1312">
            <v>1504.2202</v>
          </cell>
          <cell r="H1312" t="str">
            <v>-</v>
          </cell>
          <cell r="I1312" t="str">
            <v>-</v>
          </cell>
          <cell r="J1312">
            <v>1504.4337653954999</v>
          </cell>
          <cell r="K1312" t="str">
            <v>Small Cap</v>
          </cell>
        </row>
        <row r="1313">
          <cell r="C1313" t="str">
            <v>INE818W01011</v>
          </cell>
          <cell r="D1313" t="str">
            <v>ESAFSFB</v>
          </cell>
          <cell r="E1313">
            <v>1504.3619689290001</v>
          </cell>
          <cell r="F1313" t="str">
            <v>ESAFSFB</v>
          </cell>
          <cell r="G1313">
            <v>1504.2179000000001</v>
          </cell>
          <cell r="H1313" t="str">
            <v>-</v>
          </cell>
          <cell r="I1313" t="str">
            <v>-</v>
          </cell>
          <cell r="J1313">
            <v>1504.2899344645002</v>
          </cell>
          <cell r="K1313" t="str">
            <v>Small Cap</v>
          </cell>
        </row>
        <row r="1314">
          <cell r="C1314" t="str">
            <v>INE552D01024</v>
          </cell>
          <cell r="D1314" t="str">
            <v>CONFIPET</v>
          </cell>
          <cell r="E1314">
            <v>1497.9113791990001</v>
          </cell>
          <cell r="F1314" t="str">
            <v>CONFIPET</v>
          </cell>
          <cell r="G1314">
            <v>1496.8303000000001</v>
          </cell>
          <cell r="H1314" t="str">
            <v>-</v>
          </cell>
          <cell r="I1314" t="str">
            <v>-</v>
          </cell>
          <cell r="J1314">
            <v>1497.3708395995</v>
          </cell>
          <cell r="K1314" t="str">
            <v>Small Cap</v>
          </cell>
        </row>
        <row r="1315">
          <cell r="C1315" t="str">
            <v>INE660C01027</v>
          </cell>
          <cell r="D1315" t="str">
            <v>CENTRUM</v>
          </cell>
          <cell r="E1315">
            <v>1496.8734089069999</v>
          </cell>
          <cell r="F1315" t="str">
            <v>CENTRUM</v>
          </cell>
          <cell r="G1315">
            <v>1481.2473</v>
          </cell>
          <cell r="H1315" t="str">
            <v>-</v>
          </cell>
          <cell r="I1315" t="str">
            <v>-</v>
          </cell>
          <cell r="J1315">
            <v>1489.0603544534999</v>
          </cell>
          <cell r="K1315" t="str">
            <v>Small Cap</v>
          </cell>
        </row>
        <row r="1316">
          <cell r="C1316" t="str">
            <v>INE966A01022</v>
          </cell>
          <cell r="D1316" t="str">
            <v>DOLATALGO</v>
          </cell>
          <cell r="E1316">
            <v>1474.6593015870001</v>
          </cell>
          <cell r="F1316" t="str">
            <v>DOLATALGO</v>
          </cell>
          <cell r="G1316">
            <v>1474.3742999999999</v>
          </cell>
          <cell r="H1316" t="str">
            <v>-</v>
          </cell>
          <cell r="I1316" t="str">
            <v>-</v>
          </cell>
          <cell r="J1316">
            <v>1474.5168007934999</v>
          </cell>
          <cell r="K1316" t="str">
            <v>Small Cap</v>
          </cell>
        </row>
        <row r="1317">
          <cell r="C1317" t="str">
            <v>INE535D01037</v>
          </cell>
          <cell r="D1317" t="str">
            <v>ROTO</v>
          </cell>
          <cell r="E1317">
            <v>1466.6272052320001</v>
          </cell>
          <cell r="F1317" t="str">
            <v>ROTO</v>
          </cell>
          <cell r="G1317">
            <v>1466.2329</v>
          </cell>
          <cell r="H1317" t="str">
            <v>-</v>
          </cell>
          <cell r="I1317" t="str">
            <v>-</v>
          </cell>
          <cell r="J1317">
            <v>1466.430052616</v>
          </cell>
          <cell r="K1317" t="str">
            <v>Small Cap</v>
          </cell>
        </row>
        <row r="1318">
          <cell r="C1318" t="str">
            <v>INE161A01038</v>
          </cell>
          <cell r="D1318" t="str">
            <v>NIITLTD</v>
          </cell>
          <cell r="E1318">
            <v>1466.4554737399999</v>
          </cell>
          <cell r="F1318" t="str">
            <v>NIITLTD</v>
          </cell>
          <cell r="G1318">
            <v>1464.2203999999999</v>
          </cell>
          <cell r="H1318" t="str">
            <v>-</v>
          </cell>
          <cell r="I1318" t="str">
            <v>-</v>
          </cell>
          <cell r="J1318">
            <v>1465.3379368699998</v>
          </cell>
          <cell r="K1318" t="str">
            <v>Small Cap</v>
          </cell>
        </row>
        <row r="1319">
          <cell r="C1319" t="str">
            <v>INE200D01020</v>
          </cell>
          <cell r="D1319" t="str">
            <v>MMWL</v>
          </cell>
          <cell r="E1319">
            <v>1464.455888815</v>
          </cell>
          <cell r="F1319" t="str">
            <v>-</v>
          </cell>
          <cell r="G1319" t="str">
            <v>-</v>
          </cell>
          <cell r="H1319" t="str">
            <v>-</v>
          </cell>
          <cell r="I1319" t="str">
            <v>-</v>
          </cell>
          <cell r="J1319">
            <v>1464.455888815</v>
          </cell>
          <cell r="K1319" t="str">
            <v>Small Cap</v>
          </cell>
        </row>
        <row r="1320">
          <cell r="C1320" t="str">
            <v>INE689M01025</v>
          </cell>
          <cell r="D1320" t="str">
            <v>PQIF</v>
          </cell>
          <cell r="E1320">
            <v>1460.0115396829999</v>
          </cell>
          <cell r="F1320" t="str">
            <v>-</v>
          </cell>
          <cell r="G1320" t="str">
            <v>-</v>
          </cell>
          <cell r="H1320" t="str">
            <v>PQIF</v>
          </cell>
          <cell r="I1320">
            <v>1460.4298948412697</v>
          </cell>
          <cell r="J1320">
            <v>1460.2207172621347</v>
          </cell>
          <cell r="K1320" t="str">
            <v>Small Cap</v>
          </cell>
        </row>
        <row r="1321">
          <cell r="C1321" t="str">
            <v>INE551C01044</v>
          </cell>
          <cell r="D1321" t="str">
            <v>SHUKRAPHAR</v>
          </cell>
          <cell r="E1321">
            <v>1457.4156866010001</v>
          </cell>
          <cell r="F1321" t="str">
            <v>-</v>
          </cell>
          <cell r="G1321" t="str">
            <v>-</v>
          </cell>
          <cell r="H1321" t="str">
            <v>-</v>
          </cell>
          <cell r="I1321" t="str">
            <v>-</v>
          </cell>
          <cell r="J1321">
            <v>1457.4156866010001</v>
          </cell>
          <cell r="K1321" t="str">
            <v>Small Cap</v>
          </cell>
        </row>
        <row r="1322">
          <cell r="C1322" t="str">
            <v>INE390G01014</v>
          </cell>
          <cell r="D1322" t="str">
            <v>GPTINFRA</v>
          </cell>
          <cell r="E1322">
            <v>1454.34121323</v>
          </cell>
          <cell r="F1322" t="str">
            <v>GPTINFRA</v>
          </cell>
          <cell r="G1322">
            <v>1454.7493999999999</v>
          </cell>
          <cell r="H1322" t="str">
            <v>-</v>
          </cell>
          <cell r="I1322" t="str">
            <v>-</v>
          </cell>
          <cell r="J1322">
            <v>1454.5453066149998</v>
          </cell>
          <cell r="K1322" t="str">
            <v>Small Cap</v>
          </cell>
        </row>
        <row r="1323">
          <cell r="C1323" t="str">
            <v>INE428Q01011</v>
          </cell>
          <cell r="D1323" t="str">
            <v>SURYODAY</v>
          </cell>
          <cell r="E1323">
            <v>1453.1948756260001</v>
          </cell>
          <cell r="F1323" t="str">
            <v>SURYODAY</v>
          </cell>
          <cell r="G1323">
            <v>1453.4536000000001</v>
          </cell>
          <cell r="H1323" t="str">
            <v>-</v>
          </cell>
          <cell r="I1323" t="str">
            <v>-</v>
          </cell>
          <cell r="J1323">
            <v>1453.3242378130001</v>
          </cell>
          <cell r="K1323" t="str">
            <v>Small Cap</v>
          </cell>
        </row>
        <row r="1324">
          <cell r="C1324" t="str">
            <v>INE557A01011</v>
          </cell>
          <cell r="D1324" t="str">
            <v>BIRLANU</v>
          </cell>
          <cell r="E1324">
            <v>1451.8699321700001</v>
          </cell>
          <cell r="F1324" t="str">
            <v>BIRLANU</v>
          </cell>
          <cell r="G1324">
            <v>1451.3925999999999</v>
          </cell>
          <cell r="H1324" t="str">
            <v>-</v>
          </cell>
          <cell r="I1324" t="str">
            <v>-</v>
          </cell>
          <cell r="J1324">
            <v>1451.6312660849999</v>
          </cell>
          <cell r="K1324" t="str">
            <v>Small Cap</v>
          </cell>
        </row>
        <row r="1325">
          <cell r="C1325" t="str">
            <v>INE0N2P01017</v>
          </cell>
          <cell r="D1325" t="str">
            <v>RISHABH</v>
          </cell>
          <cell r="E1325">
            <v>1450.2165725799998</v>
          </cell>
          <cell r="F1325" t="str">
            <v>RISHABH</v>
          </cell>
          <cell r="G1325">
            <v>1449.2869000000001</v>
          </cell>
          <cell r="H1325" t="str">
            <v>-</v>
          </cell>
          <cell r="I1325" t="str">
            <v>-</v>
          </cell>
          <cell r="J1325">
            <v>1449.7517362899998</v>
          </cell>
          <cell r="K1325" t="str">
            <v>Small Cap</v>
          </cell>
        </row>
        <row r="1326">
          <cell r="C1326" t="str">
            <v>INE276G01015</v>
          </cell>
          <cell r="D1326" t="str">
            <v>ASIANENE</v>
          </cell>
          <cell r="E1326">
            <v>1447.0496201159999</v>
          </cell>
          <cell r="F1326" t="str">
            <v>ASIANENE</v>
          </cell>
          <cell r="G1326">
            <v>1447.0496000000001</v>
          </cell>
          <cell r="H1326" t="str">
            <v>-</v>
          </cell>
          <cell r="I1326" t="str">
            <v>-</v>
          </cell>
          <cell r="J1326">
            <v>1447.0496100579999</v>
          </cell>
          <cell r="K1326" t="str">
            <v>Small Cap</v>
          </cell>
        </row>
        <row r="1327">
          <cell r="C1327" t="str">
            <v>INE967G01019</v>
          </cell>
          <cell r="D1327" t="str">
            <v>ZSARACOM</v>
          </cell>
          <cell r="E1327">
            <v>1439.716090723</v>
          </cell>
          <cell r="F1327" t="str">
            <v>-</v>
          </cell>
          <cell r="G1327" t="str">
            <v>-</v>
          </cell>
          <cell r="H1327" t="str">
            <v>-</v>
          </cell>
          <cell r="I1327" t="str">
            <v>-</v>
          </cell>
          <cell r="J1327">
            <v>1439.716090723</v>
          </cell>
          <cell r="K1327" t="str">
            <v>Small Cap</v>
          </cell>
        </row>
        <row r="1328">
          <cell r="C1328" t="str">
            <v>INE717W01049</v>
          </cell>
          <cell r="D1328" t="str">
            <v>GANDHAR</v>
          </cell>
          <cell r="E1328">
            <v>1437.7531929920001</v>
          </cell>
          <cell r="F1328" t="str">
            <v>GANDHAR</v>
          </cell>
          <cell r="G1328">
            <v>1437.4097999999999</v>
          </cell>
          <cell r="H1328" t="str">
            <v>-</v>
          </cell>
          <cell r="I1328" t="str">
            <v>-</v>
          </cell>
          <cell r="J1328">
            <v>1437.581496496</v>
          </cell>
          <cell r="K1328" t="str">
            <v>Small Cap</v>
          </cell>
        </row>
        <row r="1329">
          <cell r="C1329" t="str">
            <v>INE737G01016</v>
          </cell>
          <cell r="D1329" t="str">
            <v>HARAFIN</v>
          </cell>
          <cell r="E1329">
            <v>1434.2263998360002</v>
          </cell>
          <cell r="F1329" t="str">
            <v>-</v>
          </cell>
          <cell r="G1329" t="str">
            <v>-</v>
          </cell>
          <cell r="H1329" t="str">
            <v>-</v>
          </cell>
          <cell r="I1329" t="str">
            <v>-</v>
          </cell>
          <cell r="J1329">
            <v>1434.2263998360002</v>
          </cell>
          <cell r="K1329" t="str">
            <v>Small Cap</v>
          </cell>
        </row>
        <row r="1330">
          <cell r="C1330" t="str">
            <v>INE369A01029</v>
          </cell>
          <cell r="D1330" t="str">
            <v>EXCELINDUS</v>
          </cell>
          <cell r="E1330">
            <v>1433.0977972850001</v>
          </cell>
          <cell r="F1330" t="str">
            <v>EXCELINDUS</v>
          </cell>
          <cell r="G1330">
            <v>1433.7023999999999</v>
          </cell>
          <cell r="H1330" t="str">
            <v>-</v>
          </cell>
          <cell r="I1330" t="str">
            <v>-</v>
          </cell>
          <cell r="J1330">
            <v>1433.4000986424999</v>
          </cell>
          <cell r="K1330" t="str">
            <v>Small Cap</v>
          </cell>
        </row>
        <row r="1331">
          <cell r="C1331" t="str">
            <v>INE411U01027</v>
          </cell>
          <cell r="D1331" t="str">
            <v>BAJAJHCARE</v>
          </cell>
          <cell r="E1331">
            <v>1433.165257719</v>
          </cell>
          <cell r="F1331" t="str">
            <v>BAJAJHCARE</v>
          </cell>
          <cell r="G1331">
            <v>1432.9472000000001</v>
          </cell>
          <cell r="H1331" t="str">
            <v>-</v>
          </cell>
          <cell r="I1331" t="str">
            <v>-</v>
          </cell>
          <cell r="J1331">
            <v>1433.0562288595002</v>
          </cell>
          <cell r="K1331" t="str">
            <v>Small Cap</v>
          </cell>
        </row>
        <row r="1332">
          <cell r="C1332" t="str">
            <v>INE062D01024</v>
          </cell>
          <cell r="D1332" t="str">
            <v>ALICON</v>
          </cell>
          <cell r="E1332">
            <v>1430.649493165</v>
          </cell>
          <cell r="F1332" t="str">
            <v>ALICON</v>
          </cell>
          <cell r="G1332">
            <v>1430.9127000000001</v>
          </cell>
          <cell r="H1332" t="str">
            <v>-</v>
          </cell>
          <cell r="I1332" t="str">
            <v>-</v>
          </cell>
          <cell r="J1332">
            <v>1430.7810965825001</v>
          </cell>
          <cell r="K1332" t="str">
            <v>Small Cap</v>
          </cell>
        </row>
        <row r="1333">
          <cell r="C1333" t="str">
            <v>INE830Q01018</v>
          </cell>
          <cell r="D1333" t="str">
            <v>MANAKCOAT</v>
          </cell>
          <cell r="E1333">
            <v>1432.0932500040001</v>
          </cell>
          <cell r="F1333" t="str">
            <v>MANAKCOAT</v>
          </cell>
          <cell r="G1333">
            <v>1407.6433999999999</v>
          </cell>
          <cell r="H1333" t="str">
            <v>-</v>
          </cell>
          <cell r="I1333" t="str">
            <v>-</v>
          </cell>
          <cell r="J1333">
            <v>1419.8683250019999</v>
          </cell>
          <cell r="K1333" t="str">
            <v>Small Cap</v>
          </cell>
        </row>
        <row r="1334">
          <cell r="C1334" t="str">
            <v>INE419D01026</v>
          </cell>
          <cell r="D1334" t="str">
            <v>CLSEL</v>
          </cell>
          <cell r="E1334">
            <v>1418.245719</v>
          </cell>
          <cell r="F1334" t="str">
            <v>CLSEL</v>
          </cell>
          <cell r="G1334">
            <v>1418.2121999999999</v>
          </cell>
          <cell r="H1334" t="str">
            <v>-</v>
          </cell>
          <cell r="I1334" t="str">
            <v>-</v>
          </cell>
          <cell r="J1334">
            <v>1418.2289595</v>
          </cell>
          <cell r="K1334" t="str">
            <v>Small Cap</v>
          </cell>
        </row>
        <row r="1335">
          <cell r="C1335" t="str">
            <v>INE533D01032</v>
          </cell>
          <cell r="D1335" t="str">
            <v>RAJRILTD</v>
          </cell>
          <cell r="E1335">
            <v>1417.745561062</v>
          </cell>
          <cell r="F1335" t="str">
            <v>RAJRILTD</v>
          </cell>
          <cell r="G1335">
            <v>1416.3377</v>
          </cell>
          <cell r="H1335" t="str">
            <v>-</v>
          </cell>
          <cell r="I1335" t="str">
            <v>-</v>
          </cell>
          <cell r="J1335">
            <v>1417.041630531</v>
          </cell>
          <cell r="K1335" t="str">
            <v>Small Cap</v>
          </cell>
        </row>
        <row r="1336">
          <cell r="C1336" t="str">
            <v>INE156A01020</v>
          </cell>
          <cell r="D1336" t="str">
            <v>INDORAMA</v>
          </cell>
          <cell r="E1336">
            <v>1415.738926109</v>
          </cell>
          <cell r="F1336" t="str">
            <v>INDORAMA</v>
          </cell>
          <cell r="G1336">
            <v>1414.9639</v>
          </cell>
          <cell r="H1336" t="str">
            <v>-</v>
          </cell>
          <cell r="I1336" t="str">
            <v>-</v>
          </cell>
          <cell r="J1336">
            <v>1415.3514130545</v>
          </cell>
          <cell r="K1336" t="str">
            <v>Small Cap</v>
          </cell>
        </row>
        <row r="1337">
          <cell r="C1337" t="str">
            <v>INE074B01023</v>
          </cell>
          <cell r="D1337" t="str">
            <v>PARACABLES</v>
          </cell>
          <cell r="E1337">
            <v>1414.109672456</v>
          </cell>
          <cell r="F1337" t="str">
            <v>PARACABLES</v>
          </cell>
          <cell r="G1337">
            <v>1413.6952000000001</v>
          </cell>
          <cell r="H1337" t="str">
            <v>-</v>
          </cell>
          <cell r="I1337" t="str">
            <v>-</v>
          </cell>
          <cell r="J1337">
            <v>1413.9024362280002</v>
          </cell>
          <cell r="K1337" t="str">
            <v>Small Cap</v>
          </cell>
        </row>
        <row r="1338">
          <cell r="C1338" t="str">
            <v>INE911Z01017</v>
          </cell>
          <cell r="D1338" t="str">
            <v>A1L</v>
          </cell>
          <cell r="E1338">
            <v>1413.693174603</v>
          </cell>
          <cell r="F1338" t="str">
            <v>-</v>
          </cell>
          <cell r="G1338" t="str">
            <v>-</v>
          </cell>
          <cell r="H1338" t="str">
            <v>-</v>
          </cell>
          <cell r="I1338" t="str">
            <v>-</v>
          </cell>
          <cell r="J1338">
            <v>1413.693174603</v>
          </cell>
          <cell r="K1338" t="str">
            <v>Small Cap</v>
          </cell>
        </row>
        <row r="1339">
          <cell r="C1339" t="str">
            <v>INE0AE001013</v>
          </cell>
          <cell r="D1339" t="str">
            <v>VPRPL</v>
          </cell>
          <cell r="E1339">
            <v>1412.6705802860001</v>
          </cell>
          <cell r="F1339" t="str">
            <v>VPRPL</v>
          </cell>
          <cell r="G1339">
            <v>1412.7497000000001</v>
          </cell>
          <cell r="H1339" t="str">
            <v>-</v>
          </cell>
          <cell r="I1339" t="str">
            <v>-</v>
          </cell>
          <cell r="J1339">
            <v>1412.710140143</v>
          </cell>
          <cell r="K1339" t="str">
            <v>Small Cap</v>
          </cell>
        </row>
        <row r="1340">
          <cell r="C1340" t="str">
            <v>INE457F01013</v>
          </cell>
          <cell r="D1340" t="str">
            <v>SALZERELEC</v>
          </cell>
          <cell r="E1340">
            <v>1412.0458410879999</v>
          </cell>
          <cell r="F1340" t="str">
            <v>SALZERELEC</v>
          </cell>
          <cell r="G1340">
            <v>1411.6999000000001</v>
          </cell>
          <cell r="H1340" t="str">
            <v>-</v>
          </cell>
          <cell r="I1340" t="str">
            <v>-</v>
          </cell>
          <cell r="J1340">
            <v>1411.8728705439999</v>
          </cell>
          <cell r="K1340" t="str">
            <v>Small Cap</v>
          </cell>
        </row>
        <row r="1341">
          <cell r="C1341" t="str">
            <v>INE0D0K01022</v>
          </cell>
          <cell r="D1341" t="str">
            <v>SIGACHI</v>
          </cell>
          <cell r="E1341">
            <v>1404.822860518</v>
          </cell>
          <cell r="F1341" t="str">
            <v>SIGACHI</v>
          </cell>
          <cell r="G1341">
            <v>1403.9131</v>
          </cell>
          <cell r="H1341" t="str">
            <v>-</v>
          </cell>
          <cell r="I1341" t="str">
            <v>-</v>
          </cell>
          <cell r="J1341">
            <v>1404.367980259</v>
          </cell>
          <cell r="K1341" t="str">
            <v>Small Cap</v>
          </cell>
        </row>
        <row r="1342">
          <cell r="C1342" t="str">
            <v>INE00GK01023</v>
          </cell>
          <cell r="D1342" t="str">
            <v>YASHHV</v>
          </cell>
          <cell r="E1342">
            <v>1399.534640565</v>
          </cell>
          <cell r="F1342" t="str">
            <v>-</v>
          </cell>
          <cell r="G1342" t="str">
            <v>-</v>
          </cell>
          <cell r="H1342" t="str">
            <v>-</v>
          </cell>
          <cell r="I1342" t="str">
            <v>-</v>
          </cell>
          <cell r="J1342">
            <v>1399.534640565</v>
          </cell>
          <cell r="K1342" t="str">
            <v>Small Cap</v>
          </cell>
        </row>
        <row r="1343">
          <cell r="C1343" t="str">
            <v>INE835G01018</v>
          </cell>
          <cell r="D1343" t="str">
            <v>ALLDIGI</v>
          </cell>
          <cell r="E1343">
            <v>1397.3659834139999</v>
          </cell>
          <cell r="F1343" t="str">
            <v>ALLDIGI</v>
          </cell>
          <cell r="G1343">
            <v>1397.8818000000001</v>
          </cell>
          <cell r="H1343" t="str">
            <v>-</v>
          </cell>
          <cell r="I1343" t="str">
            <v>-</v>
          </cell>
          <cell r="J1343">
            <v>1397.623891707</v>
          </cell>
          <cell r="K1343" t="str">
            <v>Small Cap</v>
          </cell>
        </row>
        <row r="1344">
          <cell r="C1344" t="str">
            <v>INE350H01032</v>
          </cell>
          <cell r="D1344" t="str">
            <v>BLKASHYAP</v>
          </cell>
          <cell r="E1344">
            <v>1397.189448889</v>
          </cell>
          <cell r="F1344" t="str">
            <v>BLKASHYAP</v>
          </cell>
          <cell r="G1344">
            <v>1396.7565</v>
          </cell>
          <cell r="H1344" t="str">
            <v>-</v>
          </cell>
          <cell r="I1344" t="str">
            <v>-</v>
          </cell>
          <cell r="J1344">
            <v>1396.9729744444999</v>
          </cell>
          <cell r="K1344" t="str">
            <v>Small Cap</v>
          </cell>
        </row>
        <row r="1345">
          <cell r="C1345" t="str">
            <v>INE344S01016</v>
          </cell>
          <cell r="D1345" t="str">
            <v>INFOBEAN</v>
          </cell>
          <cell r="E1345">
            <v>1386.206412859</v>
          </cell>
          <cell r="F1345" t="str">
            <v>INFOBEAN</v>
          </cell>
          <cell r="G1345">
            <v>1398.2509</v>
          </cell>
          <cell r="H1345" t="str">
            <v>-</v>
          </cell>
          <cell r="I1345" t="str">
            <v>-</v>
          </cell>
          <cell r="J1345">
            <v>1392.2286564295</v>
          </cell>
          <cell r="K1345" t="str">
            <v>Small Cap</v>
          </cell>
        </row>
        <row r="1346">
          <cell r="C1346" t="str">
            <v>INE497S01012</v>
          </cell>
          <cell r="D1346" t="str">
            <v>GODAVARIB</v>
          </cell>
          <cell r="E1346">
            <v>1389.9882743459998</v>
          </cell>
          <cell r="F1346" t="str">
            <v>GODAVARIB</v>
          </cell>
          <cell r="G1346">
            <v>1388.1614</v>
          </cell>
          <cell r="H1346" t="str">
            <v>-</v>
          </cell>
          <cell r="I1346" t="str">
            <v>-</v>
          </cell>
          <cell r="J1346">
            <v>1389.0748371729999</v>
          </cell>
          <cell r="K1346" t="str">
            <v>Small Cap</v>
          </cell>
        </row>
        <row r="1347">
          <cell r="C1347" t="str">
            <v>INE094B01013</v>
          </cell>
          <cell r="D1347" t="str">
            <v>ASHIKA</v>
          </cell>
          <cell r="E1347">
            <v>1388.8189557790001</v>
          </cell>
          <cell r="F1347" t="str">
            <v>-</v>
          </cell>
          <cell r="G1347" t="str">
            <v>-</v>
          </cell>
          <cell r="H1347" t="str">
            <v>-</v>
          </cell>
          <cell r="I1347" t="str">
            <v>-</v>
          </cell>
          <cell r="J1347">
            <v>1388.8189557790001</v>
          </cell>
          <cell r="K1347" t="str">
            <v>Small Cap</v>
          </cell>
        </row>
        <row r="1348">
          <cell r="C1348" t="str">
            <v>INE405A01021</v>
          </cell>
          <cell r="D1348" t="str">
            <v>ULTRAMAR</v>
          </cell>
          <cell r="E1348">
            <v>1388.38352381</v>
          </cell>
          <cell r="F1348" t="str">
            <v>-</v>
          </cell>
          <cell r="G1348" t="str">
            <v>-</v>
          </cell>
          <cell r="H1348" t="str">
            <v>-</v>
          </cell>
          <cell r="I1348" t="str">
            <v>-</v>
          </cell>
          <cell r="J1348">
            <v>1388.38352381</v>
          </cell>
          <cell r="K1348" t="str">
            <v>Small Cap</v>
          </cell>
        </row>
        <row r="1349">
          <cell r="C1349" t="str">
            <v>INE00U401027</v>
          </cell>
          <cell r="D1349" t="str">
            <v>UNIECOM</v>
          </cell>
          <cell r="E1349">
            <v>1391.764701095</v>
          </cell>
          <cell r="F1349" t="str">
            <v>UNIECOM</v>
          </cell>
          <cell r="G1349">
            <v>1379.9608000000001</v>
          </cell>
          <cell r="H1349" t="str">
            <v>-</v>
          </cell>
          <cell r="I1349" t="str">
            <v>-</v>
          </cell>
          <cell r="J1349">
            <v>1385.8627505475001</v>
          </cell>
          <cell r="K1349" t="str">
            <v>Small Cap</v>
          </cell>
        </row>
        <row r="1350">
          <cell r="C1350" t="str">
            <v>INE026D01011</v>
          </cell>
          <cell r="D1350" t="str">
            <v>LOTUSCHO</v>
          </cell>
          <cell r="E1350">
            <v>1384.2441900169999</v>
          </cell>
          <cell r="F1350" t="str">
            <v>-</v>
          </cell>
          <cell r="G1350" t="str">
            <v>-</v>
          </cell>
          <cell r="H1350" t="str">
            <v>-</v>
          </cell>
          <cell r="I1350" t="str">
            <v>-</v>
          </cell>
          <cell r="J1350">
            <v>1384.2441900169999</v>
          </cell>
          <cell r="K1350" t="str">
            <v>Small Cap</v>
          </cell>
        </row>
        <row r="1351">
          <cell r="C1351" t="str">
            <v>INE00YJ01010</v>
          </cell>
          <cell r="D1351" t="str">
            <v>JARO</v>
          </cell>
          <cell r="E1351">
            <v>1383.8396084850001</v>
          </cell>
          <cell r="F1351" t="str">
            <v>JARO</v>
          </cell>
          <cell r="G1351">
            <v>1383.3507999999999</v>
          </cell>
          <cell r="H1351" t="str">
            <v>-</v>
          </cell>
          <cell r="I1351" t="str">
            <v>-</v>
          </cell>
          <cell r="J1351">
            <v>1383.5952042425001</v>
          </cell>
          <cell r="K1351" t="str">
            <v>Small Cap</v>
          </cell>
        </row>
        <row r="1352">
          <cell r="C1352" t="str">
            <v>INE843S01025</v>
          </cell>
          <cell r="D1352" t="str">
            <v>SURAJEST</v>
          </cell>
          <cell r="E1352">
            <v>1383.437694167</v>
          </cell>
          <cell r="F1352" t="str">
            <v>SURAJEST</v>
          </cell>
          <cell r="G1352">
            <v>1382.5372</v>
          </cell>
          <cell r="H1352" t="str">
            <v>-</v>
          </cell>
          <cell r="I1352" t="str">
            <v>-</v>
          </cell>
          <cell r="J1352">
            <v>1382.9874470835</v>
          </cell>
          <cell r="K1352" t="str">
            <v>Small Cap</v>
          </cell>
        </row>
        <row r="1353">
          <cell r="C1353" t="str">
            <v>INE345H01024</v>
          </cell>
          <cell r="D1353" t="str">
            <v>CIFL</v>
          </cell>
          <cell r="E1353">
            <v>1383.884220276</v>
          </cell>
          <cell r="F1353" t="str">
            <v>CIFL</v>
          </cell>
          <cell r="G1353">
            <v>1380.9695999999999</v>
          </cell>
          <cell r="H1353" t="str">
            <v>-</v>
          </cell>
          <cell r="I1353" t="str">
            <v>-</v>
          </cell>
          <cell r="J1353">
            <v>1382.426910138</v>
          </cell>
          <cell r="K1353" t="str">
            <v>Small Cap</v>
          </cell>
        </row>
        <row r="1354">
          <cell r="C1354" t="str">
            <v>INE950M01013</v>
          </cell>
          <cell r="D1354" t="str">
            <v>MONTECARLO</v>
          </cell>
          <cell r="E1354">
            <v>1370.952157851</v>
          </cell>
          <cell r="F1354" t="str">
            <v>MONTECARLO</v>
          </cell>
          <cell r="G1354">
            <v>1370.9422999999999</v>
          </cell>
          <cell r="H1354" t="str">
            <v>-</v>
          </cell>
          <cell r="I1354" t="str">
            <v>-</v>
          </cell>
          <cell r="J1354">
            <v>1370.9472289255</v>
          </cell>
          <cell r="K1354" t="str">
            <v>Small Cap</v>
          </cell>
        </row>
        <row r="1355">
          <cell r="C1355" t="str">
            <v>INE414A01015</v>
          </cell>
          <cell r="D1355" t="str">
            <v>MADRASFERT</v>
          </cell>
          <cell r="E1355">
            <v>1367.6042786809999</v>
          </cell>
          <cell r="F1355" t="str">
            <v>MADRASFERT</v>
          </cell>
          <cell r="G1355">
            <v>1368.1221</v>
          </cell>
          <cell r="H1355" t="str">
            <v>-</v>
          </cell>
          <cell r="I1355" t="str">
            <v>-</v>
          </cell>
          <cell r="J1355">
            <v>1367.8631893405</v>
          </cell>
          <cell r="K1355" t="str">
            <v>Small Cap</v>
          </cell>
        </row>
        <row r="1356">
          <cell r="C1356" t="str">
            <v>INE00EV01017</v>
          </cell>
          <cell r="D1356" t="str">
            <v>HARIOMPIPE</v>
          </cell>
          <cell r="E1356">
            <v>1366.099834743</v>
          </cell>
          <cell r="F1356" t="str">
            <v>HARIOMPIPE</v>
          </cell>
          <cell r="G1356">
            <v>1365.6636000000001</v>
          </cell>
          <cell r="H1356" t="str">
            <v>-</v>
          </cell>
          <cell r="I1356" t="str">
            <v>-</v>
          </cell>
          <cell r="J1356">
            <v>1365.8817173715001</v>
          </cell>
          <cell r="K1356" t="str">
            <v>Small Cap</v>
          </cell>
        </row>
        <row r="1357">
          <cell r="C1357" t="str">
            <v>INE885H01029</v>
          </cell>
          <cell r="D1357" t="str">
            <v>SPORTKING</v>
          </cell>
          <cell r="E1357">
            <v>1331.9747550479999</v>
          </cell>
          <cell r="F1357" t="str">
            <v>SPORTKING</v>
          </cell>
          <cell r="G1357">
            <v>1392.6683</v>
          </cell>
          <cell r="H1357" t="str">
            <v>-</v>
          </cell>
          <cell r="I1357" t="str">
            <v>-</v>
          </cell>
          <cell r="J1357">
            <v>1362.321527524</v>
          </cell>
          <cell r="K1357" t="str">
            <v>Small Cap</v>
          </cell>
        </row>
        <row r="1358">
          <cell r="C1358" t="str">
            <v>INE235C01036</v>
          </cell>
          <cell r="D1358" t="str">
            <v>SUMEETINDS</v>
          </cell>
          <cell r="E1358">
            <v>1394.64048604</v>
          </cell>
          <cell r="F1358" t="str">
            <v>SUMEETINDS</v>
          </cell>
          <cell r="G1358">
            <v>1324.2127</v>
          </cell>
          <cell r="H1358" t="str">
            <v>-</v>
          </cell>
          <cell r="I1358" t="str">
            <v>-</v>
          </cell>
          <cell r="J1358">
            <v>1359.4265930199999</v>
          </cell>
          <cell r="K1358" t="str">
            <v>Small Cap</v>
          </cell>
        </row>
        <row r="1359">
          <cell r="C1359" t="str">
            <v>INE583C01021</v>
          </cell>
          <cell r="D1359" t="str">
            <v>DECCANCE</v>
          </cell>
          <cell r="E1359">
            <v>1358.2072214290001</v>
          </cell>
          <cell r="F1359" t="str">
            <v>DECCANCE</v>
          </cell>
          <cell r="G1359">
            <v>1358.3023000000001</v>
          </cell>
          <cell r="H1359" t="str">
            <v>-</v>
          </cell>
          <cell r="I1359" t="str">
            <v>-</v>
          </cell>
          <cell r="J1359">
            <v>1358.2547607145002</v>
          </cell>
          <cell r="K1359" t="str">
            <v>Small Cap</v>
          </cell>
        </row>
        <row r="1360">
          <cell r="C1360" t="str">
            <v>INE0I0T01010</v>
          </cell>
          <cell r="D1360" t="str">
            <v>VOEPL</v>
          </cell>
          <cell r="E1360">
            <v>1350.6572102809998</v>
          </cell>
          <cell r="F1360" t="str">
            <v>-</v>
          </cell>
          <cell r="G1360" t="str">
            <v>-</v>
          </cell>
          <cell r="H1360" t="str">
            <v>-</v>
          </cell>
          <cell r="I1360" t="str">
            <v>-</v>
          </cell>
          <cell r="J1360">
            <v>1350.6572102809998</v>
          </cell>
          <cell r="K1360" t="str">
            <v>Small Cap</v>
          </cell>
        </row>
        <row r="1361">
          <cell r="C1361" t="str">
            <v>INE127B01011</v>
          </cell>
          <cell r="D1361" t="str">
            <v>HITECHGEAR</v>
          </cell>
          <cell r="E1361">
            <v>1353.6127764530002</v>
          </cell>
          <cell r="F1361" t="str">
            <v>HITECHGEAR</v>
          </cell>
          <cell r="G1361">
            <v>1345.8076000000001</v>
          </cell>
          <cell r="H1361" t="str">
            <v>-</v>
          </cell>
          <cell r="I1361" t="str">
            <v>-</v>
          </cell>
          <cell r="J1361">
            <v>1349.7101882265001</v>
          </cell>
          <cell r="K1361" t="str">
            <v>Small Cap</v>
          </cell>
        </row>
        <row r="1362">
          <cell r="C1362" t="str">
            <v>INE934S01014</v>
          </cell>
          <cell r="D1362" t="str">
            <v>GNA</v>
          </cell>
          <cell r="E1362">
            <v>1344.534733492</v>
          </cell>
          <cell r="F1362" t="str">
            <v>GNA</v>
          </cell>
          <cell r="G1362">
            <v>1344.3217999999999</v>
          </cell>
          <cell r="H1362" t="str">
            <v>-</v>
          </cell>
          <cell r="I1362" t="str">
            <v>-</v>
          </cell>
          <cell r="J1362">
            <v>1344.428266746</v>
          </cell>
          <cell r="K1362" t="str">
            <v>Small Cap</v>
          </cell>
        </row>
        <row r="1363">
          <cell r="C1363" t="str">
            <v>INE046A01015</v>
          </cell>
          <cell r="D1363" t="str">
            <v>RIIL</v>
          </cell>
          <cell r="E1363">
            <v>1338.056539683</v>
          </cell>
          <cell r="F1363" t="str">
            <v>RIIL</v>
          </cell>
          <cell r="G1363">
            <v>1338.2291</v>
          </cell>
          <cell r="H1363" t="str">
            <v>-</v>
          </cell>
          <cell r="I1363" t="str">
            <v>-</v>
          </cell>
          <cell r="J1363">
            <v>1338.1428198415001</v>
          </cell>
          <cell r="K1363" t="str">
            <v>Small Cap</v>
          </cell>
        </row>
        <row r="1364">
          <cell r="C1364" t="str">
            <v>INE022I01019</v>
          </cell>
          <cell r="D1364" t="str">
            <v>ASIANTILES</v>
          </cell>
          <cell r="E1364">
            <v>1368.014048835</v>
          </cell>
          <cell r="F1364" t="str">
            <v>ASIANTILES</v>
          </cell>
          <cell r="G1364">
            <v>1284.7943</v>
          </cell>
          <cell r="H1364" t="str">
            <v>-</v>
          </cell>
          <cell r="I1364" t="str">
            <v>-</v>
          </cell>
          <cell r="J1364">
            <v>1326.4041744175001</v>
          </cell>
          <cell r="K1364" t="str">
            <v>Small Cap</v>
          </cell>
        </row>
        <row r="1365">
          <cell r="C1365" t="str">
            <v>INE547E01014</v>
          </cell>
          <cell r="D1365" t="str">
            <v>IMPAL</v>
          </cell>
          <cell r="E1365">
            <v>1323.9749714290001</v>
          </cell>
          <cell r="F1365" t="str">
            <v>IMPAL</v>
          </cell>
          <cell r="G1365">
            <v>1323.7972</v>
          </cell>
          <cell r="H1365" t="str">
            <v>-</v>
          </cell>
          <cell r="I1365" t="str">
            <v>-</v>
          </cell>
          <cell r="J1365">
            <v>1323.8860857145</v>
          </cell>
          <cell r="K1365" t="str">
            <v>Small Cap</v>
          </cell>
        </row>
        <row r="1366">
          <cell r="C1366" t="str">
            <v>INE204A01010</v>
          </cell>
          <cell r="D1366" t="str">
            <v>IGPL</v>
          </cell>
          <cell r="E1366">
            <v>1321.501108875</v>
          </cell>
          <cell r="F1366" t="str">
            <v>IGPL</v>
          </cell>
          <cell r="G1366">
            <v>1321.1895</v>
          </cell>
          <cell r="H1366" t="str">
            <v>-</v>
          </cell>
          <cell r="I1366" t="str">
            <v>-</v>
          </cell>
          <cell r="J1366">
            <v>1321.3453044375001</v>
          </cell>
          <cell r="K1366" t="str">
            <v>Small Cap</v>
          </cell>
        </row>
        <row r="1367">
          <cell r="C1367" t="str">
            <v>INE032Z01020</v>
          </cell>
          <cell r="D1367" t="str">
            <v>-</v>
          </cell>
          <cell r="E1367" t="str">
            <v>-</v>
          </cell>
          <cell r="F1367" t="str">
            <v>BSHSL</v>
          </cell>
          <cell r="G1367">
            <v>1313.6107</v>
          </cell>
          <cell r="H1367" t="str">
            <v>-</v>
          </cell>
          <cell r="I1367" t="str">
            <v>-</v>
          </cell>
          <cell r="J1367">
            <v>1313.6107</v>
          </cell>
          <cell r="K1367" t="str">
            <v>Small Cap</v>
          </cell>
        </row>
        <row r="1368">
          <cell r="C1368" t="str">
            <v>INE722H01024</v>
          </cell>
          <cell r="D1368" t="str">
            <v>RGL</v>
          </cell>
          <cell r="E1368">
            <v>1311.7410176169999</v>
          </cell>
          <cell r="F1368" t="str">
            <v>RGL</v>
          </cell>
          <cell r="G1368">
            <v>1313.7974999999999</v>
          </cell>
          <cell r="H1368" t="str">
            <v>-</v>
          </cell>
          <cell r="I1368" t="str">
            <v>-</v>
          </cell>
          <cell r="J1368">
            <v>1312.7692588084999</v>
          </cell>
          <cell r="K1368" t="str">
            <v>Small Cap</v>
          </cell>
        </row>
        <row r="1369">
          <cell r="C1369" t="str">
            <v>INE232A01011</v>
          </cell>
          <cell r="D1369" t="str">
            <v>SHREDIGCEM</v>
          </cell>
          <cell r="E1369">
            <v>1309.3589511520001</v>
          </cell>
          <cell r="F1369" t="str">
            <v>SHREDIGCEM</v>
          </cell>
          <cell r="G1369">
            <v>1309.6079999999999</v>
          </cell>
          <cell r="H1369" t="str">
            <v>-</v>
          </cell>
          <cell r="I1369" t="str">
            <v>-</v>
          </cell>
          <cell r="J1369">
            <v>1309.483475576</v>
          </cell>
          <cell r="K1369" t="str">
            <v>Small Cap</v>
          </cell>
        </row>
        <row r="1370">
          <cell r="C1370" t="str">
            <v>INE0NJ001013</v>
          </cell>
          <cell r="D1370" t="str">
            <v>CFF</v>
          </cell>
          <cell r="E1370">
            <v>1307.7847849290001</v>
          </cell>
          <cell r="F1370" t="str">
            <v>-</v>
          </cell>
          <cell r="G1370" t="str">
            <v>-</v>
          </cell>
          <cell r="H1370" t="str">
            <v>-</v>
          </cell>
          <cell r="I1370" t="str">
            <v>-</v>
          </cell>
          <cell r="J1370">
            <v>1307.7847849290001</v>
          </cell>
          <cell r="K1370" t="str">
            <v>Small Cap</v>
          </cell>
        </row>
        <row r="1371">
          <cell r="C1371" t="str">
            <v>INE0KGZ01021</v>
          </cell>
          <cell r="D1371" t="str">
            <v>SIGNPOST</v>
          </cell>
          <cell r="E1371">
            <v>1304.6211746030001</v>
          </cell>
          <cell r="F1371" t="str">
            <v>SIGNPOST</v>
          </cell>
          <cell r="G1371">
            <v>1305.2482</v>
          </cell>
          <cell r="H1371" t="str">
            <v>-</v>
          </cell>
          <cell r="I1371" t="str">
            <v>-</v>
          </cell>
          <cell r="J1371">
            <v>1304.9346873015002</v>
          </cell>
          <cell r="K1371" t="str">
            <v>Small Cap</v>
          </cell>
        </row>
        <row r="1372">
          <cell r="C1372" t="str">
            <v>INE449C01025</v>
          </cell>
          <cell r="D1372" t="str">
            <v>ANDREWYU</v>
          </cell>
          <cell r="E1372">
            <v>1302.0919766669999</v>
          </cell>
          <cell r="F1372" t="str">
            <v>-</v>
          </cell>
          <cell r="G1372" t="str">
            <v>-</v>
          </cell>
          <cell r="H1372" t="str">
            <v>-</v>
          </cell>
          <cell r="I1372" t="str">
            <v>-</v>
          </cell>
          <cell r="J1372">
            <v>1302.0919766669999</v>
          </cell>
          <cell r="K1372" t="str">
            <v>Small Cap</v>
          </cell>
        </row>
        <row r="1373">
          <cell r="C1373" t="str">
            <v>INE794B01026</v>
          </cell>
          <cell r="D1373" t="str">
            <v>BALAJITELE</v>
          </cell>
          <cell r="E1373">
            <v>1299.546311955</v>
          </cell>
          <cell r="F1373" t="str">
            <v>BALAJITELE</v>
          </cell>
          <cell r="G1373">
            <v>1299.0590999999999</v>
          </cell>
          <cell r="H1373" t="str">
            <v>-</v>
          </cell>
          <cell r="I1373" t="str">
            <v>-</v>
          </cell>
          <cell r="J1373">
            <v>1299.3027059775</v>
          </cell>
          <cell r="K1373" t="str">
            <v>Small Cap</v>
          </cell>
        </row>
        <row r="1374">
          <cell r="C1374" t="str">
            <v>INE951D01028</v>
          </cell>
          <cell r="D1374" t="str">
            <v>ATULAUTO</v>
          </cell>
          <cell r="E1374">
            <v>1290.976330705</v>
          </cell>
          <cell r="F1374" t="str">
            <v>ATULAUTO</v>
          </cell>
          <cell r="G1374">
            <v>1290.9476999999999</v>
          </cell>
          <cell r="H1374" t="str">
            <v>-</v>
          </cell>
          <cell r="I1374" t="str">
            <v>-</v>
          </cell>
          <cell r="J1374">
            <v>1290.9620153525</v>
          </cell>
          <cell r="K1374" t="str">
            <v>Small Cap</v>
          </cell>
        </row>
        <row r="1375">
          <cell r="C1375" t="str">
            <v>INE204E01012</v>
          </cell>
          <cell r="D1375" t="str">
            <v>AGARIND</v>
          </cell>
          <cell r="E1375">
            <v>1288.7755650639999</v>
          </cell>
          <cell r="F1375" t="str">
            <v>AGARIND</v>
          </cell>
          <cell r="G1375">
            <v>1289.162</v>
          </cell>
          <cell r="H1375" t="str">
            <v>-</v>
          </cell>
          <cell r="I1375" t="str">
            <v>-</v>
          </cell>
          <cell r="J1375">
            <v>1288.968782532</v>
          </cell>
          <cell r="K1375" t="str">
            <v>Small Cap</v>
          </cell>
        </row>
        <row r="1376">
          <cell r="C1376" t="str">
            <v>INE184O01015</v>
          </cell>
          <cell r="D1376" t="str">
            <v>DIFFNKG</v>
          </cell>
          <cell r="E1376">
            <v>1287.9519302040001</v>
          </cell>
          <cell r="F1376" t="str">
            <v>DIFFNKG</v>
          </cell>
          <cell r="G1376">
            <v>1288.1523999999999</v>
          </cell>
          <cell r="H1376" t="str">
            <v>-</v>
          </cell>
          <cell r="I1376" t="str">
            <v>-</v>
          </cell>
          <cell r="J1376">
            <v>1288.0521651019999</v>
          </cell>
          <cell r="K1376" t="str">
            <v>Small Cap</v>
          </cell>
        </row>
        <row r="1377">
          <cell r="C1377" t="str">
            <v>INE777X01017</v>
          </cell>
          <cell r="D1377" t="str">
            <v>AAYUSHBULL</v>
          </cell>
          <cell r="E1377">
            <v>1287.3543700629998</v>
          </cell>
          <cell r="F1377" t="str">
            <v>-</v>
          </cell>
          <cell r="G1377" t="str">
            <v>-</v>
          </cell>
          <cell r="H1377" t="str">
            <v>-</v>
          </cell>
          <cell r="I1377" t="str">
            <v>-</v>
          </cell>
          <cell r="J1377">
            <v>1287.3543700629998</v>
          </cell>
          <cell r="K1377" t="str">
            <v>Small Cap</v>
          </cell>
        </row>
        <row r="1378">
          <cell r="C1378" t="str">
            <v>INE840Y01029</v>
          </cell>
          <cell r="D1378" t="str">
            <v>-</v>
          </cell>
          <cell r="E1378" t="str">
            <v>-</v>
          </cell>
          <cell r="F1378" t="str">
            <v>ONEPOINT</v>
          </cell>
          <cell r="G1378">
            <v>1286.2950000000001</v>
          </cell>
          <cell r="H1378" t="str">
            <v>-</v>
          </cell>
          <cell r="I1378" t="str">
            <v>-</v>
          </cell>
          <cell r="J1378">
            <v>1286.2950000000001</v>
          </cell>
          <cell r="K1378" t="str">
            <v>Small Cap</v>
          </cell>
        </row>
        <row r="1379">
          <cell r="C1379" t="str">
            <v>INE646H01017</v>
          </cell>
          <cell r="D1379" t="str">
            <v>CAPITALSFB</v>
          </cell>
          <cell r="E1379">
            <v>1285.546377144</v>
          </cell>
          <cell r="F1379" t="str">
            <v>CAPITALSFB</v>
          </cell>
          <cell r="G1379">
            <v>1285.9007999999999</v>
          </cell>
          <cell r="H1379" t="str">
            <v>-</v>
          </cell>
          <cell r="I1379" t="str">
            <v>-</v>
          </cell>
          <cell r="J1379">
            <v>1285.7235885719999</v>
          </cell>
          <cell r="K1379" t="str">
            <v>Small Cap</v>
          </cell>
        </row>
        <row r="1380">
          <cell r="C1380" t="str">
            <v>INE384C01016</v>
          </cell>
          <cell r="D1380" t="str">
            <v>YUKEN</v>
          </cell>
          <cell r="E1380">
            <v>1277.1796793649999</v>
          </cell>
          <cell r="F1380" t="str">
            <v>YUKEN</v>
          </cell>
          <cell r="G1380">
            <v>1288.9818</v>
          </cell>
          <cell r="H1380" t="str">
            <v>-</v>
          </cell>
          <cell r="I1380" t="str">
            <v>-</v>
          </cell>
          <cell r="J1380">
            <v>1283.0807396824998</v>
          </cell>
          <cell r="K1380" t="str">
            <v>Small Cap</v>
          </cell>
        </row>
        <row r="1381">
          <cell r="C1381" t="str">
            <v>INE898S01029</v>
          </cell>
          <cell r="D1381" t="str">
            <v>AURUM</v>
          </cell>
          <cell r="E1381">
            <v>1287.498931006</v>
          </cell>
          <cell r="F1381" t="str">
            <v>AURUM</v>
          </cell>
          <cell r="G1381">
            <v>1276.6831</v>
          </cell>
          <cell r="H1381" t="str">
            <v>-</v>
          </cell>
          <cell r="I1381" t="str">
            <v>-</v>
          </cell>
          <cell r="J1381">
            <v>1282.0910155030001</v>
          </cell>
          <cell r="K1381" t="str">
            <v>Small Cap</v>
          </cell>
        </row>
        <row r="1382">
          <cell r="C1382" t="str">
            <v>INE209B01025</v>
          </cell>
          <cell r="D1382" t="str">
            <v>RICOAUTO</v>
          </cell>
          <cell r="E1382">
            <v>1280.1665232139999</v>
          </cell>
          <cell r="F1382" t="str">
            <v>RICOAUTO</v>
          </cell>
          <cell r="G1382">
            <v>1279.7381</v>
          </cell>
          <cell r="H1382" t="str">
            <v>-</v>
          </cell>
          <cell r="I1382" t="str">
            <v>-</v>
          </cell>
          <cell r="J1382">
            <v>1279.952311607</v>
          </cell>
          <cell r="K1382" t="str">
            <v>Small Cap</v>
          </cell>
        </row>
        <row r="1383">
          <cell r="C1383" t="str">
            <v>INE28GN01010</v>
          </cell>
          <cell r="D1383" t="str">
            <v>ADVENTHTL</v>
          </cell>
          <cell r="E1383">
            <v>1273.028334868</v>
          </cell>
          <cell r="F1383" t="str">
            <v>ADVENTHTL</v>
          </cell>
          <cell r="G1383">
            <v>1274.8693000000001</v>
          </cell>
          <cell r="H1383" t="str">
            <v>-</v>
          </cell>
          <cell r="I1383" t="str">
            <v>-</v>
          </cell>
          <cell r="J1383">
            <v>1273.9488174339999</v>
          </cell>
          <cell r="K1383" t="str">
            <v>Small Cap</v>
          </cell>
        </row>
        <row r="1384">
          <cell r="C1384" t="str">
            <v>INE295F01017</v>
          </cell>
          <cell r="D1384" t="str">
            <v>BUTTERFLY</v>
          </cell>
          <cell r="E1384">
            <v>1271.3226358309998</v>
          </cell>
          <cell r="F1384" t="str">
            <v>BUTTERFLY</v>
          </cell>
          <cell r="G1384">
            <v>1271.1438000000001</v>
          </cell>
          <cell r="H1384" t="str">
            <v>-</v>
          </cell>
          <cell r="I1384" t="str">
            <v>-</v>
          </cell>
          <cell r="J1384">
            <v>1271.2332179155001</v>
          </cell>
          <cell r="K1384" t="str">
            <v>Small Cap</v>
          </cell>
        </row>
        <row r="1385">
          <cell r="C1385" t="str">
            <v>INE287C01037</v>
          </cell>
          <cell r="D1385" t="str">
            <v>MICEL</v>
          </cell>
          <cell r="E1385">
            <v>1264.767457595</v>
          </cell>
          <cell r="F1385" t="str">
            <v>MICEL</v>
          </cell>
          <cell r="G1385">
            <v>1264.1764000000001</v>
          </cell>
          <cell r="H1385" t="str">
            <v>-</v>
          </cell>
          <cell r="I1385" t="str">
            <v>-</v>
          </cell>
          <cell r="J1385">
            <v>1264.4719287974999</v>
          </cell>
          <cell r="K1385" t="str">
            <v>Small Cap</v>
          </cell>
        </row>
        <row r="1386">
          <cell r="C1386" t="str">
            <v>INE963C01033</v>
          </cell>
          <cell r="D1386" t="str">
            <v>FAZE3Q</v>
          </cell>
          <cell r="E1386">
            <v>1264.4220131750001</v>
          </cell>
          <cell r="F1386" t="str">
            <v>FAZE3Q</v>
          </cell>
          <cell r="G1386">
            <v>1264.4201</v>
          </cell>
          <cell r="H1386" t="str">
            <v>-</v>
          </cell>
          <cell r="I1386" t="str">
            <v>-</v>
          </cell>
          <cell r="J1386">
            <v>1264.4210565875001</v>
          </cell>
          <cell r="K1386" t="str">
            <v>Small Cap</v>
          </cell>
        </row>
        <row r="1387">
          <cell r="C1387" t="str">
            <v>INE316L01019</v>
          </cell>
          <cell r="D1387" t="str">
            <v>BHARATWIRE</v>
          </cell>
          <cell r="E1387">
            <v>1263.723850047</v>
          </cell>
          <cell r="F1387" t="str">
            <v>BHARATWIRE</v>
          </cell>
          <cell r="G1387">
            <v>1263.1294</v>
          </cell>
          <cell r="H1387" t="str">
            <v>-</v>
          </cell>
          <cell r="I1387" t="str">
            <v>-</v>
          </cell>
          <cell r="J1387">
            <v>1263.4266250235</v>
          </cell>
          <cell r="K1387" t="str">
            <v>Small Cap</v>
          </cell>
        </row>
        <row r="1388">
          <cell r="C1388" t="str">
            <v>INE893I01013</v>
          </cell>
          <cell r="D1388" t="str">
            <v>VASCONEQ</v>
          </cell>
          <cell r="E1388">
            <v>1263.505187193</v>
          </cell>
          <cell r="F1388" t="str">
            <v>VASCONEQ</v>
          </cell>
          <cell r="G1388">
            <v>1262.7263</v>
          </cell>
          <cell r="H1388" t="str">
            <v>-</v>
          </cell>
          <cell r="I1388" t="str">
            <v>-</v>
          </cell>
          <cell r="J1388">
            <v>1263.1157435965001</v>
          </cell>
          <cell r="K1388" t="str">
            <v>Small Cap</v>
          </cell>
        </row>
        <row r="1389">
          <cell r="C1389" t="str">
            <v>INE711A01022</v>
          </cell>
          <cell r="D1389" t="str">
            <v>WALCHANNAG</v>
          </cell>
          <cell r="E1389">
            <v>1263.273607893</v>
          </cell>
          <cell r="F1389" t="str">
            <v>WALCHANNAG</v>
          </cell>
          <cell r="G1389">
            <v>1261.2743</v>
          </cell>
          <cell r="H1389" t="str">
            <v>-</v>
          </cell>
          <cell r="I1389" t="str">
            <v>-</v>
          </cell>
          <cell r="J1389">
            <v>1262.2739539465001</v>
          </cell>
          <cell r="K1389" t="str">
            <v>Small Cap</v>
          </cell>
        </row>
        <row r="1390">
          <cell r="C1390" t="str">
            <v>INE435C01024</v>
          </cell>
          <cell r="D1390" t="str">
            <v>TEXINFRA</v>
          </cell>
          <cell r="E1390">
            <v>1260.0750276910001</v>
          </cell>
          <cell r="F1390" t="str">
            <v>TEXINFRA</v>
          </cell>
          <cell r="G1390">
            <v>1259.4965999999999</v>
          </cell>
          <cell r="H1390" t="str">
            <v>-</v>
          </cell>
          <cell r="I1390" t="str">
            <v>-</v>
          </cell>
          <cell r="J1390">
            <v>1259.7858138454999</v>
          </cell>
          <cell r="K1390" t="str">
            <v>Small Cap</v>
          </cell>
        </row>
        <row r="1391">
          <cell r="C1391" t="str">
            <v>INE0CJF01024</v>
          </cell>
          <cell r="D1391" t="str">
            <v>WCIL</v>
          </cell>
          <cell r="E1391">
            <v>1258.6411503270001</v>
          </cell>
          <cell r="F1391" t="str">
            <v>WCIL</v>
          </cell>
          <cell r="G1391">
            <v>1258.8637000000001</v>
          </cell>
          <cell r="H1391" t="str">
            <v>-</v>
          </cell>
          <cell r="I1391" t="str">
            <v>-</v>
          </cell>
          <cell r="J1391">
            <v>1258.7524251635</v>
          </cell>
          <cell r="K1391" t="str">
            <v>Small Cap</v>
          </cell>
        </row>
        <row r="1392">
          <cell r="C1392" t="str">
            <v>INE694N01015</v>
          </cell>
          <cell r="D1392" t="str">
            <v>HERANBA</v>
          </cell>
          <cell r="E1392">
            <v>1250.871789172</v>
          </cell>
          <cell r="F1392" t="str">
            <v>HERANBA</v>
          </cell>
          <cell r="G1392">
            <v>1251.0003999999999</v>
          </cell>
          <cell r="H1392" t="str">
            <v>-</v>
          </cell>
          <cell r="I1392" t="str">
            <v>-</v>
          </cell>
          <cell r="J1392">
            <v>1250.9360945859999</v>
          </cell>
          <cell r="K1392" t="str">
            <v>Small Cap</v>
          </cell>
        </row>
        <row r="1393">
          <cell r="C1393" t="str">
            <v>INE284B01028</v>
          </cell>
          <cell r="D1393" t="str">
            <v>TGVSL</v>
          </cell>
          <cell r="E1393">
            <v>1249.897750781</v>
          </cell>
          <cell r="F1393" t="str">
            <v>-</v>
          </cell>
          <cell r="G1393" t="str">
            <v>-</v>
          </cell>
          <cell r="H1393" t="str">
            <v>-</v>
          </cell>
          <cell r="I1393" t="str">
            <v>-</v>
          </cell>
          <cell r="J1393">
            <v>1249.897750781</v>
          </cell>
          <cell r="K1393" t="str">
            <v>Small Cap</v>
          </cell>
        </row>
        <row r="1394">
          <cell r="C1394" t="str">
            <v>INE258R01028</v>
          </cell>
          <cell r="D1394" t="str">
            <v>PANORAMA</v>
          </cell>
          <cell r="E1394">
            <v>1249.8289777530001</v>
          </cell>
          <cell r="F1394" t="str">
            <v>-</v>
          </cell>
          <cell r="G1394" t="str">
            <v>-</v>
          </cell>
          <cell r="H1394" t="str">
            <v>-</v>
          </cell>
          <cell r="I1394" t="str">
            <v>-</v>
          </cell>
          <cell r="J1394">
            <v>1249.8289777530001</v>
          </cell>
          <cell r="K1394" t="str">
            <v>Small Cap</v>
          </cell>
        </row>
        <row r="1395">
          <cell r="C1395" t="str">
            <v>INE02L001032</v>
          </cell>
          <cell r="D1395" t="str">
            <v>BOROSCI</v>
          </cell>
          <cell r="E1395">
            <v>1248.794304457</v>
          </cell>
          <cell r="F1395" t="str">
            <v>BOROSCI</v>
          </cell>
          <cell r="G1395">
            <v>1248.2052000000001</v>
          </cell>
          <cell r="H1395" t="str">
            <v>-</v>
          </cell>
          <cell r="I1395" t="str">
            <v>-</v>
          </cell>
          <cell r="J1395">
            <v>1248.4997522285</v>
          </cell>
          <cell r="K1395" t="str">
            <v>Small Cap</v>
          </cell>
        </row>
        <row r="1396">
          <cell r="C1396" t="str">
            <v>INE492A01029</v>
          </cell>
          <cell r="D1396" t="str">
            <v>HEUBACHIND</v>
          </cell>
          <cell r="E1396">
            <v>1245.1869787180001</v>
          </cell>
          <cell r="F1396" t="str">
            <v>HEUBACHIND</v>
          </cell>
          <cell r="G1396">
            <v>1245.3408999999999</v>
          </cell>
          <cell r="H1396" t="str">
            <v>-</v>
          </cell>
          <cell r="I1396" t="str">
            <v>-</v>
          </cell>
          <cell r="J1396">
            <v>1245.263939359</v>
          </cell>
          <cell r="K1396" t="str">
            <v>Small Cap</v>
          </cell>
        </row>
        <row r="1397">
          <cell r="C1397" t="str">
            <v>INE486R01017</v>
          </cell>
          <cell r="D1397" t="str">
            <v>GPTHEALTH</v>
          </cell>
          <cell r="E1397">
            <v>1244.5697839959998</v>
          </cell>
          <cell r="F1397" t="str">
            <v>GPTHEALTH</v>
          </cell>
          <cell r="G1397">
            <v>1244.9846</v>
          </cell>
          <cell r="H1397" t="str">
            <v>-</v>
          </cell>
          <cell r="I1397" t="str">
            <v>-</v>
          </cell>
          <cell r="J1397">
            <v>1244.777191998</v>
          </cell>
          <cell r="K1397" t="str">
            <v>Small Cap</v>
          </cell>
        </row>
        <row r="1398">
          <cell r="C1398" t="str">
            <v>INE07U701015</v>
          </cell>
          <cell r="D1398" t="str">
            <v>IRMENERGY</v>
          </cell>
          <cell r="E1398">
            <v>1243.6031138989999</v>
          </cell>
          <cell r="F1398" t="str">
            <v>IRMENERGY</v>
          </cell>
          <cell r="G1398">
            <v>1243.3131000000001</v>
          </cell>
          <cell r="H1398" t="str">
            <v>-</v>
          </cell>
          <cell r="I1398" t="str">
            <v>-</v>
          </cell>
          <cell r="J1398">
            <v>1243.4581069495</v>
          </cell>
          <cell r="K1398" t="str">
            <v>Small Cap</v>
          </cell>
        </row>
        <row r="1399">
          <cell r="C1399" t="str">
            <v>INE0G1L01017</v>
          </cell>
          <cell r="D1399" t="str">
            <v>-</v>
          </cell>
          <cell r="E1399" t="str">
            <v>-</v>
          </cell>
          <cell r="F1399" t="str">
            <v>LEMERITE</v>
          </cell>
          <cell r="G1399">
            <v>1241.8879999999999</v>
          </cell>
          <cell r="H1399" t="str">
            <v>-</v>
          </cell>
          <cell r="I1399" t="str">
            <v>-</v>
          </cell>
          <cell r="J1399">
            <v>1241.8879999999999</v>
          </cell>
          <cell r="K1399" t="str">
            <v>Small Cap</v>
          </cell>
        </row>
        <row r="1400">
          <cell r="C1400" t="str">
            <v>INE00R201018</v>
          </cell>
          <cell r="D1400" t="str">
            <v>-</v>
          </cell>
          <cell r="E1400" t="str">
            <v>-</v>
          </cell>
          <cell r="F1400" t="str">
            <v>-</v>
          </cell>
          <cell r="G1400" t="str">
            <v>-</v>
          </cell>
          <cell r="H1400" t="str">
            <v>LEGEND</v>
          </cell>
          <cell r="I1400">
            <v>1240.8055079365099</v>
          </cell>
          <cell r="J1400">
            <v>1240.8055079365099</v>
          </cell>
          <cell r="K1400" t="str">
            <v>Small Cap</v>
          </cell>
        </row>
        <row r="1401">
          <cell r="C1401" t="str">
            <v>INE712K01011</v>
          </cell>
          <cell r="D1401" t="str">
            <v>SHREEPUSHK</v>
          </cell>
          <cell r="E1401">
            <v>1240.0683223809999</v>
          </cell>
          <cell r="F1401" t="str">
            <v>SHREEPUSHK</v>
          </cell>
          <cell r="G1401">
            <v>1240.2274</v>
          </cell>
          <cell r="H1401" t="str">
            <v>-</v>
          </cell>
          <cell r="I1401" t="str">
            <v>-</v>
          </cell>
          <cell r="J1401">
            <v>1240.1478611905</v>
          </cell>
          <cell r="K1401" t="str">
            <v>Small Cap</v>
          </cell>
        </row>
        <row r="1402">
          <cell r="C1402" t="str">
            <v>INE0PKD01011</v>
          </cell>
          <cell r="D1402" t="str">
            <v>MEIL</v>
          </cell>
          <cell r="E1402">
            <v>1239.8391647999999</v>
          </cell>
          <cell r="F1402" t="str">
            <v>MEIL</v>
          </cell>
          <cell r="G1402">
            <v>1239.5628999999999</v>
          </cell>
          <cell r="H1402" t="str">
            <v>-</v>
          </cell>
          <cell r="I1402" t="str">
            <v>-</v>
          </cell>
          <cell r="J1402">
            <v>1239.7010323999998</v>
          </cell>
          <cell r="K1402" t="str">
            <v>Small Cap</v>
          </cell>
        </row>
        <row r="1403">
          <cell r="C1403" t="str">
            <v>INE869I01013</v>
          </cell>
          <cell r="D1403" t="str">
            <v>GTPL</v>
          </cell>
          <cell r="E1403">
            <v>1238.625950034</v>
          </cell>
          <cell r="F1403" t="str">
            <v>GTPL</v>
          </cell>
          <cell r="G1403">
            <v>1238.0074</v>
          </cell>
          <cell r="H1403" t="str">
            <v>-</v>
          </cell>
          <cell r="I1403" t="str">
            <v>-</v>
          </cell>
          <cell r="J1403">
            <v>1238.3166750169999</v>
          </cell>
          <cell r="K1403" t="str">
            <v>Small Cap</v>
          </cell>
        </row>
        <row r="1404">
          <cell r="C1404" t="str">
            <v>INE283H01019</v>
          </cell>
          <cell r="D1404" t="str">
            <v>ROHLTD</v>
          </cell>
          <cell r="E1404">
            <v>1238.2027485579999</v>
          </cell>
          <cell r="F1404" t="str">
            <v>ROHLTD</v>
          </cell>
          <cell r="G1404">
            <v>1237.6759999999999</v>
          </cell>
          <cell r="H1404" t="str">
            <v>-</v>
          </cell>
          <cell r="I1404" t="str">
            <v>-</v>
          </cell>
          <cell r="J1404">
            <v>1237.9393742789998</v>
          </cell>
          <cell r="K1404" t="str">
            <v>Small Cap</v>
          </cell>
        </row>
        <row r="1405">
          <cell r="C1405" t="str">
            <v>INE701A01023</v>
          </cell>
          <cell r="D1405" t="str">
            <v>VHL</v>
          </cell>
          <cell r="E1405">
            <v>1234.3197089940002</v>
          </cell>
          <cell r="F1405" t="str">
            <v>VHL</v>
          </cell>
          <cell r="G1405">
            <v>1231.4881</v>
          </cell>
          <cell r="H1405" t="str">
            <v>-</v>
          </cell>
          <cell r="I1405" t="str">
            <v>-</v>
          </cell>
          <cell r="J1405">
            <v>1232.903904497</v>
          </cell>
          <cell r="K1405" t="str">
            <v>Small Cap</v>
          </cell>
        </row>
        <row r="1406">
          <cell r="C1406" t="str">
            <v>INE664D01019</v>
          </cell>
          <cell r="D1406" t="str">
            <v>BENARAS</v>
          </cell>
          <cell r="E1406">
            <v>1232.3685833330001</v>
          </cell>
          <cell r="F1406" t="str">
            <v>-</v>
          </cell>
          <cell r="G1406" t="str">
            <v>-</v>
          </cell>
          <cell r="H1406" t="str">
            <v>-</v>
          </cell>
          <cell r="I1406" t="str">
            <v>-</v>
          </cell>
          <cell r="J1406">
            <v>1232.3685833330001</v>
          </cell>
          <cell r="K1406" t="str">
            <v>Small Cap</v>
          </cell>
        </row>
        <row r="1407">
          <cell r="C1407" t="str">
            <v>INE417B01040</v>
          </cell>
          <cell r="D1407" t="str">
            <v>DSSL</v>
          </cell>
          <cell r="E1407">
            <v>1231.036304838</v>
          </cell>
          <cell r="F1407" t="str">
            <v>DSSL</v>
          </cell>
          <cell r="G1407">
            <v>1230.9685999999999</v>
          </cell>
          <cell r="H1407" t="str">
            <v>-</v>
          </cell>
          <cell r="I1407" t="str">
            <v>-</v>
          </cell>
          <cell r="J1407">
            <v>1231.0024524189998</v>
          </cell>
          <cell r="K1407" t="str">
            <v>Small Cap</v>
          </cell>
        </row>
        <row r="1408">
          <cell r="C1408" t="str">
            <v>INE0O9T01021</v>
          </cell>
          <cell r="D1408" t="str">
            <v>BAJAJINDEF</v>
          </cell>
          <cell r="E1408">
            <v>1229.9301587299999</v>
          </cell>
          <cell r="F1408" t="str">
            <v>BAJAJINDEF</v>
          </cell>
          <cell r="G1408">
            <v>1229.0882999999999</v>
          </cell>
          <cell r="H1408" t="str">
            <v>-</v>
          </cell>
          <cell r="I1408" t="str">
            <v>-</v>
          </cell>
          <cell r="J1408">
            <v>1229.509229365</v>
          </cell>
          <cell r="K1408" t="str">
            <v>Small Cap</v>
          </cell>
        </row>
        <row r="1409">
          <cell r="C1409" t="str">
            <v>INE760L01018</v>
          </cell>
          <cell r="D1409" t="str">
            <v>TBZ</v>
          </cell>
          <cell r="E1409">
            <v>1229.4401764070001</v>
          </cell>
          <cell r="F1409" t="str">
            <v>TBZ</v>
          </cell>
          <cell r="G1409">
            <v>1229.4317000000001</v>
          </cell>
          <cell r="H1409" t="str">
            <v>-</v>
          </cell>
          <cell r="I1409" t="str">
            <v>-</v>
          </cell>
          <cell r="J1409">
            <v>1229.4359382035</v>
          </cell>
          <cell r="K1409" t="str">
            <v>Small Cap</v>
          </cell>
        </row>
        <row r="1410">
          <cell r="C1410" t="str">
            <v>INE1VXE01018</v>
          </cell>
          <cell r="D1410" t="str">
            <v>STLNETWORK</v>
          </cell>
          <cell r="E1410">
            <v>1227.513072902</v>
          </cell>
          <cell r="F1410" t="str">
            <v>STLNETWORK</v>
          </cell>
          <cell r="G1410">
            <v>1227.2876000000001</v>
          </cell>
          <cell r="H1410" t="str">
            <v>-</v>
          </cell>
          <cell r="I1410" t="str">
            <v>-</v>
          </cell>
          <cell r="J1410">
            <v>1227.4003364509999</v>
          </cell>
          <cell r="K1410" t="str">
            <v>Small Cap</v>
          </cell>
        </row>
        <row r="1411">
          <cell r="C1411" t="str">
            <v>INE0H9P01028</v>
          </cell>
          <cell r="D1411" t="str">
            <v>ARISINFRA</v>
          </cell>
          <cell r="E1411">
            <v>1225.8721554229999</v>
          </cell>
          <cell r="F1411" t="str">
            <v>ARISINFRA</v>
          </cell>
          <cell r="G1411">
            <v>1224.1575</v>
          </cell>
          <cell r="H1411" t="str">
            <v>-</v>
          </cell>
          <cell r="I1411" t="str">
            <v>-</v>
          </cell>
          <cell r="J1411">
            <v>1225.0148277114999</v>
          </cell>
          <cell r="K1411" t="str">
            <v>Small Cap</v>
          </cell>
        </row>
        <row r="1412">
          <cell r="C1412" t="str">
            <v>INE373T01047</v>
          </cell>
          <cell r="D1412" t="str">
            <v>BLUECLOUDS</v>
          </cell>
          <cell r="E1412">
            <v>1224.1819317330001</v>
          </cell>
          <cell r="F1412" t="str">
            <v>-</v>
          </cell>
          <cell r="G1412" t="str">
            <v>-</v>
          </cell>
          <cell r="H1412" t="str">
            <v>-</v>
          </cell>
          <cell r="I1412" t="str">
            <v>-</v>
          </cell>
          <cell r="J1412">
            <v>1224.1819317330001</v>
          </cell>
          <cell r="K1412" t="str">
            <v>Small Cap</v>
          </cell>
        </row>
        <row r="1413">
          <cell r="C1413" t="str">
            <v>INE994E01018</v>
          </cell>
          <cell r="D1413" t="str">
            <v>3BBLACKBIO</v>
          </cell>
          <cell r="E1413">
            <v>1218.934974732</v>
          </cell>
          <cell r="F1413" t="str">
            <v>-</v>
          </cell>
          <cell r="G1413" t="str">
            <v>-</v>
          </cell>
          <cell r="H1413" t="str">
            <v>-</v>
          </cell>
          <cell r="I1413" t="str">
            <v>-</v>
          </cell>
          <cell r="J1413">
            <v>1218.934974732</v>
          </cell>
          <cell r="K1413" t="str">
            <v>Small Cap</v>
          </cell>
        </row>
        <row r="1414">
          <cell r="C1414" t="str">
            <v>INE663B01015</v>
          </cell>
          <cell r="D1414" t="str">
            <v>CONTROLPR</v>
          </cell>
          <cell r="E1414">
            <v>1218.335615535</v>
          </cell>
          <cell r="F1414" t="str">
            <v>CONTROLPR</v>
          </cell>
          <cell r="G1414">
            <v>1218.3071</v>
          </cell>
          <cell r="H1414" t="str">
            <v>-</v>
          </cell>
          <cell r="I1414" t="str">
            <v>-</v>
          </cell>
          <cell r="J1414">
            <v>1218.3213577675001</v>
          </cell>
          <cell r="K1414" t="str">
            <v>Small Cap</v>
          </cell>
        </row>
        <row r="1415">
          <cell r="C1415" t="str">
            <v>INE796G01012</v>
          </cell>
          <cell r="D1415" t="str">
            <v>JINDALPHOT</v>
          </cell>
          <cell r="E1415">
            <v>1215.9368850660001</v>
          </cell>
          <cell r="F1415" t="str">
            <v>JINDALPHOT</v>
          </cell>
          <cell r="G1415">
            <v>1215.354</v>
          </cell>
          <cell r="H1415" t="str">
            <v>-</v>
          </cell>
          <cell r="I1415" t="str">
            <v>-</v>
          </cell>
          <cell r="J1415">
            <v>1215.6454425330001</v>
          </cell>
          <cell r="K1415" t="str">
            <v>Small Cap</v>
          </cell>
        </row>
        <row r="1416">
          <cell r="C1416" t="str">
            <v>INE418H01029</v>
          </cell>
          <cell r="D1416" t="str">
            <v>ALLCARGO</v>
          </cell>
          <cell r="E1416">
            <v>1214.1570808870001</v>
          </cell>
          <cell r="F1416" t="str">
            <v>ALLCARGO</v>
          </cell>
          <cell r="G1416">
            <v>1212.9776999999999</v>
          </cell>
          <cell r="H1416" t="str">
            <v>-</v>
          </cell>
          <cell r="I1416" t="str">
            <v>-</v>
          </cell>
          <cell r="J1416">
            <v>1213.5673904435</v>
          </cell>
          <cell r="K1416" t="str">
            <v>Small Cap</v>
          </cell>
        </row>
        <row r="1417">
          <cell r="C1417" t="str">
            <v>INE822G01016</v>
          </cell>
          <cell r="D1417" t="str">
            <v>ELECTHERM</v>
          </cell>
          <cell r="E1417">
            <v>1213.0051516780002</v>
          </cell>
          <cell r="F1417" t="str">
            <v>ELECTHERM</v>
          </cell>
          <cell r="G1417">
            <v>1213.8308999999999</v>
          </cell>
          <cell r="H1417" t="str">
            <v>-</v>
          </cell>
          <cell r="I1417" t="str">
            <v>-</v>
          </cell>
          <cell r="J1417">
            <v>1213.4180258390002</v>
          </cell>
          <cell r="K1417" t="str">
            <v>Small Cap</v>
          </cell>
        </row>
        <row r="1418">
          <cell r="C1418" t="str">
            <v>INE00YB01025</v>
          </cell>
          <cell r="D1418" t="str">
            <v>ABINFRA</v>
          </cell>
          <cell r="E1418">
            <v>1208.7060735269999</v>
          </cell>
          <cell r="F1418" t="str">
            <v>ABINFRA</v>
          </cell>
          <cell r="G1418">
            <v>1207.2587000000001</v>
          </cell>
          <cell r="H1418" t="str">
            <v>-</v>
          </cell>
          <cell r="I1418" t="str">
            <v>-</v>
          </cell>
          <cell r="J1418">
            <v>1207.9823867635</v>
          </cell>
          <cell r="K1418" t="str">
            <v>Small Cap</v>
          </cell>
        </row>
        <row r="1419">
          <cell r="C1419" t="str">
            <v>INE898Q01015</v>
          </cell>
          <cell r="D1419" t="str">
            <v>MIIL</v>
          </cell>
          <cell r="E1419">
            <v>1206.8909479910001</v>
          </cell>
          <cell r="F1419" t="str">
            <v>-</v>
          </cell>
          <cell r="G1419" t="str">
            <v>-</v>
          </cell>
          <cell r="H1419" t="str">
            <v>-</v>
          </cell>
          <cell r="I1419" t="str">
            <v>-</v>
          </cell>
          <cell r="J1419">
            <v>1206.8909479910001</v>
          </cell>
          <cell r="K1419" t="str">
            <v>Small Cap</v>
          </cell>
        </row>
        <row r="1420">
          <cell r="C1420" t="str">
            <v>INE0R6Z01013</v>
          </cell>
          <cell r="D1420" t="str">
            <v>SRM</v>
          </cell>
          <cell r="E1420">
            <v>1206.4324400400001</v>
          </cell>
          <cell r="F1420" t="str">
            <v>SRM</v>
          </cell>
          <cell r="G1420">
            <v>1206.5253</v>
          </cell>
          <cell r="H1420" t="str">
            <v>-</v>
          </cell>
          <cell r="I1420" t="str">
            <v>-</v>
          </cell>
          <cell r="J1420">
            <v>1206.4788700200002</v>
          </cell>
          <cell r="K1420" t="str">
            <v>Small Cap</v>
          </cell>
        </row>
        <row r="1421">
          <cell r="C1421" t="str">
            <v>INE0J5601015</v>
          </cell>
          <cell r="D1421" t="str">
            <v>-</v>
          </cell>
          <cell r="E1421" t="str">
            <v>-</v>
          </cell>
          <cell r="F1421" t="str">
            <v>KRISHNADEF</v>
          </cell>
          <cell r="G1421">
            <v>1201.0189</v>
          </cell>
          <cell r="H1421" t="str">
            <v>-</v>
          </cell>
          <cell r="I1421" t="str">
            <v>-</v>
          </cell>
          <cell r="J1421">
            <v>1201.0189</v>
          </cell>
          <cell r="K1421" t="str">
            <v>Small Cap</v>
          </cell>
        </row>
        <row r="1422">
          <cell r="C1422" t="str">
            <v>INE0O6601022</v>
          </cell>
          <cell r="D1422" t="str">
            <v xml:space="preserve">KROSS </v>
          </cell>
          <cell r="E1422">
            <v>1200.4461063870001</v>
          </cell>
          <cell r="F1422" t="str">
            <v>KROSS</v>
          </cell>
          <cell r="G1422">
            <v>1200.5356999999999</v>
          </cell>
          <cell r="H1422" t="str">
            <v>-</v>
          </cell>
          <cell r="I1422" t="str">
            <v>-</v>
          </cell>
          <cell r="J1422">
            <v>1200.4909031934999</v>
          </cell>
          <cell r="K1422" t="str">
            <v>Small Cap</v>
          </cell>
        </row>
        <row r="1423">
          <cell r="C1423" t="str">
            <v>INE0ORA01015</v>
          </cell>
          <cell r="D1423" t="str">
            <v>COSMICCRF</v>
          </cell>
          <cell r="E1423">
            <v>1190.857076623</v>
          </cell>
          <cell r="F1423" t="str">
            <v>-</v>
          </cell>
          <cell r="G1423" t="str">
            <v>-</v>
          </cell>
          <cell r="H1423" t="str">
            <v>-</v>
          </cell>
          <cell r="I1423" t="str">
            <v>-</v>
          </cell>
          <cell r="J1423">
            <v>1190.857076623</v>
          </cell>
          <cell r="K1423" t="str">
            <v>Small Cap</v>
          </cell>
        </row>
        <row r="1424">
          <cell r="C1424" t="str">
            <v>INE275D01022</v>
          </cell>
          <cell r="D1424" t="str">
            <v>AMNPLST</v>
          </cell>
          <cell r="E1424">
            <v>1190.6153333330001</v>
          </cell>
          <cell r="F1424" t="str">
            <v>AMNPLST</v>
          </cell>
          <cell r="G1424">
            <v>1188.0722000000001</v>
          </cell>
          <cell r="H1424" t="str">
            <v>-</v>
          </cell>
          <cell r="I1424" t="str">
            <v>-</v>
          </cell>
          <cell r="J1424">
            <v>1189.3437666665</v>
          </cell>
          <cell r="K1424" t="str">
            <v>Small Cap</v>
          </cell>
        </row>
        <row r="1425">
          <cell r="C1425" t="str">
            <v>INE658T01017</v>
          </cell>
          <cell r="D1425" t="str">
            <v>WEALTH</v>
          </cell>
          <cell r="E1425">
            <v>1153.572876984</v>
          </cell>
          <cell r="F1425" t="str">
            <v>WEALTH</v>
          </cell>
          <cell r="G1425">
            <v>1222.4862000000001</v>
          </cell>
          <cell r="H1425" t="str">
            <v>-</v>
          </cell>
          <cell r="I1425" t="str">
            <v>-</v>
          </cell>
          <cell r="J1425">
            <v>1188.029538492</v>
          </cell>
          <cell r="K1425" t="str">
            <v>Small Cap</v>
          </cell>
        </row>
        <row r="1426">
          <cell r="C1426" t="str">
            <v>INE840M01016</v>
          </cell>
          <cell r="D1426" t="str">
            <v>ZUARI</v>
          </cell>
          <cell r="E1426">
            <v>1186.845218919</v>
          </cell>
          <cell r="F1426" t="str">
            <v>ZUARI</v>
          </cell>
          <cell r="G1426">
            <v>1186.5054</v>
          </cell>
          <cell r="H1426" t="str">
            <v>-</v>
          </cell>
          <cell r="I1426" t="str">
            <v>-</v>
          </cell>
          <cell r="J1426">
            <v>1186.6753094595001</v>
          </cell>
          <cell r="K1426" t="str">
            <v>Small Cap</v>
          </cell>
        </row>
        <row r="1427">
          <cell r="C1427" t="str">
            <v>INE164B01030</v>
          </cell>
          <cell r="D1427" t="str">
            <v>KELLTONTEC</v>
          </cell>
          <cell r="E1427">
            <v>1194.472176131</v>
          </cell>
          <cell r="F1427" t="str">
            <v>KELLTONTEC</v>
          </cell>
          <cell r="G1427">
            <v>1178.5621000000001</v>
          </cell>
          <cell r="H1427" t="str">
            <v>-</v>
          </cell>
          <cell r="I1427" t="str">
            <v>-</v>
          </cell>
          <cell r="J1427">
            <v>1186.5171380655001</v>
          </cell>
          <cell r="K1427" t="str">
            <v>Small Cap</v>
          </cell>
        </row>
        <row r="1428">
          <cell r="C1428" t="str">
            <v>INE503B01021</v>
          </cell>
          <cell r="D1428" t="str">
            <v>STEELXIND</v>
          </cell>
          <cell r="E1428">
            <v>1186.38755191</v>
          </cell>
          <cell r="F1428" t="str">
            <v>STEELXIND</v>
          </cell>
          <cell r="G1428">
            <v>1185.6378999999999</v>
          </cell>
          <cell r="H1428" t="str">
            <v>-</v>
          </cell>
          <cell r="I1428" t="str">
            <v>-</v>
          </cell>
          <cell r="J1428">
            <v>1186.012725955</v>
          </cell>
          <cell r="K1428" t="str">
            <v>Small Cap</v>
          </cell>
        </row>
        <row r="1429">
          <cell r="C1429" t="str">
            <v>INE704B01017</v>
          </cell>
          <cell r="D1429" t="str">
            <v>RACLGEAR</v>
          </cell>
          <cell r="E1429">
            <v>1191.6172458190001</v>
          </cell>
          <cell r="F1429" t="str">
            <v>RACLGEAR</v>
          </cell>
          <cell r="G1429">
            <v>1175.6723</v>
          </cell>
          <cell r="H1429" t="str">
            <v>-</v>
          </cell>
          <cell r="I1429" t="str">
            <v>-</v>
          </cell>
          <cell r="J1429">
            <v>1183.6447729095</v>
          </cell>
          <cell r="K1429" t="str">
            <v>Small Cap</v>
          </cell>
        </row>
        <row r="1430">
          <cell r="C1430" t="str">
            <v>INE818A01017</v>
          </cell>
          <cell r="D1430" t="str">
            <v>ANTELOPUS</v>
          </cell>
          <cell r="E1430">
            <v>1250.5888528360001</v>
          </cell>
          <cell r="F1430" t="str">
            <v>ANTELOPUS</v>
          </cell>
          <cell r="G1430">
            <v>1115.3733999999999</v>
          </cell>
          <cell r="H1430" t="str">
            <v>-</v>
          </cell>
          <cell r="I1430" t="str">
            <v>-</v>
          </cell>
          <cell r="J1430">
            <v>1182.981126418</v>
          </cell>
          <cell r="K1430" t="str">
            <v>Small Cap</v>
          </cell>
        </row>
        <row r="1431">
          <cell r="C1431" t="str">
            <v>INE124Y01010</v>
          </cell>
          <cell r="D1431" t="str">
            <v>PASHUPATI</v>
          </cell>
          <cell r="E1431">
            <v>1180.4694375440001</v>
          </cell>
          <cell r="F1431" t="str">
            <v>PASHUPATI</v>
          </cell>
          <cell r="G1431">
            <v>1178.7982999999999</v>
          </cell>
          <cell r="H1431" t="str">
            <v>-</v>
          </cell>
          <cell r="I1431" t="str">
            <v>-</v>
          </cell>
          <cell r="J1431">
            <v>1179.6338687719999</v>
          </cell>
          <cell r="K1431" t="str">
            <v>Small Cap</v>
          </cell>
        </row>
        <row r="1432">
          <cell r="C1432" t="str">
            <v>INE520Y01019</v>
          </cell>
          <cell r="D1432" t="str">
            <v>-</v>
          </cell>
          <cell r="E1432" t="str">
            <v>-</v>
          </cell>
          <cell r="F1432" t="str">
            <v>ICEMAKE</v>
          </cell>
          <cell r="G1432">
            <v>1178.991</v>
          </cell>
          <cell r="H1432" t="str">
            <v>-</v>
          </cell>
          <cell r="I1432" t="str">
            <v>-</v>
          </cell>
          <cell r="J1432">
            <v>1178.991</v>
          </cell>
          <cell r="K1432" t="str">
            <v>Small Cap</v>
          </cell>
        </row>
        <row r="1433">
          <cell r="C1433" t="str">
            <v>INE451C01013</v>
          </cell>
          <cell r="D1433" t="str">
            <v>ACGL</v>
          </cell>
          <cell r="E1433">
            <v>1177.3759234870001</v>
          </cell>
          <cell r="F1433" t="str">
            <v>-</v>
          </cell>
          <cell r="G1433" t="str">
            <v>-</v>
          </cell>
          <cell r="H1433" t="str">
            <v>-</v>
          </cell>
          <cell r="I1433" t="str">
            <v>-</v>
          </cell>
          <cell r="J1433">
            <v>1177.3759234870001</v>
          </cell>
          <cell r="K1433" t="str">
            <v>Small Cap</v>
          </cell>
        </row>
        <row r="1434">
          <cell r="C1434" t="str">
            <v>INE0U4101014</v>
          </cell>
          <cell r="D1434" t="str">
            <v>BLUSPRING</v>
          </cell>
          <cell r="E1434">
            <v>1173.086566227</v>
          </cell>
          <cell r="F1434" t="str">
            <v>BLUSPRING</v>
          </cell>
          <cell r="G1434">
            <v>1172.5298</v>
          </cell>
          <cell r="H1434" t="str">
            <v>-</v>
          </cell>
          <cell r="I1434" t="str">
            <v>-</v>
          </cell>
          <cell r="J1434">
            <v>1172.8081831135</v>
          </cell>
          <cell r="K1434" t="str">
            <v>Small Cap</v>
          </cell>
        </row>
        <row r="1435">
          <cell r="C1435" t="str">
            <v>INE201A01024</v>
          </cell>
          <cell r="D1435" t="str">
            <v>MANALIPETC</v>
          </cell>
          <cell r="E1435">
            <v>1165.737060207</v>
          </cell>
          <cell r="F1435" t="str">
            <v>MANALIPETC</v>
          </cell>
          <cell r="G1435">
            <v>1165.3876</v>
          </cell>
          <cell r="H1435" t="str">
            <v>-</v>
          </cell>
          <cell r="I1435" t="str">
            <v>-</v>
          </cell>
          <cell r="J1435">
            <v>1165.5623301035</v>
          </cell>
          <cell r="K1435" t="str">
            <v>Small Cap</v>
          </cell>
        </row>
        <row r="1436">
          <cell r="C1436" t="str">
            <v>INE477B01010</v>
          </cell>
          <cell r="D1436" t="str">
            <v>DVL</v>
          </cell>
          <cell r="E1436">
            <v>1162.204729991</v>
          </cell>
          <cell r="F1436" t="str">
            <v>DVL</v>
          </cell>
          <cell r="G1436">
            <v>1162.3034</v>
          </cell>
          <cell r="H1436" t="str">
            <v>-</v>
          </cell>
          <cell r="I1436" t="str">
            <v>-</v>
          </cell>
          <cell r="J1436">
            <v>1162.2540649954999</v>
          </cell>
          <cell r="K1436" t="str">
            <v>Small Cap</v>
          </cell>
        </row>
        <row r="1437">
          <cell r="C1437" t="str">
            <v>INE413D01011</v>
          </cell>
          <cell r="D1437" t="str">
            <v>ARIHANT</v>
          </cell>
          <cell r="E1437">
            <v>1158.9902073620001</v>
          </cell>
          <cell r="F1437" t="str">
            <v>-</v>
          </cell>
          <cell r="G1437" t="str">
            <v>-</v>
          </cell>
          <cell r="H1437" t="str">
            <v>-</v>
          </cell>
          <cell r="I1437" t="str">
            <v>-</v>
          </cell>
          <cell r="J1437">
            <v>1158.9902073620001</v>
          </cell>
          <cell r="K1437" t="str">
            <v>Small Cap</v>
          </cell>
        </row>
        <row r="1438">
          <cell r="C1438" t="str">
            <v>INE412G01024</v>
          </cell>
          <cell r="D1438" t="str">
            <v>BCLIND</v>
          </cell>
          <cell r="E1438">
            <v>1158.195177932</v>
          </cell>
          <cell r="F1438" t="str">
            <v>BCLIND</v>
          </cell>
          <cell r="G1438">
            <v>1158.3404</v>
          </cell>
          <cell r="H1438" t="str">
            <v>-</v>
          </cell>
          <cell r="I1438" t="str">
            <v>-</v>
          </cell>
          <cell r="J1438">
            <v>1158.2677889659999</v>
          </cell>
          <cell r="K1438" t="str">
            <v>Small Cap</v>
          </cell>
        </row>
        <row r="1439">
          <cell r="C1439" t="str">
            <v>INE360C01024</v>
          </cell>
          <cell r="D1439" t="str">
            <v>-</v>
          </cell>
          <cell r="E1439" t="str">
            <v>-</v>
          </cell>
          <cell r="F1439" t="str">
            <v>DPSCLTD</v>
          </cell>
          <cell r="G1439">
            <v>1157.8050000000001</v>
          </cell>
          <cell r="H1439" t="str">
            <v>DPSCLTD</v>
          </cell>
          <cell r="I1439">
            <v>1157.8899813844444</v>
          </cell>
          <cell r="J1439">
            <v>1157.8474906922222</v>
          </cell>
          <cell r="K1439" t="str">
            <v>Small Cap</v>
          </cell>
        </row>
        <row r="1440">
          <cell r="C1440" t="str">
            <v>INE704G01024</v>
          </cell>
          <cell r="D1440" t="str">
            <v>BAJAJST</v>
          </cell>
          <cell r="E1440">
            <v>1157.6793015870001</v>
          </cell>
          <cell r="F1440" t="str">
            <v>-</v>
          </cell>
          <cell r="G1440" t="str">
            <v>-</v>
          </cell>
          <cell r="H1440" t="str">
            <v>-</v>
          </cell>
          <cell r="I1440" t="str">
            <v>-</v>
          </cell>
          <cell r="J1440">
            <v>1157.6793015870001</v>
          </cell>
          <cell r="K1440" t="str">
            <v>Small Cap</v>
          </cell>
        </row>
        <row r="1441">
          <cell r="C1441" t="str">
            <v>INE189I01024</v>
          </cell>
          <cell r="D1441" t="str">
            <v>NELCAST</v>
          </cell>
          <cell r="E1441">
            <v>1155.344864143</v>
          </cell>
          <cell r="F1441" t="str">
            <v>NELCAST</v>
          </cell>
          <cell r="G1441">
            <v>1155.3896999999999</v>
          </cell>
          <cell r="H1441" t="str">
            <v>-</v>
          </cell>
          <cell r="I1441" t="str">
            <v>-</v>
          </cell>
          <cell r="J1441">
            <v>1155.3672820715001</v>
          </cell>
          <cell r="K1441" t="str">
            <v>Small Cap</v>
          </cell>
        </row>
        <row r="1442">
          <cell r="C1442" t="str">
            <v>INE158B01016</v>
          </cell>
          <cell r="D1442" t="str">
            <v>EIMCOELECO</v>
          </cell>
          <cell r="E1442">
            <v>1152.9429043379998</v>
          </cell>
          <cell r="F1442" t="str">
            <v>EIMCOELECO</v>
          </cell>
          <cell r="G1442">
            <v>1153.4934000000001</v>
          </cell>
          <cell r="H1442" t="str">
            <v>-</v>
          </cell>
          <cell r="I1442" t="str">
            <v>-</v>
          </cell>
          <cell r="J1442">
            <v>1153.2181521689999</v>
          </cell>
          <cell r="K1442" t="str">
            <v>Small Cap</v>
          </cell>
        </row>
        <row r="1443">
          <cell r="C1443" t="str">
            <v>INE194D01017</v>
          </cell>
          <cell r="D1443" t="str">
            <v>ASTAR</v>
          </cell>
          <cell r="E1443">
            <v>1149.8281519049999</v>
          </cell>
          <cell r="F1443" t="str">
            <v>-</v>
          </cell>
          <cell r="G1443" t="str">
            <v>-</v>
          </cell>
          <cell r="H1443" t="str">
            <v>-</v>
          </cell>
          <cell r="I1443" t="str">
            <v>-</v>
          </cell>
          <cell r="J1443">
            <v>1149.8281519049999</v>
          </cell>
          <cell r="K1443" t="str">
            <v>Small Cap</v>
          </cell>
        </row>
        <row r="1444">
          <cell r="C1444" t="str">
            <v>INE933B01012</v>
          </cell>
          <cell r="D1444" t="str">
            <v>MEGASOFT</v>
          </cell>
          <cell r="E1444">
            <v>1146.202012038</v>
          </cell>
          <cell r="F1444" t="str">
            <v>MEGASOFT</v>
          </cell>
          <cell r="G1444">
            <v>1144.6411000000001</v>
          </cell>
          <cell r="H1444" t="str">
            <v>-</v>
          </cell>
          <cell r="I1444" t="str">
            <v>-</v>
          </cell>
          <cell r="J1444">
            <v>1145.421556019</v>
          </cell>
          <cell r="K1444" t="str">
            <v>Small Cap</v>
          </cell>
        </row>
        <row r="1445">
          <cell r="C1445" t="str">
            <v>INE959C01023</v>
          </cell>
          <cell r="D1445" t="str">
            <v>OAL</v>
          </cell>
          <cell r="E1445">
            <v>1142.482815907</v>
          </cell>
          <cell r="F1445" t="str">
            <v>OAL</v>
          </cell>
          <cell r="G1445">
            <v>1142.9462000000001</v>
          </cell>
          <cell r="H1445" t="str">
            <v>-</v>
          </cell>
          <cell r="I1445" t="str">
            <v>-</v>
          </cell>
          <cell r="J1445">
            <v>1142.7145079535001</v>
          </cell>
          <cell r="K1445" t="str">
            <v>Small Cap</v>
          </cell>
        </row>
        <row r="1446">
          <cell r="C1446" t="str">
            <v>INE879K01018</v>
          </cell>
          <cell r="D1446" t="str">
            <v>KMCSHIL</v>
          </cell>
          <cell r="E1446">
            <v>1141.3387235709999</v>
          </cell>
          <cell r="F1446" t="str">
            <v>-</v>
          </cell>
          <cell r="G1446" t="str">
            <v>-</v>
          </cell>
          <cell r="H1446" t="str">
            <v>-</v>
          </cell>
          <cell r="I1446" t="str">
            <v>-</v>
          </cell>
          <cell r="J1446">
            <v>1141.3387235709999</v>
          </cell>
          <cell r="K1446" t="str">
            <v>Small Cap</v>
          </cell>
        </row>
        <row r="1447">
          <cell r="C1447" t="str">
            <v>INE334A01023</v>
          </cell>
          <cell r="D1447" t="str">
            <v>STERTOOLS</v>
          </cell>
          <cell r="E1447">
            <v>1139.584890612</v>
          </cell>
          <cell r="F1447" t="str">
            <v>STERTOOLS</v>
          </cell>
          <cell r="G1447">
            <v>1139.5648000000001</v>
          </cell>
          <cell r="H1447" t="str">
            <v>-</v>
          </cell>
          <cell r="I1447" t="str">
            <v>-</v>
          </cell>
          <cell r="J1447">
            <v>1139.574845306</v>
          </cell>
          <cell r="K1447" t="str">
            <v>Small Cap</v>
          </cell>
        </row>
        <row r="1448">
          <cell r="C1448" t="str">
            <v>INE626A01014</v>
          </cell>
          <cell r="D1448" t="str">
            <v>SAURASHCEM</v>
          </cell>
          <cell r="E1448">
            <v>1132.905908078</v>
          </cell>
          <cell r="F1448" t="str">
            <v>SAURASHCEM</v>
          </cell>
          <cell r="G1448">
            <v>1131.721</v>
          </cell>
          <cell r="H1448" t="str">
            <v>-</v>
          </cell>
          <cell r="I1448" t="str">
            <v>-</v>
          </cell>
          <cell r="J1448">
            <v>1132.3134540390001</v>
          </cell>
          <cell r="K1448" t="str">
            <v>Small Cap</v>
          </cell>
        </row>
        <row r="1449">
          <cell r="C1449" t="str">
            <v>INE06XZ01023</v>
          </cell>
          <cell r="D1449" t="str">
            <v>GEMAROMA</v>
          </cell>
          <cell r="E1449">
            <v>1132.1318893129999</v>
          </cell>
          <cell r="F1449" t="str">
            <v>GEMAROMA</v>
          </cell>
          <cell r="G1449">
            <v>1131.6618000000001</v>
          </cell>
          <cell r="H1449" t="str">
            <v>-</v>
          </cell>
          <cell r="I1449" t="str">
            <v>-</v>
          </cell>
          <cell r="J1449">
            <v>1131.8968446565</v>
          </cell>
          <cell r="K1449" t="str">
            <v>Small Cap</v>
          </cell>
        </row>
        <row r="1450">
          <cell r="C1450" t="str">
            <v>INE137I01015</v>
          </cell>
          <cell r="D1450" t="str">
            <v>GRPLTD</v>
          </cell>
          <cell r="E1450">
            <v>1130.5423628670001</v>
          </cell>
          <cell r="F1450" t="str">
            <v>GRPLTD</v>
          </cell>
          <cell r="G1450">
            <v>1131.8778</v>
          </cell>
          <cell r="H1450" t="str">
            <v>-</v>
          </cell>
          <cell r="I1450" t="str">
            <v>-</v>
          </cell>
          <cell r="J1450">
            <v>1131.2100814334999</v>
          </cell>
          <cell r="K1450" t="str">
            <v>Small Cap</v>
          </cell>
        </row>
        <row r="1451">
          <cell r="C1451" t="str">
            <v>INE606N01019</v>
          </cell>
          <cell r="D1451" t="str">
            <v>EXCELSOFT</v>
          </cell>
          <cell r="E1451">
            <v>1123.244457473</v>
          </cell>
          <cell r="F1451" t="str">
            <v>EXCELSOFT</v>
          </cell>
          <cell r="G1451">
            <v>1123.5805</v>
          </cell>
          <cell r="H1451" t="str">
            <v>-</v>
          </cell>
          <cell r="I1451" t="str">
            <v>-</v>
          </cell>
          <cell r="J1451">
            <v>1123.4124787364999</v>
          </cell>
          <cell r="K1451" t="str">
            <v>Small Cap</v>
          </cell>
        </row>
        <row r="1452">
          <cell r="C1452" t="str">
            <v>INE0BX301013</v>
          </cell>
          <cell r="D1452" t="str">
            <v>PROSTARM</v>
          </cell>
          <cell r="E1452">
            <v>1118.6803279200001</v>
          </cell>
          <cell r="F1452" t="str">
            <v>PROSTARM</v>
          </cell>
          <cell r="G1452">
            <v>1118.1849999999999</v>
          </cell>
          <cell r="H1452" t="str">
            <v>-</v>
          </cell>
          <cell r="I1452" t="str">
            <v>-</v>
          </cell>
          <cell r="J1452">
            <v>1118.4326639599999</v>
          </cell>
          <cell r="K1452" t="str">
            <v>Small Cap</v>
          </cell>
        </row>
        <row r="1453">
          <cell r="C1453" t="str">
            <v>INE848A01014</v>
          </cell>
          <cell r="D1453" t="str">
            <v>IZMO</v>
          </cell>
          <cell r="E1453">
            <v>1119.146286295</v>
          </cell>
          <cell r="F1453" t="str">
            <v>IZMO</v>
          </cell>
          <cell r="G1453">
            <v>1116.6940999999999</v>
          </cell>
          <cell r="H1453" t="str">
            <v>-</v>
          </cell>
          <cell r="I1453" t="str">
            <v>-</v>
          </cell>
          <cell r="J1453">
            <v>1117.9201931475</v>
          </cell>
          <cell r="K1453" t="str">
            <v>Small Cap</v>
          </cell>
        </row>
        <row r="1454">
          <cell r="C1454" t="str">
            <v>INE868X01014</v>
          </cell>
          <cell r="D1454" t="str">
            <v>YSL</v>
          </cell>
          <cell r="E1454">
            <v>1113.436542833</v>
          </cell>
          <cell r="F1454" t="str">
            <v>-</v>
          </cell>
          <cell r="G1454" t="str">
            <v>-</v>
          </cell>
          <cell r="H1454" t="str">
            <v>-</v>
          </cell>
          <cell r="I1454" t="str">
            <v>-</v>
          </cell>
          <cell r="J1454">
            <v>1113.436542833</v>
          </cell>
          <cell r="K1454" t="str">
            <v>Small Cap</v>
          </cell>
        </row>
        <row r="1455">
          <cell r="C1455" t="str">
            <v>INE866R01028</v>
          </cell>
          <cell r="D1455" t="str">
            <v>MATRIMONY</v>
          </cell>
          <cell r="E1455">
            <v>1111.750139926</v>
          </cell>
          <cell r="F1455" t="str">
            <v>MATRIMONY</v>
          </cell>
          <cell r="G1455">
            <v>1112.1941999999999</v>
          </cell>
          <cell r="H1455" t="str">
            <v>-</v>
          </cell>
          <cell r="I1455" t="str">
            <v>-</v>
          </cell>
          <cell r="J1455">
            <v>1111.9721699629999</v>
          </cell>
          <cell r="K1455" t="str">
            <v>Small Cap</v>
          </cell>
        </row>
        <row r="1456">
          <cell r="C1456" t="str">
            <v>INE409B01013</v>
          </cell>
          <cell r="D1456" t="str">
            <v>SWELECTES</v>
          </cell>
          <cell r="E1456">
            <v>1110.2293870139999</v>
          </cell>
          <cell r="F1456" t="str">
            <v>SWELECTES</v>
          </cell>
          <cell r="G1456">
            <v>1110.2456</v>
          </cell>
          <cell r="H1456" t="str">
            <v>-</v>
          </cell>
          <cell r="I1456" t="str">
            <v>-</v>
          </cell>
          <cell r="J1456">
            <v>1110.237493507</v>
          </cell>
          <cell r="K1456" t="str">
            <v>Small Cap</v>
          </cell>
        </row>
        <row r="1457">
          <cell r="C1457" t="str">
            <v>INE865T01018</v>
          </cell>
          <cell r="D1457" t="str">
            <v>PDMJEPAPER</v>
          </cell>
          <cell r="E1457">
            <v>1109.524660714</v>
          </cell>
          <cell r="F1457" t="str">
            <v>PDMJEPAPER</v>
          </cell>
          <cell r="G1457">
            <v>1109.5676000000001</v>
          </cell>
          <cell r="H1457" t="str">
            <v>-</v>
          </cell>
          <cell r="I1457" t="str">
            <v>-</v>
          </cell>
          <cell r="J1457">
            <v>1109.546130357</v>
          </cell>
          <cell r="K1457" t="str">
            <v>Small Cap</v>
          </cell>
        </row>
        <row r="1458">
          <cell r="C1458" t="str">
            <v>INE193B01039</v>
          </cell>
          <cell r="D1458" t="str">
            <v>AYMSYNTEX</v>
          </cell>
          <cell r="E1458">
            <v>1108.291476265</v>
          </cell>
          <cell r="F1458" t="str">
            <v>AYMSYNTEX</v>
          </cell>
          <cell r="G1458">
            <v>1108.2985000000001</v>
          </cell>
          <cell r="H1458" t="str">
            <v>-</v>
          </cell>
          <cell r="I1458" t="str">
            <v>-</v>
          </cell>
          <cell r="J1458">
            <v>1108.2949881325001</v>
          </cell>
          <cell r="K1458" t="str">
            <v>Small Cap</v>
          </cell>
        </row>
        <row r="1459">
          <cell r="C1459" t="str">
            <v>INE239D01028</v>
          </cell>
          <cell r="D1459" t="str">
            <v>OMINFRAL</v>
          </cell>
          <cell r="E1459">
            <v>1102.044230816</v>
          </cell>
          <cell r="F1459" t="str">
            <v>OMINFRAL</v>
          </cell>
          <cell r="G1459">
            <v>1102.1726000000001</v>
          </cell>
          <cell r="H1459" t="str">
            <v>-</v>
          </cell>
          <cell r="I1459" t="str">
            <v>-</v>
          </cell>
          <cell r="J1459">
            <v>1102.1084154079999</v>
          </cell>
          <cell r="K1459" t="str">
            <v>Small Cap</v>
          </cell>
        </row>
        <row r="1460">
          <cell r="C1460" t="str">
            <v>INE316A01038</v>
          </cell>
          <cell r="D1460" t="str">
            <v>ECORECO</v>
          </cell>
          <cell r="E1460">
            <v>1100.3496926190001</v>
          </cell>
          <cell r="F1460" t="str">
            <v>-</v>
          </cell>
          <cell r="G1460" t="str">
            <v>-</v>
          </cell>
          <cell r="H1460" t="str">
            <v>-</v>
          </cell>
          <cell r="I1460" t="str">
            <v>-</v>
          </cell>
          <cell r="J1460">
            <v>1100.3496926190001</v>
          </cell>
          <cell r="K1460" t="str">
            <v>Small Cap</v>
          </cell>
        </row>
        <row r="1461">
          <cell r="C1461" t="str">
            <v>INE14UN01029</v>
          </cell>
          <cell r="D1461" t="str">
            <v>VIDYAWIRES</v>
          </cell>
          <cell r="E1461">
            <v>1094.2168425919999</v>
          </cell>
          <cell r="F1461" t="str">
            <v>VIDYAWIRES</v>
          </cell>
          <cell r="G1461">
            <v>1094.3586</v>
          </cell>
          <cell r="H1461" t="str">
            <v>-</v>
          </cell>
          <cell r="I1461" t="str">
            <v>-</v>
          </cell>
          <cell r="J1461">
            <v>1094.287721296</v>
          </cell>
          <cell r="K1461" t="str">
            <v>Small Cap</v>
          </cell>
        </row>
        <row r="1462">
          <cell r="C1462" t="str">
            <v>INE618L01018</v>
          </cell>
          <cell r="D1462" t="str">
            <v>5PAISA</v>
          </cell>
          <cell r="E1462">
            <v>1094.332176314</v>
          </cell>
          <cell r="F1462" t="str">
            <v>5PAISA</v>
          </cell>
          <cell r="G1462">
            <v>1093.8802000000001</v>
          </cell>
          <cell r="H1462" t="str">
            <v>-</v>
          </cell>
          <cell r="I1462" t="str">
            <v>-</v>
          </cell>
          <cell r="J1462">
            <v>1094.1061881569999</v>
          </cell>
          <cell r="K1462" t="str">
            <v>Small Cap</v>
          </cell>
        </row>
        <row r="1463">
          <cell r="C1463" t="str">
            <v>INE138A01028</v>
          </cell>
          <cell r="D1463" t="str">
            <v>PENINLAND</v>
          </cell>
          <cell r="E1463">
            <v>1089.8882712469999</v>
          </cell>
          <cell r="F1463" t="str">
            <v>PENINLAND</v>
          </cell>
          <cell r="G1463">
            <v>1089.0592999999999</v>
          </cell>
          <cell r="H1463" t="str">
            <v>-</v>
          </cell>
          <cell r="I1463" t="str">
            <v>-</v>
          </cell>
          <cell r="J1463">
            <v>1089.4737856234999</v>
          </cell>
          <cell r="K1463" t="str">
            <v>Small Cap</v>
          </cell>
        </row>
        <row r="1464">
          <cell r="C1464" t="str">
            <v>INE778B01029</v>
          </cell>
          <cell r="D1464" t="str">
            <v>ESTER</v>
          </cell>
          <cell r="E1464">
            <v>1097.7855977639999</v>
          </cell>
          <cell r="F1464" t="str">
            <v>ESTER</v>
          </cell>
          <cell r="G1464">
            <v>1079.8336999999999</v>
          </cell>
          <cell r="H1464" t="str">
            <v>-</v>
          </cell>
          <cell r="I1464" t="str">
            <v>-</v>
          </cell>
          <cell r="J1464">
            <v>1088.8096488819999</v>
          </cell>
          <cell r="K1464" t="str">
            <v>Small Cap</v>
          </cell>
        </row>
        <row r="1465">
          <cell r="C1465" t="str">
            <v>INE828A01016</v>
          </cell>
          <cell r="D1465" t="str">
            <v>BIL</v>
          </cell>
          <cell r="E1465">
            <v>1088.4883546430001</v>
          </cell>
          <cell r="F1465" t="str">
            <v>BIL</v>
          </cell>
          <cell r="G1465">
            <v>1087.8339000000001</v>
          </cell>
          <cell r="H1465" t="str">
            <v>-</v>
          </cell>
          <cell r="I1465" t="str">
            <v>-</v>
          </cell>
          <cell r="J1465">
            <v>1088.1611273215001</v>
          </cell>
          <cell r="K1465" t="str">
            <v>Small Cap</v>
          </cell>
        </row>
        <row r="1466">
          <cell r="C1466" t="str">
            <v>INE0TO701015</v>
          </cell>
          <cell r="D1466" t="str">
            <v>MAMATA</v>
          </cell>
          <cell r="E1466">
            <v>1086.3328140000001</v>
          </cell>
          <cell r="F1466" t="str">
            <v>MAMATA</v>
          </cell>
          <cell r="G1466">
            <v>1086.0604000000001</v>
          </cell>
          <cell r="H1466" t="str">
            <v>-</v>
          </cell>
          <cell r="I1466" t="str">
            <v>-</v>
          </cell>
          <cell r="J1466">
            <v>1086.1966070000001</v>
          </cell>
          <cell r="K1466" t="str">
            <v>Small Cap</v>
          </cell>
        </row>
        <row r="1467">
          <cell r="C1467" t="str">
            <v>INE00ZE01026</v>
          </cell>
          <cell r="D1467" t="str">
            <v>AFSL</v>
          </cell>
          <cell r="E1467">
            <v>1081.1604181629998</v>
          </cell>
          <cell r="F1467" t="str">
            <v>AFSL</v>
          </cell>
          <cell r="G1467">
            <v>1080.1709000000001</v>
          </cell>
          <cell r="H1467" t="str">
            <v>-</v>
          </cell>
          <cell r="I1467" t="str">
            <v>-</v>
          </cell>
          <cell r="J1467">
            <v>1080.6656590815001</v>
          </cell>
          <cell r="K1467" t="str">
            <v>Small Cap</v>
          </cell>
        </row>
        <row r="1468">
          <cell r="C1468" t="str">
            <v>INE107A01015</v>
          </cell>
          <cell r="D1468" t="str">
            <v>TNPL</v>
          </cell>
          <cell r="E1468">
            <v>1077.883687238</v>
          </cell>
          <cell r="F1468" t="str">
            <v>TNPL</v>
          </cell>
          <cell r="G1468">
            <v>1077.5552</v>
          </cell>
          <cell r="H1468" t="str">
            <v>-</v>
          </cell>
          <cell r="I1468" t="str">
            <v>-</v>
          </cell>
          <cell r="J1468">
            <v>1077.719443619</v>
          </cell>
          <cell r="K1468" t="str">
            <v>Small Cap</v>
          </cell>
        </row>
        <row r="1469">
          <cell r="C1469" t="str">
            <v>INE652V01016</v>
          </cell>
          <cell r="D1469" t="str">
            <v>GANESHCP</v>
          </cell>
          <cell r="E1469">
            <v>1077.030268991</v>
          </cell>
          <cell r="F1469" t="str">
            <v>GANESHCP</v>
          </cell>
          <cell r="G1469">
            <v>1076.9955</v>
          </cell>
          <cell r="H1469" t="str">
            <v>-</v>
          </cell>
          <cell r="I1469" t="str">
            <v>-</v>
          </cell>
          <cell r="J1469">
            <v>1077.0128844955</v>
          </cell>
          <cell r="K1469" t="str">
            <v>Small Cap</v>
          </cell>
        </row>
        <row r="1470">
          <cell r="C1470" t="str">
            <v>INE270B01035</v>
          </cell>
          <cell r="D1470" t="str">
            <v>MAFATIND</v>
          </cell>
          <cell r="E1470">
            <v>1076.3971077190001</v>
          </cell>
          <cell r="F1470" t="str">
            <v>-</v>
          </cell>
          <cell r="G1470" t="str">
            <v>-</v>
          </cell>
          <cell r="H1470" t="str">
            <v>-</v>
          </cell>
          <cell r="I1470" t="str">
            <v>-</v>
          </cell>
          <cell r="J1470">
            <v>1076.3971077190001</v>
          </cell>
          <cell r="K1470" t="str">
            <v>Small Cap</v>
          </cell>
        </row>
        <row r="1471">
          <cell r="C1471" t="str">
            <v>INE488D01021</v>
          </cell>
          <cell r="D1471" t="str">
            <v>AVTNPL</v>
          </cell>
          <cell r="E1471">
            <v>1074.960669968</v>
          </cell>
          <cell r="F1471" t="str">
            <v>AVTNPL</v>
          </cell>
          <cell r="G1471">
            <v>1074.8313000000001</v>
          </cell>
          <cell r="H1471" t="str">
            <v>-</v>
          </cell>
          <cell r="I1471" t="str">
            <v>-</v>
          </cell>
          <cell r="J1471">
            <v>1074.8959849840001</v>
          </cell>
          <cell r="K1471" t="str">
            <v>Small Cap</v>
          </cell>
        </row>
        <row r="1472">
          <cell r="C1472" t="str">
            <v>INE760A01029</v>
          </cell>
          <cell r="D1472" t="str">
            <v>KOKUYOCMLN</v>
          </cell>
          <cell r="E1472">
            <v>1074.407402217</v>
          </cell>
          <cell r="F1472" t="str">
            <v>KOKUYOCMLN</v>
          </cell>
          <cell r="G1472">
            <v>1073.7792999999999</v>
          </cell>
          <cell r="H1472" t="str">
            <v>-</v>
          </cell>
          <cell r="I1472" t="str">
            <v>-</v>
          </cell>
          <cell r="J1472">
            <v>1074.0933511085</v>
          </cell>
          <cell r="K1472" t="str">
            <v>Small Cap</v>
          </cell>
        </row>
        <row r="1473">
          <cell r="C1473" t="str">
            <v>INE0CG601016</v>
          </cell>
          <cell r="D1473" t="str">
            <v>MAXIND</v>
          </cell>
          <cell r="E1473">
            <v>1074.9515163600001</v>
          </cell>
          <cell r="F1473" t="str">
            <v>MAXIND</v>
          </cell>
          <cell r="G1473">
            <v>1070.7316000000001</v>
          </cell>
          <cell r="H1473" t="str">
            <v>-</v>
          </cell>
          <cell r="I1473" t="str">
            <v>-</v>
          </cell>
          <cell r="J1473">
            <v>1072.84155818</v>
          </cell>
          <cell r="K1473" t="str">
            <v>Small Cap</v>
          </cell>
        </row>
        <row r="1474">
          <cell r="C1474" t="str">
            <v>INE715B01021</v>
          </cell>
          <cell r="D1474" t="str">
            <v>ANDHRSUGAR</v>
          </cell>
          <cell r="E1474">
            <v>1065.7438148680001</v>
          </cell>
          <cell r="F1474" t="str">
            <v>ANDHRSUGAR</v>
          </cell>
          <cell r="G1474">
            <v>1065.3533</v>
          </cell>
          <cell r="H1474" t="str">
            <v>-</v>
          </cell>
          <cell r="I1474" t="str">
            <v>-</v>
          </cell>
          <cell r="J1474">
            <v>1065.548557434</v>
          </cell>
          <cell r="K1474" t="str">
            <v>Small Cap</v>
          </cell>
        </row>
        <row r="1475">
          <cell r="C1475" t="str">
            <v>INE405C01035</v>
          </cell>
          <cell r="D1475" t="str">
            <v>LINCOLN</v>
          </cell>
          <cell r="E1475">
            <v>1064.5792483700002</v>
          </cell>
          <cell r="F1475" t="str">
            <v>LINCOLN</v>
          </cell>
          <cell r="G1475">
            <v>1064.7986000000001</v>
          </cell>
          <cell r="H1475" t="str">
            <v>-</v>
          </cell>
          <cell r="I1475" t="str">
            <v>-</v>
          </cell>
          <cell r="J1475">
            <v>1064.6889241850001</v>
          </cell>
          <cell r="K1475" t="str">
            <v>Small Cap</v>
          </cell>
        </row>
        <row r="1476">
          <cell r="C1476" t="str">
            <v>INE559D01011</v>
          </cell>
          <cell r="D1476" t="str">
            <v>CREST</v>
          </cell>
          <cell r="E1476">
            <v>1062.873433366</v>
          </cell>
          <cell r="F1476" t="str">
            <v>CREST</v>
          </cell>
          <cell r="G1476">
            <v>1065.0856000000001</v>
          </cell>
          <cell r="H1476" t="str">
            <v>-</v>
          </cell>
          <cell r="I1476" t="str">
            <v>-</v>
          </cell>
          <cell r="J1476">
            <v>1063.9795166829999</v>
          </cell>
          <cell r="K1476" t="str">
            <v>Small Cap</v>
          </cell>
        </row>
        <row r="1477">
          <cell r="C1477" t="str">
            <v>INE083B01024</v>
          </cell>
          <cell r="D1477" t="str">
            <v>THEMISMED</v>
          </cell>
          <cell r="E1477">
            <v>1062.2467473040001</v>
          </cell>
          <cell r="F1477" t="str">
            <v>THEMISMED</v>
          </cell>
          <cell r="G1477">
            <v>1062.1357</v>
          </cell>
          <cell r="H1477" t="str">
            <v>-</v>
          </cell>
          <cell r="I1477" t="str">
            <v>-</v>
          </cell>
          <cell r="J1477">
            <v>1062.1912236520002</v>
          </cell>
          <cell r="K1477" t="str">
            <v>Small Cap</v>
          </cell>
        </row>
        <row r="1478">
          <cell r="C1478" t="str">
            <v>INE620D01011</v>
          </cell>
          <cell r="D1478" t="str">
            <v>INDPRUD</v>
          </cell>
          <cell r="E1478">
            <v>1060.12002461</v>
          </cell>
          <cell r="F1478" t="str">
            <v>-</v>
          </cell>
          <cell r="G1478" t="str">
            <v>-</v>
          </cell>
          <cell r="H1478" t="str">
            <v>-</v>
          </cell>
          <cell r="I1478" t="str">
            <v>-</v>
          </cell>
          <cell r="J1478">
            <v>1060.12002461</v>
          </cell>
          <cell r="K1478" t="str">
            <v>Small Cap</v>
          </cell>
        </row>
        <row r="1479">
          <cell r="C1479" t="str">
            <v>INE985W01018</v>
          </cell>
          <cell r="D1479" t="str">
            <v>CNL</v>
          </cell>
          <cell r="E1479">
            <v>1116.259843414</v>
          </cell>
          <cell r="F1479" t="str">
            <v>CNL</v>
          </cell>
          <cell r="G1479">
            <v>991.01379999999995</v>
          </cell>
          <cell r="H1479" t="str">
            <v>-</v>
          </cell>
          <cell r="I1479" t="str">
            <v>-</v>
          </cell>
          <cell r="J1479">
            <v>1053.6368217069999</v>
          </cell>
          <cell r="K1479" t="str">
            <v>Small Cap</v>
          </cell>
        </row>
        <row r="1480">
          <cell r="C1480" t="str">
            <v>INE012Q01021</v>
          </cell>
          <cell r="D1480" t="str">
            <v>RNBDENIMS</v>
          </cell>
          <cell r="E1480">
            <v>1004.254974283</v>
          </cell>
          <cell r="F1480" t="str">
            <v>RNBDENIMS</v>
          </cell>
          <cell r="G1480">
            <v>1101.3271</v>
          </cell>
          <cell r="H1480" t="str">
            <v>-</v>
          </cell>
          <cell r="I1480" t="str">
            <v>-</v>
          </cell>
          <cell r="J1480">
            <v>1052.7910371415001</v>
          </cell>
          <cell r="K1480" t="str">
            <v>Small Cap</v>
          </cell>
        </row>
        <row r="1481">
          <cell r="C1481" t="str">
            <v>INE485A01015</v>
          </cell>
          <cell r="D1481" t="str">
            <v>CENTENKA</v>
          </cell>
          <cell r="E1481">
            <v>1051.26218483</v>
          </cell>
          <cell r="F1481" t="str">
            <v>CENTENKA</v>
          </cell>
          <cell r="G1481">
            <v>1051.5752</v>
          </cell>
          <cell r="H1481" t="str">
            <v>-</v>
          </cell>
          <cell r="I1481" t="str">
            <v>-</v>
          </cell>
          <cell r="J1481">
            <v>1051.4186924149999</v>
          </cell>
          <cell r="K1481" t="str">
            <v>Small Cap</v>
          </cell>
        </row>
        <row r="1482">
          <cell r="C1482" t="str">
            <v>INE457G01029</v>
          </cell>
          <cell r="D1482" t="str">
            <v>ORIRAIL</v>
          </cell>
          <cell r="E1482">
            <v>1051.306332183</v>
          </cell>
          <cell r="F1482" t="str">
            <v>-</v>
          </cell>
          <cell r="G1482" t="str">
            <v>-</v>
          </cell>
          <cell r="H1482" t="str">
            <v>-</v>
          </cell>
          <cell r="I1482" t="str">
            <v>-</v>
          </cell>
          <cell r="J1482">
            <v>1051.306332183</v>
          </cell>
          <cell r="K1482" t="str">
            <v>Small Cap</v>
          </cell>
        </row>
        <row r="1483">
          <cell r="C1483" t="str">
            <v>INE420B01036</v>
          </cell>
          <cell r="D1483" t="str">
            <v>ARIHANTCAP</v>
          </cell>
          <cell r="E1483">
            <v>1050.8864707749999</v>
          </cell>
          <cell r="F1483" t="str">
            <v>ARIHANTCAP</v>
          </cell>
          <cell r="G1483">
            <v>1049.9776999999999</v>
          </cell>
          <cell r="H1483" t="str">
            <v>-</v>
          </cell>
          <cell r="I1483" t="str">
            <v>-</v>
          </cell>
          <cell r="J1483">
            <v>1050.4320853874999</v>
          </cell>
          <cell r="K1483" t="str">
            <v>Small Cap</v>
          </cell>
        </row>
        <row r="1484">
          <cell r="C1484" t="str">
            <v>INE680A01011</v>
          </cell>
          <cell r="D1484" t="str">
            <v>DHANBANK</v>
          </cell>
          <cell r="E1484">
            <v>1049.704726765</v>
          </cell>
          <cell r="F1484" t="str">
            <v>DHANBANK</v>
          </cell>
          <cell r="G1484">
            <v>1049.6107999999999</v>
          </cell>
          <cell r="H1484" t="str">
            <v>-</v>
          </cell>
          <cell r="I1484" t="str">
            <v>-</v>
          </cell>
          <cell r="J1484">
            <v>1049.6577633825</v>
          </cell>
          <cell r="K1484" t="str">
            <v>Small Cap</v>
          </cell>
        </row>
        <row r="1485">
          <cell r="C1485" t="str">
            <v>INE037A01022</v>
          </cell>
          <cell r="D1485" t="str">
            <v>UNIENTER</v>
          </cell>
          <cell r="E1485">
            <v>1050.219593066</v>
          </cell>
          <cell r="F1485" t="str">
            <v>UNIENTER</v>
          </cell>
          <cell r="G1485">
            <v>1048.9645</v>
          </cell>
          <cell r="H1485" t="str">
            <v>-</v>
          </cell>
          <cell r="I1485" t="str">
            <v>-</v>
          </cell>
          <cell r="J1485">
            <v>1049.592046533</v>
          </cell>
          <cell r="K1485" t="str">
            <v>Small Cap</v>
          </cell>
        </row>
        <row r="1486">
          <cell r="C1486" t="str">
            <v>INE090501011</v>
          </cell>
          <cell r="D1486" t="str">
            <v>SCODATUBES</v>
          </cell>
          <cell r="E1486">
            <v>1047.782887627</v>
          </cell>
          <cell r="F1486" t="str">
            <v>SCODATUBES</v>
          </cell>
          <cell r="G1486">
            <v>1047.519</v>
          </cell>
          <cell r="H1486" t="str">
            <v>-</v>
          </cell>
          <cell r="I1486" t="str">
            <v>-</v>
          </cell>
          <cell r="J1486">
            <v>1047.6509438134999</v>
          </cell>
          <cell r="K1486" t="str">
            <v>Small Cap</v>
          </cell>
        </row>
        <row r="1487">
          <cell r="C1487" t="str">
            <v>INE622H01018</v>
          </cell>
          <cell r="D1487" t="str">
            <v>INDOFARM</v>
          </cell>
          <cell r="E1487">
            <v>1045.4922210479999</v>
          </cell>
          <cell r="F1487" t="str">
            <v>INDOFARM</v>
          </cell>
          <cell r="G1487">
            <v>1045.3163999999999</v>
          </cell>
          <cell r="H1487" t="str">
            <v>-</v>
          </cell>
          <cell r="I1487" t="str">
            <v>-</v>
          </cell>
          <cell r="J1487">
            <v>1045.4043105239998</v>
          </cell>
          <cell r="K1487" t="str">
            <v>Small Cap</v>
          </cell>
        </row>
        <row r="1488">
          <cell r="C1488" t="str">
            <v>INE04AK01028</v>
          </cell>
          <cell r="D1488" t="str">
            <v>SBC</v>
          </cell>
          <cell r="E1488">
            <v>1044.6890535709999</v>
          </cell>
          <cell r="F1488" t="str">
            <v>SBC</v>
          </cell>
          <cell r="G1488">
            <v>1044.7267999999999</v>
          </cell>
          <cell r="H1488" t="str">
            <v>-</v>
          </cell>
          <cell r="I1488" t="str">
            <v>-</v>
          </cell>
          <cell r="J1488">
            <v>1044.7079267854999</v>
          </cell>
          <cell r="K1488" t="str">
            <v>Small Cap</v>
          </cell>
        </row>
        <row r="1489">
          <cell r="C1489" t="str">
            <v>INE037Z01029</v>
          </cell>
          <cell r="D1489" t="str">
            <v>CEWATER</v>
          </cell>
          <cell r="E1489">
            <v>1043.7676984469999</v>
          </cell>
          <cell r="F1489" t="str">
            <v>CEWATER</v>
          </cell>
          <cell r="G1489">
            <v>1043.7775999999999</v>
          </cell>
          <cell r="H1489" t="str">
            <v>-</v>
          </cell>
          <cell r="I1489" t="str">
            <v>-</v>
          </cell>
          <cell r="J1489">
            <v>1043.7726492234999</v>
          </cell>
          <cell r="K1489" t="str">
            <v>Small Cap</v>
          </cell>
        </row>
        <row r="1490">
          <cell r="C1490" t="str">
            <v>INE583V01021</v>
          </cell>
          <cell r="D1490" t="str">
            <v>RADHIKAJWE</v>
          </cell>
          <cell r="E1490">
            <v>1038.057238095</v>
          </cell>
          <cell r="F1490" t="str">
            <v>RADHIKAJWE</v>
          </cell>
          <cell r="G1490">
            <v>1037.9766999999999</v>
          </cell>
          <cell r="H1490" t="str">
            <v>-</v>
          </cell>
          <cell r="I1490" t="str">
            <v>-</v>
          </cell>
          <cell r="J1490">
            <v>1038.0169690475</v>
          </cell>
          <cell r="K1490" t="str">
            <v>Small Cap</v>
          </cell>
        </row>
        <row r="1491">
          <cell r="C1491" t="str">
            <v>INE552U01010</v>
          </cell>
          <cell r="D1491" t="str">
            <v>KPL</v>
          </cell>
          <cell r="E1491">
            <v>1035.012162622</v>
          </cell>
          <cell r="F1491" t="str">
            <v>-</v>
          </cell>
          <cell r="G1491" t="str">
            <v>-</v>
          </cell>
          <cell r="H1491" t="str">
            <v>-</v>
          </cell>
          <cell r="I1491" t="str">
            <v>-</v>
          </cell>
          <cell r="J1491">
            <v>1035.012162622</v>
          </cell>
          <cell r="K1491" t="str">
            <v>Small Cap</v>
          </cell>
        </row>
        <row r="1492">
          <cell r="C1492" t="str">
            <v>INE403Y01018</v>
          </cell>
          <cell r="D1492" t="str">
            <v>INNOVANA</v>
          </cell>
          <cell r="E1492">
            <v>1034.5471428569999</v>
          </cell>
          <cell r="F1492" t="str">
            <v>INNOVANA</v>
          </cell>
          <cell r="G1492">
            <v>1027.6886</v>
          </cell>
          <cell r="H1492" t="str">
            <v>-</v>
          </cell>
          <cell r="I1492" t="str">
            <v>-</v>
          </cell>
          <cell r="J1492">
            <v>1031.1178714284999</v>
          </cell>
          <cell r="K1492" t="str">
            <v>Small Cap</v>
          </cell>
        </row>
        <row r="1493">
          <cell r="C1493" t="str">
            <v>INE528A01020</v>
          </cell>
          <cell r="D1493" t="str">
            <v>-</v>
          </cell>
          <cell r="E1493" t="str">
            <v>-</v>
          </cell>
          <cell r="F1493" t="str">
            <v>GKWLIMITED</v>
          </cell>
          <cell r="G1493">
            <v>1030.1139000000001</v>
          </cell>
          <cell r="H1493" t="str">
            <v>-</v>
          </cell>
          <cell r="I1493" t="str">
            <v>-</v>
          </cell>
          <cell r="J1493">
            <v>1030.1139000000001</v>
          </cell>
          <cell r="K1493" t="str">
            <v>Small Cap</v>
          </cell>
        </row>
        <row r="1494">
          <cell r="C1494" t="str">
            <v>INE155G01029</v>
          </cell>
          <cell r="D1494" t="str">
            <v>NDTV</v>
          </cell>
          <cell r="E1494">
            <v>1030.029161269</v>
          </cell>
          <cell r="F1494" t="str">
            <v>NDTV</v>
          </cell>
          <cell r="G1494">
            <v>1029.0677000000001</v>
          </cell>
          <cell r="H1494" t="str">
            <v>-</v>
          </cell>
          <cell r="I1494" t="str">
            <v>-</v>
          </cell>
          <cell r="J1494">
            <v>1029.5484306345002</v>
          </cell>
          <cell r="K1494" t="str">
            <v>Small Cap</v>
          </cell>
        </row>
        <row r="1495">
          <cell r="C1495" t="str">
            <v>INE0DNW01011</v>
          </cell>
          <cell r="D1495" t="str">
            <v>FAIRCHEMOR</v>
          </cell>
          <cell r="E1495">
            <v>1026.864500892</v>
          </cell>
          <cell r="F1495" t="str">
            <v>FAIRCHEMOR</v>
          </cell>
          <cell r="G1495">
            <v>1027.0862</v>
          </cell>
          <cell r="H1495" t="str">
            <v>-</v>
          </cell>
          <cell r="I1495" t="str">
            <v>-</v>
          </cell>
          <cell r="J1495">
            <v>1026.975350446</v>
          </cell>
          <cell r="K1495" t="str">
            <v>Small Cap</v>
          </cell>
        </row>
        <row r="1496">
          <cell r="C1496" t="str">
            <v>INE745B01028</v>
          </cell>
          <cell r="D1496" t="str">
            <v>KHAICHEM</v>
          </cell>
          <cell r="E1496">
            <v>1024.9164363780001</v>
          </cell>
          <cell r="F1496" t="str">
            <v>KHAICHEM</v>
          </cell>
          <cell r="G1496">
            <v>1027.3966</v>
          </cell>
          <cell r="H1496" t="str">
            <v>-</v>
          </cell>
          <cell r="I1496" t="str">
            <v>-</v>
          </cell>
          <cell r="J1496">
            <v>1026.1565181890001</v>
          </cell>
          <cell r="K1496" t="str">
            <v>Small Cap</v>
          </cell>
        </row>
        <row r="1497">
          <cell r="C1497" t="str">
            <v>INE724A01017</v>
          </cell>
          <cell r="D1497" t="str">
            <v>LKPFIN</v>
          </cell>
          <cell r="E1497">
            <v>1024.369524771</v>
          </cell>
          <cell r="F1497" t="str">
            <v>-</v>
          </cell>
          <cell r="G1497" t="str">
            <v>-</v>
          </cell>
          <cell r="H1497" t="str">
            <v>-</v>
          </cell>
          <cell r="I1497" t="str">
            <v>-</v>
          </cell>
          <cell r="J1497">
            <v>1024.369524771</v>
          </cell>
          <cell r="K1497" t="str">
            <v>Small Cap</v>
          </cell>
        </row>
        <row r="1498">
          <cell r="C1498" t="str">
            <v>INE068B01017</v>
          </cell>
          <cell r="D1498" t="str">
            <v>SEKURITIND</v>
          </cell>
          <cell r="E1498">
            <v>1022.2240305280001</v>
          </cell>
          <cell r="F1498" t="str">
            <v>-</v>
          </cell>
          <cell r="G1498" t="str">
            <v>-</v>
          </cell>
          <cell r="H1498" t="str">
            <v>-</v>
          </cell>
          <cell r="I1498" t="str">
            <v>-</v>
          </cell>
          <cell r="J1498">
            <v>1022.2240305280001</v>
          </cell>
          <cell r="K1498" t="str">
            <v>Small Cap</v>
          </cell>
        </row>
        <row r="1499">
          <cell r="C1499" t="str">
            <v>INE417D01020</v>
          </cell>
          <cell r="D1499" t="str">
            <v>FEDDERSHOL</v>
          </cell>
          <cell r="E1499">
            <v>1022.1195333940001</v>
          </cell>
          <cell r="F1499" t="str">
            <v>-</v>
          </cell>
          <cell r="G1499" t="str">
            <v>-</v>
          </cell>
          <cell r="H1499" t="str">
            <v>-</v>
          </cell>
          <cell r="I1499" t="str">
            <v>-</v>
          </cell>
          <cell r="J1499">
            <v>1022.1195333940001</v>
          </cell>
          <cell r="K1499" t="str">
            <v>Small Cap</v>
          </cell>
        </row>
        <row r="1500">
          <cell r="C1500" t="str">
            <v>INE841D01013</v>
          </cell>
          <cell r="D1500" t="str">
            <v>AMAL</v>
          </cell>
          <cell r="E1500">
            <v>1021.6503876799999</v>
          </cell>
          <cell r="F1500" t="str">
            <v>-</v>
          </cell>
          <cell r="G1500" t="str">
            <v>-</v>
          </cell>
          <cell r="H1500" t="str">
            <v>-</v>
          </cell>
          <cell r="I1500" t="str">
            <v>-</v>
          </cell>
          <cell r="J1500">
            <v>1021.6503876799999</v>
          </cell>
          <cell r="K1500" t="str">
            <v>Small Cap</v>
          </cell>
        </row>
        <row r="1501">
          <cell r="C1501" t="str">
            <v>INE065D01027</v>
          </cell>
          <cell r="D1501" t="str">
            <v>AEROENTER</v>
          </cell>
          <cell r="E1501">
            <v>1019.3894749999999</v>
          </cell>
          <cell r="F1501" t="str">
            <v>AEROENTER</v>
          </cell>
          <cell r="G1501">
            <v>1019.8059</v>
          </cell>
          <cell r="H1501" t="str">
            <v>-</v>
          </cell>
          <cell r="I1501" t="str">
            <v>-</v>
          </cell>
          <cell r="J1501">
            <v>1019.5976874999999</v>
          </cell>
          <cell r="K1501" t="str">
            <v>Small Cap</v>
          </cell>
        </row>
        <row r="1502">
          <cell r="C1502" t="str">
            <v>INE760F01028</v>
          </cell>
          <cell r="D1502" t="str">
            <v>INDOAMIN</v>
          </cell>
          <cell r="E1502">
            <v>1014.6790336620001</v>
          </cell>
          <cell r="F1502" t="str">
            <v>INDOAMIN</v>
          </cell>
          <cell r="G1502">
            <v>1014.8703</v>
          </cell>
          <cell r="H1502" t="str">
            <v>-</v>
          </cell>
          <cell r="I1502" t="str">
            <v>-</v>
          </cell>
          <cell r="J1502">
            <v>1014.7746668310001</v>
          </cell>
          <cell r="K1502" t="str">
            <v>Small Cap</v>
          </cell>
        </row>
        <row r="1503">
          <cell r="C1503" t="str">
            <v>INE684B01029</v>
          </cell>
          <cell r="D1503" t="str">
            <v>ISTLTD</v>
          </cell>
          <cell r="E1503">
            <v>1014.6814687899999</v>
          </cell>
          <cell r="F1503" t="str">
            <v>-</v>
          </cell>
          <cell r="G1503" t="str">
            <v>-</v>
          </cell>
          <cell r="H1503" t="str">
            <v>-</v>
          </cell>
          <cell r="I1503" t="str">
            <v>-</v>
          </cell>
          <cell r="J1503">
            <v>1014.6814687899999</v>
          </cell>
          <cell r="K1503" t="str">
            <v>Small Cap</v>
          </cell>
        </row>
        <row r="1504">
          <cell r="C1504" t="str">
            <v>INE00OQ01016</v>
          </cell>
          <cell r="D1504" t="str">
            <v>DHARMAJ</v>
          </cell>
          <cell r="E1504">
            <v>1014.0932311299999</v>
          </cell>
          <cell r="F1504" t="str">
            <v>DHARMAJ</v>
          </cell>
          <cell r="G1504">
            <v>1014.2359</v>
          </cell>
          <cell r="H1504" t="str">
            <v>-</v>
          </cell>
          <cell r="I1504" t="str">
            <v>-</v>
          </cell>
          <cell r="J1504">
            <v>1014.164565565</v>
          </cell>
          <cell r="K1504" t="str">
            <v>Small Cap</v>
          </cell>
        </row>
        <row r="1505">
          <cell r="C1505" t="str">
            <v>INE415D01024</v>
          </cell>
          <cell r="D1505" t="str">
            <v>BHARATSE</v>
          </cell>
          <cell r="E1505">
            <v>1013.387650794</v>
          </cell>
          <cell r="F1505" t="str">
            <v>BHARATSE</v>
          </cell>
          <cell r="G1505">
            <v>1013.7256</v>
          </cell>
          <cell r="H1505" t="str">
            <v>-</v>
          </cell>
          <cell r="I1505" t="str">
            <v>-</v>
          </cell>
          <cell r="J1505">
            <v>1013.5566253970001</v>
          </cell>
          <cell r="K1505" t="str">
            <v>Small Cap</v>
          </cell>
        </row>
        <row r="1506">
          <cell r="C1506" t="str">
            <v>INE0RE001014</v>
          </cell>
          <cell r="D1506" t="str">
            <v>GALAPREC</v>
          </cell>
          <cell r="E1506">
            <v>1012.8211888010001</v>
          </cell>
          <cell r="F1506" t="str">
            <v>GALAPREC</v>
          </cell>
          <cell r="G1506">
            <v>1012.4502</v>
          </cell>
          <cell r="H1506" t="str">
            <v>-</v>
          </cell>
          <cell r="I1506" t="str">
            <v>-</v>
          </cell>
          <cell r="J1506">
            <v>1012.6356944005</v>
          </cell>
          <cell r="K1506" t="str">
            <v>Small Cap</v>
          </cell>
        </row>
        <row r="1507">
          <cell r="C1507" t="str">
            <v>INE143A01010</v>
          </cell>
          <cell r="D1507" t="str">
            <v>OSWALGREEN</v>
          </cell>
          <cell r="E1507">
            <v>1012.6637353110001</v>
          </cell>
          <cell r="F1507" t="str">
            <v>OSWALGREEN</v>
          </cell>
          <cell r="G1507">
            <v>1012.4497</v>
          </cell>
          <cell r="H1507" t="str">
            <v>-</v>
          </cell>
          <cell r="I1507" t="str">
            <v>-</v>
          </cell>
          <cell r="J1507">
            <v>1012.5567176555001</v>
          </cell>
          <cell r="K1507" t="str">
            <v>Small Cap</v>
          </cell>
        </row>
        <row r="1508">
          <cell r="C1508" t="str">
            <v>INE374E01021</v>
          </cell>
          <cell r="D1508" t="str">
            <v>BMW</v>
          </cell>
          <cell r="E1508">
            <v>1009.505627498</v>
          </cell>
          <cell r="F1508" t="str">
            <v>-</v>
          </cell>
          <cell r="G1508" t="str">
            <v>-</v>
          </cell>
          <cell r="H1508" t="str">
            <v>-</v>
          </cell>
          <cell r="I1508" t="str">
            <v>-</v>
          </cell>
          <cell r="J1508">
            <v>1009.505627498</v>
          </cell>
          <cell r="K1508" t="str">
            <v>Small Cap</v>
          </cell>
        </row>
        <row r="1509">
          <cell r="C1509" t="str">
            <v>INE0R4L01018</v>
          </cell>
          <cell r="D1509" t="str">
            <v>DENTA</v>
          </cell>
          <cell r="E1509">
            <v>1002.90497619</v>
          </cell>
          <cell r="F1509" t="str">
            <v>DENTA</v>
          </cell>
          <cell r="G1509">
            <v>1002.6814000000001</v>
          </cell>
          <cell r="H1509" t="str">
            <v>-</v>
          </cell>
          <cell r="I1509" t="str">
            <v>-</v>
          </cell>
          <cell r="J1509">
            <v>1002.793188095</v>
          </cell>
          <cell r="K1509" t="str">
            <v>Small Cap</v>
          </cell>
        </row>
        <row r="1510">
          <cell r="C1510" t="str">
            <v>INE207H01018</v>
          </cell>
          <cell r="D1510" t="str">
            <v>GNRL</v>
          </cell>
          <cell r="E1510">
            <v>998.41810369200005</v>
          </cell>
          <cell r="F1510" t="str">
            <v>-</v>
          </cell>
          <cell r="G1510" t="str">
            <v>-</v>
          </cell>
          <cell r="H1510" t="str">
            <v>-</v>
          </cell>
          <cell r="I1510" t="str">
            <v>-</v>
          </cell>
          <cell r="J1510">
            <v>998.41810369200005</v>
          </cell>
          <cell r="K1510" t="str">
            <v>Small Cap</v>
          </cell>
        </row>
        <row r="1511">
          <cell r="C1511" t="str">
            <v>INE722B01019</v>
          </cell>
          <cell r="D1511" t="str">
            <v>PRAVEG</v>
          </cell>
          <cell r="E1511">
            <v>997.81522404999998</v>
          </cell>
          <cell r="F1511" t="str">
            <v>-</v>
          </cell>
          <cell r="G1511" t="str">
            <v>-</v>
          </cell>
          <cell r="H1511" t="str">
            <v>-</v>
          </cell>
          <cell r="I1511" t="str">
            <v>-</v>
          </cell>
          <cell r="J1511">
            <v>997.81522404999998</v>
          </cell>
          <cell r="K1511" t="str">
            <v>Small Cap</v>
          </cell>
        </row>
        <row r="1512">
          <cell r="C1512" t="str">
            <v>INE917H01012</v>
          </cell>
          <cell r="D1512" t="str">
            <v>SRHHYPOLTD</v>
          </cell>
          <cell r="E1512">
            <v>996.32590465200008</v>
          </cell>
          <cell r="F1512" t="str">
            <v>SRHHYPOLTD</v>
          </cell>
          <cell r="G1512">
            <v>997.08540000000005</v>
          </cell>
          <cell r="H1512" t="str">
            <v>-</v>
          </cell>
          <cell r="I1512" t="str">
            <v>-</v>
          </cell>
          <cell r="J1512">
            <v>996.70565232600006</v>
          </cell>
          <cell r="K1512" t="str">
            <v>Small Cap</v>
          </cell>
        </row>
        <row r="1513">
          <cell r="C1513" t="str">
            <v>INE524B01027</v>
          </cell>
          <cell r="D1513" t="str">
            <v>GANDHITUBE</v>
          </cell>
          <cell r="E1513">
            <v>995.26857111100003</v>
          </cell>
          <cell r="F1513" t="str">
            <v>GANDHITUBE</v>
          </cell>
          <cell r="G1513">
            <v>995.51350000000002</v>
          </cell>
          <cell r="H1513" t="str">
            <v>-</v>
          </cell>
          <cell r="I1513" t="str">
            <v>-</v>
          </cell>
          <cell r="J1513">
            <v>995.39103555550003</v>
          </cell>
          <cell r="K1513" t="str">
            <v>Small Cap</v>
          </cell>
        </row>
        <row r="1514">
          <cell r="C1514" t="str">
            <v>INE0HF201011</v>
          </cell>
          <cell r="D1514" t="str">
            <v>FABTECH</v>
          </cell>
          <cell r="E1514">
            <v>988.6572318719999</v>
          </cell>
          <cell r="F1514" t="str">
            <v>FABTECH</v>
          </cell>
          <cell r="G1514">
            <v>988.39880000000005</v>
          </cell>
          <cell r="H1514" t="str">
            <v>-</v>
          </cell>
          <cell r="I1514" t="str">
            <v>-</v>
          </cell>
          <cell r="J1514">
            <v>988.52801593599997</v>
          </cell>
          <cell r="K1514" t="str">
            <v>Small Cap</v>
          </cell>
        </row>
        <row r="1515">
          <cell r="C1515" t="str">
            <v>INE091E01039</v>
          </cell>
          <cell r="D1515" t="str">
            <v>JAYTEX</v>
          </cell>
          <cell r="E1515">
            <v>986.70592678600008</v>
          </cell>
          <cell r="F1515" t="str">
            <v>-</v>
          </cell>
          <cell r="G1515" t="str">
            <v>-</v>
          </cell>
          <cell r="H1515" t="str">
            <v>-</v>
          </cell>
          <cell r="I1515" t="str">
            <v>-</v>
          </cell>
          <cell r="J1515">
            <v>986.70592678600008</v>
          </cell>
          <cell r="K1515" t="str">
            <v>Small Cap</v>
          </cell>
        </row>
        <row r="1516">
          <cell r="C1516" t="str">
            <v>INE0GGO01015</v>
          </cell>
          <cell r="D1516" t="str">
            <v>KRISHIVAL</v>
          </cell>
          <cell r="E1516">
            <v>989.32734249500004</v>
          </cell>
          <cell r="F1516" t="str">
            <v>KRISHIVAL</v>
          </cell>
          <cell r="G1516">
            <v>977.57730000000004</v>
          </cell>
          <cell r="H1516" t="str">
            <v>-</v>
          </cell>
          <cell r="I1516" t="str">
            <v>-</v>
          </cell>
          <cell r="J1516">
            <v>983.45232124750009</v>
          </cell>
          <cell r="K1516" t="str">
            <v>Small Cap</v>
          </cell>
        </row>
        <row r="1517">
          <cell r="C1517" t="str">
            <v>INE786F01031</v>
          </cell>
          <cell r="D1517" t="str">
            <v>UTTAMSUGAR</v>
          </cell>
          <cell r="E1517">
            <v>980.51441760800003</v>
          </cell>
          <cell r="F1517" t="str">
            <v>UTTAMSUGAR</v>
          </cell>
          <cell r="G1517">
            <v>980.98180000000002</v>
          </cell>
          <cell r="H1517" t="str">
            <v>-</v>
          </cell>
          <cell r="I1517" t="str">
            <v>-</v>
          </cell>
          <cell r="J1517">
            <v>980.74810880400003</v>
          </cell>
          <cell r="K1517" t="str">
            <v>Small Cap</v>
          </cell>
        </row>
        <row r="1518">
          <cell r="C1518" t="str">
            <v>INE692G01013</v>
          </cell>
          <cell r="D1518" t="str">
            <v>XCHANGING</v>
          </cell>
          <cell r="E1518">
            <v>979.18473009500008</v>
          </cell>
          <cell r="F1518" t="str">
            <v>XCHANGING</v>
          </cell>
          <cell r="G1518">
            <v>979.05119999999999</v>
          </cell>
          <cell r="H1518" t="str">
            <v>-</v>
          </cell>
          <cell r="I1518" t="str">
            <v>-</v>
          </cell>
          <cell r="J1518">
            <v>979.11796504750009</v>
          </cell>
          <cell r="K1518" t="str">
            <v>Small Cap</v>
          </cell>
        </row>
        <row r="1519">
          <cell r="C1519" t="str">
            <v>INE147P01019</v>
          </cell>
          <cell r="D1519" t="str">
            <v>JPOLYINVST</v>
          </cell>
          <cell r="E1519">
            <v>977.13469163500008</v>
          </cell>
          <cell r="F1519" t="str">
            <v>JPOLYINVST</v>
          </cell>
          <cell r="G1519">
            <v>977.38329999999996</v>
          </cell>
          <cell r="H1519" t="str">
            <v>-</v>
          </cell>
          <cell r="I1519" t="str">
            <v>-</v>
          </cell>
          <cell r="J1519">
            <v>977.25899581750002</v>
          </cell>
          <cell r="K1519" t="str">
            <v>Small Cap</v>
          </cell>
        </row>
        <row r="1520">
          <cell r="C1520" t="str">
            <v>INE142A01012</v>
          </cell>
          <cell r="D1520" t="str">
            <v>OSWALAGRO</v>
          </cell>
          <cell r="E1520">
            <v>976.85629490200006</v>
          </cell>
          <cell r="F1520" t="str">
            <v>OSWALAGRO</v>
          </cell>
          <cell r="G1520">
            <v>976.60059999999999</v>
          </cell>
          <cell r="H1520" t="str">
            <v>-</v>
          </cell>
          <cell r="I1520" t="str">
            <v>-</v>
          </cell>
          <cell r="J1520">
            <v>976.72844745099997</v>
          </cell>
          <cell r="K1520" t="str">
            <v>Small Cap</v>
          </cell>
        </row>
        <row r="1521">
          <cell r="C1521" t="str">
            <v>INE524T01011</v>
          </cell>
          <cell r="D1521" t="str">
            <v>TAALENT</v>
          </cell>
          <cell r="E1521">
            <v>976.20563228600008</v>
          </cell>
          <cell r="F1521" t="str">
            <v>-</v>
          </cell>
          <cell r="G1521" t="str">
            <v>-</v>
          </cell>
          <cell r="H1521" t="str">
            <v>-</v>
          </cell>
          <cell r="I1521" t="str">
            <v>-</v>
          </cell>
          <cell r="J1521">
            <v>976.20563228600008</v>
          </cell>
          <cell r="K1521" t="str">
            <v>Small Cap</v>
          </cell>
        </row>
        <row r="1522">
          <cell r="C1522" t="str">
            <v>INE0NT601018</v>
          </cell>
          <cell r="D1522" t="str">
            <v>GARGI</v>
          </cell>
          <cell r="E1522">
            <v>971.73592296800007</v>
          </cell>
          <cell r="F1522" t="str">
            <v>-</v>
          </cell>
          <cell r="G1522" t="str">
            <v>-</v>
          </cell>
          <cell r="H1522" t="str">
            <v>-</v>
          </cell>
          <cell r="I1522" t="str">
            <v>-</v>
          </cell>
          <cell r="J1522">
            <v>971.73592296800007</v>
          </cell>
          <cell r="K1522" t="str">
            <v>Small Cap</v>
          </cell>
        </row>
        <row r="1523">
          <cell r="C1523" t="str">
            <v>INE0KNT01012</v>
          </cell>
          <cell r="D1523" t="str">
            <v>MVGJL</v>
          </cell>
          <cell r="E1523">
            <v>971.20343051100008</v>
          </cell>
          <cell r="F1523" t="str">
            <v>MVGJL</v>
          </cell>
          <cell r="G1523">
            <v>971.13639999999998</v>
          </cell>
          <cell r="H1523" t="str">
            <v>-</v>
          </cell>
          <cell r="I1523" t="str">
            <v>-</v>
          </cell>
          <cell r="J1523">
            <v>971.16991525549997</v>
          </cell>
          <cell r="K1523" t="str">
            <v>Small Cap</v>
          </cell>
        </row>
        <row r="1524">
          <cell r="C1524" t="str">
            <v>INE102I01027</v>
          </cell>
          <cell r="D1524" t="str">
            <v>ADSL</v>
          </cell>
          <cell r="E1524">
            <v>969.13469125699999</v>
          </cell>
          <cell r="F1524" t="str">
            <v>ADSL</v>
          </cell>
          <cell r="G1524">
            <v>968.27470000000005</v>
          </cell>
          <cell r="H1524" t="str">
            <v>-</v>
          </cell>
          <cell r="I1524" t="str">
            <v>-</v>
          </cell>
          <cell r="J1524">
            <v>968.70469562850008</v>
          </cell>
          <cell r="K1524" t="str">
            <v>Small Cap</v>
          </cell>
        </row>
        <row r="1525">
          <cell r="C1525" t="str">
            <v>INE00WT01013</v>
          </cell>
          <cell r="D1525" t="str">
            <v>-</v>
          </cell>
          <cell r="E1525" t="str">
            <v>-</v>
          </cell>
          <cell r="F1525" t="str">
            <v>-</v>
          </cell>
          <cell r="G1525" t="str">
            <v>-</v>
          </cell>
          <cell r="H1525" t="str">
            <v>ISHL</v>
          </cell>
          <cell r="I1525">
            <v>968.67749244444235</v>
          </cell>
          <cell r="J1525">
            <v>968.67749244444235</v>
          </cell>
          <cell r="K1525" t="str">
            <v>Small Cap</v>
          </cell>
        </row>
        <row r="1526">
          <cell r="C1526" t="str">
            <v>INE692C01020</v>
          </cell>
          <cell r="D1526" t="str">
            <v>TANAA</v>
          </cell>
          <cell r="E1526">
            <v>967.78480631499997</v>
          </cell>
          <cell r="F1526" t="str">
            <v>-</v>
          </cell>
          <cell r="G1526" t="str">
            <v>-</v>
          </cell>
          <cell r="H1526" t="str">
            <v>-</v>
          </cell>
          <cell r="I1526" t="str">
            <v>-</v>
          </cell>
          <cell r="J1526">
            <v>967.78480631499997</v>
          </cell>
          <cell r="K1526" t="str">
            <v>Small Cap</v>
          </cell>
        </row>
        <row r="1527">
          <cell r="C1527" t="str">
            <v>INE750M01017</v>
          </cell>
          <cell r="D1527" t="str">
            <v>HEXATRADEX</v>
          </cell>
          <cell r="E1527">
            <v>968.16562984999996</v>
          </cell>
          <cell r="F1527" t="str">
            <v>HEXATRADEX</v>
          </cell>
          <cell r="G1527">
            <v>966.01149999999996</v>
          </cell>
          <cell r="H1527" t="str">
            <v>-</v>
          </cell>
          <cell r="I1527" t="str">
            <v>-</v>
          </cell>
          <cell r="J1527">
            <v>967.0885649249999</v>
          </cell>
          <cell r="K1527" t="str">
            <v>Small Cap</v>
          </cell>
        </row>
        <row r="1528">
          <cell r="C1528" t="str">
            <v>INE255D01024</v>
          </cell>
          <cell r="D1528" t="str">
            <v>GULPOLY</v>
          </cell>
          <cell r="E1528">
            <v>965.29619439599992</v>
          </cell>
          <cell r="F1528" t="str">
            <v>GULPOLY</v>
          </cell>
          <cell r="G1528">
            <v>965.13189999999997</v>
          </cell>
          <cell r="H1528" t="str">
            <v>-</v>
          </cell>
          <cell r="I1528" t="str">
            <v>-</v>
          </cell>
          <cell r="J1528">
            <v>965.21404719799989</v>
          </cell>
          <cell r="K1528" t="str">
            <v>Small Cap</v>
          </cell>
        </row>
        <row r="1529">
          <cell r="C1529" t="str">
            <v>INE625X01018</v>
          </cell>
          <cell r="D1529" t="str">
            <v>SILVERTUC</v>
          </cell>
          <cell r="E1529">
            <v>961.03310750000003</v>
          </cell>
          <cell r="F1529" t="str">
            <v>SILVERTUC</v>
          </cell>
          <cell r="G1529">
            <v>961.50969999999995</v>
          </cell>
          <cell r="H1529" t="str">
            <v>-</v>
          </cell>
          <cell r="I1529" t="str">
            <v>-</v>
          </cell>
          <cell r="J1529">
            <v>961.27140374999999</v>
          </cell>
          <cell r="K1529" t="str">
            <v>Small Cap</v>
          </cell>
        </row>
        <row r="1530">
          <cell r="C1530" t="str">
            <v>INE571B01036</v>
          </cell>
          <cell r="D1530" t="str">
            <v>JAYBARMARU</v>
          </cell>
          <cell r="E1530">
            <v>960.42836507900006</v>
          </cell>
          <cell r="F1530" t="str">
            <v>JAYBARMARU</v>
          </cell>
          <cell r="G1530">
            <v>960.18179999999995</v>
          </cell>
          <cell r="H1530" t="str">
            <v>-</v>
          </cell>
          <cell r="I1530" t="str">
            <v>-</v>
          </cell>
          <cell r="J1530">
            <v>960.30508253950006</v>
          </cell>
          <cell r="K1530" t="str">
            <v>Small Cap</v>
          </cell>
        </row>
        <row r="1531">
          <cell r="C1531" t="str">
            <v>INE529I01021</v>
          </cell>
          <cell r="D1531" t="str">
            <v>KUANTUM</v>
          </cell>
          <cell r="E1531">
            <v>960.11462623299997</v>
          </cell>
          <cell r="F1531" t="str">
            <v>KUANTUM</v>
          </cell>
          <cell r="G1531">
            <v>959.02380000000005</v>
          </cell>
          <cell r="H1531" t="str">
            <v>-</v>
          </cell>
          <cell r="I1531" t="str">
            <v>-</v>
          </cell>
          <cell r="J1531">
            <v>959.56921311650001</v>
          </cell>
          <cell r="K1531" t="str">
            <v>Small Cap</v>
          </cell>
        </row>
        <row r="1532">
          <cell r="C1532" t="str">
            <v>INE148A01019</v>
          </cell>
          <cell r="D1532" t="str">
            <v>TNPETRO</v>
          </cell>
          <cell r="E1532">
            <v>956.3053690270001</v>
          </cell>
          <cell r="F1532" t="str">
            <v>TNPETRO</v>
          </cell>
          <cell r="G1532">
            <v>956.49170000000004</v>
          </cell>
          <cell r="H1532" t="str">
            <v>-</v>
          </cell>
          <cell r="I1532" t="str">
            <v>-</v>
          </cell>
          <cell r="J1532">
            <v>956.39853451350007</v>
          </cell>
          <cell r="K1532" t="str">
            <v>Small Cap</v>
          </cell>
        </row>
        <row r="1533">
          <cell r="C1533" t="str">
            <v>INE289B01019</v>
          </cell>
          <cell r="D1533" t="str">
            <v>GICHSGFIN</v>
          </cell>
          <cell r="E1533">
            <v>955.27517189899993</v>
          </cell>
          <cell r="F1533" t="str">
            <v>GICHSGFIN</v>
          </cell>
          <cell r="G1533">
            <v>955.2115</v>
          </cell>
          <cell r="H1533" t="str">
            <v>-</v>
          </cell>
          <cell r="I1533" t="str">
            <v>-</v>
          </cell>
          <cell r="J1533">
            <v>955.24333594949996</v>
          </cell>
          <cell r="K1533" t="str">
            <v>Small Cap</v>
          </cell>
        </row>
        <row r="1534">
          <cell r="C1534" t="str">
            <v>INE032B01021</v>
          </cell>
          <cell r="D1534" t="str">
            <v>PRIMESECU</v>
          </cell>
          <cell r="E1534">
            <v>954.54406822600004</v>
          </cell>
          <cell r="F1534" t="str">
            <v>PRIMESECU</v>
          </cell>
          <cell r="G1534">
            <v>953.46040000000005</v>
          </cell>
          <cell r="H1534" t="str">
            <v>-</v>
          </cell>
          <cell r="I1534" t="str">
            <v>-</v>
          </cell>
          <cell r="J1534">
            <v>954.00223411299999</v>
          </cell>
          <cell r="K1534" t="str">
            <v>Small Cap</v>
          </cell>
        </row>
        <row r="1535">
          <cell r="C1535" t="str">
            <v>INE076C01018</v>
          </cell>
          <cell r="D1535" t="str">
            <v>IFBAGRO</v>
          </cell>
          <cell r="E1535">
            <v>953.91164342900004</v>
          </cell>
          <cell r="F1535" t="str">
            <v>IFBAGRO</v>
          </cell>
          <cell r="G1535">
            <v>951.85760000000005</v>
          </cell>
          <cell r="H1535" t="str">
            <v>-</v>
          </cell>
          <cell r="I1535" t="str">
            <v>-</v>
          </cell>
          <cell r="J1535">
            <v>952.8846217145001</v>
          </cell>
          <cell r="K1535" t="str">
            <v>Small Cap</v>
          </cell>
        </row>
        <row r="1536">
          <cell r="C1536" t="str">
            <v>INE225B01021</v>
          </cell>
          <cell r="D1536" t="str">
            <v>FERMENTA</v>
          </cell>
          <cell r="E1536">
            <v>952.39141090499993</v>
          </cell>
          <cell r="F1536" t="str">
            <v>-</v>
          </cell>
          <cell r="G1536" t="str">
            <v>-</v>
          </cell>
          <cell r="H1536" t="str">
            <v>-</v>
          </cell>
          <cell r="I1536" t="str">
            <v>-</v>
          </cell>
          <cell r="J1536">
            <v>952.39141090499993</v>
          </cell>
          <cell r="K1536" t="str">
            <v>Small Cap</v>
          </cell>
        </row>
        <row r="1537">
          <cell r="C1537" t="str">
            <v>INE865C01022</v>
          </cell>
          <cell r="D1537" t="str">
            <v>BIRLAMONEY</v>
          </cell>
          <cell r="E1537">
            <v>950.87718582700006</v>
          </cell>
          <cell r="F1537" t="str">
            <v>BIRLAMONEY</v>
          </cell>
          <cell r="G1537">
            <v>950.16229999999996</v>
          </cell>
          <cell r="H1537" t="str">
            <v>-</v>
          </cell>
          <cell r="I1537" t="str">
            <v>-</v>
          </cell>
          <cell r="J1537">
            <v>950.51974291350007</v>
          </cell>
          <cell r="K1537" t="str">
            <v>Small Cap</v>
          </cell>
        </row>
        <row r="1538">
          <cell r="C1538" t="str">
            <v>INE772T01024</v>
          </cell>
          <cell r="D1538" t="str">
            <v>PVSL</v>
          </cell>
          <cell r="E1538">
            <v>945.49229216299989</v>
          </cell>
          <cell r="F1538" t="str">
            <v>PVSL</v>
          </cell>
          <cell r="G1538">
            <v>946.01379999999995</v>
          </cell>
          <cell r="H1538" t="str">
            <v>-</v>
          </cell>
          <cell r="I1538" t="str">
            <v>-</v>
          </cell>
          <cell r="J1538">
            <v>945.75304608149986</v>
          </cell>
          <cell r="K1538" t="str">
            <v>Small Cap</v>
          </cell>
        </row>
        <row r="1539">
          <cell r="C1539" t="str">
            <v>INE732C01016</v>
          </cell>
          <cell r="D1539" t="str">
            <v>NCLIND</v>
          </cell>
          <cell r="E1539">
            <v>945.06734897099989</v>
          </cell>
          <cell r="F1539" t="str">
            <v>NCLIND</v>
          </cell>
          <cell r="G1539">
            <v>945.94650000000001</v>
          </cell>
          <cell r="H1539" t="str">
            <v>-</v>
          </cell>
          <cell r="I1539" t="str">
            <v>-</v>
          </cell>
          <cell r="J1539">
            <v>945.50692448549989</v>
          </cell>
          <cell r="K1539" t="str">
            <v>Small Cap</v>
          </cell>
        </row>
        <row r="1540">
          <cell r="C1540" t="str">
            <v>INE152B01027</v>
          </cell>
          <cell r="D1540" t="str">
            <v>ACLGATI</v>
          </cell>
          <cell r="E1540">
            <v>945.42732168600003</v>
          </cell>
          <cell r="F1540" t="str">
            <v>-</v>
          </cell>
          <cell r="G1540" t="str">
            <v>-</v>
          </cell>
          <cell r="H1540" t="str">
            <v>-</v>
          </cell>
          <cell r="I1540" t="str">
            <v>-</v>
          </cell>
          <cell r="J1540">
            <v>945.42732168600003</v>
          </cell>
          <cell r="K1540" t="str">
            <v>Small Cap</v>
          </cell>
        </row>
        <row r="1541">
          <cell r="C1541" t="str">
            <v>INE019J01013</v>
          </cell>
          <cell r="D1541" t="str">
            <v>SASTASUNDR</v>
          </cell>
          <cell r="E1541">
            <v>943.92357000000004</v>
          </cell>
          <cell r="F1541" t="str">
            <v>SASTASUNDR</v>
          </cell>
          <cell r="G1541">
            <v>945.11900000000003</v>
          </cell>
          <cell r="H1541" t="str">
            <v>-</v>
          </cell>
          <cell r="I1541" t="str">
            <v>-</v>
          </cell>
          <cell r="J1541">
            <v>944.52128500000003</v>
          </cell>
          <cell r="K1541" t="str">
            <v>Small Cap</v>
          </cell>
        </row>
        <row r="1542">
          <cell r="C1542" t="str">
            <v>INE050401020</v>
          </cell>
          <cell r="D1542" t="str">
            <v>ELIN</v>
          </cell>
          <cell r="E1542">
            <v>941.71025374500005</v>
          </cell>
          <cell r="F1542" t="str">
            <v>ELIN</v>
          </cell>
          <cell r="G1542">
            <v>941.80880000000002</v>
          </cell>
          <cell r="H1542" t="str">
            <v>-</v>
          </cell>
          <cell r="I1542" t="str">
            <v>-</v>
          </cell>
          <cell r="J1542">
            <v>941.75952687250003</v>
          </cell>
          <cell r="K1542" t="str">
            <v>Small Cap</v>
          </cell>
        </row>
        <row r="1543">
          <cell r="C1543" t="str">
            <v>INE411D01015</v>
          </cell>
          <cell r="D1543" t="str">
            <v>SKMEGGPROD</v>
          </cell>
          <cell r="E1543">
            <v>940.89001190499994</v>
          </cell>
          <cell r="F1543" t="str">
            <v>SKMEGGPROD</v>
          </cell>
          <cell r="G1543">
            <v>941.09690000000001</v>
          </cell>
          <cell r="H1543" t="str">
            <v>-</v>
          </cell>
          <cell r="I1543" t="str">
            <v>-</v>
          </cell>
          <cell r="J1543">
            <v>940.99345595249997</v>
          </cell>
          <cell r="K1543" t="str">
            <v>Small Cap</v>
          </cell>
        </row>
        <row r="1544">
          <cell r="C1544" t="str">
            <v>INE051B01021</v>
          </cell>
          <cell r="D1544" t="str">
            <v>VAKRANGEE</v>
          </cell>
          <cell r="E1544">
            <v>940.42540748500005</v>
          </cell>
          <cell r="F1544" t="str">
            <v>VAKRANGEE</v>
          </cell>
          <cell r="G1544">
            <v>939.49699999999996</v>
          </cell>
          <cell r="H1544" t="str">
            <v>-</v>
          </cell>
          <cell r="I1544" t="str">
            <v>-</v>
          </cell>
          <cell r="J1544">
            <v>939.96120374249995</v>
          </cell>
          <cell r="K1544" t="str">
            <v>Small Cap</v>
          </cell>
        </row>
        <row r="1545">
          <cell r="C1545" t="str">
            <v>INE217A01012</v>
          </cell>
          <cell r="D1545" t="str">
            <v>ZUARIIND</v>
          </cell>
          <cell r="E1545">
            <v>939.25245343199992</v>
          </cell>
          <cell r="F1545" t="str">
            <v>ZUARIIND</v>
          </cell>
          <cell r="G1545">
            <v>939.10709999999995</v>
          </cell>
          <cell r="H1545" t="str">
            <v>-</v>
          </cell>
          <cell r="I1545" t="str">
            <v>-</v>
          </cell>
          <cell r="J1545">
            <v>939.17977671599988</v>
          </cell>
          <cell r="K1545" t="str">
            <v>Small Cap</v>
          </cell>
        </row>
        <row r="1546">
          <cell r="C1546" t="str">
            <v>INE295A01018</v>
          </cell>
          <cell r="D1546" t="str">
            <v>EVERESTIND</v>
          </cell>
          <cell r="E1546">
            <v>936.48700727199991</v>
          </cell>
          <cell r="F1546" t="str">
            <v>EVERESTIND</v>
          </cell>
          <cell r="G1546">
            <v>936.36950000000002</v>
          </cell>
          <cell r="H1546" t="str">
            <v>-</v>
          </cell>
          <cell r="I1546" t="str">
            <v>-</v>
          </cell>
          <cell r="J1546">
            <v>936.42825363599991</v>
          </cell>
          <cell r="K1546" t="str">
            <v>Small Cap</v>
          </cell>
        </row>
        <row r="1547">
          <cell r="C1547" t="str">
            <v>INE002E01010</v>
          </cell>
          <cell r="D1547" t="str">
            <v>SAPL</v>
          </cell>
          <cell r="E1547">
            <v>935.27421798600005</v>
          </cell>
          <cell r="F1547" t="str">
            <v>-</v>
          </cell>
          <cell r="G1547" t="str">
            <v>-</v>
          </cell>
          <cell r="H1547" t="str">
            <v>-</v>
          </cell>
          <cell r="I1547" t="str">
            <v>-</v>
          </cell>
          <cell r="J1547">
            <v>935.27421798600005</v>
          </cell>
          <cell r="K1547" t="str">
            <v>Small Cap</v>
          </cell>
        </row>
        <row r="1548">
          <cell r="C1548" t="str">
            <v>INE433O01024</v>
          </cell>
          <cell r="D1548" t="str">
            <v>AIRLTD</v>
          </cell>
          <cell r="E1548">
            <v>935.17727217900006</v>
          </cell>
          <cell r="F1548" t="str">
            <v>-</v>
          </cell>
          <cell r="G1548" t="str">
            <v>-</v>
          </cell>
          <cell r="H1548" t="str">
            <v>AIRLTD</v>
          </cell>
          <cell r="I1548">
            <v>934.95199475238087</v>
          </cell>
          <cell r="J1548">
            <v>935.06463346569046</v>
          </cell>
          <cell r="K1548" t="str">
            <v>Small Cap</v>
          </cell>
        </row>
        <row r="1549">
          <cell r="C1549" t="str">
            <v>INE060901027</v>
          </cell>
          <cell r="D1549" t="str">
            <v>LIKHITHA</v>
          </cell>
          <cell r="E1549">
            <v>934.10555357099986</v>
          </cell>
          <cell r="F1549" t="str">
            <v>LIKHITHA</v>
          </cell>
          <cell r="G1549">
            <v>933.96839999999997</v>
          </cell>
          <cell r="H1549" t="str">
            <v>-</v>
          </cell>
          <cell r="I1549" t="str">
            <v>-</v>
          </cell>
          <cell r="J1549">
            <v>934.03697678549997</v>
          </cell>
          <cell r="K1549" t="str">
            <v>Small Cap</v>
          </cell>
        </row>
        <row r="1550">
          <cell r="C1550" t="str">
            <v>INE0MHO01029</v>
          </cell>
          <cell r="D1550" t="str">
            <v>REGAAL</v>
          </cell>
          <cell r="E1550">
            <v>930.77275574300006</v>
          </cell>
          <cell r="F1550" t="str">
            <v>REGAAL</v>
          </cell>
          <cell r="G1550">
            <v>930.25909999999999</v>
          </cell>
          <cell r="H1550" t="str">
            <v>-</v>
          </cell>
          <cell r="I1550" t="str">
            <v>-</v>
          </cell>
          <cell r="J1550">
            <v>930.51592787150003</v>
          </cell>
          <cell r="K1550" t="str">
            <v>Small Cap</v>
          </cell>
        </row>
        <row r="1551">
          <cell r="C1551" t="str">
            <v>INE236G01019</v>
          </cell>
          <cell r="D1551" t="str">
            <v>TVSELECT</v>
          </cell>
          <cell r="E1551">
            <v>925.46948421900004</v>
          </cell>
          <cell r="F1551" t="str">
            <v>TVSELECT</v>
          </cell>
          <cell r="G1551">
            <v>924.37120000000004</v>
          </cell>
          <cell r="H1551" t="str">
            <v>-</v>
          </cell>
          <cell r="I1551" t="str">
            <v>-</v>
          </cell>
          <cell r="J1551">
            <v>924.9203421095001</v>
          </cell>
          <cell r="K1551" t="str">
            <v>Small Cap</v>
          </cell>
        </row>
        <row r="1552">
          <cell r="C1552" t="str">
            <v>INE382M01027</v>
          </cell>
          <cell r="D1552" t="str">
            <v>UFBL</v>
          </cell>
          <cell r="E1552">
            <v>924.84362356399993</v>
          </cell>
          <cell r="F1552" t="str">
            <v>UFBL</v>
          </cell>
          <cell r="G1552">
            <v>924.65150000000006</v>
          </cell>
          <cell r="H1552" t="str">
            <v>-</v>
          </cell>
          <cell r="I1552" t="str">
            <v>-</v>
          </cell>
          <cell r="J1552">
            <v>924.74756178200005</v>
          </cell>
          <cell r="K1552" t="str">
            <v>Small Cap</v>
          </cell>
        </row>
        <row r="1553">
          <cell r="C1553" t="str">
            <v>INE032E01017</v>
          </cell>
          <cell r="D1553" t="str">
            <v>ARYAMAN</v>
          </cell>
          <cell r="E1553">
            <v>924.18371242099988</v>
          </cell>
          <cell r="F1553" t="str">
            <v>-</v>
          </cell>
          <cell r="G1553" t="str">
            <v>-</v>
          </cell>
          <cell r="H1553" t="str">
            <v>-</v>
          </cell>
          <cell r="I1553" t="str">
            <v>-</v>
          </cell>
          <cell r="J1553">
            <v>924.18371242099988</v>
          </cell>
          <cell r="K1553" t="str">
            <v>Small Cap</v>
          </cell>
        </row>
        <row r="1554">
          <cell r="C1554" t="str">
            <v>INE08PH01015</v>
          </cell>
          <cell r="D1554" t="str">
            <v xml:space="preserve">ABCOTS </v>
          </cell>
          <cell r="E1554">
            <v>921.01654040599999</v>
          </cell>
          <cell r="F1554" t="str">
            <v>ABCOTS</v>
          </cell>
          <cell r="G1554">
            <v>920.22810000000004</v>
          </cell>
          <cell r="H1554" t="str">
            <v>-</v>
          </cell>
          <cell r="I1554" t="str">
            <v>-</v>
          </cell>
          <cell r="J1554">
            <v>920.62232020300007</v>
          </cell>
          <cell r="K1554" t="str">
            <v>Small Cap</v>
          </cell>
        </row>
        <row r="1555">
          <cell r="C1555" t="str">
            <v>INE155Z01011</v>
          </cell>
          <cell r="D1555" t="str">
            <v>-</v>
          </cell>
          <cell r="E1555" t="str">
            <v>-</v>
          </cell>
          <cell r="F1555" t="str">
            <v>MACPOWER</v>
          </cell>
          <cell r="G1555">
            <v>915.67</v>
          </cell>
          <cell r="H1555" t="str">
            <v>-</v>
          </cell>
          <cell r="I1555" t="str">
            <v>-</v>
          </cell>
          <cell r="J1555">
            <v>915.67</v>
          </cell>
          <cell r="K1555" t="str">
            <v>Small Cap</v>
          </cell>
        </row>
        <row r="1556">
          <cell r="C1556" t="str">
            <v>INE565V01010</v>
          </cell>
          <cell r="D1556" t="str">
            <v>VALIANTORG</v>
          </cell>
          <cell r="E1556">
            <v>920.71524103299998</v>
          </cell>
          <cell r="F1556" t="str">
            <v>VALIANTORG</v>
          </cell>
          <cell r="G1556">
            <v>906.1961</v>
          </cell>
          <cell r="H1556" t="str">
            <v>-</v>
          </cell>
          <cell r="I1556" t="str">
            <v>-</v>
          </cell>
          <cell r="J1556">
            <v>913.45567051650005</v>
          </cell>
          <cell r="K1556" t="str">
            <v>Small Cap</v>
          </cell>
        </row>
        <row r="1557">
          <cell r="C1557" t="str">
            <v>INE116C01012</v>
          </cell>
          <cell r="D1557" t="str">
            <v>ZFSTEERING</v>
          </cell>
          <cell r="E1557">
            <v>907.59319771000003</v>
          </cell>
          <cell r="F1557" t="str">
            <v>-</v>
          </cell>
          <cell r="G1557" t="str">
            <v>-</v>
          </cell>
          <cell r="H1557" t="str">
            <v>-</v>
          </cell>
          <cell r="I1557" t="str">
            <v>-</v>
          </cell>
          <cell r="J1557">
            <v>907.59319771000003</v>
          </cell>
          <cell r="K1557" t="str">
            <v>Small Cap</v>
          </cell>
        </row>
        <row r="1558">
          <cell r="C1558" t="str">
            <v>INE869Y01010</v>
          </cell>
          <cell r="D1558" t="str">
            <v>-</v>
          </cell>
          <cell r="E1558" t="str">
            <v>-</v>
          </cell>
          <cell r="F1558" t="str">
            <v>TEMBO</v>
          </cell>
          <cell r="G1558">
            <v>907.5308</v>
          </cell>
          <cell r="H1558" t="str">
            <v>-</v>
          </cell>
          <cell r="I1558" t="str">
            <v>-</v>
          </cell>
          <cell r="J1558">
            <v>907.5308</v>
          </cell>
          <cell r="K1558" t="str">
            <v>Small Cap</v>
          </cell>
        </row>
        <row r="1559">
          <cell r="C1559" t="str">
            <v>INE213D01015</v>
          </cell>
          <cell r="D1559" t="str">
            <v>BEEKAY</v>
          </cell>
          <cell r="E1559">
            <v>907.20680619999996</v>
          </cell>
          <cell r="F1559" t="str">
            <v>-</v>
          </cell>
          <cell r="G1559" t="str">
            <v>-</v>
          </cell>
          <cell r="H1559" t="str">
            <v>-</v>
          </cell>
          <cell r="I1559" t="str">
            <v>-</v>
          </cell>
          <cell r="J1559">
            <v>907.20680619999996</v>
          </cell>
          <cell r="K1559" t="str">
            <v>Small Cap</v>
          </cell>
        </row>
        <row r="1560">
          <cell r="C1560" t="str">
            <v>INE0TT901016</v>
          </cell>
          <cell r="D1560" t="str">
            <v>TOTEM</v>
          </cell>
          <cell r="E1560">
            <v>906.89964356100006</v>
          </cell>
          <cell r="F1560" t="str">
            <v>-</v>
          </cell>
          <cell r="G1560" t="str">
            <v>-</v>
          </cell>
          <cell r="H1560" t="str">
            <v>-</v>
          </cell>
          <cell r="I1560" t="str">
            <v>-</v>
          </cell>
          <cell r="J1560">
            <v>906.89964356100006</v>
          </cell>
          <cell r="K1560" t="str">
            <v>Small Cap</v>
          </cell>
        </row>
        <row r="1561">
          <cell r="C1561" t="str">
            <v>INE726E01014</v>
          </cell>
          <cell r="D1561" t="str">
            <v>UPHOT</v>
          </cell>
          <cell r="E1561">
            <v>905.34771428600004</v>
          </cell>
          <cell r="F1561" t="str">
            <v>-</v>
          </cell>
          <cell r="G1561" t="str">
            <v>-</v>
          </cell>
          <cell r="H1561" t="str">
            <v>-</v>
          </cell>
          <cell r="I1561" t="str">
            <v>-</v>
          </cell>
          <cell r="J1561">
            <v>905.34771428600004</v>
          </cell>
          <cell r="K1561" t="str">
            <v>Small Cap</v>
          </cell>
        </row>
        <row r="1562">
          <cell r="C1562" t="str">
            <v>INE900B01029</v>
          </cell>
          <cell r="D1562" t="str">
            <v>KABRAEXTRU</v>
          </cell>
          <cell r="E1562">
            <v>903.37194666599999</v>
          </cell>
          <cell r="F1562" t="str">
            <v>KABRAEXTRU</v>
          </cell>
          <cell r="G1562">
            <v>903.56600000000003</v>
          </cell>
          <cell r="H1562" t="str">
            <v>-</v>
          </cell>
          <cell r="I1562" t="str">
            <v>-</v>
          </cell>
          <cell r="J1562">
            <v>903.46897333300001</v>
          </cell>
          <cell r="K1562" t="str">
            <v>Small Cap</v>
          </cell>
        </row>
        <row r="1563">
          <cell r="C1563" t="str">
            <v>INE130L01014</v>
          </cell>
          <cell r="D1563" t="str">
            <v>ENKEIWHEL</v>
          </cell>
          <cell r="E1563">
            <v>898.40237104799996</v>
          </cell>
          <cell r="F1563" t="str">
            <v>-</v>
          </cell>
          <cell r="G1563" t="str">
            <v>-</v>
          </cell>
          <cell r="H1563" t="str">
            <v>-</v>
          </cell>
          <cell r="I1563" t="str">
            <v>-</v>
          </cell>
          <cell r="J1563">
            <v>898.40237104799996</v>
          </cell>
          <cell r="K1563" t="str">
            <v>Small Cap</v>
          </cell>
        </row>
        <row r="1564">
          <cell r="C1564" t="str">
            <v>INE570D01018</v>
          </cell>
          <cell r="D1564" t="str">
            <v>ARROWGREEN</v>
          </cell>
          <cell r="E1564">
            <v>895.45894192900005</v>
          </cell>
          <cell r="F1564" t="str">
            <v>ARROWGREEN</v>
          </cell>
          <cell r="G1564">
            <v>895.40210000000002</v>
          </cell>
          <cell r="H1564" t="str">
            <v>-</v>
          </cell>
          <cell r="I1564" t="str">
            <v>-</v>
          </cell>
          <cell r="J1564">
            <v>895.43052096450003</v>
          </cell>
          <cell r="K1564" t="str">
            <v>Small Cap</v>
          </cell>
        </row>
        <row r="1565">
          <cell r="C1565" t="str">
            <v>INE365Y01019</v>
          </cell>
          <cell r="D1565" t="str">
            <v>BPLPHARMA</v>
          </cell>
          <cell r="E1565">
            <v>895.30072700599999</v>
          </cell>
          <cell r="F1565" t="str">
            <v>-</v>
          </cell>
          <cell r="G1565" t="str">
            <v>-</v>
          </cell>
          <cell r="H1565" t="str">
            <v>-</v>
          </cell>
          <cell r="I1565" t="str">
            <v>-</v>
          </cell>
          <cell r="J1565">
            <v>895.30072700599999</v>
          </cell>
          <cell r="K1565" t="str">
            <v>Small Cap</v>
          </cell>
        </row>
        <row r="1566">
          <cell r="C1566" t="str">
            <v>INE052T01013</v>
          </cell>
          <cell r="D1566" t="str">
            <v>BESTAGRO</v>
          </cell>
          <cell r="E1566">
            <v>894.75636950000001</v>
          </cell>
          <cell r="F1566" t="str">
            <v>BESTAGRO</v>
          </cell>
          <cell r="G1566">
            <v>894.39139999999998</v>
          </cell>
          <cell r="H1566" t="str">
            <v>-</v>
          </cell>
          <cell r="I1566" t="str">
            <v>-</v>
          </cell>
          <cell r="J1566">
            <v>894.57388474999993</v>
          </cell>
          <cell r="K1566" t="str">
            <v>Small Cap</v>
          </cell>
        </row>
        <row r="1567">
          <cell r="C1567" t="str">
            <v>INE836F01026</v>
          </cell>
          <cell r="D1567" t="str">
            <v>DISHTV</v>
          </cell>
          <cell r="E1567">
            <v>893.78266291499995</v>
          </cell>
          <cell r="F1567" t="str">
            <v>DISHTV</v>
          </cell>
          <cell r="G1567">
            <v>892.45389999999998</v>
          </cell>
          <cell r="H1567" t="str">
            <v>-</v>
          </cell>
          <cell r="I1567" t="str">
            <v>-</v>
          </cell>
          <cell r="J1567">
            <v>893.11828145749996</v>
          </cell>
          <cell r="K1567" t="str">
            <v>Small Cap</v>
          </cell>
        </row>
        <row r="1568">
          <cell r="C1568" t="str">
            <v>INE429I01024</v>
          </cell>
          <cell r="D1568" t="str">
            <v>CCCL</v>
          </cell>
          <cell r="E1568">
            <v>892.58638028899998</v>
          </cell>
          <cell r="F1568" t="str">
            <v>CCCL</v>
          </cell>
          <cell r="G1568">
            <v>891.53330000000005</v>
          </cell>
          <cell r="H1568" t="str">
            <v>-</v>
          </cell>
          <cell r="I1568" t="str">
            <v>-</v>
          </cell>
          <cell r="J1568">
            <v>892.05984014449996</v>
          </cell>
          <cell r="K1568" t="str">
            <v>Small Cap</v>
          </cell>
        </row>
        <row r="1569">
          <cell r="C1569" t="str">
            <v>INE435D01014</v>
          </cell>
          <cell r="D1569" t="str">
            <v>MCCHRLS-B</v>
          </cell>
          <cell r="E1569">
            <v>889.47338361200013</v>
          </cell>
          <cell r="F1569" t="str">
            <v>-</v>
          </cell>
          <cell r="G1569" t="str">
            <v>-</v>
          </cell>
          <cell r="H1569" t="str">
            <v>-</v>
          </cell>
          <cell r="I1569" t="str">
            <v>-</v>
          </cell>
          <cell r="J1569">
            <v>889.47338361200013</v>
          </cell>
          <cell r="K1569" t="str">
            <v>Small Cap</v>
          </cell>
        </row>
        <row r="1570">
          <cell r="C1570" t="str">
            <v>INE693D01018</v>
          </cell>
          <cell r="D1570" t="str">
            <v>VADILENT</v>
          </cell>
          <cell r="E1570">
            <v>888.786882644</v>
          </cell>
          <cell r="F1570" t="str">
            <v>-</v>
          </cell>
          <cell r="G1570" t="str">
            <v>-</v>
          </cell>
          <cell r="H1570" t="str">
            <v>-</v>
          </cell>
          <cell r="I1570" t="str">
            <v>-</v>
          </cell>
          <cell r="J1570">
            <v>888.786882644</v>
          </cell>
          <cell r="K1570" t="str">
            <v>Small Cap</v>
          </cell>
        </row>
        <row r="1571">
          <cell r="C1571" t="str">
            <v>INE0Q0M01015</v>
          </cell>
          <cell r="D1571" t="str">
            <v>VEEFIN</v>
          </cell>
          <cell r="E1571">
            <v>888.37047923600005</v>
          </cell>
          <cell r="F1571" t="str">
            <v>-</v>
          </cell>
          <cell r="G1571" t="str">
            <v>-</v>
          </cell>
          <cell r="H1571" t="str">
            <v>-</v>
          </cell>
          <cell r="I1571" t="str">
            <v>-</v>
          </cell>
          <cell r="J1571">
            <v>888.37047923600005</v>
          </cell>
          <cell r="K1571" t="str">
            <v>Small Cap</v>
          </cell>
        </row>
        <row r="1572">
          <cell r="C1572" t="str">
            <v>INE038F01029</v>
          </cell>
          <cell r="D1572" t="str">
            <v>TVTODAY</v>
          </cell>
          <cell r="E1572">
            <v>888.03473735300008</v>
          </cell>
          <cell r="F1572" t="str">
            <v>TVTODAY</v>
          </cell>
          <cell r="G1572">
            <v>887.92349999999999</v>
          </cell>
          <cell r="H1572" t="str">
            <v>-</v>
          </cell>
          <cell r="I1572" t="str">
            <v>-</v>
          </cell>
          <cell r="J1572">
            <v>887.97911867650009</v>
          </cell>
          <cell r="K1572" t="str">
            <v>Small Cap</v>
          </cell>
        </row>
        <row r="1573">
          <cell r="C1573" t="str">
            <v>INE720A01015</v>
          </cell>
          <cell r="D1573" t="str">
            <v>-</v>
          </cell>
          <cell r="E1573" t="str">
            <v>-</v>
          </cell>
          <cell r="F1573" t="str">
            <v>KOTHARIPET</v>
          </cell>
          <cell r="G1573">
            <v>886.7989</v>
          </cell>
          <cell r="H1573" t="str">
            <v>-</v>
          </cell>
          <cell r="I1573" t="str">
            <v>-</v>
          </cell>
          <cell r="J1573">
            <v>886.7989</v>
          </cell>
          <cell r="K1573" t="str">
            <v>Small Cap</v>
          </cell>
        </row>
        <row r="1574">
          <cell r="C1574" t="str">
            <v>INE00R101010</v>
          </cell>
          <cell r="D1574" t="str">
            <v>-</v>
          </cell>
          <cell r="E1574" t="str">
            <v>-</v>
          </cell>
          <cell r="F1574" t="str">
            <v>-</v>
          </cell>
          <cell r="G1574" t="str">
            <v>-</v>
          </cell>
          <cell r="H1574" t="str">
            <v>TRANSGLOB</v>
          </cell>
          <cell r="I1574">
            <v>886.59132253015775</v>
          </cell>
          <cell r="J1574">
            <v>886.59132253015775</v>
          </cell>
          <cell r="K1574" t="str">
            <v>Small Cap</v>
          </cell>
        </row>
        <row r="1575">
          <cell r="C1575" t="str">
            <v>INE783X01023</v>
          </cell>
          <cell r="D1575" t="str">
            <v>CHEMFAB</v>
          </cell>
          <cell r="E1575">
            <v>885.61630034099994</v>
          </cell>
          <cell r="F1575" t="str">
            <v>CHEMFAB</v>
          </cell>
          <cell r="G1575">
            <v>885.61270000000002</v>
          </cell>
          <cell r="H1575" t="str">
            <v>-</v>
          </cell>
          <cell r="I1575" t="str">
            <v>-</v>
          </cell>
          <cell r="J1575">
            <v>885.61450017049992</v>
          </cell>
          <cell r="K1575" t="str">
            <v>Small Cap</v>
          </cell>
        </row>
        <row r="1576">
          <cell r="C1576" t="str">
            <v>INE583B01015</v>
          </cell>
          <cell r="D1576" t="str">
            <v>SANDESH</v>
          </cell>
          <cell r="E1576">
            <v>885.34531231100004</v>
          </cell>
          <cell r="F1576" t="str">
            <v>SANDESH</v>
          </cell>
          <cell r="G1576">
            <v>885.51829999999995</v>
          </cell>
          <cell r="H1576" t="str">
            <v>-</v>
          </cell>
          <cell r="I1576" t="str">
            <v>-</v>
          </cell>
          <cell r="J1576">
            <v>885.4318061555</v>
          </cell>
          <cell r="K1576" t="str">
            <v>Small Cap</v>
          </cell>
        </row>
        <row r="1577">
          <cell r="C1577" t="str">
            <v>INE041A01016</v>
          </cell>
          <cell r="D1577" t="str">
            <v>DHAMPURSUG</v>
          </cell>
          <cell r="E1577">
            <v>872.78988602000004</v>
          </cell>
          <cell r="F1577" t="str">
            <v>DHAMPURSUG</v>
          </cell>
          <cell r="G1577">
            <v>880.60590000000002</v>
          </cell>
          <cell r="H1577" t="str">
            <v>-</v>
          </cell>
          <cell r="I1577" t="str">
            <v>-</v>
          </cell>
          <cell r="J1577">
            <v>876.69789301000003</v>
          </cell>
          <cell r="K1577" t="str">
            <v>Small Cap</v>
          </cell>
        </row>
        <row r="1578">
          <cell r="C1578" t="str">
            <v>INE763M01028</v>
          </cell>
          <cell r="D1578" t="str">
            <v>MERCURYEV</v>
          </cell>
          <cell r="E1578">
            <v>876.60655257800011</v>
          </cell>
          <cell r="F1578" t="str">
            <v>-</v>
          </cell>
          <cell r="G1578" t="str">
            <v>-</v>
          </cell>
          <cell r="H1578" t="str">
            <v>-</v>
          </cell>
          <cell r="I1578" t="str">
            <v>-</v>
          </cell>
          <cell r="J1578">
            <v>876.60655257800011</v>
          </cell>
          <cell r="K1578" t="str">
            <v>Small Cap</v>
          </cell>
        </row>
        <row r="1579">
          <cell r="C1579" t="str">
            <v>INE599F01020</v>
          </cell>
          <cell r="D1579" t="str">
            <v>MORGANITE</v>
          </cell>
          <cell r="E1579">
            <v>876.22400000000005</v>
          </cell>
          <cell r="F1579" t="str">
            <v>-</v>
          </cell>
          <cell r="G1579" t="str">
            <v>-</v>
          </cell>
          <cell r="H1579" t="str">
            <v>-</v>
          </cell>
          <cell r="I1579" t="str">
            <v>-</v>
          </cell>
          <cell r="J1579">
            <v>876.22400000000005</v>
          </cell>
          <cell r="K1579" t="str">
            <v>Small Cap</v>
          </cell>
        </row>
        <row r="1580">
          <cell r="C1580" t="str">
            <v>INE489G01022</v>
          </cell>
          <cell r="D1580" t="str">
            <v>ANUHPHR</v>
          </cell>
          <cell r="E1580">
            <v>876.18604800000003</v>
          </cell>
          <cell r="F1580" t="str">
            <v>ANUHPHR</v>
          </cell>
          <cell r="G1580">
            <v>876.05960000000005</v>
          </cell>
          <cell r="H1580" t="str">
            <v>-</v>
          </cell>
          <cell r="I1580" t="str">
            <v>-</v>
          </cell>
          <cell r="J1580">
            <v>876.12282400000004</v>
          </cell>
          <cell r="K1580" t="str">
            <v>Small Cap</v>
          </cell>
        </row>
        <row r="1581">
          <cell r="C1581" t="str">
            <v>INE0N7W01012</v>
          </cell>
          <cell r="D1581" t="str">
            <v>BLAL</v>
          </cell>
          <cell r="E1581">
            <v>875.12115863099996</v>
          </cell>
          <cell r="F1581" t="str">
            <v>BLAL</v>
          </cell>
          <cell r="G1581">
            <v>875.13070000000005</v>
          </cell>
          <cell r="H1581" t="str">
            <v>-</v>
          </cell>
          <cell r="I1581" t="str">
            <v>-</v>
          </cell>
          <cell r="J1581">
            <v>875.1259293155</v>
          </cell>
          <cell r="K1581" t="str">
            <v>Small Cap</v>
          </cell>
        </row>
        <row r="1582">
          <cell r="C1582" t="str">
            <v>INE550F01049</v>
          </cell>
          <cell r="D1582" t="str">
            <v>HAZOOR</v>
          </cell>
          <cell r="E1582">
            <v>874.18030976</v>
          </cell>
          <cell r="F1582" t="str">
            <v>-</v>
          </cell>
          <cell r="G1582" t="str">
            <v>-</v>
          </cell>
          <cell r="H1582" t="str">
            <v>-</v>
          </cell>
          <cell r="I1582" t="str">
            <v>-</v>
          </cell>
          <cell r="J1582">
            <v>874.18030976</v>
          </cell>
          <cell r="K1582" t="str">
            <v>Small Cap</v>
          </cell>
        </row>
        <row r="1583">
          <cell r="C1583" t="str">
            <v>INE451L01014</v>
          </cell>
          <cell r="D1583" t="str">
            <v>MAHASTEEL</v>
          </cell>
          <cell r="E1583">
            <v>874.31660158700004</v>
          </cell>
          <cell r="F1583" t="str">
            <v>MAHASTEEL</v>
          </cell>
          <cell r="G1583">
            <v>872.35559999999998</v>
          </cell>
          <cell r="H1583" t="str">
            <v>-</v>
          </cell>
          <cell r="I1583" t="str">
            <v>-</v>
          </cell>
          <cell r="J1583">
            <v>873.33610079350001</v>
          </cell>
          <cell r="K1583" t="str">
            <v>Small Cap</v>
          </cell>
        </row>
        <row r="1584">
          <cell r="C1584" t="str">
            <v>INE245L01028</v>
          </cell>
          <cell r="D1584" t="str">
            <v>RDBIPL</v>
          </cell>
          <cell r="E1584">
            <v>870.82385127000009</v>
          </cell>
          <cell r="F1584" t="str">
            <v>-</v>
          </cell>
          <cell r="G1584" t="str">
            <v>-</v>
          </cell>
          <cell r="H1584" t="str">
            <v>-</v>
          </cell>
          <cell r="I1584" t="str">
            <v>-</v>
          </cell>
          <cell r="J1584">
            <v>870.82385127000009</v>
          </cell>
          <cell r="K1584" t="str">
            <v>Small Cap</v>
          </cell>
        </row>
        <row r="1585">
          <cell r="C1585" t="str">
            <v>INE555C01029</v>
          </cell>
          <cell r="D1585" t="str">
            <v>SHIVACEM</v>
          </cell>
          <cell r="E1585">
            <v>870.2265873020001</v>
          </cell>
          <cell r="F1585" t="str">
            <v>-</v>
          </cell>
          <cell r="G1585" t="str">
            <v>-</v>
          </cell>
          <cell r="H1585" t="str">
            <v>-</v>
          </cell>
          <cell r="I1585" t="str">
            <v>-</v>
          </cell>
          <cell r="J1585">
            <v>870.2265873020001</v>
          </cell>
          <cell r="K1585" t="str">
            <v>Small Cap</v>
          </cell>
        </row>
        <row r="1586">
          <cell r="C1586" t="str">
            <v>INE0XBS01012</v>
          </cell>
          <cell r="D1586" t="str">
            <v>AIRFLOA</v>
          </cell>
          <cell r="E1586">
            <v>868.54790714000001</v>
          </cell>
          <cell r="F1586" t="str">
            <v>-</v>
          </cell>
          <cell r="G1586" t="str">
            <v>-</v>
          </cell>
          <cell r="H1586" t="str">
            <v>-</v>
          </cell>
          <cell r="I1586" t="str">
            <v>-</v>
          </cell>
          <cell r="J1586">
            <v>868.54790714000001</v>
          </cell>
          <cell r="K1586" t="str">
            <v>Small Cap</v>
          </cell>
        </row>
        <row r="1587">
          <cell r="C1587" t="str">
            <v>INE00CE01017</v>
          </cell>
          <cell r="D1587" t="str">
            <v>-</v>
          </cell>
          <cell r="E1587" t="str">
            <v>-</v>
          </cell>
          <cell r="F1587" t="str">
            <v>SVLL</v>
          </cell>
          <cell r="G1587">
            <v>867.23249999999996</v>
          </cell>
          <cell r="H1587" t="str">
            <v>-</v>
          </cell>
          <cell r="I1587" t="str">
            <v>-</v>
          </cell>
          <cell r="J1587">
            <v>867.23249999999996</v>
          </cell>
          <cell r="K1587" t="str">
            <v>Small Cap</v>
          </cell>
        </row>
        <row r="1588">
          <cell r="C1588" t="str">
            <v>INE672B01032</v>
          </cell>
          <cell r="D1588" t="str">
            <v>MUNJALAU</v>
          </cell>
          <cell r="E1588">
            <v>855.22698412700004</v>
          </cell>
          <cell r="F1588" t="str">
            <v>MUNJALAU</v>
          </cell>
          <cell r="G1588">
            <v>855.06979999999999</v>
          </cell>
          <cell r="H1588" t="str">
            <v>-</v>
          </cell>
          <cell r="I1588" t="str">
            <v>-</v>
          </cell>
          <cell r="J1588">
            <v>855.14839206350007</v>
          </cell>
          <cell r="K1588" t="str">
            <v>Small Cap</v>
          </cell>
        </row>
        <row r="1589">
          <cell r="C1589" t="str">
            <v>INE442P01014</v>
          </cell>
          <cell r="D1589" t="str">
            <v>SUYOG</v>
          </cell>
          <cell r="E1589">
            <v>850.79388661400003</v>
          </cell>
          <cell r="F1589" t="str">
            <v>SUYOG</v>
          </cell>
          <cell r="G1589">
            <v>858.57669999999996</v>
          </cell>
          <cell r="H1589" t="str">
            <v>-</v>
          </cell>
          <cell r="I1589" t="str">
            <v>-</v>
          </cell>
          <cell r="J1589">
            <v>854.68529330699994</v>
          </cell>
          <cell r="K1589" t="str">
            <v>Small Cap</v>
          </cell>
        </row>
        <row r="1590">
          <cell r="C1590" t="str">
            <v>INE349W01017</v>
          </cell>
          <cell r="D1590" t="str">
            <v>AVADHSUGAR</v>
          </cell>
          <cell r="E1590">
            <v>854.54821947599999</v>
          </cell>
          <cell r="F1590" t="str">
            <v>AVADHSUGAR</v>
          </cell>
          <cell r="G1590">
            <v>854.47829999999999</v>
          </cell>
          <cell r="H1590" t="str">
            <v>-</v>
          </cell>
          <cell r="I1590" t="str">
            <v>-</v>
          </cell>
          <cell r="J1590">
            <v>854.51325973799999</v>
          </cell>
          <cell r="K1590" t="str">
            <v>Small Cap</v>
          </cell>
        </row>
        <row r="1591">
          <cell r="C1591" t="str">
            <v>INE455F01025</v>
          </cell>
          <cell r="D1591" t="str">
            <v>JPASSOCIAT</v>
          </cell>
          <cell r="E1591">
            <v>859.51757327299993</v>
          </cell>
          <cell r="F1591" t="str">
            <v>JPASSOCIAT</v>
          </cell>
          <cell r="G1591">
            <v>847.75109999999995</v>
          </cell>
          <cell r="H1591" t="str">
            <v>-</v>
          </cell>
          <cell r="I1591" t="str">
            <v>-</v>
          </cell>
          <cell r="J1591">
            <v>853.63433663649994</v>
          </cell>
          <cell r="K1591" t="str">
            <v>Small Cap</v>
          </cell>
        </row>
        <row r="1592">
          <cell r="C1592" t="str">
            <v>INE887E01022</v>
          </cell>
          <cell r="D1592" t="str">
            <v>NGLFINE</v>
          </cell>
          <cell r="E1592">
            <v>852.67591773900006</v>
          </cell>
          <cell r="F1592" t="str">
            <v>NGLFINE</v>
          </cell>
          <cell r="G1592">
            <v>852.71730000000002</v>
          </cell>
          <cell r="H1592" t="str">
            <v>-</v>
          </cell>
          <cell r="I1592" t="str">
            <v>-</v>
          </cell>
          <cell r="J1592">
            <v>852.6966088695001</v>
          </cell>
          <cell r="K1592" t="str">
            <v>Small Cap</v>
          </cell>
        </row>
        <row r="1593">
          <cell r="C1593" t="str">
            <v>INE734N01019</v>
          </cell>
          <cell r="D1593" t="str">
            <v>SNOWMAN</v>
          </cell>
          <cell r="E1593">
            <v>852.03870859899996</v>
          </cell>
          <cell r="F1593" t="str">
            <v>SNOWMAN</v>
          </cell>
          <cell r="G1593">
            <v>851.7337</v>
          </cell>
          <cell r="H1593" t="str">
            <v>-</v>
          </cell>
          <cell r="I1593" t="str">
            <v>-</v>
          </cell>
          <cell r="J1593">
            <v>851.88620429949992</v>
          </cell>
          <cell r="K1593" t="str">
            <v>Small Cap</v>
          </cell>
        </row>
        <row r="1594">
          <cell r="C1594" t="str">
            <v>INE400A01014</v>
          </cell>
          <cell r="D1594" t="str">
            <v>TUTIALKA</v>
          </cell>
          <cell r="E1594">
            <v>849.69854963700004</v>
          </cell>
          <cell r="F1594" t="str">
            <v>-</v>
          </cell>
          <cell r="G1594" t="str">
            <v>-</v>
          </cell>
          <cell r="H1594" t="str">
            <v>-</v>
          </cell>
          <cell r="I1594" t="str">
            <v>-</v>
          </cell>
          <cell r="J1594">
            <v>849.69854963700004</v>
          </cell>
          <cell r="K1594" t="str">
            <v>Small Cap</v>
          </cell>
        </row>
        <row r="1595">
          <cell r="C1595" t="str">
            <v>INE863T01013</v>
          </cell>
          <cell r="D1595" t="str">
            <v>JITFINFRA</v>
          </cell>
          <cell r="E1595">
            <v>845.96404383000004</v>
          </cell>
          <cell r="F1595" t="str">
            <v>JITFINFRA</v>
          </cell>
          <cell r="G1595">
            <v>844.70950000000005</v>
          </cell>
          <cell r="H1595" t="str">
            <v>-</v>
          </cell>
          <cell r="I1595" t="str">
            <v>-</v>
          </cell>
          <cell r="J1595">
            <v>845.3367719150001</v>
          </cell>
          <cell r="K1595" t="str">
            <v>Small Cap</v>
          </cell>
        </row>
        <row r="1596">
          <cell r="C1596" t="str">
            <v>INE320L01011</v>
          </cell>
          <cell r="D1596" t="str">
            <v>DHUNINV</v>
          </cell>
          <cell r="E1596">
            <v>844.91765110799997</v>
          </cell>
          <cell r="F1596" t="str">
            <v>DHUNINV</v>
          </cell>
          <cell r="G1596">
            <v>845.02</v>
          </cell>
          <cell r="H1596" t="str">
            <v>-</v>
          </cell>
          <cell r="I1596" t="str">
            <v>-</v>
          </cell>
          <cell r="J1596">
            <v>844.96882555399998</v>
          </cell>
          <cell r="K1596" t="str">
            <v>Small Cap</v>
          </cell>
        </row>
        <row r="1597">
          <cell r="C1597" t="str">
            <v>INE0QN801017</v>
          </cell>
          <cell r="D1597" t="str">
            <v>KRYSTAL</v>
          </cell>
          <cell r="E1597">
            <v>843.91310855300003</v>
          </cell>
          <cell r="F1597" t="str">
            <v>KRYSTAL</v>
          </cell>
          <cell r="G1597">
            <v>843.71960000000001</v>
          </cell>
          <cell r="H1597" t="str">
            <v>-</v>
          </cell>
          <cell r="I1597" t="str">
            <v>-</v>
          </cell>
          <cell r="J1597">
            <v>843.81635427650008</v>
          </cell>
          <cell r="K1597" t="str">
            <v>Small Cap</v>
          </cell>
        </row>
        <row r="1598">
          <cell r="C1598" t="str">
            <v>INE730A01022</v>
          </cell>
          <cell r="D1598" t="str">
            <v>ORICONENT</v>
          </cell>
          <cell r="E1598">
            <v>842.18706784400001</v>
          </cell>
          <cell r="F1598" t="str">
            <v>ORICONENT</v>
          </cell>
          <cell r="G1598">
            <v>842.94110000000001</v>
          </cell>
          <cell r="H1598" t="str">
            <v>-</v>
          </cell>
          <cell r="I1598" t="str">
            <v>-</v>
          </cell>
          <cell r="J1598">
            <v>842.56408392200001</v>
          </cell>
          <cell r="K1598" t="str">
            <v>Small Cap</v>
          </cell>
        </row>
        <row r="1599">
          <cell r="C1599" t="str">
            <v>INE577L01016</v>
          </cell>
          <cell r="D1599" t="str">
            <v>STEL</v>
          </cell>
          <cell r="E1599">
            <v>840.33171352299996</v>
          </cell>
          <cell r="F1599" t="str">
            <v>STEL</v>
          </cell>
          <cell r="G1599">
            <v>840.86850000000004</v>
          </cell>
          <cell r="H1599" t="str">
            <v>-</v>
          </cell>
          <cell r="I1599" t="str">
            <v>-</v>
          </cell>
          <cell r="J1599">
            <v>840.6001067615</v>
          </cell>
          <cell r="K1599" t="str">
            <v>Small Cap</v>
          </cell>
        </row>
        <row r="1600">
          <cell r="C1600" t="str">
            <v>INE00QT01015</v>
          </cell>
          <cell r="D1600" t="str">
            <v>SGIL</v>
          </cell>
          <cell r="E1600">
            <v>838.81438535699999</v>
          </cell>
          <cell r="F1600" t="str">
            <v>SGIL</v>
          </cell>
          <cell r="G1600">
            <v>839.44349999999997</v>
          </cell>
          <cell r="H1600" t="str">
            <v>-</v>
          </cell>
          <cell r="I1600" t="str">
            <v>-</v>
          </cell>
          <cell r="J1600">
            <v>839.12894267849993</v>
          </cell>
          <cell r="K1600" t="str">
            <v>Small Cap</v>
          </cell>
        </row>
        <row r="1601">
          <cell r="C1601" t="str">
            <v>INE379J01029</v>
          </cell>
          <cell r="D1601" t="str">
            <v>VERITAS</v>
          </cell>
          <cell r="E1601">
            <v>838.27210000000002</v>
          </cell>
          <cell r="F1601" t="str">
            <v>-</v>
          </cell>
          <cell r="G1601" t="str">
            <v>-</v>
          </cell>
          <cell r="H1601" t="str">
            <v>-</v>
          </cell>
          <cell r="I1601" t="str">
            <v>-</v>
          </cell>
          <cell r="J1601">
            <v>838.27210000000002</v>
          </cell>
          <cell r="K1601" t="str">
            <v>Small Cap</v>
          </cell>
        </row>
        <row r="1602">
          <cell r="C1602" t="str">
            <v>INE107F01022</v>
          </cell>
          <cell r="D1602" t="str">
            <v>WANBURY</v>
          </cell>
          <cell r="E1602">
            <v>835.69347619500002</v>
          </cell>
          <cell r="F1602" t="str">
            <v>WANBURY</v>
          </cell>
          <cell r="G1602">
            <v>833.9221</v>
          </cell>
          <cell r="H1602" t="str">
            <v>-</v>
          </cell>
          <cell r="I1602" t="str">
            <v>-</v>
          </cell>
          <cell r="J1602">
            <v>834.80778809749995</v>
          </cell>
          <cell r="K1602" t="str">
            <v>Small Cap</v>
          </cell>
        </row>
        <row r="1603">
          <cell r="C1603" t="str">
            <v>INE03YM01018</v>
          </cell>
          <cell r="D1603" t="str">
            <v>CHEMCON</v>
          </cell>
          <cell r="E1603">
            <v>834.14647373599996</v>
          </cell>
          <cell r="F1603" t="str">
            <v>CHEMCON</v>
          </cell>
          <cell r="G1603">
            <v>833.8578</v>
          </cell>
          <cell r="H1603" t="str">
            <v>-</v>
          </cell>
          <cell r="I1603" t="str">
            <v>-</v>
          </cell>
          <cell r="J1603">
            <v>834.00213686799998</v>
          </cell>
          <cell r="K1603" t="str">
            <v>Small Cap</v>
          </cell>
        </row>
        <row r="1604">
          <cell r="C1604" t="str">
            <v>INE354C01027</v>
          </cell>
          <cell r="D1604" t="str">
            <v>BHAGERIA</v>
          </cell>
          <cell r="E1604">
            <v>831.45280341400007</v>
          </cell>
          <cell r="F1604" t="str">
            <v>BHAGERIA</v>
          </cell>
          <cell r="G1604">
            <v>831.42750000000001</v>
          </cell>
          <cell r="H1604" t="str">
            <v>-</v>
          </cell>
          <cell r="I1604" t="str">
            <v>-</v>
          </cell>
          <cell r="J1604">
            <v>831.44015170700004</v>
          </cell>
          <cell r="K1604" t="str">
            <v>Small Cap</v>
          </cell>
        </row>
        <row r="1605">
          <cell r="C1605" t="str">
            <v>INE900C01027</v>
          </cell>
          <cell r="D1605" t="str">
            <v>ASAL</v>
          </cell>
          <cell r="E1605">
            <v>830.09953670799996</v>
          </cell>
          <cell r="F1605" t="str">
            <v>ASAL</v>
          </cell>
          <cell r="G1605">
            <v>829.99570000000006</v>
          </cell>
          <cell r="H1605" t="str">
            <v>-</v>
          </cell>
          <cell r="I1605" t="str">
            <v>-</v>
          </cell>
          <cell r="J1605">
            <v>830.04761835399995</v>
          </cell>
          <cell r="K1605" t="str">
            <v>Small Cap</v>
          </cell>
        </row>
        <row r="1606">
          <cell r="C1606" t="str">
            <v>INE453D01025</v>
          </cell>
          <cell r="D1606" t="str">
            <v>SARLAPOLY</v>
          </cell>
          <cell r="E1606">
            <v>829.53735822200008</v>
          </cell>
          <cell r="F1606" t="str">
            <v>SARLAPOLY</v>
          </cell>
          <cell r="G1606">
            <v>829.4393</v>
          </cell>
          <cell r="H1606" t="str">
            <v>-</v>
          </cell>
          <cell r="I1606" t="str">
            <v>-</v>
          </cell>
          <cell r="J1606">
            <v>829.48832911099998</v>
          </cell>
          <cell r="K1606" t="str">
            <v>Small Cap</v>
          </cell>
        </row>
        <row r="1607">
          <cell r="C1607" t="str">
            <v>INE412U01025</v>
          </cell>
          <cell r="D1607" t="str">
            <v>BIGBLOC</v>
          </cell>
          <cell r="E1607">
            <v>828.29454346</v>
          </cell>
          <cell r="F1607" t="str">
            <v>BIGBLOC</v>
          </cell>
          <cell r="G1607">
            <v>827.4855</v>
          </cell>
          <cell r="H1607" t="str">
            <v>-</v>
          </cell>
          <cell r="I1607" t="str">
            <v>-</v>
          </cell>
          <cell r="J1607">
            <v>827.89002172999994</v>
          </cell>
          <cell r="K1607" t="str">
            <v>Small Cap</v>
          </cell>
        </row>
        <row r="1608">
          <cell r="C1608" t="str">
            <v>INE335K01011</v>
          </cell>
          <cell r="D1608" t="str">
            <v>COFFEEDAY</v>
          </cell>
          <cell r="E1608">
            <v>827.76303528599999</v>
          </cell>
          <cell r="F1608" t="str">
            <v>COFFEEDAY</v>
          </cell>
          <cell r="G1608">
            <v>827.65740000000005</v>
          </cell>
          <cell r="H1608" t="str">
            <v>-</v>
          </cell>
          <cell r="I1608" t="str">
            <v>-</v>
          </cell>
          <cell r="J1608">
            <v>827.71021764300008</v>
          </cell>
          <cell r="K1608" t="str">
            <v>Small Cap</v>
          </cell>
        </row>
        <row r="1609">
          <cell r="C1609" t="str">
            <v>INE0NN701020</v>
          </cell>
          <cell r="D1609" t="str">
            <v>ATL</v>
          </cell>
          <cell r="E1609">
            <v>836.84295650999991</v>
          </cell>
          <cell r="F1609" t="str">
            <v>ATL</v>
          </cell>
          <cell r="G1609">
            <v>817.07800000000009</v>
          </cell>
          <cell r="H1609" t="str">
            <v>-</v>
          </cell>
          <cell r="I1609" t="str">
            <v>-</v>
          </cell>
          <cell r="J1609">
            <v>826.960478255</v>
          </cell>
          <cell r="K1609" t="str">
            <v>Small Cap</v>
          </cell>
        </row>
        <row r="1610">
          <cell r="C1610" t="str">
            <v>INE709A01018</v>
          </cell>
          <cell r="D1610" t="str">
            <v>VLSFINANCE</v>
          </cell>
          <cell r="E1610">
            <v>818.92080359700003</v>
          </cell>
          <cell r="F1610" t="str">
            <v>VLSFINANCE</v>
          </cell>
          <cell r="G1610">
            <v>833.74459999999999</v>
          </cell>
          <cell r="H1610" t="str">
            <v>-</v>
          </cell>
          <cell r="I1610" t="str">
            <v>-</v>
          </cell>
          <cell r="J1610">
            <v>826.33270179850001</v>
          </cell>
          <cell r="K1610" t="str">
            <v>Small Cap</v>
          </cell>
        </row>
        <row r="1611">
          <cell r="C1611" t="str">
            <v>INE285C01015</v>
          </cell>
          <cell r="D1611" t="str">
            <v>VOITHPAPR</v>
          </cell>
          <cell r="E1611">
            <v>824.39948220200006</v>
          </cell>
          <cell r="F1611" t="str">
            <v>-</v>
          </cell>
          <cell r="G1611" t="str">
            <v>-</v>
          </cell>
          <cell r="H1611" t="str">
            <v>-</v>
          </cell>
          <cell r="I1611" t="str">
            <v>-</v>
          </cell>
          <cell r="J1611">
            <v>824.39948220200006</v>
          </cell>
          <cell r="K1611" t="str">
            <v>Small Cap</v>
          </cell>
        </row>
        <row r="1612">
          <cell r="C1612" t="str">
            <v>INE1B3501014</v>
          </cell>
          <cell r="D1612" t="str">
            <v>ZELIO</v>
          </cell>
          <cell r="E1612">
            <v>819.27989224099997</v>
          </cell>
          <cell r="F1612" t="str">
            <v>-</v>
          </cell>
          <cell r="G1612" t="str">
            <v>-</v>
          </cell>
          <cell r="H1612" t="str">
            <v>-</v>
          </cell>
          <cell r="I1612" t="str">
            <v>-</v>
          </cell>
          <cell r="J1612">
            <v>819.27989224099997</v>
          </cell>
          <cell r="K1612" t="str">
            <v>Small Cap</v>
          </cell>
        </row>
        <row r="1613">
          <cell r="C1613" t="str">
            <v>INE0V0W01025</v>
          </cell>
          <cell r="D1613" t="str">
            <v>GKSL</v>
          </cell>
          <cell r="E1613">
            <v>817.60450249999997</v>
          </cell>
          <cell r="F1613" t="str">
            <v>GKSL</v>
          </cell>
          <cell r="G1613">
            <v>818.03809999999999</v>
          </cell>
          <cell r="H1613" t="str">
            <v>-</v>
          </cell>
          <cell r="I1613" t="str">
            <v>-</v>
          </cell>
          <cell r="J1613">
            <v>817.82130125000003</v>
          </cell>
          <cell r="K1613" t="str">
            <v>Small Cap</v>
          </cell>
        </row>
        <row r="1614">
          <cell r="C1614" t="str">
            <v>INE05CZ01011</v>
          </cell>
          <cell r="D1614" t="str">
            <v>RATNAVEER</v>
          </cell>
          <cell r="E1614">
            <v>827.47933765100004</v>
          </cell>
          <cell r="F1614" t="str">
            <v>RATNAVEER</v>
          </cell>
          <cell r="G1614">
            <v>803.29909999999995</v>
          </cell>
          <cell r="H1614" t="str">
            <v>-</v>
          </cell>
          <cell r="I1614" t="str">
            <v>-</v>
          </cell>
          <cell r="J1614">
            <v>815.38921882549994</v>
          </cell>
          <cell r="K1614" t="str">
            <v>Small Cap</v>
          </cell>
        </row>
        <row r="1615">
          <cell r="C1615" t="str">
            <v>INE574A01016</v>
          </cell>
          <cell r="D1615" t="str">
            <v>JAGAJITIND</v>
          </cell>
          <cell r="E1615">
            <v>815.00586989499993</v>
          </cell>
          <cell r="F1615" t="str">
            <v>-</v>
          </cell>
          <cell r="G1615" t="str">
            <v>-</v>
          </cell>
          <cell r="H1615" t="str">
            <v>-</v>
          </cell>
          <cell r="I1615" t="str">
            <v>-</v>
          </cell>
          <cell r="J1615">
            <v>815.00586989499993</v>
          </cell>
          <cell r="K1615" t="str">
            <v>Small Cap</v>
          </cell>
        </row>
        <row r="1616">
          <cell r="C1616" t="str">
            <v>INE296E01026</v>
          </cell>
          <cell r="D1616" t="str">
            <v>RAJPALAYAM</v>
          </cell>
          <cell r="E1616">
            <v>813.34347835699998</v>
          </cell>
          <cell r="F1616" t="str">
            <v>-</v>
          </cell>
          <cell r="G1616" t="str">
            <v>-</v>
          </cell>
          <cell r="H1616" t="str">
            <v>-</v>
          </cell>
          <cell r="I1616" t="str">
            <v>-</v>
          </cell>
          <cell r="J1616">
            <v>813.34347835699998</v>
          </cell>
          <cell r="K1616" t="str">
            <v>Small Cap</v>
          </cell>
        </row>
        <row r="1617">
          <cell r="C1617" t="str">
            <v>INE540G01014</v>
          </cell>
          <cell r="D1617" t="str">
            <v>AMBIKCO</v>
          </cell>
          <cell r="E1617">
            <v>810.65613789700001</v>
          </cell>
          <cell r="F1617" t="str">
            <v>AMBIKCO</v>
          </cell>
          <cell r="G1617">
            <v>810.51279999999997</v>
          </cell>
          <cell r="H1617" t="str">
            <v>-</v>
          </cell>
          <cell r="I1617" t="str">
            <v>-</v>
          </cell>
          <cell r="J1617">
            <v>810.58446894849999</v>
          </cell>
          <cell r="K1617" t="str">
            <v>Small Cap</v>
          </cell>
        </row>
        <row r="1618">
          <cell r="C1618" t="str">
            <v>INE01A801013</v>
          </cell>
          <cell r="D1618" t="str">
            <v>-</v>
          </cell>
          <cell r="E1618" t="str">
            <v>-</v>
          </cell>
          <cell r="F1618" t="str">
            <v>-</v>
          </cell>
          <cell r="G1618" t="str">
            <v>-</v>
          </cell>
          <cell r="H1618" t="str">
            <v>UTSAV</v>
          </cell>
          <cell r="I1618">
            <v>810.04032555555546</v>
          </cell>
          <cell r="J1618">
            <v>810.04032555555546</v>
          </cell>
          <cell r="K1618" t="str">
            <v>Small Cap</v>
          </cell>
        </row>
        <row r="1619">
          <cell r="C1619" t="str">
            <v>INE418E01018</v>
          </cell>
          <cell r="D1619" t="str">
            <v>PERMAGN</v>
          </cell>
          <cell r="E1619">
            <v>809.44744675000004</v>
          </cell>
          <cell r="F1619" t="str">
            <v>-</v>
          </cell>
          <cell r="G1619" t="str">
            <v>-</v>
          </cell>
          <cell r="H1619" t="str">
            <v>-</v>
          </cell>
          <cell r="I1619" t="str">
            <v>-</v>
          </cell>
          <cell r="J1619">
            <v>809.44744675000004</v>
          </cell>
          <cell r="K1619" t="str">
            <v>Small Cap</v>
          </cell>
        </row>
        <row r="1620">
          <cell r="C1620" t="str">
            <v>INE368U01029</v>
          </cell>
          <cell r="D1620" t="str">
            <v>-</v>
          </cell>
          <cell r="E1620" t="str">
            <v>-</v>
          </cell>
          <cell r="F1620" t="str">
            <v>UNITEDPOLY</v>
          </cell>
          <cell r="G1620">
            <v>808.35180000000003</v>
          </cell>
          <cell r="H1620" t="str">
            <v>-</v>
          </cell>
          <cell r="I1620" t="str">
            <v>-</v>
          </cell>
          <cell r="J1620">
            <v>808.35180000000003</v>
          </cell>
          <cell r="K1620" t="str">
            <v>Small Cap</v>
          </cell>
        </row>
        <row r="1621">
          <cell r="C1621" t="str">
            <v>INE048C01025</v>
          </cell>
          <cell r="D1621" t="str">
            <v>VHLTD</v>
          </cell>
          <cell r="E1621">
            <v>809.69341107600007</v>
          </cell>
          <cell r="F1621" t="str">
            <v>VHLTD</v>
          </cell>
          <cell r="G1621">
            <v>805.62530000000004</v>
          </cell>
          <cell r="H1621" t="str">
            <v>-</v>
          </cell>
          <cell r="I1621" t="str">
            <v>-</v>
          </cell>
          <cell r="J1621">
            <v>807.659355538</v>
          </cell>
          <cell r="K1621" t="str">
            <v>Small Cap</v>
          </cell>
        </row>
        <row r="1622">
          <cell r="C1622" t="str">
            <v>INE701G01012</v>
          </cell>
          <cell r="D1622" t="str">
            <v>AKCAPIT</v>
          </cell>
          <cell r="E1622">
            <v>807.55373809499997</v>
          </cell>
          <cell r="F1622" t="str">
            <v>-</v>
          </cell>
          <cell r="G1622" t="str">
            <v>-</v>
          </cell>
          <cell r="H1622" t="str">
            <v>-</v>
          </cell>
          <cell r="I1622" t="str">
            <v>-</v>
          </cell>
          <cell r="J1622">
            <v>807.55373809499997</v>
          </cell>
          <cell r="K1622" t="str">
            <v>Small Cap</v>
          </cell>
        </row>
        <row r="1623">
          <cell r="C1623" t="str">
            <v>INE222F01029</v>
          </cell>
          <cell r="D1623" t="str">
            <v>VTMLTD</v>
          </cell>
          <cell r="E1623">
            <v>807.38070266700004</v>
          </cell>
          <cell r="F1623" t="str">
            <v>-</v>
          </cell>
          <cell r="G1623" t="str">
            <v>-</v>
          </cell>
          <cell r="H1623" t="str">
            <v>-</v>
          </cell>
          <cell r="I1623" t="str">
            <v>-</v>
          </cell>
          <cell r="J1623">
            <v>807.38070266700004</v>
          </cell>
          <cell r="K1623" t="str">
            <v>Small Cap</v>
          </cell>
        </row>
        <row r="1624">
          <cell r="C1624" t="str">
            <v>INE784R01023</v>
          </cell>
          <cell r="D1624" t="str">
            <v>ARFIN</v>
          </cell>
          <cell r="E1624">
            <v>784.63323650699999</v>
          </cell>
          <cell r="F1624" t="str">
            <v>ARFIN</v>
          </cell>
          <cell r="G1624">
            <v>829.92160000000001</v>
          </cell>
          <cell r="H1624" t="str">
            <v>-</v>
          </cell>
          <cell r="I1624" t="str">
            <v>-</v>
          </cell>
          <cell r="J1624">
            <v>807.27741825349995</v>
          </cell>
          <cell r="K1624" t="str">
            <v>Small Cap</v>
          </cell>
        </row>
        <row r="1625">
          <cell r="C1625" t="str">
            <v>INE0OMI01019</v>
          </cell>
          <cell r="D1625" t="str">
            <v>BRIGHT</v>
          </cell>
          <cell r="E1625">
            <v>806.39544562799995</v>
          </cell>
          <cell r="F1625" t="str">
            <v>-</v>
          </cell>
          <cell r="G1625" t="str">
            <v>-</v>
          </cell>
          <cell r="H1625" t="str">
            <v>-</v>
          </cell>
          <cell r="I1625" t="str">
            <v>-</v>
          </cell>
          <cell r="J1625">
            <v>806.39544562799995</v>
          </cell>
          <cell r="K1625" t="str">
            <v>Small Cap</v>
          </cell>
        </row>
        <row r="1626">
          <cell r="C1626" t="str">
            <v>INE0DQN01013</v>
          </cell>
          <cell r="D1626" t="str">
            <v>NISUS</v>
          </cell>
          <cell r="E1626">
            <v>805.33724722600004</v>
          </cell>
          <cell r="F1626" t="str">
            <v>-</v>
          </cell>
          <cell r="G1626" t="str">
            <v>-</v>
          </cell>
          <cell r="H1626" t="str">
            <v>-</v>
          </cell>
          <cell r="I1626" t="str">
            <v>-</v>
          </cell>
          <cell r="J1626">
            <v>805.33724722600004</v>
          </cell>
          <cell r="K1626" t="str">
            <v>Small Cap</v>
          </cell>
        </row>
        <row r="1627">
          <cell r="C1627" t="str">
            <v>INE803D01021</v>
          </cell>
          <cell r="D1627" t="str">
            <v>INDOBORAX</v>
          </cell>
          <cell r="E1627">
            <v>804.525588492</v>
          </cell>
          <cell r="F1627" t="str">
            <v>INDOBORAX</v>
          </cell>
          <cell r="G1627">
            <v>804.58190000000002</v>
          </cell>
          <cell r="H1627" t="str">
            <v>-</v>
          </cell>
          <cell r="I1627" t="str">
            <v>-</v>
          </cell>
          <cell r="J1627">
            <v>804.55374424599995</v>
          </cell>
          <cell r="K1627" t="str">
            <v>Small Cap</v>
          </cell>
        </row>
        <row r="1628">
          <cell r="C1628" t="str">
            <v>INE1B0W01010</v>
          </cell>
          <cell r="D1628" t="str">
            <v>ADVANCE</v>
          </cell>
          <cell r="E1628">
            <v>804.22322419600005</v>
          </cell>
          <cell r="F1628" t="str">
            <v>ADVANCE</v>
          </cell>
          <cell r="G1628">
            <v>804.71529999999996</v>
          </cell>
          <cell r="H1628" t="str">
            <v>-</v>
          </cell>
          <cell r="I1628" t="str">
            <v>-</v>
          </cell>
          <cell r="J1628">
            <v>804.46926209799994</v>
          </cell>
          <cell r="K1628" t="str">
            <v>Small Cap</v>
          </cell>
        </row>
        <row r="1629">
          <cell r="C1629" t="str">
            <v>INE668G01021</v>
          </cell>
          <cell r="D1629" t="str">
            <v>ELDEHSG</v>
          </cell>
          <cell r="E1629">
            <v>805.14203813500001</v>
          </cell>
          <cell r="F1629" t="str">
            <v>ELDEHSG</v>
          </cell>
          <cell r="G1629">
            <v>802.95579999999995</v>
          </cell>
          <cell r="H1629" t="str">
            <v>-</v>
          </cell>
          <cell r="I1629" t="str">
            <v>-</v>
          </cell>
          <cell r="J1629">
            <v>804.04891906750004</v>
          </cell>
          <cell r="K1629" t="str">
            <v>Small Cap</v>
          </cell>
        </row>
        <row r="1630">
          <cell r="C1630" t="str">
            <v>INE732S01012</v>
          </cell>
          <cell r="D1630" t="str">
            <v>-</v>
          </cell>
          <cell r="E1630" t="str">
            <v>-</v>
          </cell>
          <cell r="F1630" t="str">
            <v>SAKAR</v>
          </cell>
          <cell r="G1630">
            <v>803.10270000000003</v>
          </cell>
          <cell r="H1630" t="str">
            <v>-</v>
          </cell>
          <cell r="I1630" t="str">
            <v>-</v>
          </cell>
          <cell r="J1630">
            <v>803.10270000000003</v>
          </cell>
          <cell r="K1630" t="str">
            <v>Small Cap</v>
          </cell>
        </row>
        <row r="1631">
          <cell r="C1631" t="str">
            <v>INE395U01014</v>
          </cell>
          <cell r="D1631" t="str">
            <v>NINSYS</v>
          </cell>
          <cell r="E1631">
            <v>801.53818285699992</v>
          </cell>
          <cell r="F1631" t="str">
            <v>NINSYS</v>
          </cell>
          <cell r="G1631">
            <v>801.0797</v>
          </cell>
          <cell r="H1631" t="str">
            <v>-</v>
          </cell>
          <cell r="I1631" t="str">
            <v>-</v>
          </cell>
          <cell r="J1631">
            <v>801.30894142850002</v>
          </cell>
          <cell r="K1631" t="str">
            <v>Small Cap</v>
          </cell>
        </row>
        <row r="1632">
          <cell r="C1632" t="str">
            <v>INE389C01015</v>
          </cell>
          <cell r="D1632" t="str">
            <v>MALLCOM</v>
          </cell>
          <cell r="E1632">
            <v>799.54382857099995</v>
          </cell>
          <cell r="F1632" t="str">
            <v>MALLCOM</v>
          </cell>
          <cell r="G1632">
            <v>799.9239</v>
          </cell>
          <cell r="H1632" t="str">
            <v>-</v>
          </cell>
          <cell r="I1632" t="str">
            <v>-</v>
          </cell>
          <cell r="J1632">
            <v>799.73386428549998</v>
          </cell>
          <cell r="K1632" t="str">
            <v>Small Cap</v>
          </cell>
        </row>
        <row r="1633">
          <cell r="C1633" t="str">
            <v>INE338D01028</v>
          </cell>
          <cell r="D1633" t="str">
            <v>BODALCHEM</v>
          </cell>
          <cell r="E1633">
            <v>799.80478611400008</v>
          </cell>
          <cell r="F1633" t="str">
            <v>BODALCHEM</v>
          </cell>
          <cell r="G1633">
            <v>799.61490000000003</v>
          </cell>
          <cell r="H1633" t="str">
            <v>-</v>
          </cell>
          <cell r="I1633" t="str">
            <v>-</v>
          </cell>
          <cell r="J1633">
            <v>799.70984305700006</v>
          </cell>
          <cell r="K1633" t="str">
            <v>Small Cap</v>
          </cell>
        </row>
        <row r="1634">
          <cell r="C1634" t="str">
            <v>INE0CG401037</v>
          </cell>
          <cell r="D1634" t="str">
            <v>MUKKA</v>
          </cell>
          <cell r="E1634">
            <v>799.27857142899995</v>
          </cell>
          <cell r="F1634" t="str">
            <v>MUKKA</v>
          </cell>
          <cell r="G1634">
            <v>799.30709999999999</v>
          </cell>
          <cell r="H1634" t="str">
            <v>-</v>
          </cell>
          <cell r="I1634" t="str">
            <v>-</v>
          </cell>
          <cell r="J1634">
            <v>799.29283571449992</v>
          </cell>
          <cell r="K1634" t="str">
            <v>Small Cap</v>
          </cell>
        </row>
        <row r="1635">
          <cell r="C1635" t="str">
            <v>INE219W01012</v>
          </cell>
          <cell r="D1635" t="str">
            <v>MODINSU</v>
          </cell>
          <cell r="E1635">
            <v>797.91050749999999</v>
          </cell>
          <cell r="F1635" t="str">
            <v>-</v>
          </cell>
          <cell r="G1635" t="str">
            <v>-</v>
          </cell>
          <cell r="H1635" t="str">
            <v>-</v>
          </cell>
          <cell r="I1635" t="str">
            <v>-</v>
          </cell>
          <cell r="J1635">
            <v>797.91050749999999</v>
          </cell>
          <cell r="K1635" t="str">
            <v>Small Cap</v>
          </cell>
        </row>
        <row r="1636">
          <cell r="C1636" t="str">
            <v>INE687A01016</v>
          </cell>
          <cell r="D1636" t="str">
            <v>TRANSPEK</v>
          </cell>
          <cell r="E1636">
            <v>793.71312294300003</v>
          </cell>
          <cell r="F1636" t="str">
            <v>-</v>
          </cell>
          <cell r="G1636" t="str">
            <v>-</v>
          </cell>
          <cell r="H1636" t="str">
            <v>-</v>
          </cell>
          <cell r="I1636" t="str">
            <v>-</v>
          </cell>
          <cell r="J1636">
            <v>793.71312294300003</v>
          </cell>
          <cell r="K1636" t="str">
            <v>Small Cap</v>
          </cell>
        </row>
        <row r="1637">
          <cell r="C1637" t="str">
            <v>INE220Q01020</v>
          </cell>
          <cell r="D1637" t="str">
            <v>MUFTI</v>
          </cell>
          <cell r="E1637">
            <v>792.464637928</v>
          </cell>
          <cell r="F1637" t="str">
            <v>MUFTI</v>
          </cell>
          <cell r="G1637">
            <v>792.07119999999998</v>
          </cell>
          <cell r="H1637" t="str">
            <v>-</v>
          </cell>
          <cell r="I1637" t="str">
            <v>-</v>
          </cell>
          <cell r="J1637">
            <v>792.26791896400005</v>
          </cell>
          <cell r="K1637" t="str">
            <v>Small Cap</v>
          </cell>
        </row>
        <row r="1638">
          <cell r="C1638" t="str">
            <v>INE967C01018</v>
          </cell>
          <cell r="D1638" t="str">
            <v>KAMATHOTEL</v>
          </cell>
          <cell r="E1638">
            <v>791.72242888400001</v>
          </cell>
          <cell r="F1638" t="str">
            <v>KAMATHOTEL</v>
          </cell>
          <cell r="G1638">
            <v>791.91010000000006</v>
          </cell>
          <cell r="H1638" t="str">
            <v>-</v>
          </cell>
          <cell r="I1638" t="str">
            <v>-</v>
          </cell>
          <cell r="J1638">
            <v>791.81626444200003</v>
          </cell>
          <cell r="K1638" t="str">
            <v>Small Cap</v>
          </cell>
        </row>
        <row r="1639">
          <cell r="C1639" t="str">
            <v>INE760B01019</v>
          </cell>
          <cell r="D1639" t="str">
            <v>VALIANT</v>
          </cell>
          <cell r="E1639">
            <v>787.48807136400001</v>
          </cell>
          <cell r="F1639" t="str">
            <v>-</v>
          </cell>
          <cell r="G1639" t="str">
            <v>-</v>
          </cell>
          <cell r="H1639" t="str">
            <v>-</v>
          </cell>
          <cell r="I1639" t="str">
            <v>-</v>
          </cell>
          <cell r="J1639">
            <v>787.48807136400001</v>
          </cell>
          <cell r="K1639" t="str">
            <v>Small Cap</v>
          </cell>
        </row>
        <row r="1640">
          <cell r="C1640" t="str">
            <v>INE170E01023</v>
          </cell>
          <cell r="D1640" t="str">
            <v>SATIA</v>
          </cell>
          <cell r="E1640">
            <v>787.18015873000002</v>
          </cell>
          <cell r="F1640" t="str">
            <v>SATIA</v>
          </cell>
          <cell r="G1640">
            <v>787.3913</v>
          </cell>
          <cell r="H1640" t="str">
            <v>-</v>
          </cell>
          <cell r="I1640" t="str">
            <v>-</v>
          </cell>
          <cell r="J1640">
            <v>787.28572936499995</v>
          </cell>
          <cell r="K1640" t="str">
            <v>Small Cap</v>
          </cell>
        </row>
        <row r="1641">
          <cell r="C1641" t="str">
            <v>INE366A01041</v>
          </cell>
          <cell r="D1641" t="str">
            <v>DWARKESH</v>
          </cell>
          <cell r="E1641">
            <v>787.10917192900001</v>
          </cell>
          <cell r="F1641" t="str">
            <v>DWARKESH</v>
          </cell>
          <cell r="G1641">
            <v>786.95920000000001</v>
          </cell>
          <cell r="H1641" t="str">
            <v>-</v>
          </cell>
          <cell r="I1641" t="str">
            <v>-</v>
          </cell>
          <cell r="J1641">
            <v>787.03418596450001</v>
          </cell>
          <cell r="K1641" t="str">
            <v>Small Cap</v>
          </cell>
        </row>
        <row r="1642">
          <cell r="C1642" t="str">
            <v>INE134B01017</v>
          </cell>
          <cell r="D1642" t="str">
            <v>KECL</v>
          </cell>
          <cell r="E1642">
            <v>787.01201230799995</v>
          </cell>
          <cell r="F1642" t="str">
            <v>KECL</v>
          </cell>
          <cell r="G1642">
            <v>786.89239999999995</v>
          </cell>
          <cell r="H1642" t="str">
            <v>-</v>
          </cell>
          <cell r="I1642" t="str">
            <v>-</v>
          </cell>
          <cell r="J1642">
            <v>786.9522061539999</v>
          </cell>
          <cell r="K1642" t="str">
            <v>Small Cap</v>
          </cell>
        </row>
        <row r="1643">
          <cell r="C1643" t="str">
            <v>INE290A01027</v>
          </cell>
          <cell r="D1643" t="str">
            <v>NAHARSPING</v>
          </cell>
          <cell r="E1643">
            <v>785.96599609300006</v>
          </cell>
          <cell r="F1643" t="str">
            <v>NAHARSPING</v>
          </cell>
          <cell r="G1643">
            <v>786.34550000000002</v>
          </cell>
          <cell r="H1643" t="str">
            <v>-</v>
          </cell>
          <cell r="I1643" t="str">
            <v>-</v>
          </cell>
          <cell r="J1643">
            <v>786.15574804650009</v>
          </cell>
          <cell r="K1643" t="str">
            <v>Small Cap</v>
          </cell>
        </row>
        <row r="1644">
          <cell r="C1644" t="str">
            <v>INE390H01020</v>
          </cell>
          <cell r="D1644" t="str">
            <v>KAMDHENU</v>
          </cell>
          <cell r="E1644">
            <v>786.05103320600006</v>
          </cell>
          <cell r="F1644" t="str">
            <v>KAMDHENU</v>
          </cell>
          <cell r="G1644">
            <v>785.57079999999996</v>
          </cell>
          <cell r="H1644" t="str">
            <v>-</v>
          </cell>
          <cell r="I1644" t="str">
            <v>-</v>
          </cell>
          <cell r="J1644">
            <v>785.81091660300001</v>
          </cell>
          <cell r="K1644" t="str">
            <v>Small Cap</v>
          </cell>
        </row>
        <row r="1645">
          <cell r="C1645" t="str">
            <v>INE01EG01016</v>
          </cell>
          <cell r="D1645" t="str">
            <v>RITCO</v>
          </cell>
          <cell r="E1645">
            <v>786.72842763100005</v>
          </cell>
          <cell r="F1645" t="str">
            <v>RITCO</v>
          </cell>
          <cell r="G1645">
            <v>784.68899999999996</v>
          </cell>
          <cell r="H1645" t="str">
            <v>-</v>
          </cell>
          <cell r="I1645" t="str">
            <v>-</v>
          </cell>
          <cell r="J1645">
            <v>785.7087138155</v>
          </cell>
          <cell r="K1645" t="str">
            <v>Small Cap</v>
          </cell>
        </row>
        <row r="1646">
          <cell r="C1646" t="str">
            <v>INE265B01019</v>
          </cell>
          <cell r="D1646" t="str">
            <v>NITTAGELA</v>
          </cell>
          <cell r="E1646">
            <v>781.16227958100001</v>
          </cell>
          <cell r="F1646" t="str">
            <v>-</v>
          </cell>
          <cell r="G1646" t="str">
            <v>-</v>
          </cell>
          <cell r="H1646" t="str">
            <v>-</v>
          </cell>
          <cell r="I1646" t="str">
            <v>-</v>
          </cell>
          <cell r="J1646">
            <v>781.16227958100001</v>
          </cell>
          <cell r="K1646" t="str">
            <v>Small Cap</v>
          </cell>
        </row>
        <row r="1647">
          <cell r="C1647" t="str">
            <v>INE984B01023</v>
          </cell>
          <cell r="D1647" t="str">
            <v>INTEGRAEN</v>
          </cell>
          <cell r="E1647">
            <v>778.93349443199997</v>
          </cell>
          <cell r="F1647" t="str">
            <v>-</v>
          </cell>
          <cell r="G1647" t="str">
            <v>-</v>
          </cell>
          <cell r="H1647" t="str">
            <v>-</v>
          </cell>
          <cell r="I1647" t="str">
            <v>-</v>
          </cell>
          <cell r="J1647">
            <v>778.93349443199997</v>
          </cell>
          <cell r="K1647" t="str">
            <v>Small Cap</v>
          </cell>
        </row>
        <row r="1648">
          <cell r="C1648" t="str">
            <v>INE346W01013</v>
          </cell>
          <cell r="D1648" t="str">
            <v xml:space="preserve">APEX </v>
          </cell>
          <cell r="E1648">
            <v>778.33085317500002</v>
          </cell>
          <cell r="F1648" t="str">
            <v>APEX</v>
          </cell>
          <cell r="G1648">
            <v>778.28620000000001</v>
          </cell>
          <cell r="H1648" t="str">
            <v>-</v>
          </cell>
          <cell r="I1648" t="str">
            <v>-</v>
          </cell>
          <cell r="J1648">
            <v>778.30852658749995</v>
          </cell>
          <cell r="K1648" t="str">
            <v>Small Cap</v>
          </cell>
        </row>
        <row r="1649">
          <cell r="C1649" t="str">
            <v>INE082A01010</v>
          </cell>
          <cell r="D1649" t="str">
            <v>KOPRAN</v>
          </cell>
          <cell r="E1649">
            <v>777.88684483599991</v>
          </cell>
          <cell r="F1649" t="str">
            <v>KOPRAN</v>
          </cell>
          <cell r="G1649">
            <v>777.79179999999997</v>
          </cell>
          <cell r="H1649" t="str">
            <v>-</v>
          </cell>
          <cell r="I1649" t="str">
            <v>-</v>
          </cell>
          <cell r="J1649">
            <v>777.83932241799994</v>
          </cell>
          <cell r="K1649" t="str">
            <v>Small Cap</v>
          </cell>
        </row>
        <row r="1650">
          <cell r="C1650" t="str">
            <v>INE953E01022</v>
          </cell>
          <cell r="D1650" t="str">
            <v>KSE</v>
          </cell>
          <cell r="E1650">
            <v>775.76965079399997</v>
          </cell>
          <cell r="F1650" t="str">
            <v>-</v>
          </cell>
          <cell r="G1650" t="str">
            <v>-</v>
          </cell>
          <cell r="H1650" t="str">
            <v>-</v>
          </cell>
          <cell r="I1650" t="str">
            <v>-</v>
          </cell>
          <cell r="J1650">
            <v>775.76965079399997</v>
          </cell>
          <cell r="K1650" t="str">
            <v>Small Cap</v>
          </cell>
        </row>
        <row r="1651">
          <cell r="C1651" t="str">
            <v>INE347W01011</v>
          </cell>
          <cell r="D1651" t="str">
            <v>MAGADSUGAR</v>
          </cell>
          <cell r="E1651">
            <v>774.41559210000003</v>
          </cell>
          <cell r="F1651" t="str">
            <v>MAGADSUGAR</v>
          </cell>
          <cell r="G1651">
            <v>774.6952</v>
          </cell>
          <cell r="H1651" t="str">
            <v>-</v>
          </cell>
          <cell r="I1651" t="str">
            <v>-</v>
          </cell>
          <cell r="J1651">
            <v>774.55539605000001</v>
          </cell>
          <cell r="K1651" t="str">
            <v>Small Cap</v>
          </cell>
        </row>
        <row r="1652">
          <cell r="C1652" t="str">
            <v>INE02GA01012</v>
          </cell>
          <cell r="D1652" t="str">
            <v>ARL</v>
          </cell>
          <cell r="E1652">
            <v>772.91547302100003</v>
          </cell>
          <cell r="F1652" t="str">
            <v>-</v>
          </cell>
          <cell r="G1652" t="str">
            <v>-</v>
          </cell>
          <cell r="H1652" t="str">
            <v>-</v>
          </cell>
          <cell r="I1652" t="str">
            <v>-</v>
          </cell>
          <cell r="J1652">
            <v>772.91547302100003</v>
          </cell>
          <cell r="K1652" t="str">
            <v>Small Cap</v>
          </cell>
        </row>
        <row r="1653">
          <cell r="C1653" t="str">
            <v>INE0FMZ01045</v>
          </cell>
          <cell r="D1653" t="str">
            <v>SHREEREF</v>
          </cell>
          <cell r="E1653">
            <v>772.20955202599998</v>
          </cell>
          <cell r="F1653" t="str">
            <v>-</v>
          </cell>
          <cell r="G1653" t="str">
            <v>-</v>
          </cell>
          <cell r="H1653" t="str">
            <v>-</v>
          </cell>
          <cell r="I1653" t="str">
            <v>-</v>
          </cell>
          <cell r="J1653">
            <v>772.20955202599998</v>
          </cell>
          <cell r="K1653" t="str">
            <v>Small Cap</v>
          </cell>
        </row>
        <row r="1654">
          <cell r="C1654" t="str">
            <v>INE0R8B01010</v>
          </cell>
          <cell r="D1654" t="str">
            <v>PATELRMART</v>
          </cell>
          <cell r="E1654">
            <v>771.83821281600001</v>
          </cell>
          <cell r="F1654" t="str">
            <v>PATELRMART</v>
          </cell>
          <cell r="G1654">
            <v>772.02589999999998</v>
          </cell>
          <cell r="H1654" t="str">
            <v>-</v>
          </cell>
          <cell r="I1654" t="str">
            <v>-</v>
          </cell>
          <cell r="J1654">
            <v>771.93205640799999</v>
          </cell>
          <cell r="K1654" t="str">
            <v>Small Cap</v>
          </cell>
        </row>
        <row r="1655">
          <cell r="C1655" t="str">
            <v>INE144J01027</v>
          </cell>
          <cell r="D1655" t="str">
            <v>20MICRONS</v>
          </cell>
          <cell r="E1655">
            <v>771.21730688599996</v>
          </cell>
          <cell r="F1655" t="str">
            <v>20MICRONS</v>
          </cell>
          <cell r="G1655">
            <v>771.01620000000003</v>
          </cell>
          <cell r="H1655" t="str">
            <v>-</v>
          </cell>
          <cell r="I1655" t="str">
            <v>-</v>
          </cell>
          <cell r="J1655">
            <v>771.11675344299999</v>
          </cell>
          <cell r="K1655" t="str">
            <v>Small Cap</v>
          </cell>
        </row>
        <row r="1656">
          <cell r="C1656" t="str">
            <v>INE301D01026</v>
          </cell>
          <cell r="D1656" t="str">
            <v>RUBYMILLS</v>
          </cell>
          <cell r="E1656">
            <v>767.53823492100003</v>
          </cell>
          <cell r="F1656" t="str">
            <v>RUBYMILLS</v>
          </cell>
          <cell r="G1656">
            <v>767.70069999999998</v>
          </cell>
          <cell r="H1656" t="str">
            <v>-</v>
          </cell>
          <cell r="I1656" t="str">
            <v>-</v>
          </cell>
          <cell r="J1656">
            <v>767.6194674605</v>
          </cell>
          <cell r="K1656" t="str">
            <v>Small Cap</v>
          </cell>
        </row>
        <row r="1657">
          <cell r="C1657" t="str">
            <v>INE0PA801013</v>
          </cell>
          <cell r="D1657" t="str">
            <v>GHCLTEXTIL</v>
          </cell>
          <cell r="E1657">
            <v>767.50227559999996</v>
          </cell>
          <cell r="F1657" t="str">
            <v>GHCLTEXTIL</v>
          </cell>
          <cell r="G1657">
            <v>767.46659999999997</v>
          </cell>
          <cell r="H1657" t="str">
            <v>-</v>
          </cell>
          <cell r="I1657" t="str">
            <v>-</v>
          </cell>
          <cell r="J1657">
            <v>767.48443780000002</v>
          </cell>
          <cell r="K1657" t="str">
            <v>Small Cap</v>
          </cell>
        </row>
        <row r="1658">
          <cell r="C1658" t="str">
            <v>INE777G01012</v>
          </cell>
          <cell r="D1658" t="str">
            <v>SRAMSET</v>
          </cell>
          <cell r="E1658">
            <v>767.22092655899996</v>
          </cell>
          <cell r="F1658" t="str">
            <v>-</v>
          </cell>
          <cell r="G1658" t="str">
            <v>-</v>
          </cell>
          <cell r="H1658" t="str">
            <v>-</v>
          </cell>
          <cell r="I1658" t="str">
            <v>-</v>
          </cell>
          <cell r="J1658">
            <v>767.22092655899996</v>
          </cell>
          <cell r="K1658" t="str">
            <v>Small Cap</v>
          </cell>
        </row>
        <row r="1659">
          <cell r="C1659" t="str">
            <v>INE199E01014</v>
          </cell>
          <cell r="D1659" t="str">
            <v>SUNSHIEL</v>
          </cell>
          <cell r="E1659">
            <v>764.88850555399995</v>
          </cell>
          <cell r="F1659" t="str">
            <v>-</v>
          </cell>
          <cell r="G1659" t="str">
            <v>-</v>
          </cell>
          <cell r="H1659" t="str">
            <v>-</v>
          </cell>
          <cell r="I1659" t="str">
            <v>-</v>
          </cell>
          <cell r="J1659">
            <v>764.88850555399995</v>
          </cell>
          <cell r="K1659" t="str">
            <v>Small Cap</v>
          </cell>
        </row>
        <row r="1660">
          <cell r="C1660" t="str">
            <v>INE195N01013</v>
          </cell>
          <cell r="D1660" t="str">
            <v>PROZONER</v>
          </cell>
          <cell r="E1660">
            <v>763.301453756</v>
          </cell>
          <cell r="F1660" t="str">
            <v>PROZONER</v>
          </cell>
          <cell r="G1660">
            <v>763.88890000000004</v>
          </cell>
          <cell r="H1660" t="str">
            <v>-</v>
          </cell>
          <cell r="I1660" t="str">
            <v>-</v>
          </cell>
          <cell r="J1660">
            <v>763.59517687800007</v>
          </cell>
          <cell r="K1660" t="str">
            <v>Small Cap</v>
          </cell>
        </row>
        <row r="1661">
          <cell r="C1661" t="str">
            <v>INE655A01013</v>
          </cell>
          <cell r="D1661" t="str">
            <v>STCINDIA</v>
          </cell>
          <cell r="E1661">
            <v>763.85</v>
          </cell>
          <cell r="F1661" t="str">
            <v>STCINDIA</v>
          </cell>
          <cell r="G1661">
            <v>763.25480000000005</v>
          </cell>
          <cell r="H1661" t="str">
            <v>-</v>
          </cell>
          <cell r="I1661" t="str">
            <v>-</v>
          </cell>
          <cell r="J1661">
            <v>763.55240000000003</v>
          </cell>
          <cell r="K1661" t="str">
            <v>Small Cap</v>
          </cell>
        </row>
        <row r="1662">
          <cell r="C1662" t="str">
            <v>INE252A01019</v>
          </cell>
          <cell r="D1662" t="str">
            <v>SPELS</v>
          </cell>
          <cell r="E1662">
            <v>763.05701580900006</v>
          </cell>
          <cell r="F1662" t="str">
            <v>-</v>
          </cell>
          <cell r="G1662" t="str">
            <v>-</v>
          </cell>
          <cell r="H1662" t="str">
            <v>-</v>
          </cell>
          <cell r="I1662" t="str">
            <v>-</v>
          </cell>
          <cell r="J1662">
            <v>763.05701580900006</v>
          </cell>
          <cell r="K1662" t="str">
            <v>Small Cap</v>
          </cell>
        </row>
        <row r="1663">
          <cell r="C1663" t="str">
            <v>INE802B01027</v>
          </cell>
          <cell r="D1663" t="str">
            <v>LINC</v>
          </cell>
          <cell r="E1663">
            <v>762.28045554599998</v>
          </cell>
          <cell r="F1663" t="str">
            <v>LINC</v>
          </cell>
          <cell r="G1663">
            <v>759.15729999999996</v>
          </cell>
          <cell r="H1663" t="str">
            <v>-</v>
          </cell>
          <cell r="I1663" t="str">
            <v>-</v>
          </cell>
          <cell r="J1663">
            <v>760.71887777300003</v>
          </cell>
          <cell r="K1663" t="str">
            <v>Small Cap</v>
          </cell>
        </row>
        <row r="1664">
          <cell r="C1664" t="str">
            <v>INE311M01018</v>
          </cell>
          <cell r="D1664" t="str">
            <v>SHRADDHA</v>
          </cell>
          <cell r="E1664">
            <v>759.97647749999999</v>
          </cell>
          <cell r="F1664" t="str">
            <v>-</v>
          </cell>
          <cell r="G1664" t="str">
            <v>-</v>
          </cell>
          <cell r="H1664" t="str">
            <v>-</v>
          </cell>
          <cell r="I1664" t="str">
            <v>-</v>
          </cell>
          <cell r="J1664">
            <v>759.97647749999999</v>
          </cell>
          <cell r="K1664" t="str">
            <v>Small Cap</v>
          </cell>
        </row>
        <row r="1665">
          <cell r="C1665" t="str">
            <v>INE0O3901029</v>
          </cell>
          <cell r="D1665" t="str">
            <v>TREL</v>
          </cell>
          <cell r="E1665">
            <v>760.01425431099995</v>
          </cell>
          <cell r="F1665" t="str">
            <v>TREL</v>
          </cell>
          <cell r="G1665">
            <v>759.44880000000001</v>
          </cell>
          <cell r="H1665" t="str">
            <v>-</v>
          </cell>
          <cell r="I1665" t="str">
            <v>-</v>
          </cell>
          <cell r="J1665">
            <v>759.73152715549998</v>
          </cell>
          <cell r="K1665" t="str">
            <v>Small Cap</v>
          </cell>
        </row>
        <row r="1666">
          <cell r="C1666" t="str">
            <v>INE564J01026</v>
          </cell>
          <cell r="D1666" t="str">
            <v>SHRJAGP</v>
          </cell>
          <cell r="E1666">
            <v>758.20299761899992</v>
          </cell>
          <cell r="F1666" t="str">
            <v>-</v>
          </cell>
          <cell r="G1666" t="str">
            <v>-</v>
          </cell>
          <cell r="H1666" t="str">
            <v>-</v>
          </cell>
          <cell r="I1666" t="str">
            <v>-</v>
          </cell>
          <cell r="J1666">
            <v>758.20299761899992</v>
          </cell>
          <cell r="K1666" t="str">
            <v>Small Cap</v>
          </cell>
        </row>
        <row r="1667">
          <cell r="C1667" t="str">
            <v>INE0D6I01023</v>
          </cell>
          <cell r="D1667" t="str">
            <v>KSOLVES</v>
          </cell>
          <cell r="E1667">
            <v>753.62475809499995</v>
          </cell>
          <cell r="F1667" t="str">
            <v>KSOLVES</v>
          </cell>
          <cell r="G1667">
            <v>753.26160000000004</v>
          </cell>
          <cell r="H1667" t="str">
            <v>-</v>
          </cell>
          <cell r="I1667" t="str">
            <v>-</v>
          </cell>
          <cell r="J1667">
            <v>753.44317904750005</v>
          </cell>
          <cell r="K1667" t="str">
            <v>Small Cap</v>
          </cell>
        </row>
        <row r="1668">
          <cell r="C1668" t="str">
            <v>INE767C01012</v>
          </cell>
          <cell r="D1668" t="str">
            <v>AXTEL</v>
          </cell>
          <cell r="E1668">
            <v>753.29255442900001</v>
          </cell>
          <cell r="F1668" t="str">
            <v>-</v>
          </cell>
          <cell r="G1668" t="str">
            <v>-</v>
          </cell>
          <cell r="H1668" t="str">
            <v>-</v>
          </cell>
          <cell r="I1668" t="str">
            <v>-</v>
          </cell>
          <cell r="J1668">
            <v>753.29255442900001</v>
          </cell>
          <cell r="K1668" t="str">
            <v>Small Cap</v>
          </cell>
        </row>
        <row r="1669">
          <cell r="C1669" t="str">
            <v>INE114O01020</v>
          </cell>
          <cell r="D1669" t="str">
            <v>WORTH</v>
          </cell>
          <cell r="E1669">
            <v>752.66731354000001</v>
          </cell>
          <cell r="F1669" t="str">
            <v>-</v>
          </cell>
          <cell r="G1669" t="str">
            <v>-</v>
          </cell>
          <cell r="H1669" t="str">
            <v>-</v>
          </cell>
          <cell r="I1669" t="str">
            <v>-</v>
          </cell>
          <cell r="J1669">
            <v>752.66731354000001</v>
          </cell>
          <cell r="K1669" t="str">
            <v>Small Cap</v>
          </cell>
        </row>
        <row r="1670">
          <cell r="C1670" t="str">
            <v>INE573K01025</v>
          </cell>
          <cell r="D1670" t="str">
            <v>RUSHIL</v>
          </cell>
          <cell r="E1670">
            <v>753.68026779899992</v>
          </cell>
          <cell r="F1670" t="str">
            <v>RUSHIL</v>
          </cell>
          <cell r="G1670">
            <v>751.50189999999998</v>
          </cell>
          <cell r="H1670" t="str">
            <v>-</v>
          </cell>
          <cell r="I1670" t="str">
            <v>-</v>
          </cell>
          <cell r="J1670">
            <v>752.59108389949995</v>
          </cell>
          <cell r="K1670" t="str">
            <v>Small Cap</v>
          </cell>
        </row>
        <row r="1671">
          <cell r="C1671" t="str">
            <v>INE06WU01026</v>
          </cell>
          <cell r="D1671" t="str">
            <v>LAXMIINDIA</v>
          </cell>
          <cell r="E1671">
            <v>752.53578662699999</v>
          </cell>
          <cell r="F1671" t="str">
            <v>LAXMIINDIA</v>
          </cell>
          <cell r="G1671">
            <v>752.53420000000006</v>
          </cell>
          <cell r="H1671" t="str">
            <v>-</v>
          </cell>
          <cell r="I1671" t="str">
            <v>-</v>
          </cell>
          <cell r="J1671">
            <v>752.53499331350008</v>
          </cell>
          <cell r="K1671" t="str">
            <v>Small Cap</v>
          </cell>
        </row>
        <row r="1672">
          <cell r="C1672" t="str">
            <v>INE916G01016</v>
          </cell>
          <cell r="D1672" t="str">
            <v>GEECEE</v>
          </cell>
          <cell r="E1672">
            <v>752.06294907799997</v>
          </cell>
          <cell r="F1672" t="str">
            <v>GEECEE</v>
          </cell>
          <cell r="G1672">
            <v>751.92269999999996</v>
          </cell>
          <cell r="H1672" t="str">
            <v>-</v>
          </cell>
          <cell r="I1672" t="str">
            <v>-</v>
          </cell>
          <cell r="J1672">
            <v>751.99282453899991</v>
          </cell>
          <cell r="K1672" t="str">
            <v>Small Cap</v>
          </cell>
        </row>
        <row r="1673">
          <cell r="C1673" t="str">
            <v>INE365I01020</v>
          </cell>
          <cell r="D1673" t="str">
            <v>-</v>
          </cell>
          <cell r="E1673" t="str">
            <v>-</v>
          </cell>
          <cell r="F1673" t="str">
            <v>NBIFIN</v>
          </cell>
          <cell r="G1673">
            <v>751.3365</v>
          </cell>
          <cell r="H1673" t="str">
            <v>-</v>
          </cell>
          <cell r="I1673" t="str">
            <v>-</v>
          </cell>
          <cell r="J1673">
            <v>751.3365</v>
          </cell>
          <cell r="K1673" t="str">
            <v>Small Cap</v>
          </cell>
        </row>
        <row r="1674">
          <cell r="C1674" t="str">
            <v>INE102A01024</v>
          </cell>
          <cell r="D1674" t="str">
            <v>HLVLTD</v>
          </cell>
          <cell r="E1674">
            <v>751.11677826099992</v>
          </cell>
          <cell r="F1674" t="str">
            <v>HLVLTD</v>
          </cell>
          <cell r="G1674">
            <v>750.70870000000002</v>
          </cell>
          <cell r="H1674" t="str">
            <v>-</v>
          </cell>
          <cell r="I1674" t="str">
            <v>-</v>
          </cell>
          <cell r="J1674">
            <v>750.91273913049997</v>
          </cell>
          <cell r="K1674" t="str">
            <v>Small Cap</v>
          </cell>
        </row>
        <row r="1675">
          <cell r="C1675" t="str">
            <v>INE1ABX01018</v>
          </cell>
          <cell r="D1675" t="str">
            <v>UNIFIED</v>
          </cell>
          <cell r="E1675">
            <v>745.42322984500004</v>
          </cell>
          <cell r="F1675" t="str">
            <v>-</v>
          </cell>
          <cell r="G1675" t="str">
            <v>-</v>
          </cell>
          <cell r="H1675" t="str">
            <v>-</v>
          </cell>
          <cell r="I1675" t="str">
            <v>-</v>
          </cell>
          <cell r="J1675">
            <v>745.42322984500004</v>
          </cell>
          <cell r="K1675" t="str">
            <v>Small Cap</v>
          </cell>
        </row>
        <row r="1676">
          <cell r="C1676" t="str">
            <v>INE924D01017</v>
          </cell>
          <cell r="D1676" t="str">
            <v>THEINVEST</v>
          </cell>
          <cell r="E1676">
            <v>743.26992305600004</v>
          </cell>
          <cell r="F1676" t="str">
            <v>THEINVEST</v>
          </cell>
          <cell r="G1676">
            <v>741.49329999999998</v>
          </cell>
          <cell r="H1676" t="str">
            <v>-</v>
          </cell>
          <cell r="I1676" t="str">
            <v>-</v>
          </cell>
          <cell r="J1676">
            <v>742.38161152800001</v>
          </cell>
          <cell r="K1676" t="str">
            <v>Small Cap</v>
          </cell>
        </row>
        <row r="1677">
          <cell r="C1677" t="str">
            <v>INE362A01016</v>
          </cell>
          <cell r="D1677" t="str">
            <v>PVP</v>
          </cell>
          <cell r="E1677">
            <v>741.61314992100006</v>
          </cell>
          <cell r="F1677" t="str">
            <v>PVP</v>
          </cell>
          <cell r="G1677">
            <v>740.16030000000001</v>
          </cell>
          <cell r="H1677" t="str">
            <v>-</v>
          </cell>
          <cell r="I1677" t="str">
            <v>-</v>
          </cell>
          <cell r="J1677">
            <v>740.88672496050003</v>
          </cell>
          <cell r="K1677" t="str">
            <v>Small Cap</v>
          </cell>
        </row>
        <row r="1678">
          <cell r="C1678" t="str">
            <v>INE050001010</v>
          </cell>
          <cell r="D1678" t="str">
            <v>PPL</v>
          </cell>
          <cell r="E1678">
            <v>740.40213948000007</v>
          </cell>
          <cell r="F1678" t="str">
            <v>PPL</v>
          </cell>
          <cell r="G1678">
            <v>740.15930000000003</v>
          </cell>
          <cell r="H1678" t="str">
            <v>-</v>
          </cell>
          <cell r="I1678" t="str">
            <v>-</v>
          </cell>
          <cell r="J1678">
            <v>740.28071973999999</v>
          </cell>
          <cell r="K1678" t="str">
            <v>Small Cap</v>
          </cell>
        </row>
        <row r="1679">
          <cell r="C1679" t="str">
            <v>INE611A01016</v>
          </cell>
          <cell r="D1679" t="str">
            <v>RSWM</v>
          </cell>
          <cell r="E1679">
            <v>734.14329503100009</v>
          </cell>
          <cell r="F1679" t="str">
            <v>RSWM</v>
          </cell>
          <cell r="G1679">
            <v>734.18960000000004</v>
          </cell>
          <cell r="H1679" t="str">
            <v>-</v>
          </cell>
          <cell r="I1679" t="str">
            <v>-</v>
          </cell>
          <cell r="J1679">
            <v>734.16644751550007</v>
          </cell>
          <cell r="K1679" t="str">
            <v>Small Cap</v>
          </cell>
        </row>
        <row r="1680">
          <cell r="C1680" t="str">
            <v>INE505A01010</v>
          </cell>
          <cell r="D1680" t="str">
            <v>DMCC</v>
          </cell>
          <cell r="E1680">
            <v>732.99353798900006</v>
          </cell>
          <cell r="F1680" t="str">
            <v>DMCC</v>
          </cell>
          <cell r="G1680">
            <v>732.87180000000001</v>
          </cell>
          <cell r="H1680" t="str">
            <v>-</v>
          </cell>
          <cell r="I1680" t="str">
            <v>-</v>
          </cell>
          <cell r="J1680">
            <v>732.93266899450009</v>
          </cell>
          <cell r="K1680" t="str">
            <v>Small Cap</v>
          </cell>
        </row>
        <row r="1681">
          <cell r="C1681" t="str">
            <v>INE432F01032</v>
          </cell>
          <cell r="D1681" t="str">
            <v>EBIX</v>
          </cell>
          <cell r="E1681">
            <v>732.06731301100001</v>
          </cell>
          <cell r="F1681" t="str">
            <v>-</v>
          </cell>
          <cell r="G1681" t="str">
            <v>-</v>
          </cell>
          <cell r="H1681" t="str">
            <v>-</v>
          </cell>
          <cell r="I1681" t="str">
            <v>-</v>
          </cell>
          <cell r="J1681">
            <v>732.06731301100001</v>
          </cell>
          <cell r="K1681" t="str">
            <v>Small Cap</v>
          </cell>
        </row>
        <row r="1682">
          <cell r="C1682" t="str">
            <v>INE0EB001012</v>
          </cell>
          <cell r="D1682" t="str">
            <v>-</v>
          </cell>
          <cell r="E1682" t="str">
            <v>-</v>
          </cell>
          <cell r="F1682" t="str">
            <v>-</v>
          </cell>
          <cell r="G1682" t="str">
            <v>-</v>
          </cell>
          <cell r="H1682" t="str">
            <v>DALMIARF</v>
          </cell>
          <cell r="I1682">
            <v>729.87356053499832</v>
          </cell>
          <cell r="J1682">
            <v>729.87356053499832</v>
          </cell>
          <cell r="K1682" t="str">
            <v>Small Cap</v>
          </cell>
        </row>
        <row r="1683">
          <cell r="C1683" t="str">
            <v>INE788J01021</v>
          </cell>
          <cell r="D1683" t="str">
            <v>SHIVALIK</v>
          </cell>
          <cell r="E1683">
            <v>727.49248395899997</v>
          </cell>
          <cell r="F1683" t="str">
            <v>SHIVALIK</v>
          </cell>
          <cell r="G1683">
            <v>727.1925</v>
          </cell>
          <cell r="H1683" t="str">
            <v>-</v>
          </cell>
          <cell r="I1683" t="str">
            <v>-</v>
          </cell>
          <cell r="J1683">
            <v>727.34249197949998</v>
          </cell>
          <cell r="K1683" t="str">
            <v>Small Cap</v>
          </cell>
        </row>
        <row r="1684">
          <cell r="C1684" t="str">
            <v>INE0JYY01011</v>
          </cell>
          <cell r="D1684" t="str">
            <v>-</v>
          </cell>
          <cell r="E1684" t="str">
            <v>-</v>
          </cell>
          <cell r="F1684" t="str">
            <v>MWL</v>
          </cell>
          <cell r="G1684">
            <v>727.06619999999998</v>
          </cell>
          <cell r="H1684" t="str">
            <v>-</v>
          </cell>
          <cell r="I1684" t="str">
            <v>-</v>
          </cell>
          <cell r="J1684">
            <v>727.06619999999998</v>
          </cell>
          <cell r="K1684" t="str">
            <v>Small Cap</v>
          </cell>
        </row>
        <row r="1685">
          <cell r="C1685" t="str">
            <v>INE0NQ801033</v>
          </cell>
          <cell r="D1685" t="str">
            <v>RKSWAMY</v>
          </cell>
          <cell r="E1685">
            <v>726.61387500000001</v>
          </cell>
          <cell r="F1685" t="str">
            <v>RKSWAMY</v>
          </cell>
          <cell r="G1685">
            <v>726.0598</v>
          </cell>
          <cell r="H1685" t="str">
            <v>-</v>
          </cell>
          <cell r="I1685" t="str">
            <v>-</v>
          </cell>
          <cell r="J1685">
            <v>726.3368375</v>
          </cell>
          <cell r="K1685" t="str">
            <v>Small Cap</v>
          </cell>
        </row>
        <row r="1686">
          <cell r="C1686" t="str">
            <v>INE308A01027</v>
          </cell>
          <cell r="D1686" t="str">
            <v>NAHARPOLY</v>
          </cell>
          <cell r="E1686">
            <v>726.46780551799998</v>
          </cell>
          <cell r="F1686" t="str">
            <v>NAHARPOLY</v>
          </cell>
          <cell r="G1686">
            <v>725.48230000000001</v>
          </cell>
          <cell r="H1686" t="str">
            <v>-</v>
          </cell>
          <cell r="I1686" t="str">
            <v>-</v>
          </cell>
          <cell r="J1686">
            <v>725.97505275899994</v>
          </cell>
          <cell r="K1686" t="str">
            <v>Small Cap</v>
          </cell>
        </row>
        <row r="1687">
          <cell r="C1687" t="str">
            <v>INE411B01019</v>
          </cell>
          <cell r="D1687" t="str">
            <v>VENUSREM</v>
          </cell>
          <cell r="E1687">
            <v>723.31265117299995</v>
          </cell>
          <cell r="F1687" t="str">
            <v>VENUSREM</v>
          </cell>
          <cell r="G1687">
            <v>724.07910000000004</v>
          </cell>
          <cell r="H1687" t="str">
            <v>-</v>
          </cell>
          <cell r="I1687" t="str">
            <v>-</v>
          </cell>
          <cell r="J1687">
            <v>723.69587558650005</v>
          </cell>
          <cell r="K1687" t="str">
            <v>Small Cap</v>
          </cell>
        </row>
        <row r="1688">
          <cell r="C1688" t="str">
            <v>INE754A01055</v>
          </cell>
          <cell r="D1688" t="str">
            <v>SUBEXLTD</v>
          </cell>
          <cell r="E1688">
            <v>723.65460460500003</v>
          </cell>
          <cell r="F1688" t="str">
            <v>SUBEXLTD</v>
          </cell>
          <cell r="G1688">
            <v>723.47170000000006</v>
          </cell>
          <cell r="H1688" t="str">
            <v>-</v>
          </cell>
          <cell r="I1688" t="str">
            <v>-</v>
          </cell>
          <cell r="J1688">
            <v>723.56315230250004</v>
          </cell>
          <cell r="K1688" t="str">
            <v>Small Cap</v>
          </cell>
        </row>
        <row r="1689">
          <cell r="C1689" t="str">
            <v>INE755Q01025</v>
          </cell>
          <cell r="D1689" t="str">
            <v>VISHAL</v>
          </cell>
          <cell r="E1689">
            <v>722.74193219899996</v>
          </cell>
          <cell r="F1689" t="str">
            <v>-</v>
          </cell>
          <cell r="G1689" t="str">
            <v>-</v>
          </cell>
          <cell r="H1689" t="str">
            <v>-</v>
          </cell>
          <cell r="I1689" t="str">
            <v>-</v>
          </cell>
          <cell r="J1689">
            <v>722.74193219899996</v>
          </cell>
          <cell r="K1689" t="str">
            <v>Small Cap</v>
          </cell>
        </row>
        <row r="1690">
          <cell r="C1690" t="str">
            <v>INE0OLH01013</v>
          </cell>
          <cell r="D1690" t="str">
            <v>ROBU</v>
          </cell>
          <cell r="E1690">
            <v>722.47494918799998</v>
          </cell>
          <cell r="F1690" t="str">
            <v>-</v>
          </cell>
          <cell r="G1690" t="str">
            <v>-</v>
          </cell>
          <cell r="H1690" t="str">
            <v>-</v>
          </cell>
          <cell r="I1690" t="str">
            <v>-</v>
          </cell>
          <cell r="J1690">
            <v>722.47494918799998</v>
          </cell>
          <cell r="K1690" t="str">
            <v>Small Cap</v>
          </cell>
        </row>
        <row r="1691">
          <cell r="C1691" t="str">
            <v>INE324X01026</v>
          </cell>
          <cell r="D1691" t="str">
            <v>SARVESHWAR</v>
          </cell>
          <cell r="E1691">
            <v>722.48603976999993</v>
          </cell>
          <cell r="F1691" t="str">
            <v>SARVESHWAR</v>
          </cell>
          <cell r="G1691">
            <v>721.98180000000002</v>
          </cell>
          <cell r="H1691" t="str">
            <v>-</v>
          </cell>
          <cell r="I1691" t="str">
            <v>-</v>
          </cell>
          <cell r="J1691">
            <v>722.23391988499998</v>
          </cell>
          <cell r="K1691" t="str">
            <v>Small Cap</v>
          </cell>
        </row>
        <row r="1692">
          <cell r="C1692" t="str">
            <v>INE655V01019</v>
          </cell>
          <cell r="D1692" t="str">
            <v>RMC</v>
          </cell>
          <cell r="E1692">
            <v>722.22620333299994</v>
          </cell>
          <cell r="F1692" t="str">
            <v>-</v>
          </cell>
          <cell r="G1692" t="str">
            <v>-</v>
          </cell>
          <cell r="H1692" t="str">
            <v>-</v>
          </cell>
          <cell r="I1692" t="str">
            <v>-</v>
          </cell>
          <cell r="J1692">
            <v>722.22620333299994</v>
          </cell>
          <cell r="K1692" t="str">
            <v>Small Cap</v>
          </cell>
        </row>
        <row r="1693">
          <cell r="C1693" t="str">
            <v>INE955I01044</v>
          </cell>
          <cell r="D1693" t="str">
            <v>SEJALLTD</v>
          </cell>
          <cell r="E1693">
            <v>722.74397619000001</v>
          </cell>
          <cell r="F1693" t="str">
            <v>SEJALLTD</v>
          </cell>
          <cell r="G1693">
            <v>717.97730000000001</v>
          </cell>
          <cell r="H1693" t="str">
            <v>-</v>
          </cell>
          <cell r="I1693" t="str">
            <v>-</v>
          </cell>
          <cell r="J1693">
            <v>720.36063809500001</v>
          </cell>
          <cell r="K1693" t="str">
            <v>Small Cap</v>
          </cell>
        </row>
        <row r="1694">
          <cell r="C1694" t="str">
            <v>INE461B01014</v>
          </cell>
          <cell r="D1694" t="str">
            <v>REPRO</v>
          </cell>
          <cell r="E1694">
            <v>718.83502735399998</v>
          </cell>
          <cell r="F1694" t="str">
            <v>REPRO</v>
          </cell>
          <cell r="G1694">
            <v>719.00390000000004</v>
          </cell>
          <cell r="H1694" t="str">
            <v>-</v>
          </cell>
          <cell r="I1694" t="str">
            <v>-</v>
          </cell>
          <cell r="J1694">
            <v>718.91946367700007</v>
          </cell>
          <cell r="K1694" t="str">
            <v>Small Cap</v>
          </cell>
        </row>
        <row r="1695">
          <cell r="C1695" t="str">
            <v>INE966H01019</v>
          </cell>
          <cell r="D1695" t="str">
            <v>ZEEMEDIA</v>
          </cell>
          <cell r="E1695">
            <v>718.91537650099997</v>
          </cell>
          <cell r="F1695" t="str">
            <v>ZEEMEDIA</v>
          </cell>
          <cell r="G1695">
            <v>718.49350000000004</v>
          </cell>
          <cell r="H1695" t="str">
            <v>-</v>
          </cell>
          <cell r="I1695" t="str">
            <v>-</v>
          </cell>
          <cell r="J1695">
            <v>718.70443825050006</v>
          </cell>
          <cell r="K1695" t="str">
            <v>Small Cap</v>
          </cell>
        </row>
        <row r="1696">
          <cell r="C1696" t="str">
            <v>INE350Z01018</v>
          </cell>
          <cell r="D1696" t="str">
            <v>GLOSTERLTD</v>
          </cell>
          <cell r="E1696">
            <v>717.96340450100001</v>
          </cell>
          <cell r="F1696" t="str">
            <v>GLOSTERLTD</v>
          </cell>
          <cell r="G1696">
            <v>717.44489999999996</v>
          </cell>
          <cell r="H1696" t="str">
            <v>-</v>
          </cell>
          <cell r="I1696" t="str">
            <v>-</v>
          </cell>
          <cell r="J1696">
            <v>717.70415225049999</v>
          </cell>
          <cell r="K1696" t="str">
            <v>Small Cap</v>
          </cell>
        </row>
        <row r="1697">
          <cell r="C1697" t="str">
            <v>INE110B01017</v>
          </cell>
          <cell r="D1697" t="str">
            <v>MINDTECK</v>
          </cell>
          <cell r="E1697">
            <v>717.06999431000008</v>
          </cell>
          <cell r="F1697" t="str">
            <v>MINDTECK</v>
          </cell>
          <cell r="G1697">
            <v>716.96220000000005</v>
          </cell>
          <cell r="H1697" t="str">
            <v>-</v>
          </cell>
          <cell r="I1697" t="str">
            <v>-</v>
          </cell>
          <cell r="J1697">
            <v>717.01609715500012</v>
          </cell>
          <cell r="K1697" t="str">
            <v>Small Cap</v>
          </cell>
        </row>
        <row r="1698">
          <cell r="C1698" t="str">
            <v>INE740D01017</v>
          </cell>
          <cell r="D1698" t="str">
            <v>NRAIL</v>
          </cell>
          <cell r="E1698">
            <v>717.02346269399993</v>
          </cell>
          <cell r="F1698" t="str">
            <v>NRAIL</v>
          </cell>
          <cell r="G1698">
            <v>715.6336</v>
          </cell>
          <cell r="H1698" t="str">
            <v>-</v>
          </cell>
          <cell r="I1698" t="str">
            <v>-</v>
          </cell>
          <cell r="J1698">
            <v>716.32853134699997</v>
          </cell>
          <cell r="K1698" t="str">
            <v>Small Cap</v>
          </cell>
        </row>
        <row r="1699">
          <cell r="C1699" t="str">
            <v>INE0Y8W01017</v>
          </cell>
          <cell r="D1699" t="str">
            <v>AHCL</v>
          </cell>
          <cell r="E1699">
            <v>716.912617512</v>
          </cell>
          <cell r="F1699" t="str">
            <v>AHCL</v>
          </cell>
          <cell r="G1699">
            <v>715.66099999999994</v>
          </cell>
          <cell r="H1699" t="str">
            <v>-</v>
          </cell>
          <cell r="I1699" t="str">
            <v>-</v>
          </cell>
          <cell r="J1699">
            <v>716.28680875600003</v>
          </cell>
          <cell r="K1699" t="str">
            <v>Small Cap</v>
          </cell>
        </row>
        <row r="1700">
          <cell r="C1700" t="str">
            <v>INE626Z01029</v>
          </cell>
          <cell r="D1700" t="str">
            <v>HARDWYN</v>
          </cell>
          <cell r="E1700">
            <v>714.59065038400001</v>
          </cell>
          <cell r="F1700" t="str">
            <v>HARDWYN</v>
          </cell>
          <cell r="G1700">
            <v>714.71079999999995</v>
          </cell>
          <cell r="H1700" t="str">
            <v>-</v>
          </cell>
          <cell r="I1700" t="str">
            <v>-</v>
          </cell>
          <cell r="J1700">
            <v>714.65072519199998</v>
          </cell>
          <cell r="K1700" t="str">
            <v>Small Cap</v>
          </cell>
        </row>
        <row r="1701">
          <cell r="C1701" t="str">
            <v>INE452N01026</v>
          </cell>
          <cell r="D1701" t="str">
            <v>PINEANIM</v>
          </cell>
          <cell r="E1701">
            <v>709.12</v>
          </cell>
          <cell r="F1701" t="str">
            <v>-</v>
          </cell>
          <cell r="G1701" t="str">
            <v>-</v>
          </cell>
          <cell r="H1701" t="str">
            <v>-</v>
          </cell>
          <cell r="I1701" t="str">
            <v>-</v>
          </cell>
          <cell r="J1701">
            <v>709.12</v>
          </cell>
          <cell r="K1701" t="str">
            <v>Small Cap</v>
          </cell>
        </row>
        <row r="1702">
          <cell r="C1702" t="str">
            <v>INE0JS101016</v>
          </cell>
          <cell r="D1702" t="str">
            <v>DREAMFOLKS</v>
          </cell>
          <cell r="E1702">
            <v>707.82540520800001</v>
          </cell>
          <cell r="F1702" t="str">
            <v>DREAMFOLKS</v>
          </cell>
          <cell r="G1702">
            <v>707.40689999999995</v>
          </cell>
          <cell r="H1702" t="str">
            <v>-</v>
          </cell>
          <cell r="I1702" t="str">
            <v>-</v>
          </cell>
          <cell r="J1702">
            <v>707.61615260400004</v>
          </cell>
          <cell r="K1702" t="str">
            <v>Small Cap</v>
          </cell>
        </row>
        <row r="1703">
          <cell r="C1703" t="str">
            <v>INE266B01017</v>
          </cell>
          <cell r="D1703" t="str">
            <v>KINETICENG</v>
          </cell>
          <cell r="E1703">
            <v>707.54262675899997</v>
          </cell>
          <cell r="F1703" t="str">
            <v>-</v>
          </cell>
          <cell r="G1703" t="str">
            <v>-</v>
          </cell>
          <cell r="H1703" t="str">
            <v>-</v>
          </cell>
          <cell r="I1703" t="str">
            <v>-</v>
          </cell>
          <cell r="J1703">
            <v>707.54262675899997</v>
          </cell>
          <cell r="K1703" t="str">
            <v>Small Cap</v>
          </cell>
        </row>
        <row r="1704">
          <cell r="C1704" t="str">
            <v>INE229A01017</v>
          </cell>
          <cell r="D1704" t="str">
            <v>ONWARDTEC</v>
          </cell>
          <cell r="E1704">
            <v>705.05504111800008</v>
          </cell>
          <cell r="F1704" t="str">
            <v>ONWARDTEC</v>
          </cell>
          <cell r="G1704">
            <v>705.18730000000005</v>
          </cell>
          <cell r="H1704" t="str">
            <v>-</v>
          </cell>
          <cell r="I1704" t="str">
            <v>-</v>
          </cell>
          <cell r="J1704">
            <v>705.12117055900012</v>
          </cell>
          <cell r="K1704" t="str">
            <v>Small Cap</v>
          </cell>
        </row>
        <row r="1705">
          <cell r="C1705" t="str">
            <v>INE0W0H01017</v>
          </cell>
          <cell r="D1705" t="str">
            <v>SOLARIUM</v>
          </cell>
          <cell r="E1705">
            <v>704.90129004699997</v>
          </cell>
          <cell r="F1705" t="str">
            <v>-</v>
          </cell>
          <cell r="G1705" t="str">
            <v>-</v>
          </cell>
          <cell r="H1705" t="str">
            <v>-</v>
          </cell>
          <cell r="I1705" t="str">
            <v>-</v>
          </cell>
          <cell r="J1705">
            <v>704.90129004699997</v>
          </cell>
          <cell r="K1705" t="str">
            <v>Small Cap</v>
          </cell>
        </row>
        <row r="1706">
          <cell r="C1706" t="str">
            <v>INE879A01019</v>
          </cell>
          <cell r="D1706" t="str">
            <v>SHREERAMA</v>
          </cell>
          <cell r="E1706">
            <v>704.869956882</v>
          </cell>
          <cell r="F1706" t="str">
            <v>SHREERAMA</v>
          </cell>
          <cell r="G1706">
            <v>704.04369999999994</v>
          </cell>
          <cell r="H1706" t="str">
            <v>-</v>
          </cell>
          <cell r="I1706" t="str">
            <v>-</v>
          </cell>
          <cell r="J1706">
            <v>704.45682844099997</v>
          </cell>
          <cell r="K1706" t="str">
            <v>Small Cap</v>
          </cell>
        </row>
        <row r="1707">
          <cell r="C1707" t="str">
            <v>INE754D01018</v>
          </cell>
          <cell r="D1707" t="str">
            <v>SOBME</v>
          </cell>
          <cell r="E1707">
            <v>702.16233333299999</v>
          </cell>
          <cell r="F1707" t="str">
            <v>-</v>
          </cell>
          <cell r="G1707" t="str">
            <v>-</v>
          </cell>
          <cell r="H1707" t="str">
            <v>-</v>
          </cell>
          <cell r="I1707" t="str">
            <v>-</v>
          </cell>
          <cell r="J1707">
            <v>702.16233333299999</v>
          </cell>
          <cell r="K1707" t="str">
            <v>Small Cap</v>
          </cell>
        </row>
        <row r="1708">
          <cell r="C1708" t="str">
            <v>INE666E01020</v>
          </cell>
          <cell r="D1708" t="str">
            <v>ACL</v>
          </cell>
          <cell r="E1708">
            <v>699.77966517899995</v>
          </cell>
          <cell r="F1708" t="str">
            <v>ACL</v>
          </cell>
          <cell r="G1708">
            <v>698.77020000000005</v>
          </cell>
          <cell r="H1708" t="str">
            <v>-</v>
          </cell>
          <cell r="I1708" t="str">
            <v>-</v>
          </cell>
          <cell r="J1708">
            <v>699.27493258949994</v>
          </cell>
          <cell r="K1708" t="str">
            <v>Small Cap</v>
          </cell>
        </row>
        <row r="1709">
          <cell r="C1709" t="str">
            <v>INE785A01026</v>
          </cell>
          <cell r="D1709" t="str">
            <v>JAYAGROGN</v>
          </cell>
          <cell r="E1709">
            <v>698.93571428600001</v>
          </cell>
          <cell r="F1709" t="str">
            <v>JAYAGROGN</v>
          </cell>
          <cell r="G1709">
            <v>697.81899999999996</v>
          </cell>
          <cell r="H1709" t="str">
            <v>-</v>
          </cell>
          <cell r="I1709" t="str">
            <v>-</v>
          </cell>
          <cell r="J1709">
            <v>698.37735714299993</v>
          </cell>
          <cell r="K1709" t="str">
            <v>Small Cap</v>
          </cell>
        </row>
        <row r="1710">
          <cell r="C1710" t="str">
            <v>INE266F01018</v>
          </cell>
          <cell r="D1710" t="str">
            <v>APTECHT</v>
          </cell>
          <cell r="E1710">
            <v>696.92620836999993</v>
          </cell>
          <cell r="F1710" t="str">
            <v>APTECHT</v>
          </cell>
          <cell r="G1710">
            <v>696.85080000000005</v>
          </cell>
          <cell r="H1710" t="str">
            <v>-</v>
          </cell>
          <cell r="I1710" t="str">
            <v>-</v>
          </cell>
          <cell r="J1710">
            <v>696.88850418499999</v>
          </cell>
          <cell r="K1710" t="str">
            <v>Small Cap</v>
          </cell>
        </row>
        <row r="1711">
          <cell r="C1711" t="str">
            <v>INE939X01013</v>
          </cell>
          <cell r="D1711" t="str">
            <v>MANBA</v>
          </cell>
          <cell r="E1711">
            <v>695.72611526800006</v>
          </cell>
          <cell r="F1711" t="str">
            <v>MANBA</v>
          </cell>
          <cell r="G1711">
            <v>695.72850000000005</v>
          </cell>
          <cell r="H1711" t="str">
            <v>-</v>
          </cell>
          <cell r="I1711" t="str">
            <v>-</v>
          </cell>
          <cell r="J1711">
            <v>695.727307634</v>
          </cell>
          <cell r="K1711" t="str">
            <v>Small Cap</v>
          </cell>
        </row>
        <row r="1712">
          <cell r="C1712" t="str">
            <v>INE0H8H01019</v>
          </cell>
          <cell r="D1712" t="str">
            <v>CWD</v>
          </cell>
          <cell r="E1712">
            <v>695.49430532999997</v>
          </cell>
          <cell r="F1712" t="str">
            <v>-</v>
          </cell>
          <cell r="G1712" t="str">
            <v>-</v>
          </cell>
          <cell r="H1712" t="str">
            <v>-</v>
          </cell>
          <cell r="I1712" t="str">
            <v>-</v>
          </cell>
          <cell r="J1712">
            <v>695.49430532999997</v>
          </cell>
          <cell r="K1712" t="str">
            <v>Small Cap</v>
          </cell>
        </row>
        <row r="1713">
          <cell r="C1713" t="str">
            <v>INE215I01027</v>
          </cell>
          <cell r="D1713" t="str">
            <v>MAANALU</v>
          </cell>
          <cell r="E1713">
            <v>694.818804419</v>
          </cell>
          <cell r="F1713" t="str">
            <v>MAANALU</v>
          </cell>
          <cell r="G1713">
            <v>694.54409999999996</v>
          </cell>
          <cell r="H1713" t="str">
            <v>-</v>
          </cell>
          <cell r="I1713" t="str">
            <v>-</v>
          </cell>
          <cell r="J1713">
            <v>694.68145220949998</v>
          </cell>
          <cell r="K1713" t="str">
            <v>Small Cap</v>
          </cell>
        </row>
        <row r="1714">
          <cell r="C1714" t="str">
            <v>INE296H01011</v>
          </cell>
          <cell r="D1714" t="str">
            <v>EMKAY</v>
          </cell>
          <cell r="E1714">
            <v>694.582947676</v>
          </cell>
          <cell r="F1714" t="str">
            <v>EMKAY</v>
          </cell>
          <cell r="G1714">
            <v>692.91499999999996</v>
          </cell>
          <cell r="H1714" t="str">
            <v>-</v>
          </cell>
          <cell r="I1714" t="str">
            <v>-</v>
          </cell>
          <cell r="J1714">
            <v>693.74897383799998</v>
          </cell>
          <cell r="K1714" t="str">
            <v>Small Cap</v>
          </cell>
        </row>
        <row r="1715">
          <cell r="C1715" t="str">
            <v>INE480D01010</v>
          </cell>
          <cell r="D1715" t="str">
            <v>NIYOGIN</v>
          </cell>
          <cell r="E1715">
            <v>693.37525280699992</v>
          </cell>
          <cell r="F1715" t="str">
            <v>-</v>
          </cell>
          <cell r="G1715" t="str">
            <v>-</v>
          </cell>
          <cell r="H1715" t="str">
            <v>-</v>
          </cell>
          <cell r="I1715" t="str">
            <v>-</v>
          </cell>
          <cell r="J1715">
            <v>693.37525280699992</v>
          </cell>
          <cell r="K1715" t="str">
            <v>Small Cap</v>
          </cell>
        </row>
        <row r="1716">
          <cell r="C1716" t="str">
            <v>INE550C01020</v>
          </cell>
          <cell r="D1716" t="str">
            <v>URJA</v>
          </cell>
          <cell r="E1716">
            <v>692.7268722770001</v>
          </cell>
          <cell r="F1716" t="str">
            <v>URJA</v>
          </cell>
          <cell r="G1716">
            <v>692.64350000000002</v>
          </cell>
          <cell r="H1716" t="str">
            <v>-</v>
          </cell>
          <cell r="I1716" t="str">
            <v>-</v>
          </cell>
          <cell r="J1716">
            <v>692.68518613850006</v>
          </cell>
          <cell r="K1716" t="str">
            <v>Small Cap</v>
          </cell>
        </row>
        <row r="1717">
          <cell r="C1717" t="str">
            <v>INE864K01010</v>
          </cell>
          <cell r="D1717" t="str">
            <v>IRIS</v>
          </cell>
          <cell r="E1717">
            <v>689.591905602</v>
          </cell>
          <cell r="F1717" t="str">
            <v>IRIS</v>
          </cell>
          <cell r="G1717">
            <v>689.1712</v>
          </cell>
          <cell r="H1717" t="str">
            <v>-</v>
          </cell>
          <cell r="I1717" t="str">
            <v>-</v>
          </cell>
          <cell r="J1717">
            <v>689.381552801</v>
          </cell>
          <cell r="K1717" t="str">
            <v>Small Cap</v>
          </cell>
        </row>
        <row r="1718">
          <cell r="C1718" t="str">
            <v>INE392A01021</v>
          </cell>
          <cell r="D1718" t="str">
            <v>VISAKAIND</v>
          </cell>
          <cell r="E1718">
            <v>689.040244637</v>
          </cell>
          <cell r="F1718" t="str">
            <v>VISAKAIND</v>
          </cell>
          <cell r="G1718">
            <v>688.74400000000003</v>
          </cell>
          <cell r="H1718" t="str">
            <v>-</v>
          </cell>
          <cell r="I1718" t="str">
            <v>-</v>
          </cell>
          <cell r="J1718">
            <v>688.89212231850001</v>
          </cell>
          <cell r="K1718" t="str">
            <v>Small Cap</v>
          </cell>
        </row>
        <row r="1719">
          <cell r="C1719" t="str">
            <v>INE511Y01018</v>
          </cell>
          <cell r="D1719" t="str">
            <v>-</v>
          </cell>
          <cell r="E1719" t="str">
            <v>-</v>
          </cell>
          <cell r="F1719" t="str">
            <v>MMP</v>
          </cell>
          <cell r="G1719">
            <v>686.24959999999999</v>
          </cell>
          <cell r="H1719" t="str">
            <v>-</v>
          </cell>
          <cell r="I1719" t="str">
            <v>-</v>
          </cell>
          <cell r="J1719">
            <v>686.24959999999999</v>
          </cell>
          <cell r="K1719" t="str">
            <v>Small Cap</v>
          </cell>
        </row>
        <row r="1720">
          <cell r="C1720" t="str">
            <v>INE561H01026</v>
          </cell>
          <cell r="D1720" t="str">
            <v>PARSVNATH</v>
          </cell>
          <cell r="E1720">
            <v>684.68849461899993</v>
          </cell>
          <cell r="F1720" t="str">
            <v>PARSVNATH</v>
          </cell>
          <cell r="G1720">
            <v>683.66269999999997</v>
          </cell>
          <cell r="H1720" t="str">
            <v>-</v>
          </cell>
          <cell r="I1720" t="str">
            <v>-</v>
          </cell>
          <cell r="J1720">
            <v>684.17559730949995</v>
          </cell>
          <cell r="K1720" t="str">
            <v>Small Cap</v>
          </cell>
        </row>
        <row r="1721">
          <cell r="C1721" t="str">
            <v>INE310C01029</v>
          </cell>
          <cell r="D1721" t="str">
            <v>HINDCOMPOS</v>
          </cell>
          <cell r="E1721">
            <v>683.53452107099997</v>
          </cell>
          <cell r="F1721" t="str">
            <v>HINDCOMPOS</v>
          </cell>
          <cell r="G1721">
            <v>683.85040000000004</v>
          </cell>
          <cell r="H1721" t="str">
            <v>-</v>
          </cell>
          <cell r="I1721" t="str">
            <v>-</v>
          </cell>
          <cell r="J1721">
            <v>683.6924605355</v>
          </cell>
          <cell r="K1721" t="str">
            <v>Small Cap</v>
          </cell>
        </row>
        <row r="1722">
          <cell r="C1722" t="str">
            <v>INE265F01028</v>
          </cell>
          <cell r="D1722" t="str">
            <v>ENIL</v>
          </cell>
          <cell r="E1722">
            <v>683.02057110999999</v>
          </cell>
          <cell r="F1722" t="str">
            <v>ENIL</v>
          </cell>
          <cell r="G1722">
            <v>683.17269999999996</v>
          </cell>
          <cell r="H1722" t="str">
            <v>-</v>
          </cell>
          <cell r="I1722" t="str">
            <v>-</v>
          </cell>
          <cell r="J1722">
            <v>683.09663555499992</v>
          </cell>
          <cell r="K1722" t="str">
            <v>Small Cap</v>
          </cell>
        </row>
        <row r="1723">
          <cell r="C1723" t="str">
            <v>INE551D01018</v>
          </cell>
          <cell r="D1723" t="str">
            <v>PAKKA</v>
          </cell>
          <cell r="E1723">
            <v>682.97389391700005</v>
          </cell>
          <cell r="F1723" t="str">
            <v>PAKKA</v>
          </cell>
          <cell r="G1723">
            <v>682.87900000000002</v>
          </cell>
          <cell r="H1723" t="str">
            <v>-</v>
          </cell>
          <cell r="I1723" t="str">
            <v>-</v>
          </cell>
          <cell r="J1723">
            <v>682.92644695850004</v>
          </cell>
          <cell r="K1723" t="str">
            <v>Small Cap</v>
          </cell>
        </row>
        <row r="1724">
          <cell r="C1724" t="str">
            <v>INE538A01037</v>
          </cell>
          <cell r="D1724" t="str">
            <v>GFLLIMITED</v>
          </cell>
          <cell r="E1724">
            <v>680.87383928600002</v>
          </cell>
          <cell r="F1724" t="str">
            <v>GFLLIMITED</v>
          </cell>
          <cell r="G1724">
            <v>680.67939999999999</v>
          </cell>
          <cell r="H1724" t="str">
            <v>-</v>
          </cell>
          <cell r="I1724" t="str">
            <v>-</v>
          </cell>
          <cell r="J1724">
            <v>680.776619643</v>
          </cell>
          <cell r="K1724" t="str">
            <v>Small Cap</v>
          </cell>
        </row>
        <row r="1725">
          <cell r="C1725" t="str">
            <v>INE071D01033</v>
          </cell>
          <cell r="D1725" t="str">
            <v>MENONBE</v>
          </cell>
          <cell r="E1725">
            <v>680.62136666699996</v>
          </cell>
          <cell r="F1725" t="str">
            <v>MENONBE</v>
          </cell>
          <cell r="G1725">
            <v>680.66409999999996</v>
          </cell>
          <cell r="H1725" t="str">
            <v>-</v>
          </cell>
          <cell r="I1725" t="str">
            <v>-</v>
          </cell>
          <cell r="J1725">
            <v>680.64273333350002</v>
          </cell>
          <cell r="K1725" t="str">
            <v>Small Cap</v>
          </cell>
        </row>
        <row r="1726">
          <cell r="C1726" t="str">
            <v>INE150C01011</v>
          </cell>
          <cell r="D1726" t="str">
            <v>TITANBIO</v>
          </cell>
          <cell r="E1726">
            <v>677.99297102799994</v>
          </cell>
          <cell r="F1726" t="str">
            <v>-</v>
          </cell>
          <cell r="G1726" t="str">
            <v>-</v>
          </cell>
          <cell r="H1726" t="str">
            <v>-</v>
          </cell>
          <cell r="I1726" t="str">
            <v>-</v>
          </cell>
          <cell r="J1726">
            <v>677.99297102799994</v>
          </cell>
          <cell r="K1726" t="str">
            <v>Small Cap</v>
          </cell>
        </row>
        <row r="1727">
          <cell r="C1727" t="str">
            <v>INE718F01018</v>
          </cell>
          <cell r="D1727" t="str">
            <v>CSLFINANCE</v>
          </cell>
          <cell r="E1727">
            <v>677.52079379399993</v>
          </cell>
          <cell r="F1727" t="str">
            <v>CSLFINANCE</v>
          </cell>
          <cell r="G1727">
            <v>677.47379999999998</v>
          </cell>
          <cell r="H1727" t="str">
            <v>-</v>
          </cell>
          <cell r="I1727" t="str">
            <v>-</v>
          </cell>
          <cell r="J1727">
            <v>677.49729689699996</v>
          </cell>
          <cell r="K1727" t="str">
            <v>Small Cap</v>
          </cell>
        </row>
        <row r="1728">
          <cell r="C1728" t="str">
            <v>INE831A01028</v>
          </cell>
          <cell r="D1728" t="str">
            <v>MIRCELECTR</v>
          </cell>
          <cell r="E1728">
            <v>674.65553974099998</v>
          </cell>
          <cell r="F1728" t="str">
            <v>MIRCELECTR</v>
          </cell>
          <cell r="G1728">
            <v>674.51089999999999</v>
          </cell>
          <cell r="H1728" t="str">
            <v>-</v>
          </cell>
          <cell r="I1728" t="str">
            <v>-</v>
          </cell>
          <cell r="J1728">
            <v>674.58321987049999</v>
          </cell>
          <cell r="K1728" t="str">
            <v>Small Cap</v>
          </cell>
        </row>
        <row r="1729">
          <cell r="C1729" t="str">
            <v>INE00TV01023</v>
          </cell>
          <cell r="D1729" t="str">
            <v>SUDARSHAN</v>
          </cell>
          <cell r="E1729">
            <v>673.43418792800003</v>
          </cell>
          <cell r="F1729" t="str">
            <v>-</v>
          </cell>
          <cell r="G1729" t="str">
            <v>-</v>
          </cell>
          <cell r="H1729" t="str">
            <v>-</v>
          </cell>
          <cell r="I1729" t="str">
            <v>-</v>
          </cell>
          <cell r="J1729">
            <v>673.43418792800003</v>
          </cell>
          <cell r="K1729" t="str">
            <v>Small Cap</v>
          </cell>
        </row>
        <row r="1730">
          <cell r="C1730" t="str">
            <v>INE974B01016</v>
          </cell>
          <cell r="D1730" t="str">
            <v>CHEVIOT</v>
          </cell>
          <cell r="E1730">
            <v>671.94984903299996</v>
          </cell>
          <cell r="F1730" t="str">
            <v>CHEVIOT</v>
          </cell>
          <cell r="G1730">
            <v>672.0308</v>
          </cell>
          <cell r="H1730" t="str">
            <v>-</v>
          </cell>
          <cell r="I1730" t="str">
            <v>-</v>
          </cell>
          <cell r="J1730">
            <v>671.99032451649998</v>
          </cell>
          <cell r="K1730" t="str">
            <v>Small Cap</v>
          </cell>
        </row>
        <row r="1731">
          <cell r="C1731" t="str">
            <v>INE915B01019</v>
          </cell>
          <cell r="D1731" t="str">
            <v>INDSWFTLAB</v>
          </cell>
          <cell r="E1731">
            <v>685.86743075200002</v>
          </cell>
          <cell r="F1731" t="str">
            <v>INDSWFTLAB</v>
          </cell>
          <cell r="G1731">
            <v>657.17529999999999</v>
          </cell>
          <cell r="H1731" t="str">
            <v>-</v>
          </cell>
          <cell r="I1731" t="str">
            <v>-</v>
          </cell>
          <cell r="J1731">
            <v>671.52136537599995</v>
          </cell>
          <cell r="K1731" t="str">
            <v>Small Cap</v>
          </cell>
        </row>
        <row r="1732">
          <cell r="C1732" t="str">
            <v>INE035S01028</v>
          </cell>
          <cell r="D1732" t="str">
            <v>POEL</v>
          </cell>
          <cell r="E1732">
            <v>671.34551271099997</v>
          </cell>
          <cell r="F1732" t="str">
            <v>-</v>
          </cell>
          <cell r="G1732" t="str">
            <v>-</v>
          </cell>
          <cell r="H1732" t="str">
            <v>-</v>
          </cell>
          <cell r="I1732" t="str">
            <v>-</v>
          </cell>
          <cell r="J1732">
            <v>671.34551271099997</v>
          </cell>
          <cell r="K1732" t="str">
            <v>Small Cap</v>
          </cell>
        </row>
        <row r="1733">
          <cell r="C1733" t="str">
            <v>INE414Y01015</v>
          </cell>
          <cell r="D1733" t="str">
            <v>SGRL</v>
          </cell>
          <cell r="E1733">
            <v>670.76524745500001</v>
          </cell>
          <cell r="F1733" t="str">
            <v>-</v>
          </cell>
          <cell r="G1733" t="str">
            <v>-</v>
          </cell>
          <cell r="H1733" t="str">
            <v>-</v>
          </cell>
          <cell r="I1733" t="str">
            <v>-</v>
          </cell>
          <cell r="J1733">
            <v>670.76524745500001</v>
          </cell>
          <cell r="K1733" t="str">
            <v>Small Cap</v>
          </cell>
        </row>
        <row r="1734">
          <cell r="C1734" t="str">
            <v>INE0O8901016</v>
          </cell>
          <cell r="D1734" t="str">
            <v>EXHICON</v>
          </cell>
          <cell r="E1734">
            <v>669.07338246000006</v>
          </cell>
          <cell r="F1734" t="str">
            <v>-</v>
          </cell>
          <cell r="G1734" t="str">
            <v>-</v>
          </cell>
          <cell r="H1734" t="str">
            <v>-</v>
          </cell>
          <cell r="I1734" t="str">
            <v>-</v>
          </cell>
          <cell r="J1734">
            <v>669.07338246000006</v>
          </cell>
          <cell r="K1734" t="str">
            <v>Small Cap</v>
          </cell>
        </row>
        <row r="1735">
          <cell r="C1735" t="str">
            <v>INE199P01028</v>
          </cell>
          <cell r="D1735" t="str">
            <v>GCSL</v>
          </cell>
          <cell r="E1735">
            <v>662.88457209399996</v>
          </cell>
          <cell r="F1735" t="str">
            <v>GCSL</v>
          </cell>
          <cell r="G1735">
            <v>674.76599999999996</v>
          </cell>
          <cell r="H1735" t="str">
            <v>-</v>
          </cell>
          <cell r="I1735" t="str">
            <v>-</v>
          </cell>
          <cell r="J1735">
            <v>668.82528604699996</v>
          </cell>
          <cell r="K1735" t="str">
            <v>Small Cap</v>
          </cell>
        </row>
        <row r="1736">
          <cell r="C1736" t="str">
            <v>INE767M01029</v>
          </cell>
          <cell r="D1736" t="str">
            <v>BANGANGA</v>
          </cell>
          <cell r="E1736">
            <v>667.145005524</v>
          </cell>
          <cell r="F1736" t="str">
            <v>-</v>
          </cell>
          <cell r="G1736" t="str">
            <v>-</v>
          </cell>
          <cell r="H1736" t="str">
            <v>-</v>
          </cell>
          <cell r="I1736" t="str">
            <v>-</v>
          </cell>
          <cell r="J1736">
            <v>667.145005524</v>
          </cell>
          <cell r="K1736" t="str">
            <v>Small Cap</v>
          </cell>
        </row>
        <row r="1737">
          <cell r="C1737" t="str">
            <v>INE807K01035</v>
          </cell>
          <cell r="D1737" t="str">
            <v>SCHAND</v>
          </cell>
          <cell r="E1737">
            <v>666.47413719200006</v>
          </cell>
          <cell r="F1737" t="str">
            <v>SCHAND</v>
          </cell>
          <cell r="G1737">
            <v>666.31989999999996</v>
          </cell>
          <cell r="H1737" t="str">
            <v>-</v>
          </cell>
          <cell r="I1737" t="str">
            <v>-</v>
          </cell>
          <cell r="J1737">
            <v>666.39701859599995</v>
          </cell>
          <cell r="K1737" t="str">
            <v>Small Cap</v>
          </cell>
        </row>
        <row r="1738">
          <cell r="C1738" t="str">
            <v>INE671K01027</v>
          </cell>
          <cell r="D1738" t="str">
            <v>SUNRAKSHAK</v>
          </cell>
          <cell r="E1738">
            <v>665.63706541900001</v>
          </cell>
          <cell r="F1738" t="str">
            <v>-</v>
          </cell>
          <cell r="G1738" t="str">
            <v>-</v>
          </cell>
          <cell r="H1738" t="str">
            <v>-</v>
          </cell>
          <cell r="I1738" t="str">
            <v>-</v>
          </cell>
          <cell r="J1738">
            <v>665.63706541900001</v>
          </cell>
          <cell r="K1738" t="str">
            <v>Small Cap</v>
          </cell>
        </row>
        <row r="1739">
          <cell r="C1739" t="str">
            <v>INE070K01014</v>
          </cell>
          <cell r="D1739" t="str">
            <v>APIS</v>
          </cell>
          <cell r="E1739">
            <v>664.84095977599998</v>
          </cell>
          <cell r="F1739" t="str">
            <v>-</v>
          </cell>
          <cell r="G1739" t="str">
            <v>-</v>
          </cell>
          <cell r="H1739" t="str">
            <v>-</v>
          </cell>
          <cell r="I1739" t="str">
            <v>-</v>
          </cell>
          <cell r="J1739">
            <v>664.84095977599998</v>
          </cell>
          <cell r="K1739" t="str">
            <v>Small Cap</v>
          </cell>
        </row>
        <row r="1740">
          <cell r="C1740" t="str">
            <v>INE729D01010</v>
          </cell>
          <cell r="D1740" t="str">
            <v>KILITCH</v>
          </cell>
          <cell r="E1740">
            <v>664.05503380100004</v>
          </cell>
          <cell r="F1740" t="str">
            <v>KILITCH</v>
          </cell>
          <cell r="G1740">
            <v>663.0607</v>
          </cell>
          <cell r="H1740" t="str">
            <v>-</v>
          </cell>
          <cell r="I1740" t="str">
            <v>-</v>
          </cell>
          <cell r="J1740">
            <v>663.55786690050002</v>
          </cell>
          <cell r="K1740" t="str">
            <v>Small Cap</v>
          </cell>
        </row>
        <row r="1741">
          <cell r="C1741" t="str">
            <v>INE833A01016</v>
          </cell>
          <cell r="D1741" t="str">
            <v>ADCINDIA</v>
          </cell>
          <cell r="E1741">
            <v>663.00110317500003</v>
          </cell>
          <cell r="F1741" t="str">
            <v>-</v>
          </cell>
          <cell r="G1741" t="str">
            <v>-</v>
          </cell>
          <cell r="H1741" t="str">
            <v>-</v>
          </cell>
          <cell r="I1741" t="str">
            <v>-</v>
          </cell>
          <cell r="J1741">
            <v>663.00110317500003</v>
          </cell>
          <cell r="K1741" t="str">
            <v>Small Cap</v>
          </cell>
        </row>
        <row r="1742">
          <cell r="C1742" t="str">
            <v>INE479D01038</v>
          </cell>
          <cell r="D1742" t="str">
            <v>KRITI</v>
          </cell>
          <cell r="E1742">
            <v>665.102467295</v>
          </cell>
          <cell r="F1742" t="str">
            <v>KRITI</v>
          </cell>
          <cell r="G1742">
            <v>659.75720000000001</v>
          </cell>
          <cell r="H1742" t="str">
            <v>-</v>
          </cell>
          <cell r="I1742" t="str">
            <v>-</v>
          </cell>
          <cell r="J1742">
            <v>662.4298336475</v>
          </cell>
          <cell r="K1742" t="str">
            <v>Small Cap</v>
          </cell>
        </row>
        <row r="1743">
          <cell r="C1743" t="str">
            <v>INE0OPA01019</v>
          </cell>
          <cell r="D1743" t="str">
            <v>DBEIL</v>
          </cell>
          <cell r="E1743">
            <v>658.21158160900006</v>
          </cell>
          <cell r="F1743" t="str">
            <v>DBEIL</v>
          </cell>
          <cell r="G1743">
            <v>658.12950000000001</v>
          </cell>
          <cell r="H1743" t="str">
            <v>-</v>
          </cell>
          <cell r="I1743" t="str">
            <v>-</v>
          </cell>
          <cell r="J1743">
            <v>658.17054080449998</v>
          </cell>
          <cell r="K1743" t="str">
            <v>Small Cap</v>
          </cell>
        </row>
        <row r="1744">
          <cell r="C1744" t="str">
            <v>INE075B01020</v>
          </cell>
          <cell r="D1744" t="str">
            <v>SICALLOG</v>
          </cell>
          <cell r="E1744">
            <v>663.82239022700003</v>
          </cell>
          <cell r="F1744" t="str">
            <v>SICALLOG</v>
          </cell>
          <cell r="G1744">
            <v>648.78610000000003</v>
          </cell>
          <cell r="H1744" t="str">
            <v>-</v>
          </cell>
          <cell r="I1744" t="str">
            <v>-</v>
          </cell>
          <cell r="J1744">
            <v>656.30424511349997</v>
          </cell>
          <cell r="K1744" t="str">
            <v>Small Cap</v>
          </cell>
        </row>
        <row r="1745">
          <cell r="C1745" t="str">
            <v>INE188Y01031</v>
          </cell>
          <cell r="D1745" t="str">
            <v>-</v>
          </cell>
          <cell r="E1745" t="str">
            <v>-</v>
          </cell>
          <cell r="F1745" t="str">
            <v>VERTOZ</v>
          </cell>
          <cell r="G1745">
            <v>654.85310000000004</v>
          </cell>
          <cell r="H1745" t="str">
            <v>-</v>
          </cell>
          <cell r="I1745" t="str">
            <v>-</v>
          </cell>
          <cell r="J1745">
            <v>654.85310000000004</v>
          </cell>
          <cell r="K1745" t="str">
            <v>Small Cap</v>
          </cell>
        </row>
        <row r="1746">
          <cell r="C1746" t="str">
            <v>INE976E01023</v>
          </cell>
          <cell r="D1746" t="str">
            <v>FOODSIN</v>
          </cell>
          <cell r="E1746">
            <v>655.233093725</v>
          </cell>
          <cell r="F1746" t="str">
            <v>FOODSIN</v>
          </cell>
          <cell r="G1746">
            <v>653.99379999999996</v>
          </cell>
          <cell r="H1746" t="str">
            <v>-</v>
          </cell>
          <cell r="I1746" t="str">
            <v>-</v>
          </cell>
          <cell r="J1746">
            <v>654.61344686250004</v>
          </cell>
          <cell r="K1746" t="str">
            <v>Small Cap</v>
          </cell>
        </row>
        <row r="1747">
          <cell r="C1747" t="str">
            <v>INE228D01013</v>
          </cell>
          <cell r="D1747" t="str">
            <v>ORISSASP</v>
          </cell>
          <cell r="E1747">
            <v>653.59259999999995</v>
          </cell>
          <cell r="F1747" t="str">
            <v>-</v>
          </cell>
          <cell r="G1747" t="str">
            <v>-</v>
          </cell>
          <cell r="H1747" t="str">
            <v>-</v>
          </cell>
          <cell r="I1747" t="str">
            <v>-</v>
          </cell>
          <cell r="J1747">
            <v>653.59259999999995</v>
          </cell>
          <cell r="K1747" t="str">
            <v>Small Cap</v>
          </cell>
        </row>
        <row r="1748">
          <cell r="C1748" t="str">
            <v>INE566M01017</v>
          </cell>
          <cell r="D1748" t="str">
            <v>AZADIND</v>
          </cell>
          <cell r="E1748">
            <v>649.90125350000005</v>
          </cell>
          <cell r="F1748" t="str">
            <v>-</v>
          </cell>
          <cell r="G1748" t="str">
            <v>-</v>
          </cell>
          <cell r="H1748" t="str">
            <v>-</v>
          </cell>
          <cell r="I1748" t="str">
            <v>-</v>
          </cell>
          <cell r="J1748">
            <v>649.90125350000005</v>
          </cell>
          <cell r="K1748" t="str">
            <v>Small Cap</v>
          </cell>
        </row>
        <row r="1749">
          <cell r="C1749" t="str">
            <v>INE363A01022</v>
          </cell>
          <cell r="D1749" t="str">
            <v>ASIANHOTNR</v>
          </cell>
          <cell r="E1749">
            <v>649.87525632899997</v>
          </cell>
          <cell r="F1749" t="str">
            <v>ASIANHOTNR</v>
          </cell>
          <cell r="G1749">
            <v>646.9357</v>
          </cell>
          <cell r="H1749" t="str">
            <v>-</v>
          </cell>
          <cell r="I1749" t="str">
            <v>-</v>
          </cell>
          <cell r="J1749">
            <v>648.40547816449998</v>
          </cell>
          <cell r="K1749" t="str">
            <v>Small Cap</v>
          </cell>
        </row>
        <row r="1750">
          <cell r="C1750" t="str">
            <v>INE194R01017</v>
          </cell>
          <cell r="D1750" t="str">
            <v>FREDUN</v>
          </cell>
          <cell r="E1750">
            <v>647.62147361200005</v>
          </cell>
          <cell r="F1750" t="str">
            <v>-</v>
          </cell>
          <cell r="G1750" t="str">
            <v>-</v>
          </cell>
          <cell r="H1750" t="str">
            <v>-</v>
          </cell>
          <cell r="I1750" t="str">
            <v>-</v>
          </cell>
          <cell r="J1750">
            <v>647.62147361200005</v>
          </cell>
          <cell r="K1750" t="str">
            <v>Small Cap</v>
          </cell>
        </row>
        <row r="1751">
          <cell r="C1751" t="str">
            <v>INE0L0L01012</v>
          </cell>
          <cell r="D1751" t="str">
            <v>MODIS</v>
          </cell>
          <cell r="E1751">
            <v>607.86829028599993</v>
          </cell>
          <cell r="F1751" t="str">
            <v>MODIS</v>
          </cell>
          <cell r="G1751">
            <v>686.53800000000001</v>
          </cell>
          <cell r="H1751" t="str">
            <v>-</v>
          </cell>
          <cell r="I1751" t="str">
            <v>-</v>
          </cell>
          <cell r="J1751">
            <v>647.20314514300003</v>
          </cell>
          <cell r="K1751" t="str">
            <v>Small Cap</v>
          </cell>
        </row>
        <row r="1752">
          <cell r="C1752" t="str">
            <v>INE361D01012</v>
          </cell>
          <cell r="D1752" t="str">
            <v>UNIABEXAL</v>
          </cell>
          <cell r="E1752">
            <v>645.34668948399997</v>
          </cell>
          <cell r="F1752" t="str">
            <v>-</v>
          </cell>
          <cell r="G1752" t="str">
            <v>-</v>
          </cell>
          <cell r="H1752" t="str">
            <v>-</v>
          </cell>
          <cell r="I1752" t="str">
            <v>-</v>
          </cell>
          <cell r="J1752">
            <v>645.34668948399997</v>
          </cell>
          <cell r="K1752" t="str">
            <v>Small Cap</v>
          </cell>
        </row>
        <row r="1753">
          <cell r="C1753" t="str">
            <v>INE133D01023</v>
          </cell>
          <cell r="D1753" t="str">
            <v>ARTSON</v>
          </cell>
          <cell r="E1753">
            <v>645.04074761899994</v>
          </cell>
          <cell r="F1753" t="str">
            <v>-</v>
          </cell>
          <cell r="G1753" t="str">
            <v>-</v>
          </cell>
          <cell r="H1753" t="str">
            <v>-</v>
          </cell>
          <cell r="I1753" t="str">
            <v>-</v>
          </cell>
          <cell r="J1753">
            <v>645.04074761899994</v>
          </cell>
          <cell r="K1753" t="str">
            <v>Small Cap</v>
          </cell>
        </row>
        <row r="1754">
          <cell r="C1754" t="str">
            <v>INE388A01029</v>
          </cell>
          <cell r="D1754" t="str">
            <v>GANESHBE</v>
          </cell>
          <cell r="E1754">
            <v>644.49786108399996</v>
          </cell>
          <cell r="F1754" t="str">
            <v>GANESHBE</v>
          </cell>
          <cell r="G1754">
            <v>644.60239999999999</v>
          </cell>
          <cell r="H1754" t="str">
            <v>-</v>
          </cell>
          <cell r="I1754" t="str">
            <v>-</v>
          </cell>
          <cell r="J1754">
            <v>644.55013054200003</v>
          </cell>
          <cell r="K1754" t="str">
            <v>Small Cap</v>
          </cell>
        </row>
        <row r="1755">
          <cell r="C1755" t="str">
            <v>INE05J901018</v>
          </cell>
          <cell r="D1755" t="str">
            <v>IGCL</v>
          </cell>
          <cell r="E1755">
            <v>643.36484411699996</v>
          </cell>
          <cell r="F1755" t="str">
            <v>IGCL</v>
          </cell>
          <cell r="G1755">
            <v>643.09770000000003</v>
          </cell>
          <cell r="H1755" t="str">
            <v>-</v>
          </cell>
          <cell r="I1755" t="str">
            <v>-</v>
          </cell>
          <cell r="J1755">
            <v>643.23127205850005</v>
          </cell>
          <cell r="K1755" t="str">
            <v>Small Cap</v>
          </cell>
        </row>
        <row r="1756">
          <cell r="C1756" t="str">
            <v>INE16SF01016</v>
          </cell>
          <cell r="D1756" t="str">
            <v>BORANA</v>
          </cell>
          <cell r="E1756">
            <v>640.42389473699996</v>
          </cell>
          <cell r="F1756" t="str">
            <v>BORANA</v>
          </cell>
          <cell r="G1756">
            <v>640.68650000000002</v>
          </cell>
          <cell r="H1756" t="str">
            <v>-</v>
          </cell>
          <cell r="I1756" t="str">
            <v>-</v>
          </cell>
          <cell r="J1756">
            <v>640.55519736849999</v>
          </cell>
          <cell r="K1756" t="str">
            <v>Small Cap</v>
          </cell>
        </row>
        <row r="1757">
          <cell r="C1757" t="str">
            <v>INE176O01011</v>
          </cell>
          <cell r="D1757" t="str">
            <v>ESPIRE</v>
          </cell>
          <cell r="E1757">
            <v>639.31363620600007</v>
          </cell>
          <cell r="F1757" t="str">
            <v>-</v>
          </cell>
          <cell r="G1757" t="str">
            <v>-</v>
          </cell>
          <cell r="H1757" t="str">
            <v>-</v>
          </cell>
          <cell r="I1757" t="str">
            <v>-</v>
          </cell>
          <cell r="J1757">
            <v>639.31363620600007</v>
          </cell>
          <cell r="K1757" t="str">
            <v>Small Cap</v>
          </cell>
        </row>
        <row r="1758">
          <cell r="C1758" t="str">
            <v>INE849C01026</v>
          </cell>
          <cell r="D1758" t="str">
            <v>SHALPAINTS</v>
          </cell>
          <cell r="E1758">
            <v>638.52494830500007</v>
          </cell>
          <cell r="F1758" t="str">
            <v>SHALPAINTS</v>
          </cell>
          <cell r="G1758">
            <v>638.03729999999996</v>
          </cell>
          <cell r="H1758" t="str">
            <v>-</v>
          </cell>
          <cell r="I1758" t="str">
            <v>-</v>
          </cell>
          <cell r="J1758">
            <v>638.28112415250007</v>
          </cell>
          <cell r="K1758" t="str">
            <v>Small Cap</v>
          </cell>
        </row>
        <row r="1759">
          <cell r="C1759" t="str">
            <v>INE05ST01028</v>
          </cell>
          <cell r="D1759" t="str">
            <v>SBGLP</v>
          </cell>
          <cell r="E1759">
            <v>636.1754574979999</v>
          </cell>
          <cell r="F1759" t="str">
            <v>SBGLP</v>
          </cell>
          <cell r="G1759">
            <v>635.75980000000004</v>
          </cell>
          <cell r="H1759" t="str">
            <v>-</v>
          </cell>
          <cell r="I1759" t="str">
            <v>-</v>
          </cell>
          <cell r="J1759">
            <v>635.96762874899991</v>
          </cell>
          <cell r="K1759" t="str">
            <v>Small Cap</v>
          </cell>
        </row>
        <row r="1760">
          <cell r="C1760" t="str">
            <v>INE0RWQ01014</v>
          </cell>
          <cell r="D1760" t="str">
            <v>TOLINS</v>
          </cell>
          <cell r="E1760">
            <v>635.2972990479999</v>
          </cell>
          <cell r="F1760" t="str">
            <v>TOLINS</v>
          </cell>
          <cell r="G1760">
            <v>635.18690000000004</v>
          </cell>
          <cell r="H1760" t="str">
            <v>-</v>
          </cell>
          <cell r="I1760" t="str">
            <v>-</v>
          </cell>
          <cell r="J1760">
            <v>635.24209952399997</v>
          </cell>
          <cell r="K1760" t="str">
            <v>Small Cap</v>
          </cell>
        </row>
        <row r="1761">
          <cell r="C1761" t="str">
            <v>INE515H01014</v>
          </cell>
          <cell r="D1761" t="str">
            <v>EMPIND</v>
          </cell>
          <cell r="E1761">
            <v>634.89240741699996</v>
          </cell>
          <cell r="F1761" t="str">
            <v>-</v>
          </cell>
          <cell r="G1761" t="str">
            <v>-</v>
          </cell>
          <cell r="H1761" t="str">
            <v>-</v>
          </cell>
          <cell r="I1761" t="str">
            <v>-</v>
          </cell>
          <cell r="J1761">
            <v>634.89240741699996</v>
          </cell>
          <cell r="K1761" t="str">
            <v>Small Cap</v>
          </cell>
        </row>
        <row r="1762">
          <cell r="C1762" t="str">
            <v>INE0GAO01018</v>
          </cell>
          <cell r="D1762" t="str">
            <v>PREVEST</v>
          </cell>
          <cell r="E1762">
            <v>632.78529964300003</v>
          </cell>
          <cell r="F1762" t="str">
            <v>-</v>
          </cell>
          <cell r="G1762" t="str">
            <v>-</v>
          </cell>
          <cell r="H1762" t="str">
            <v>-</v>
          </cell>
          <cell r="I1762" t="str">
            <v>-</v>
          </cell>
          <cell r="J1762">
            <v>632.78529964300003</v>
          </cell>
          <cell r="K1762" t="str">
            <v>Small Cap</v>
          </cell>
        </row>
        <row r="1763">
          <cell r="C1763" t="str">
            <v>INE809I01019</v>
          </cell>
          <cell r="D1763" t="str">
            <v>ONMOBILE</v>
          </cell>
          <cell r="E1763">
            <v>632.64325979900002</v>
          </cell>
          <cell r="F1763" t="str">
            <v>ONMOBILE</v>
          </cell>
          <cell r="G1763">
            <v>632.78</v>
          </cell>
          <cell r="H1763" t="str">
            <v>-</v>
          </cell>
          <cell r="I1763" t="str">
            <v>-</v>
          </cell>
          <cell r="J1763">
            <v>632.71162989949994</v>
          </cell>
          <cell r="K1763" t="str">
            <v>Small Cap</v>
          </cell>
        </row>
        <row r="1764">
          <cell r="C1764" t="str">
            <v>INE0TQE01026</v>
          </cell>
          <cell r="D1764" t="str">
            <v>GLOTTIS</v>
          </cell>
          <cell r="E1764">
            <v>632.82586088100004</v>
          </cell>
          <cell r="F1764" t="str">
            <v>GLOTTIS</v>
          </cell>
          <cell r="G1764">
            <v>632.44529999999997</v>
          </cell>
          <cell r="H1764" t="str">
            <v>-</v>
          </cell>
          <cell r="I1764" t="str">
            <v>-</v>
          </cell>
          <cell r="J1764">
            <v>632.63558044050001</v>
          </cell>
          <cell r="K1764" t="str">
            <v>Small Cap</v>
          </cell>
        </row>
        <row r="1765">
          <cell r="C1765" t="str">
            <v>INE0LCG01010</v>
          </cell>
          <cell r="D1765" t="str">
            <v>MONIKA</v>
          </cell>
          <cell r="E1765">
            <v>628.14065792399992</v>
          </cell>
          <cell r="F1765" t="str">
            <v>-</v>
          </cell>
          <cell r="G1765" t="str">
            <v>-</v>
          </cell>
          <cell r="H1765" t="str">
            <v>-</v>
          </cell>
          <cell r="I1765" t="str">
            <v>-</v>
          </cell>
          <cell r="J1765">
            <v>628.14065792399992</v>
          </cell>
          <cell r="K1765" t="str">
            <v>Small Cap</v>
          </cell>
        </row>
        <row r="1766">
          <cell r="C1766" t="str">
            <v>INE01GN01025</v>
          </cell>
          <cell r="D1766" t="str">
            <v>-</v>
          </cell>
          <cell r="E1766" t="str">
            <v>-</v>
          </cell>
          <cell r="F1766" t="str">
            <v>IRISDOREME</v>
          </cell>
          <cell r="G1766">
            <v>626.59159999999997</v>
          </cell>
          <cell r="H1766" t="str">
            <v>-</v>
          </cell>
          <cell r="I1766" t="str">
            <v>-</v>
          </cell>
          <cell r="J1766">
            <v>626.59159999999997</v>
          </cell>
          <cell r="K1766" t="str">
            <v>Small Cap</v>
          </cell>
        </row>
        <row r="1767">
          <cell r="C1767" t="str">
            <v>INE00S901012</v>
          </cell>
          <cell r="D1767" t="str">
            <v>NILASPACES</v>
          </cell>
          <cell r="E1767">
            <v>623.95487995200006</v>
          </cell>
          <cell r="F1767" t="str">
            <v>NILASPACES</v>
          </cell>
          <cell r="G1767">
            <v>623.79859999999996</v>
          </cell>
          <cell r="H1767" t="str">
            <v>-</v>
          </cell>
          <cell r="I1767" t="str">
            <v>-</v>
          </cell>
          <cell r="J1767">
            <v>623.87673997599995</v>
          </cell>
          <cell r="K1767" t="str">
            <v>Small Cap</v>
          </cell>
        </row>
        <row r="1768">
          <cell r="C1768" t="str">
            <v>INE08E401029</v>
          </cell>
          <cell r="D1768" t="str">
            <v>ALPHALOGIC</v>
          </cell>
          <cell r="E1768">
            <v>623.67915353800004</v>
          </cell>
          <cell r="F1768" t="str">
            <v>-</v>
          </cell>
          <cell r="G1768" t="str">
            <v>-</v>
          </cell>
          <cell r="H1768" t="str">
            <v>-</v>
          </cell>
          <cell r="I1768" t="str">
            <v>-</v>
          </cell>
          <cell r="J1768">
            <v>623.67915353800004</v>
          </cell>
          <cell r="K1768" t="str">
            <v>Small Cap</v>
          </cell>
        </row>
        <row r="1769">
          <cell r="C1769" t="str">
            <v>INE923A01015</v>
          </cell>
          <cell r="D1769" t="str">
            <v>SILINV</v>
          </cell>
          <cell r="E1769">
            <v>621.75245068100003</v>
          </cell>
          <cell r="F1769" t="str">
            <v>SILINV</v>
          </cell>
          <cell r="G1769">
            <v>621.28779999999995</v>
          </cell>
          <cell r="H1769" t="str">
            <v>-</v>
          </cell>
          <cell r="I1769" t="str">
            <v>-</v>
          </cell>
          <cell r="J1769">
            <v>621.52012534050004</v>
          </cell>
          <cell r="K1769" t="str">
            <v>Small Cap</v>
          </cell>
        </row>
        <row r="1770">
          <cell r="C1770" t="str">
            <v>INE247M01014</v>
          </cell>
          <cell r="D1770" t="str">
            <v>SPECIALITY</v>
          </cell>
          <cell r="E1770">
            <v>619.50087906299996</v>
          </cell>
          <cell r="F1770" t="str">
            <v>SPECIALITY</v>
          </cell>
          <cell r="G1770">
            <v>619.12300000000005</v>
          </cell>
          <cell r="H1770" t="str">
            <v>-</v>
          </cell>
          <cell r="I1770" t="str">
            <v>-</v>
          </cell>
          <cell r="J1770">
            <v>619.3119395315</v>
          </cell>
          <cell r="K1770" t="str">
            <v>Small Cap</v>
          </cell>
        </row>
        <row r="1771">
          <cell r="C1771" t="str">
            <v>INE0PK601023</v>
          </cell>
          <cell r="D1771" t="str">
            <v>OCCLLTD</v>
          </cell>
          <cell r="E1771">
            <v>615.774206456</v>
          </cell>
          <cell r="F1771" t="str">
            <v>OCCLLTD</v>
          </cell>
          <cell r="G1771">
            <v>615.48599999999999</v>
          </cell>
          <cell r="H1771" t="str">
            <v>-</v>
          </cell>
          <cell r="I1771" t="str">
            <v>-</v>
          </cell>
          <cell r="J1771">
            <v>615.63010322800005</v>
          </cell>
          <cell r="K1771" t="str">
            <v>Small Cap</v>
          </cell>
        </row>
        <row r="1772">
          <cell r="C1772" t="str">
            <v>INE938C01019</v>
          </cell>
          <cell r="D1772" t="str">
            <v>LAKSHMIMIL</v>
          </cell>
          <cell r="E1772">
            <v>611.48761397999999</v>
          </cell>
          <cell r="F1772" t="str">
            <v>-</v>
          </cell>
          <cell r="G1772" t="str">
            <v>-</v>
          </cell>
          <cell r="H1772" t="str">
            <v>-</v>
          </cell>
          <cell r="I1772" t="str">
            <v>-</v>
          </cell>
          <cell r="J1772">
            <v>611.48761397999999</v>
          </cell>
          <cell r="K1772" t="str">
            <v>Small Cap</v>
          </cell>
        </row>
        <row r="1773">
          <cell r="C1773" t="str">
            <v>INE872E01016</v>
          </cell>
          <cell r="D1773" t="str">
            <v>DLTNCBL</v>
          </cell>
          <cell r="E1773">
            <v>610.36285714300004</v>
          </cell>
          <cell r="F1773" t="str">
            <v>-</v>
          </cell>
          <cell r="G1773" t="str">
            <v>-</v>
          </cell>
          <cell r="H1773" t="str">
            <v>-</v>
          </cell>
          <cell r="I1773" t="str">
            <v>-</v>
          </cell>
          <cell r="J1773">
            <v>610.36285714300004</v>
          </cell>
          <cell r="K1773" t="str">
            <v>Small Cap</v>
          </cell>
        </row>
        <row r="1774">
          <cell r="C1774" t="str">
            <v>INE575C01027</v>
          </cell>
          <cell r="D1774" t="str">
            <v>INTLCONV</v>
          </cell>
          <cell r="E1774">
            <v>629.09892857099999</v>
          </cell>
          <cell r="F1774" t="str">
            <v>INTLCONV</v>
          </cell>
          <cell r="G1774">
            <v>590.50009999999997</v>
          </cell>
          <cell r="H1774" t="str">
            <v>-</v>
          </cell>
          <cell r="I1774" t="str">
            <v>-</v>
          </cell>
          <cell r="J1774">
            <v>609.79951428549998</v>
          </cell>
          <cell r="K1774" t="str">
            <v>Small Cap</v>
          </cell>
        </row>
        <row r="1775">
          <cell r="C1775" t="str">
            <v>INE757T01025</v>
          </cell>
          <cell r="D1775" t="str">
            <v>AEPL</v>
          </cell>
          <cell r="E1775">
            <v>608.54532330200004</v>
          </cell>
          <cell r="F1775" t="str">
            <v>-</v>
          </cell>
          <cell r="G1775" t="str">
            <v>-</v>
          </cell>
          <cell r="H1775" t="str">
            <v>-</v>
          </cell>
          <cell r="I1775" t="str">
            <v>-</v>
          </cell>
          <cell r="J1775">
            <v>608.54532330200004</v>
          </cell>
          <cell r="K1775" t="str">
            <v>Small Cap</v>
          </cell>
        </row>
        <row r="1776">
          <cell r="C1776" t="str">
            <v>INE645H01027</v>
          </cell>
          <cell r="D1776" t="str">
            <v>SUTLEJTEX</v>
          </cell>
          <cell r="E1776">
            <v>607.9368033689999</v>
          </cell>
          <cell r="F1776" t="str">
            <v>SUTLEJTEX</v>
          </cell>
          <cell r="G1776">
            <v>607.57399999999996</v>
          </cell>
          <cell r="H1776" t="str">
            <v>-</v>
          </cell>
          <cell r="I1776" t="str">
            <v>-</v>
          </cell>
          <cell r="J1776">
            <v>607.75540168449993</v>
          </cell>
          <cell r="K1776" t="str">
            <v>Small Cap</v>
          </cell>
        </row>
        <row r="1777">
          <cell r="C1777" t="str">
            <v>INE324L01013</v>
          </cell>
          <cell r="D1777" t="str">
            <v>RPPINFRA</v>
          </cell>
          <cell r="E1777">
            <v>606.15331224399995</v>
          </cell>
          <cell r="F1777" t="str">
            <v>RPPINFRA</v>
          </cell>
          <cell r="G1777">
            <v>606.17250000000001</v>
          </cell>
          <cell r="H1777" t="str">
            <v>-</v>
          </cell>
          <cell r="I1777" t="str">
            <v>-</v>
          </cell>
          <cell r="J1777">
            <v>606.16290612199998</v>
          </cell>
          <cell r="K1777" t="str">
            <v>Small Cap</v>
          </cell>
        </row>
        <row r="1778">
          <cell r="C1778" t="str">
            <v>INE094S01041</v>
          </cell>
          <cell r="D1778" t="str">
            <v xml:space="preserve">MISHTANN </v>
          </cell>
          <cell r="E1778">
            <v>605.84936853700003</v>
          </cell>
          <cell r="F1778" t="str">
            <v>-</v>
          </cell>
          <cell r="G1778" t="str">
            <v>-</v>
          </cell>
          <cell r="H1778" t="str">
            <v>MISHTANN</v>
          </cell>
          <cell r="I1778">
            <v>606.08028558728529</v>
          </cell>
          <cell r="J1778">
            <v>605.9648270621426</v>
          </cell>
          <cell r="K1778" t="str">
            <v>Small Cap</v>
          </cell>
        </row>
        <row r="1779">
          <cell r="C1779" t="str">
            <v>INE0MIS01010</v>
          </cell>
          <cell r="D1779" t="str">
            <v>PYRAMID</v>
          </cell>
          <cell r="E1779">
            <v>605.23695514300005</v>
          </cell>
          <cell r="F1779" t="str">
            <v>PYRAMID</v>
          </cell>
          <cell r="G1779">
            <v>605.36509999999998</v>
          </cell>
          <cell r="H1779" t="str">
            <v>-</v>
          </cell>
          <cell r="I1779" t="str">
            <v>-</v>
          </cell>
          <cell r="J1779">
            <v>605.30102757150007</v>
          </cell>
          <cell r="K1779" t="str">
            <v>Small Cap</v>
          </cell>
        </row>
        <row r="1780">
          <cell r="C1780" t="str">
            <v>INE607A01022</v>
          </cell>
          <cell r="D1780" t="str">
            <v>PRIMO</v>
          </cell>
          <cell r="E1780">
            <v>605.67340754700001</v>
          </cell>
          <cell r="F1780" t="str">
            <v>PRIMO</v>
          </cell>
          <cell r="G1780">
            <v>604.73289999999997</v>
          </cell>
          <cell r="H1780" t="str">
            <v>-</v>
          </cell>
          <cell r="I1780" t="str">
            <v>-</v>
          </cell>
          <cell r="J1780">
            <v>605.20315377349993</v>
          </cell>
          <cell r="K1780" t="str">
            <v>Small Cap</v>
          </cell>
        </row>
        <row r="1781">
          <cell r="C1781" t="str">
            <v>INE593W01028</v>
          </cell>
          <cell r="D1781" t="str">
            <v>-</v>
          </cell>
          <cell r="E1781" t="str">
            <v>-</v>
          </cell>
          <cell r="F1781" t="str">
            <v>FOCUS</v>
          </cell>
          <cell r="G1781">
            <v>603.87720000000002</v>
          </cell>
          <cell r="H1781" t="str">
            <v>-</v>
          </cell>
          <cell r="I1781" t="str">
            <v>-</v>
          </cell>
          <cell r="J1781">
            <v>603.87720000000002</v>
          </cell>
          <cell r="K1781" t="str">
            <v>Small Cap</v>
          </cell>
        </row>
        <row r="1782">
          <cell r="C1782" t="str">
            <v>INE555Z01020</v>
          </cell>
          <cell r="D1782" t="str">
            <v>-</v>
          </cell>
          <cell r="E1782" t="str">
            <v>-</v>
          </cell>
          <cell r="F1782" t="str">
            <v>TARACHAND</v>
          </cell>
          <cell r="G1782">
            <v>599.16</v>
          </cell>
          <cell r="H1782" t="str">
            <v>-</v>
          </cell>
          <cell r="I1782" t="str">
            <v>-</v>
          </cell>
          <cell r="J1782">
            <v>599.16</v>
          </cell>
          <cell r="K1782" t="str">
            <v>Small Cap</v>
          </cell>
        </row>
        <row r="1783">
          <cell r="C1783" t="str">
            <v>INE843D01027</v>
          </cell>
          <cell r="D1783" t="str">
            <v>DCMSRIND</v>
          </cell>
          <cell r="E1783">
            <v>696.34717968799998</v>
          </cell>
          <cell r="F1783" t="str">
            <v>DCMSRIND</v>
          </cell>
          <cell r="G1783">
            <v>501.59690000000001</v>
          </cell>
          <cell r="H1783" t="str">
            <v>-</v>
          </cell>
          <cell r="I1783" t="str">
            <v>-</v>
          </cell>
          <cell r="J1783">
            <v>598.97203984399994</v>
          </cell>
          <cell r="K1783" t="str">
            <v>Small Cap</v>
          </cell>
        </row>
        <row r="1784">
          <cell r="C1784" t="str">
            <v>INE025A01027</v>
          </cell>
          <cell r="D1784" t="str">
            <v>-</v>
          </cell>
          <cell r="E1784" t="str">
            <v>-</v>
          </cell>
          <cell r="F1784" t="str">
            <v>CONSOFINVT</v>
          </cell>
          <cell r="G1784">
            <v>598.73950000000002</v>
          </cell>
          <cell r="H1784" t="str">
            <v>-</v>
          </cell>
          <cell r="I1784" t="str">
            <v>-</v>
          </cell>
          <cell r="J1784">
            <v>598.73950000000002</v>
          </cell>
          <cell r="K1784" t="str">
            <v>Small Cap</v>
          </cell>
        </row>
        <row r="1785">
          <cell r="C1785" t="str">
            <v>INE0ATZ01017</v>
          </cell>
          <cell r="D1785" t="str">
            <v>KRONOX</v>
          </cell>
          <cell r="E1785">
            <v>596.73391428599996</v>
          </cell>
          <cell r="F1785" t="str">
            <v>KRONOX</v>
          </cell>
          <cell r="G1785">
            <v>596.85140000000001</v>
          </cell>
          <cell r="H1785" t="str">
            <v>-</v>
          </cell>
          <cell r="I1785" t="str">
            <v>-</v>
          </cell>
          <cell r="J1785">
            <v>596.79265714300004</v>
          </cell>
          <cell r="K1785" t="str">
            <v>Small Cap</v>
          </cell>
        </row>
        <row r="1786">
          <cell r="C1786" t="str">
            <v>INE587G01015</v>
          </cell>
          <cell r="D1786" t="str">
            <v>KAYA</v>
          </cell>
          <cell r="E1786">
            <v>599.27003087700007</v>
          </cell>
          <cell r="F1786" t="str">
            <v>KAYA</v>
          </cell>
          <cell r="G1786">
            <v>592.16110000000003</v>
          </cell>
          <cell r="H1786" t="str">
            <v>-</v>
          </cell>
          <cell r="I1786" t="str">
            <v>-</v>
          </cell>
          <cell r="J1786">
            <v>595.71556543850011</v>
          </cell>
          <cell r="K1786" t="str">
            <v>Small Cap</v>
          </cell>
        </row>
        <row r="1787">
          <cell r="C1787" t="str">
            <v>INE290E01011</v>
          </cell>
          <cell r="D1787" t="str">
            <v>YOGI</v>
          </cell>
          <cell r="E1787">
            <v>593.84828254000001</v>
          </cell>
          <cell r="F1787" t="str">
            <v>-</v>
          </cell>
          <cell r="G1787" t="str">
            <v>-</v>
          </cell>
          <cell r="H1787" t="str">
            <v>-</v>
          </cell>
          <cell r="I1787" t="str">
            <v>-</v>
          </cell>
          <cell r="J1787">
            <v>593.84828254000001</v>
          </cell>
          <cell r="K1787" t="str">
            <v>Small Cap</v>
          </cell>
        </row>
        <row r="1788">
          <cell r="C1788" t="str">
            <v>INE855R01021</v>
          </cell>
          <cell r="D1788" t="str">
            <v>RADIANTCMS</v>
          </cell>
          <cell r="E1788">
            <v>593.70076989200004</v>
          </cell>
          <cell r="F1788" t="str">
            <v>RADIANTCMS</v>
          </cell>
          <cell r="G1788">
            <v>593.79390000000001</v>
          </cell>
          <cell r="H1788" t="str">
            <v>-</v>
          </cell>
          <cell r="I1788" t="str">
            <v>-</v>
          </cell>
          <cell r="J1788">
            <v>593.74733494600002</v>
          </cell>
          <cell r="K1788" t="str">
            <v>Small Cap</v>
          </cell>
        </row>
        <row r="1789">
          <cell r="C1789" t="str">
            <v>INE015B01018</v>
          </cell>
          <cell r="D1789" t="str">
            <v>WIMPLAST</v>
          </cell>
          <cell r="E1789">
            <v>592.92549647600003</v>
          </cell>
          <cell r="F1789" t="str">
            <v>-</v>
          </cell>
          <cell r="G1789" t="str">
            <v>-</v>
          </cell>
          <cell r="H1789" t="str">
            <v>-</v>
          </cell>
          <cell r="I1789" t="str">
            <v>-</v>
          </cell>
          <cell r="J1789">
            <v>592.92549647600003</v>
          </cell>
          <cell r="K1789" t="str">
            <v>Small Cap</v>
          </cell>
        </row>
        <row r="1790">
          <cell r="C1790" t="str">
            <v>INE871K01015</v>
          </cell>
          <cell r="D1790" t="str">
            <v>HMVL</v>
          </cell>
          <cell r="E1790">
            <v>592.99398374899999</v>
          </cell>
          <cell r="F1790" t="str">
            <v>HMVL</v>
          </cell>
          <cell r="G1790">
            <v>592.22040000000004</v>
          </cell>
          <cell r="H1790" t="str">
            <v>-</v>
          </cell>
          <cell r="I1790" t="str">
            <v>-</v>
          </cell>
          <cell r="J1790">
            <v>592.60719187450002</v>
          </cell>
          <cell r="K1790" t="str">
            <v>Small Cap</v>
          </cell>
        </row>
        <row r="1791">
          <cell r="C1791" t="str">
            <v>INE122M01019</v>
          </cell>
          <cell r="D1791" t="str">
            <v>ESSARSHPNG</v>
          </cell>
          <cell r="E1791">
            <v>592.30802471099992</v>
          </cell>
          <cell r="F1791" t="str">
            <v>ESSARSHPNG</v>
          </cell>
          <cell r="G1791">
            <v>591.12199999999996</v>
          </cell>
          <cell r="H1791" t="str">
            <v>-</v>
          </cell>
          <cell r="I1791" t="str">
            <v>-</v>
          </cell>
          <cell r="J1791">
            <v>591.71501235549999</v>
          </cell>
          <cell r="K1791" t="str">
            <v>Small Cap</v>
          </cell>
        </row>
        <row r="1792">
          <cell r="C1792" t="str">
            <v>INE00RY01013</v>
          </cell>
          <cell r="D1792" t="str">
            <v>-</v>
          </cell>
          <cell r="E1792" t="str">
            <v>-</v>
          </cell>
          <cell r="F1792" t="str">
            <v>-</v>
          </cell>
          <cell r="G1792" t="str">
            <v>-</v>
          </cell>
          <cell r="H1792" t="str">
            <v>AMRITINDIA</v>
          </cell>
          <cell r="I1792">
            <v>590.80972369642848</v>
          </cell>
          <cell r="J1792">
            <v>590.80972369642848</v>
          </cell>
          <cell r="K1792" t="str">
            <v>Small Cap</v>
          </cell>
        </row>
        <row r="1793">
          <cell r="C1793" t="str">
            <v>INE555P01013</v>
          </cell>
          <cell r="D1793" t="str">
            <v>KIRANVYPAR</v>
          </cell>
          <cell r="E1793">
            <v>588.39158916300005</v>
          </cell>
          <cell r="F1793" t="str">
            <v>-</v>
          </cell>
          <cell r="G1793" t="str">
            <v>-</v>
          </cell>
          <cell r="H1793" t="str">
            <v>-</v>
          </cell>
          <cell r="I1793" t="str">
            <v>-</v>
          </cell>
          <cell r="J1793">
            <v>588.39158916300005</v>
          </cell>
          <cell r="K1793" t="str">
            <v>Small Cap</v>
          </cell>
        </row>
        <row r="1794">
          <cell r="C1794" t="str">
            <v>INE761Y01019</v>
          </cell>
          <cell r="D1794" t="str">
            <v>ZODIAC</v>
          </cell>
          <cell r="E1794">
            <v>588.25726711899995</v>
          </cell>
          <cell r="F1794" t="str">
            <v>ZODIAC</v>
          </cell>
          <cell r="G1794">
            <v>587.28020000000004</v>
          </cell>
          <cell r="H1794" t="str">
            <v>-</v>
          </cell>
          <cell r="I1794" t="str">
            <v>-</v>
          </cell>
          <cell r="J1794">
            <v>587.76873355949999</v>
          </cell>
          <cell r="K1794" t="str">
            <v>Small Cap</v>
          </cell>
        </row>
        <row r="1795">
          <cell r="C1795" t="str">
            <v>INE830C01026</v>
          </cell>
          <cell r="D1795" t="str">
            <v>EMAMIPAP</v>
          </cell>
          <cell r="E1795">
            <v>587.82605524300004</v>
          </cell>
          <cell r="F1795" t="str">
            <v>EMAMIPAP</v>
          </cell>
          <cell r="G1795">
            <v>587.63260000000002</v>
          </cell>
          <cell r="H1795" t="str">
            <v>-</v>
          </cell>
          <cell r="I1795" t="str">
            <v>-</v>
          </cell>
          <cell r="J1795">
            <v>587.72932762150003</v>
          </cell>
          <cell r="K1795" t="str">
            <v>Small Cap</v>
          </cell>
        </row>
        <row r="1796">
          <cell r="C1796" t="str">
            <v>INE229R01011</v>
          </cell>
          <cell r="D1796" t="str">
            <v>ARYACAPM</v>
          </cell>
          <cell r="E1796">
            <v>584.39011809300007</v>
          </cell>
          <cell r="F1796" t="str">
            <v>-</v>
          </cell>
          <cell r="G1796" t="str">
            <v>-</v>
          </cell>
          <cell r="H1796" t="str">
            <v>-</v>
          </cell>
          <cell r="I1796" t="str">
            <v>-</v>
          </cell>
          <cell r="J1796">
            <v>584.39011809300007</v>
          </cell>
          <cell r="K1796" t="str">
            <v>Small Cap</v>
          </cell>
        </row>
        <row r="1797">
          <cell r="C1797" t="str">
            <v>INE927C01020</v>
          </cell>
          <cell r="D1797" t="str">
            <v>DIGISPICE</v>
          </cell>
          <cell r="E1797">
            <v>584.37339706199998</v>
          </cell>
          <cell r="F1797" t="str">
            <v>DIGISPICE</v>
          </cell>
          <cell r="G1797">
            <v>582.85829999999999</v>
          </cell>
          <cell r="H1797" t="str">
            <v>-</v>
          </cell>
          <cell r="I1797" t="str">
            <v>-</v>
          </cell>
          <cell r="J1797">
            <v>583.61584853099998</v>
          </cell>
          <cell r="K1797" t="str">
            <v>Small Cap</v>
          </cell>
        </row>
        <row r="1798">
          <cell r="C1798" t="str">
            <v>INE546V01010</v>
          </cell>
          <cell r="D1798" t="str">
            <v>-</v>
          </cell>
          <cell r="E1798" t="str">
            <v>-</v>
          </cell>
          <cell r="F1798" t="str">
            <v>EIFFL</v>
          </cell>
          <cell r="G1798">
            <v>582.87890000000004</v>
          </cell>
          <cell r="H1798" t="str">
            <v>-</v>
          </cell>
          <cell r="I1798" t="str">
            <v>-</v>
          </cell>
          <cell r="J1798">
            <v>582.87890000000004</v>
          </cell>
          <cell r="K1798" t="str">
            <v>Small Cap</v>
          </cell>
        </row>
        <row r="1799">
          <cell r="C1799" t="str">
            <v>INE912H01013</v>
          </cell>
          <cell r="D1799" t="str">
            <v>MBLINFRA</v>
          </cell>
          <cell r="E1799">
            <v>586.00932695699998</v>
          </cell>
          <cell r="F1799" t="str">
            <v>MBLINFRA</v>
          </cell>
          <cell r="G1799">
            <v>573.39750000000004</v>
          </cell>
          <cell r="H1799" t="str">
            <v>-</v>
          </cell>
          <cell r="I1799" t="str">
            <v>-</v>
          </cell>
          <cell r="J1799">
            <v>579.70341347850001</v>
          </cell>
          <cell r="K1799" t="str">
            <v>Small Cap</v>
          </cell>
        </row>
        <row r="1800">
          <cell r="C1800" t="str">
            <v>INE0HLJ01013</v>
          </cell>
          <cell r="D1800" t="str">
            <v>SVRL</v>
          </cell>
          <cell r="E1800">
            <v>577.605874169</v>
          </cell>
          <cell r="F1800" t="str">
            <v>-</v>
          </cell>
          <cell r="G1800" t="str">
            <v>-</v>
          </cell>
          <cell r="H1800" t="str">
            <v>-</v>
          </cell>
          <cell r="I1800" t="str">
            <v>-</v>
          </cell>
          <cell r="J1800">
            <v>577.605874169</v>
          </cell>
          <cell r="K1800" t="str">
            <v>Small Cap</v>
          </cell>
        </row>
        <row r="1801">
          <cell r="C1801" t="str">
            <v>INE244J01017</v>
          </cell>
          <cell r="D1801" t="str">
            <v>RBL</v>
          </cell>
          <cell r="E1801">
            <v>575.52754530499999</v>
          </cell>
          <cell r="F1801" t="str">
            <v>-</v>
          </cell>
          <cell r="G1801" t="str">
            <v>-</v>
          </cell>
          <cell r="H1801" t="str">
            <v>-</v>
          </cell>
          <cell r="I1801" t="str">
            <v>-</v>
          </cell>
          <cell r="J1801">
            <v>575.52754530499999</v>
          </cell>
          <cell r="K1801" t="str">
            <v>Small Cap</v>
          </cell>
        </row>
        <row r="1802">
          <cell r="C1802" t="str">
            <v>INE147C01017</v>
          </cell>
          <cell r="D1802" t="str">
            <v>POOJAENT</v>
          </cell>
          <cell r="E1802">
            <v>574.24706568299996</v>
          </cell>
          <cell r="F1802" t="str">
            <v>-</v>
          </cell>
          <cell r="G1802" t="str">
            <v>-</v>
          </cell>
          <cell r="H1802" t="str">
            <v>-</v>
          </cell>
          <cell r="I1802" t="str">
            <v>-</v>
          </cell>
          <cell r="J1802">
            <v>574.24706568299996</v>
          </cell>
          <cell r="K1802" t="str">
            <v>Small Cap</v>
          </cell>
        </row>
        <row r="1803">
          <cell r="C1803" t="str">
            <v>INE073V01015</v>
          </cell>
          <cell r="D1803" t="str">
            <v>COMSYN</v>
          </cell>
          <cell r="E1803">
            <v>574.27006907099997</v>
          </cell>
          <cell r="F1803" t="str">
            <v>COMSYN</v>
          </cell>
          <cell r="G1803">
            <v>573.18179999999995</v>
          </cell>
          <cell r="H1803" t="str">
            <v>-</v>
          </cell>
          <cell r="I1803" t="str">
            <v>-</v>
          </cell>
          <cell r="J1803">
            <v>573.72593453549996</v>
          </cell>
          <cell r="K1803" t="str">
            <v>Small Cap</v>
          </cell>
        </row>
        <row r="1804">
          <cell r="C1804" t="str">
            <v>INE713C01016</v>
          </cell>
          <cell r="D1804" t="str">
            <v>SURAJLTD</v>
          </cell>
          <cell r="E1804">
            <v>573.56695552799999</v>
          </cell>
          <cell r="F1804" t="str">
            <v>SURAJLTD</v>
          </cell>
          <cell r="G1804">
            <v>573.72649999999999</v>
          </cell>
          <cell r="H1804" t="str">
            <v>-</v>
          </cell>
          <cell r="I1804" t="str">
            <v>-</v>
          </cell>
          <cell r="J1804">
            <v>573.64672776399993</v>
          </cell>
          <cell r="K1804" t="str">
            <v>Small Cap</v>
          </cell>
        </row>
        <row r="1805">
          <cell r="C1805" t="str">
            <v>INE506D01020</v>
          </cell>
          <cell r="D1805" t="str">
            <v>HALDYNGL</v>
          </cell>
          <cell r="E1805">
            <v>572.94960871899991</v>
          </cell>
          <cell r="F1805" t="str">
            <v>-</v>
          </cell>
          <cell r="G1805" t="str">
            <v>-</v>
          </cell>
          <cell r="H1805" t="str">
            <v>-</v>
          </cell>
          <cell r="I1805" t="str">
            <v>-</v>
          </cell>
          <cell r="J1805">
            <v>572.94960871899991</v>
          </cell>
          <cell r="K1805" t="str">
            <v>Small Cap</v>
          </cell>
        </row>
        <row r="1806">
          <cell r="C1806" t="str">
            <v>INE283A01014</v>
          </cell>
          <cell r="D1806" t="str">
            <v>-</v>
          </cell>
          <cell r="E1806" t="str">
            <v>-</v>
          </cell>
          <cell r="F1806" t="str">
            <v>PRECOT</v>
          </cell>
          <cell r="G1806">
            <v>572.37429999999995</v>
          </cell>
          <cell r="H1806" t="str">
            <v>-</v>
          </cell>
          <cell r="I1806" t="str">
            <v>-</v>
          </cell>
          <cell r="J1806">
            <v>572.37429999999995</v>
          </cell>
          <cell r="K1806" t="str">
            <v>Small Cap</v>
          </cell>
        </row>
        <row r="1807">
          <cell r="C1807" t="str">
            <v>INE0KY201021</v>
          </cell>
          <cell r="D1807" t="str">
            <v>MAAGHADV</v>
          </cell>
          <cell r="E1807">
            <v>571.98177499999997</v>
          </cell>
          <cell r="F1807" t="str">
            <v>-</v>
          </cell>
          <cell r="G1807" t="str">
            <v>-</v>
          </cell>
          <cell r="H1807" t="str">
            <v>-</v>
          </cell>
          <cell r="I1807" t="str">
            <v>-</v>
          </cell>
          <cell r="J1807">
            <v>571.98177499999997</v>
          </cell>
          <cell r="K1807" t="str">
            <v>Small Cap</v>
          </cell>
        </row>
        <row r="1808">
          <cell r="C1808" t="str">
            <v>INE413G01022</v>
          </cell>
          <cell r="D1808" t="str">
            <v>TPLPLASTEH</v>
          </cell>
          <cell r="E1808">
            <v>570.59256407099997</v>
          </cell>
          <cell r="F1808" t="str">
            <v>TPLPLASTEH</v>
          </cell>
          <cell r="G1808">
            <v>570.39880000000005</v>
          </cell>
          <cell r="H1808" t="str">
            <v>-</v>
          </cell>
          <cell r="I1808" t="str">
            <v>-</v>
          </cell>
          <cell r="J1808">
            <v>570.49568203550007</v>
          </cell>
          <cell r="K1808" t="str">
            <v>Small Cap</v>
          </cell>
        </row>
        <row r="1809">
          <cell r="C1809" t="str">
            <v>INE882B01037</v>
          </cell>
          <cell r="D1809" t="str">
            <v>IIL</v>
          </cell>
          <cell r="E1809">
            <v>566.23308185200005</v>
          </cell>
          <cell r="F1809" t="str">
            <v>-</v>
          </cell>
          <cell r="G1809" t="str">
            <v>-</v>
          </cell>
          <cell r="H1809" t="str">
            <v>-</v>
          </cell>
          <cell r="I1809" t="str">
            <v>-</v>
          </cell>
          <cell r="J1809">
            <v>566.23308185200005</v>
          </cell>
          <cell r="K1809" t="str">
            <v>Small Cap</v>
          </cell>
        </row>
        <row r="1810">
          <cell r="C1810" t="str">
            <v>INE142E01022</v>
          </cell>
          <cell r="D1810" t="str">
            <v>BEMHY</v>
          </cell>
          <cell r="E1810">
            <v>565.89670041700003</v>
          </cell>
          <cell r="F1810" t="str">
            <v>-</v>
          </cell>
          <cell r="G1810" t="str">
            <v>-</v>
          </cell>
          <cell r="H1810" t="str">
            <v>-</v>
          </cell>
          <cell r="I1810" t="str">
            <v>-</v>
          </cell>
          <cell r="J1810">
            <v>565.89670041700003</v>
          </cell>
          <cell r="K1810" t="str">
            <v>Small Cap</v>
          </cell>
        </row>
        <row r="1811">
          <cell r="C1811" t="str">
            <v>INE0PEQ01016</v>
          </cell>
          <cell r="D1811" t="str">
            <v>RBZJEWEL</v>
          </cell>
          <cell r="E1811">
            <v>563.54603174600004</v>
          </cell>
          <cell r="F1811" t="str">
            <v>RBZJEWEL</v>
          </cell>
          <cell r="G1811">
            <v>563.4289</v>
          </cell>
          <cell r="H1811" t="str">
            <v>-</v>
          </cell>
          <cell r="I1811" t="str">
            <v>-</v>
          </cell>
          <cell r="J1811">
            <v>563.48746587300002</v>
          </cell>
          <cell r="K1811" t="str">
            <v>Small Cap</v>
          </cell>
        </row>
        <row r="1812">
          <cell r="C1812" t="str">
            <v>INE810E01016</v>
          </cell>
          <cell r="D1812" t="str">
            <v>-</v>
          </cell>
          <cell r="E1812" t="str">
            <v>-</v>
          </cell>
          <cell r="F1812" t="str">
            <v>-</v>
          </cell>
          <cell r="G1812" t="str">
            <v>-</v>
          </cell>
          <cell r="H1812" t="str">
            <v>ADVENTZSEC</v>
          </cell>
          <cell r="I1812">
            <v>563.31907274999901</v>
          </cell>
          <cell r="J1812">
            <v>563.31907274999901</v>
          </cell>
          <cell r="K1812" t="str">
            <v>Small Cap</v>
          </cell>
        </row>
        <row r="1813">
          <cell r="C1813" t="str">
            <v>INE688E01024</v>
          </cell>
          <cell r="D1813" t="str">
            <v>HERCULES</v>
          </cell>
          <cell r="E1813">
            <v>563.72825396799999</v>
          </cell>
          <cell r="F1813" t="str">
            <v>HERCULES</v>
          </cell>
          <cell r="G1813">
            <v>562.17139999999995</v>
          </cell>
          <cell r="H1813" t="str">
            <v>-</v>
          </cell>
          <cell r="I1813" t="str">
            <v>-</v>
          </cell>
          <cell r="J1813">
            <v>562.94982698399997</v>
          </cell>
          <cell r="K1813" t="str">
            <v>Small Cap</v>
          </cell>
        </row>
        <row r="1814">
          <cell r="C1814" t="str">
            <v>INE0WDX01010</v>
          </cell>
          <cell r="D1814" t="str">
            <v>CLN</v>
          </cell>
          <cell r="E1814">
            <v>562.56067389899999</v>
          </cell>
          <cell r="F1814" t="str">
            <v>-</v>
          </cell>
          <cell r="G1814" t="str">
            <v>-</v>
          </cell>
          <cell r="H1814" t="str">
            <v>-</v>
          </cell>
          <cell r="I1814" t="str">
            <v>-</v>
          </cell>
          <cell r="J1814">
            <v>562.56067389899999</v>
          </cell>
          <cell r="K1814" t="str">
            <v>Small Cap</v>
          </cell>
        </row>
        <row r="1815">
          <cell r="C1815" t="str">
            <v>INE00RL01028</v>
          </cell>
          <cell r="D1815" t="str">
            <v xml:space="preserve">HILINFRA </v>
          </cell>
          <cell r="E1815">
            <v>562.73950301000002</v>
          </cell>
          <cell r="F1815" t="str">
            <v>HILINFRA</v>
          </cell>
          <cell r="G1815">
            <v>561.64580000000001</v>
          </cell>
          <cell r="H1815" t="str">
            <v>-</v>
          </cell>
          <cell r="I1815" t="str">
            <v>-</v>
          </cell>
          <cell r="J1815">
            <v>562.19265150499996</v>
          </cell>
          <cell r="K1815" t="str">
            <v>Small Cap</v>
          </cell>
        </row>
        <row r="1816">
          <cell r="C1816" t="str">
            <v>INE010C01025</v>
          </cell>
          <cell r="D1816" t="str">
            <v>SWISSMLTRY</v>
          </cell>
          <cell r="E1816">
            <v>561.32078197800001</v>
          </cell>
          <cell r="F1816" t="str">
            <v>-</v>
          </cell>
          <cell r="G1816" t="str">
            <v>-</v>
          </cell>
          <cell r="H1816" t="str">
            <v>-</v>
          </cell>
          <cell r="I1816" t="str">
            <v>-</v>
          </cell>
          <cell r="J1816">
            <v>561.32078197800001</v>
          </cell>
          <cell r="K1816" t="str">
            <v>Small Cap</v>
          </cell>
        </row>
        <row r="1817">
          <cell r="C1817" t="str">
            <v>INE809A01032</v>
          </cell>
          <cell r="D1817" t="str">
            <v>RAMAPHO</v>
          </cell>
          <cell r="E1817">
            <v>560.82297295699993</v>
          </cell>
          <cell r="F1817" t="str">
            <v>RAMAPHO</v>
          </cell>
          <cell r="G1817">
            <v>561.62530000000004</v>
          </cell>
          <cell r="H1817" t="str">
            <v>-</v>
          </cell>
          <cell r="I1817" t="str">
            <v>-</v>
          </cell>
          <cell r="J1817">
            <v>561.22413647849999</v>
          </cell>
          <cell r="K1817" t="str">
            <v>Small Cap</v>
          </cell>
        </row>
        <row r="1818">
          <cell r="C1818" t="str">
            <v>INE592A01026</v>
          </cell>
          <cell r="D1818" t="str">
            <v>ORIENTPPR</v>
          </cell>
          <cell r="E1818">
            <v>561.22728476600003</v>
          </cell>
          <cell r="F1818" t="str">
            <v>ORIENTPPR</v>
          </cell>
          <cell r="G1818">
            <v>561.05799999999999</v>
          </cell>
          <cell r="H1818" t="str">
            <v>-</v>
          </cell>
          <cell r="I1818" t="str">
            <v>-</v>
          </cell>
          <cell r="J1818">
            <v>561.14264238300007</v>
          </cell>
          <cell r="K1818" t="str">
            <v>Small Cap</v>
          </cell>
        </row>
        <row r="1819">
          <cell r="C1819" t="str">
            <v>INE783E01023</v>
          </cell>
          <cell r="D1819" t="str">
            <v>HIGHENE</v>
          </cell>
          <cell r="E1819">
            <v>560.82051535200003</v>
          </cell>
          <cell r="F1819" t="str">
            <v>-</v>
          </cell>
          <cell r="G1819" t="str">
            <v>-</v>
          </cell>
          <cell r="H1819" t="str">
            <v>-</v>
          </cell>
          <cell r="I1819" t="str">
            <v>-</v>
          </cell>
          <cell r="J1819">
            <v>560.82051535200003</v>
          </cell>
          <cell r="K1819" t="str">
            <v>Small Cap</v>
          </cell>
        </row>
        <row r="1820">
          <cell r="C1820" t="str">
            <v>INE251H01024</v>
          </cell>
          <cell r="D1820" t="str">
            <v>GVKPIL</v>
          </cell>
          <cell r="E1820">
            <v>559.165815759</v>
          </cell>
          <cell r="F1820" t="str">
            <v>GVKPIL</v>
          </cell>
          <cell r="G1820">
            <v>556.52639999999997</v>
          </cell>
          <cell r="H1820" t="str">
            <v>-</v>
          </cell>
          <cell r="I1820" t="str">
            <v>-</v>
          </cell>
          <cell r="J1820">
            <v>557.84610787949998</v>
          </cell>
          <cell r="K1820" t="str">
            <v>Small Cap</v>
          </cell>
        </row>
        <row r="1821">
          <cell r="C1821" t="str">
            <v>INE557B01019</v>
          </cell>
          <cell r="D1821" t="str">
            <v>LIBERTSHOE</v>
          </cell>
          <cell r="E1821">
            <v>558.09516190500005</v>
          </cell>
          <cell r="F1821" t="str">
            <v>LIBERTSHOE</v>
          </cell>
          <cell r="G1821">
            <v>556.39449999999999</v>
          </cell>
          <cell r="H1821" t="str">
            <v>-</v>
          </cell>
          <cell r="I1821" t="str">
            <v>-</v>
          </cell>
          <cell r="J1821">
            <v>557.24483095250002</v>
          </cell>
          <cell r="K1821" t="str">
            <v>Small Cap</v>
          </cell>
        </row>
        <row r="1822">
          <cell r="C1822" t="str">
            <v>INE401Z01019</v>
          </cell>
          <cell r="D1822" t="str">
            <v>FRATELLI</v>
          </cell>
          <cell r="E1822">
            <v>556.11922052299997</v>
          </cell>
          <cell r="F1822" t="str">
            <v>-</v>
          </cell>
          <cell r="G1822" t="str">
            <v>-</v>
          </cell>
          <cell r="H1822" t="str">
            <v>-</v>
          </cell>
          <cell r="I1822" t="str">
            <v>-</v>
          </cell>
          <cell r="J1822">
            <v>556.11922052299997</v>
          </cell>
          <cell r="K1822" t="str">
            <v>Small Cap</v>
          </cell>
        </row>
        <row r="1823">
          <cell r="C1823" t="str">
            <v>INE344T01014</v>
          </cell>
          <cell r="D1823" t="str">
            <v>BELLACASA</v>
          </cell>
          <cell r="E1823">
            <v>555.88565625000001</v>
          </cell>
          <cell r="F1823" t="str">
            <v>BELLACASA</v>
          </cell>
          <cell r="G1823">
            <v>550.36009999999999</v>
          </cell>
          <cell r="H1823" t="str">
            <v>-</v>
          </cell>
          <cell r="I1823" t="str">
            <v>-</v>
          </cell>
          <cell r="J1823">
            <v>553.12287812499994</v>
          </cell>
          <cell r="K1823" t="str">
            <v>Small Cap</v>
          </cell>
        </row>
        <row r="1824">
          <cell r="C1824" t="str">
            <v>INE403N01029</v>
          </cell>
          <cell r="D1824" t="str">
            <v>MAAJTL</v>
          </cell>
          <cell r="E1824">
            <v>552.50412500000004</v>
          </cell>
          <cell r="F1824" t="str">
            <v>-</v>
          </cell>
          <cell r="G1824" t="str">
            <v>-</v>
          </cell>
          <cell r="H1824" t="str">
            <v>-</v>
          </cell>
          <cell r="I1824" t="str">
            <v>-</v>
          </cell>
          <cell r="J1824">
            <v>552.50412500000004</v>
          </cell>
          <cell r="K1824" t="str">
            <v>Small Cap</v>
          </cell>
        </row>
        <row r="1825">
          <cell r="C1825" t="str">
            <v>INE965W01036</v>
          </cell>
          <cell r="D1825" t="str">
            <v>BMWVENTLTD</v>
          </cell>
          <cell r="E1825">
            <v>551.35774669399996</v>
          </cell>
          <cell r="F1825" t="str">
            <v>BMWVENTLTD</v>
          </cell>
          <cell r="G1825">
            <v>549.75490000000002</v>
          </cell>
          <cell r="H1825" t="str">
            <v>-</v>
          </cell>
          <cell r="I1825" t="str">
            <v>-</v>
          </cell>
          <cell r="J1825">
            <v>550.55632334699999</v>
          </cell>
          <cell r="K1825" t="str">
            <v>Small Cap</v>
          </cell>
        </row>
        <row r="1826">
          <cell r="C1826" t="str">
            <v>INE232E01013</v>
          </cell>
          <cell r="D1826" t="str">
            <v>VELJAN</v>
          </cell>
          <cell r="E1826">
            <v>545.08910714299998</v>
          </cell>
          <cell r="F1826" t="str">
            <v>-</v>
          </cell>
          <cell r="G1826" t="str">
            <v>-</v>
          </cell>
          <cell r="H1826" t="str">
            <v>-</v>
          </cell>
          <cell r="I1826" t="str">
            <v>-</v>
          </cell>
          <cell r="J1826">
            <v>545.08910714299998</v>
          </cell>
          <cell r="K1826" t="str">
            <v>Small Cap</v>
          </cell>
        </row>
        <row r="1827">
          <cell r="C1827" t="str">
            <v>INE542Z01028</v>
          </cell>
          <cell r="D1827" t="str">
            <v>-</v>
          </cell>
          <cell r="E1827" t="str">
            <v>-</v>
          </cell>
          <cell r="F1827" t="str">
            <v>KAPSTON</v>
          </cell>
          <cell r="G1827">
            <v>544.37279999999998</v>
          </cell>
          <cell r="H1827" t="str">
            <v>-</v>
          </cell>
          <cell r="I1827" t="str">
            <v>-</v>
          </cell>
          <cell r="J1827">
            <v>544.37279999999998</v>
          </cell>
          <cell r="K1827" t="str">
            <v>Small Cap</v>
          </cell>
        </row>
        <row r="1828">
          <cell r="C1828" t="str">
            <v>INE199C01026</v>
          </cell>
          <cell r="D1828" t="str">
            <v>ADVANIHOTR</v>
          </cell>
          <cell r="E1828">
            <v>544.45616225000003</v>
          </cell>
          <cell r="F1828" t="str">
            <v>ADVANIHOTR</v>
          </cell>
          <cell r="G1828">
            <v>544.14070000000004</v>
          </cell>
          <cell r="H1828" t="str">
            <v>-</v>
          </cell>
          <cell r="I1828" t="str">
            <v>-</v>
          </cell>
          <cell r="J1828">
            <v>544.29843112499998</v>
          </cell>
          <cell r="K1828" t="str">
            <v>Small Cap</v>
          </cell>
        </row>
        <row r="1829">
          <cell r="C1829" t="str">
            <v>INE0I3401014</v>
          </cell>
          <cell r="D1829" t="str">
            <v>DBOL</v>
          </cell>
          <cell r="E1829">
            <v>543.51045735900004</v>
          </cell>
          <cell r="F1829" t="str">
            <v>DBOL</v>
          </cell>
          <cell r="G1829">
            <v>543.10789999999997</v>
          </cell>
          <cell r="H1829" t="str">
            <v>-</v>
          </cell>
          <cell r="I1829" t="str">
            <v>-</v>
          </cell>
          <cell r="J1829">
            <v>543.30917867950006</v>
          </cell>
          <cell r="K1829" t="str">
            <v>Small Cap</v>
          </cell>
        </row>
        <row r="1830">
          <cell r="C1830" t="str">
            <v>INE670C01026</v>
          </cell>
          <cell r="D1830" t="str">
            <v>IIRM</v>
          </cell>
          <cell r="E1830">
            <v>541.887402619</v>
          </cell>
          <cell r="F1830" t="str">
            <v>-</v>
          </cell>
          <cell r="G1830" t="str">
            <v>-</v>
          </cell>
          <cell r="H1830" t="str">
            <v>-</v>
          </cell>
          <cell r="I1830" t="str">
            <v>-</v>
          </cell>
          <cell r="J1830">
            <v>541.887402619</v>
          </cell>
          <cell r="K1830" t="str">
            <v>Small Cap</v>
          </cell>
        </row>
        <row r="1831">
          <cell r="C1831" t="str">
            <v>INE874A01010</v>
          </cell>
          <cell r="D1831" t="str">
            <v>MKVENTURES</v>
          </cell>
          <cell r="E1831">
            <v>541.69767321400002</v>
          </cell>
          <cell r="F1831" t="str">
            <v>-</v>
          </cell>
          <cell r="G1831" t="str">
            <v>-</v>
          </cell>
          <cell r="H1831" t="str">
            <v>-</v>
          </cell>
          <cell r="I1831" t="str">
            <v>-</v>
          </cell>
          <cell r="J1831">
            <v>541.69767321400002</v>
          </cell>
          <cell r="K1831" t="str">
            <v>Small Cap</v>
          </cell>
        </row>
        <row r="1832">
          <cell r="C1832" t="str">
            <v>INE817B01025</v>
          </cell>
          <cell r="D1832" t="str">
            <v>KERALAYUR</v>
          </cell>
          <cell r="E1832">
            <v>541.187376449</v>
          </cell>
          <cell r="F1832" t="str">
            <v>-</v>
          </cell>
          <cell r="G1832" t="str">
            <v>-</v>
          </cell>
          <cell r="H1832" t="str">
            <v>-</v>
          </cell>
          <cell r="I1832" t="str">
            <v>-</v>
          </cell>
          <cell r="J1832">
            <v>541.187376449</v>
          </cell>
          <cell r="K1832" t="str">
            <v>Small Cap</v>
          </cell>
        </row>
        <row r="1833">
          <cell r="C1833" t="str">
            <v>INE577A01027</v>
          </cell>
          <cell r="D1833" t="str">
            <v>MUNJALSHOW</v>
          </cell>
          <cell r="E1833">
            <v>539.59603412700005</v>
          </cell>
          <cell r="F1833" t="str">
            <v>MUNJALSHOW</v>
          </cell>
          <cell r="G1833">
            <v>539.25509999999997</v>
          </cell>
          <cell r="H1833" t="str">
            <v>-</v>
          </cell>
          <cell r="I1833" t="str">
            <v>-</v>
          </cell>
          <cell r="J1833">
            <v>539.42556706350001</v>
          </cell>
          <cell r="K1833" t="str">
            <v>Small Cap</v>
          </cell>
        </row>
        <row r="1834">
          <cell r="C1834" t="str">
            <v>INE445D01013</v>
          </cell>
          <cell r="D1834" t="str">
            <v>NILE</v>
          </cell>
          <cell r="E1834">
            <v>539.42368067100006</v>
          </cell>
          <cell r="F1834" t="str">
            <v>-</v>
          </cell>
          <cell r="G1834" t="str">
            <v>-</v>
          </cell>
          <cell r="H1834" t="str">
            <v>-</v>
          </cell>
          <cell r="I1834" t="str">
            <v>-</v>
          </cell>
          <cell r="J1834">
            <v>539.42368067100006</v>
          </cell>
          <cell r="K1834" t="str">
            <v>Small Cap</v>
          </cell>
        </row>
        <row r="1835">
          <cell r="C1835" t="str">
            <v>INE0HMF01019</v>
          </cell>
          <cell r="D1835" t="str">
            <v>TRACXN</v>
          </cell>
          <cell r="E1835">
            <v>539.38988930599999</v>
          </cell>
          <cell r="F1835" t="str">
            <v>TRACXN</v>
          </cell>
          <cell r="G1835">
            <v>539.30909999999994</v>
          </cell>
          <cell r="H1835" t="str">
            <v>-</v>
          </cell>
          <cell r="I1835" t="str">
            <v>-</v>
          </cell>
          <cell r="J1835">
            <v>539.34949465299997</v>
          </cell>
          <cell r="K1835" t="str">
            <v>Small Cap</v>
          </cell>
        </row>
        <row r="1836">
          <cell r="C1836" t="str">
            <v>INE231G01010</v>
          </cell>
          <cell r="D1836" t="str">
            <v>ORBTEXP</v>
          </cell>
          <cell r="E1836">
            <v>539.06850690500005</v>
          </cell>
          <cell r="F1836" t="str">
            <v>ORBTEXP</v>
          </cell>
          <cell r="G1836">
            <v>537.83010000000002</v>
          </cell>
          <cell r="H1836" t="str">
            <v>-</v>
          </cell>
          <cell r="I1836" t="str">
            <v>-</v>
          </cell>
          <cell r="J1836">
            <v>538.44930345250009</v>
          </cell>
          <cell r="K1836" t="str">
            <v>Small Cap</v>
          </cell>
        </row>
        <row r="1837">
          <cell r="C1837" t="str">
            <v>INE099F01013</v>
          </cell>
          <cell r="D1837" t="str">
            <v>SREEL</v>
          </cell>
          <cell r="E1837">
            <v>538.93001168299998</v>
          </cell>
          <cell r="F1837" t="str">
            <v>SREEL</v>
          </cell>
          <cell r="G1837">
            <v>537.83799999999997</v>
          </cell>
          <cell r="H1837" t="str">
            <v>-</v>
          </cell>
          <cell r="I1837" t="str">
            <v>-</v>
          </cell>
          <cell r="J1837">
            <v>538.38400584149997</v>
          </cell>
          <cell r="K1837" t="str">
            <v>Small Cap</v>
          </cell>
        </row>
        <row r="1838">
          <cell r="C1838" t="str">
            <v>INE798F01010</v>
          </cell>
          <cell r="D1838" t="str">
            <v>PANCHMAHQ</v>
          </cell>
          <cell r="E1838">
            <v>537.50239359</v>
          </cell>
          <cell r="F1838" t="str">
            <v>-</v>
          </cell>
          <cell r="G1838" t="str">
            <v>-</v>
          </cell>
          <cell r="H1838" t="str">
            <v>-</v>
          </cell>
          <cell r="I1838" t="str">
            <v>-</v>
          </cell>
          <cell r="J1838">
            <v>537.50239359</v>
          </cell>
          <cell r="K1838" t="str">
            <v>Small Cap</v>
          </cell>
        </row>
        <row r="1839">
          <cell r="C1839" t="str">
            <v>INE537F01012</v>
          </cell>
          <cell r="D1839" t="str">
            <v>MODINATUR</v>
          </cell>
          <cell r="E1839">
            <v>580.35366263000003</v>
          </cell>
          <cell r="F1839" t="str">
            <v>MODINATUR</v>
          </cell>
          <cell r="G1839">
            <v>494.58929999999998</v>
          </cell>
          <cell r="H1839" t="str">
            <v>-</v>
          </cell>
          <cell r="I1839" t="str">
            <v>-</v>
          </cell>
          <cell r="J1839">
            <v>537.47148131500001</v>
          </cell>
          <cell r="K1839" t="str">
            <v>Small Cap</v>
          </cell>
        </row>
        <row r="1840">
          <cell r="C1840" t="str">
            <v>INE885E01042</v>
          </cell>
          <cell r="D1840" t="str">
            <v>MAZDA</v>
          </cell>
          <cell r="E1840">
            <v>535.95164285700002</v>
          </cell>
          <cell r="F1840" t="str">
            <v>MAZDA</v>
          </cell>
          <cell r="G1840">
            <v>536.09789999999998</v>
          </cell>
          <cell r="H1840" t="str">
            <v>-</v>
          </cell>
          <cell r="I1840" t="str">
            <v>-</v>
          </cell>
          <cell r="J1840">
            <v>536.0247714285</v>
          </cell>
          <cell r="K1840" t="str">
            <v>Small Cap</v>
          </cell>
        </row>
        <row r="1841">
          <cell r="C1841" t="str">
            <v>INE826C01016</v>
          </cell>
          <cell r="D1841" t="str">
            <v>GUJAPOLLO</v>
          </cell>
          <cell r="E1841">
            <v>534.70014285699995</v>
          </cell>
          <cell r="F1841" t="str">
            <v>GUJAPOLLO</v>
          </cell>
          <cell r="G1841">
            <v>533.82360000000006</v>
          </cell>
          <cell r="H1841" t="str">
            <v>-</v>
          </cell>
          <cell r="I1841" t="str">
            <v>-</v>
          </cell>
          <cell r="J1841">
            <v>534.26187142849994</v>
          </cell>
          <cell r="K1841" t="str">
            <v>Small Cap</v>
          </cell>
        </row>
        <row r="1842">
          <cell r="C1842" t="str">
            <v>INE501G01024</v>
          </cell>
          <cell r="D1842" t="str">
            <v>HTMEDIA</v>
          </cell>
          <cell r="E1842">
            <v>577.11019245600005</v>
          </cell>
          <cell r="F1842" t="str">
            <v>HTMEDIA</v>
          </cell>
          <cell r="G1842">
            <v>491.13400000000001</v>
          </cell>
          <cell r="H1842" t="str">
            <v>-</v>
          </cell>
          <cell r="I1842" t="str">
            <v>-</v>
          </cell>
          <cell r="J1842">
            <v>534.12209622800003</v>
          </cell>
          <cell r="K1842" t="str">
            <v>Small Cap</v>
          </cell>
        </row>
        <row r="1843">
          <cell r="C1843" t="str">
            <v>INE299D01022</v>
          </cell>
          <cell r="D1843" t="str">
            <v>HAMPTON</v>
          </cell>
          <cell r="E1843">
            <v>533.42755531800003</v>
          </cell>
          <cell r="F1843" t="str">
            <v>-</v>
          </cell>
          <cell r="G1843" t="str">
            <v>-</v>
          </cell>
          <cell r="H1843" t="str">
            <v>-</v>
          </cell>
          <cell r="I1843" t="str">
            <v>-</v>
          </cell>
          <cell r="J1843">
            <v>533.42755531800003</v>
          </cell>
          <cell r="K1843" t="str">
            <v>Small Cap</v>
          </cell>
        </row>
        <row r="1844">
          <cell r="C1844" t="str">
            <v>INE757B01015</v>
          </cell>
          <cell r="D1844" t="str">
            <v>TRANSWORLD</v>
          </cell>
          <cell r="E1844">
            <v>533.37113116800003</v>
          </cell>
          <cell r="F1844" t="str">
            <v>TRANSWORLD</v>
          </cell>
          <cell r="G1844">
            <v>533.47739999999999</v>
          </cell>
          <cell r="H1844" t="str">
            <v>-</v>
          </cell>
          <cell r="I1844" t="str">
            <v>-</v>
          </cell>
          <cell r="J1844">
            <v>533.42426558400007</v>
          </cell>
          <cell r="K1844" t="str">
            <v>Small Cap</v>
          </cell>
        </row>
        <row r="1845">
          <cell r="C1845" t="str">
            <v>INE286H01012</v>
          </cell>
          <cell r="D1845" t="str">
            <v>VISASTEEL</v>
          </cell>
          <cell r="E1845">
            <v>533.53871775000005</v>
          </cell>
          <cell r="F1845" t="str">
            <v>VISASTEEL</v>
          </cell>
          <cell r="G1845">
            <v>532.79340000000002</v>
          </cell>
          <cell r="H1845" t="str">
            <v>-</v>
          </cell>
          <cell r="I1845" t="str">
            <v>-</v>
          </cell>
          <cell r="J1845">
            <v>533.16605887500009</v>
          </cell>
          <cell r="K1845" t="str">
            <v>Small Cap</v>
          </cell>
        </row>
        <row r="1846">
          <cell r="C1846" t="str">
            <v>INE034D01049</v>
          </cell>
          <cell r="D1846" t="str">
            <v>PTL</v>
          </cell>
          <cell r="E1846">
            <v>532.97921911100002</v>
          </cell>
          <cell r="F1846" t="str">
            <v>PTL</v>
          </cell>
          <cell r="G1846">
            <v>532.91409999999996</v>
          </cell>
          <cell r="H1846" t="str">
            <v>-</v>
          </cell>
          <cell r="I1846" t="str">
            <v>-</v>
          </cell>
          <cell r="J1846">
            <v>532.94665955549999</v>
          </cell>
          <cell r="K1846" t="str">
            <v>Small Cap</v>
          </cell>
        </row>
        <row r="1847">
          <cell r="C1847" t="str">
            <v>INE585A01020</v>
          </cell>
          <cell r="D1847" t="str">
            <v>NAPEROL</v>
          </cell>
          <cell r="E1847">
            <v>532.83356111099999</v>
          </cell>
          <cell r="F1847" t="str">
            <v>-</v>
          </cell>
          <cell r="G1847" t="str">
            <v>-</v>
          </cell>
          <cell r="H1847" t="str">
            <v>-</v>
          </cell>
          <cell r="I1847" t="str">
            <v>-</v>
          </cell>
          <cell r="J1847">
            <v>532.83356111099999</v>
          </cell>
          <cell r="K1847" t="str">
            <v>Small Cap</v>
          </cell>
        </row>
        <row r="1848">
          <cell r="C1848" t="str">
            <v>INE1LDV01015</v>
          </cell>
          <cell r="D1848" t="str">
            <v>TRUECOLORS</v>
          </cell>
          <cell r="E1848">
            <v>527.38733128599995</v>
          </cell>
          <cell r="F1848" t="str">
            <v>-</v>
          </cell>
          <cell r="G1848" t="str">
            <v>-</v>
          </cell>
          <cell r="H1848" t="str">
            <v>-</v>
          </cell>
          <cell r="I1848" t="str">
            <v>-</v>
          </cell>
          <cell r="J1848">
            <v>527.38733128599995</v>
          </cell>
          <cell r="K1848" t="str">
            <v>Small Cap</v>
          </cell>
        </row>
        <row r="1849">
          <cell r="C1849" t="str">
            <v>INE761G01016</v>
          </cell>
          <cell r="D1849" t="str">
            <v>BLACKROSE</v>
          </cell>
          <cell r="E1849">
            <v>525.44976190500006</v>
          </cell>
          <cell r="F1849" t="str">
            <v>-</v>
          </cell>
          <cell r="G1849" t="str">
            <v>-</v>
          </cell>
          <cell r="H1849" t="str">
            <v>-</v>
          </cell>
          <cell r="I1849" t="str">
            <v>-</v>
          </cell>
          <cell r="J1849">
            <v>525.44976190500006</v>
          </cell>
          <cell r="K1849" t="str">
            <v>Small Cap</v>
          </cell>
        </row>
        <row r="1850">
          <cell r="C1850" t="str">
            <v>INE323B01024</v>
          </cell>
          <cell r="D1850" t="str">
            <v>AVONMORE</v>
          </cell>
          <cell r="E1850">
            <v>522.474006207</v>
          </cell>
          <cell r="F1850" t="str">
            <v>AVONMORE</v>
          </cell>
          <cell r="G1850">
            <v>522.32169999999996</v>
          </cell>
          <cell r="H1850" t="str">
            <v>-</v>
          </cell>
          <cell r="I1850" t="str">
            <v>-</v>
          </cell>
          <cell r="J1850">
            <v>522.39785310349998</v>
          </cell>
          <cell r="K1850" t="str">
            <v>Small Cap</v>
          </cell>
        </row>
        <row r="1851">
          <cell r="C1851" t="str">
            <v>INE1I1301016</v>
          </cell>
          <cell r="D1851" t="str">
            <v>WORKMATES</v>
          </cell>
          <cell r="E1851">
            <v>522.12372038699993</v>
          </cell>
          <cell r="F1851" t="str">
            <v>-</v>
          </cell>
          <cell r="G1851" t="str">
            <v>-</v>
          </cell>
          <cell r="H1851" t="str">
            <v>-</v>
          </cell>
          <cell r="I1851" t="str">
            <v>-</v>
          </cell>
          <cell r="J1851">
            <v>522.12372038699993</v>
          </cell>
          <cell r="K1851" t="str">
            <v>Small Cap</v>
          </cell>
        </row>
        <row r="1852">
          <cell r="C1852" t="str">
            <v>INE100D01014</v>
          </cell>
          <cell r="D1852" t="str">
            <v>WSI</v>
          </cell>
          <cell r="E1852">
            <v>522.83456521400001</v>
          </cell>
          <cell r="F1852" t="str">
            <v>WSI</v>
          </cell>
          <cell r="G1852">
            <v>520.55669999999998</v>
          </cell>
          <cell r="H1852" t="str">
            <v>-</v>
          </cell>
          <cell r="I1852" t="str">
            <v>-</v>
          </cell>
          <cell r="J1852">
            <v>521.69563260699999</v>
          </cell>
          <cell r="K1852" t="str">
            <v>Small Cap</v>
          </cell>
        </row>
        <row r="1853">
          <cell r="C1853" t="str">
            <v>INE0YRO01015</v>
          </cell>
          <cell r="D1853" t="str">
            <v>SHIVTEXCHEM</v>
          </cell>
          <cell r="E1853">
            <v>521.56002692100003</v>
          </cell>
          <cell r="F1853" t="str">
            <v>-</v>
          </cell>
          <cell r="G1853" t="str">
            <v>-</v>
          </cell>
          <cell r="H1853" t="str">
            <v>-</v>
          </cell>
          <cell r="I1853" t="str">
            <v>-</v>
          </cell>
          <cell r="J1853">
            <v>521.56002692100003</v>
          </cell>
          <cell r="K1853" t="str">
            <v>Small Cap</v>
          </cell>
        </row>
        <row r="1854">
          <cell r="C1854" t="str">
            <v>INE450E01029</v>
          </cell>
          <cell r="D1854" t="str">
            <v>SUKHJITS</v>
          </cell>
          <cell r="E1854">
            <v>517.599014603</v>
          </cell>
          <cell r="F1854" t="str">
            <v>SUKHJITS</v>
          </cell>
          <cell r="G1854">
            <v>517.25829999999996</v>
          </cell>
          <cell r="H1854" t="str">
            <v>-</v>
          </cell>
          <cell r="I1854" t="str">
            <v>-</v>
          </cell>
          <cell r="J1854">
            <v>517.42865730149992</v>
          </cell>
          <cell r="K1854" t="str">
            <v>Small Cap</v>
          </cell>
        </row>
        <row r="1855">
          <cell r="C1855" t="str">
            <v>INE354A01013</v>
          </cell>
          <cell r="D1855" t="str">
            <v>JENBURPH</v>
          </cell>
          <cell r="E1855">
            <v>516.360478274</v>
          </cell>
          <cell r="F1855" t="str">
            <v>-</v>
          </cell>
          <cell r="G1855" t="str">
            <v>-</v>
          </cell>
          <cell r="H1855" t="str">
            <v>-</v>
          </cell>
          <cell r="I1855" t="str">
            <v>-</v>
          </cell>
          <cell r="J1855">
            <v>516.360478274</v>
          </cell>
          <cell r="K1855" t="str">
            <v>Small Cap</v>
          </cell>
        </row>
        <row r="1856">
          <cell r="C1856" t="str">
            <v>INE0APB01032</v>
          </cell>
          <cell r="D1856" t="str">
            <v>MGEL</v>
          </cell>
          <cell r="E1856">
            <v>516.28546468900004</v>
          </cell>
          <cell r="F1856" t="str">
            <v>MGEL</v>
          </cell>
          <cell r="G1856">
            <v>516.00300000000004</v>
          </cell>
          <cell r="H1856" t="str">
            <v>-</v>
          </cell>
          <cell r="I1856" t="str">
            <v>-</v>
          </cell>
          <cell r="J1856">
            <v>516.1442323445001</v>
          </cell>
          <cell r="K1856" t="str">
            <v>Small Cap</v>
          </cell>
        </row>
        <row r="1857">
          <cell r="C1857" t="str">
            <v>INE668D01028</v>
          </cell>
          <cell r="D1857" t="str">
            <v>DONEAR</v>
          </cell>
          <cell r="E1857">
            <v>515.13676190500007</v>
          </cell>
          <cell r="F1857" t="str">
            <v>DONEAR</v>
          </cell>
          <cell r="G1857">
            <v>515.06659999999999</v>
          </cell>
          <cell r="H1857" t="str">
            <v>-</v>
          </cell>
          <cell r="I1857" t="str">
            <v>-</v>
          </cell>
          <cell r="J1857">
            <v>515.10168095250003</v>
          </cell>
          <cell r="K1857" t="str">
            <v>Small Cap</v>
          </cell>
        </row>
        <row r="1858">
          <cell r="C1858" t="str">
            <v>INE249D01019</v>
          </cell>
          <cell r="D1858" t="str">
            <v>RIDDHI</v>
          </cell>
          <cell r="E1858">
            <v>513.44139161499993</v>
          </cell>
          <cell r="F1858" t="str">
            <v>-</v>
          </cell>
          <cell r="G1858" t="str">
            <v>-</v>
          </cell>
          <cell r="H1858" t="str">
            <v>-</v>
          </cell>
          <cell r="I1858" t="str">
            <v>-</v>
          </cell>
          <cell r="J1858">
            <v>513.44139161499993</v>
          </cell>
          <cell r="K1858" t="str">
            <v>Small Cap</v>
          </cell>
        </row>
        <row r="1859">
          <cell r="C1859" t="str">
            <v>INE482B01010</v>
          </cell>
          <cell r="D1859" t="str">
            <v>TERASOFT</v>
          </cell>
          <cell r="E1859">
            <v>512.68946971699995</v>
          </cell>
          <cell r="F1859" t="str">
            <v>TERASOFT</v>
          </cell>
          <cell r="G1859">
            <v>511.87020000000001</v>
          </cell>
          <cell r="H1859" t="str">
            <v>-</v>
          </cell>
          <cell r="I1859" t="str">
            <v>-</v>
          </cell>
          <cell r="J1859">
            <v>512.27983485849995</v>
          </cell>
          <cell r="K1859" t="str">
            <v>Small Cap</v>
          </cell>
        </row>
        <row r="1860">
          <cell r="C1860" t="str">
            <v>INE737D01021</v>
          </cell>
          <cell r="D1860" t="str">
            <v>MODISONLTD</v>
          </cell>
          <cell r="E1860">
            <v>511.49570039700001</v>
          </cell>
          <cell r="F1860" t="str">
            <v>MODISONLTD</v>
          </cell>
          <cell r="G1860">
            <v>511.46089999999998</v>
          </cell>
          <cell r="H1860" t="str">
            <v>-</v>
          </cell>
          <cell r="I1860" t="str">
            <v>-</v>
          </cell>
          <cell r="J1860">
            <v>511.47830019849999</v>
          </cell>
          <cell r="K1860" t="str">
            <v>Small Cap</v>
          </cell>
        </row>
        <row r="1861">
          <cell r="C1861" t="str">
            <v>INE250B01029</v>
          </cell>
          <cell r="D1861" t="str">
            <v>VINYLINDIA</v>
          </cell>
          <cell r="E1861">
            <v>510.88864871199996</v>
          </cell>
          <cell r="F1861" t="str">
            <v>VINYLINDIA</v>
          </cell>
          <cell r="G1861">
            <v>511.02280000000002</v>
          </cell>
          <cell r="H1861" t="str">
            <v>-</v>
          </cell>
          <cell r="I1861" t="str">
            <v>-</v>
          </cell>
          <cell r="J1861">
            <v>510.95572435600002</v>
          </cell>
          <cell r="K1861" t="str">
            <v>Small Cap</v>
          </cell>
        </row>
        <row r="1862">
          <cell r="C1862" t="str">
            <v>INE505V01016</v>
          </cell>
          <cell r="D1862" t="str">
            <v>EUROBOND</v>
          </cell>
          <cell r="E1862">
            <v>510.61924757299994</v>
          </cell>
          <cell r="F1862" t="str">
            <v>EUROBOND</v>
          </cell>
          <cell r="G1862">
            <v>510.3954</v>
          </cell>
          <cell r="H1862" t="str">
            <v>-</v>
          </cell>
          <cell r="I1862" t="str">
            <v>-</v>
          </cell>
          <cell r="J1862">
            <v>510.50732378649997</v>
          </cell>
          <cell r="K1862" t="str">
            <v>Small Cap</v>
          </cell>
        </row>
        <row r="1863">
          <cell r="C1863" t="str">
            <v>INE337E01010</v>
          </cell>
          <cell r="D1863" t="str">
            <v>VIKRAMTH</v>
          </cell>
          <cell r="E1863">
            <v>509.72807354600002</v>
          </cell>
          <cell r="F1863" t="str">
            <v>-</v>
          </cell>
          <cell r="G1863" t="str">
            <v>-</v>
          </cell>
          <cell r="H1863" t="str">
            <v>-</v>
          </cell>
          <cell r="I1863" t="str">
            <v>-</v>
          </cell>
          <cell r="J1863">
            <v>509.72807354600002</v>
          </cell>
          <cell r="K1863" t="str">
            <v>Small Cap</v>
          </cell>
        </row>
        <row r="1864">
          <cell r="C1864" t="str">
            <v>INE303A01010</v>
          </cell>
          <cell r="D1864" t="str">
            <v>DICIND</v>
          </cell>
          <cell r="E1864">
            <v>508.26691062899999</v>
          </cell>
          <cell r="F1864" t="str">
            <v>DICIND</v>
          </cell>
          <cell r="G1864">
            <v>507.2842</v>
          </cell>
          <cell r="H1864" t="str">
            <v>-</v>
          </cell>
          <cell r="I1864" t="str">
            <v>-</v>
          </cell>
          <cell r="J1864">
            <v>507.77555531450002</v>
          </cell>
          <cell r="K1864" t="str">
            <v>Small Cap</v>
          </cell>
        </row>
        <row r="1865">
          <cell r="C1865" t="str">
            <v>INE0P6P01016</v>
          </cell>
          <cell r="D1865" t="str">
            <v>CPEDU</v>
          </cell>
          <cell r="E1865">
            <v>507.08951463</v>
          </cell>
          <cell r="F1865" t="str">
            <v>CPEDU</v>
          </cell>
          <cell r="G1865">
            <v>507.1857</v>
          </cell>
          <cell r="H1865" t="str">
            <v>-</v>
          </cell>
          <cell r="I1865" t="str">
            <v>-</v>
          </cell>
          <cell r="J1865">
            <v>507.13760731499997</v>
          </cell>
          <cell r="K1865" t="str">
            <v>Small Cap</v>
          </cell>
        </row>
        <row r="1866">
          <cell r="C1866" t="str">
            <v>INE931X01010</v>
          </cell>
          <cell r="D1866" t="str">
            <v>CTCL</v>
          </cell>
          <cell r="E1866">
            <v>506.03692930600005</v>
          </cell>
          <cell r="F1866" t="str">
            <v>-</v>
          </cell>
          <cell r="G1866" t="str">
            <v>-</v>
          </cell>
          <cell r="H1866" t="str">
            <v>-</v>
          </cell>
          <cell r="I1866" t="str">
            <v>-</v>
          </cell>
          <cell r="J1866">
            <v>506.03692930600005</v>
          </cell>
          <cell r="K1866" t="str">
            <v>Small Cap</v>
          </cell>
        </row>
        <row r="1867">
          <cell r="C1867" t="str">
            <v>INE771A01026</v>
          </cell>
          <cell r="D1867" t="str">
            <v>MIRZAINT</v>
          </cell>
          <cell r="E1867">
            <v>505.83321292600004</v>
          </cell>
          <cell r="F1867" t="str">
            <v>MIRZAINT</v>
          </cell>
          <cell r="G1867">
            <v>505.83980000000003</v>
          </cell>
          <cell r="H1867" t="str">
            <v>-</v>
          </cell>
          <cell r="I1867" t="str">
            <v>-</v>
          </cell>
          <cell r="J1867">
            <v>505.83650646300003</v>
          </cell>
          <cell r="K1867" t="str">
            <v>Small Cap</v>
          </cell>
        </row>
        <row r="1868">
          <cell r="C1868" t="str">
            <v>INE318C01014</v>
          </cell>
          <cell r="D1868" t="str">
            <v>SAYAJIHOTL</v>
          </cell>
          <cell r="E1868">
            <v>503.65435159099997</v>
          </cell>
          <cell r="F1868" t="str">
            <v>-</v>
          </cell>
          <cell r="G1868" t="str">
            <v>-</v>
          </cell>
          <cell r="H1868" t="str">
            <v>-</v>
          </cell>
          <cell r="I1868" t="str">
            <v>-</v>
          </cell>
          <cell r="J1868">
            <v>503.65435159099997</v>
          </cell>
          <cell r="K1868" t="str">
            <v>Small Cap</v>
          </cell>
        </row>
        <row r="1869">
          <cell r="C1869" t="str">
            <v>INE201M01029</v>
          </cell>
          <cell r="D1869" t="str">
            <v>CLEDUCATE</v>
          </cell>
          <cell r="E1869">
            <v>504.21252778500002</v>
          </cell>
          <cell r="F1869" t="str">
            <v>CLEDUCATE</v>
          </cell>
          <cell r="G1869">
            <v>502.76029999999997</v>
          </cell>
          <cell r="H1869" t="str">
            <v>-</v>
          </cell>
          <cell r="I1869" t="str">
            <v>-</v>
          </cell>
          <cell r="J1869">
            <v>503.48641389249997</v>
          </cell>
          <cell r="K1869" t="str">
            <v>Small Cap</v>
          </cell>
        </row>
        <row r="1870">
          <cell r="C1870" t="str">
            <v>INE07S101038</v>
          </cell>
          <cell r="D1870" t="str">
            <v>PAVNAIND</v>
          </cell>
          <cell r="E1870">
            <v>503.41870309499996</v>
          </cell>
          <cell r="F1870" t="str">
            <v>PAVNAIND</v>
          </cell>
          <cell r="G1870">
            <v>502.70609999999999</v>
          </cell>
          <cell r="H1870" t="str">
            <v>-</v>
          </cell>
          <cell r="I1870" t="str">
            <v>-</v>
          </cell>
          <cell r="J1870">
            <v>503.06240154749997</v>
          </cell>
          <cell r="K1870" t="str">
            <v>Small Cap</v>
          </cell>
        </row>
        <row r="1871">
          <cell r="C1871" t="str">
            <v>INE289A01011</v>
          </cell>
          <cell r="D1871" t="str">
            <v>NAHARINDUS</v>
          </cell>
          <cell r="E1871">
            <v>502.38318012100001</v>
          </cell>
          <cell r="F1871" t="str">
            <v>NAHARINDUS</v>
          </cell>
          <cell r="G1871">
            <v>501.745</v>
          </cell>
          <cell r="H1871" t="str">
            <v>-</v>
          </cell>
          <cell r="I1871" t="str">
            <v>-</v>
          </cell>
          <cell r="J1871">
            <v>502.06409006050001</v>
          </cell>
          <cell r="K1871" t="str">
            <v>Small Cap</v>
          </cell>
        </row>
        <row r="1872">
          <cell r="C1872" t="str">
            <v>INE728Z01015</v>
          </cell>
          <cell r="D1872" t="str">
            <v>SOFTTECH</v>
          </cell>
          <cell r="E1872">
            <v>502.02644789700003</v>
          </cell>
          <cell r="F1872" t="str">
            <v>SOFTTECH</v>
          </cell>
          <cell r="G1872">
            <v>501.89010000000002</v>
          </cell>
          <cell r="H1872" t="str">
            <v>-</v>
          </cell>
          <cell r="I1872" t="str">
            <v>-</v>
          </cell>
          <cell r="J1872">
            <v>501.95827394850005</v>
          </cell>
          <cell r="K1872" t="str">
            <v>Small Cap</v>
          </cell>
        </row>
        <row r="1873">
          <cell r="C1873" t="str">
            <v>INE214A01019</v>
          </cell>
          <cell r="D1873" t="str">
            <v>CYBERTECH</v>
          </cell>
          <cell r="E1873">
            <v>501.56944357499998</v>
          </cell>
          <cell r="F1873" t="str">
            <v>CYBERTECH</v>
          </cell>
          <cell r="G1873">
            <v>501.48050000000001</v>
          </cell>
          <cell r="H1873" t="str">
            <v>-</v>
          </cell>
          <cell r="I1873" t="str">
            <v>-</v>
          </cell>
          <cell r="J1873">
            <v>501.52497178750002</v>
          </cell>
          <cell r="K1873" t="str">
            <v>Small Cap</v>
          </cell>
        </row>
        <row r="1874">
          <cell r="C1874" t="str">
            <v>INE0KNW01016</v>
          </cell>
          <cell r="D1874" t="str">
            <v>-</v>
          </cell>
          <cell r="E1874" t="str">
            <v>-</v>
          </cell>
          <cell r="F1874" t="str">
            <v>KNAGRI</v>
          </cell>
          <cell r="G1874">
            <v>499.72039999999998</v>
          </cell>
          <cell r="H1874" t="str">
            <v>-</v>
          </cell>
          <cell r="I1874" t="str">
            <v>-</v>
          </cell>
          <cell r="J1874">
            <v>499.72039999999998</v>
          </cell>
          <cell r="K1874" t="str">
            <v>Small Cap</v>
          </cell>
        </row>
        <row r="1875">
          <cell r="C1875" t="str">
            <v>INE646B01010</v>
          </cell>
          <cell r="D1875" t="str">
            <v>MEDICAMEQ</v>
          </cell>
          <cell r="E1875">
            <v>498.80535224899995</v>
          </cell>
          <cell r="F1875" t="str">
            <v>MEDICAMEQ</v>
          </cell>
          <cell r="G1875">
            <v>498.85649999999998</v>
          </cell>
          <cell r="H1875" t="str">
            <v>-</v>
          </cell>
          <cell r="I1875" t="str">
            <v>-</v>
          </cell>
          <cell r="J1875">
            <v>498.83092612449997</v>
          </cell>
          <cell r="K1875" t="str">
            <v>Small Cap</v>
          </cell>
        </row>
        <row r="1876">
          <cell r="C1876" t="str">
            <v>INE895W01019</v>
          </cell>
          <cell r="D1876" t="str">
            <v>-</v>
          </cell>
          <cell r="E1876" t="str">
            <v>-</v>
          </cell>
          <cell r="F1876" t="str">
            <v>PANACHE</v>
          </cell>
          <cell r="G1876">
            <v>498.14139999999998</v>
          </cell>
          <cell r="H1876" t="str">
            <v>-</v>
          </cell>
          <cell r="I1876" t="str">
            <v>-</v>
          </cell>
          <cell r="J1876">
            <v>498.14139999999998</v>
          </cell>
          <cell r="K1876" t="str">
            <v>Small Cap</v>
          </cell>
        </row>
        <row r="1877">
          <cell r="C1877" t="str">
            <v>INE926R01012</v>
          </cell>
          <cell r="D1877" t="str">
            <v>UCIL</v>
          </cell>
          <cell r="E1877">
            <v>496.12788729099998</v>
          </cell>
          <cell r="F1877" t="str">
            <v>-</v>
          </cell>
          <cell r="G1877" t="str">
            <v>-</v>
          </cell>
          <cell r="H1877" t="str">
            <v>-</v>
          </cell>
          <cell r="I1877" t="str">
            <v>-</v>
          </cell>
          <cell r="J1877">
            <v>496.12788729099998</v>
          </cell>
          <cell r="K1877" t="str">
            <v>Small Cap</v>
          </cell>
        </row>
        <row r="1878">
          <cell r="C1878" t="str">
            <v>INE236A01020</v>
          </cell>
          <cell r="D1878" t="str">
            <v>HCL-INSYS</v>
          </cell>
          <cell r="E1878">
            <v>495.77970045900003</v>
          </cell>
          <cell r="F1878" t="str">
            <v>HCL-INSYS</v>
          </cell>
          <cell r="G1878">
            <v>495.43740000000003</v>
          </cell>
          <cell r="H1878" t="str">
            <v>-</v>
          </cell>
          <cell r="I1878" t="str">
            <v>-</v>
          </cell>
          <cell r="J1878">
            <v>495.6085502295</v>
          </cell>
          <cell r="K1878" t="str">
            <v>Small Cap</v>
          </cell>
        </row>
        <row r="1879">
          <cell r="C1879" t="str">
            <v>INE823A01017</v>
          </cell>
          <cell r="D1879" t="str">
            <v>KOTHARIPRO</v>
          </cell>
          <cell r="E1879">
            <v>494.77717442600004</v>
          </cell>
          <cell r="F1879" t="str">
            <v>KOTHARIPRO</v>
          </cell>
          <cell r="G1879">
            <v>494.01209999999998</v>
          </cell>
          <cell r="H1879" t="str">
            <v>-</v>
          </cell>
          <cell r="I1879" t="str">
            <v>-</v>
          </cell>
          <cell r="J1879">
            <v>494.39463721300001</v>
          </cell>
          <cell r="K1879" t="str">
            <v>Small Cap</v>
          </cell>
        </row>
        <row r="1880">
          <cell r="C1880" t="str">
            <v>INE518A01013</v>
          </cell>
          <cell r="D1880" t="str">
            <v>FORBESCO</v>
          </cell>
          <cell r="E1880">
            <v>494.07892663100006</v>
          </cell>
          <cell r="F1880" t="str">
            <v>-</v>
          </cell>
          <cell r="G1880" t="str">
            <v>-</v>
          </cell>
          <cell r="H1880" t="str">
            <v>-</v>
          </cell>
          <cell r="I1880" t="str">
            <v>-</v>
          </cell>
          <cell r="J1880">
            <v>494.07892663100006</v>
          </cell>
          <cell r="K1880" t="str">
            <v>Small Cap</v>
          </cell>
        </row>
        <row r="1881">
          <cell r="C1881" t="str">
            <v>INE0S2V01010</v>
          </cell>
          <cell r="D1881" t="str">
            <v>VRAJ</v>
          </cell>
          <cell r="E1881">
            <v>491.36380188900006</v>
          </cell>
          <cell r="F1881" t="str">
            <v>VRAJ</v>
          </cell>
          <cell r="G1881">
            <v>490.72879999999998</v>
          </cell>
          <cell r="H1881" t="str">
            <v>-</v>
          </cell>
          <cell r="I1881" t="str">
            <v>-</v>
          </cell>
          <cell r="J1881">
            <v>491.04630094449999</v>
          </cell>
          <cell r="K1881" t="str">
            <v>Small Cap</v>
          </cell>
        </row>
        <row r="1882">
          <cell r="C1882" t="str">
            <v>INE220Z01013</v>
          </cell>
          <cell r="D1882" t="str">
            <v>SHINDL</v>
          </cell>
          <cell r="E1882">
            <v>490.68432803299999</v>
          </cell>
          <cell r="F1882" t="str">
            <v>-</v>
          </cell>
          <cell r="G1882" t="str">
            <v>-</v>
          </cell>
          <cell r="H1882" t="str">
            <v>-</v>
          </cell>
          <cell r="I1882" t="str">
            <v>-</v>
          </cell>
          <cell r="J1882">
            <v>490.68432803299999</v>
          </cell>
          <cell r="K1882" t="str">
            <v>Small Cap</v>
          </cell>
        </row>
        <row r="1883">
          <cell r="C1883" t="str">
            <v>INE071E01023</v>
          </cell>
          <cell r="D1883" t="str">
            <v>UGARSUGAR</v>
          </cell>
          <cell r="E1883">
            <v>490.500892857</v>
          </cell>
          <cell r="F1883" t="str">
            <v>UGARSUGAR</v>
          </cell>
          <cell r="G1883">
            <v>490.36340000000001</v>
          </cell>
          <cell r="H1883" t="str">
            <v>-</v>
          </cell>
          <cell r="I1883" t="str">
            <v>-</v>
          </cell>
          <cell r="J1883">
            <v>490.4321464285</v>
          </cell>
          <cell r="K1883" t="str">
            <v>Small Cap</v>
          </cell>
        </row>
        <row r="1884">
          <cell r="C1884" t="str">
            <v>INE547B01028</v>
          </cell>
          <cell r="D1884" t="str">
            <v>XTGLOBAL</v>
          </cell>
          <cell r="E1884">
            <v>490.89410425</v>
          </cell>
          <cell r="F1884" t="str">
            <v>XTGLOBAL</v>
          </cell>
          <cell r="G1884">
            <v>489.95170000000002</v>
          </cell>
          <cell r="H1884" t="str">
            <v>-</v>
          </cell>
          <cell r="I1884" t="str">
            <v>-</v>
          </cell>
          <cell r="J1884">
            <v>490.42290212500001</v>
          </cell>
          <cell r="K1884" t="str">
            <v>Small Cap</v>
          </cell>
        </row>
        <row r="1885">
          <cell r="C1885" t="str">
            <v>INE0KQ001017</v>
          </cell>
          <cell r="D1885" t="str">
            <v>BCCL</v>
          </cell>
          <cell r="E1885">
            <v>490.26919991899996</v>
          </cell>
          <cell r="F1885" t="str">
            <v>-</v>
          </cell>
          <cell r="G1885" t="str">
            <v>-</v>
          </cell>
          <cell r="H1885" t="str">
            <v>-</v>
          </cell>
          <cell r="I1885" t="str">
            <v>-</v>
          </cell>
          <cell r="J1885">
            <v>490.26919991899996</v>
          </cell>
          <cell r="K1885" t="str">
            <v>Small Cap</v>
          </cell>
        </row>
        <row r="1886">
          <cell r="C1886" t="str">
            <v>INE155E01016</v>
          </cell>
          <cell r="D1886" t="str">
            <v>INVPRECQ</v>
          </cell>
          <cell r="E1886">
            <v>489.82619047600002</v>
          </cell>
          <cell r="F1886" t="str">
            <v>-</v>
          </cell>
          <cell r="G1886" t="str">
            <v>-</v>
          </cell>
          <cell r="H1886" t="str">
            <v>-</v>
          </cell>
          <cell r="I1886" t="str">
            <v>-</v>
          </cell>
          <cell r="J1886">
            <v>489.82619047600002</v>
          </cell>
          <cell r="K1886" t="str">
            <v>Small Cap</v>
          </cell>
        </row>
        <row r="1887">
          <cell r="C1887" t="str">
            <v>INE404B01022</v>
          </cell>
          <cell r="D1887" t="str">
            <v>LASTMILE</v>
          </cell>
          <cell r="E1887">
            <v>489.80774204300002</v>
          </cell>
          <cell r="F1887" t="str">
            <v>-</v>
          </cell>
          <cell r="G1887" t="str">
            <v>-</v>
          </cell>
          <cell r="H1887" t="str">
            <v>-</v>
          </cell>
          <cell r="I1887" t="str">
            <v>-</v>
          </cell>
          <cell r="J1887">
            <v>489.80774204300002</v>
          </cell>
          <cell r="K1887" t="str">
            <v>Small Cap</v>
          </cell>
        </row>
        <row r="1888">
          <cell r="C1888" t="str">
            <v>INE985A01022</v>
          </cell>
          <cell r="D1888" t="str">
            <v>SINCLAIR</v>
          </cell>
          <cell r="E1888">
            <v>488.88004523800004</v>
          </cell>
          <cell r="F1888" t="str">
            <v>SINCLAIR</v>
          </cell>
          <cell r="G1888">
            <v>489.0326</v>
          </cell>
          <cell r="H1888" t="str">
            <v>-</v>
          </cell>
          <cell r="I1888" t="str">
            <v>-</v>
          </cell>
          <cell r="J1888">
            <v>488.95632261900005</v>
          </cell>
          <cell r="K1888" t="str">
            <v>Small Cap</v>
          </cell>
        </row>
        <row r="1889">
          <cell r="C1889" t="str">
            <v>INE179G01029</v>
          </cell>
          <cell r="D1889" t="str">
            <v>DAVANGERE</v>
          </cell>
          <cell r="E1889">
            <v>488.57317216800004</v>
          </cell>
          <cell r="F1889" t="str">
            <v>DAVANGERE</v>
          </cell>
          <cell r="G1889">
            <v>488.08760000000001</v>
          </cell>
          <cell r="H1889" t="str">
            <v>-</v>
          </cell>
          <cell r="I1889" t="str">
            <v>-</v>
          </cell>
          <cell r="J1889">
            <v>488.330386084</v>
          </cell>
          <cell r="K1889" t="str">
            <v>Small Cap</v>
          </cell>
        </row>
        <row r="1890">
          <cell r="C1890" t="str">
            <v>INE177C01022</v>
          </cell>
          <cell r="D1890" t="str">
            <v>BATLIBOI</v>
          </cell>
          <cell r="E1890">
            <v>485.98614435399998</v>
          </cell>
          <cell r="F1890" t="str">
            <v>-</v>
          </cell>
          <cell r="G1890" t="str">
            <v>-</v>
          </cell>
          <cell r="H1890" t="str">
            <v>-</v>
          </cell>
          <cell r="I1890" t="str">
            <v>-</v>
          </cell>
          <cell r="J1890">
            <v>485.98614435399998</v>
          </cell>
          <cell r="K1890" t="str">
            <v>Small Cap</v>
          </cell>
        </row>
        <row r="1891">
          <cell r="C1891" t="str">
            <v>INE312M01016</v>
          </cell>
          <cell r="D1891" t="str">
            <v>MADHUVEER</v>
          </cell>
          <cell r="E1891">
            <v>485.36485651999999</v>
          </cell>
          <cell r="F1891" t="str">
            <v>-</v>
          </cell>
          <cell r="G1891" t="str">
            <v>-</v>
          </cell>
          <cell r="H1891" t="str">
            <v>-</v>
          </cell>
          <cell r="I1891" t="str">
            <v>-</v>
          </cell>
          <cell r="J1891">
            <v>485.36485651999999</v>
          </cell>
          <cell r="K1891" t="str">
            <v>Small Cap</v>
          </cell>
        </row>
        <row r="1892">
          <cell r="C1892" t="str">
            <v>INE309M01020</v>
          </cell>
          <cell r="D1892" t="str">
            <v>PREMIERPOL</v>
          </cell>
          <cell r="E1892">
            <v>485.19623933199995</v>
          </cell>
          <cell r="F1892" t="str">
            <v>PREMIERPOL</v>
          </cell>
          <cell r="G1892">
            <v>484.79559999999998</v>
          </cell>
          <cell r="H1892" t="str">
            <v>-</v>
          </cell>
          <cell r="I1892" t="str">
            <v>-</v>
          </cell>
          <cell r="J1892">
            <v>484.99591966599996</v>
          </cell>
          <cell r="K1892" t="str">
            <v>Small Cap</v>
          </cell>
        </row>
        <row r="1893">
          <cell r="C1893" t="str">
            <v>INE835B01035</v>
          </cell>
          <cell r="D1893" t="str">
            <v>MOLDTECH</v>
          </cell>
          <cell r="E1893">
            <v>484.88615299999998</v>
          </cell>
          <cell r="F1893" t="str">
            <v>MOLDTECH</v>
          </cell>
          <cell r="G1893">
            <v>484.9298</v>
          </cell>
          <cell r="H1893" t="str">
            <v>-</v>
          </cell>
          <cell r="I1893" t="str">
            <v>-</v>
          </cell>
          <cell r="J1893">
            <v>484.90797650000002</v>
          </cell>
          <cell r="K1893" t="str">
            <v>Small Cap</v>
          </cell>
        </row>
        <row r="1894">
          <cell r="C1894" t="str">
            <v>INE298I01015</v>
          </cell>
          <cell r="D1894" t="str">
            <v>ARIES</v>
          </cell>
          <cell r="E1894">
            <v>484.71145001000002</v>
          </cell>
          <cell r="F1894" t="str">
            <v>ARIES</v>
          </cell>
          <cell r="G1894">
            <v>484.61860000000001</v>
          </cell>
          <cell r="H1894" t="str">
            <v>-</v>
          </cell>
          <cell r="I1894" t="str">
            <v>-</v>
          </cell>
          <cell r="J1894">
            <v>484.66502500500002</v>
          </cell>
          <cell r="K1894" t="str">
            <v>Small Cap</v>
          </cell>
        </row>
        <row r="1895">
          <cell r="C1895" t="str">
            <v>INE0A0S01028</v>
          </cell>
          <cell r="D1895" t="str">
            <v>SIGMA</v>
          </cell>
          <cell r="E1895">
            <v>485.14806957799999</v>
          </cell>
          <cell r="F1895" t="str">
            <v>SIGMA</v>
          </cell>
          <cell r="G1895">
            <v>483.98649999999998</v>
          </cell>
          <cell r="H1895" t="str">
            <v>-</v>
          </cell>
          <cell r="I1895" t="str">
            <v>-</v>
          </cell>
          <cell r="J1895">
            <v>484.56728478899998</v>
          </cell>
          <cell r="K1895" t="str">
            <v>Small Cap</v>
          </cell>
        </row>
        <row r="1896">
          <cell r="C1896" t="str">
            <v>INE875G01048</v>
          </cell>
          <cell r="D1896" t="str">
            <v>NDL</v>
          </cell>
          <cell r="E1896">
            <v>484.74633353100006</v>
          </cell>
          <cell r="F1896" t="str">
            <v>NDL</v>
          </cell>
          <cell r="G1896">
            <v>484.15140000000002</v>
          </cell>
          <cell r="H1896" t="str">
            <v>-</v>
          </cell>
          <cell r="I1896" t="str">
            <v>-</v>
          </cell>
          <cell r="J1896">
            <v>484.44886676550004</v>
          </cell>
          <cell r="K1896" t="str">
            <v>Small Cap</v>
          </cell>
        </row>
        <row r="1897">
          <cell r="C1897" t="str">
            <v>INE296Q01012</v>
          </cell>
          <cell r="D1897" t="str">
            <v>MONEYBOXX</v>
          </cell>
          <cell r="E1897">
            <v>497.43308076899996</v>
          </cell>
          <cell r="F1897" t="str">
            <v>MONEYBOXX</v>
          </cell>
          <cell r="G1897">
            <v>469.64920000000001</v>
          </cell>
          <cell r="H1897" t="str">
            <v>-</v>
          </cell>
          <cell r="I1897" t="str">
            <v>-</v>
          </cell>
          <cell r="J1897">
            <v>483.54114038449995</v>
          </cell>
          <cell r="K1897" t="str">
            <v>Small Cap</v>
          </cell>
        </row>
        <row r="1898">
          <cell r="C1898" t="str">
            <v>INE049I01012</v>
          </cell>
          <cell r="D1898" t="str">
            <v>NAHARCAP</v>
          </cell>
          <cell r="E1898">
            <v>483.20533254200001</v>
          </cell>
          <cell r="F1898" t="str">
            <v>NAHARCAP</v>
          </cell>
          <cell r="G1898">
            <v>481.7527</v>
          </cell>
          <cell r="H1898" t="str">
            <v>-</v>
          </cell>
          <cell r="I1898" t="str">
            <v>-</v>
          </cell>
          <cell r="J1898">
            <v>482.47901627099998</v>
          </cell>
          <cell r="K1898" t="str">
            <v>Small Cap</v>
          </cell>
        </row>
        <row r="1899">
          <cell r="C1899" t="str">
            <v>INE430R01023</v>
          </cell>
          <cell r="D1899" t="str">
            <v>AAYUSH</v>
          </cell>
          <cell r="E1899">
            <v>481.98926838</v>
          </cell>
          <cell r="F1899" t="str">
            <v>-</v>
          </cell>
          <cell r="G1899" t="str">
            <v>-</v>
          </cell>
          <cell r="H1899" t="str">
            <v>AAYUSH</v>
          </cell>
          <cell r="I1899">
            <v>482.10322196146024</v>
          </cell>
          <cell r="J1899">
            <v>482.04624517073012</v>
          </cell>
          <cell r="K1899" t="str">
            <v>Small Cap</v>
          </cell>
        </row>
        <row r="1900">
          <cell r="C1900" t="str">
            <v>INE020801028</v>
          </cell>
          <cell r="D1900" t="str">
            <v>SPENCERS</v>
          </cell>
          <cell r="E1900">
            <v>478.98152516099998</v>
          </cell>
          <cell r="F1900" t="str">
            <v>SPENCERS</v>
          </cell>
          <cell r="G1900">
            <v>478.6456</v>
          </cell>
          <cell r="H1900" t="str">
            <v>-</v>
          </cell>
          <cell r="I1900" t="str">
            <v>-</v>
          </cell>
          <cell r="J1900">
            <v>478.81356258049999</v>
          </cell>
          <cell r="K1900" t="str">
            <v>Small Cap</v>
          </cell>
        </row>
        <row r="1901">
          <cell r="C1901" t="str">
            <v>INE480M01011</v>
          </cell>
          <cell r="D1901" t="str">
            <v>THOMASCOTT</v>
          </cell>
          <cell r="E1901">
            <v>483.73215770399997</v>
          </cell>
          <cell r="F1901" t="str">
            <v>THOMASCOTT</v>
          </cell>
          <cell r="G1901">
            <v>473.4203</v>
          </cell>
          <cell r="H1901" t="str">
            <v>-</v>
          </cell>
          <cell r="I1901" t="str">
            <v>-</v>
          </cell>
          <cell r="J1901">
            <v>478.57622885199999</v>
          </cell>
          <cell r="K1901" t="str">
            <v>Small Cap</v>
          </cell>
        </row>
        <row r="1902">
          <cell r="C1902" t="str">
            <v>INE535P01015</v>
          </cell>
          <cell r="D1902" t="str">
            <v>RRPDEFENSE</v>
          </cell>
          <cell r="E1902">
            <v>477.64872146000005</v>
          </cell>
          <cell r="F1902" t="str">
            <v>-</v>
          </cell>
          <cell r="G1902" t="str">
            <v>-</v>
          </cell>
          <cell r="H1902" t="str">
            <v>-</v>
          </cell>
          <cell r="I1902" t="str">
            <v>-</v>
          </cell>
          <cell r="J1902">
            <v>477.64872146000005</v>
          </cell>
          <cell r="K1902" t="str">
            <v>Small Cap</v>
          </cell>
        </row>
        <row r="1903">
          <cell r="C1903" t="str">
            <v>INE926C01022</v>
          </cell>
          <cell r="D1903" t="str">
            <v>NIKHILAD</v>
          </cell>
          <cell r="E1903">
            <v>477.52680184899998</v>
          </cell>
          <cell r="F1903" t="str">
            <v>-</v>
          </cell>
          <cell r="G1903" t="str">
            <v>-</v>
          </cell>
          <cell r="H1903" t="str">
            <v>-</v>
          </cell>
          <cell r="I1903" t="str">
            <v>-</v>
          </cell>
          <cell r="J1903">
            <v>477.52680184899998</v>
          </cell>
          <cell r="K1903" t="str">
            <v>Small Cap</v>
          </cell>
        </row>
        <row r="1904">
          <cell r="C1904" t="str">
            <v>INE569C01020</v>
          </cell>
          <cell r="D1904" t="str">
            <v>ORIENTCER</v>
          </cell>
          <cell r="E1904">
            <v>477.58164556800006</v>
          </cell>
          <cell r="F1904" t="str">
            <v>ORIENTCER</v>
          </cell>
          <cell r="G1904">
            <v>477.13920000000002</v>
          </cell>
          <cell r="H1904" t="str">
            <v>-</v>
          </cell>
          <cell r="I1904" t="str">
            <v>-</v>
          </cell>
          <cell r="J1904">
            <v>477.36042278400004</v>
          </cell>
          <cell r="K1904" t="str">
            <v>Small Cap</v>
          </cell>
        </row>
        <row r="1905">
          <cell r="C1905" t="str">
            <v>INE474O01010</v>
          </cell>
          <cell r="D1905" t="str">
            <v>IFINSEC</v>
          </cell>
          <cell r="E1905">
            <v>477.34361872099998</v>
          </cell>
          <cell r="F1905" t="str">
            <v>-</v>
          </cell>
          <cell r="G1905" t="str">
            <v>-</v>
          </cell>
          <cell r="H1905" t="str">
            <v>-</v>
          </cell>
          <cell r="I1905" t="str">
            <v>-</v>
          </cell>
          <cell r="J1905">
            <v>477.34361872099998</v>
          </cell>
          <cell r="K1905" t="str">
            <v>Small Cap</v>
          </cell>
        </row>
        <row r="1906">
          <cell r="C1906" t="str">
            <v>INE083C01022</v>
          </cell>
          <cell r="D1906" t="str">
            <v>PLASTIBLEN</v>
          </cell>
          <cell r="E1906">
            <v>476.94307269799998</v>
          </cell>
          <cell r="F1906" t="str">
            <v>PLASTIBLEN</v>
          </cell>
          <cell r="G1906">
            <v>476.95010000000002</v>
          </cell>
          <cell r="H1906" t="str">
            <v>-</v>
          </cell>
          <cell r="I1906" t="str">
            <v>-</v>
          </cell>
          <cell r="J1906">
            <v>476.94658634899997</v>
          </cell>
          <cell r="K1906" t="str">
            <v>Small Cap</v>
          </cell>
        </row>
        <row r="1907">
          <cell r="C1907" t="str">
            <v>INE694E01014</v>
          </cell>
          <cell r="D1907" t="str">
            <v>KANPRPLA</v>
          </cell>
          <cell r="E1907">
            <v>479.64631468999994</v>
          </cell>
          <cell r="F1907" t="str">
            <v>KANPRPLA</v>
          </cell>
          <cell r="G1907">
            <v>472.8614</v>
          </cell>
          <cell r="H1907" t="str">
            <v>-</v>
          </cell>
          <cell r="I1907" t="str">
            <v>-</v>
          </cell>
          <cell r="J1907">
            <v>476.25385734499997</v>
          </cell>
          <cell r="K1907" t="str">
            <v>Small Cap</v>
          </cell>
        </row>
        <row r="1908">
          <cell r="C1908" t="str">
            <v>INE0Q1S01010</v>
          </cell>
          <cell r="D1908" t="str">
            <v>SUNITATOOL</v>
          </cell>
          <cell r="E1908">
            <v>474.97830714300005</v>
          </cell>
          <cell r="F1908" t="str">
            <v>-</v>
          </cell>
          <cell r="G1908" t="str">
            <v>-</v>
          </cell>
          <cell r="H1908" t="str">
            <v>-</v>
          </cell>
          <cell r="I1908" t="str">
            <v>-</v>
          </cell>
          <cell r="J1908">
            <v>474.97830714300005</v>
          </cell>
          <cell r="K1908" t="str">
            <v>Small Cap</v>
          </cell>
        </row>
        <row r="1909">
          <cell r="C1909" t="str">
            <v>INE800A01015</v>
          </cell>
          <cell r="D1909" t="str">
            <v>BIRLACABLE</v>
          </cell>
          <cell r="E1909">
            <v>475.38809523800001</v>
          </cell>
          <cell r="F1909" t="str">
            <v>BIRLACABLE</v>
          </cell>
          <cell r="G1909">
            <v>474.54520000000002</v>
          </cell>
          <cell r="H1909" t="str">
            <v>-</v>
          </cell>
          <cell r="I1909" t="str">
            <v>-</v>
          </cell>
          <cell r="J1909">
            <v>474.96664761900001</v>
          </cell>
          <cell r="K1909" t="str">
            <v>Small Cap</v>
          </cell>
        </row>
        <row r="1910">
          <cell r="C1910" t="str">
            <v>INE0JSX01015</v>
          </cell>
          <cell r="D1910" t="str">
            <v>GSLSU</v>
          </cell>
          <cell r="E1910">
            <v>475.82874341299998</v>
          </cell>
          <cell r="F1910" t="str">
            <v>GSLSU</v>
          </cell>
          <cell r="G1910">
            <v>474.08839999999998</v>
          </cell>
          <cell r="H1910" t="str">
            <v>-</v>
          </cell>
          <cell r="I1910" t="str">
            <v>-</v>
          </cell>
          <cell r="J1910">
            <v>474.95857170649998</v>
          </cell>
          <cell r="K1910" t="str">
            <v>Small Cap</v>
          </cell>
        </row>
        <row r="1911">
          <cell r="C1911" t="str">
            <v>INE0UZO01024</v>
          </cell>
          <cell r="D1911" t="str">
            <v>NEETUYOSHI</v>
          </cell>
          <cell r="E1911">
            <v>474.85606797100002</v>
          </cell>
          <cell r="F1911" t="str">
            <v>-</v>
          </cell>
          <cell r="G1911" t="str">
            <v>-</v>
          </cell>
          <cell r="H1911" t="str">
            <v>-</v>
          </cell>
          <cell r="I1911" t="str">
            <v>-</v>
          </cell>
          <cell r="J1911">
            <v>474.85606797100002</v>
          </cell>
          <cell r="K1911" t="str">
            <v>Small Cap</v>
          </cell>
        </row>
        <row r="1912">
          <cell r="C1912" t="str">
            <v>INE846D01012</v>
          </cell>
          <cell r="D1912" t="str">
            <v>LORDSCHLO</v>
          </cell>
          <cell r="E1912">
            <v>475.16441964300003</v>
          </cell>
          <cell r="F1912" t="str">
            <v>LORDSCHLO</v>
          </cell>
          <cell r="G1912">
            <v>474.51819999999998</v>
          </cell>
          <cell r="H1912" t="str">
            <v>-</v>
          </cell>
          <cell r="I1912" t="str">
            <v>-</v>
          </cell>
          <cell r="J1912">
            <v>474.84130982149998</v>
          </cell>
          <cell r="K1912" t="str">
            <v>Small Cap</v>
          </cell>
        </row>
        <row r="1913">
          <cell r="C1913" t="str">
            <v>INE084K01015</v>
          </cell>
          <cell r="D1913" t="str">
            <v>AMANTA</v>
          </cell>
          <cell r="E1913">
            <v>474.056594491</v>
          </cell>
          <cell r="F1913" t="str">
            <v>AMANTA</v>
          </cell>
          <cell r="G1913">
            <v>474.39210000000003</v>
          </cell>
          <cell r="H1913" t="str">
            <v>-</v>
          </cell>
          <cell r="I1913" t="str">
            <v>-</v>
          </cell>
          <cell r="J1913">
            <v>474.22434724549998</v>
          </cell>
          <cell r="K1913" t="str">
            <v>Small Cap</v>
          </cell>
        </row>
        <row r="1914">
          <cell r="C1914" t="str">
            <v>INE0JM501013</v>
          </cell>
          <cell r="D1914" t="str">
            <v>-</v>
          </cell>
          <cell r="E1914" t="str">
            <v>-</v>
          </cell>
          <cell r="F1914" t="str">
            <v>NRL</v>
          </cell>
          <cell r="G1914">
            <v>472.74720000000002</v>
          </cell>
          <cell r="H1914" t="str">
            <v>-</v>
          </cell>
          <cell r="I1914" t="str">
            <v>-</v>
          </cell>
          <cell r="J1914">
            <v>472.74720000000002</v>
          </cell>
          <cell r="K1914" t="str">
            <v>Small Cap</v>
          </cell>
        </row>
        <row r="1915">
          <cell r="C1915" t="str">
            <v>INE942G01012</v>
          </cell>
          <cell r="D1915" t="str">
            <v>MCLEODRUSS</v>
          </cell>
          <cell r="E1915">
            <v>473.086655925</v>
          </cell>
          <cell r="F1915" t="str">
            <v>MCLEODRUSS</v>
          </cell>
          <cell r="G1915">
            <v>472.31400000000002</v>
          </cell>
          <cell r="H1915" t="str">
            <v>-</v>
          </cell>
          <cell r="I1915" t="str">
            <v>-</v>
          </cell>
          <cell r="J1915">
            <v>472.70032796250001</v>
          </cell>
          <cell r="K1915" t="str">
            <v>Small Cap</v>
          </cell>
        </row>
        <row r="1916">
          <cell r="C1916" t="str">
            <v>INE296G01013</v>
          </cell>
          <cell r="D1916" t="str">
            <v>MUTHOOTCAP</v>
          </cell>
          <cell r="E1916">
            <v>470.60046920299999</v>
          </cell>
          <cell r="F1916" t="str">
            <v>MUTHOOTCAP</v>
          </cell>
          <cell r="G1916">
            <v>470.86810000000003</v>
          </cell>
          <cell r="H1916" t="str">
            <v>-</v>
          </cell>
          <cell r="I1916" t="str">
            <v>-</v>
          </cell>
          <cell r="J1916">
            <v>470.73428460150001</v>
          </cell>
          <cell r="K1916" t="str">
            <v>Small Cap</v>
          </cell>
        </row>
        <row r="1917">
          <cell r="C1917" t="str">
            <v>INE108G01010</v>
          </cell>
          <cell r="D1917" t="str">
            <v>CUPIDALBV</v>
          </cell>
          <cell r="E1917">
            <v>470.62439553500002</v>
          </cell>
          <cell r="F1917" t="str">
            <v>-</v>
          </cell>
          <cell r="G1917" t="str">
            <v>-</v>
          </cell>
          <cell r="H1917" t="str">
            <v>-</v>
          </cell>
          <cell r="I1917" t="str">
            <v>-</v>
          </cell>
          <cell r="J1917">
            <v>470.62439553500002</v>
          </cell>
          <cell r="K1917" t="str">
            <v>Small Cap</v>
          </cell>
        </row>
        <row r="1918">
          <cell r="C1918" t="str">
            <v>INE697V01011</v>
          </cell>
          <cell r="D1918" t="str">
            <v>-</v>
          </cell>
          <cell r="E1918" t="str">
            <v>-</v>
          </cell>
          <cell r="F1918" t="str">
            <v>PANSARI</v>
          </cell>
          <cell r="G1918">
            <v>470.52030000000002</v>
          </cell>
          <cell r="H1918" t="str">
            <v>-</v>
          </cell>
          <cell r="I1918" t="str">
            <v>-</v>
          </cell>
          <cell r="J1918">
            <v>470.52030000000002</v>
          </cell>
          <cell r="K1918" t="str">
            <v>Small Cap</v>
          </cell>
        </row>
        <row r="1919">
          <cell r="C1919" t="str">
            <v>INE459C01016</v>
          </cell>
          <cell r="D1919" t="str">
            <v>FLUIDOM</v>
          </cell>
          <cell r="E1919">
            <v>470.36583079399998</v>
          </cell>
          <cell r="F1919" t="str">
            <v>-</v>
          </cell>
          <cell r="G1919" t="str">
            <v>-</v>
          </cell>
          <cell r="H1919" t="str">
            <v>-</v>
          </cell>
          <cell r="I1919" t="str">
            <v>-</v>
          </cell>
          <cell r="J1919">
            <v>470.36583079399998</v>
          </cell>
          <cell r="K1919" t="str">
            <v>Small Cap</v>
          </cell>
        </row>
        <row r="1920">
          <cell r="C1920" t="str">
            <v>INE653C01022</v>
          </cell>
          <cell r="D1920" t="str">
            <v>NICCOPAR</v>
          </cell>
          <cell r="E1920">
            <v>469.62388571400004</v>
          </cell>
          <cell r="F1920" t="str">
            <v>-</v>
          </cell>
          <cell r="G1920" t="str">
            <v>-</v>
          </cell>
          <cell r="H1920" t="str">
            <v>-</v>
          </cell>
          <cell r="I1920" t="str">
            <v>-</v>
          </cell>
          <cell r="J1920">
            <v>469.62388571400004</v>
          </cell>
          <cell r="K1920" t="str">
            <v>Small Cap</v>
          </cell>
        </row>
        <row r="1921">
          <cell r="C1921" t="str">
            <v>INE0HSD01011</v>
          </cell>
          <cell r="D1921" t="str">
            <v>FABCLEAN</v>
          </cell>
          <cell r="E1921">
            <v>469.337871522</v>
          </cell>
          <cell r="F1921" t="str">
            <v>-</v>
          </cell>
          <cell r="G1921" t="str">
            <v>-</v>
          </cell>
          <cell r="H1921" t="str">
            <v>-</v>
          </cell>
          <cell r="I1921" t="str">
            <v>-</v>
          </cell>
          <cell r="J1921">
            <v>469.337871522</v>
          </cell>
          <cell r="K1921" t="str">
            <v>Small Cap</v>
          </cell>
        </row>
        <row r="1922">
          <cell r="C1922" t="str">
            <v>INE528C01018</v>
          </cell>
          <cell r="D1922" t="str">
            <v>UVS</v>
          </cell>
          <cell r="E1922">
            <v>468.38333168299999</v>
          </cell>
          <cell r="F1922" t="str">
            <v>-</v>
          </cell>
          <cell r="G1922" t="str">
            <v>-</v>
          </cell>
          <cell r="H1922" t="str">
            <v>-</v>
          </cell>
          <cell r="I1922" t="str">
            <v>-</v>
          </cell>
          <cell r="J1922">
            <v>468.38333168299999</v>
          </cell>
          <cell r="K1922" t="str">
            <v>Small Cap</v>
          </cell>
        </row>
        <row r="1923">
          <cell r="C1923" t="str">
            <v>INE980Y01015</v>
          </cell>
          <cell r="D1923" t="str">
            <v>SOUTHWEST</v>
          </cell>
          <cell r="E1923">
            <v>468.29566078199997</v>
          </cell>
          <cell r="F1923" t="str">
            <v>SOUTHWEST</v>
          </cell>
          <cell r="G1923">
            <v>467.94310000000002</v>
          </cell>
          <cell r="H1923" t="str">
            <v>-</v>
          </cell>
          <cell r="I1923" t="str">
            <v>-</v>
          </cell>
          <cell r="J1923">
            <v>468.11938039099999</v>
          </cell>
          <cell r="K1923" t="str">
            <v>Small Cap</v>
          </cell>
        </row>
        <row r="1924">
          <cell r="C1924" t="str">
            <v>INE155C01010</v>
          </cell>
          <cell r="D1924" t="str">
            <v>ALBERTDAVD</v>
          </cell>
          <cell r="E1924">
            <v>467.87767025400001</v>
          </cell>
          <cell r="F1924" t="str">
            <v>ALBERTDAVD</v>
          </cell>
          <cell r="G1924">
            <v>467.55489999999998</v>
          </cell>
          <cell r="H1924" t="str">
            <v>-</v>
          </cell>
          <cell r="I1924" t="str">
            <v>-</v>
          </cell>
          <cell r="J1924">
            <v>467.71628512699999</v>
          </cell>
          <cell r="K1924" t="str">
            <v>Small Cap</v>
          </cell>
        </row>
        <row r="1925">
          <cell r="C1925" t="str">
            <v>INE01NE01012</v>
          </cell>
          <cell r="D1925" t="str">
            <v>SRD</v>
          </cell>
          <cell r="E1925">
            <v>468.62621468100002</v>
          </cell>
          <cell r="F1925" t="str">
            <v>SRD</v>
          </cell>
          <cell r="G1925">
            <v>466.58589999999998</v>
          </cell>
          <cell r="H1925" t="str">
            <v>-</v>
          </cell>
          <cell r="I1925" t="str">
            <v>-</v>
          </cell>
          <cell r="J1925">
            <v>467.6060573405</v>
          </cell>
          <cell r="K1925" t="str">
            <v>Small Cap</v>
          </cell>
        </row>
        <row r="1926">
          <cell r="C1926" t="str">
            <v>INE638A01035</v>
          </cell>
          <cell r="D1926" t="str">
            <v>SINGER</v>
          </cell>
          <cell r="E1926">
            <v>464.74085845399998</v>
          </cell>
          <cell r="F1926" t="str">
            <v>-</v>
          </cell>
          <cell r="G1926" t="str">
            <v>-</v>
          </cell>
          <cell r="H1926" t="str">
            <v>-</v>
          </cell>
          <cell r="I1926" t="str">
            <v>-</v>
          </cell>
          <cell r="J1926">
            <v>464.74085845399998</v>
          </cell>
          <cell r="K1926" t="str">
            <v>Small Cap</v>
          </cell>
        </row>
        <row r="1927">
          <cell r="C1927" t="str">
            <v>INE755D01015</v>
          </cell>
          <cell r="D1927" t="str">
            <v>STOVACQ</v>
          </cell>
          <cell r="E1927">
            <v>463.88134033299997</v>
          </cell>
          <cell r="F1927" t="str">
            <v>-</v>
          </cell>
          <cell r="G1927" t="str">
            <v>-</v>
          </cell>
          <cell r="H1927" t="str">
            <v>-</v>
          </cell>
          <cell r="I1927" t="str">
            <v>-</v>
          </cell>
          <cell r="J1927">
            <v>463.88134033299997</v>
          </cell>
          <cell r="K1927" t="str">
            <v>Small Cap</v>
          </cell>
        </row>
        <row r="1928">
          <cell r="C1928" t="str">
            <v>INE559N01010</v>
          </cell>
          <cell r="D1928" t="str">
            <v>SRGHFL</v>
          </cell>
          <cell r="E1928">
            <v>462.22902887299995</v>
          </cell>
          <cell r="F1928" t="str">
            <v>SRGHFL</v>
          </cell>
          <cell r="G1928">
            <v>465.28649999999999</v>
          </cell>
          <cell r="H1928" t="str">
            <v>-</v>
          </cell>
          <cell r="I1928" t="str">
            <v>-</v>
          </cell>
          <cell r="J1928">
            <v>463.7577644365</v>
          </cell>
          <cell r="K1928" t="str">
            <v>Small Cap</v>
          </cell>
        </row>
        <row r="1929">
          <cell r="C1929" t="str">
            <v>INE0ZOM01013</v>
          </cell>
          <cell r="D1929" t="str">
            <v>GOELCONS</v>
          </cell>
          <cell r="E1929">
            <v>463.57651323100004</v>
          </cell>
          <cell r="F1929" t="str">
            <v>-</v>
          </cell>
          <cell r="G1929" t="str">
            <v>-</v>
          </cell>
          <cell r="H1929" t="str">
            <v>-</v>
          </cell>
          <cell r="I1929" t="str">
            <v>-</v>
          </cell>
          <cell r="J1929">
            <v>463.57651323100004</v>
          </cell>
          <cell r="K1929" t="str">
            <v>Small Cap</v>
          </cell>
        </row>
        <row r="1930">
          <cell r="C1930" t="str">
            <v>INE969C01022</v>
          </cell>
          <cell r="D1930" t="str">
            <v>RAGHUSYN</v>
          </cell>
          <cell r="E1930">
            <v>463.52534722200005</v>
          </cell>
          <cell r="F1930" t="str">
            <v>-</v>
          </cell>
          <cell r="G1930" t="str">
            <v>-</v>
          </cell>
          <cell r="H1930" t="str">
            <v>-</v>
          </cell>
          <cell r="I1930" t="str">
            <v>-</v>
          </cell>
          <cell r="J1930">
            <v>463.52534722200005</v>
          </cell>
          <cell r="K1930" t="str">
            <v>Small Cap</v>
          </cell>
        </row>
        <row r="1931">
          <cell r="C1931" t="str">
            <v>INE278B01020</v>
          </cell>
          <cell r="D1931" t="str">
            <v>RAMANEWS</v>
          </cell>
          <cell r="E1931">
            <v>463.650038478</v>
          </cell>
          <cell r="F1931" t="str">
            <v>RAMANEWS</v>
          </cell>
          <cell r="G1931">
            <v>462.89949999999999</v>
          </cell>
          <cell r="H1931" t="str">
            <v>-</v>
          </cell>
          <cell r="I1931" t="str">
            <v>-</v>
          </cell>
          <cell r="J1931">
            <v>463.27476923899997</v>
          </cell>
          <cell r="K1931" t="str">
            <v>Small Cap</v>
          </cell>
        </row>
        <row r="1932">
          <cell r="C1932" t="str">
            <v>INE798K01010</v>
          </cell>
          <cell r="D1932" t="str">
            <v>KRITINUT</v>
          </cell>
          <cell r="E1932">
            <v>462.68692014499999</v>
          </cell>
          <cell r="F1932" t="str">
            <v>KRITINUT</v>
          </cell>
          <cell r="G1932">
            <v>462.28410000000002</v>
          </cell>
          <cell r="H1932" t="str">
            <v>-</v>
          </cell>
          <cell r="I1932" t="str">
            <v>-</v>
          </cell>
          <cell r="J1932">
            <v>462.48551007250001</v>
          </cell>
          <cell r="K1932" t="str">
            <v>Small Cap</v>
          </cell>
        </row>
        <row r="1933">
          <cell r="C1933" t="str">
            <v>INE906O01029</v>
          </cell>
          <cell r="D1933" t="str">
            <v>TIGERLOGS</v>
          </cell>
          <cell r="E1933">
            <v>470.09614345200004</v>
          </cell>
          <cell r="F1933" t="str">
            <v>TIGERLOGS</v>
          </cell>
          <cell r="G1933">
            <v>441.29320000000001</v>
          </cell>
          <cell r="H1933" t="str">
            <v>-</v>
          </cell>
          <cell r="I1933" t="str">
            <v>-</v>
          </cell>
          <cell r="J1933">
            <v>455.69467172600002</v>
          </cell>
          <cell r="K1933" t="str">
            <v>Small Cap</v>
          </cell>
        </row>
        <row r="1934">
          <cell r="C1934" t="str">
            <v>INE0TGX01019</v>
          </cell>
          <cell r="D1934" t="str">
            <v>CHEMBONDCH</v>
          </cell>
          <cell r="E1934">
            <v>454.38684271499994</v>
          </cell>
          <cell r="F1934" t="str">
            <v>CHEMBONDCH</v>
          </cell>
          <cell r="G1934">
            <v>454.50400000000002</v>
          </cell>
          <cell r="H1934" t="str">
            <v>-</v>
          </cell>
          <cell r="I1934" t="str">
            <v>-</v>
          </cell>
          <cell r="J1934">
            <v>454.44542135749998</v>
          </cell>
          <cell r="K1934" t="str">
            <v>Small Cap</v>
          </cell>
        </row>
        <row r="1935">
          <cell r="C1935" t="str">
            <v>INE319Y01024</v>
          </cell>
          <cell r="D1935" t="str">
            <v>-</v>
          </cell>
          <cell r="E1935" t="str">
            <v>-</v>
          </cell>
          <cell r="F1935" t="str">
            <v>TIRUPATIFL</v>
          </cell>
          <cell r="G1935">
            <v>453.52260000000001</v>
          </cell>
          <cell r="H1935" t="str">
            <v>-</v>
          </cell>
          <cell r="I1935" t="str">
            <v>-</v>
          </cell>
          <cell r="J1935">
            <v>453.52260000000001</v>
          </cell>
          <cell r="K1935" t="str">
            <v>Small Cap</v>
          </cell>
        </row>
        <row r="1936">
          <cell r="C1936" t="str">
            <v>INE437D01010</v>
          </cell>
          <cell r="D1936" t="str">
            <v>MAGNAELQ</v>
          </cell>
          <cell r="E1936">
            <v>453.46053892399999</v>
          </cell>
          <cell r="F1936" t="str">
            <v>-</v>
          </cell>
          <cell r="G1936" t="str">
            <v>-</v>
          </cell>
          <cell r="H1936" t="str">
            <v>-</v>
          </cell>
          <cell r="I1936" t="str">
            <v>-</v>
          </cell>
          <cell r="J1936">
            <v>453.46053892399999</v>
          </cell>
          <cell r="K1936" t="str">
            <v>Small Cap</v>
          </cell>
        </row>
        <row r="1937">
          <cell r="C1937" t="str">
            <v>INE849B01010</v>
          </cell>
          <cell r="D1937" t="str">
            <v>ACESOFT</v>
          </cell>
          <cell r="E1937">
            <v>452.92307461199999</v>
          </cell>
          <cell r="F1937" t="str">
            <v>-</v>
          </cell>
          <cell r="G1937" t="str">
            <v>-</v>
          </cell>
          <cell r="H1937" t="str">
            <v>-</v>
          </cell>
          <cell r="I1937" t="str">
            <v>-</v>
          </cell>
          <cell r="J1937">
            <v>452.92307461199999</v>
          </cell>
          <cell r="K1937" t="str">
            <v>Small Cap</v>
          </cell>
        </row>
        <row r="1938">
          <cell r="C1938" t="str">
            <v>INE976H01018</v>
          </cell>
          <cell r="D1938" t="str">
            <v>LEHAR</v>
          </cell>
          <cell r="E1938">
            <v>451.77539458799998</v>
          </cell>
          <cell r="F1938" t="str">
            <v>-</v>
          </cell>
          <cell r="G1938" t="str">
            <v>-</v>
          </cell>
          <cell r="H1938" t="str">
            <v>-</v>
          </cell>
          <cell r="I1938" t="str">
            <v>-</v>
          </cell>
          <cell r="J1938">
            <v>451.77539458799998</v>
          </cell>
          <cell r="K1938" t="str">
            <v>Small Cap</v>
          </cell>
        </row>
        <row r="1939">
          <cell r="C1939" t="str">
            <v>INE0O4601016</v>
          </cell>
          <cell r="D1939" t="str">
            <v>SEALMATIC</v>
          </cell>
          <cell r="E1939">
            <v>451.24552956800005</v>
          </cell>
          <cell r="F1939" t="str">
            <v>-</v>
          </cell>
          <cell r="G1939" t="str">
            <v>-</v>
          </cell>
          <cell r="H1939" t="str">
            <v>-</v>
          </cell>
          <cell r="I1939" t="str">
            <v>-</v>
          </cell>
          <cell r="J1939">
            <v>451.24552956800005</v>
          </cell>
          <cell r="K1939" t="str">
            <v>Small Cap</v>
          </cell>
        </row>
        <row r="1940">
          <cell r="C1940" t="str">
            <v>INE0JWS01017</v>
          </cell>
          <cell r="D1940" t="str">
            <v>VALIANTLAB</v>
          </cell>
          <cell r="E1940">
            <v>451.04203571400001</v>
          </cell>
          <cell r="F1940" t="str">
            <v>VALIANTLAB</v>
          </cell>
          <cell r="G1940">
            <v>450.47590000000002</v>
          </cell>
          <cell r="H1940" t="str">
            <v>-</v>
          </cell>
          <cell r="I1940" t="str">
            <v>-</v>
          </cell>
          <cell r="J1940">
            <v>450.75896785700002</v>
          </cell>
          <cell r="K1940" t="str">
            <v>Small Cap</v>
          </cell>
        </row>
        <row r="1941">
          <cell r="C1941" t="str">
            <v>INE778K01012</v>
          </cell>
          <cell r="D1941" t="str">
            <v>EMAMIREAL</v>
          </cell>
          <cell r="E1941">
            <v>449.74752933199994</v>
          </cell>
          <cell r="F1941" t="str">
            <v>EMAMIREAL</v>
          </cell>
          <cell r="G1941">
            <v>449.34679999999997</v>
          </cell>
          <cell r="H1941" t="str">
            <v>-</v>
          </cell>
          <cell r="I1941" t="str">
            <v>-</v>
          </cell>
          <cell r="J1941">
            <v>449.54716466599996</v>
          </cell>
          <cell r="K1941" t="str">
            <v>Small Cap</v>
          </cell>
        </row>
        <row r="1942">
          <cell r="C1942" t="str">
            <v>INE1KLZ01011</v>
          </cell>
          <cell r="D1942" t="str">
            <v>SYSTEMATIC</v>
          </cell>
          <cell r="E1942">
            <v>449.502688767</v>
          </cell>
          <cell r="F1942" t="str">
            <v>-</v>
          </cell>
          <cell r="G1942" t="str">
            <v>-</v>
          </cell>
          <cell r="H1942" t="str">
            <v>-</v>
          </cell>
          <cell r="I1942" t="str">
            <v>-</v>
          </cell>
          <cell r="J1942">
            <v>449.502688767</v>
          </cell>
          <cell r="K1942" t="str">
            <v>Small Cap</v>
          </cell>
        </row>
        <row r="1943">
          <cell r="C1943" t="str">
            <v>INE015D01022</v>
          </cell>
          <cell r="D1943" t="str">
            <v>MANAKSIA</v>
          </cell>
          <cell r="E1943">
            <v>448.95037153199996</v>
          </cell>
          <cell r="F1943" t="str">
            <v>MANAKSIA</v>
          </cell>
          <cell r="G1943">
            <v>448.68720000000002</v>
          </cell>
          <cell r="H1943" t="str">
            <v>-</v>
          </cell>
          <cell r="I1943" t="str">
            <v>-</v>
          </cell>
          <cell r="J1943">
            <v>448.81878576600002</v>
          </cell>
          <cell r="K1943" t="str">
            <v>Small Cap</v>
          </cell>
        </row>
        <row r="1944">
          <cell r="C1944" t="str">
            <v>INE681K01026</v>
          </cell>
          <cell r="D1944" t="str">
            <v>MIZVEN</v>
          </cell>
          <cell r="E1944">
            <v>448.07788214300001</v>
          </cell>
          <cell r="F1944" t="str">
            <v>-</v>
          </cell>
          <cell r="G1944" t="str">
            <v>-</v>
          </cell>
          <cell r="H1944" t="str">
            <v>-</v>
          </cell>
          <cell r="I1944" t="str">
            <v>-</v>
          </cell>
          <cell r="J1944">
            <v>448.07788214300001</v>
          </cell>
          <cell r="K1944" t="str">
            <v>Small Cap</v>
          </cell>
        </row>
        <row r="1945">
          <cell r="C1945" t="str">
            <v>INE02H701025</v>
          </cell>
          <cell r="D1945" t="str">
            <v>NOVAAGRI</v>
          </cell>
          <cell r="E1945">
            <v>445.91098730100003</v>
          </cell>
          <cell r="F1945" t="str">
            <v>NOVAAGRI</v>
          </cell>
          <cell r="G1945">
            <v>445.83100000000002</v>
          </cell>
          <cell r="H1945" t="str">
            <v>-</v>
          </cell>
          <cell r="I1945" t="str">
            <v>-</v>
          </cell>
          <cell r="J1945">
            <v>445.87099365050005</v>
          </cell>
          <cell r="K1945" t="str">
            <v>Small Cap</v>
          </cell>
        </row>
        <row r="1946">
          <cell r="C1946" t="str">
            <v>INE253A01025</v>
          </cell>
          <cell r="D1946" t="str">
            <v>HINDMOTORS</v>
          </cell>
          <cell r="E1946">
            <v>445.09180030900001</v>
          </cell>
          <cell r="F1946" t="str">
            <v>-</v>
          </cell>
          <cell r="G1946" t="str">
            <v>-</v>
          </cell>
          <cell r="H1946" t="str">
            <v>-</v>
          </cell>
          <cell r="I1946" t="str">
            <v>-</v>
          </cell>
          <cell r="J1946">
            <v>445.09180030900001</v>
          </cell>
          <cell r="K1946" t="str">
            <v>Small Cap</v>
          </cell>
        </row>
        <row r="1947">
          <cell r="C1947" t="str">
            <v>INE370D01013</v>
          </cell>
          <cell r="D1947" t="str">
            <v>MANORG</v>
          </cell>
          <cell r="E1947">
            <v>445.07015668900004</v>
          </cell>
          <cell r="F1947" t="str">
            <v>MANORG</v>
          </cell>
          <cell r="G1947">
            <v>444.27109999999999</v>
          </cell>
          <cell r="H1947" t="str">
            <v>-</v>
          </cell>
          <cell r="I1947" t="str">
            <v>-</v>
          </cell>
          <cell r="J1947">
            <v>444.67062834450002</v>
          </cell>
          <cell r="K1947" t="str">
            <v>Small Cap</v>
          </cell>
        </row>
        <row r="1948">
          <cell r="C1948" t="str">
            <v>INE0KPY01017</v>
          </cell>
          <cell r="D1948" t="str">
            <v>SEML</v>
          </cell>
          <cell r="E1948">
            <v>443.56832142899998</v>
          </cell>
          <cell r="F1948" t="str">
            <v>-</v>
          </cell>
          <cell r="G1948" t="str">
            <v>-</v>
          </cell>
          <cell r="H1948" t="str">
            <v>-</v>
          </cell>
          <cell r="I1948" t="str">
            <v>-</v>
          </cell>
          <cell r="J1948">
            <v>443.56832142899998</v>
          </cell>
          <cell r="K1948" t="str">
            <v>Small Cap</v>
          </cell>
        </row>
        <row r="1949">
          <cell r="C1949" t="str">
            <v>INE474C01023</v>
          </cell>
          <cell r="D1949" t="str">
            <v>REMSONSIND</v>
          </cell>
          <cell r="E1949">
            <v>442.65191993400003</v>
          </cell>
          <cell r="F1949" t="str">
            <v>REMSONSIND</v>
          </cell>
          <cell r="G1949">
            <v>442.49720000000002</v>
          </cell>
          <cell r="H1949" t="str">
            <v>-</v>
          </cell>
          <cell r="I1949" t="str">
            <v>-</v>
          </cell>
          <cell r="J1949">
            <v>442.57455996700003</v>
          </cell>
          <cell r="K1949" t="str">
            <v>Small Cap</v>
          </cell>
        </row>
        <row r="1950">
          <cell r="C1950" t="str">
            <v>INE770A01010</v>
          </cell>
          <cell r="D1950" t="str">
            <v>PRADPME</v>
          </cell>
          <cell r="E1950">
            <v>442.57047738100005</v>
          </cell>
          <cell r="F1950" t="str">
            <v>-</v>
          </cell>
          <cell r="G1950" t="str">
            <v>-</v>
          </cell>
          <cell r="H1950" t="str">
            <v>-</v>
          </cell>
          <cell r="I1950" t="str">
            <v>-</v>
          </cell>
          <cell r="J1950">
            <v>442.57047738100005</v>
          </cell>
          <cell r="K1950" t="str">
            <v>Small Cap</v>
          </cell>
        </row>
        <row r="1951">
          <cell r="C1951" t="str">
            <v>INE714B01016</v>
          </cell>
          <cell r="D1951" t="str">
            <v>ANDHRAPET</v>
          </cell>
          <cell r="E1951">
            <v>442.29808371099995</v>
          </cell>
          <cell r="F1951" t="str">
            <v>-</v>
          </cell>
          <cell r="G1951" t="str">
            <v>-</v>
          </cell>
          <cell r="H1951" t="str">
            <v>-</v>
          </cell>
          <cell r="I1951" t="str">
            <v>-</v>
          </cell>
          <cell r="J1951">
            <v>442.29808371099995</v>
          </cell>
          <cell r="K1951" t="str">
            <v>Small Cap</v>
          </cell>
        </row>
        <row r="1952">
          <cell r="C1952" t="str">
            <v>INE850B01026</v>
          </cell>
          <cell r="D1952" t="str">
            <v>ABMKNO</v>
          </cell>
          <cell r="E1952">
            <v>441.79541754799993</v>
          </cell>
          <cell r="F1952" t="str">
            <v>-</v>
          </cell>
          <cell r="G1952" t="str">
            <v>-</v>
          </cell>
          <cell r="H1952" t="str">
            <v>-</v>
          </cell>
          <cell r="I1952" t="str">
            <v>-</v>
          </cell>
          <cell r="J1952">
            <v>441.79541754799993</v>
          </cell>
          <cell r="K1952" t="str">
            <v>Small Cap</v>
          </cell>
        </row>
        <row r="1953">
          <cell r="C1953" t="str">
            <v>INE0V3U01015</v>
          </cell>
          <cell r="D1953" t="str">
            <v>GLOBECIVIL</v>
          </cell>
          <cell r="E1953">
            <v>440.65985817700005</v>
          </cell>
          <cell r="F1953" t="str">
            <v>GLOBECIVIL</v>
          </cell>
          <cell r="G1953">
            <v>440.71960000000001</v>
          </cell>
          <cell r="H1953" t="str">
            <v>-</v>
          </cell>
          <cell r="I1953" t="str">
            <v>-</v>
          </cell>
          <cell r="J1953">
            <v>440.68972908850003</v>
          </cell>
          <cell r="K1953" t="str">
            <v>Small Cap</v>
          </cell>
        </row>
        <row r="1954">
          <cell r="C1954" t="str">
            <v>INE536P01021</v>
          </cell>
          <cell r="D1954" t="str">
            <v>CPL</v>
          </cell>
          <cell r="E1954">
            <v>440.66765265699996</v>
          </cell>
          <cell r="F1954" t="str">
            <v>-</v>
          </cell>
          <cell r="G1954" t="str">
            <v>-</v>
          </cell>
          <cell r="H1954" t="str">
            <v>-</v>
          </cell>
          <cell r="I1954" t="str">
            <v>-</v>
          </cell>
          <cell r="J1954">
            <v>440.66765265699996</v>
          </cell>
          <cell r="K1954" t="str">
            <v>Small Cap</v>
          </cell>
        </row>
        <row r="1955">
          <cell r="C1955" t="str">
            <v>INE834I01025</v>
          </cell>
          <cell r="D1955" t="str">
            <v>KHADIM</v>
          </cell>
          <cell r="E1955">
            <v>439.40742249599998</v>
          </cell>
          <cell r="F1955" t="str">
            <v>KHADIM</v>
          </cell>
          <cell r="G1955">
            <v>439.28769999999997</v>
          </cell>
          <cell r="H1955" t="str">
            <v>-</v>
          </cell>
          <cell r="I1955" t="str">
            <v>-</v>
          </cell>
          <cell r="J1955">
            <v>439.34756124799998</v>
          </cell>
          <cell r="K1955" t="str">
            <v>Small Cap</v>
          </cell>
        </row>
        <row r="1956">
          <cell r="C1956" t="str">
            <v>INE0OJ401014</v>
          </cell>
          <cell r="D1956" t="str">
            <v>BIZOTIC</v>
          </cell>
          <cell r="E1956">
            <v>439.24179047600001</v>
          </cell>
          <cell r="F1956" t="str">
            <v>-</v>
          </cell>
          <cell r="G1956" t="str">
            <v>-</v>
          </cell>
          <cell r="H1956" t="str">
            <v>-</v>
          </cell>
          <cell r="I1956" t="str">
            <v>-</v>
          </cell>
          <cell r="J1956">
            <v>439.24179047600001</v>
          </cell>
          <cell r="K1956" t="str">
            <v>Small Cap</v>
          </cell>
        </row>
        <row r="1957">
          <cell r="C1957" t="str">
            <v>INE818B01023</v>
          </cell>
          <cell r="D1957" t="str">
            <v>PASUPTAC</v>
          </cell>
          <cell r="E1957">
            <v>439.19425745299998</v>
          </cell>
          <cell r="F1957" t="str">
            <v>PASUPTAC</v>
          </cell>
          <cell r="G1957">
            <v>439.20269999999999</v>
          </cell>
          <cell r="H1957" t="str">
            <v>-</v>
          </cell>
          <cell r="I1957" t="str">
            <v>-</v>
          </cell>
          <cell r="J1957">
            <v>439.19847872649996</v>
          </cell>
          <cell r="K1957" t="str">
            <v>Small Cap</v>
          </cell>
        </row>
        <row r="1958">
          <cell r="C1958" t="str">
            <v>INE440A01010</v>
          </cell>
          <cell r="D1958" t="str">
            <v>ASHIMASYN</v>
          </cell>
          <cell r="E1958">
            <v>438.81183302799997</v>
          </cell>
          <cell r="F1958" t="str">
            <v>ASHIMASYN</v>
          </cell>
          <cell r="G1958">
            <v>438.36610000000002</v>
          </cell>
          <cell r="H1958" t="str">
            <v>-</v>
          </cell>
          <cell r="I1958" t="str">
            <v>-</v>
          </cell>
          <cell r="J1958">
            <v>438.58896651399999</v>
          </cell>
          <cell r="K1958" t="str">
            <v>Small Cap</v>
          </cell>
        </row>
        <row r="1959">
          <cell r="C1959" t="str">
            <v>INE629D01020</v>
          </cell>
          <cell r="D1959" t="str">
            <v>BANSWRAS</v>
          </cell>
          <cell r="E1959">
            <v>438.19240985699997</v>
          </cell>
          <cell r="F1959" t="str">
            <v>BANSWRAS</v>
          </cell>
          <cell r="G1959">
            <v>438.20839999999998</v>
          </cell>
          <cell r="H1959" t="str">
            <v>-</v>
          </cell>
          <cell r="I1959" t="str">
            <v>-</v>
          </cell>
          <cell r="J1959">
            <v>438.20040492850001</v>
          </cell>
          <cell r="K1959" t="str">
            <v>Small Cap</v>
          </cell>
        </row>
        <row r="1960">
          <cell r="C1960" t="str">
            <v>INE185E01021</v>
          </cell>
          <cell r="D1960" t="str">
            <v>FILATFASH</v>
          </cell>
          <cell r="E1960">
            <v>439.25854735500002</v>
          </cell>
          <cell r="F1960" t="str">
            <v>FILATFASH</v>
          </cell>
          <cell r="G1960">
            <v>434.62849999999997</v>
          </cell>
          <cell r="H1960" t="str">
            <v>-</v>
          </cell>
          <cell r="I1960" t="str">
            <v>-</v>
          </cell>
          <cell r="J1960">
            <v>436.94352367750002</v>
          </cell>
          <cell r="K1960" t="str">
            <v>Small Cap</v>
          </cell>
        </row>
        <row r="1961">
          <cell r="C1961" t="str">
            <v>INE902B01017</v>
          </cell>
          <cell r="D1961" t="str">
            <v>S&amp;SPOWER</v>
          </cell>
          <cell r="E1961">
            <v>436.64893643999994</v>
          </cell>
          <cell r="F1961" t="str">
            <v>S&amp;SPOWER</v>
          </cell>
          <cell r="G1961">
            <v>434.62049999999999</v>
          </cell>
          <cell r="H1961" t="str">
            <v>-</v>
          </cell>
          <cell r="I1961" t="str">
            <v>-</v>
          </cell>
          <cell r="J1961">
            <v>435.63471821999997</v>
          </cell>
          <cell r="K1961" t="str">
            <v>Small Cap</v>
          </cell>
        </row>
        <row r="1962">
          <cell r="C1962" t="str">
            <v>INE0GSL01024</v>
          </cell>
          <cell r="D1962" t="str">
            <v>HPAL</v>
          </cell>
          <cell r="E1962">
            <v>434.86791234999998</v>
          </cell>
          <cell r="F1962" t="str">
            <v>HPAL</v>
          </cell>
          <cell r="G1962">
            <v>434.46469999999999</v>
          </cell>
          <cell r="H1962" t="str">
            <v>-</v>
          </cell>
          <cell r="I1962" t="str">
            <v>-</v>
          </cell>
          <cell r="J1962">
            <v>434.66630617499999</v>
          </cell>
          <cell r="K1962" t="str">
            <v>Small Cap</v>
          </cell>
        </row>
        <row r="1963">
          <cell r="C1963" t="str">
            <v>INE642C01025</v>
          </cell>
          <cell r="D1963" t="str">
            <v>RUBFILA</v>
          </cell>
          <cell r="E1963">
            <v>433.83917642200004</v>
          </cell>
          <cell r="F1963" t="str">
            <v>RUBFILA</v>
          </cell>
          <cell r="G1963">
            <v>433.88099999999997</v>
          </cell>
          <cell r="H1963" t="str">
            <v>-</v>
          </cell>
          <cell r="I1963" t="str">
            <v>-</v>
          </cell>
          <cell r="J1963">
            <v>433.860088211</v>
          </cell>
          <cell r="K1963" t="str">
            <v>Small Cap</v>
          </cell>
        </row>
        <row r="1964">
          <cell r="C1964" t="str">
            <v>INE072A01029</v>
          </cell>
          <cell r="D1964" t="str">
            <v>INDIAHOMES</v>
          </cell>
          <cell r="E1964">
            <v>433.67757406300001</v>
          </cell>
          <cell r="F1964" t="str">
            <v>-</v>
          </cell>
          <cell r="G1964" t="str">
            <v>-</v>
          </cell>
          <cell r="H1964" t="str">
            <v>-</v>
          </cell>
          <cell r="I1964" t="str">
            <v>-</v>
          </cell>
          <cell r="J1964">
            <v>433.67757406300001</v>
          </cell>
          <cell r="K1964" t="str">
            <v>Small Cap</v>
          </cell>
        </row>
        <row r="1965">
          <cell r="C1965" t="str">
            <v>INE949P01018</v>
          </cell>
          <cell r="D1965" t="str">
            <v>GENUSPAPER</v>
          </cell>
          <cell r="E1965">
            <v>432.52460403900005</v>
          </cell>
          <cell r="F1965" t="str">
            <v>GENUSPAPER</v>
          </cell>
          <cell r="G1965">
            <v>432.23070000000001</v>
          </cell>
          <cell r="H1965" t="str">
            <v>-</v>
          </cell>
          <cell r="I1965" t="str">
            <v>-</v>
          </cell>
          <cell r="J1965">
            <v>432.37765201950003</v>
          </cell>
          <cell r="K1965" t="str">
            <v>Small Cap</v>
          </cell>
        </row>
        <row r="1966">
          <cell r="C1966" t="str">
            <v>INE388G01026</v>
          </cell>
          <cell r="D1966" t="str">
            <v>TICL</v>
          </cell>
          <cell r="E1966">
            <v>434.750396825</v>
          </cell>
          <cell r="F1966" t="str">
            <v>TICL</v>
          </cell>
          <cell r="G1966">
            <v>428.39049999999997</v>
          </cell>
          <cell r="H1966" t="str">
            <v>-</v>
          </cell>
          <cell r="I1966" t="str">
            <v>-</v>
          </cell>
          <cell r="J1966">
            <v>431.57044841250001</v>
          </cell>
          <cell r="K1966" t="str">
            <v>Small Cap</v>
          </cell>
        </row>
        <row r="1967">
          <cell r="C1967" t="str">
            <v>INE064H01021</v>
          </cell>
          <cell r="D1967" t="str">
            <v>GEE</v>
          </cell>
          <cell r="E1967">
            <v>430.55442260200005</v>
          </cell>
          <cell r="F1967" t="str">
            <v>-</v>
          </cell>
          <cell r="G1967" t="str">
            <v>-</v>
          </cell>
          <cell r="H1967" t="str">
            <v>-</v>
          </cell>
          <cell r="I1967" t="str">
            <v>-</v>
          </cell>
          <cell r="J1967">
            <v>430.55442260200005</v>
          </cell>
          <cell r="K1967" t="str">
            <v>Small Cap</v>
          </cell>
        </row>
        <row r="1968">
          <cell r="C1968" t="str">
            <v>INE244A01016</v>
          </cell>
          <cell r="D1968" t="str">
            <v>DENORA</v>
          </cell>
          <cell r="E1968">
            <v>430.50683413100006</v>
          </cell>
          <cell r="F1968" t="str">
            <v>DENORA</v>
          </cell>
          <cell r="G1968">
            <v>430.46069999999997</v>
          </cell>
          <cell r="H1968" t="str">
            <v>-</v>
          </cell>
          <cell r="I1968" t="str">
            <v>-</v>
          </cell>
          <cell r="J1968">
            <v>430.48376706550005</v>
          </cell>
          <cell r="K1968" t="str">
            <v>Small Cap</v>
          </cell>
        </row>
        <row r="1969">
          <cell r="C1969" t="str">
            <v>INE607D01018</v>
          </cell>
          <cell r="D1969" t="str">
            <v>ORIENTBELL</v>
          </cell>
          <cell r="E1969">
            <v>430.17017589200003</v>
          </cell>
          <cell r="F1969" t="str">
            <v>ORIENTBELL</v>
          </cell>
          <cell r="G1969">
            <v>430.37400000000002</v>
          </cell>
          <cell r="H1969" t="str">
            <v>-</v>
          </cell>
          <cell r="I1969" t="str">
            <v>-</v>
          </cell>
          <cell r="J1969">
            <v>430.27208794600006</v>
          </cell>
          <cell r="K1969" t="str">
            <v>Small Cap</v>
          </cell>
        </row>
        <row r="1970">
          <cell r="C1970" t="str">
            <v>INE508K01013</v>
          </cell>
          <cell r="D1970" t="str">
            <v>RHL</v>
          </cell>
          <cell r="E1970">
            <v>429.73638541299999</v>
          </cell>
          <cell r="F1970" t="str">
            <v>RHL</v>
          </cell>
          <cell r="G1970">
            <v>429.41950000000003</v>
          </cell>
          <cell r="H1970" t="str">
            <v>-</v>
          </cell>
          <cell r="I1970" t="str">
            <v>-</v>
          </cell>
          <cell r="J1970">
            <v>429.57794270650004</v>
          </cell>
          <cell r="K1970" t="str">
            <v>Small Cap</v>
          </cell>
        </row>
        <row r="1971">
          <cell r="C1971" t="str">
            <v>INE062Y01020</v>
          </cell>
          <cell r="D1971" t="str">
            <v>MEHAI</v>
          </cell>
          <cell r="E1971">
            <v>428.37650341300002</v>
          </cell>
          <cell r="F1971" t="str">
            <v>-</v>
          </cell>
          <cell r="G1971" t="str">
            <v>-</v>
          </cell>
          <cell r="H1971" t="str">
            <v>-</v>
          </cell>
          <cell r="I1971" t="str">
            <v>-</v>
          </cell>
          <cell r="J1971">
            <v>428.37650341300002</v>
          </cell>
          <cell r="K1971" t="str">
            <v>Small Cap</v>
          </cell>
        </row>
        <row r="1972">
          <cell r="C1972" t="str">
            <v>INE970N01027</v>
          </cell>
          <cell r="D1972" t="str">
            <v>-</v>
          </cell>
          <cell r="E1972" t="str">
            <v>-</v>
          </cell>
          <cell r="F1972" t="str">
            <v>SPCENET</v>
          </cell>
          <cell r="G1972">
            <v>427.3537</v>
          </cell>
          <cell r="H1972" t="str">
            <v>-</v>
          </cell>
          <cell r="I1972" t="str">
            <v>-</v>
          </cell>
          <cell r="J1972">
            <v>427.3537</v>
          </cell>
          <cell r="K1972" t="str">
            <v>Small Cap</v>
          </cell>
        </row>
        <row r="1973">
          <cell r="C1973" t="str">
            <v>INE983C01015</v>
          </cell>
          <cell r="D1973" t="str">
            <v>LUDLOWJUT</v>
          </cell>
          <cell r="E1973">
            <v>425.31593752399999</v>
          </cell>
          <cell r="F1973" t="str">
            <v>-</v>
          </cell>
          <cell r="G1973" t="str">
            <v>-</v>
          </cell>
          <cell r="H1973" t="str">
            <v>-</v>
          </cell>
          <cell r="I1973" t="str">
            <v>-</v>
          </cell>
          <cell r="J1973">
            <v>425.31593752399999</v>
          </cell>
          <cell r="K1973" t="str">
            <v>Small Cap</v>
          </cell>
        </row>
        <row r="1974">
          <cell r="C1974" t="str">
            <v>INE300A01016</v>
          </cell>
          <cell r="D1974" t="str">
            <v>GOODRICKE</v>
          </cell>
          <cell r="E1974">
            <v>424.69799999999998</v>
          </cell>
          <cell r="F1974" t="str">
            <v>-</v>
          </cell>
          <cell r="G1974" t="str">
            <v>-</v>
          </cell>
          <cell r="H1974" t="str">
            <v>-</v>
          </cell>
          <cell r="I1974" t="str">
            <v>-</v>
          </cell>
          <cell r="J1974">
            <v>424.69799999999998</v>
          </cell>
          <cell r="K1974" t="str">
            <v>Small Cap</v>
          </cell>
        </row>
        <row r="1975">
          <cell r="C1975" t="str">
            <v>INE260R01016</v>
          </cell>
          <cell r="D1975" t="str">
            <v>DHABRIYA</v>
          </cell>
          <cell r="E1975">
            <v>422.958232442</v>
          </cell>
          <cell r="F1975" t="str">
            <v>-</v>
          </cell>
          <cell r="G1975" t="str">
            <v>-</v>
          </cell>
          <cell r="H1975" t="str">
            <v>-</v>
          </cell>
          <cell r="I1975" t="str">
            <v>-</v>
          </cell>
          <cell r="J1975">
            <v>422.958232442</v>
          </cell>
          <cell r="K1975" t="str">
            <v>Small Cap</v>
          </cell>
        </row>
        <row r="1976">
          <cell r="C1976" t="str">
            <v>INE1FF001016</v>
          </cell>
          <cell r="D1976" t="str">
            <v>JKIPL</v>
          </cell>
          <cell r="E1976">
            <v>422.69278786900003</v>
          </cell>
          <cell r="F1976" t="str">
            <v>JKIPL</v>
          </cell>
          <cell r="G1976">
            <v>422.45929999999998</v>
          </cell>
          <cell r="H1976" t="str">
            <v>-</v>
          </cell>
          <cell r="I1976" t="str">
            <v>-</v>
          </cell>
          <cell r="J1976">
            <v>422.57604393450003</v>
          </cell>
          <cell r="K1976" t="str">
            <v>Small Cap</v>
          </cell>
        </row>
        <row r="1977">
          <cell r="C1977" t="str">
            <v>INE230F01014</v>
          </cell>
          <cell r="D1977" t="str">
            <v>RAINBOWF</v>
          </cell>
          <cell r="E1977">
            <v>421.11814349999997</v>
          </cell>
          <cell r="F1977" t="str">
            <v>-</v>
          </cell>
          <cell r="G1977" t="str">
            <v>-</v>
          </cell>
          <cell r="H1977" t="str">
            <v>-</v>
          </cell>
          <cell r="I1977" t="str">
            <v>-</v>
          </cell>
          <cell r="J1977">
            <v>421.11814349999997</v>
          </cell>
          <cell r="K1977" t="str">
            <v>Small Cap</v>
          </cell>
        </row>
        <row r="1978">
          <cell r="C1978" t="str">
            <v>INE844K01012</v>
          </cell>
          <cell r="D1978" t="str">
            <v>BEDMUTHA</v>
          </cell>
          <cell r="E1978">
            <v>420.39584789399998</v>
          </cell>
          <cell r="F1978" t="str">
            <v>BEDMUTHA</v>
          </cell>
          <cell r="G1978">
            <v>420.19150000000002</v>
          </cell>
          <cell r="H1978" t="str">
            <v>-</v>
          </cell>
          <cell r="I1978" t="str">
            <v>-</v>
          </cell>
          <cell r="J1978">
            <v>420.293673947</v>
          </cell>
          <cell r="K1978" t="str">
            <v>Small Cap</v>
          </cell>
        </row>
        <row r="1979">
          <cell r="C1979" t="str">
            <v>INE310B01013</v>
          </cell>
          <cell r="D1979" t="str">
            <v>DANLAW</v>
          </cell>
          <cell r="E1979">
            <v>418.14019041500001</v>
          </cell>
          <cell r="F1979" t="str">
            <v>-</v>
          </cell>
          <cell r="G1979" t="str">
            <v>-</v>
          </cell>
          <cell r="H1979" t="str">
            <v>-</v>
          </cell>
          <cell r="I1979" t="str">
            <v>-</v>
          </cell>
          <cell r="J1979">
            <v>418.14019041500001</v>
          </cell>
          <cell r="K1979" t="str">
            <v>Small Cap</v>
          </cell>
        </row>
        <row r="1980">
          <cell r="C1980" t="str">
            <v>INE389K01018</v>
          </cell>
          <cell r="D1980" t="str">
            <v>WELINV</v>
          </cell>
          <cell r="E1980">
            <v>419.272375743</v>
          </cell>
          <cell r="F1980" t="str">
            <v>WELINV</v>
          </cell>
          <cell r="G1980">
            <v>416.35939999999999</v>
          </cell>
          <cell r="H1980" t="str">
            <v>-</v>
          </cell>
          <cell r="I1980" t="str">
            <v>-</v>
          </cell>
          <cell r="J1980">
            <v>417.81588787149997</v>
          </cell>
          <cell r="K1980" t="str">
            <v>Small Cap</v>
          </cell>
        </row>
        <row r="1981">
          <cell r="C1981" t="str">
            <v>INE937C01029</v>
          </cell>
          <cell r="D1981" t="str">
            <v>NILAINFRA</v>
          </cell>
          <cell r="E1981">
            <v>416.66287319000003</v>
          </cell>
          <cell r="F1981" t="str">
            <v>NILAINFRA</v>
          </cell>
          <cell r="G1981">
            <v>416.35340000000002</v>
          </cell>
          <cell r="H1981" t="str">
            <v>-</v>
          </cell>
          <cell r="I1981" t="str">
            <v>-</v>
          </cell>
          <cell r="J1981">
            <v>416.508136595</v>
          </cell>
          <cell r="K1981" t="str">
            <v>Small Cap</v>
          </cell>
        </row>
        <row r="1982">
          <cell r="C1982" t="str">
            <v>INE961D01019</v>
          </cell>
          <cell r="D1982" t="str">
            <v>UNIDT</v>
          </cell>
          <cell r="E1982">
            <v>416.69990780099999</v>
          </cell>
          <cell r="F1982" t="str">
            <v>UNIDT</v>
          </cell>
          <cell r="G1982">
            <v>415.88409999999999</v>
          </cell>
          <cell r="H1982" t="str">
            <v>-</v>
          </cell>
          <cell r="I1982" t="str">
            <v>-</v>
          </cell>
          <cell r="J1982">
            <v>416.29200390049999</v>
          </cell>
          <cell r="K1982" t="str">
            <v>Small Cap</v>
          </cell>
        </row>
        <row r="1983">
          <cell r="C1983" t="str">
            <v>INE0VOV01021</v>
          </cell>
          <cell r="D1983" t="str">
            <v>DEVX</v>
          </cell>
          <cell r="E1983">
            <v>415.42123055100001</v>
          </cell>
          <cell r="F1983" t="str">
            <v>DEVX</v>
          </cell>
          <cell r="G1983">
            <v>415.00659999999999</v>
          </cell>
          <cell r="H1983" t="str">
            <v>-</v>
          </cell>
          <cell r="I1983" t="str">
            <v>-</v>
          </cell>
          <cell r="J1983">
            <v>415.21391527549997</v>
          </cell>
          <cell r="K1983" t="str">
            <v>Small Cap</v>
          </cell>
        </row>
        <row r="1984">
          <cell r="C1984" t="str">
            <v>INE071Y01013</v>
          </cell>
          <cell r="D1984" t="str">
            <v>TTFL</v>
          </cell>
          <cell r="E1984">
            <v>412.35352774199998</v>
          </cell>
          <cell r="F1984" t="str">
            <v>-</v>
          </cell>
          <cell r="G1984" t="str">
            <v>-</v>
          </cell>
          <cell r="H1984" t="str">
            <v>-</v>
          </cell>
          <cell r="I1984" t="str">
            <v>-</v>
          </cell>
          <cell r="J1984">
            <v>412.35352774199998</v>
          </cell>
          <cell r="K1984" t="str">
            <v>Small Cap</v>
          </cell>
        </row>
        <row r="1985">
          <cell r="C1985" t="str">
            <v>INE881E01017</v>
          </cell>
          <cell r="D1985" t="str">
            <v>KELENRG</v>
          </cell>
          <cell r="E1985">
            <v>412.21900793700001</v>
          </cell>
          <cell r="F1985" t="str">
            <v>-</v>
          </cell>
          <cell r="G1985" t="str">
            <v>-</v>
          </cell>
          <cell r="H1985" t="str">
            <v>-</v>
          </cell>
          <cell r="I1985" t="str">
            <v>-</v>
          </cell>
          <cell r="J1985">
            <v>412.21900793700001</v>
          </cell>
          <cell r="K1985" t="str">
            <v>Small Cap</v>
          </cell>
        </row>
        <row r="1986">
          <cell r="C1986" t="str">
            <v>INE721Z01010</v>
          </cell>
          <cell r="D1986" t="str">
            <v>-</v>
          </cell>
          <cell r="E1986" t="str">
            <v>-</v>
          </cell>
          <cell r="F1986" t="str">
            <v>AARON</v>
          </cell>
          <cell r="G1986">
            <v>411.13749999999999</v>
          </cell>
          <cell r="H1986" t="str">
            <v>-</v>
          </cell>
          <cell r="I1986" t="str">
            <v>-</v>
          </cell>
          <cell r="J1986">
            <v>411.13749999999999</v>
          </cell>
          <cell r="K1986" t="str">
            <v>Small Cap</v>
          </cell>
        </row>
        <row r="1987">
          <cell r="C1987" t="str">
            <v>INE020J01029</v>
          </cell>
          <cell r="D1987" t="str">
            <v>GOKUL</v>
          </cell>
          <cell r="E1987">
            <v>408.91063261900001</v>
          </cell>
          <cell r="F1987" t="str">
            <v>GOKUL</v>
          </cell>
          <cell r="G1987">
            <v>408.4384</v>
          </cell>
          <cell r="H1987" t="str">
            <v>-</v>
          </cell>
          <cell r="I1987" t="str">
            <v>-</v>
          </cell>
          <cell r="J1987">
            <v>408.67451630950001</v>
          </cell>
          <cell r="K1987" t="str">
            <v>Small Cap</v>
          </cell>
        </row>
        <row r="1988">
          <cell r="C1988" t="str">
            <v>INE636D01041</v>
          </cell>
          <cell r="D1988" t="str">
            <v>JOSTS</v>
          </cell>
          <cell r="E1988">
            <v>407.494141146</v>
          </cell>
          <cell r="F1988" t="str">
            <v>-</v>
          </cell>
          <cell r="G1988" t="str">
            <v>-</v>
          </cell>
          <cell r="H1988" t="str">
            <v>-</v>
          </cell>
          <cell r="I1988" t="str">
            <v>-</v>
          </cell>
          <cell r="J1988">
            <v>407.494141146</v>
          </cell>
          <cell r="K1988" t="str">
            <v>Small Cap</v>
          </cell>
        </row>
        <row r="1989">
          <cell r="C1989" t="str">
            <v>INE426D01013</v>
          </cell>
          <cell r="D1989" t="str">
            <v>GOACARBON</v>
          </cell>
          <cell r="E1989">
            <v>406.99049574099996</v>
          </cell>
          <cell r="F1989" t="str">
            <v>GOACARBON</v>
          </cell>
          <cell r="G1989">
            <v>407.09829999999999</v>
          </cell>
          <cell r="H1989" t="str">
            <v>-</v>
          </cell>
          <cell r="I1989" t="str">
            <v>-</v>
          </cell>
          <cell r="J1989">
            <v>407.04439787050001</v>
          </cell>
          <cell r="K1989" t="str">
            <v>Small Cap</v>
          </cell>
        </row>
        <row r="1990">
          <cell r="C1990" t="str">
            <v>INE377D01018</v>
          </cell>
          <cell r="D1990" t="str">
            <v>ARUNIS</v>
          </cell>
          <cell r="E1990">
            <v>406.51361904800001</v>
          </cell>
          <cell r="F1990" t="str">
            <v>-</v>
          </cell>
          <cell r="G1990" t="str">
            <v>-</v>
          </cell>
          <cell r="H1990" t="str">
            <v>-</v>
          </cell>
          <cell r="I1990" t="str">
            <v>-</v>
          </cell>
          <cell r="J1990">
            <v>406.51361904800001</v>
          </cell>
          <cell r="K1990" t="str">
            <v>Small Cap</v>
          </cell>
        </row>
        <row r="1991">
          <cell r="C1991" t="str">
            <v>INE803H01014</v>
          </cell>
          <cell r="D1991" t="str">
            <v>RUCHIRA</v>
          </cell>
          <cell r="E1991">
            <v>406.343023749</v>
          </cell>
          <cell r="F1991" t="str">
            <v>RUCHIRA</v>
          </cell>
          <cell r="G1991">
            <v>406.32619999999997</v>
          </cell>
          <cell r="H1991" t="str">
            <v>-</v>
          </cell>
          <cell r="I1991" t="str">
            <v>-</v>
          </cell>
          <cell r="J1991">
            <v>406.33461187449996</v>
          </cell>
          <cell r="K1991" t="str">
            <v>Small Cap</v>
          </cell>
        </row>
        <row r="1992">
          <cell r="C1992" t="str">
            <v>INE017C01012</v>
          </cell>
          <cell r="D1992" t="str">
            <v>KISAN</v>
          </cell>
          <cell r="E1992">
            <v>403.44004417899998</v>
          </cell>
          <cell r="F1992" t="str">
            <v>-</v>
          </cell>
          <cell r="G1992" t="str">
            <v>-</v>
          </cell>
          <cell r="H1992" t="str">
            <v>-</v>
          </cell>
          <cell r="I1992" t="str">
            <v>-</v>
          </cell>
          <cell r="J1992">
            <v>403.44004417899998</v>
          </cell>
          <cell r="K1992" t="str">
            <v>Small Cap</v>
          </cell>
        </row>
        <row r="1993">
          <cell r="C1993" t="str">
            <v>INE824Q01011</v>
          </cell>
          <cell r="D1993" t="str">
            <v>MANAKSTEEL</v>
          </cell>
          <cell r="E1993">
            <v>403.75320160399997</v>
          </cell>
          <cell r="F1993" t="str">
            <v>MANAKSTEEL</v>
          </cell>
          <cell r="G1993">
            <v>403.04689999999999</v>
          </cell>
          <cell r="H1993" t="str">
            <v>-</v>
          </cell>
          <cell r="I1993" t="str">
            <v>-</v>
          </cell>
          <cell r="J1993">
            <v>403.40005080200001</v>
          </cell>
          <cell r="K1993" t="str">
            <v>Small Cap</v>
          </cell>
        </row>
        <row r="1994">
          <cell r="C1994" t="str">
            <v>INE1IJQ01026</v>
          </cell>
          <cell r="D1994" t="str">
            <v>BAIKAKAJI</v>
          </cell>
          <cell r="E1994">
            <v>402.83080799999999</v>
          </cell>
          <cell r="F1994" t="str">
            <v>-</v>
          </cell>
          <cell r="G1994" t="str">
            <v>-</v>
          </cell>
          <cell r="H1994" t="str">
            <v>-</v>
          </cell>
          <cell r="I1994" t="str">
            <v>-</v>
          </cell>
          <cell r="J1994">
            <v>402.83080799999999</v>
          </cell>
          <cell r="K1994" t="str">
            <v>Small Cap</v>
          </cell>
        </row>
        <row r="1995">
          <cell r="C1995" t="str">
            <v>INE0W1601012</v>
          </cell>
          <cell r="D1995" t="str">
            <v>ADCOUNTY</v>
          </cell>
          <cell r="E1995">
            <v>402.80825025399997</v>
          </cell>
          <cell r="F1995" t="str">
            <v>-</v>
          </cell>
          <cell r="G1995" t="str">
            <v>-</v>
          </cell>
          <cell r="H1995" t="str">
            <v>-</v>
          </cell>
          <cell r="I1995" t="str">
            <v>-</v>
          </cell>
          <cell r="J1995">
            <v>402.80825025399997</v>
          </cell>
          <cell r="K1995" t="str">
            <v>Small Cap</v>
          </cell>
        </row>
        <row r="1996">
          <cell r="C1996" t="str">
            <v>INE09EO01013</v>
          </cell>
          <cell r="D1996" t="str">
            <v>AARTISURF</v>
          </cell>
          <cell r="E1996">
            <v>403.09212356300003</v>
          </cell>
          <cell r="F1996" t="str">
            <v>AARTISURF</v>
          </cell>
          <cell r="G1996">
            <v>402.49079999999998</v>
          </cell>
          <cell r="H1996" t="str">
            <v>-</v>
          </cell>
          <cell r="I1996" t="str">
            <v>-</v>
          </cell>
          <cell r="J1996">
            <v>402.7914617815</v>
          </cell>
          <cell r="K1996" t="str">
            <v>Small Cap</v>
          </cell>
        </row>
        <row r="1997">
          <cell r="C1997" t="str">
            <v>INE190H01024</v>
          </cell>
          <cell r="D1997" t="str">
            <v>SAKUMA</v>
          </cell>
          <cell r="E1997">
            <v>403.07788144</v>
          </cell>
          <cell r="F1997" t="str">
            <v>SAKUMA</v>
          </cell>
          <cell r="G1997">
            <v>402.41840000000002</v>
          </cell>
          <cell r="H1997" t="str">
            <v>-</v>
          </cell>
          <cell r="I1997" t="str">
            <v>-</v>
          </cell>
          <cell r="J1997">
            <v>402.74814072000004</v>
          </cell>
          <cell r="K1997" t="str">
            <v>Small Cap</v>
          </cell>
        </row>
        <row r="1998">
          <cell r="C1998" t="str">
            <v>INE037B01020</v>
          </cell>
          <cell r="D1998" t="str">
            <v>SHARDUL</v>
          </cell>
          <cell r="E1998">
            <v>402.12579483799999</v>
          </cell>
          <cell r="F1998" t="str">
            <v>-</v>
          </cell>
          <cell r="G1998" t="str">
            <v>-</v>
          </cell>
          <cell r="H1998" t="str">
            <v>-</v>
          </cell>
          <cell r="I1998" t="str">
            <v>-</v>
          </cell>
          <cell r="J1998">
            <v>402.12579483799999</v>
          </cell>
          <cell r="K1998" t="str">
            <v>Small Cap</v>
          </cell>
        </row>
        <row r="1999">
          <cell r="C1999" t="str">
            <v>INE855F01042</v>
          </cell>
          <cell r="D1999" t="str">
            <v>ASMS</v>
          </cell>
          <cell r="E1999">
            <v>401.95185759899999</v>
          </cell>
          <cell r="F1999" t="str">
            <v>ASMS</v>
          </cell>
          <cell r="G1999">
            <v>402.0872</v>
          </cell>
          <cell r="H1999" t="str">
            <v>-</v>
          </cell>
          <cell r="I1999" t="str">
            <v>-</v>
          </cell>
          <cell r="J1999">
            <v>402.01952879949999</v>
          </cell>
          <cell r="K1999" t="str">
            <v>Small Cap</v>
          </cell>
        </row>
        <row r="2000">
          <cell r="C2000" t="str">
            <v>INE161L01027</v>
          </cell>
          <cell r="D2000" t="str">
            <v>VIKASLIFE</v>
          </cell>
          <cell r="E2000">
            <v>402.18524324000003</v>
          </cell>
          <cell r="F2000" t="str">
            <v>VIKASLIFE</v>
          </cell>
          <cell r="G2000">
            <v>401.33010000000002</v>
          </cell>
          <cell r="H2000" t="str">
            <v>-</v>
          </cell>
          <cell r="I2000" t="str">
            <v>-</v>
          </cell>
          <cell r="J2000">
            <v>401.75767162</v>
          </cell>
          <cell r="K2000" t="str">
            <v>Small Cap</v>
          </cell>
        </row>
        <row r="2001">
          <cell r="C2001" t="str">
            <v>INE01EE01011</v>
          </cell>
          <cell r="D2001" t="str">
            <v>BBTCL</v>
          </cell>
          <cell r="E2001">
            <v>401.49449999000001</v>
          </cell>
          <cell r="F2001" t="str">
            <v>BBTCL</v>
          </cell>
          <cell r="G2001">
            <v>400.9151</v>
          </cell>
          <cell r="H2001" t="str">
            <v>-</v>
          </cell>
          <cell r="I2001" t="str">
            <v>-</v>
          </cell>
          <cell r="J2001">
            <v>401.20479999500003</v>
          </cell>
          <cell r="K2001" t="str">
            <v>Small Cap</v>
          </cell>
        </row>
        <row r="2002">
          <cell r="C2002" t="str">
            <v>INE369I01014</v>
          </cell>
          <cell r="D2002" t="str">
            <v>IL&amp;FSENGG</v>
          </cell>
          <cell r="E2002">
            <v>403.56882457099999</v>
          </cell>
          <cell r="F2002" t="str">
            <v>IL&amp;FSENGG</v>
          </cell>
          <cell r="G2002">
            <v>398.22930000000002</v>
          </cell>
          <cell r="H2002" t="str">
            <v>-</v>
          </cell>
          <cell r="I2002" t="str">
            <v>-</v>
          </cell>
          <cell r="J2002">
            <v>400.89906228550001</v>
          </cell>
          <cell r="K2002" t="str">
            <v>Small Cap</v>
          </cell>
        </row>
        <row r="2003">
          <cell r="C2003" t="str">
            <v>INE215D01010</v>
          </cell>
          <cell r="D2003" t="str">
            <v>MAHEPC</v>
          </cell>
          <cell r="E2003">
            <v>400.71274670999998</v>
          </cell>
          <cell r="F2003" t="str">
            <v>MAHEPC</v>
          </cell>
          <cell r="G2003">
            <v>400.5025</v>
          </cell>
          <cell r="H2003" t="str">
            <v>-</v>
          </cell>
          <cell r="I2003" t="str">
            <v>-</v>
          </cell>
          <cell r="J2003">
            <v>400.60762335499999</v>
          </cell>
          <cell r="K2003" t="str">
            <v>Small Cap</v>
          </cell>
        </row>
        <row r="2004">
          <cell r="C2004" t="str">
            <v>INE256H01015</v>
          </cell>
          <cell r="D2004" t="str">
            <v>DYNPRO</v>
          </cell>
          <cell r="E2004">
            <v>399.08251311599997</v>
          </cell>
          <cell r="F2004" t="str">
            <v>DYNPRO</v>
          </cell>
          <cell r="G2004">
            <v>400.32330000000002</v>
          </cell>
          <cell r="H2004" t="str">
            <v>-</v>
          </cell>
          <cell r="I2004" t="str">
            <v>-</v>
          </cell>
          <cell r="J2004">
            <v>399.702906558</v>
          </cell>
          <cell r="K2004" t="str">
            <v>Small Cap</v>
          </cell>
        </row>
        <row r="2005">
          <cell r="C2005" t="str">
            <v>INE0MNP01016</v>
          </cell>
          <cell r="D2005" t="str">
            <v>VVIPIL</v>
          </cell>
          <cell r="E2005">
            <v>399.33684499999998</v>
          </cell>
          <cell r="F2005" t="str">
            <v>-</v>
          </cell>
          <cell r="G2005" t="str">
            <v>-</v>
          </cell>
          <cell r="H2005" t="str">
            <v>-</v>
          </cell>
          <cell r="I2005" t="str">
            <v>-</v>
          </cell>
          <cell r="J2005">
            <v>399.33684499999998</v>
          </cell>
          <cell r="K2005" t="str">
            <v>Small Cap</v>
          </cell>
        </row>
        <row r="2006">
          <cell r="C2006" t="str">
            <v>INE119R01014</v>
          </cell>
          <cell r="D2006" t="str">
            <v>BALGOPAL</v>
          </cell>
          <cell r="E2006">
            <v>398.08373293699998</v>
          </cell>
          <cell r="F2006" t="str">
            <v>-</v>
          </cell>
          <cell r="G2006" t="str">
            <v>-</v>
          </cell>
          <cell r="H2006" t="str">
            <v>-</v>
          </cell>
          <cell r="I2006" t="str">
            <v>-</v>
          </cell>
          <cell r="J2006">
            <v>398.08373293699998</v>
          </cell>
          <cell r="K2006" t="str">
            <v>Small Cap</v>
          </cell>
        </row>
        <row r="2007">
          <cell r="C2007" t="str">
            <v>INE723D01021</v>
          </cell>
          <cell r="D2007" t="str">
            <v>RUDRAECO</v>
          </cell>
          <cell r="E2007">
            <v>396.546532571</v>
          </cell>
          <cell r="F2007" t="str">
            <v>-</v>
          </cell>
          <cell r="G2007" t="str">
            <v>-</v>
          </cell>
          <cell r="H2007" t="str">
            <v>-</v>
          </cell>
          <cell r="I2007" t="str">
            <v>-</v>
          </cell>
          <cell r="J2007">
            <v>396.546532571</v>
          </cell>
          <cell r="K2007" t="str">
            <v>Small Cap</v>
          </cell>
        </row>
        <row r="2008">
          <cell r="C2008" t="str">
            <v>INE977Y01011</v>
          </cell>
          <cell r="D2008" t="str">
            <v>BCONCEPTS</v>
          </cell>
          <cell r="E2008">
            <v>399.83059356999996</v>
          </cell>
          <cell r="F2008" t="str">
            <v>BCONCEPTS</v>
          </cell>
          <cell r="G2008">
            <v>392.23110000000003</v>
          </cell>
          <cell r="H2008" t="str">
            <v>-</v>
          </cell>
          <cell r="I2008" t="str">
            <v>-</v>
          </cell>
          <cell r="J2008">
            <v>396.03084678499999</v>
          </cell>
          <cell r="K2008" t="str">
            <v>Small Cap</v>
          </cell>
        </row>
        <row r="2009">
          <cell r="C2009" t="str">
            <v>INE512B01022</v>
          </cell>
          <cell r="D2009" t="str">
            <v>FCSSOFT</v>
          </cell>
          <cell r="E2009">
            <v>395.598728069</v>
          </cell>
          <cell r="F2009" t="str">
            <v>FCSSOFT</v>
          </cell>
          <cell r="G2009">
            <v>394.4726</v>
          </cell>
          <cell r="H2009" t="str">
            <v>-</v>
          </cell>
          <cell r="I2009" t="str">
            <v>-</v>
          </cell>
          <cell r="J2009">
            <v>395.03566403449997</v>
          </cell>
          <cell r="K2009" t="str">
            <v>Small Cap</v>
          </cell>
        </row>
        <row r="2010">
          <cell r="C2010" t="str">
            <v>INE518E01015</v>
          </cell>
          <cell r="D2010" t="str">
            <v>ZIMLAB</v>
          </cell>
          <cell r="E2010">
            <v>394.72482815799998</v>
          </cell>
          <cell r="F2010" t="str">
            <v>ZIMLAB</v>
          </cell>
          <cell r="G2010">
            <v>394.38</v>
          </cell>
          <cell r="H2010" t="str">
            <v>-</v>
          </cell>
          <cell r="I2010" t="str">
            <v>-</v>
          </cell>
          <cell r="J2010">
            <v>394.55241407899996</v>
          </cell>
          <cell r="K2010" t="str">
            <v>Small Cap</v>
          </cell>
        </row>
        <row r="2011">
          <cell r="C2011" t="str">
            <v>INE071F01012</v>
          </cell>
          <cell r="D2011" t="str">
            <v>APCL</v>
          </cell>
          <cell r="E2011">
            <v>394.06362472500001</v>
          </cell>
          <cell r="F2011" t="str">
            <v>APCL</v>
          </cell>
          <cell r="G2011">
            <v>393.57330000000002</v>
          </cell>
          <cell r="H2011" t="str">
            <v>-</v>
          </cell>
          <cell r="I2011" t="str">
            <v>-</v>
          </cell>
          <cell r="J2011">
            <v>393.81846236249999</v>
          </cell>
          <cell r="K2011" t="str">
            <v>Small Cap</v>
          </cell>
        </row>
        <row r="2012">
          <cell r="C2012" t="str">
            <v>INE748Z01013</v>
          </cell>
          <cell r="D2012" t="str">
            <v>-</v>
          </cell>
          <cell r="E2012" t="str">
            <v>-</v>
          </cell>
          <cell r="F2012" t="str">
            <v>SUMIT</v>
          </cell>
          <cell r="G2012">
            <v>393.44830000000002</v>
          </cell>
          <cell r="H2012" t="str">
            <v>-</v>
          </cell>
          <cell r="I2012" t="str">
            <v>-</v>
          </cell>
          <cell r="J2012">
            <v>393.44830000000002</v>
          </cell>
          <cell r="K2012" t="str">
            <v>Small Cap</v>
          </cell>
        </row>
        <row r="2013">
          <cell r="C2013" t="str">
            <v>INE886A01014</v>
          </cell>
          <cell r="D2013" t="str">
            <v>IITL</v>
          </cell>
          <cell r="E2013">
            <v>399.19900428599999</v>
          </cell>
          <cell r="F2013" t="str">
            <v>IITL</v>
          </cell>
          <cell r="G2013">
            <v>387.29939999999999</v>
          </cell>
          <cell r="H2013" t="str">
            <v>-</v>
          </cell>
          <cell r="I2013" t="str">
            <v>-</v>
          </cell>
          <cell r="J2013">
            <v>393.24920214299999</v>
          </cell>
          <cell r="K2013" t="str">
            <v>Small Cap</v>
          </cell>
        </row>
        <row r="2014">
          <cell r="C2014" t="str">
            <v>INE719F01016</v>
          </cell>
          <cell r="D2014" t="str">
            <v>-</v>
          </cell>
          <cell r="E2014" t="str">
            <v>-</v>
          </cell>
          <cell r="F2014" t="str">
            <v>SHIVAUM</v>
          </cell>
          <cell r="G2014">
            <v>393.11540000000002</v>
          </cell>
          <cell r="H2014" t="str">
            <v>-</v>
          </cell>
          <cell r="I2014" t="str">
            <v>-</v>
          </cell>
          <cell r="J2014">
            <v>393.11540000000002</v>
          </cell>
          <cell r="K2014" t="str">
            <v>Small Cap</v>
          </cell>
        </row>
        <row r="2015">
          <cell r="C2015" t="str">
            <v>INE835A01029</v>
          </cell>
          <cell r="D2015" t="str">
            <v>VARDMNPOLY</v>
          </cell>
          <cell r="E2015">
            <v>392.19412471999999</v>
          </cell>
          <cell r="F2015" t="str">
            <v>VARDMNPOLY</v>
          </cell>
          <cell r="G2015">
            <v>391.80439999999999</v>
          </cell>
          <cell r="H2015" t="str">
            <v>-</v>
          </cell>
          <cell r="I2015" t="str">
            <v>-</v>
          </cell>
          <cell r="J2015">
            <v>391.99926235999999</v>
          </cell>
          <cell r="K2015" t="str">
            <v>Small Cap</v>
          </cell>
        </row>
        <row r="2016">
          <cell r="C2016" t="str">
            <v>INE0Q1R01012</v>
          </cell>
          <cell r="D2016" t="str">
            <v>QLL</v>
          </cell>
          <cell r="E2016">
            <v>390.666959335</v>
          </cell>
          <cell r="F2016" t="str">
            <v>-</v>
          </cell>
          <cell r="G2016" t="str">
            <v>-</v>
          </cell>
          <cell r="H2016" t="str">
            <v>-</v>
          </cell>
          <cell r="I2016" t="str">
            <v>-</v>
          </cell>
          <cell r="J2016">
            <v>390.666959335</v>
          </cell>
          <cell r="K2016" t="str">
            <v>Small Cap</v>
          </cell>
        </row>
        <row r="2017">
          <cell r="C2017" t="str">
            <v>INE591A01010</v>
          </cell>
          <cell r="D2017" t="str">
            <v>OILCOUNTUB</v>
          </cell>
          <cell r="E2017">
            <v>391.00548858799999</v>
          </cell>
          <cell r="F2017" t="str">
            <v>OILCOUNTUB</v>
          </cell>
          <cell r="G2017">
            <v>388.3426</v>
          </cell>
          <cell r="H2017" t="str">
            <v>-</v>
          </cell>
          <cell r="I2017" t="str">
            <v>-</v>
          </cell>
          <cell r="J2017">
            <v>389.674044294</v>
          </cell>
          <cell r="K2017" t="str">
            <v>Small Cap</v>
          </cell>
        </row>
        <row r="2018">
          <cell r="C2018" t="str">
            <v>INE273D01019</v>
          </cell>
          <cell r="D2018" t="str">
            <v>VGL</v>
          </cell>
          <cell r="E2018">
            <v>389.56034860599999</v>
          </cell>
          <cell r="F2018" t="str">
            <v>VGL</v>
          </cell>
          <cell r="G2018">
            <v>387.89960000000002</v>
          </cell>
          <cell r="H2018" t="str">
            <v>-</v>
          </cell>
          <cell r="I2018" t="str">
            <v>-</v>
          </cell>
          <cell r="J2018">
            <v>388.72997430300001</v>
          </cell>
          <cell r="K2018" t="str">
            <v>Small Cap</v>
          </cell>
        </row>
        <row r="2019">
          <cell r="C2019" t="str">
            <v>INE748C01038</v>
          </cell>
          <cell r="D2019" t="str">
            <v>3IINFOLTD</v>
          </cell>
          <cell r="E2019">
            <v>387.52961612299998</v>
          </cell>
          <cell r="F2019" t="str">
            <v>3IINFOLTD</v>
          </cell>
          <cell r="G2019">
            <v>387.37720000000002</v>
          </cell>
          <cell r="H2019" t="str">
            <v>-</v>
          </cell>
          <cell r="I2019" t="str">
            <v>-</v>
          </cell>
          <cell r="J2019">
            <v>387.4534080615</v>
          </cell>
          <cell r="K2019" t="str">
            <v>Small Cap</v>
          </cell>
        </row>
        <row r="2020">
          <cell r="C2020" t="str">
            <v>INE802G01018</v>
          </cell>
          <cell r="D2020" t="str">
            <v>JETAIRWAYS</v>
          </cell>
          <cell r="E2020">
            <v>386.685491732</v>
          </cell>
          <cell r="F2020" t="str">
            <v>-</v>
          </cell>
          <cell r="G2020" t="str">
            <v>-</v>
          </cell>
          <cell r="H2020" t="str">
            <v>-</v>
          </cell>
          <cell r="I2020" t="str">
            <v>-</v>
          </cell>
          <cell r="J2020">
            <v>386.685491732</v>
          </cell>
          <cell r="K2020" t="str">
            <v>Small Cap</v>
          </cell>
        </row>
        <row r="2021">
          <cell r="C2021" t="str">
            <v>INE020G01017</v>
          </cell>
          <cell r="D2021" t="str">
            <v>INSPIRISYS</v>
          </cell>
          <cell r="E2021">
            <v>387.19865246199998</v>
          </cell>
          <cell r="F2021" t="str">
            <v>INSPIRISYS</v>
          </cell>
          <cell r="G2021">
            <v>384.79020000000003</v>
          </cell>
          <cell r="H2021" t="str">
            <v>-</v>
          </cell>
          <cell r="I2021" t="str">
            <v>-</v>
          </cell>
          <cell r="J2021">
            <v>385.99442623100003</v>
          </cell>
          <cell r="K2021" t="str">
            <v>Small Cap</v>
          </cell>
        </row>
        <row r="2022">
          <cell r="C2022" t="str">
            <v>INE0A1101019</v>
          </cell>
          <cell r="D2022" t="str">
            <v>DCI</v>
          </cell>
          <cell r="E2022">
            <v>386.63000873000004</v>
          </cell>
          <cell r="F2022" t="str">
            <v>DCI</v>
          </cell>
          <cell r="G2022">
            <v>385.20350000000002</v>
          </cell>
          <cell r="H2022" t="str">
            <v>-</v>
          </cell>
          <cell r="I2022" t="str">
            <v>-</v>
          </cell>
          <cell r="J2022">
            <v>385.91675436500003</v>
          </cell>
          <cell r="K2022" t="str">
            <v>Small Cap</v>
          </cell>
        </row>
        <row r="2023">
          <cell r="C2023" t="str">
            <v>INE0IZQ01016</v>
          </cell>
          <cell r="D2023" t="str">
            <v>BRRL</v>
          </cell>
          <cell r="E2023">
            <v>385.58867180999999</v>
          </cell>
          <cell r="F2023" t="str">
            <v>-</v>
          </cell>
          <cell r="G2023" t="str">
            <v>-</v>
          </cell>
          <cell r="H2023" t="str">
            <v>-</v>
          </cell>
          <cell r="I2023" t="str">
            <v>-</v>
          </cell>
          <cell r="J2023">
            <v>385.58867180999999</v>
          </cell>
          <cell r="K2023" t="str">
            <v>Small Cap</v>
          </cell>
        </row>
        <row r="2024">
          <cell r="C2024" t="str">
            <v>INE334C01029</v>
          </cell>
          <cell r="D2024" t="str">
            <v>EVERESTO</v>
          </cell>
          <cell r="E2024">
            <v>384.131839012</v>
          </cell>
          <cell r="F2024" t="str">
            <v>-</v>
          </cell>
          <cell r="G2024" t="str">
            <v>-</v>
          </cell>
          <cell r="H2024" t="str">
            <v>-</v>
          </cell>
          <cell r="I2024" t="str">
            <v>-</v>
          </cell>
          <cell r="J2024">
            <v>384.131839012</v>
          </cell>
          <cell r="K2024" t="str">
            <v>Small Cap</v>
          </cell>
        </row>
        <row r="2025">
          <cell r="C2025" t="str">
            <v>INE0N6U01018</v>
          </cell>
          <cell r="D2025" t="str">
            <v>KALYANI</v>
          </cell>
          <cell r="E2025">
            <v>383.80142922600004</v>
          </cell>
          <cell r="F2025" t="str">
            <v>-</v>
          </cell>
          <cell r="G2025" t="str">
            <v>-</v>
          </cell>
          <cell r="H2025" t="str">
            <v>-</v>
          </cell>
          <cell r="I2025" t="str">
            <v>-</v>
          </cell>
          <cell r="J2025">
            <v>383.80142922600004</v>
          </cell>
          <cell r="K2025" t="str">
            <v>Small Cap</v>
          </cell>
        </row>
        <row r="2026">
          <cell r="C2026" t="str">
            <v>INE330H01018</v>
          </cell>
          <cell r="D2026" t="str">
            <v>RCOM</v>
          </cell>
          <cell r="E2026">
            <v>385.17729757500001</v>
          </cell>
          <cell r="F2026" t="str">
            <v>RCOM</v>
          </cell>
          <cell r="G2026">
            <v>380.15109999999999</v>
          </cell>
          <cell r="H2026" t="str">
            <v>-</v>
          </cell>
          <cell r="I2026" t="str">
            <v>-</v>
          </cell>
          <cell r="J2026">
            <v>382.66419878750003</v>
          </cell>
          <cell r="K2026" t="str">
            <v>Small Cap</v>
          </cell>
        </row>
        <row r="2027">
          <cell r="C2027" t="str">
            <v>INE637H01024</v>
          </cell>
          <cell r="D2027" t="str">
            <v>SHIVAMAUTO</v>
          </cell>
          <cell r="E2027">
            <v>382.482022008</v>
          </cell>
          <cell r="F2027" t="str">
            <v>SHIVAMAUTO</v>
          </cell>
          <cell r="G2027">
            <v>382.45909999999998</v>
          </cell>
          <cell r="H2027" t="str">
            <v>-</v>
          </cell>
          <cell r="I2027" t="str">
            <v>-</v>
          </cell>
          <cell r="J2027">
            <v>382.47056100399999</v>
          </cell>
          <cell r="K2027" t="str">
            <v>Small Cap</v>
          </cell>
        </row>
        <row r="2028">
          <cell r="C2028" t="str">
            <v>INE313M01030</v>
          </cell>
          <cell r="D2028" t="str">
            <v>EVEXIA</v>
          </cell>
          <cell r="E2028">
            <v>381.05308767600002</v>
          </cell>
          <cell r="F2028" t="str">
            <v>-</v>
          </cell>
          <cell r="G2028" t="str">
            <v>-</v>
          </cell>
          <cell r="H2028" t="str">
            <v>-</v>
          </cell>
          <cell r="I2028" t="str">
            <v>-</v>
          </cell>
          <cell r="J2028">
            <v>381.05308767600002</v>
          </cell>
          <cell r="K2028" t="str">
            <v>Small Cap</v>
          </cell>
        </row>
        <row r="2029">
          <cell r="C2029" t="str">
            <v>INE0BSU01018</v>
          </cell>
          <cell r="D2029" t="str">
            <v>LOGICA</v>
          </cell>
          <cell r="E2029">
            <v>380.85693327299998</v>
          </cell>
          <cell r="F2029" t="str">
            <v>-</v>
          </cell>
          <cell r="G2029" t="str">
            <v>-</v>
          </cell>
          <cell r="H2029" t="str">
            <v>-</v>
          </cell>
          <cell r="I2029" t="str">
            <v>-</v>
          </cell>
          <cell r="J2029">
            <v>380.85693327299998</v>
          </cell>
          <cell r="K2029" t="str">
            <v>Small Cap</v>
          </cell>
        </row>
        <row r="2030">
          <cell r="C2030" t="str">
            <v>INE870Z01015</v>
          </cell>
          <cell r="D2030" t="str">
            <v>INNOVATORS</v>
          </cell>
          <cell r="E2030">
            <v>380.131674455</v>
          </cell>
          <cell r="F2030" t="str">
            <v>-</v>
          </cell>
          <cell r="G2030" t="str">
            <v>-</v>
          </cell>
          <cell r="H2030" t="str">
            <v>-</v>
          </cell>
          <cell r="I2030" t="str">
            <v>-</v>
          </cell>
          <cell r="J2030">
            <v>380.131674455</v>
          </cell>
          <cell r="K2030" t="str">
            <v>Small Cap</v>
          </cell>
        </row>
        <row r="2031">
          <cell r="C2031" t="str">
            <v>INE630Y01024</v>
          </cell>
          <cell r="D2031" t="str">
            <v>MEDICO</v>
          </cell>
          <cell r="E2031">
            <v>379.98768761899998</v>
          </cell>
          <cell r="F2031" t="str">
            <v>MEDICO</v>
          </cell>
          <cell r="G2031">
            <v>378.8048</v>
          </cell>
          <cell r="H2031" t="str">
            <v>-</v>
          </cell>
          <cell r="I2031" t="str">
            <v>-</v>
          </cell>
          <cell r="J2031">
            <v>379.39624380949999</v>
          </cell>
          <cell r="K2031" t="str">
            <v>Small Cap</v>
          </cell>
        </row>
        <row r="2032">
          <cell r="C2032" t="str">
            <v>INE0S2G01011</v>
          </cell>
          <cell r="D2032" t="str">
            <v>BALAJEE</v>
          </cell>
          <cell r="E2032">
            <v>378.763893059</v>
          </cell>
          <cell r="F2032" t="str">
            <v>BALAJEE</v>
          </cell>
          <cell r="G2032">
            <v>378.67579999999998</v>
          </cell>
          <cell r="H2032" t="str">
            <v>-</v>
          </cell>
          <cell r="I2032" t="str">
            <v>-</v>
          </cell>
          <cell r="J2032">
            <v>378.71984652949999</v>
          </cell>
          <cell r="K2032" t="str">
            <v>Small Cap</v>
          </cell>
        </row>
        <row r="2033">
          <cell r="C2033" t="str">
            <v>INE443P01038</v>
          </cell>
          <cell r="D2033" t="str">
            <v>PERVASIVE</v>
          </cell>
          <cell r="E2033">
            <v>378.28549714299999</v>
          </cell>
          <cell r="F2033" t="str">
            <v>-</v>
          </cell>
          <cell r="G2033" t="str">
            <v>-</v>
          </cell>
          <cell r="H2033" t="str">
            <v>-</v>
          </cell>
          <cell r="I2033" t="str">
            <v>-</v>
          </cell>
          <cell r="J2033">
            <v>378.28549714299999</v>
          </cell>
          <cell r="K2033" t="str">
            <v>Small Cap</v>
          </cell>
        </row>
        <row r="2034">
          <cell r="C2034" t="str">
            <v>INE650L01011</v>
          </cell>
          <cell r="D2034" t="str">
            <v>BROOKS</v>
          </cell>
          <cell r="E2034">
            <v>377.492295243</v>
          </cell>
          <cell r="F2034" t="str">
            <v>BROOKS</v>
          </cell>
          <cell r="G2034">
            <v>376.90460000000002</v>
          </cell>
          <cell r="H2034" t="str">
            <v>-</v>
          </cell>
          <cell r="I2034" t="str">
            <v>-</v>
          </cell>
          <cell r="J2034">
            <v>377.19844762150001</v>
          </cell>
          <cell r="K2034" t="str">
            <v>Small Cap</v>
          </cell>
        </row>
        <row r="2035">
          <cell r="C2035" t="str">
            <v>INE059901020</v>
          </cell>
          <cell r="D2035" t="str">
            <v>IEL</v>
          </cell>
          <cell r="E2035">
            <v>376.65297602499999</v>
          </cell>
          <cell r="F2035" t="str">
            <v>-</v>
          </cell>
          <cell r="G2035" t="str">
            <v>-</v>
          </cell>
          <cell r="H2035" t="str">
            <v>-</v>
          </cell>
          <cell r="I2035" t="str">
            <v>-</v>
          </cell>
          <cell r="J2035">
            <v>376.65297602499999</v>
          </cell>
          <cell r="K2035" t="str">
            <v>Small Cap</v>
          </cell>
        </row>
        <row r="2036">
          <cell r="C2036" t="str">
            <v>INE00SY01011</v>
          </cell>
          <cell r="D2036" t="str">
            <v>SUPERSHAKT</v>
          </cell>
          <cell r="E2036">
            <v>375.87590376399999</v>
          </cell>
          <cell r="F2036" t="str">
            <v>-</v>
          </cell>
          <cell r="G2036" t="str">
            <v>-</v>
          </cell>
          <cell r="H2036" t="str">
            <v>-</v>
          </cell>
          <cell r="I2036" t="str">
            <v>-</v>
          </cell>
          <cell r="J2036">
            <v>375.87590376399999</v>
          </cell>
          <cell r="K2036" t="str">
            <v>Small Cap</v>
          </cell>
        </row>
        <row r="2037">
          <cell r="C2037" t="str">
            <v>INE756C01015</v>
          </cell>
          <cell r="D2037" t="str">
            <v>-</v>
          </cell>
          <cell r="E2037" t="str">
            <v>-</v>
          </cell>
          <cell r="F2037" t="str">
            <v>NDGL</v>
          </cell>
          <cell r="G2037">
            <v>375.6327</v>
          </cell>
          <cell r="H2037" t="str">
            <v>-</v>
          </cell>
          <cell r="I2037" t="str">
            <v>-</v>
          </cell>
          <cell r="J2037">
            <v>375.6327</v>
          </cell>
          <cell r="K2037" t="str">
            <v>Small Cap</v>
          </cell>
        </row>
        <row r="2038">
          <cell r="C2038" t="str">
            <v>INE807H01023</v>
          </cell>
          <cell r="D2038" t="str">
            <v>MARBLE</v>
          </cell>
          <cell r="E2038">
            <v>374.38151394599998</v>
          </cell>
          <cell r="F2038" t="str">
            <v>-</v>
          </cell>
          <cell r="G2038" t="str">
            <v>-</v>
          </cell>
          <cell r="H2038" t="str">
            <v>-</v>
          </cell>
          <cell r="I2038" t="str">
            <v>-</v>
          </cell>
          <cell r="J2038">
            <v>374.38151394599998</v>
          </cell>
          <cell r="K2038" t="str">
            <v>Small Cap</v>
          </cell>
        </row>
        <row r="2039">
          <cell r="C2039" t="str">
            <v>INE397H01017</v>
          </cell>
          <cell r="D2039" t="str">
            <v>LOKESHMACH</v>
          </cell>
          <cell r="E2039">
            <v>375.14758365100005</v>
          </cell>
          <cell r="F2039" t="str">
            <v>LOKESHMACH</v>
          </cell>
          <cell r="G2039">
            <v>373.45769999999999</v>
          </cell>
          <cell r="H2039" t="str">
            <v>-</v>
          </cell>
          <cell r="I2039" t="str">
            <v>-</v>
          </cell>
          <cell r="J2039">
            <v>374.30264182550002</v>
          </cell>
          <cell r="K2039" t="str">
            <v>Small Cap</v>
          </cell>
        </row>
        <row r="2040">
          <cell r="C2040" t="str">
            <v>INE14LM01012</v>
          </cell>
          <cell r="D2040" t="str">
            <v>PAJSON</v>
          </cell>
          <cell r="E2040">
            <v>373.797413947</v>
          </cell>
          <cell r="F2040" t="str">
            <v>-</v>
          </cell>
          <cell r="G2040" t="str">
            <v>-</v>
          </cell>
          <cell r="H2040" t="str">
            <v>-</v>
          </cell>
          <cell r="I2040" t="str">
            <v>-</v>
          </cell>
          <cell r="J2040">
            <v>373.797413947</v>
          </cell>
          <cell r="K2040" t="str">
            <v>Small Cap</v>
          </cell>
        </row>
        <row r="2041">
          <cell r="C2041" t="str">
            <v>INE14VP01014</v>
          </cell>
          <cell r="D2041" t="str">
            <v>JDCABLES</v>
          </cell>
          <cell r="E2041">
            <v>372.173643626</v>
          </cell>
          <cell r="F2041" t="str">
            <v>-</v>
          </cell>
          <cell r="G2041" t="str">
            <v>-</v>
          </cell>
          <cell r="H2041" t="str">
            <v>-</v>
          </cell>
          <cell r="I2041" t="str">
            <v>-</v>
          </cell>
          <cell r="J2041">
            <v>372.173643626</v>
          </cell>
          <cell r="K2041" t="str">
            <v>Small Cap</v>
          </cell>
        </row>
        <row r="2042">
          <cell r="C2042" t="str">
            <v>INE424C01010</v>
          </cell>
          <cell r="D2042" t="str">
            <v>GINNIFILA</v>
          </cell>
          <cell r="E2042">
            <v>360.86616077799999</v>
          </cell>
          <cell r="F2042" t="str">
            <v>GINNIFILA</v>
          </cell>
          <cell r="G2042">
            <v>380.98509999999999</v>
          </cell>
          <cell r="H2042" t="str">
            <v>-</v>
          </cell>
          <cell r="I2042" t="str">
            <v>-</v>
          </cell>
          <cell r="J2042">
            <v>370.92563038899999</v>
          </cell>
          <cell r="K2042" t="str">
            <v>Small Cap</v>
          </cell>
        </row>
        <row r="2043">
          <cell r="C2043" t="str">
            <v>INE023H01027</v>
          </cell>
          <cell r="D2043" t="str">
            <v>NECLIFE</v>
          </cell>
          <cell r="E2043">
            <v>369.81167907700001</v>
          </cell>
          <cell r="F2043" t="str">
            <v>NECLIFE</v>
          </cell>
          <cell r="G2043">
            <v>369.17090000000002</v>
          </cell>
          <cell r="H2043" t="str">
            <v>-</v>
          </cell>
          <cell r="I2043" t="str">
            <v>-</v>
          </cell>
          <cell r="J2043">
            <v>369.49128953850004</v>
          </cell>
          <cell r="K2043" t="str">
            <v>Small Cap</v>
          </cell>
        </row>
        <row r="2044">
          <cell r="C2044" t="str">
            <v>INE01TL01014</v>
          </cell>
          <cell r="D2044" t="str">
            <v>BOMOXY-B1</v>
          </cell>
          <cell r="E2044">
            <v>369.04036309499998</v>
          </cell>
          <cell r="F2044" t="str">
            <v>-</v>
          </cell>
          <cell r="G2044" t="str">
            <v>-</v>
          </cell>
          <cell r="H2044" t="str">
            <v>-</v>
          </cell>
          <cell r="I2044" t="str">
            <v>-</v>
          </cell>
          <cell r="J2044">
            <v>369.04036309499998</v>
          </cell>
          <cell r="K2044" t="str">
            <v>Small Cap</v>
          </cell>
        </row>
        <row r="2045">
          <cell r="C2045" t="str">
            <v>INE834D01018</v>
          </cell>
          <cell r="D2045" t="str">
            <v>VIPULORG</v>
          </cell>
          <cell r="E2045">
            <v>368.82485215200001</v>
          </cell>
          <cell r="F2045" t="str">
            <v>-</v>
          </cell>
          <cell r="G2045" t="str">
            <v>-</v>
          </cell>
          <cell r="H2045" t="str">
            <v>-</v>
          </cell>
          <cell r="I2045" t="str">
            <v>-</v>
          </cell>
          <cell r="J2045">
            <v>368.82485215200001</v>
          </cell>
          <cell r="K2045" t="str">
            <v>Small Cap</v>
          </cell>
        </row>
        <row r="2046">
          <cell r="C2046" t="str">
            <v>INE0GFE01026</v>
          </cell>
          <cell r="D2046" t="str">
            <v>EXXARO</v>
          </cell>
          <cell r="E2046">
            <v>368.93628357099999</v>
          </cell>
          <cell r="F2046" t="str">
            <v>EXXARO</v>
          </cell>
          <cell r="G2046">
            <v>368.54570000000001</v>
          </cell>
          <cell r="H2046" t="str">
            <v>-</v>
          </cell>
          <cell r="I2046" t="str">
            <v>-</v>
          </cell>
          <cell r="J2046">
            <v>368.7409917855</v>
          </cell>
          <cell r="K2046" t="str">
            <v>Small Cap</v>
          </cell>
        </row>
        <row r="2047">
          <cell r="C2047" t="str">
            <v>INE110A01019</v>
          </cell>
          <cell r="D2047" t="str">
            <v>BPL</v>
          </cell>
          <cell r="E2047">
            <v>368.57284459699997</v>
          </cell>
          <cell r="F2047" t="str">
            <v>BPL</v>
          </cell>
          <cell r="G2047">
            <v>368.4049</v>
          </cell>
          <cell r="H2047" t="str">
            <v>-</v>
          </cell>
          <cell r="I2047" t="str">
            <v>-</v>
          </cell>
          <cell r="J2047">
            <v>368.48887229849998</v>
          </cell>
          <cell r="K2047" t="str">
            <v>Small Cap</v>
          </cell>
        </row>
        <row r="2048">
          <cell r="C2048" t="str">
            <v>INE391D01019</v>
          </cell>
          <cell r="D2048" t="str">
            <v>TRF</v>
          </cell>
          <cell r="E2048">
            <v>367.53161913700001</v>
          </cell>
          <cell r="F2048" t="str">
            <v>TRF</v>
          </cell>
          <cell r="G2048">
            <v>367.31639999999999</v>
          </cell>
          <cell r="H2048" t="str">
            <v>-</v>
          </cell>
          <cell r="I2048" t="str">
            <v>-</v>
          </cell>
          <cell r="J2048">
            <v>367.42400956849997</v>
          </cell>
          <cell r="K2048" t="str">
            <v>Small Cap</v>
          </cell>
        </row>
        <row r="2049">
          <cell r="C2049" t="str">
            <v>INE281E01028</v>
          </cell>
          <cell r="D2049" t="str">
            <v>MINID</v>
          </cell>
          <cell r="E2049">
            <v>367.29567910599997</v>
          </cell>
          <cell r="F2049" t="str">
            <v>-</v>
          </cell>
          <cell r="G2049" t="str">
            <v>-</v>
          </cell>
          <cell r="H2049" t="str">
            <v>-</v>
          </cell>
          <cell r="I2049" t="str">
            <v>-</v>
          </cell>
          <cell r="J2049">
            <v>367.29567910599997</v>
          </cell>
          <cell r="K2049" t="str">
            <v>Small Cap</v>
          </cell>
        </row>
        <row r="2050">
          <cell r="C2050" t="str">
            <v>INE0SUM01015</v>
          </cell>
          <cell r="D2050" t="str">
            <v>ZAPPFRESH</v>
          </cell>
          <cell r="E2050">
            <v>366.74736786699998</v>
          </cell>
          <cell r="F2050" t="str">
            <v>-</v>
          </cell>
          <cell r="G2050" t="str">
            <v>-</v>
          </cell>
          <cell r="H2050" t="str">
            <v>-</v>
          </cell>
          <cell r="I2050" t="str">
            <v>-</v>
          </cell>
          <cell r="J2050">
            <v>366.74736786699998</v>
          </cell>
          <cell r="K2050" t="str">
            <v>Small Cap</v>
          </cell>
        </row>
        <row r="2051">
          <cell r="C2051" t="str">
            <v>INE050N01010</v>
          </cell>
          <cell r="D2051" t="str">
            <v>KINGSINFR</v>
          </cell>
          <cell r="E2051">
            <v>366.62973271599998</v>
          </cell>
          <cell r="F2051" t="str">
            <v>-</v>
          </cell>
          <cell r="G2051" t="str">
            <v>-</v>
          </cell>
          <cell r="H2051" t="str">
            <v>-</v>
          </cell>
          <cell r="I2051" t="str">
            <v>-</v>
          </cell>
          <cell r="J2051">
            <v>366.62973271599998</v>
          </cell>
          <cell r="K2051" t="str">
            <v>Small Cap</v>
          </cell>
        </row>
        <row r="2052">
          <cell r="C2052" t="str">
            <v>INE262B01016</v>
          </cell>
          <cell r="D2052" t="str">
            <v>ITHL</v>
          </cell>
          <cell r="E2052">
            <v>366.334003849</v>
          </cell>
          <cell r="F2052" t="str">
            <v>-</v>
          </cell>
          <cell r="G2052" t="str">
            <v>-</v>
          </cell>
          <cell r="H2052" t="str">
            <v>-</v>
          </cell>
          <cell r="I2052" t="str">
            <v>-</v>
          </cell>
          <cell r="J2052">
            <v>366.334003849</v>
          </cell>
          <cell r="K2052" t="str">
            <v>Small Cap</v>
          </cell>
        </row>
        <row r="2053">
          <cell r="C2053" t="str">
            <v>INE545L01039</v>
          </cell>
          <cell r="D2053" t="str">
            <v>MANCREDIT</v>
          </cell>
          <cell r="E2053">
            <v>368.19671713899999</v>
          </cell>
          <cell r="F2053" t="str">
            <v>MANCREDIT</v>
          </cell>
          <cell r="G2053">
            <v>364.35579999999999</v>
          </cell>
          <cell r="H2053" t="str">
            <v>-</v>
          </cell>
          <cell r="I2053" t="str">
            <v>-</v>
          </cell>
          <cell r="J2053">
            <v>366.27625856949999</v>
          </cell>
          <cell r="K2053" t="str">
            <v>Small Cap</v>
          </cell>
        </row>
        <row r="2054">
          <cell r="C2054" t="str">
            <v>INE005E01013</v>
          </cell>
          <cell r="D2054" t="str">
            <v>EKANSH</v>
          </cell>
          <cell r="E2054">
            <v>365.96185666700001</v>
          </cell>
          <cell r="F2054" t="str">
            <v>-</v>
          </cell>
          <cell r="G2054" t="str">
            <v>-</v>
          </cell>
          <cell r="H2054" t="str">
            <v>-</v>
          </cell>
          <cell r="I2054" t="str">
            <v>-</v>
          </cell>
          <cell r="J2054">
            <v>365.96185666700001</v>
          </cell>
          <cell r="K2054" t="str">
            <v>Small Cap</v>
          </cell>
        </row>
        <row r="2055">
          <cell r="C2055" t="str">
            <v>INE813G01023</v>
          </cell>
          <cell r="D2055" t="str">
            <v>KAYCEEI</v>
          </cell>
          <cell r="E2055">
            <v>365.94963384899995</v>
          </cell>
          <cell r="F2055" t="str">
            <v>-</v>
          </cell>
          <cell r="G2055" t="str">
            <v>-</v>
          </cell>
          <cell r="H2055" t="str">
            <v>-</v>
          </cell>
          <cell r="I2055" t="str">
            <v>-</v>
          </cell>
          <cell r="J2055">
            <v>365.94963384899995</v>
          </cell>
          <cell r="K2055" t="str">
            <v>Small Cap</v>
          </cell>
        </row>
        <row r="2056">
          <cell r="C2056" t="str">
            <v>INE320X01016</v>
          </cell>
          <cell r="D2056" t="str">
            <v>HALEOSLABS</v>
          </cell>
          <cell r="E2056">
            <v>365.32056424899997</v>
          </cell>
          <cell r="F2056" t="str">
            <v>HALEOSLABS</v>
          </cell>
          <cell r="G2056">
            <v>364.91550000000001</v>
          </cell>
          <cell r="H2056" t="str">
            <v>-</v>
          </cell>
          <cell r="I2056" t="str">
            <v>-</v>
          </cell>
          <cell r="J2056">
            <v>365.11803212450002</v>
          </cell>
          <cell r="K2056" t="str">
            <v>Small Cap</v>
          </cell>
        </row>
        <row r="2057">
          <cell r="C2057" t="str">
            <v>INE544A01019</v>
          </cell>
          <cell r="D2057" t="str">
            <v>HARRMALAYA</v>
          </cell>
          <cell r="E2057">
            <v>364.49571346499999</v>
          </cell>
          <cell r="F2057" t="str">
            <v>HARRMALAYA</v>
          </cell>
          <cell r="G2057">
            <v>364.49669999999998</v>
          </cell>
          <cell r="H2057" t="str">
            <v>-</v>
          </cell>
          <cell r="I2057" t="str">
            <v>-</v>
          </cell>
          <cell r="J2057">
            <v>364.49620673250001</v>
          </cell>
          <cell r="K2057" t="str">
            <v>Small Cap</v>
          </cell>
        </row>
        <row r="2058">
          <cell r="C2058" t="str">
            <v>INE568Z01015</v>
          </cell>
          <cell r="D2058" t="str">
            <v>URAVIDEF</v>
          </cell>
          <cell r="E2058">
            <v>366.780593651</v>
          </cell>
          <cell r="F2058" t="str">
            <v>URAVIDEF</v>
          </cell>
          <cell r="G2058">
            <v>362.02050000000003</v>
          </cell>
          <cell r="H2058" t="str">
            <v>-</v>
          </cell>
          <cell r="I2058" t="str">
            <v>-</v>
          </cell>
          <cell r="J2058">
            <v>364.40054682549999</v>
          </cell>
          <cell r="K2058" t="str">
            <v>Small Cap</v>
          </cell>
        </row>
        <row r="2059">
          <cell r="C2059" t="str">
            <v>INE228I01012</v>
          </cell>
          <cell r="D2059" t="str">
            <v>ASAHISONG</v>
          </cell>
          <cell r="E2059">
            <v>363.91908504099996</v>
          </cell>
          <cell r="F2059" t="str">
            <v>ASAHISONG</v>
          </cell>
          <cell r="G2059">
            <v>362.86849999999998</v>
          </cell>
          <cell r="H2059" t="str">
            <v>-</v>
          </cell>
          <cell r="I2059" t="str">
            <v>-</v>
          </cell>
          <cell r="J2059">
            <v>363.39379252049997</v>
          </cell>
          <cell r="K2059" t="str">
            <v>Small Cap</v>
          </cell>
        </row>
        <row r="2060">
          <cell r="C2060" t="str">
            <v>INE1E4401010</v>
          </cell>
          <cell r="D2060" t="str">
            <v>EXATO</v>
          </cell>
          <cell r="E2060">
            <v>363.19493285300001</v>
          </cell>
          <cell r="F2060" t="str">
            <v>-</v>
          </cell>
          <cell r="G2060" t="str">
            <v>-</v>
          </cell>
          <cell r="H2060" t="str">
            <v>-</v>
          </cell>
          <cell r="I2060" t="str">
            <v>-</v>
          </cell>
          <cell r="J2060">
            <v>363.19493285300001</v>
          </cell>
          <cell r="K2060" t="str">
            <v>Small Cap</v>
          </cell>
        </row>
        <row r="2061">
          <cell r="C2061" t="str">
            <v>INE0T3401029</v>
          </cell>
          <cell r="D2061" t="str">
            <v>ACLD</v>
          </cell>
          <cell r="E2061">
            <v>363.081942857</v>
          </cell>
          <cell r="F2061" t="str">
            <v>-</v>
          </cell>
          <cell r="G2061" t="str">
            <v>-</v>
          </cell>
          <cell r="H2061" t="str">
            <v>-</v>
          </cell>
          <cell r="I2061" t="str">
            <v>-</v>
          </cell>
          <cell r="J2061">
            <v>363.081942857</v>
          </cell>
          <cell r="K2061" t="str">
            <v>Small Cap</v>
          </cell>
        </row>
        <row r="2062">
          <cell r="C2062" t="str">
            <v>INE291W01037</v>
          </cell>
          <cell r="D2062" t="str">
            <v>-</v>
          </cell>
          <cell r="E2062" t="str">
            <v>-</v>
          </cell>
          <cell r="F2062" t="str">
            <v>GLOBAL</v>
          </cell>
          <cell r="G2062">
            <v>362.13310000000001</v>
          </cell>
          <cell r="H2062" t="str">
            <v>-</v>
          </cell>
          <cell r="I2062" t="str">
            <v>-</v>
          </cell>
          <cell r="J2062">
            <v>362.13310000000001</v>
          </cell>
          <cell r="K2062" t="str">
            <v>Small Cap</v>
          </cell>
        </row>
        <row r="2063">
          <cell r="C2063" t="str">
            <v>INE084Q01012</v>
          </cell>
          <cell r="D2063" t="str">
            <v>RACE</v>
          </cell>
          <cell r="E2063">
            <v>361.03432019000002</v>
          </cell>
          <cell r="F2063" t="str">
            <v>RACE</v>
          </cell>
          <cell r="G2063">
            <v>360.83519999999999</v>
          </cell>
          <cell r="H2063" t="str">
            <v>-</v>
          </cell>
          <cell r="I2063" t="str">
            <v>-</v>
          </cell>
          <cell r="J2063">
            <v>360.934760095</v>
          </cell>
          <cell r="K2063" t="str">
            <v>Small Cap</v>
          </cell>
        </row>
        <row r="2064">
          <cell r="C2064" t="str">
            <v>INE138C01024</v>
          </cell>
          <cell r="D2064" t="str">
            <v>KANORICHEM</v>
          </cell>
          <cell r="E2064">
            <v>360.61425460300001</v>
          </cell>
          <cell r="F2064" t="str">
            <v>KANORICHEM</v>
          </cell>
          <cell r="G2064">
            <v>359.40120000000002</v>
          </cell>
          <cell r="H2064" t="str">
            <v>-</v>
          </cell>
          <cell r="I2064" t="str">
            <v>-</v>
          </cell>
          <cell r="J2064">
            <v>360.00772730150004</v>
          </cell>
          <cell r="K2064" t="str">
            <v>Small Cap</v>
          </cell>
        </row>
        <row r="2065">
          <cell r="C2065" t="str">
            <v>INE0V0L01028</v>
          </cell>
          <cell r="D2065" t="str">
            <v>MSECL</v>
          </cell>
          <cell r="E2065">
            <v>359.10232999999999</v>
          </cell>
          <cell r="F2065" t="str">
            <v>-</v>
          </cell>
          <cell r="G2065" t="str">
            <v>-</v>
          </cell>
          <cell r="H2065" t="str">
            <v>-</v>
          </cell>
          <cell r="I2065" t="str">
            <v>-</v>
          </cell>
          <cell r="J2065">
            <v>359.10232999999999</v>
          </cell>
          <cell r="K2065" t="str">
            <v>Small Cap</v>
          </cell>
        </row>
        <row r="2066">
          <cell r="C2066" t="str">
            <v>INE551B01012</v>
          </cell>
          <cell r="D2066" t="str">
            <v>UDAYJEW</v>
          </cell>
          <cell r="E2066">
            <v>358.82082191300003</v>
          </cell>
          <cell r="F2066" t="str">
            <v>-</v>
          </cell>
          <cell r="G2066" t="str">
            <v>-</v>
          </cell>
          <cell r="H2066" t="str">
            <v>-</v>
          </cell>
          <cell r="I2066" t="str">
            <v>-</v>
          </cell>
          <cell r="J2066">
            <v>358.82082191300003</v>
          </cell>
          <cell r="K2066" t="str">
            <v>Small Cap</v>
          </cell>
        </row>
        <row r="2067">
          <cell r="C2067" t="str">
            <v>INE0FW001016</v>
          </cell>
          <cell r="D2067" t="str">
            <v>MARKOLINES</v>
          </cell>
          <cell r="E2067">
            <v>354.71018682099998</v>
          </cell>
          <cell r="F2067" t="str">
            <v>MARKOLINES</v>
          </cell>
          <cell r="G2067">
            <v>357.66699999999997</v>
          </cell>
          <cell r="H2067" t="str">
            <v>-</v>
          </cell>
          <cell r="I2067" t="str">
            <v>-</v>
          </cell>
          <cell r="J2067">
            <v>356.18859341049995</v>
          </cell>
          <cell r="K2067" t="str">
            <v>Small Cap</v>
          </cell>
        </row>
        <row r="2068">
          <cell r="C2068" t="str">
            <v>INE914E01040</v>
          </cell>
          <cell r="D2068" t="str">
            <v>ALANKIT</v>
          </cell>
          <cell r="E2068">
            <v>356.26731062499999</v>
          </cell>
          <cell r="F2068" t="str">
            <v>ALANKIT</v>
          </cell>
          <cell r="G2068">
            <v>356.08870000000002</v>
          </cell>
          <cell r="H2068" t="str">
            <v>-</v>
          </cell>
          <cell r="I2068" t="str">
            <v>-</v>
          </cell>
          <cell r="J2068">
            <v>356.17800531249998</v>
          </cell>
          <cell r="K2068" t="str">
            <v>Small Cap</v>
          </cell>
        </row>
        <row r="2069">
          <cell r="C2069" t="str">
            <v>INE0AK901016</v>
          </cell>
          <cell r="D2069" t="str">
            <v>RRECL</v>
          </cell>
          <cell r="E2069">
            <v>356.03461075399997</v>
          </cell>
          <cell r="F2069" t="str">
            <v>-</v>
          </cell>
          <cell r="G2069" t="str">
            <v>-</v>
          </cell>
          <cell r="H2069" t="str">
            <v>-</v>
          </cell>
          <cell r="I2069" t="str">
            <v>-</v>
          </cell>
          <cell r="J2069">
            <v>356.03461075399997</v>
          </cell>
          <cell r="K2069" t="str">
            <v>Small Cap</v>
          </cell>
        </row>
        <row r="2070">
          <cell r="C2070" t="str">
            <v>INE669X01032</v>
          </cell>
          <cell r="D2070" t="str">
            <v>-</v>
          </cell>
          <cell r="E2070" t="str">
            <v>-</v>
          </cell>
          <cell r="F2070" t="str">
            <v>GEEKAYWIRE</v>
          </cell>
          <cell r="G2070">
            <v>355.43270000000001</v>
          </cell>
          <cell r="H2070" t="str">
            <v>-</v>
          </cell>
          <cell r="I2070" t="str">
            <v>-</v>
          </cell>
          <cell r="J2070">
            <v>355.43270000000001</v>
          </cell>
          <cell r="K2070" t="str">
            <v>Small Cap</v>
          </cell>
        </row>
        <row r="2071">
          <cell r="C2071" t="str">
            <v>INE413F01016</v>
          </cell>
          <cell r="D2071" t="str">
            <v>DEL</v>
          </cell>
          <cell r="E2071">
            <v>354.72184523800001</v>
          </cell>
          <cell r="F2071" t="str">
            <v>-</v>
          </cell>
          <cell r="G2071" t="str">
            <v>-</v>
          </cell>
          <cell r="H2071" t="str">
            <v>-</v>
          </cell>
          <cell r="I2071" t="str">
            <v>-</v>
          </cell>
          <cell r="J2071">
            <v>354.72184523800001</v>
          </cell>
          <cell r="K2071" t="str">
            <v>Small Cap</v>
          </cell>
        </row>
        <row r="2072">
          <cell r="C2072" t="str">
            <v>INE861D01011</v>
          </cell>
          <cell r="D2072" t="str">
            <v>SAHLIBHFI</v>
          </cell>
          <cell r="E2072">
            <v>354.42110112699999</v>
          </cell>
          <cell r="F2072" t="str">
            <v>-</v>
          </cell>
          <cell r="G2072" t="str">
            <v>-</v>
          </cell>
          <cell r="H2072" t="str">
            <v>-</v>
          </cell>
          <cell r="I2072" t="str">
            <v>-</v>
          </cell>
          <cell r="J2072">
            <v>354.42110112699999</v>
          </cell>
          <cell r="K2072" t="str">
            <v>Small Cap</v>
          </cell>
        </row>
        <row r="2073">
          <cell r="C2073" t="str">
            <v>INE03HW01020</v>
          </cell>
          <cell r="D2073" t="str">
            <v>VLEGOV</v>
          </cell>
          <cell r="E2073">
            <v>354.05657801699999</v>
          </cell>
          <cell r="F2073" t="str">
            <v>VLEGOV</v>
          </cell>
          <cell r="G2073">
            <v>354.44909999999999</v>
          </cell>
          <cell r="H2073" t="str">
            <v>-</v>
          </cell>
          <cell r="I2073" t="str">
            <v>-</v>
          </cell>
          <cell r="J2073">
            <v>354.25283900850002</v>
          </cell>
          <cell r="K2073" t="str">
            <v>Small Cap</v>
          </cell>
        </row>
        <row r="2074">
          <cell r="C2074" t="str">
            <v>INE002B01016</v>
          </cell>
          <cell r="D2074" t="str">
            <v>SOFTSOL</v>
          </cell>
          <cell r="E2074">
            <v>353.58683638600002</v>
          </cell>
          <cell r="F2074" t="str">
            <v>-</v>
          </cell>
          <cell r="G2074" t="str">
            <v>-</v>
          </cell>
          <cell r="H2074" t="str">
            <v>-</v>
          </cell>
          <cell r="I2074" t="str">
            <v>-</v>
          </cell>
          <cell r="J2074">
            <v>353.58683638600002</v>
          </cell>
          <cell r="K2074" t="str">
            <v>Small Cap</v>
          </cell>
        </row>
        <row r="2075">
          <cell r="C2075" t="str">
            <v>INE864X01013</v>
          </cell>
          <cell r="D2075" t="str">
            <v>DPWIRES</v>
          </cell>
          <cell r="E2075">
            <v>352.50039476000001</v>
          </cell>
          <cell r="F2075" t="str">
            <v>DPWIRES</v>
          </cell>
          <cell r="G2075">
            <v>352.54390000000001</v>
          </cell>
          <cell r="H2075" t="str">
            <v>-</v>
          </cell>
          <cell r="I2075" t="str">
            <v>-</v>
          </cell>
          <cell r="J2075">
            <v>352.52214737999998</v>
          </cell>
          <cell r="K2075" t="str">
            <v>Small Cap</v>
          </cell>
        </row>
        <row r="2076">
          <cell r="C2076" t="str">
            <v>INE806A01020</v>
          </cell>
          <cell r="D2076" t="str">
            <v>VIKASECO</v>
          </cell>
          <cell r="E2076">
            <v>352.5761048</v>
          </cell>
          <cell r="F2076" t="str">
            <v>VIKASECO</v>
          </cell>
          <cell r="G2076">
            <v>351.90230000000003</v>
          </cell>
          <cell r="H2076" t="str">
            <v>-</v>
          </cell>
          <cell r="I2076" t="str">
            <v>-</v>
          </cell>
          <cell r="J2076">
            <v>352.23920240000001</v>
          </cell>
          <cell r="K2076" t="str">
            <v>Small Cap</v>
          </cell>
        </row>
        <row r="2077">
          <cell r="C2077" t="str">
            <v>INE458B01036</v>
          </cell>
          <cell r="D2077" t="str">
            <v>BHAGYANGR</v>
          </cell>
          <cell r="E2077">
            <v>351.99375428600001</v>
          </cell>
          <cell r="F2077" t="str">
            <v>BHAGYANGR</v>
          </cell>
          <cell r="G2077">
            <v>351.28660000000002</v>
          </cell>
          <cell r="H2077" t="str">
            <v>-</v>
          </cell>
          <cell r="I2077" t="str">
            <v>-</v>
          </cell>
          <cell r="J2077">
            <v>351.64017714300002</v>
          </cell>
          <cell r="K2077" t="str">
            <v>Small Cap</v>
          </cell>
        </row>
        <row r="2078">
          <cell r="C2078" t="str">
            <v>INE790B01024</v>
          </cell>
          <cell r="D2078" t="str">
            <v>KCPSUGIND</v>
          </cell>
          <cell r="E2078">
            <v>351.414465441</v>
          </cell>
          <cell r="F2078" t="str">
            <v>KCPSUGIND</v>
          </cell>
          <cell r="G2078">
            <v>351.26240000000001</v>
          </cell>
          <cell r="H2078" t="str">
            <v>-</v>
          </cell>
          <cell r="I2078" t="str">
            <v>-</v>
          </cell>
          <cell r="J2078">
            <v>351.33843272050001</v>
          </cell>
          <cell r="K2078" t="str">
            <v>Small Cap</v>
          </cell>
        </row>
        <row r="2079">
          <cell r="C2079" t="str">
            <v>INE145Y01023</v>
          </cell>
          <cell r="D2079" t="str">
            <v>SHISHIND</v>
          </cell>
          <cell r="E2079">
            <v>351.27259482800002</v>
          </cell>
          <cell r="F2079" t="str">
            <v>-</v>
          </cell>
          <cell r="G2079" t="str">
            <v>-</v>
          </cell>
          <cell r="H2079" t="str">
            <v>-</v>
          </cell>
          <cell r="I2079" t="str">
            <v>-</v>
          </cell>
          <cell r="J2079">
            <v>351.27259482800002</v>
          </cell>
          <cell r="K2079" t="str">
            <v>Small Cap</v>
          </cell>
        </row>
        <row r="2080">
          <cell r="C2080" t="str">
            <v>INE636A01039</v>
          </cell>
          <cell r="D2080" t="str">
            <v>MAWANASUG</v>
          </cell>
          <cell r="E2080">
            <v>350.65878100999998</v>
          </cell>
          <cell r="F2080" t="str">
            <v>MAWANASUG</v>
          </cell>
          <cell r="G2080">
            <v>350.50880000000001</v>
          </cell>
          <cell r="H2080" t="str">
            <v>-</v>
          </cell>
          <cell r="I2080" t="str">
            <v>-</v>
          </cell>
          <cell r="J2080">
            <v>350.58379050500002</v>
          </cell>
          <cell r="K2080" t="str">
            <v>Small Cap</v>
          </cell>
        </row>
        <row r="2081">
          <cell r="C2081" t="str">
            <v>INE440G01017</v>
          </cell>
          <cell r="D2081" t="str">
            <v>TRITONV</v>
          </cell>
          <cell r="E2081">
            <v>350.21790013899999</v>
          </cell>
          <cell r="F2081" t="str">
            <v>-</v>
          </cell>
          <cell r="G2081" t="str">
            <v>-</v>
          </cell>
          <cell r="H2081" t="str">
            <v>-</v>
          </cell>
          <cell r="I2081" t="str">
            <v>-</v>
          </cell>
          <cell r="J2081">
            <v>350.21790013899999</v>
          </cell>
          <cell r="K2081" t="str">
            <v>Small Cap</v>
          </cell>
        </row>
        <row r="2082">
          <cell r="C2082" t="str">
            <v>INE451F01024</v>
          </cell>
          <cell r="D2082" t="str">
            <v>-</v>
          </cell>
          <cell r="E2082" t="str">
            <v>-</v>
          </cell>
          <cell r="F2082" t="str">
            <v>APOLSINHOT</v>
          </cell>
          <cell r="G2082">
            <v>349.70940000000002</v>
          </cell>
          <cell r="H2082" t="str">
            <v>-</v>
          </cell>
          <cell r="I2082" t="str">
            <v>-</v>
          </cell>
          <cell r="J2082">
            <v>349.70940000000002</v>
          </cell>
          <cell r="K2082" t="str">
            <v>Small Cap</v>
          </cell>
        </row>
        <row r="2083">
          <cell r="C2083" t="str">
            <v>INE758A01072</v>
          </cell>
          <cell r="D2083" t="str">
            <v>AVANCE</v>
          </cell>
          <cell r="E2083">
            <v>349.68259036799998</v>
          </cell>
          <cell r="F2083" t="str">
            <v>-</v>
          </cell>
          <cell r="G2083" t="str">
            <v>-</v>
          </cell>
          <cell r="H2083" t="str">
            <v>-</v>
          </cell>
          <cell r="I2083" t="str">
            <v>-</v>
          </cell>
          <cell r="J2083">
            <v>349.68259036799998</v>
          </cell>
          <cell r="K2083" t="str">
            <v>Small Cap</v>
          </cell>
        </row>
        <row r="2084">
          <cell r="C2084" t="str">
            <v>INE069E01019</v>
          </cell>
          <cell r="D2084" t="str">
            <v>SURAJ</v>
          </cell>
          <cell r="E2084">
            <v>349.24623809499997</v>
          </cell>
          <cell r="F2084" t="str">
            <v>-</v>
          </cell>
          <cell r="G2084" t="str">
            <v>-</v>
          </cell>
          <cell r="H2084" t="str">
            <v>-</v>
          </cell>
          <cell r="I2084" t="str">
            <v>-</v>
          </cell>
          <cell r="J2084">
            <v>349.24623809499997</v>
          </cell>
          <cell r="K2084" t="str">
            <v>Small Cap</v>
          </cell>
        </row>
        <row r="2085">
          <cell r="C2085" t="str">
            <v>INE319B01014</v>
          </cell>
          <cell r="D2085" t="str">
            <v>BYKE</v>
          </cell>
          <cell r="E2085">
            <v>348.16146682099998</v>
          </cell>
          <cell r="F2085" t="str">
            <v>BYKE</v>
          </cell>
          <cell r="G2085">
            <v>347.6105</v>
          </cell>
          <cell r="H2085" t="str">
            <v>BYKE</v>
          </cell>
          <cell r="I2085">
            <v>347.63825890634934</v>
          </cell>
          <cell r="J2085">
            <v>347.80340857578312</v>
          </cell>
          <cell r="K2085" t="str">
            <v>Small Cap</v>
          </cell>
        </row>
        <row r="2086">
          <cell r="C2086" t="str">
            <v>INE0PQ101010</v>
          </cell>
          <cell r="D2086" t="str">
            <v>SSDL</v>
          </cell>
          <cell r="E2086">
            <v>347.545130427</v>
          </cell>
          <cell r="F2086" t="str">
            <v>SSDL</v>
          </cell>
          <cell r="G2086">
            <v>347.58280000000002</v>
          </cell>
          <cell r="H2086" t="str">
            <v>-</v>
          </cell>
          <cell r="I2086" t="str">
            <v>-</v>
          </cell>
          <cell r="J2086">
            <v>347.56396521350001</v>
          </cell>
          <cell r="K2086" t="str">
            <v>Small Cap</v>
          </cell>
        </row>
        <row r="2087">
          <cell r="C2087" t="str">
            <v>INE116G01013</v>
          </cell>
          <cell r="D2087" t="str">
            <v>-</v>
          </cell>
          <cell r="E2087" t="str">
            <v>-</v>
          </cell>
          <cell r="F2087" t="str">
            <v>VARDHACRLC</v>
          </cell>
          <cell r="G2087">
            <v>347.39839999999998</v>
          </cell>
          <cell r="H2087" t="str">
            <v>-</v>
          </cell>
          <cell r="I2087" t="str">
            <v>-</v>
          </cell>
          <cell r="J2087">
            <v>347.39839999999998</v>
          </cell>
          <cell r="K2087" t="str">
            <v>Small Cap</v>
          </cell>
        </row>
        <row r="2088">
          <cell r="C2088" t="str">
            <v>INE715Y01031</v>
          </cell>
          <cell r="D2088" t="str">
            <v>-</v>
          </cell>
          <cell r="E2088" t="str">
            <v>-</v>
          </cell>
          <cell r="F2088" t="str">
            <v>SHRADHA</v>
          </cell>
          <cell r="G2088">
            <v>345.66269999999997</v>
          </cell>
          <cell r="H2088" t="str">
            <v>-</v>
          </cell>
          <cell r="I2088" t="str">
            <v>-</v>
          </cell>
          <cell r="J2088">
            <v>345.66269999999997</v>
          </cell>
          <cell r="K2088" t="str">
            <v>Small Cap</v>
          </cell>
        </row>
        <row r="2089">
          <cell r="C2089" t="str">
            <v>INE175N01023</v>
          </cell>
          <cell r="D2089" t="str">
            <v>AERPACE</v>
          </cell>
          <cell r="E2089">
            <v>345.21048664800003</v>
          </cell>
          <cell r="F2089" t="str">
            <v>-</v>
          </cell>
          <cell r="G2089" t="str">
            <v>-</v>
          </cell>
          <cell r="H2089" t="str">
            <v>-</v>
          </cell>
          <cell r="I2089" t="str">
            <v>-</v>
          </cell>
          <cell r="J2089">
            <v>345.21048664800003</v>
          </cell>
          <cell r="K2089" t="str">
            <v>Small Cap</v>
          </cell>
        </row>
        <row r="2090">
          <cell r="C2090" t="str">
            <v>INE0PO601011</v>
          </cell>
          <cell r="D2090" t="str">
            <v>NPL</v>
          </cell>
          <cell r="E2090">
            <v>344.896854722</v>
          </cell>
          <cell r="F2090" t="str">
            <v>-</v>
          </cell>
          <cell r="G2090" t="str">
            <v>-</v>
          </cell>
          <cell r="H2090" t="str">
            <v>-</v>
          </cell>
          <cell r="I2090" t="str">
            <v>-</v>
          </cell>
          <cell r="J2090">
            <v>344.896854722</v>
          </cell>
          <cell r="K2090" t="str">
            <v>Small Cap</v>
          </cell>
        </row>
        <row r="2091">
          <cell r="C2091" t="str">
            <v>INE201B01022</v>
          </cell>
          <cell r="D2091" t="str">
            <v>MAJESAUT</v>
          </cell>
          <cell r="E2091">
            <v>344.48701306499999</v>
          </cell>
          <cell r="F2091" t="str">
            <v>-</v>
          </cell>
          <cell r="G2091" t="str">
            <v>-</v>
          </cell>
          <cell r="H2091" t="str">
            <v>-</v>
          </cell>
          <cell r="I2091" t="str">
            <v>-</v>
          </cell>
          <cell r="J2091">
            <v>344.48701306499999</v>
          </cell>
          <cell r="K2091" t="str">
            <v>Small Cap</v>
          </cell>
        </row>
        <row r="2092">
          <cell r="C2092" t="str">
            <v>INE784W01015</v>
          </cell>
          <cell r="D2092" t="str">
            <v>MANOMAY</v>
          </cell>
          <cell r="E2092">
            <v>344.5704053</v>
          </cell>
          <cell r="F2092" t="str">
            <v>MANOMAY</v>
          </cell>
          <cell r="G2092">
            <v>344.15600000000001</v>
          </cell>
          <cell r="H2092" t="str">
            <v>-</v>
          </cell>
          <cell r="I2092" t="str">
            <v>-</v>
          </cell>
          <cell r="J2092">
            <v>344.36320265000001</v>
          </cell>
          <cell r="K2092" t="str">
            <v>Small Cap</v>
          </cell>
        </row>
        <row r="2093">
          <cell r="C2093" t="str">
            <v>INE0U9D01019</v>
          </cell>
          <cell r="D2093" t="str">
            <v>MAHALIFE</v>
          </cell>
          <cell r="E2093">
            <v>343.69487500000002</v>
          </cell>
          <cell r="F2093" t="str">
            <v>-</v>
          </cell>
          <cell r="G2093" t="str">
            <v>-</v>
          </cell>
          <cell r="H2093" t="str">
            <v>-</v>
          </cell>
          <cell r="I2093" t="str">
            <v>-</v>
          </cell>
          <cell r="J2093">
            <v>343.69487500000002</v>
          </cell>
          <cell r="K2093" t="str">
            <v>Small Cap</v>
          </cell>
        </row>
        <row r="2094">
          <cell r="C2094" t="str">
            <v>INE359U01028</v>
          </cell>
          <cell r="D2094" t="str">
            <v>LANCER</v>
          </cell>
          <cell r="E2094">
            <v>343.51714487100003</v>
          </cell>
          <cell r="F2094" t="str">
            <v>-</v>
          </cell>
          <cell r="G2094" t="str">
            <v>-</v>
          </cell>
          <cell r="H2094" t="str">
            <v>-</v>
          </cell>
          <cell r="I2094" t="str">
            <v>-</v>
          </cell>
          <cell r="J2094">
            <v>343.51714487100003</v>
          </cell>
          <cell r="K2094" t="str">
            <v>Small Cap</v>
          </cell>
        </row>
        <row r="2095">
          <cell r="C2095" t="str">
            <v>INE933A01014</v>
          </cell>
          <cell r="D2095" t="str">
            <v>LYKALABS</v>
          </cell>
          <cell r="E2095">
            <v>342.02944992099998</v>
          </cell>
          <cell r="F2095" t="str">
            <v>LYKALABS</v>
          </cell>
          <cell r="G2095">
            <v>341.85469999999998</v>
          </cell>
          <cell r="H2095" t="str">
            <v>-</v>
          </cell>
          <cell r="I2095" t="str">
            <v>-</v>
          </cell>
          <cell r="J2095">
            <v>341.94207496050001</v>
          </cell>
          <cell r="K2095" t="str">
            <v>Small Cap</v>
          </cell>
        </row>
        <row r="2096">
          <cell r="C2096" t="str">
            <v>INE680Z01018</v>
          </cell>
          <cell r="D2096" t="str">
            <v>AVG</v>
          </cell>
          <cell r="E2096">
            <v>340.40903950000001</v>
          </cell>
          <cell r="F2096" t="str">
            <v>AVG</v>
          </cell>
          <cell r="G2096">
            <v>340.22629999999998</v>
          </cell>
          <cell r="H2096" t="str">
            <v>-</v>
          </cell>
          <cell r="I2096" t="str">
            <v>-</v>
          </cell>
          <cell r="J2096">
            <v>340.31766974999999</v>
          </cell>
          <cell r="K2096" t="str">
            <v>Small Cap</v>
          </cell>
        </row>
        <row r="2097">
          <cell r="C2097" t="str">
            <v>INE692Z01013</v>
          </cell>
          <cell r="D2097" t="str">
            <v>AFFORDABLE</v>
          </cell>
          <cell r="E2097">
            <v>338.14621039399998</v>
          </cell>
          <cell r="F2097" t="str">
            <v>AFFORDABLE</v>
          </cell>
          <cell r="G2097">
            <v>338.01960000000003</v>
          </cell>
          <cell r="H2097" t="str">
            <v>-</v>
          </cell>
          <cell r="I2097" t="str">
            <v>-</v>
          </cell>
          <cell r="J2097">
            <v>338.082905197</v>
          </cell>
          <cell r="K2097" t="str">
            <v>Small Cap</v>
          </cell>
        </row>
        <row r="2098">
          <cell r="C2098" t="str">
            <v>INE418C01012</v>
          </cell>
          <cell r="D2098" t="str">
            <v>QUESTCAP</v>
          </cell>
          <cell r="E2098">
            <v>338.00476190500001</v>
          </cell>
          <cell r="F2098" t="str">
            <v>-</v>
          </cell>
          <cell r="G2098" t="str">
            <v>-</v>
          </cell>
          <cell r="H2098" t="str">
            <v>-</v>
          </cell>
          <cell r="I2098" t="str">
            <v>-</v>
          </cell>
          <cell r="J2098">
            <v>338.00476190500001</v>
          </cell>
          <cell r="K2098" t="str">
            <v>Small Cap</v>
          </cell>
        </row>
        <row r="2099">
          <cell r="C2099" t="str">
            <v>INE567A01028</v>
          </cell>
          <cell r="D2099" t="str">
            <v>NIPPOBATRY</v>
          </cell>
          <cell r="E2099">
            <v>337.92172619000002</v>
          </cell>
          <cell r="F2099" t="str">
            <v>NIPPOBATRY</v>
          </cell>
          <cell r="G2099">
            <v>337.78930000000003</v>
          </cell>
          <cell r="H2099" t="str">
            <v>-</v>
          </cell>
          <cell r="I2099" t="str">
            <v>-</v>
          </cell>
          <cell r="J2099">
            <v>337.85551309499999</v>
          </cell>
          <cell r="K2099" t="str">
            <v>Small Cap</v>
          </cell>
        </row>
        <row r="2100">
          <cell r="C2100" t="str">
            <v>INE00ST01011</v>
          </cell>
          <cell r="D2100" t="str">
            <v>BRGIL</v>
          </cell>
          <cell r="E2100">
            <v>337.09687140599999</v>
          </cell>
          <cell r="F2100" t="str">
            <v>-</v>
          </cell>
          <cell r="G2100" t="str">
            <v>-</v>
          </cell>
          <cell r="H2100" t="str">
            <v>-</v>
          </cell>
          <cell r="I2100" t="str">
            <v>-</v>
          </cell>
          <cell r="J2100">
            <v>337.09687140599999</v>
          </cell>
          <cell r="K2100" t="str">
            <v>Small Cap</v>
          </cell>
        </row>
        <row r="2101">
          <cell r="C2101" t="str">
            <v>INE0MKA01014</v>
          </cell>
          <cell r="D2101" t="str">
            <v>TLL</v>
          </cell>
          <cell r="E2101">
            <v>336.47400826199998</v>
          </cell>
          <cell r="F2101" t="str">
            <v>-</v>
          </cell>
          <cell r="G2101" t="str">
            <v>-</v>
          </cell>
          <cell r="H2101" t="str">
            <v>-</v>
          </cell>
          <cell r="I2101" t="str">
            <v>-</v>
          </cell>
          <cell r="J2101">
            <v>336.47400826199998</v>
          </cell>
          <cell r="K2101" t="str">
            <v>Small Cap</v>
          </cell>
        </row>
        <row r="2102">
          <cell r="C2102" t="str">
            <v>INE058F01019</v>
          </cell>
          <cell r="D2102" t="str">
            <v>ALUFLUOR</v>
          </cell>
          <cell r="E2102">
            <v>335.67184561599998</v>
          </cell>
          <cell r="F2102" t="str">
            <v>-</v>
          </cell>
          <cell r="G2102" t="str">
            <v>-</v>
          </cell>
          <cell r="H2102" t="str">
            <v>-</v>
          </cell>
          <cell r="I2102" t="str">
            <v>-</v>
          </cell>
          <cell r="J2102">
            <v>335.67184561599998</v>
          </cell>
          <cell r="K2102" t="str">
            <v>Small Cap</v>
          </cell>
        </row>
        <row r="2103">
          <cell r="C2103" t="str">
            <v>INE285H01022</v>
          </cell>
          <cell r="D2103" t="str">
            <v>ATLANTAA</v>
          </cell>
          <cell r="E2103">
            <v>335.65775000000002</v>
          </cell>
          <cell r="F2103" t="str">
            <v>ATLANTAA</v>
          </cell>
          <cell r="G2103">
            <v>334.74959999999999</v>
          </cell>
          <cell r="H2103" t="str">
            <v>-</v>
          </cell>
          <cell r="I2103" t="str">
            <v>-</v>
          </cell>
          <cell r="J2103">
            <v>335.20367499999998</v>
          </cell>
          <cell r="K2103" t="str">
            <v>Small Cap</v>
          </cell>
        </row>
        <row r="2104">
          <cell r="C2104" t="str">
            <v>INE0U6201010</v>
          </cell>
          <cell r="D2104" t="str">
            <v>SUBAM</v>
          </cell>
          <cell r="E2104">
            <v>335.07627691499999</v>
          </cell>
          <cell r="F2104" t="str">
            <v>-</v>
          </cell>
          <cell r="G2104" t="str">
            <v>-</v>
          </cell>
          <cell r="H2104" t="str">
            <v>-</v>
          </cell>
          <cell r="I2104" t="str">
            <v>-</v>
          </cell>
          <cell r="J2104">
            <v>335.07627691499999</v>
          </cell>
          <cell r="K2104" t="str">
            <v>Small Cap</v>
          </cell>
        </row>
        <row r="2105">
          <cell r="C2105" t="str">
            <v>INE910R01024</v>
          </cell>
          <cell r="D2105" t="str">
            <v>GTV</v>
          </cell>
          <cell r="E2105">
            <v>334.47654761699999</v>
          </cell>
          <cell r="F2105" t="str">
            <v>-</v>
          </cell>
          <cell r="G2105" t="str">
            <v>-</v>
          </cell>
          <cell r="H2105" t="str">
            <v>-</v>
          </cell>
          <cell r="I2105" t="str">
            <v>-</v>
          </cell>
          <cell r="J2105">
            <v>334.47654761699999</v>
          </cell>
          <cell r="K2105" t="str">
            <v>Small Cap</v>
          </cell>
        </row>
        <row r="2106">
          <cell r="C2106" t="str">
            <v>INE802D01023</v>
          </cell>
          <cell r="D2106" t="str">
            <v>INDAG</v>
          </cell>
          <cell r="E2106">
            <v>334.10416666700002</v>
          </cell>
          <cell r="F2106" t="str">
            <v>-</v>
          </cell>
          <cell r="G2106" t="str">
            <v>-</v>
          </cell>
          <cell r="H2106" t="str">
            <v>-</v>
          </cell>
          <cell r="I2106" t="str">
            <v>-</v>
          </cell>
          <cell r="J2106">
            <v>334.10416666700002</v>
          </cell>
          <cell r="K2106" t="str">
            <v>Small Cap</v>
          </cell>
        </row>
        <row r="2107">
          <cell r="C2107" t="str">
            <v>INE044N01021</v>
          </cell>
          <cell r="D2107" t="str">
            <v>EMERALL</v>
          </cell>
          <cell r="E2107">
            <v>332.74244678600002</v>
          </cell>
          <cell r="F2107" t="str">
            <v>-</v>
          </cell>
          <cell r="G2107" t="str">
            <v>-</v>
          </cell>
          <cell r="H2107" t="str">
            <v>-</v>
          </cell>
          <cell r="I2107" t="str">
            <v>-</v>
          </cell>
          <cell r="J2107">
            <v>332.74244678600002</v>
          </cell>
          <cell r="K2107" t="str">
            <v>Small Cap</v>
          </cell>
        </row>
        <row r="2108">
          <cell r="C2108" t="str">
            <v>INE326B01035</v>
          </cell>
          <cell r="D2108" t="str">
            <v>ALMONDZ</v>
          </cell>
          <cell r="E2108">
            <v>332.80089478499997</v>
          </cell>
          <cell r="F2108" t="str">
            <v>ALMONDZ</v>
          </cell>
          <cell r="G2108">
            <v>332.67689999999999</v>
          </cell>
          <cell r="H2108" t="str">
            <v>-</v>
          </cell>
          <cell r="I2108" t="str">
            <v>-</v>
          </cell>
          <cell r="J2108">
            <v>332.73889739250001</v>
          </cell>
          <cell r="K2108" t="str">
            <v>Small Cap</v>
          </cell>
        </row>
        <row r="2109">
          <cell r="C2109" t="str">
            <v>INE945P01024</v>
          </cell>
          <cell r="D2109" t="str">
            <v>WARDINMOBI</v>
          </cell>
          <cell r="E2109">
            <v>332.406873421</v>
          </cell>
          <cell r="F2109" t="str">
            <v>-</v>
          </cell>
          <cell r="G2109" t="str">
            <v>-</v>
          </cell>
          <cell r="H2109" t="str">
            <v>-</v>
          </cell>
          <cell r="I2109" t="str">
            <v>-</v>
          </cell>
          <cell r="J2109">
            <v>332.406873421</v>
          </cell>
          <cell r="K2109" t="str">
            <v>Small Cap</v>
          </cell>
        </row>
        <row r="2110">
          <cell r="C2110" t="str">
            <v>INE260E01014</v>
          </cell>
          <cell r="D2110" t="str">
            <v>SKCIL</v>
          </cell>
          <cell r="E2110">
            <v>331.89166861699999</v>
          </cell>
          <cell r="F2110" t="str">
            <v>-</v>
          </cell>
          <cell r="G2110" t="str">
            <v>-</v>
          </cell>
          <cell r="H2110" t="str">
            <v>-</v>
          </cell>
          <cell r="I2110" t="str">
            <v>-</v>
          </cell>
          <cell r="J2110">
            <v>331.89166861699999</v>
          </cell>
          <cell r="K2110" t="str">
            <v>Small Cap</v>
          </cell>
        </row>
        <row r="2111">
          <cell r="C2111" t="str">
            <v>INE129Z01016</v>
          </cell>
          <cell r="D2111" t="str">
            <v>-</v>
          </cell>
          <cell r="E2111" t="str">
            <v>-</v>
          </cell>
          <cell r="F2111" t="str">
            <v>SINTERCOM</v>
          </cell>
          <cell r="G2111">
            <v>330.9513</v>
          </cell>
          <cell r="H2111" t="str">
            <v>-</v>
          </cell>
          <cell r="I2111" t="str">
            <v>-</v>
          </cell>
          <cell r="J2111">
            <v>330.9513</v>
          </cell>
          <cell r="K2111" t="str">
            <v>Small Cap</v>
          </cell>
        </row>
        <row r="2112">
          <cell r="C2112" t="str">
            <v>INE920T01011</v>
          </cell>
          <cell r="D2112" t="str">
            <v>LIKHAMI</v>
          </cell>
          <cell r="E2112">
            <v>330.79406746000001</v>
          </cell>
          <cell r="F2112" t="str">
            <v>-</v>
          </cell>
          <cell r="G2112" t="str">
            <v>-</v>
          </cell>
          <cell r="H2112" t="str">
            <v>-</v>
          </cell>
          <cell r="I2112" t="str">
            <v>-</v>
          </cell>
          <cell r="J2112">
            <v>330.79406746000001</v>
          </cell>
          <cell r="K2112" t="str">
            <v>Small Cap</v>
          </cell>
        </row>
        <row r="2113">
          <cell r="C2113" t="str">
            <v>INE805A01014</v>
          </cell>
          <cell r="D2113" t="str">
            <v>GOLDTECH</v>
          </cell>
          <cell r="E2113">
            <v>330.23466093100001</v>
          </cell>
          <cell r="F2113" t="str">
            <v>GOLDTECH</v>
          </cell>
          <cell r="G2113">
            <v>329.72899999999998</v>
          </cell>
          <cell r="H2113" t="str">
            <v>-</v>
          </cell>
          <cell r="I2113" t="str">
            <v>-</v>
          </cell>
          <cell r="J2113">
            <v>329.98183046550002</v>
          </cell>
          <cell r="K2113" t="str">
            <v>Small Cap</v>
          </cell>
        </row>
        <row r="2114">
          <cell r="C2114" t="str">
            <v>INE095I01015</v>
          </cell>
          <cell r="D2114" t="str">
            <v>PPAP</v>
          </cell>
          <cell r="E2114">
            <v>329.61265010400001</v>
          </cell>
          <cell r="F2114" t="str">
            <v>PPAP</v>
          </cell>
          <cell r="G2114">
            <v>328.67399999999998</v>
          </cell>
          <cell r="H2114" t="str">
            <v>-</v>
          </cell>
          <cell r="I2114" t="str">
            <v>-</v>
          </cell>
          <cell r="J2114">
            <v>329.14332505200002</v>
          </cell>
          <cell r="K2114" t="str">
            <v>Small Cap</v>
          </cell>
        </row>
        <row r="2115">
          <cell r="C2115" t="str">
            <v>INE289D01015</v>
          </cell>
          <cell r="D2115" t="str">
            <v>JAYUSH</v>
          </cell>
          <cell r="E2115">
            <v>329.04484609100001</v>
          </cell>
          <cell r="F2115" t="str">
            <v>-</v>
          </cell>
          <cell r="G2115" t="str">
            <v>-</v>
          </cell>
          <cell r="H2115" t="str">
            <v>-</v>
          </cell>
          <cell r="I2115" t="str">
            <v>-</v>
          </cell>
          <cell r="J2115">
            <v>329.04484609100001</v>
          </cell>
          <cell r="K2115" t="str">
            <v>Small Cap</v>
          </cell>
        </row>
        <row r="2116">
          <cell r="C2116" t="str">
            <v>INE448G01010</v>
          </cell>
          <cell r="D2116" t="str">
            <v>NATHBIOGEN</v>
          </cell>
          <cell r="E2116">
            <v>328.62666999999999</v>
          </cell>
          <cell r="F2116" t="str">
            <v>NATHBIOGEN</v>
          </cell>
          <cell r="G2116">
            <v>328.10890000000001</v>
          </cell>
          <cell r="H2116" t="str">
            <v>-</v>
          </cell>
          <cell r="I2116" t="str">
            <v>-</v>
          </cell>
          <cell r="J2116">
            <v>328.36778500000003</v>
          </cell>
          <cell r="K2116" t="str">
            <v>Small Cap</v>
          </cell>
        </row>
        <row r="2117">
          <cell r="C2117" t="str">
            <v>INE120D01012</v>
          </cell>
          <cell r="D2117" t="str">
            <v>HITECHCORP</v>
          </cell>
          <cell r="E2117">
            <v>327.75325052399995</v>
          </cell>
          <cell r="F2117" t="str">
            <v>HITECHCORP</v>
          </cell>
          <cell r="G2117">
            <v>328.37540000000001</v>
          </cell>
          <cell r="H2117" t="str">
            <v>-</v>
          </cell>
          <cell r="I2117" t="str">
            <v>-</v>
          </cell>
          <cell r="J2117">
            <v>328.06432526200001</v>
          </cell>
          <cell r="K2117" t="str">
            <v>Small Cap</v>
          </cell>
        </row>
        <row r="2118">
          <cell r="C2118" t="str">
            <v>INE0SJA01013</v>
          </cell>
          <cell r="D2118" t="str">
            <v>VMSTMT</v>
          </cell>
          <cell r="E2118">
            <v>327.45338982199996</v>
          </cell>
          <cell r="F2118" t="str">
            <v>VMSTMT</v>
          </cell>
          <cell r="G2118">
            <v>327.39260000000002</v>
          </cell>
          <cell r="H2118" t="str">
            <v>-</v>
          </cell>
          <cell r="I2118" t="str">
            <v>-</v>
          </cell>
          <cell r="J2118">
            <v>327.42299491099999</v>
          </cell>
          <cell r="K2118" t="str">
            <v>Small Cap</v>
          </cell>
        </row>
        <row r="2119">
          <cell r="C2119" t="str">
            <v>INE658D01011</v>
          </cell>
          <cell r="D2119" t="str">
            <v>SIMPLEXCAS</v>
          </cell>
          <cell r="E2119">
            <v>327.14639313600003</v>
          </cell>
          <cell r="F2119" t="str">
            <v>-</v>
          </cell>
          <cell r="G2119" t="str">
            <v>-</v>
          </cell>
          <cell r="H2119" t="str">
            <v>-</v>
          </cell>
          <cell r="I2119" t="str">
            <v>-</v>
          </cell>
          <cell r="J2119">
            <v>327.14639313600003</v>
          </cell>
          <cell r="K2119" t="str">
            <v>Small Cap</v>
          </cell>
        </row>
        <row r="2120">
          <cell r="C2120" t="str">
            <v>INE274V01019</v>
          </cell>
          <cell r="D2120" t="str">
            <v>SHANKARA</v>
          </cell>
          <cell r="E2120">
            <v>325.46576724599998</v>
          </cell>
          <cell r="F2120" t="str">
            <v>SHANKARA</v>
          </cell>
          <cell r="G2120">
            <v>327.33839999999998</v>
          </cell>
          <cell r="H2120" t="str">
            <v>-</v>
          </cell>
          <cell r="I2120" t="str">
            <v>-</v>
          </cell>
          <cell r="J2120">
            <v>326.40208362299995</v>
          </cell>
          <cell r="K2120" t="str">
            <v>Small Cap</v>
          </cell>
        </row>
        <row r="2121">
          <cell r="C2121" t="str">
            <v>INE341Z01025</v>
          </cell>
          <cell r="D2121" t="str">
            <v>BHATIA</v>
          </cell>
          <cell r="E2121">
            <v>325.89161625399998</v>
          </cell>
          <cell r="F2121" t="str">
            <v>-</v>
          </cell>
          <cell r="G2121" t="str">
            <v>-</v>
          </cell>
          <cell r="H2121" t="str">
            <v>-</v>
          </cell>
          <cell r="I2121" t="str">
            <v>-</v>
          </cell>
          <cell r="J2121">
            <v>325.89161625399998</v>
          </cell>
          <cell r="K2121" t="str">
            <v>Small Cap</v>
          </cell>
        </row>
        <row r="2122">
          <cell r="C2122" t="str">
            <v>INE184D01026</v>
          </cell>
          <cell r="D2122" t="str">
            <v>RAJSEC</v>
          </cell>
          <cell r="E2122">
            <v>325.73259388600002</v>
          </cell>
          <cell r="F2122" t="str">
            <v>-</v>
          </cell>
          <cell r="G2122" t="str">
            <v>-</v>
          </cell>
          <cell r="H2122" t="str">
            <v>-</v>
          </cell>
          <cell r="I2122" t="str">
            <v>-</v>
          </cell>
          <cell r="J2122">
            <v>325.73259388600002</v>
          </cell>
          <cell r="K2122" t="str">
            <v>Small Cap</v>
          </cell>
        </row>
        <row r="2123">
          <cell r="C2123" t="str">
            <v>INE486F01012</v>
          </cell>
          <cell r="D2123" t="str">
            <v>ZENOTECH</v>
          </cell>
          <cell r="E2123">
            <v>325.72643822100002</v>
          </cell>
          <cell r="F2123" t="str">
            <v>-</v>
          </cell>
          <cell r="G2123" t="str">
            <v>-</v>
          </cell>
          <cell r="H2123" t="str">
            <v>-</v>
          </cell>
          <cell r="I2123" t="str">
            <v>-</v>
          </cell>
          <cell r="J2123">
            <v>325.72643822100002</v>
          </cell>
          <cell r="K2123" t="str">
            <v>Small Cap</v>
          </cell>
        </row>
        <row r="2124">
          <cell r="C2124" t="str">
            <v>INE00CA01015</v>
          </cell>
          <cell r="D2124" t="str">
            <v xml:space="preserve">TREJHARA </v>
          </cell>
          <cell r="E2124">
            <v>323.90699604000002</v>
          </cell>
          <cell r="F2124" t="str">
            <v>TREJHARA</v>
          </cell>
          <cell r="G2124">
            <v>322.56549999999999</v>
          </cell>
          <cell r="H2124" t="str">
            <v>-</v>
          </cell>
          <cell r="I2124" t="str">
            <v>-</v>
          </cell>
          <cell r="J2124">
            <v>323.23624802</v>
          </cell>
          <cell r="K2124" t="str">
            <v>Small Cap</v>
          </cell>
        </row>
        <row r="2125">
          <cell r="C2125" t="str">
            <v>INE591D01014</v>
          </cell>
          <cell r="D2125" t="str">
            <v>DIAMINESQ</v>
          </cell>
          <cell r="E2125">
            <v>323.006393989</v>
          </cell>
          <cell r="F2125" t="str">
            <v>DIAMINESQ</v>
          </cell>
          <cell r="G2125">
            <v>323.14690000000002</v>
          </cell>
          <cell r="H2125" t="str">
            <v>-</v>
          </cell>
          <cell r="I2125" t="str">
            <v>-</v>
          </cell>
          <cell r="J2125">
            <v>323.07664699450004</v>
          </cell>
          <cell r="K2125" t="str">
            <v>Small Cap</v>
          </cell>
        </row>
        <row r="2126">
          <cell r="C2126" t="str">
            <v>INE450G01024</v>
          </cell>
          <cell r="D2126" t="str">
            <v>VIPCLOTHNG</v>
          </cell>
          <cell r="E2126">
            <v>322.85395144899996</v>
          </cell>
          <cell r="F2126" t="str">
            <v>VIPCLOTHNG</v>
          </cell>
          <cell r="G2126">
            <v>322.76310000000001</v>
          </cell>
          <cell r="H2126" t="str">
            <v>-</v>
          </cell>
          <cell r="I2126" t="str">
            <v>-</v>
          </cell>
          <cell r="J2126">
            <v>322.80852572449999</v>
          </cell>
          <cell r="K2126" t="str">
            <v>Small Cap</v>
          </cell>
        </row>
        <row r="2127">
          <cell r="C2127" t="str">
            <v>INE02EZ01022</v>
          </cell>
          <cell r="D2127" t="str">
            <v>AXITA</v>
          </cell>
          <cell r="E2127">
            <v>321.93245215600001</v>
          </cell>
          <cell r="F2127" t="str">
            <v>AXITA</v>
          </cell>
          <cell r="G2127">
            <v>321.83510000000001</v>
          </cell>
          <cell r="H2127" t="str">
            <v>-</v>
          </cell>
          <cell r="I2127" t="str">
            <v>-</v>
          </cell>
          <cell r="J2127">
            <v>321.88377607799998</v>
          </cell>
          <cell r="K2127" t="str">
            <v>Small Cap</v>
          </cell>
        </row>
        <row r="2128">
          <cell r="C2128" t="str">
            <v>INE977M01024</v>
          </cell>
          <cell r="D2128" t="str">
            <v>PHOENIXTN</v>
          </cell>
          <cell r="E2128">
            <v>321.17316949399998</v>
          </cell>
          <cell r="F2128" t="str">
            <v>-</v>
          </cell>
          <cell r="G2128" t="str">
            <v>-</v>
          </cell>
          <cell r="H2128" t="str">
            <v>-</v>
          </cell>
          <cell r="I2128" t="str">
            <v>-</v>
          </cell>
          <cell r="J2128">
            <v>321.17316949399998</v>
          </cell>
          <cell r="K2128" t="str">
            <v>Small Cap</v>
          </cell>
        </row>
        <row r="2129">
          <cell r="C2129" t="str">
            <v>INE718H01014</v>
          </cell>
          <cell r="D2129" t="str">
            <v>AUTOIND</v>
          </cell>
          <cell r="E2129">
            <v>320.71401400399998</v>
          </cell>
          <cell r="F2129" t="str">
            <v>AUTOIND</v>
          </cell>
          <cell r="G2129">
            <v>319.8485</v>
          </cell>
          <cell r="H2129" t="str">
            <v>-</v>
          </cell>
          <cell r="I2129" t="str">
            <v>-</v>
          </cell>
          <cell r="J2129">
            <v>320.28125700199996</v>
          </cell>
          <cell r="K2129" t="str">
            <v>Small Cap</v>
          </cell>
        </row>
        <row r="2130">
          <cell r="C2130" t="str">
            <v>INE916Y01027</v>
          </cell>
          <cell r="D2130" t="str">
            <v>AFIL</v>
          </cell>
          <cell r="E2130">
            <v>319.46298791300001</v>
          </cell>
          <cell r="F2130" t="str">
            <v>AFIL</v>
          </cell>
          <cell r="G2130">
            <v>319.07690000000002</v>
          </cell>
          <cell r="H2130" t="str">
            <v>-</v>
          </cell>
          <cell r="I2130" t="str">
            <v>-</v>
          </cell>
          <cell r="J2130">
            <v>319.26994395650001</v>
          </cell>
          <cell r="K2130" t="str">
            <v>Small Cap</v>
          </cell>
        </row>
        <row r="2131">
          <cell r="C2131" t="str">
            <v>INE619I01012</v>
          </cell>
          <cell r="D2131" t="str">
            <v>A2ZINFRA</v>
          </cell>
          <cell r="E2131">
            <v>319.52754904099999</v>
          </cell>
          <cell r="F2131" t="str">
            <v>A2ZINFRA</v>
          </cell>
          <cell r="G2131">
            <v>318.82310000000001</v>
          </cell>
          <cell r="H2131" t="str">
            <v>-</v>
          </cell>
          <cell r="I2131" t="str">
            <v>-</v>
          </cell>
          <cell r="J2131">
            <v>319.1753245205</v>
          </cell>
          <cell r="K2131" t="str">
            <v>Small Cap</v>
          </cell>
        </row>
        <row r="2132">
          <cell r="C2132" t="str">
            <v>INE442V01012</v>
          </cell>
          <cell r="D2132" t="str">
            <v>PRIMEFRESH</v>
          </cell>
          <cell r="E2132">
            <v>319.07277799100001</v>
          </cell>
          <cell r="F2132" t="str">
            <v>-</v>
          </cell>
          <cell r="G2132" t="str">
            <v>-</v>
          </cell>
          <cell r="H2132" t="str">
            <v>-</v>
          </cell>
          <cell r="I2132" t="str">
            <v>-</v>
          </cell>
          <cell r="J2132">
            <v>319.07277799100001</v>
          </cell>
          <cell r="K2132" t="str">
            <v>Small Cap</v>
          </cell>
        </row>
        <row r="2133">
          <cell r="C2133" t="str">
            <v>INE09E501017</v>
          </cell>
          <cell r="D2133" t="str">
            <v>RVHL</v>
          </cell>
          <cell r="E2133">
            <v>320.68352021599998</v>
          </cell>
          <cell r="F2133" t="str">
            <v>RVHL</v>
          </cell>
          <cell r="G2133">
            <v>317.33589999999998</v>
          </cell>
          <cell r="H2133" t="str">
            <v>-</v>
          </cell>
          <cell r="I2133" t="str">
            <v>-</v>
          </cell>
          <cell r="J2133">
            <v>319.00971010799998</v>
          </cell>
          <cell r="K2133" t="str">
            <v>Small Cap</v>
          </cell>
        </row>
        <row r="2134">
          <cell r="C2134" t="str">
            <v>INE363M01019</v>
          </cell>
          <cell r="D2134" t="str">
            <v>SHEMAROO</v>
          </cell>
          <cell r="E2134">
            <v>319.16939306799998</v>
          </cell>
          <cell r="F2134" t="str">
            <v>SHEMAROO</v>
          </cell>
          <cell r="G2134">
            <v>318.03559999999999</v>
          </cell>
          <cell r="H2134" t="str">
            <v>-</v>
          </cell>
          <cell r="I2134" t="str">
            <v>-</v>
          </cell>
          <cell r="J2134">
            <v>318.60249653400001</v>
          </cell>
          <cell r="K2134" t="str">
            <v>Small Cap</v>
          </cell>
        </row>
        <row r="2135">
          <cell r="C2135" t="str">
            <v>INE314C01013</v>
          </cell>
          <cell r="D2135" t="str">
            <v>SOMATEX</v>
          </cell>
          <cell r="E2135">
            <v>319.59191550000003</v>
          </cell>
          <cell r="F2135" t="str">
            <v>SOMATEX</v>
          </cell>
          <cell r="G2135">
            <v>315.96269999999998</v>
          </cell>
          <cell r="H2135" t="str">
            <v>-</v>
          </cell>
          <cell r="I2135" t="str">
            <v>-</v>
          </cell>
          <cell r="J2135">
            <v>317.77730774999998</v>
          </cell>
          <cell r="K2135" t="str">
            <v>Small Cap</v>
          </cell>
        </row>
        <row r="2136">
          <cell r="C2136" t="str">
            <v>INE650G01029</v>
          </cell>
          <cell r="D2136" t="str">
            <v>MENNPIS</v>
          </cell>
          <cell r="E2136">
            <v>317.70814285700004</v>
          </cell>
          <cell r="F2136" t="str">
            <v>-</v>
          </cell>
          <cell r="G2136" t="str">
            <v>-</v>
          </cell>
          <cell r="H2136" t="str">
            <v>-</v>
          </cell>
          <cell r="I2136" t="str">
            <v>-</v>
          </cell>
          <cell r="J2136">
            <v>317.70814285700004</v>
          </cell>
          <cell r="K2136" t="str">
            <v>Small Cap</v>
          </cell>
        </row>
        <row r="2137">
          <cell r="C2137" t="str">
            <v>INE461A01024</v>
          </cell>
          <cell r="D2137" t="str">
            <v>BARODARY</v>
          </cell>
          <cell r="E2137">
            <v>317.53779802600002</v>
          </cell>
          <cell r="F2137" t="str">
            <v>-</v>
          </cell>
          <cell r="G2137" t="str">
            <v>-</v>
          </cell>
          <cell r="H2137" t="str">
            <v>-</v>
          </cell>
          <cell r="I2137" t="str">
            <v>-</v>
          </cell>
          <cell r="J2137">
            <v>317.53779802600002</v>
          </cell>
          <cell r="K2137" t="str">
            <v>Small Cap</v>
          </cell>
        </row>
        <row r="2138">
          <cell r="C2138" t="str">
            <v>INE631R01026</v>
          </cell>
          <cell r="D2138" t="str">
            <v>MADHAVIPL</v>
          </cell>
          <cell r="E2138">
            <v>316.06512327399997</v>
          </cell>
          <cell r="F2138" t="str">
            <v>-</v>
          </cell>
          <cell r="G2138" t="str">
            <v>-</v>
          </cell>
          <cell r="H2138" t="str">
            <v>-</v>
          </cell>
          <cell r="I2138" t="str">
            <v>-</v>
          </cell>
          <cell r="J2138">
            <v>316.06512327399997</v>
          </cell>
          <cell r="K2138" t="str">
            <v>Small Cap</v>
          </cell>
        </row>
        <row r="2139">
          <cell r="C2139" t="str">
            <v>INE454M01024</v>
          </cell>
          <cell r="D2139" t="str">
            <v>NAGAFERT</v>
          </cell>
          <cell r="E2139">
            <v>315.94445075200002</v>
          </cell>
          <cell r="F2139" t="str">
            <v>NAGAFERT</v>
          </cell>
          <cell r="G2139">
            <v>315.31319999999999</v>
          </cell>
          <cell r="H2139" t="str">
            <v>-</v>
          </cell>
          <cell r="I2139" t="str">
            <v>-</v>
          </cell>
          <cell r="J2139">
            <v>315.62882537600001</v>
          </cell>
          <cell r="K2139" t="str">
            <v>Small Cap</v>
          </cell>
        </row>
        <row r="2140">
          <cell r="C2140" t="str">
            <v>INE847C01020</v>
          </cell>
          <cell r="D2140" t="str">
            <v>ROSSELLIND</v>
          </cell>
          <cell r="E2140">
            <v>237.43184614400002</v>
          </cell>
          <cell r="F2140" t="str">
            <v>ROSSELLIND</v>
          </cell>
          <cell r="G2140">
            <v>392.96120000000002</v>
          </cell>
          <cell r="H2140" t="str">
            <v>-</v>
          </cell>
          <cell r="I2140" t="str">
            <v>-</v>
          </cell>
          <cell r="J2140">
            <v>315.19652307199999</v>
          </cell>
          <cell r="K2140" t="str">
            <v>Small Cap</v>
          </cell>
        </row>
        <row r="2141">
          <cell r="C2141" t="str">
            <v>INE118K01011</v>
          </cell>
          <cell r="D2141" t="str">
            <v>BINNY</v>
          </cell>
          <cell r="E2141">
            <v>314.59208395000002</v>
          </cell>
          <cell r="F2141" t="str">
            <v>-</v>
          </cell>
          <cell r="G2141" t="str">
            <v>-</v>
          </cell>
          <cell r="H2141" t="str">
            <v>-</v>
          </cell>
          <cell r="I2141" t="str">
            <v>-</v>
          </cell>
          <cell r="J2141">
            <v>314.59208395000002</v>
          </cell>
          <cell r="K2141" t="str">
            <v>Small Cap</v>
          </cell>
        </row>
        <row r="2142">
          <cell r="C2142" t="str">
            <v>INE799B01017</v>
          </cell>
          <cell r="D2142" t="str">
            <v>HUIL</v>
          </cell>
          <cell r="E2142">
            <v>314.07558355999998</v>
          </cell>
          <cell r="F2142" t="str">
            <v>-</v>
          </cell>
          <cell r="G2142" t="str">
            <v>-</v>
          </cell>
          <cell r="H2142" t="str">
            <v>-</v>
          </cell>
          <cell r="I2142" t="str">
            <v>-</v>
          </cell>
          <cell r="J2142">
            <v>314.07558355999998</v>
          </cell>
          <cell r="K2142" t="str">
            <v>Small Cap</v>
          </cell>
        </row>
        <row r="2143">
          <cell r="C2143" t="str">
            <v>INE0TJ801010</v>
          </cell>
          <cell r="D2143" t="str">
            <v>LTELEVATOR</v>
          </cell>
          <cell r="E2143">
            <v>311.321896498</v>
          </cell>
          <cell r="F2143" t="str">
            <v>-</v>
          </cell>
          <cell r="G2143" t="str">
            <v>-</v>
          </cell>
          <cell r="H2143" t="str">
            <v>-</v>
          </cell>
          <cell r="I2143" t="str">
            <v>-</v>
          </cell>
          <cell r="J2143">
            <v>311.321896498</v>
          </cell>
          <cell r="K2143" t="str">
            <v>Small Cap</v>
          </cell>
        </row>
        <row r="2144">
          <cell r="C2144" t="str">
            <v>INE822E01011</v>
          </cell>
          <cell r="D2144" t="str">
            <v>SUPREME</v>
          </cell>
          <cell r="E2144">
            <v>311.18169986700002</v>
          </cell>
          <cell r="F2144" t="str">
            <v>SUPREME</v>
          </cell>
          <cell r="G2144">
            <v>310.98419999999999</v>
          </cell>
          <cell r="H2144" t="str">
            <v>-</v>
          </cell>
          <cell r="I2144" t="str">
            <v>-</v>
          </cell>
          <cell r="J2144">
            <v>311.0829499335</v>
          </cell>
          <cell r="K2144" t="str">
            <v>Small Cap</v>
          </cell>
        </row>
        <row r="2145">
          <cell r="C2145" t="str">
            <v>INE1BZC01019</v>
          </cell>
          <cell r="D2145" t="str">
            <v>OMFREIGHT</v>
          </cell>
          <cell r="E2145">
            <v>310.14211165400002</v>
          </cell>
          <cell r="F2145" t="str">
            <v>OMFREIGHT</v>
          </cell>
          <cell r="G2145">
            <v>309.99520000000001</v>
          </cell>
          <cell r="H2145" t="str">
            <v>-</v>
          </cell>
          <cell r="I2145" t="str">
            <v>-</v>
          </cell>
          <cell r="J2145">
            <v>310.06865582700004</v>
          </cell>
          <cell r="K2145" t="str">
            <v>Small Cap</v>
          </cell>
        </row>
        <row r="2146">
          <cell r="C2146" t="str">
            <v>INE878I01022</v>
          </cell>
          <cell r="D2146" t="str">
            <v>BAFNAPH</v>
          </cell>
          <cell r="E2146">
            <v>312.91999142199995</v>
          </cell>
          <cell r="F2146" t="str">
            <v>BAFNAPH</v>
          </cell>
          <cell r="G2146">
            <v>307.13510000000002</v>
          </cell>
          <cell r="H2146" t="str">
            <v>-</v>
          </cell>
          <cell r="I2146" t="str">
            <v>-</v>
          </cell>
          <cell r="J2146">
            <v>310.02754571100002</v>
          </cell>
          <cell r="K2146" t="str">
            <v>Small Cap</v>
          </cell>
        </row>
        <row r="2147">
          <cell r="C2147" t="str">
            <v>INE678F01014</v>
          </cell>
          <cell r="D2147" t="str">
            <v>MULTIBASE</v>
          </cell>
          <cell r="E2147">
            <v>309.55608015900003</v>
          </cell>
          <cell r="F2147" t="str">
            <v>-</v>
          </cell>
          <cell r="G2147" t="str">
            <v>-</v>
          </cell>
          <cell r="H2147" t="str">
            <v>-</v>
          </cell>
          <cell r="I2147" t="str">
            <v>-</v>
          </cell>
          <cell r="J2147">
            <v>309.55608015900003</v>
          </cell>
          <cell r="K2147" t="str">
            <v>Small Cap</v>
          </cell>
        </row>
        <row r="2148">
          <cell r="C2148" t="str">
            <v>INE510U01018</v>
          </cell>
          <cell r="D2148" t="str">
            <v>PESB</v>
          </cell>
          <cell r="E2148">
            <v>309.54167581900003</v>
          </cell>
          <cell r="F2148" t="str">
            <v>-</v>
          </cell>
          <cell r="G2148" t="str">
            <v>-</v>
          </cell>
          <cell r="H2148" t="str">
            <v>-</v>
          </cell>
          <cell r="I2148" t="str">
            <v>-</v>
          </cell>
          <cell r="J2148">
            <v>309.54167581900003</v>
          </cell>
          <cell r="K2148" t="str">
            <v>Small Cap</v>
          </cell>
        </row>
        <row r="2149">
          <cell r="C2149" t="str">
            <v>INE0CPR01018</v>
          </cell>
          <cell r="D2149" t="str">
            <v>EKI</v>
          </cell>
          <cell r="E2149">
            <v>308.96507182300002</v>
          </cell>
          <cell r="F2149" t="str">
            <v>-</v>
          </cell>
          <cell r="G2149" t="str">
            <v>-</v>
          </cell>
          <cell r="H2149" t="str">
            <v>-</v>
          </cell>
          <cell r="I2149" t="str">
            <v>-</v>
          </cell>
          <cell r="J2149">
            <v>308.96507182300002</v>
          </cell>
          <cell r="K2149" t="str">
            <v>Small Cap</v>
          </cell>
        </row>
        <row r="2150">
          <cell r="C2150" t="str">
            <v>INE600A01035</v>
          </cell>
          <cell r="D2150" t="str">
            <v>PILITA</v>
          </cell>
          <cell r="E2150">
            <v>308.88511904799998</v>
          </cell>
          <cell r="F2150" t="str">
            <v>PILITA</v>
          </cell>
          <cell r="G2150">
            <v>308.65940000000001</v>
          </cell>
          <cell r="H2150" t="str">
            <v>-</v>
          </cell>
          <cell r="I2150" t="str">
            <v>-</v>
          </cell>
          <cell r="J2150">
            <v>308.77225952399999</v>
          </cell>
          <cell r="K2150" t="str">
            <v>Small Cap</v>
          </cell>
        </row>
        <row r="2151">
          <cell r="C2151" t="str">
            <v>INE689O01013</v>
          </cell>
          <cell r="D2151" t="str">
            <v>MERCANTILE</v>
          </cell>
          <cell r="E2151">
            <v>307.49879372100003</v>
          </cell>
          <cell r="F2151" t="str">
            <v>-</v>
          </cell>
          <cell r="G2151" t="str">
            <v>-</v>
          </cell>
          <cell r="H2151" t="str">
            <v>-</v>
          </cell>
          <cell r="I2151" t="str">
            <v>-</v>
          </cell>
          <cell r="J2151">
            <v>307.49879372100003</v>
          </cell>
          <cell r="K2151" t="str">
            <v>Small Cap</v>
          </cell>
        </row>
        <row r="2152">
          <cell r="C2152" t="str">
            <v>INE732K01027</v>
          </cell>
          <cell r="D2152" t="str">
            <v>PROFINC</v>
          </cell>
          <cell r="E2152">
            <v>307.37538470599998</v>
          </cell>
          <cell r="F2152" t="str">
            <v>-</v>
          </cell>
          <cell r="G2152" t="str">
            <v>-</v>
          </cell>
          <cell r="H2152" t="str">
            <v>-</v>
          </cell>
          <cell r="I2152" t="str">
            <v>-</v>
          </cell>
          <cell r="J2152">
            <v>307.37538470599998</v>
          </cell>
          <cell r="K2152" t="str">
            <v>Small Cap</v>
          </cell>
        </row>
        <row r="2153">
          <cell r="C2153" t="str">
            <v>INE467D01017</v>
          </cell>
          <cell r="D2153" t="str">
            <v>VIRAT</v>
          </cell>
          <cell r="E2153">
            <v>307.24181418299997</v>
          </cell>
          <cell r="F2153" t="str">
            <v>-</v>
          </cell>
          <cell r="G2153" t="str">
            <v>-</v>
          </cell>
          <cell r="H2153" t="str">
            <v>-</v>
          </cell>
          <cell r="I2153" t="str">
            <v>-</v>
          </cell>
          <cell r="J2153">
            <v>307.24181418299997</v>
          </cell>
          <cell r="K2153" t="str">
            <v>Small Cap</v>
          </cell>
        </row>
        <row r="2154">
          <cell r="C2154" t="str">
            <v>INE717E01013</v>
          </cell>
          <cell r="D2154" t="str">
            <v>TALBROSENG</v>
          </cell>
          <cell r="E2154">
            <v>306.69839930000001</v>
          </cell>
          <cell r="F2154" t="str">
            <v>-</v>
          </cell>
          <cell r="G2154" t="str">
            <v>-</v>
          </cell>
          <cell r="H2154" t="str">
            <v>-</v>
          </cell>
          <cell r="I2154" t="str">
            <v>-</v>
          </cell>
          <cell r="J2154">
            <v>306.69839930000001</v>
          </cell>
          <cell r="K2154" t="str">
            <v>Small Cap</v>
          </cell>
        </row>
        <row r="2155">
          <cell r="C2155" t="str">
            <v>INE0MGS01014</v>
          </cell>
          <cell r="D2155" t="str">
            <v>SHILINDORE</v>
          </cell>
          <cell r="E2155">
            <v>304.78030895099999</v>
          </cell>
          <cell r="F2155" t="str">
            <v>-</v>
          </cell>
          <cell r="G2155" t="str">
            <v>-</v>
          </cell>
          <cell r="H2155" t="str">
            <v>-</v>
          </cell>
          <cell r="I2155" t="str">
            <v>-</v>
          </cell>
          <cell r="J2155">
            <v>304.78030895099999</v>
          </cell>
          <cell r="K2155" t="str">
            <v>Small Cap</v>
          </cell>
        </row>
        <row r="2156">
          <cell r="C2156" t="str">
            <v>INE792H01019</v>
          </cell>
          <cell r="D2156" t="str">
            <v>GLOBALVECT</v>
          </cell>
          <cell r="E2156">
            <v>304.15111111100003</v>
          </cell>
          <cell r="F2156" t="str">
            <v>GLOBALVECT</v>
          </cell>
          <cell r="G2156">
            <v>303.99259999999998</v>
          </cell>
          <cell r="H2156" t="str">
            <v>-</v>
          </cell>
          <cell r="I2156" t="str">
            <v>-</v>
          </cell>
          <cell r="J2156">
            <v>304.07185555550001</v>
          </cell>
          <cell r="K2156" t="str">
            <v>Small Cap</v>
          </cell>
        </row>
        <row r="2157">
          <cell r="C2157" t="str">
            <v>INE0O6A01019</v>
          </cell>
          <cell r="D2157" t="str">
            <v>ITCONS</v>
          </cell>
          <cell r="E2157">
            <v>303.81907351000001</v>
          </cell>
          <cell r="F2157" t="str">
            <v>-</v>
          </cell>
          <cell r="G2157" t="str">
            <v>-</v>
          </cell>
          <cell r="H2157" t="str">
            <v>-</v>
          </cell>
          <cell r="I2157" t="str">
            <v>-</v>
          </cell>
          <cell r="J2157">
            <v>303.81907351000001</v>
          </cell>
          <cell r="K2157" t="str">
            <v>Small Cap</v>
          </cell>
        </row>
        <row r="2158">
          <cell r="C2158" t="str">
            <v>INE704H01022</v>
          </cell>
          <cell r="D2158" t="str">
            <v>CINELINE</v>
          </cell>
          <cell r="E2158">
            <v>303.27697780799997</v>
          </cell>
          <cell r="F2158" t="str">
            <v>CINELINE</v>
          </cell>
          <cell r="G2158">
            <v>302.58679999999998</v>
          </cell>
          <cell r="H2158" t="str">
            <v>-</v>
          </cell>
          <cell r="I2158" t="str">
            <v>-</v>
          </cell>
          <cell r="J2158">
            <v>302.93188890399995</v>
          </cell>
          <cell r="K2158" t="str">
            <v>Small Cap</v>
          </cell>
        </row>
        <row r="2159">
          <cell r="C2159" t="str">
            <v>INE073D01013</v>
          </cell>
          <cell r="D2159" t="str">
            <v>SUNDRMBRAK</v>
          </cell>
          <cell r="E2159">
            <v>302.51417062500002</v>
          </cell>
          <cell r="F2159" t="str">
            <v>SUNDRMBRAK</v>
          </cell>
          <cell r="G2159">
            <v>302.62349999999998</v>
          </cell>
          <cell r="H2159" t="str">
            <v>-</v>
          </cell>
          <cell r="I2159" t="str">
            <v>-</v>
          </cell>
          <cell r="J2159">
            <v>302.56883531250003</v>
          </cell>
          <cell r="K2159" t="str">
            <v>Small Cap</v>
          </cell>
        </row>
        <row r="2160">
          <cell r="C2160" t="str">
            <v>INE184S01024</v>
          </cell>
          <cell r="D2160" t="str">
            <v>ALSTONE</v>
          </cell>
          <cell r="E2160">
            <v>302.48520000000002</v>
          </cell>
          <cell r="F2160" t="str">
            <v>-</v>
          </cell>
          <cell r="G2160" t="str">
            <v>-</v>
          </cell>
          <cell r="H2160" t="str">
            <v>-</v>
          </cell>
          <cell r="I2160" t="str">
            <v>-</v>
          </cell>
          <cell r="J2160">
            <v>302.48520000000002</v>
          </cell>
          <cell r="K2160" t="str">
            <v>Small Cap</v>
          </cell>
        </row>
        <row r="2161">
          <cell r="C2161" t="str">
            <v>INE645W01026</v>
          </cell>
          <cell r="D2161" t="str">
            <v>AIRAN</v>
          </cell>
          <cell r="E2161">
            <v>302.48092888899998</v>
          </cell>
          <cell r="F2161" t="str">
            <v>AIRAN</v>
          </cell>
          <cell r="G2161">
            <v>302.08300000000003</v>
          </cell>
          <cell r="H2161" t="str">
            <v>-</v>
          </cell>
          <cell r="I2161" t="str">
            <v>-</v>
          </cell>
          <cell r="J2161">
            <v>302.28196444449998</v>
          </cell>
          <cell r="K2161" t="str">
            <v>Small Cap</v>
          </cell>
        </row>
        <row r="2162">
          <cell r="C2162" t="str">
            <v>INE0B1K01014</v>
          </cell>
          <cell r="D2162" t="str">
            <v>DJML</v>
          </cell>
          <cell r="E2162">
            <v>302.38496199000002</v>
          </cell>
          <cell r="F2162" t="str">
            <v>DJML</v>
          </cell>
          <cell r="G2162">
            <v>301.2944</v>
          </cell>
          <cell r="H2162" t="str">
            <v>-</v>
          </cell>
          <cell r="I2162" t="str">
            <v>-</v>
          </cell>
          <cell r="J2162">
            <v>301.83968099499998</v>
          </cell>
          <cell r="K2162" t="str">
            <v>Small Cap</v>
          </cell>
        </row>
        <row r="2163">
          <cell r="C2163" t="str">
            <v>INE992I01013</v>
          </cell>
          <cell r="D2163" t="str">
            <v>STARTECK</v>
          </cell>
          <cell r="E2163">
            <v>301.31925771199997</v>
          </cell>
          <cell r="F2163" t="str">
            <v>STARTECK</v>
          </cell>
          <cell r="G2163">
            <v>301.1678</v>
          </cell>
          <cell r="H2163" t="str">
            <v>-</v>
          </cell>
          <cell r="I2163" t="str">
            <v>-</v>
          </cell>
          <cell r="J2163">
            <v>301.24352885600001</v>
          </cell>
          <cell r="K2163" t="str">
            <v>Small Cap</v>
          </cell>
        </row>
        <row r="2164">
          <cell r="C2164" t="str">
            <v>INE0GYI01028</v>
          </cell>
          <cell r="D2164" t="str">
            <v>HSIL</v>
          </cell>
          <cell r="E2164">
            <v>301.18810609499997</v>
          </cell>
          <cell r="F2164" t="str">
            <v>-</v>
          </cell>
          <cell r="G2164" t="str">
            <v>-</v>
          </cell>
          <cell r="H2164" t="str">
            <v>-</v>
          </cell>
          <cell r="I2164" t="str">
            <v>-</v>
          </cell>
          <cell r="J2164">
            <v>301.18810609499997</v>
          </cell>
          <cell r="K2164" t="str">
            <v>Small Cap</v>
          </cell>
        </row>
        <row r="2165">
          <cell r="C2165" t="str">
            <v>INE726L01019</v>
          </cell>
          <cell r="D2165" t="str">
            <v>DELPHIFX</v>
          </cell>
          <cell r="E2165">
            <v>300.23496615199997</v>
          </cell>
          <cell r="F2165" t="str">
            <v>DELPHIFX</v>
          </cell>
          <cell r="G2165">
            <v>299.97770000000003</v>
          </cell>
          <cell r="H2165" t="str">
            <v>-</v>
          </cell>
          <cell r="I2165" t="str">
            <v>-</v>
          </cell>
          <cell r="J2165">
            <v>300.106333076</v>
          </cell>
          <cell r="K2165" t="str">
            <v>Small Cap</v>
          </cell>
        </row>
        <row r="2166">
          <cell r="C2166" t="str">
            <v>INE832A01018</v>
          </cell>
          <cell r="D2166" t="str">
            <v>MODIRUBBER</v>
          </cell>
          <cell r="E2166">
            <v>300.15946594299999</v>
          </cell>
          <cell r="F2166" t="str">
            <v>MODIRUBBER</v>
          </cell>
          <cell r="G2166">
            <v>299.69029999999998</v>
          </cell>
          <cell r="H2166" t="str">
            <v>-</v>
          </cell>
          <cell r="I2166" t="str">
            <v>-</v>
          </cell>
          <cell r="J2166">
            <v>299.92488297149998</v>
          </cell>
          <cell r="K2166" t="str">
            <v>Small Cap</v>
          </cell>
        </row>
        <row r="2167">
          <cell r="C2167" t="str">
            <v>INE509C01026</v>
          </cell>
          <cell r="D2167" t="str">
            <v>GENNEX</v>
          </cell>
          <cell r="E2167">
            <v>299.79769601499999</v>
          </cell>
          <cell r="F2167" t="str">
            <v>-</v>
          </cell>
          <cell r="G2167" t="str">
            <v>-</v>
          </cell>
          <cell r="H2167" t="str">
            <v>-</v>
          </cell>
          <cell r="I2167" t="str">
            <v>-</v>
          </cell>
          <cell r="J2167">
            <v>299.79769601499999</v>
          </cell>
          <cell r="K2167" t="str">
            <v>Small Cap</v>
          </cell>
        </row>
        <row r="2168">
          <cell r="C2168" t="str">
            <v>INE725P01012</v>
          </cell>
          <cell r="D2168" t="str">
            <v>WAAREE</v>
          </cell>
          <cell r="E2168">
            <v>299.26068394399999</v>
          </cell>
          <cell r="F2168" t="str">
            <v>-</v>
          </cell>
          <cell r="G2168" t="str">
            <v>-</v>
          </cell>
          <cell r="H2168" t="str">
            <v>-</v>
          </cell>
          <cell r="I2168" t="str">
            <v>-</v>
          </cell>
          <cell r="J2168">
            <v>299.26068394399999</v>
          </cell>
          <cell r="K2168" t="str">
            <v>Small Cap</v>
          </cell>
        </row>
        <row r="2169">
          <cell r="C2169" t="str">
            <v>INE0DN001027</v>
          </cell>
          <cell r="D2169" t="str">
            <v>ASARFI</v>
          </cell>
          <cell r="E2169">
            <v>298.63113792899998</v>
          </cell>
          <cell r="F2169" t="str">
            <v>-</v>
          </cell>
          <cell r="G2169" t="str">
            <v>-</v>
          </cell>
          <cell r="H2169" t="str">
            <v>-</v>
          </cell>
          <cell r="I2169" t="str">
            <v>-</v>
          </cell>
          <cell r="J2169">
            <v>298.63113792899998</v>
          </cell>
          <cell r="K2169" t="str">
            <v>Small Cap</v>
          </cell>
        </row>
        <row r="2170">
          <cell r="C2170" t="str">
            <v>INE819L01012</v>
          </cell>
          <cell r="D2170" t="str">
            <v>-</v>
          </cell>
          <cell r="E2170" t="str">
            <v>-</v>
          </cell>
          <cell r="F2170" t="str">
            <v>ELGIRUBCO</v>
          </cell>
          <cell r="G2170">
            <v>298.57330000000002</v>
          </cell>
          <cell r="H2170" t="str">
            <v>-</v>
          </cell>
          <cell r="I2170" t="str">
            <v>-</v>
          </cell>
          <cell r="J2170">
            <v>298.57330000000002</v>
          </cell>
          <cell r="K2170" t="str">
            <v>Small Cap</v>
          </cell>
        </row>
        <row r="2171">
          <cell r="C2171" t="str">
            <v>INE07GA01011</v>
          </cell>
          <cell r="D2171" t="str">
            <v>SGFRL</v>
          </cell>
          <cell r="E2171">
            <v>298.42361849700001</v>
          </cell>
          <cell r="F2171" t="str">
            <v>-</v>
          </cell>
          <cell r="G2171" t="str">
            <v>-</v>
          </cell>
          <cell r="H2171" t="str">
            <v>-</v>
          </cell>
          <cell r="I2171" t="str">
            <v>-</v>
          </cell>
          <cell r="J2171">
            <v>298.42361849700001</v>
          </cell>
          <cell r="K2171" t="str">
            <v>Small Cap</v>
          </cell>
        </row>
        <row r="2172">
          <cell r="C2172" t="str">
            <v>INE348N01034</v>
          </cell>
          <cell r="D2172" t="str">
            <v>MANBRO</v>
          </cell>
          <cell r="E2172">
            <v>298.388286569</v>
          </cell>
          <cell r="F2172" t="str">
            <v>-</v>
          </cell>
          <cell r="G2172" t="str">
            <v>-</v>
          </cell>
          <cell r="H2172" t="str">
            <v>-</v>
          </cell>
          <cell r="I2172" t="str">
            <v>-</v>
          </cell>
          <cell r="J2172">
            <v>298.388286569</v>
          </cell>
          <cell r="K2172" t="str">
            <v>Small Cap</v>
          </cell>
        </row>
        <row r="2173">
          <cell r="C2173" t="str">
            <v>INE372E01025</v>
          </cell>
          <cell r="D2173" t="str">
            <v>BIRLAPREC</v>
          </cell>
          <cell r="E2173">
            <v>298.01326147700001</v>
          </cell>
          <cell r="F2173" t="str">
            <v>-</v>
          </cell>
          <cell r="G2173" t="str">
            <v>-</v>
          </cell>
          <cell r="H2173" t="str">
            <v>-</v>
          </cell>
          <cell r="I2173" t="str">
            <v>-</v>
          </cell>
          <cell r="J2173">
            <v>298.01326147700001</v>
          </cell>
          <cell r="K2173" t="str">
            <v>Small Cap</v>
          </cell>
        </row>
        <row r="2174">
          <cell r="C2174" t="str">
            <v>INE231C01019</v>
          </cell>
          <cell r="D2174" t="str">
            <v>SHREYANIND</v>
          </cell>
          <cell r="E2174">
            <v>297.94575694399998</v>
          </cell>
          <cell r="F2174" t="str">
            <v>SHREYANIND</v>
          </cell>
          <cell r="G2174">
            <v>297.80590000000001</v>
          </cell>
          <cell r="H2174" t="str">
            <v>-</v>
          </cell>
          <cell r="I2174" t="str">
            <v>-</v>
          </cell>
          <cell r="J2174">
            <v>297.87582847199997</v>
          </cell>
          <cell r="K2174" t="str">
            <v>Small Cap</v>
          </cell>
        </row>
        <row r="2175">
          <cell r="C2175" t="str">
            <v>INE06IR01021</v>
          </cell>
          <cell r="D2175" t="str">
            <v>-</v>
          </cell>
          <cell r="E2175" t="str">
            <v>-</v>
          </cell>
          <cell r="F2175" t="str">
            <v>OSIAHYPER</v>
          </cell>
          <cell r="G2175">
            <v>296.9384</v>
          </cell>
          <cell r="H2175" t="str">
            <v>-</v>
          </cell>
          <cell r="I2175" t="str">
            <v>-</v>
          </cell>
          <cell r="J2175">
            <v>296.9384</v>
          </cell>
          <cell r="K2175" t="str">
            <v>Small Cap</v>
          </cell>
        </row>
        <row r="2176">
          <cell r="C2176" t="str">
            <v>INE280H01015</v>
          </cell>
          <cell r="D2176" t="str">
            <v>SAHYADRI</v>
          </cell>
          <cell r="E2176">
            <v>296.36759748400004</v>
          </cell>
          <cell r="F2176" t="str">
            <v>SAHYADRI</v>
          </cell>
          <cell r="G2176">
            <v>296.95179999999999</v>
          </cell>
          <cell r="H2176" t="str">
            <v>-</v>
          </cell>
          <cell r="I2176" t="str">
            <v>-</v>
          </cell>
          <cell r="J2176">
            <v>296.65969874200005</v>
          </cell>
          <cell r="K2176" t="str">
            <v>Small Cap</v>
          </cell>
        </row>
        <row r="2177">
          <cell r="C2177" t="str">
            <v>INE454E01013</v>
          </cell>
          <cell r="D2177" t="str">
            <v>ABATEAS</v>
          </cell>
          <cell r="E2177">
            <v>296.20757475799996</v>
          </cell>
          <cell r="F2177" t="str">
            <v>-</v>
          </cell>
          <cell r="G2177" t="str">
            <v>-</v>
          </cell>
          <cell r="H2177" t="str">
            <v>-</v>
          </cell>
          <cell r="I2177" t="str">
            <v>-</v>
          </cell>
          <cell r="J2177">
            <v>296.20757475799996</v>
          </cell>
          <cell r="K2177" t="str">
            <v>Small Cap</v>
          </cell>
        </row>
        <row r="2178">
          <cell r="C2178" t="str">
            <v>INE371C01013</v>
          </cell>
          <cell r="D2178" t="str">
            <v>PODDARMENT</v>
          </cell>
          <cell r="E2178">
            <v>295.71417301599996</v>
          </cell>
          <cell r="F2178" t="str">
            <v>PODDARMENT</v>
          </cell>
          <cell r="G2178">
            <v>296.5204</v>
          </cell>
          <cell r="H2178" t="str">
            <v>-</v>
          </cell>
          <cell r="I2178" t="str">
            <v>-</v>
          </cell>
          <cell r="J2178">
            <v>296.11728650800001</v>
          </cell>
          <cell r="K2178" t="str">
            <v>Small Cap</v>
          </cell>
        </row>
        <row r="2179">
          <cell r="C2179" t="str">
            <v>INE959B01017</v>
          </cell>
          <cell r="D2179" t="str">
            <v>GTTDATA</v>
          </cell>
          <cell r="E2179">
            <v>296.079175179</v>
          </cell>
          <cell r="F2179" t="str">
            <v>-</v>
          </cell>
          <cell r="G2179" t="str">
            <v>-</v>
          </cell>
          <cell r="H2179" t="str">
            <v>-</v>
          </cell>
          <cell r="I2179" t="str">
            <v>-</v>
          </cell>
          <cell r="J2179">
            <v>296.079175179</v>
          </cell>
          <cell r="K2179" t="str">
            <v>Small Cap</v>
          </cell>
        </row>
        <row r="2180">
          <cell r="C2180" t="str">
            <v>INE08KP01019</v>
          </cell>
          <cell r="D2180" t="str">
            <v>DCMNVL</v>
          </cell>
          <cell r="E2180">
            <v>296.093463106</v>
          </cell>
          <cell r="F2180" t="str">
            <v>DCMNVL</v>
          </cell>
          <cell r="G2180">
            <v>295.54199999999997</v>
          </cell>
          <cell r="H2180" t="str">
            <v>-</v>
          </cell>
          <cell r="I2180" t="str">
            <v>-</v>
          </cell>
          <cell r="J2180">
            <v>295.81773155299999</v>
          </cell>
          <cell r="K2180" t="str">
            <v>Small Cap</v>
          </cell>
        </row>
        <row r="2181">
          <cell r="C2181" t="str">
            <v>INE527H01019</v>
          </cell>
          <cell r="D2181" t="str">
            <v>UFO</v>
          </cell>
          <cell r="E2181">
            <v>295.82358993899999</v>
          </cell>
          <cell r="F2181" t="str">
            <v>UFO</v>
          </cell>
          <cell r="G2181">
            <v>295.74160000000001</v>
          </cell>
          <cell r="H2181" t="str">
            <v>-</v>
          </cell>
          <cell r="I2181" t="str">
            <v>-</v>
          </cell>
          <cell r="J2181">
            <v>295.7825949695</v>
          </cell>
          <cell r="K2181" t="str">
            <v>Small Cap</v>
          </cell>
        </row>
        <row r="2182">
          <cell r="C2182" t="str">
            <v>INE13VU01016</v>
          </cell>
          <cell r="D2182" t="str">
            <v>BEEZAASAN</v>
          </cell>
          <cell r="E2182">
            <v>295.65808374800002</v>
          </cell>
          <cell r="F2182" t="str">
            <v>-</v>
          </cell>
          <cell r="G2182" t="str">
            <v>-</v>
          </cell>
          <cell r="H2182" t="str">
            <v>-</v>
          </cell>
          <cell r="I2182" t="str">
            <v>-</v>
          </cell>
          <cell r="J2182">
            <v>295.65808374800002</v>
          </cell>
          <cell r="K2182" t="str">
            <v>Small Cap</v>
          </cell>
        </row>
        <row r="2183">
          <cell r="C2183" t="str">
            <v>INE139B01016</v>
          </cell>
          <cell r="D2183" t="str">
            <v>UCAL</v>
          </cell>
          <cell r="E2183">
            <v>294.77725382399996</v>
          </cell>
          <cell r="F2183" t="str">
            <v>UCAL</v>
          </cell>
          <cell r="G2183">
            <v>294.81099999999998</v>
          </cell>
          <cell r="H2183" t="str">
            <v>-</v>
          </cell>
          <cell r="I2183" t="str">
            <v>-</v>
          </cell>
          <cell r="J2183">
            <v>294.79412691199997</v>
          </cell>
          <cell r="K2183" t="str">
            <v>Small Cap</v>
          </cell>
        </row>
        <row r="2184">
          <cell r="C2184" t="str">
            <v>INE0P3N01018</v>
          </cell>
          <cell r="D2184" t="str">
            <v>KAKA</v>
          </cell>
          <cell r="E2184">
            <v>294.77466904800002</v>
          </cell>
          <cell r="F2184" t="str">
            <v>-</v>
          </cell>
          <cell r="G2184" t="str">
            <v>-</v>
          </cell>
          <cell r="H2184" t="str">
            <v>-</v>
          </cell>
          <cell r="I2184" t="str">
            <v>-</v>
          </cell>
          <cell r="J2184">
            <v>294.77466904800002</v>
          </cell>
          <cell r="K2184" t="str">
            <v>Small Cap</v>
          </cell>
        </row>
        <row r="2185">
          <cell r="C2185" t="str">
            <v>INE05CY01014</v>
          </cell>
          <cell r="D2185" t="str">
            <v>TIERRA</v>
          </cell>
          <cell r="E2185">
            <v>294.56982239600001</v>
          </cell>
          <cell r="F2185" t="str">
            <v>-</v>
          </cell>
          <cell r="G2185" t="str">
            <v>-</v>
          </cell>
          <cell r="H2185" t="str">
            <v>-</v>
          </cell>
          <cell r="I2185" t="str">
            <v>-</v>
          </cell>
          <cell r="J2185">
            <v>294.56982239600001</v>
          </cell>
          <cell r="K2185" t="str">
            <v>Small Cap</v>
          </cell>
        </row>
        <row r="2186">
          <cell r="C2186" t="str">
            <v>INE152C01025</v>
          </cell>
          <cell r="D2186" t="str">
            <v>UYFINCORP</v>
          </cell>
          <cell r="E2186">
            <v>294.54177727199999</v>
          </cell>
          <cell r="F2186" t="str">
            <v>UYFINCORP</v>
          </cell>
          <cell r="G2186">
            <v>294.37869999999998</v>
          </cell>
          <cell r="H2186" t="str">
            <v>-</v>
          </cell>
          <cell r="I2186" t="str">
            <v>-</v>
          </cell>
          <cell r="J2186">
            <v>294.46023863599999</v>
          </cell>
          <cell r="K2186" t="str">
            <v>Small Cap</v>
          </cell>
        </row>
        <row r="2187">
          <cell r="C2187" t="str">
            <v>INE715Q01029</v>
          </cell>
          <cell r="D2187" t="str">
            <v>LLFICL</v>
          </cell>
          <cell r="E2187">
            <v>287.81667238099999</v>
          </cell>
          <cell r="F2187" t="str">
            <v>-</v>
          </cell>
          <cell r="G2187" t="str">
            <v>-</v>
          </cell>
          <cell r="H2187" t="str">
            <v>LLFICL</v>
          </cell>
          <cell r="I2187">
            <v>299.78207851190473</v>
          </cell>
          <cell r="J2187">
            <v>293.79937544645236</v>
          </cell>
          <cell r="K2187" t="str">
            <v>Small Cap</v>
          </cell>
        </row>
        <row r="2188">
          <cell r="C2188" t="str">
            <v>INE115S01010</v>
          </cell>
          <cell r="D2188" t="str">
            <v>HALDER</v>
          </cell>
          <cell r="E2188">
            <v>293.30335079099996</v>
          </cell>
          <cell r="F2188" t="str">
            <v>-</v>
          </cell>
          <cell r="G2188" t="str">
            <v>-</v>
          </cell>
          <cell r="H2188" t="str">
            <v>-</v>
          </cell>
          <cell r="I2188" t="str">
            <v>-</v>
          </cell>
          <cell r="J2188">
            <v>293.30335079099996</v>
          </cell>
          <cell r="K2188" t="str">
            <v>Small Cap</v>
          </cell>
        </row>
        <row r="2189">
          <cell r="C2189" t="str">
            <v>INE0WXM01011</v>
          </cell>
          <cell r="D2189" t="str">
            <v>CNINFOTECH</v>
          </cell>
          <cell r="E2189">
            <v>291.16584349999999</v>
          </cell>
          <cell r="F2189" t="str">
            <v>-</v>
          </cell>
          <cell r="G2189" t="str">
            <v>-</v>
          </cell>
          <cell r="H2189" t="str">
            <v>-</v>
          </cell>
          <cell r="I2189" t="str">
            <v>-</v>
          </cell>
          <cell r="J2189">
            <v>291.16584349999999</v>
          </cell>
          <cell r="K2189" t="str">
            <v>Small Cap</v>
          </cell>
        </row>
        <row r="2190">
          <cell r="C2190" t="str">
            <v>INE1E1V01017</v>
          </cell>
          <cell r="D2190" t="str">
            <v>HRS</v>
          </cell>
          <cell r="E2190">
            <v>290.80015450000002</v>
          </cell>
          <cell r="F2190" t="str">
            <v>-</v>
          </cell>
          <cell r="G2190" t="str">
            <v>-</v>
          </cell>
          <cell r="H2190" t="str">
            <v>-</v>
          </cell>
          <cell r="I2190" t="str">
            <v>-</v>
          </cell>
          <cell r="J2190">
            <v>290.80015450000002</v>
          </cell>
          <cell r="K2190" t="str">
            <v>Small Cap</v>
          </cell>
        </row>
        <row r="2191">
          <cell r="C2191" t="str">
            <v>INE123M01017</v>
          </cell>
          <cell r="D2191" t="str">
            <v>RDBRL</v>
          </cell>
          <cell r="E2191">
            <v>290.14874088900001</v>
          </cell>
          <cell r="F2191" t="str">
            <v>-</v>
          </cell>
          <cell r="G2191" t="str">
            <v>-</v>
          </cell>
          <cell r="H2191" t="str">
            <v>-</v>
          </cell>
          <cell r="I2191" t="str">
            <v>-</v>
          </cell>
          <cell r="J2191">
            <v>290.14874088900001</v>
          </cell>
          <cell r="K2191" t="str">
            <v>Small Cap</v>
          </cell>
        </row>
        <row r="2192">
          <cell r="C2192" t="str">
            <v>INE0QZR01017</v>
          </cell>
          <cell r="D2192" t="str">
            <v>METHODHUB</v>
          </cell>
          <cell r="E2192">
            <v>290.066825693</v>
          </cell>
          <cell r="F2192" t="str">
            <v>-</v>
          </cell>
          <cell r="G2192" t="str">
            <v>-</v>
          </cell>
          <cell r="H2192" t="str">
            <v>-</v>
          </cell>
          <cell r="I2192" t="str">
            <v>-</v>
          </cell>
          <cell r="J2192">
            <v>290.066825693</v>
          </cell>
          <cell r="K2192" t="str">
            <v>Small Cap</v>
          </cell>
        </row>
        <row r="2193">
          <cell r="C2193" t="str">
            <v>INE09BN01011</v>
          </cell>
          <cell r="D2193" t="str">
            <v>AVEER</v>
          </cell>
          <cell r="E2193">
            <v>289.10141184000003</v>
          </cell>
          <cell r="F2193" t="str">
            <v>-</v>
          </cell>
          <cell r="G2193" t="str">
            <v>-</v>
          </cell>
          <cell r="H2193" t="str">
            <v>-</v>
          </cell>
          <cell r="I2193" t="str">
            <v>-</v>
          </cell>
          <cell r="J2193">
            <v>289.10141184000003</v>
          </cell>
          <cell r="K2193" t="str">
            <v>Small Cap</v>
          </cell>
        </row>
        <row r="2194">
          <cell r="C2194" t="str">
            <v>INE18PB01017</v>
          </cell>
          <cell r="D2194" t="str">
            <v>BHAVIK</v>
          </cell>
          <cell r="E2194">
            <v>288.55781256799997</v>
          </cell>
          <cell r="F2194" t="str">
            <v>-</v>
          </cell>
          <cell r="G2194" t="str">
            <v>-</v>
          </cell>
          <cell r="H2194" t="str">
            <v>-</v>
          </cell>
          <cell r="I2194" t="str">
            <v>-</v>
          </cell>
          <cell r="J2194">
            <v>288.55781256799997</v>
          </cell>
          <cell r="K2194" t="str">
            <v>Small Cap</v>
          </cell>
        </row>
        <row r="2195">
          <cell r="C2195" t="str">
            <v>INE172D01021</v>
          </cell>
          <cell r="D2195" t="str">
            <v>CTL</v>
          </cell>
          <cell r="E2195">
            <v>288.37334857100001</v>
          </cell>
          <cell r="F2195" t="str">
            <v>-</v>
          </cell>
          <cell r="G2195" t="str">
            <v>-</v>
          </cell>
          <cell r="H2195" t="str">
            <v>-</v>
          </cell>
          <cell r="I2195" t="str">
            <v>-</v>
          </cell>
          <cell r="J2195">
            <v>288.37334857100001</v>
          </cell>
          <cell r="K2195" t="str">
            <v>Small Cap</v>
          </cell>
        </row>
        <row r="2196">
          <cell r="C2196" t="str">
            <v>INE01BL01012</v>
          </cell>
          <cell r="D2196" t="str">
            <v>NSL</v>
          </cell>
          <cell r="E2196">
            <v>287.75088152399996</v>
          </cell>
          <cell r="F2196" t="str">
            <v>-</v>
          </cell>
          <cell r="G2196" t="str">
            <v>-</v>
          </cell>
          <cell r="H2196" t="str">
            <v>-</v>
          </cell>
          <cell r="I2196" t="str">
            <v>-</v>
          </cell>
          <cell r="J2196">
            <v>287.75088152399996</v>
          </cell>
          <cell r="K2196" t="str">
            <v>Small Cap</v>
          </cell>
        </row>
        <row r="2197">
          <cell r="C2197" t="str">
            <v>INE861H01020</v>
          </cell>
          <cell r="D2197" t="str">
            <v>NITINCAST</v>
          </cell>
          <cell r="E2197">
            <v>287.057999709</v>
          </cell>
          <cell r="F2197" t="str">
            <v>-</v>
          </cell>
          <cell r="G2197" t="str">
            <v>-</v>
          </cell>
          <cell r="H2197" t="str">
            <v>-</v>
          </cell>
          <cell r="I2197" t="str">
            <v>-</v>
          </cell>
          <cell r="J2197">
            <v>287.057999709</v>
          </cell>
          <cell r="K2197" t="str">
            <v>Small Cap</v>
          </cell>
        </row>
        <row r="2198">
          <cell r="C2198" t="str">
            <v>INE332F01018</v>
          </cell>
          <cell r="D2198" t="str">
            <v>REFEXRENEW</v>
          </cell>
          <cell r="E2198">
            <v>286.91969913899999</v>
          </cell>
          <cell r="F2198" t="str">
            <v>-</v>
          </cell>
          <cell r="G2198" t="str">
            <v>-</v>
          </cell>
          <cell r="H2198" t="str">
            <v>-</v>
          </cell>
          <cell r="I2198" t="str">
            <v>-</v>
          </cell>
          <cell r="J2198">
            <v>286.91969913899999</v>
          </cell>
          <cell r="K2198" t="str">
            <v>Small Cap</v>
          </cell>
        </row>
        <row r="2199">
          <cell r="C2199" t="str">
            <v>INE0QTF01015</v>
          </cell>
          <cell r="D2199" t="str">
            <v>VSTL</v>
          </cell>
          <cell r="E2199">
            <v>287.021406576</v>
          </cell>
          <cell r="F2199" t="str">
            <v>VSTL</v>
          </cell>
          <cell r="G2199">
            <v>286.73110000000003</v>
          </cell>
          <cell r="H2199" t="str">
            <v>-</v>
          </cell>
          <cell r="I2199" t="str">
            <v>-</v>
          </cell>
          <cell r="J2199">
            <v>286.87625328800004</v>
          </cell>
          <cell r="K2199" t="str">
            <v>Small Cap</v>
          </cell>
        </row>
        <row r="2200">
          <cell r="C2200" t="str">
            <v>INE250Z01010</v>
          </cell>
          <cell r="D2200" t="str">
            <v>INDOUS</v>
          </cell>
          <cell r="E2200">
            <v>286.57490857099998</v>
          </cell>
          <cell r="F2200" t="str">
            <v>INDOUS</v>
          </cell>
          <cell r="G2200">
            <v>286.75599999999997</v>
          </cell>
          <cell r="H2200" t="str">
            <v>-</v>
          </cell>
          <cell r="I2200" t="str">
            <v>-</v>
          </cell>
          <cell r="J2200">
            <v>286.6654542855</v>
          </cell>
          <cell r="K2200" t="str">
            <v>Small Cap</v>
          </cell>
        </row>
        <row r="2201">
          <cell r="C2201" t="str">
            <v>INE162901016</v>
          </cell>
          <cell r="D2201" t="str">
            <v xml:space="preserve">METAINFO </v>
          </cell>
          <cell r="E2201">
            <v>286.55884749199998</v>
          </cell>
          <cell r="F2201" t="str">
            <v>-</v>
          </cell>
          <cell r="G2201" t="str">
            <v>-</v>
          </cell>
          <cell r="H2201" t="str">
            <v>-</v>
          </cell>
          <cell r="I2201" t="str">
            <v>-</v>
          </cell>
          <cell r="J2201">
            <v>286.55884749199998</v>
          </cell>
          <cell r="K2201" t="str">
            <v>Small Cap</v>
          </cell>
        </row>
        <row r="2202">
          <cell r="C2202" t="str">
            <v>INE821Y01011</v>
          </cell>
          <cell r="D2202" t="str">
            <v>RATNABHUMI</v>
          </cell>
          <cell r="E2202">
            <v>285.74285714299998</v>
          </cell>
          <cell r="F2202" t="str">
            <v>-</v>
          </cell>
          <cell r="G2202" t="str">
            <v>-</v>
          </cell>
          <cell r="H2202" t="str">
            <v>-</v>
          </cell>
          <cell r="I2202" t="str">
            <v>-</v>
          </cell>
          <cell r="J2202">
            <v>285.74285714299998</v>
          </cell>
          <cell r="K2202" t="str">
            <v>Small Cap</v>
          </cell>
        </row>
        <row r="2203">
          <cell r="C2203" t="str">
            <v>INE03V001013</v>
          </cell>
          <cell r="D2203" t="str">
            <v>UNIVPHOTO</v>
          </cell>
          <cell r="E2203">
            <v>286.42180316100001</v>
          </cell>
          <cell r="F2203" t="str">
            <v>UNIVPHOTO</v>
          </cell>
          <cell r="G2203">
            <v>284.62270000000001</v>
          </cell>
          <cell r="H2203" t="str">
            <v>-</v>
          </cell>
          <cell r="I2203" t="str">
            <v>-</v>
          </cell>
          <cell r="J2203">
            <v>285.52225158049998</v>
          </cell>
          <cell r="K2203" t="str">
            <v>Small Cap</v>
          </cell>
        </row>
        <row r="2204">
          <cell r="C2204" t="str">
            <v>INE364A01020</v>
          </cell>
          <cell r="D2204" t="str">
            <v>JAYSREETEA</v>
          </cell>
          <cell r="E2204">
            <v>285.27932883400001</v>
          </cell>
          <cell r="F2204" t="str">
            <v>JAYSREETEA</v>
          </cell>
          <cell r="G2204">
            <v>285.08890000000002</v>
          </cell>
          <cell r="H2204" t="str">
            <v>-</v>
          </cell>
          <cell r="I2204" t="str">
            <v>-</v>
          </cell>
          <cell r="J2204">
            <v>285.18411441700005</v>
          </cell>
          <cell r="K2204" t="str">
            <v>Small Cap</v>
          </cell>
        </row>
        <row r="2205">
          <cell r="C2205" t="str">
            <v>INE0OYE01013</v>
          </cell>
          <cell r="D2205" t="str">
            <v>QUESTFLOW</v>
          </cell>
          <cell r="E2205">
            <v>284.38296129000003</v>
          </cell>
          <cell r="F2205" t="str">
            <v>-</v>
          </cell>
          <cell r="G2205" t="str">
            <v>-</v>
          </cell>
          <cell r="H2205" t="str">
            <v>-</v>
          </cell>
          <cell r="I2205" t="str">
            <v>-</v>
          </cell>
          <cell r="J2205">
            <v>284.38296129000003</v>
          </cell>
          <cell r="K2205" t="str">
            <v>Small Cap</v>
          </cell>
        </row>
        <row r="2206">
          <cell r="C2206" t="str">
            <v>INE562X01013</v>
          </cell>
          <cell r="D2206" t="str">
            <v>-</v>
          </cell>
          <cell r="E2206" t="str">
            <v>-</v>
          </cell>
          <cell r="F2206" t="str">
            <v>UNIVASTU</v>
          </cell>
          <cell r="G2206">
            <v>284.35829999999999</v>
          </cell>
          <cell r="H2206" t="str">
            <v>-</v>
          </cell>
          <cell r="I2206" t="str">
            <v>-</v>
          </cell>
          <cell r="J2206">
            <v>284.35829999999999</v>
          </cell>
          <cell r="K2206" t="str">
            <v>Small Cap</v>
          </cell>
        </row>
        <row r="2207">
          <cell r="C2207" t="str">
            <v>INE668L01013</v>
          </cell>
          <cell r="D2207" t="str">
            <v>EMERGENT</v>
          </cell>
          <cell r="E2207">
            <v>284.18146535700004</v>
          </cell>
          <cell r="F2207" t="str">
            <v>-</v>
          </cell>
          <cell r="G2207" t="str">
            <v>-</v>
          </cell>
          <cell r="H2207" t="str">
            <v>-</v>
          </cell>
          <cell r="I2207" t="str">
            <v>-</v>
          </cell>
          <cell r="J2207">
            <v>284.18146535700004</v>
          </cell>
          <cell r="K2207" t="str">
            <v>Small Cap</v>
          </cell>
        </row>
        <row r="2208">
          <cell r="C2208" t="str">
            <v>INE565L01011</v>
          </cell>
          <cell r="D2208" t="str">
            <v>ZEELEARN</v>
          </cell>
          <cell r="E2208">
            <v>283.97807516699999</v>
          </cell>
          <cell r="F2208" t="str">
            <v>ZEELEARN</v>
          </cell>
          <cell r="G2208">
            <v>283.7133</v>
          </cell>
          <cell r="H2208" t="str">
            <v>-</v>
          </cell>
          <cell r="I2208" t="str">
            <v>-</v>
          </cell>
          <cell r="J2208">
            <v>283.84568758349997</v>
          </cell>
          <cell r="K2208" t="str">
            <v>Small Cap</v>
          </cell>
        </row>
        <row r="2209">
          <cell r="C2209" t="str">
            <v>INE418B01048</v>
          </cell>
          <cell r="D2209" t="str">
            <v>VAARAD</v>
          </cell>
          <cell r="E2209">
            <v>283.52288692899998</v>
          </cell>
          <cell r="F2209" t="str">
            <v>-</v>
          </cell>
          <cell r="G2209" t="str">
            <v>-</v>
          </cell>
          <cell r="H2209" t="str">
            <v>-</v>
          </cell>
          <cell r="I2209" t="str">
            <v>-</v>
          </cell>
          <cell r="J2209">
            <v>283.52288692899998</v>
          </cell>
          <cell r="K2209" t="str">
            <v>Small Cap</v>
          </cell>
        </row>
        <row r="2210">
          <cell r="C2210" t="str">
            <v>INE214F01026</v>
          </cell>
          <cell r="D2210" t="str">
            <v>GRAVISSHO</v>
          </cell>
          <cell r="E2210">
            <v>282.83098280900003</v>
          </cell>
          <cell r="F2210" t="str">
            <v>-</v>
          </cell>
          <cell r="G2210" t="str">
            <v>-</v>
          </cell>
          <cell r="H2210" t="str">
            <v>-</v>
          </cell>
          <cell r="I2210" t="str">
            <v>-</v>
          </cell>
          <cell r="J2210">
            <v>282.83098280900003</v>
          </cell>
          <cell r="K2210" t="str">
            <v>Small Cap</v>
          </cell>
        </row>
        <row r="2211">
          <cell r="C2211" t="str">
            <v>INE302E01014</v>
          </cell>
          <cell r="D2211" t="str">
            <v>SAKTHIFIN</v>
          </cell>
          <cell r="E2211">
            <v>282.77240742100003</v>
          </cell>
          <cell r="F2211" t="str">
            <v>-</v>
          </cell>
          <cell r="G2211" t="str">
            <v>-</v>
          </cell>
          <cell r="H2211" t="str">
            <v>-</v>
          </cell>
          <cell r="I2211" t="str">
            <v>-</v>
          </cell>
          <cell r="J2211">
            <v>282.77240742100003</v>
          </cell>
          <cell r="K2211" t="str">
            <v>Small Cap</v>
          </cell>
        </row>
        <row r="2212">
          <cell r="C2212" t="str">
            <v>INE443A01030</v>
          </cell>
          <cell r="D2212" t="str">
            <v>ASIIL</v>
          </cell>
          <cell r="E2212">
            <v>282.15965557499999</v>
          </cell>
          <cell r="F2212" t="str">
            <v>-</v>
          </cell>
          <cell r="G2212" t="str">
            <v>-</v>
          </cell>
          <cell r="H2212" t="str">
            <v>-</v>
          </cell>
          <cell r="I2212" t="str">
            <v>-</v>
          </cell>
          <cell r="J2212">
            <v>282.15965557499999</v>
          </cell>
          <cell r="K2212" t="str">
            <v>Small Cap</v>
          </cell>
        </row>
        <row r="2213">
          <cell r="C2213" t="str">
            <v>INE856A01017</v>
          </cell>
          <cell r="D2213" t="str">
            <v>BRADYM</v>
          </cell>
          <cell r="E2213">
            <v>281.77267857100003</v>
          </cell>
          <cell r="F2213" t="str">
            <v>-</v>
          </cell>
          <cell r="G2213" t="str">
            <v>-</v>
          </cell>
          <cell r="H2213" t="str">
            <v>-</v>
          </cell>
          <cell r="I2213" t="str">
            <v>-</v>
          </cell>
          <cell r="J2213">
            <v>281.77267857100003</v>
          </cell>
          <cell r="K2213" t="str">
            <v>Small Cap</v>
          </cell>
        </row>
        <row r="2214">
          <cell r="C2214" t="str">
            <v>INE353A01023</v>
          </cell>
          <cell r="D2214" t="str">
            <v>NDLVENTURE</v>
          </cell>
          <cell r="E2214">
            <v>280.73393326600001</v>
          </cell>
          <cell r="F2214" t="str">
            <v>NDLVENTURE</v>
          </cell>
          <cell r="G2214">
            <v>281.5258</v>
          </cell>
          <cell r="H2214" t="str">
            <v>-</v>
          </cell>
          <cell r="I2214" t="str">
            <v>-</v>
          </cell>
          <cell r="J2214">
            <v>281.12986663300001</v>
          </cell>
          <cell r="K2214" t="str">
            <v>Small Cap</v>
          </cell>
        </row>
        <row r="2215">
          <cell r="C2215" t="str">
            <v>INE133C01033</v>
          </cell>
          <cell r="D2215" t="str">
            <v>KESARPE</v>
          </cell>
          <cell r="E2215">
            <v>280.89080066100001</v>
          </cell>
          <cell r="F2215" t="str">
            <v>-</v>
          </cell>
          <cell r="G2215" t="str">
            <v>-</v>
          </cell>
          <cell r="H2215" t="str">
            <v>-</v>
          </cell>
          <cell r="I2215" t="str">
            <v>-</v>
          </cell>
          <cell r="J2215">
            <v>280.89080066100001</v>
          </cell>
          <cell r="K2215" t="str">
            <v>Small Cap</v>
          </cell>
        </row>
        <row r="2216">
          <cell r="C2216" t="str">
            <v>INE102E01018</v>
          </cell>
          <cell r="D2216" t="str">
            <v>OXYGENTAPH</v>
          </cell>
          <cell r="E2216">
            <v>280.35371527000001</v>
          </cell>
          <cell r="F2216" t="str">
            <v>-</v>
          </cell>
          <cell r="G2216" t="str">
            <v>-</v>
          </cell>
          <cell r="H2216" t="str">
            <v>-</v>
          </cell>
          <cell r="I2216" t="str">
            <v>-</v>
          </cell>
          <cell r="J2216">
            <v>280.35371527000001</v>
          </cell>
          <cell r="K2216" t="str">
            <v>Small Cap</v>
          </cell>
        </row>
        <row r="2217">
          <cell r="C2217" t="str">
            <v>INE030Q01015</v>
          </cell>
          <cell r="D2217" t="str">
            <v>EMERALD</v>
          </cell>
          <cell r="E2217">
            <v>279.74012467399996</v>
          </cell>
          <cell r="F2217" t="str">
            <v>-</v>
          </cell>
          <cell r="G2217" t="str">
            <v>-</v>
          </cell>
          <cell r="H2217" t="str">
            <v>-</v>
          </cell>
          <cell r="I2217" t="str">
            <v>-</v>
          </cell>
          <cell r="J2217">
            <v>279.74012467399996</v>
          </cell>
          <cell r="K2217" t="str">
            <v>Small Cap</v>
          </cell>
        </row>
        <row r="2218">
          <cell r="C2218" t="str">
            <v>INE030U01025</v>
          </cell>
          <cell r="D2218" t="str">
            <v>KDML</v>
          </cell>
          <cell r="E2218">
            <v>279.59175666700003</v>
          </cell>
          <cell r="F2218" t="str">
            <v>-</v>
          </cell>
          <cell r="G2218" t="str">
            <v>-</v>
          </cell>
          <cell r="H2218" t="str">
            <v>-</v>
          </cell>
          <cell r="I2218" t="str">
            <v>-</v>
          </cell>
          <cell r="J2218">
            <v>279.59175666700003</v>
          </cell>
          <cell r="K2218" t="str">
            <v>Small Cap</v>
          </cell>
        </row>
        <row r="2219">
          <cell r="C2219" t="str">
            <v>INE652F01027</v>
          </cell>
          <cell r="D2219" t="str">
            <v>CCHHL</v>
          </cell>
          <cell r="E2219">
            <v>279.33788000999999</v>
          </cell>
          <cell r="F2219" t="str">
            <v>CCHHL</v>
          </cell>
          <cell r="G2219">
            <v>279.38979999999998</v>
          </cell>
          <cell r="H2219" t="str">
            <v>-</v>
          </cell>
          <cell r="I2219" t="str">
            <v>-</v>
          </cell>
          <cell r="J2219">
            <v>279.36384000499999</v>
          </cell>
          <cell r="K2219" t="str">
            <v>Small Cap</v>
          </cell>
        </row>
        <row r="2220">
          <cell r="C2220" t="str">
            <v>INE870B01024</v>
          </cell>
          <cell r="D2220" t="str">
            <v>OKPLA</v>
          </cell>
          <cell r="E2220">
            <v>279.073395506</v>
          </cell>
          <cell r="F2220" t="str">
            <v>-</v>
          </cell>
          <cell r="G2220" t="str">
            <v>-</v>
          </cell>
          <cell r="H2220" t="str">
            <v>-</v>
          </cell>
          <cell r="I2220" t="str">
            <v>-</v>
          </cell>
          <cell r="J2220">
            <v>279.073395506</v>
          </cell>
          <cell r="K2220" t="str">
            <v>Small Cap</v>
          </cell>
        </row>
        <row r="2221">
          <cell r="C2221" t="str">
            <v>INE00EM01016</v>
          </cell>
          <cell r="D2221" t="str">
            <v>MEGASTAR</v>
          </cell>
          <cell r="E2221">
            <v>278.97142018300002</v>
          </cell>
          <cell r="F2221" t="str">
            <v>MEGASTAR</v>
          </cell>
          <cell r="G2221">
            <v>278.83879999999999</v>
          </cell>
          <cell r="H2221" t="str">
            <v>-</v>
          </cell>
          <cell r="I2221" t="str">
            <v>-</v>
          </cell>
          <cell r="J2221">
            <v>278.90511009149998</v>
          </cell>
          <cell r="K2221" t="str">
            <v>Small Cap</v>
          </cell>
        </row>
        <row r="2222">
          <cell r="C2222" t="str">
            <v>INE0DAB01012</v>
          </cell>
          <cell r="D2222" t="str">
            <v>RVTH</v>
          </cell>
          <cell r="E2222">
            <v>279.44292929200003</v>
          </cell>
          <cell r="F2222" t="str">
            <v>RVTH</v>
          </cell>
          <cell r="G2222">
            <v>278.09809999999999</v>
          </cell>
          <cell r="H2222" t="str">
            <v>-</v>
          </cell>
          <cell r="I2222" t="str">
            <v>-</v>
          </cell>
          <cell r="J2222">
            <v>278.77051464600004</v>
          </cell>
          <cell r="K2222" t="str">
            <v>Small Cap</v>
          </cell>
        </row>
        <row r="2223">
          <cell r="C2223" t="str">
            <v>INE142I01023</v>
          </cell>
          <cell r="D2223" t="str">
            <v>TAKE</v>
          </cell>
          <cell r="E2223">
            <v>278.373043381</v>
          </cell>
          <cell r="F2223" t="str">
            <v>TAKE</v>
          </cell>
          <cell r="G2223">
            <v>278.09949999999998</v>
          </cell>
          <cell r="H2223" t="str">
            <v>-</v>
          </cell>
          <cell r="I2223" t="str">
            <v>-</v>
          </cell>
          <cell r="J2223">
            <v>278.23627169049996</v>
          </cell>
          <cell r="K2223" t="str">
            <v>Small Cap</v>
          </cell>
        </row>
        <row r="2224">
          <cell r="C2224" t="str">
            <v>INE130B01031</v>
          </cell>
          <cell r="D2224" t="str">
            <v>SURANAT&amp;P</v>
          </cell>
          <cell r="E2224">
            <v>278.07196040500003</v>
          </cell>
          <cell r="F2224" t="str">
            <v>SURANAT&amp;P</v>
          </cell>
          <cell r="G2224">
            <v>278.12040000000002</v>
          </cell>
          <cell r="H2224" t="str">
            <v>-</v>
          </cell>
          <cell r="I2224" t="str">
            <v>-</v>
          </cell>
          <cell r="J2224">
            <v>278.09618020250002</v>
          </cell>
          <cell r="K2224" t="str">
            <v>Small Cap</v>
          </cell>
        </row>
        <row r="2225">
          <cell r="C2225" t="str">
            <v>INE592B01024</v>
          </cell>
          <cell r="D2225" t="str">
            <v>TTL</v>
          </cell>
          <cell r="E2225">
            <v>277.34335520900004</v>
          </cell>
          <cell r="F2225" t="str">
            <v>TTL</v>
          </cell>
          <cell r="G2225">
            <v>277.2088</v>
          </cell>
          <cell r="H2225" t="str">
            <v>-</v>
          </cell>
          <cell r="I2225" t="str">
            <v>-</v>
          </cell>
          <cell r="J2225">
            <v>277.27607760450002</v>
          </cell>
          <cell r="K2225" t="str">
            <v>Small Cap</v>
          </cell>
        </row>
        <row r="2226">
          <cell r="C2226" t="str">
            <v>INE143C01024</v>
          </cell>
          <cell r="D2226" t="str">
            <v>PRECISIO</v>
          </cell>
          <cell r="E2226">
            <v>277.04332936899999</v>
          </cell>
          <cell r="F2226" t="str">
            <v>-</v>
          </cell>
          <cell r="G2226" t="str">
            <v>-</v>
          </cell>
          <cell r="H2226" t="str">
            <v>-</v>
          </cell>
          <cell r="I2226" t="str">
            <v>-</v>
          </cell>
          <cell r="J2226">
            <v>277.04332936899999</v>
          </cell>
          <cell r="K2226" t="str">
            <v>Small Cap</v>
          </cell>
        </row>
        <row r="2227">
          <cell r="C2227" t="str">
            <v>INE027T01023</v>
          </cell>
          <cell r="D2227" t="str">
            <v>RUDRA</v>
          </cell>
          <cell r="E2227">
            <v>293.83619442899999</v>
          </cell>
          <cell r="F2227" t="str">
            <v>RUDRA</v>
          </cell>
          <cell r="G2227">
            <v>260.22919999999999</v>
          </cell>
          <cell r="H2227" t="str">
            <v>-</v>
          </cell>
          <cell r="I2227" t="str">
            <v>-</v>
          </cell>
          <cell r="J2227">
            <v>277.03269721449999</v>
          </cell>
          <cell r="K2227" t="str">
            <v>Small Cap</v>
          </cell>
        </row>
        <row r="2228">
          <cell r="C2228" t="str">
            <v>INE919I01024</v>
          </cell>
          <cell r="D2228" t="str">
            <v>RADIOCITY</v>
          </cell>
          <cell r="E2228">
            <v>277.09172026799996</v>
          </cell>
          <cell r="F2228" t="str">
            <v>RADIOCITY</v>
          </cell>
          <cell r="G2228">
            <v>276.80360000000002</v>
          </cell>
          <cell r="H2228" t="str">
            <v>-</v>
          </cell>
          <cell r="I2228" t="str">
            <v>-</v>
          </cell>
          <cell r="J2228">
            <v>276.94766013399999</v>
          </cell>
          <cell r="K2228" t="str">
            <v>Small Cap</v>
          </cell>
        </row>
        <row r="2229">
          <cell r="C2229" t="str">
            <v>INE583R01029</v>
          </cell>
          <cell r="D2229" t="str">
            <v>PRITIKAUTO</v>
          </cell>
          <cell r="E2229">
            <v>276.21147632499998</v>
          </cell>
          <cell r="F2229" t="str">
            <v>PRITIKAUTO</v>
          </cell>
          <cell r="G2229">
            <v>275.82690000000002</v>
          </cell>
          <cell r="H2229" t="str">
            <v>-</v>
          </cell>
          <cell r="I2229" t="str">
            <v>-</v>
          </cell>
          <cell r="J2229">
            <v>276.01918816249997</v>
          </cell>
          <cell r="K2229" t="str">
            <v>Small Cap</v>
          </cell>
        </row>
        <row r="2230">
          <cell r="C2230" t="str">
            <v>INE539B01017</v>
          </cell>
          <cell r="D2230" t="str">
            <v>VIRINCHI</v>
          </cell>
          <cell r="E2230">
            <v>275.35029851999997</v>
          </cell>
          <cell r="F2230" t="str">
            <v>VIRINCHI</v>
          </cell>
          <cell r="G2230">
            <v>274.77429999999998</v>
          </cell>
          <cell r="H2230" t="str">
            <v>-</v>
          </cell>
          <cell r="I2230" t="str">
            <v>-</v>
          </cell>
          <cell r="J2230">
            <v>275.06229925999997</v>
          </cell>
          <cell r="K2230" t="str">
            <v>Small Cap</v>
          </cell>
        </row>
        <row r="2231">
          <cell r="C2231" t="str">
            <v>INE826B01018</v>
          </cell>
          <cell r="D2231" t="str">
            <v>INDTONER</v>
          </cell>
          <cell r="E2231">
            <v>273.31574745</v>
          </cell>
          <cell r="F2231" t="str">
            <v>-</v>
          </cell>
          <cell r="G2231" t="str">
            <v>-</v>
          </cell>
          <cell r="H2231" t="str">
            <v>-</v>
          </cell>
          <cell r="I2231" t="str">
            <v>-</v>
          </cell>
          <cell r="J2231">
            <v>273.31574745</v>
          </cell>
          <cell r="K2231" t="str">
            <v>Small Cap</v>
          </cell>
        </row>
        <row r="2232">
          <cell r="C2232" t="str">
            <v>INE320I01017</v>
          </cell>
          <cell r="D2232" t="str">
            <v>BRAHMINFRA</v>
          </cell>
          <cell r="E2232">
            <v>273.19280558100002</v>
          </cell>
          <cell r="F2232" t="str">
            <v>-</v>
          </cell>
          <cell r="G2232" t="str">
            <v>-</v>
          </cell>
          <cell r="H2232" t="str">
            <v>-</v>
          </cell>
          <cell r="I2232" t="str">
            <v>-</v>
          </cell>
          <cell r="J2232">
            <v>273.19280558100002</v>
          </cell>
          <cell r="K2232" t="str">
            <v>Small Cap</v>
          </cell>
        </row>
        <row r="2233">
          <cell r="C2233" t="str">
            <v>INE576N01014</v>
          </cell>
          <cell r="D2233" t="str">
            <v>RADIXIND</v>
          </cell>
          <cell r="E2233">
            <v>272.83035059999997</v>
          </cell>
          <cell r="F2233" t="str">
            <v>-</v>
          </cell>
          <cell r="G2233" t="str">
            <v>-</v>
          </cell>
          <cell r="H2233" t="str">
            <v>-</v>
          </cell>
          <cell r="I2233" t="str">
            <v>-</v>
          </cell>
          <cell r="J2233">
            <v>272.83035059999997</v>
          </cell>
          <cell r="K2233" t="str">
            <v>Small Cap</v>
          </cell>
        </row>
        <row r="2234">
          <cell r="C2234" t="str">
            <v>INE875B01015</v>
          </cell>
          <cell r="D2234" t="str">
            <v>NIMBSPROJ</v>
          </cell>
          <cell r="E2234">
            <v>272.12713474899999</v>
          </cell>
          <cell r="F2234" t="str">
            <v>-</v>
          </cell>
          <cell r="G2234" t="str">
            <v>-</v>
          </cell>
          <cell r="H2234" t="str">
            <v>-</v>
          </cell>
          <cell r="I2234" t="str">
            <v>-</v>
          </cell>
          <cell r="J2234">
            <v>272.12713474899999</v>
          </cell>
          <cell r="K2234" t="str">
            <v>Small Cap</v>
          </cell>
        </row>
        <row r="2235">
          <cell r="C2235" t="str">
            <v>INE501Y01019</v>
          </cell>
          <cell r="D2235" t="str">
            <v>SCPL</v>
          </cell>
          <cell r="E2235">
            <v>272.08</v>
          </cell>
          <cell r="F2235" t="str">
            <v>SCPL</v>
          </cell>
          <cell r="G2235">
            <v>271.4846</v>
          </cell>
          <cell r="H2235" t="str">
            <v>-</v>
          </cell>
          <cell r="I2235" t="str">
            <v>-</v>
          </cell>
          <cell r="J2235">
            <v>271.78229999999996</v>
          </cell>
          <cell r="K2235" t="str">
            <v>Small Cap</v>
          </cell>
        </row>
        <row r="2236">
          <cell r="C2236" t="str">
            <v>INE124B01018</v>
          </cell>
          <cell r="D2236" t="str">
            <v>COSMOFE</v>
          </cell>
          <cell r="E2236">
            <v>271.40109642900001</v>
          </cell>
          <cell r="F2236" t="str">
            <v>-</v>
          </cell>
          <cell r="G2236" t="str">
            <v>-</v>
          </cell>
          <cell r="H2236" t="str">
            <v>-</v>
          </cell>
          <cell r="I2236" t="str">
            <v>-</v>
          </cell>
          <cell r="J2236">
            <v>271.40109642900001</v>
          </cell>
          <cell r="K2236" t="str">
            <v>Small Cap</v>
          </cell>
        </row>
        <row r="2237">
          <cell r="C2237" t="str">
            <v>INE493B01017</v>
          </cell>
          <cell r="D2237" t="str">
            <v>GGAUTO</v>
          </cell>
          <cell r="E2237">
            <v>270.26478214299999</v>
          </cell>
          <cell r="F2237" t="str">
            <v>-</v>
          </cell>
          <cell r="G2237" t="str">
            <v>-</v>
          </cell>
          <cell r="H2237" t="str">
            <v>-</v>
          </cell>
          <cell r="I2237" t="str">
            <v>-</v>
          </cell>
          <cell r="J2237">
            <v>270.26478214299999</v>
          </cell>
          <cell r="K2237" t="str">
            <v>Small Cap</v>
          </cell>
        </row>
        <row r="2238">
          <cell r="C2238" t="str">
            <v>INE364Z01019</v>
          </cell>
          <cell r="D2238" t="str">
            <v>-</v>
          </cell>
          <cell r="E2238" t="str">
            <v>-</v>
          </cell>
          <cell r="F2238" t="str">
            <v>REPL</v>
          </cell>
          <cell r="G2238">
            <v>269.6044</v>
          </cell>
          <cell r="H2238" t="str">
            <v>-</v>
          </cell>
          <cell r="I2238" t="str">
            <v>-</v>
          </cell>
          <cell r="J2238">
            <v>269.6044</v>
          </cell>
          <cell r="K2238" t="str">
            <v>Small Cap</v>
          </cell>
        </row>
        <row r="2239">
          <cell r="C2239" t="str">
            <v>INE276H01013</v>
          </cell>
          <cell r="D2239" t="str">
            <v>NIDHGRN</v>
          </cell>
          <cell r="E2239">
            <v>268.98730158699999</v>
          </cell>
          <cell r="F2239" t="str">
            <v>-</v>
          </cell>
          <cell r="G2239" t="str">
            <v>-</v>
          </cell>
          <cell r="H2239" t="str">
            <v>-</v>
          </cell>
          <cell r="I2239" t="str">
            <v>-</v>
          </cell>
          <cell r="J2239">
            <v>268.98730158699999</v>
          </cell>
          <cell r="K2239" t="str">
            <v>Small Cap</v>
          </cell>
        </row>
        <row r="2240">
          <cell r="C2240" t="str">
            <v>INE0BTI01037</v>
          </cell>
          <cell r="D2240" t="str">
            <v>KAMOPAINTS</v>
          </cell>
          <cell r="E2240">
            <v>268.651275833</v>
          </cell>
          <cell r="F2240" t="str">
            <v>KAMOPAINTS</v>
          </cell>
          <cell r="G2240">
            <v>268.4966</v>
          </cell>
          <cell r="H2240" t="str">
            <v>-</v>
          </cell>
          <cell r="I2240" t="str">
            <v>-</v>
          </cell>
          <cell r="J2240">
            <v>268.57393791649997</v>
          </cell>
          <cell r="K2240" t="str">
            <v>Small Cap</v>
          </cell>
        </row>
        <row r="2241">
          <cell r="C2241" t="str">
            <v>INE550H01011</v>
          </cell>
          <cell r="D2241" t="str">
            <v>SUPREMEINF</v>
          </cell>
          <cell r="E2241">
            <v>269.73235602099999</v>
          </cell>
          <cell r="F2241" t="str">
            <v>SUPREMEINF</v>
          </cell>
          <cell r="G2241">
            <v>266.33960000000002</v>
          </cell>
          <cell r="H2241" t="str">
            <v>-</v>
          </cell>
          <cell r="I2241" t="str">
            <v>-</v>
          </cell>
          <cell r="J2241">
            <v>268.0359780105</v>
          </cell>
          <cell r="K2241" t="str">
            <v>Small Cap</v>
          </cell>
        </row>
        <row r="2242">
          <cell r="C2242" t="str">
            <v>INE860D01013</v>
          </cell>
          <cell r="D2242" t="str">
            <v>SANJIVIN</v>
          </cell>
          <cell r="E2242">
            <v>267.35367255300002</v>
          </cell>
          <cell r="F2242" t="str">
            <v>-</v>
          </cell>
          <cell r="G2242" t="str">
            <v>-</v>
          </cell>
          <cell r="H2242" t="str">
            <v>-</v>
          </cell>
          <cell r="I2242" t="str">
            <v>-</v>
          </cell>
          <cell r="J2242">
            <v>267.35367255300002</v>
          </cell>
          <cell r="K2242" t="str">
            <v>Small Cap</v>
          </cell>
        </row>
        <row r="2243">
          <cell r="C2243" t="str">
            <v>INE030P01017</v>
          </cell>
          <cell r="D2243" t="str">
            <v>ALSL</v>
          </cell>
          <cell r="E2243">
            <v>267.23959523799999</v>
          </cell>
          <cell r="F2243" t="str">
            <v>-</v>
          </cell>
          <cell r="G2243" t="str">
            <v>-</v>
          </cell>
          <cell r="H2243" t="str">
            <v>-</v>
          </cell>
          <cell r="I2243" t="str">
            <v>-</v>
          </cell>
          <cell r="J2243">
            <v>267.23959523799999</v>
          </cell>
          <cell r="K2243" t="str">
            <v>Small Cap</v>
          </cell>
        </row>
        <row r="2244">
          <cell r="C2244" t="str">
            <v>INE601B01023</v>
          </cell>
          <cell r="D2244" t="str">
            <v>AJANTSOY</v>
          </cell>
          <cell r="E2244">
            <v>266.90650624200003</v>
          </cell>
          <cell r="F2244" t="str">
            <v>-</v>
          </cell>
          <cell r="G2244" t="str">
            <v>-</v>
          </cell>
          <cell r="H2244" t="str">
            <v>-</v>
          </cell>
          <cell r="I2244" t="str">
            <v>-</v>
          </cell>
          <cell r="J2244">
            <v>266.90650624200003</v>
          </cell>
          <cell r="K2244" t="str">
            <v>Small Cap</v>
          </cell>
        </row>
        <row r="2245">
          <cell r="C2245" t="str">
            <v>INE159L01013</v>
          </cell>
          <cell r="D2245" t="str">
            <v>SVGLOBAL</v>
          </cell>
          <cell r="E2245">
            <v>266.85081883699996</v>
          </cell>
          <cell r="F2245" t="str">
            <v>-</v>
          </cell>
          <cell r="G2245" t="str">
            <v>-</v>
          </cell>
          <cell r="H2245" t="str">
            <v>-</v>
          </cell>
          <cell r="I2245" t="str">
            <v>-</v>
          </cell>
          <cell r="J2245">
            <v>266.85081883699996</v>
          </cell>
          <cell r="K2245" t="str">
            <v>Small Cap</v>
          </cell>
        </row>
        <row r="2246">
          <cell r="C2246" t="str">
            <v>INE227F01010</v>
          </cell>
          <cell r="D2246" t="str">
            <v>MKEXIM</v>
          </cell>
          <cell r="E2246">
            <v>266.69232425000001</v>
          </cell>
          <cell r="F2246" t="str">
            <v>-</v>
          </cell>
          <cell r="G2246" t="str">
            <v>-</v>
          </cell>
          <cell r="H2246" t="str">
            <v>-</v>
          </cell>
          <cell r="I2246" t="str">
            <v>-</v>
          </cell>
          <cell r="J2246">
            <v>266.69232425000001</v>
          </cell>
          <cell r="K2246" t="str">
            <v>Small Cap</v>
          </cell>
        </row>
        <row r="2247">
          <cell r="C2247" t="str">
            <v>INE1A8F01035</v>
          </cell>
          <cell r="D2247" t="str">
            <v>EARKART</v>
          </cell>
          <cell r="E2247">
            <v>266.50836204400002</v>
          </cell>
          <cell r="F2247" t="str">
            <v>-</v>
          </cell>
          <cell r="G2247" t="str">
            <v>-</v>
          </cell>
          <cell r="H2247" t="str">
            <v>-</v>
          </cell>
          <cell r="I2247" t="str">
            <v>-</v>
          </cell>
          <cell r="J2247">
            <v>266.50836204400002</v>
          </cell>
          <cell r="K2247" t="str">
            <v>Small Cap</v>
          </cell>
        </row>
        <row r="2248">
          <cell r="C2248" t="str">
            <v>INE733A01018</v>
          </cell>
          <cell r="D2248" t="str">
            <v>STARPAPER</v>
          </cell>
          <cell r="E2248">
            <v>265.94274759899997</v>
          </cell>
          <cell r="F2248" t="str">
            <v>STARPAPER</v>
          </cell>
          <cell r="G2248">
            <v>265.80259999999998</v>
          </cell>
          <cell r="H2248" t="str">
            <v>-</v>
          </cell>
          <cell r="I2248" t="str">
            <v>-</v>
          </cell>
          <cell r="J2248">
            <v>265.87267379949998</v>
          </cell>
          <cell r="K2248" t="str">
            <v>Small Cap</v>
          </cell>
        </row>
        <row r="2249">
          <cell r="C2249" t="str">
            <v>INE0SDC01012</v>
          </cell>
          <cell r="D2249" t="str">
            <v>EMMFORCE</v>
          </cell>
          <cell r="E2249">
            <v>265.55149301</v>
          </cell>
          <cell r="F2249" t="str">
            <v>-</v>
          </cell>
          <cell r="G2249" t="str">
            <v>-</v>
          </cell>
          <cell r="H2249" t="str">
            <v>-</v>
          </cell>
          <cell r="I2249" t="str">
            <v>-</v>
          </cell>
          <cell r="J2249">
            <v>265.55149301</v>
          </cell>
          <cell r="K2249" t="str">
            <v>Small Cap</v>
          </cell>
        </row>
        <row r="2250">
          <cell r="C2250" t="str">
            <v>INE795A01017</v>
          </cell>
          <cell r="D2250" t="str">
            <v>PANAENERG</v>
          </cell>
          <cell r="E2250">
            <v>264.96636904799999</v>
          </cell>
          <cell r="F2250" t="str">
            <v>-</v>
          </cell>
          <cell r="G2250" t="str">
            <v>-</v>
          </cell>
          <cell r="H2250" t="str">
            <v>-</v>
          </cell>
          <cell r="I2250" t="str">
            <v>-</v>
          </cell>
          <cell r="J2250">
            <v>264.96636904799999</v>
          </cell>
          <cell r="K2250" t="str">
            <v>Small Cap</v>
          </cell>
        </row>
        <row r="2251">
          <cell r="C2251" t="str">
            <v>INE244E01018</v>
          </cell>
          <cell r="D2251" t="str">
            <v>-</v>
          </cell>
          <cell r="E2251" t="str">
            <v>-</v>
          </cell>
          <cell r="F2251" t="str">
            <v>-</v>
          </cell>
          <cell r="G2251" t="str">
            <v>-</v>
          </cell>
          <cell r="H2251" t="str">
            <v>GARG</v>
          </cell>
          <cell r="I2251">
            <v>264.86172159999927</v>
          </cell>
          <cell r="J2251">
            <v>264.86172159999927</v>
          </cell>
          <cell r="K2251" t="str">
            <v>Small Cap</v>
          </cell>
        </row>
        <row r="2252">
          <cell r="C2252" t="str">
            <v>INE0DSF01015</v>
          </cell>
          <cell r="D2252" t="str">
            <v>NURECA</v>
          </cell>
          <cell r="E2252">
            <v>263.80342600300003</v>
          </cell>
          <cell r="F2252" t="str">
            <v>NURECA</v>
          </cell>
          <cell r="G2252">
            <v>263.49770000000001</v>
          </cell>
          <cell r="H2252" t="str">
            <v>-</v>
          </cell>
          <cell r="I2252" t="str">
            <v>-</v>
          </cell>
          <cell r="J2252">
            <v>263.65056300150002</v>
          </cell>
          <cell r="K2252" t="str">
            <v>Small Cap</v>
          </cell>
        </row>
        <row r="2253">
          <cell r="C2253" t="str">
            <v>INE176J01011</v>
          </cell>
          <cell r="D2253" t="str">
            <v>SICAGEN</v>
          </cell>
          <cell r="E2253">
            <v>263.443461254</v>
          </cell>
          <cell r="F2253" t="str">
            <v>-</v>
          </cell>
          <cell r="G2253" t="str">
            <v>-</v>
          </cell>
          <cell r="H2253" t="str">
            <v>-</v>
          </cell>
          <cell r="I2253" t="str">
            <v>-</v>
          </cell>
          <cell r="J2253">
            <v>263.443461254</v>
          </cell>
          <cell r="K2253" t="str">
            <v>Small Cap</v>
          </cell>
        </row>
        <row r="2254">
          <cell r="C2254" t="str">
            <v>INE274K01012</v>
          </cell>
          <cell r="D2254" t="str">
            <v>BTTL</v>
          </cell>
          <cell r="E2254">
            <v>262.81931983999999</v>
          </cell>
          <cell r="F2254" t="str">
            <v>-</v>
          </cell>
          <cell r="G2254" t="str">
            <v>-</v>
          </cell>
          <cell r="H2254" t="str">
            <v>-</v>
          </cell>
          <cell r="I2254" t="str">
            <v>-</v>
          </cell>
          <cell r="J2254">
            <v>262.81931983999999</v>
          </cell>
          <cell r="K2254" t="str">
            <v>Small Cap</v>
          </cell>
        </row>
        <row r="2255">
          <cell r="C2255" t="str">
            <v>INE050B01023</v>
          </cell>
          <cell r="D2255" t="str">
            <v>IVC</v>
          </cell>
          <cell r="E2255">
            <v>261.95065930300001</v>
          </cell>
          <cell r="F2255" t="str">
            <v>IVC</v>
          </cell>
          <cell r="G2255">
            <v>261.75380000000001</v>
          </cell>
          <cell r="H2255" t="str">
            <v>-</v>
          </cell>
          <cell r="I2255" t="str">
            <v>-</v>
          </cell>
          <cell r="J2255">
            <v>261.85222965150001</v>
          </cell>
          <cell r="K2255" t="str">
            <v>Small Cap</v>
          </cell>
        </row>
        <row r="2256">
          <cell r="C2256" t="str">
            <v>INE920C01017</v>
          </cell>
          <cell r="D2256" t="str">
            <v>NTCIND</v>
          </cell>
          <cell r="E2256">
            <v>261.03836853199999</v>
          </cell>
          <cell r="F2256" t="str">
            <v>-</v>
          </cell>
          <cell r="G2256" t="str">
            <v>-</v>
          </cell>
          <cell r="H2256" t="str">
            <v>-</v>
          </cell>
          <cell r="I2256" t="str">
            <v>-</v>
          </cell>
          <cell r="J2256">
            <v>261.03836853199999</v>
          </cell>
          <cell r="K2256" t="str">
            <v>Small Cap</v>
          </cell>
        </row>
        <row r="2257">
          <cell r="C2257" t="str">
            <v>INE690J01011</v>
          </cell>
          <cell r="D2257" t="str">
            <v>INOVSYNTH</v>
          </cell>
          <cell r="E2257">
            <v>259.98155896500003</v>
          </cell>
          <cell r="F2257" t="str">
            <v>-</v>
          </cell>
          <cell r="G2257" t="str">
            <v>-</v>
          </cell>
          <cell r="H2257" t="str">
            <v>-</v>
          </cell>
          <cell r="I2257" t="str">
            <v>-</v>
          </cell>
          <cell r="J2257">
            <v>259.98155896500003</v>
          </cell>
          <cell r="K2257" t="str">
            <v>Small Cap</v>
          </cell>
        </row>
        <row r="2258">
          <cell r="C2258" t="str">
            <v>INE020S01012</v>
          </cell>
          <cell r="D2258" t="str">
            <v>GALXBRG</v>
          </cell>
          <cell r="E2258">
            <v>259.73028571399999</v>
          </cell>
          <cell r="F2258" t="str">
            <v>-</v>
          </cell>
          <cell r="G2258" t="str">
            <v>-</v>
          </cell>
          <cell r="H2258" t="str">
            <v>-</v>
          </cell>
          <cell r="I2258" t="str">
            <v>-</v>
          </cell>
          <cell r="J2258">
            <v>259.73028571399999</v>
          </cell>
          <cell r="K2258" t="str">
            <v>Small Cap</v>
          </cell>
        </row>
        <row r="2259">
          <cell r="C2259" t="str">
            <v>INE419A01022</v>
          </cell>
          <cell r="D2259" t="str">
            <v>-</v>
          </cell>
          <cell r="E2259" t="str">
            <v>-</v>
          </cell>
          <cell r="F2259" t="str">
            <v>KOTARISUG</v>
          </cell>
          <cell r="G2259">
            <v>259.52480000000003</v>
          </cell>
          <cell r="H2259" t="str">
            <v>-</v>
          </cell>
          <cell r="I2259" t="str">
            <v>-</v>
          </cell>
          <cell r="J2259">
            <v>259.52480000000003</v>
          </cell>
          <cell r="K2259" t="str">
            <v>Small Cap</v>
          </cell>
        </row>
        <row r="2260">
          <cell r="C2260" t="str">
            <v>INE888C01040</v>
          </cell>
          <cell r="D2260" t="str">
            <v>SADHNANIQ</v>
          </cell>
          <cell r="E2260">
            <v>260.44388490700004</v>
          </cell>
          <cell r="F2260" t="str">
            <v>SADHNANIQ</v>
          </cell>
          <cell r="G2260">
            <v>258.57979999999998</v>
          </cell>
          <cell r="H2260" t="str">
            <v>-</v>
          </cell>
          <cell r="I2260" t="str">
            <v>-</v>
          </cell>
          <cell r="J2260">
            <v>259.51184245349998</v>
          </cell>
          <cell r="K2260" t="str">
            <v>Small Cap</v>
          </cell>
        </row>
        <row r="2261">
          <cell r="C2261" t="str">
            <v>INE823B01015</v>
          </cell>
          <cell r="D2261" t="str">
            <v>COMPEAU</v>
          </cell>
          <cell r="E2261">
            <v>258.81128613099997</v>
          </cell>
          <cell r="F2261" t="str">
            <v>-</v>
          </cell>
          <cell r="G2261" t="str">
            <v>-</v>
          </cell>
          <cell r="H2261" t="str">
            <v>-</v>
          </cell>
          <cell r="I2261" t="str">
            <v>-</v>
          </cell>
          <cell r="J2261">
            <v>258.81128613099997</v>
          </cell>
          <cell r="K2261" t="str">
            <v>Small Cap</v>
          </cell>
        </row>
        <row r="2262">
          <cell r="C2262" t="str">
            <v>INE047B01011</v>
          </cell>
          <cell r="D2262" t="str">
            <v>GILLANDERS</v>
          </cell>
          <cell r="E2262">
            <v>258.39398500999999</v>
          </cell>
          <cell r="F2262" t="str">
            <v>GILLANDERS</v>
          </cell>
          <cell r="G2262">
            <v>258.28149999999999</v>
          </cell>
          <cell r="H2262" t="str">
            <v>-</v>
          </cell>
          <cell r="I2262" t="str">
            <v>-</v>
          </cell>
          <cell r="J2262">
            <v>258.33774250499999</v>
          </cell>
          <cell r="K2262" t="str">
            <v>Small Cap</v>
          </cell>
        </row>
        <row r="2263">
          <cell r="C2263" t="str">
            <v>INE586E01020</v>
          </cell>
          <cell r="D2263" t="str">
            <v>IWP</v>
          </cell>
          <cell r="E2263">
            <v>258.11875535999997</v>
          </cell>
          <cell r="F2263" t="str">
            <v>-</v>
          </cell>
          <cell r="G2263" t="str">
            <v>-</v>
          </cell>
          <cell r="H2263" t="str">
            <v>-</v>
          </cell>
          <cell r="I2263" t="str">
            <v>-</v>
          </cell>
          <cell r="J2263">
            <v>258.11875535999997</v>
          </cell>
          <cell r="K2263" t="str">
            <v>Small Cap</v>
          </cell>
        </row>
        <row r="2264">
          <cell r="C2264" t="str">
            <v>INE377E01024</v>
          </cell>
          <cell r="D2264" t="str">
            <v>COASTCORP</v>
          </cell>
          <cell r="E2264">
            <v>257.81410018299999</v>
          </cell>
          <cell r="F2264" t="str">
            <v>COASTCORP</v>
          </cell>
          <cell r="G2264">
            <v>257.9522</v>
          </cell>
          <cell r="H2264" t="str">
            <v>-</v>
          </cell>
          <cell r="I2264" t="str">
            <v>-</v>
          </cell>
          <cell r="J2264">
            <v>257.8831500915</v>
          </cell>
          <cell r="K2264" t="str">
            <v>Small Cap</v>
          </cell>
        </row>
        <row r="2265">
          <cell r="C2265" t="str">
            <v>INE0QXV01014</v>
          </cell>
          <cell r="D2265" t="str">
            <v>JGTL</v>
          </cell>
          <cell r="E2265">
            <v>257.82709857100002</v>
          </cell>
          <cell r="F2265" t="str">
            <v>-</v>
          </cell>
          <cell r="G2265" t="str">
            <v>-</v>
          </cell>
          <cell r="H2265" t="str">
            <v>-</v>
          </cell>
          <cell r="I2265" t="str">
            <v>-</v>
          </cell>
          <cell r="J2265">
            <v>257.82709857100002</v>
          </cell>
          <cell r="K2265" t="str">
            <v>Small Cap</v>
          </cell>
        </row>
        <row r="2266">
          <cell r="C2266" t="str">
            <v>INE926K01017</v>
          </cell>
          <cell r="D2266" t="str">
            <v>AHLEAST</v>
          </cell>
          <cell r="E2266">
            <v>257.58245580800002</v>
          </cell>
          <cell r="F2266" t="str">
            <v>AHLEAST</v>
          </cell>
          <cell r="G2266">
            <v>257.76799999999997</v>
          </cell>
          <cell r="H2266" t="str">
            <v>-</v>
          </cell>
          <cell r="I2266" t="str">
            <v>-</v>
          </cell>
          <cell r="J2266">
            <v>257.675227904</v>
          </cell>
          <cell r="K2266" t="str">
            <v>Small Cap</v>
          </cell>
        </row>
        <row r="2267">
          <cell r="C2267" t="str">
            <v>INE623A01011</v>
          </cell>
          <cell r="D2267" t="str">
            <v>SAKHTISUG</v>
          </cell>
          <cell r="E2267">
            <v>257.53076907100001</v>
          </cell>
          <cell r="F2267" t="str">
            <v>SAKHTISUG</v>
          </cell>
          <cell r="G2267">
            <v>257.25819999999999</v>
          </cell>
          <cell r="H2267" t="str">
            <v>-</v>
          </cell>
          <cell r="I2267" t="str">
            <v>-</v>
          </cell>
          <cell r="J2267">
            <v>257.3944845355</v>
          </cell>
          <cell r="K2267" t="str">
            <v>Small Cap</v>
          </cell>
        </row>
        <row r="2268">
          <cell r="C2268" t="str">
            <v>INE0V8A01016</v>
          </cell>
          <cell r="D2268" t="str">
            <v>KARBON</v>
          </cell>
          <cell r="E2268">
            <v>256.40576212899998</v>
          </cell>
          <cell r="F2268" t="str">
            <v>-</v>
          </cell>
          <cell r="G2268" t="str">
            <v>-</v>
          </cell>
          <cell r="H2268" t="str">
            <v>-</v>
          </cell>
          <cell r="I2268" t="str">
            <v>-</v>
          </cell>
          <cell r="J2268">
            <v>256.40576212899998</v>
          </cell>
          <cell r="K2268" t="str">
            <v>Small Cap</v>
          </cell>
        </row>
        <row r="2269">
          <cell r="C2269" t="str">
            <v>INE03RS01027</v>
          </cell>
          <cell r="D2269" t="str">
            <v>DRCSYSTEMS</v>
          </cell>
          <cell r="E2269">
            <v>257.06451742399997</v>
          </cell>
          <cell r="F2269" t="str">
            <v>DRCSYSTEMS</v>
          </cell>
          <cell r="G2269">
            <v>255.70070000000001</v>
          </cell>
          <cell r="H2269" t="str">
            <v>-</v>
          </cell>
          <cell r="I2269" t="str">
            <v>-</v>
          </cell>
          <cell r="J2269">
            <v>256.38260871199998</v>
          </cell>
          <cell r="K2269" t="str">
            <v>Small Cap</v>
          </cell>
        </row>
        <row r="2270">
          <cell r="C2270" t="str">
            <v>INE206B01013</v>
          </cell>
          <cell r="D2270" t="str">
            <v>ZODIACLOTH</v>
          </cell>
          <cell r="E2270">
            <v>256.15405268000001</v>
          </cell>
          <cell r="F2270" t="str">
            <v>ZODIACLOTH</v>
          </cell>
          <cell r="G2270">
            <v>255.79060000000001</v>
          </cell>
          <cell r="H2270" t="str">
            <v>-</v>
          </cell>
          <cell r="I2270" t="str">
            <v>-</v>
          </cell>
          <cell r="J2270">
            <v>255.97232634</v>
          </cell>
          <cell r="K2270" t="str">
            <v>Small Cap</v>
          </cell>
        </row>
        <row r="2271">
          <cell r="C2271" t="str">
            <v>INE362D01010</v>
          </cell>
          <cell r="D2271" t="str">
            <v>VIJSOLX</v>
          </cell>
          <cell r="E2271">
            <v>255.82359720700001</v>
          </cell>
          <cell r="F2271" t="str">
            <v>-</v>
          </cell>
          <cell r="G2271" t="str">
            <v>-</v>
          </cell>
          <cell r="H2271" t="str">
            <v>-</v>
          </cell>
          <cell r="I2271" t="str">
            <v>-</v>
          </cell>
          <cell r="J2271">
            <v>255.82359720700001</v>
          </cell>
          <cell r="K2271" t="str">
            <v>Small Cap</v>
          </cell>
        </row>
        <row r="2272">
          <cell r="C2272" t="str">
            <v>INE819A01049</v>
          </cell>
          <cell r="D2272" t="str">
            <v>COMFINTE</v>
          </cell>
          <cell r="E2272">
            <v>255.81842606199999</v>
          </cell>
          <cell r="F2272" t="str">
            <v>-</v>
          </cell>
          <cell r="G2272" t="str">
            <v>-</v>
          </cell>
          <cell r="H2272" t="str">
            <v>-</v>
          </cell>
          <cell r="I2272" t="str">
            <v>-</v>
          </cell>
          <cell r="J2272">
            <v>255.81842606199999</v>
          </cell>
          <cell r="K2272" t="str">
            <v>Small Cap</v>
          </cell>
        </row>
        <row r="2273">
          <cell r="C2273" t="str">
            <v>INE157H01023</v>
          </cell>
          <cell r="D2273" t="str">
            <v>KMSUGAR</v>
          </cell>
          <cell r="E2273">
            <v>255.83348860799998</v>
          </cell>
          <cell r="F2273" t="str">
            <v>KMSUGAR</v>
          </cell>
          <cell r="G2273">
            <v>255.71299999999999</v>
          </cell>
          <cell r="H2273" t="str">
            <v>-</v>
          </cell>
          <cell r="I2273" t="str">
            <v>-</v>
          </cell>
          <cell r="J2273">
            <v>255.773244304</v>
          </cell>
          <cell r="K2273" t="str">
            <v>Small Cap</v>
          </cell>
        </row>
        <row r="2274">
          <cell r="C2274" t="str">
            <v>INE781A01025</v>
          </cell>
          <cell r="D2274" t="str">
            <v>INTENTECH</v>
          </cell>
          <cell r="E2274">
            <v>256.180368601</v>
          </cell>
          <cell r="F2274" t="str">
            <v>INTENTECH</v>
          </cell>
          <cell r="G2274">
            <v>255.19139999999999</v>
          </cell>
          <cell r="H2274" t="str">
            <v>-</v>
          </cell>
          <cell r="I2274" t="str">
            <v>-</v>
          </cell>
          <cell r="J2274">
            <v>255.68588430049999</v>
          </cell>
          <cell r="K2274" t="str">
            <v>Small Cap</v>
          </cell>
        </row>
        <row r="2275">
          <cell r="C2275" t="str">
            <v>INE090B01011</v>
          </cell>
          <cell r="D2275" t="str">
            <v>OMAXAUTO</v>
          </cell>
          <cell r="E2275">
            <v>255.95766765500002</v>
          </cell>
          <cell r="F2275" t="str">
            <v>OMAXAUTO</v>
          </cell>
          <cell r="G2275">
            <v>255.21960000000001</v>
          </cell>
          <cell r="H2275" t="str">
            <v>-</v>
          </cell>
          <cell r="I2275" t="str">
            <v>-</v>
          </cell>
          <cell r="J2275">
            <v>255.58863382750002</v>
          </cell>
          <cell r="K2275" t="str">
            <v>Small Cap</v>
          </cell>
        </row>
        <row r="2276">
          <cell r="C2276" t="str">
            <v>INE372M01010</v>
          </cell>
          <cell r="D2276" t="str">
            <v>ARCL</v>
          </cell>
          <cell r="E2276">
            <v>254.95206349200001</v>
          </cell>
          <cell r="F2276" t="str">
            <v>-</v>
          </cell>
          <cell r="G2276" t="str">
            <v>-</v>
          </cell>
          <cell r="H2276" t="str">
            <v>-</v>
          </cell>
          <cell r="I2276" t="str">
            <v>-</v>
          </cell>
          <cell r="J2276">
            <v>254.95206349200001</v>
          </cell>
          <cell r="K2276" t="str">
            <v>Small Cap</v>
          </cell>
        </row>
        <row r="2277">
          <cell r="C2277" t="str">
            <v>INE557Z01018</v>
          </cell>
          <cell r="D2277" t="str">
            <v>PIGL</v>
          </cell>
          <cell r="E2277">
            <v>254.95042423400002</v>
          </cell>
          <cell r="F2277" t="str">
            <v>PIGL</v>
          </cell>
          <cell r="G2277">
            <v>254.2081</v>
          </cell>
          <cell r="H2277" t="str">
            <v>-</v>
          </cell>
          <cell r="I2277" t="str">
            <v>-</v>
          </cell>
          <cell r="J2277">
            <v>254.57926211700001</v>
          </cell>
          <cell r="K2277" t="str">
            <v>Small Cap</v>
          </cell>
        </row>
        <row r="2278">
          <cell r="C2278" t="str">
            <v>INE876S01017</v>
          </cell>
          <cell r="D2278" t="str">
            <v>LOYAL</v>
          </cell>
          <cell r="E2278">
            <v>254.31302103200002</v>
          </cell>
          <cell r="F2278" t="str">
            <v>-</v>
          </cell>
          <cell r="G2278" t="str">
            <v>-</v>
          </cell>
          <cell r="H2278" t="str">
            <v>-</v>
          </cell>
          <cell r="I2278" t="str">
            <v>-</v>
          </cell>
          <cell r="J2278">
            <v>254.31302103200002</v>
          </cell>
          <cell r="K2278" t="str">
            <v>Small Cap</v>
          </cell>
        </row>
        <row r="2279">
          <cell r="C2279" t="str">
            <v>INE126M01010</v>
          </cell>
          <cell r="D2279" t="str">
            <v>IBULLSLTD</v>
          </cell>
          <cell r="E2279">
            <v>298.62272200199999</v>
          </cell>
          <cell r="F2279" t="str">
            <v>IBULLSLTD</v>
          </cell>
          <cell r="G2279">
            <v>209.5523</v>
          </cell>
          <cell r="H2279" t="str">
            <v>-</v>
          </cell>
          <cell r="I2279" t="str">
            <v>-</v>
          </cell>
          <cell r="J2279">
            <v>254.087511001</v>
          </cell>
          <cell r="K2279" t="str">
            <v>Small Cap</v>
          </cell>
        </row>
        <row r="2280">
          <cell r="C2280" t="str">
            <v>INE670O01013</v>
          </cell>
          <cell r="D2280" t="str">
            <v>ONEGLOBAL</v>
          </cell>
          <cell r="E2280">
            <v>254.04656055300003</v>
          </cell>
          <cell r="F2280" t="str">
            <v>-</v>
          </cell>
          <cell r="G2280" t="str">
            <v>-</v>
          </cell>
          <cell r="H2280" t="str">
            <v>-</v>
          </cell>
          <cell r="I2280" t="str">
            <v>-</v>
          </cell>
          <cell r="J2280">
            <v>254.04656055300003</v>
          </cell>
          <cell r="K2280" t="str">
            <v>Small Cap</v>
          </cell>
        </row>
        <row r="2281">
          <cell r="C2281" t="str">
            <v>INE314G01014</v>
          </cell>
          <cell r="D2281" t="str">
            <v>KALYANIFRG</v>
          </cell>
          <cell r="E2281">
            <v>253.92590357099999</v>
          </cell>
          <cell r="F2281" t="str">
            <v>KALYANIFRG</v>
          </cell>
          <cell r="G2281">
            <v>253.5129</v>
          </cell>
          <cell r="H2281" t="str">
            <v>-</v>
          </cell>
          <cell r="I2281" t="str">
            <v>-</v>
          </cell>
          <cell r="J2281">
            <v>253.7194017855</v>
          </cell>
          <cell r="K2281" t="str">
            <v>Small Cap</v>
          </cell>
        </row>
        <row r="2282">
          <cell r="C2282" t="str">
            <v>INE238C01022</v>
          </cell>
          <cell r="D2282" t="str">
            <v>TRISHAKT</v>
          </cell>
          <cell r="E2282">
            <v>253.597568841</v>
          </cell>
          <cell r="F2282" t="str">
            <v>-</v>
          </cell>
          <cell r="G2282" t="str">
            <v>-</v>
          </cell>
          <cell r="H2282" t="str">
            <v>-</v>
          </cell>
          <cell r="I2282" t="str">
            <v>-</v>
          </cell>
          <cell r="J2282">
            <v>253.597568841</v>
          </cell>
          <cell r="K2282" t="str">
            <v>Small Cap</v>
          </cell>
        </row>
        <row r="2283">
          <cell r="C2283" t="str">
            <v>INE0CFH01028</v>
          </cell>
          <cell r="D2283" t="str">
            <v>RIKHAV</v>
          </cell>
          <cell r="E2283">
            <v>253.049642952</v>
          </cell>
          <cell r="F2283" t="str">
            <v>-</v>
          </cell>
          <cell r="G2283" t="str">
            <v>-</v>
          </cell>
          <cell r="H2283" t="str">
            <v>-</v>
          </cell>
          <cell r="I2283" t="str">
            <v>-</v>
          </cell>
          <cell r="J2283">
            <v>253.049642952</v>
          </cell>
          <cell r="K2283" t="str">
            <v>Small Cap</v>
          </cell>
        </row>
        <row r="2284">
          <cell r="C2284" t="str">
            <v>INE964W01021</v>
          </cell>
          <cell r="D2284" t="str">
            <v>MKPL</v>
          </cell>
          <cell r="E2284">
            <v>253.23905942900001</v>
          </cell>
          <cell r="F2284" t="str">
            <v>MKPL</v>
          </cell>
          <cell r="G2284">
            <v>252.64619999999999</v>
          </cell>
          <cell r="H2284" t="str">
            <v>-</v>
          </cell>
          <cell r="I2284" t="str">
            <v>-</v>
          </cell>
          <cell r="J2284">
            <v>252.94262971450001</v>
          </cell>
          <cell r="K2284" t="str">
            <v>Small Cap</v>
          </cell>
        </row>
        <row r="2285">
          <cell r="C2285" t="str">
            <v>INE691D01012</v>
          </cell>
          <cell r="D2285" t="str">
            <v>SUDTIND-B</v>
          </cell>
          <cell r="E2285">
            <v>252.42085757699999</v>
          </cell>
          <cell r="F2285" t="str">
            <v>-</v>
          </cell>
          <cell r="G2285" t="str">
            <v>-</v>
          </cell>
          <cell r="H2285" t="str">
            <v>-</v>
          </cell>
          <cell r="I2285" t="str">
            <v>-</v>
          </cell>
          <cell r="J2285">
            <v>252.42085757699999</v>
          </cell>
          <cell r="K2285" t="str">
            <v>Small Cap</v>
          </cell>
        </row>
        <row r="2286">
          <cell r="C2286" t="str">
            <v>INE838E01017</v>
          </cell>
          <cell r="D2286" t="str">
            <v>PONNIERODE</v>
          </cell>
          <cell r="E2286">
            <v>252.20320098000002</v>
          </cell>
          <cell r="F2286" t="str">
            <v>PONNIERODE</v>
          </cell>
          <cell r="G2286">
            <v>252.11179999999999</v>
          </cell>
          <cell r="H2286" t="str">
            <v>-</v>
          </cell>
          <cell r="I2286" t="str">
            <v>-</v>
          </cell>
          <cell r="J2286">
            <v>252.15750049000002</v>
          </cell>
          <cell r="K2286" t="str">
            <v>Small Cap</v>
          </cell>
        </row>
        <row r="2287">
          <cell r="C2287" t="str">
            <v>INE07G501017</v>
          </cell>
          <cell r="D2287" t="str">
            <v>SHPLPUNE</v>
          </cell>
          <cell r="E2287">
            <v>251.10057961500002</v>
          </cell>
          <cell r="F2287" t="str">
            <v>-</v>
          </cell>
          <cell r="G2287" t="str">
            <v>-</v>
          </cell>
          <cell r="H2287" t="str">
            <v>-</v>
          </cell>
          <cell r="I2287" t="str">
            <v>-</v>
          </cell>
          <cell r="J2287">
            <v>251.10057961500002</v>
          </cell>
          <cell r="K2287" t="str">
            <v>Small Cap</v>
          </cell>
        </row>
        <row r="2288">
          <cell r="C2288" t="str">
            <v>INE0UYT01018</v>
          </cell>
          <cell r="D2288" t="str">
            <v>MCEL</v>
          </cell>
          <cell r="E2288">
            <v>250.964254944</v>
          </cell>
          <cell r="F2288" t="str">
            <v>-</v>
          </cell>
          <cell r="G2288" t="str">
            <v>-</v>
          </cell>
          <cell r="H2288" t="str">
            <v>-</v>
          </cell>
          <cell r="I2288" t="str">
            <v>-</v>
          </cell>
          <cell r="J2288">
            <v>250.964254944</v>
          </cell>
          <cell r="K2288" t="str">
            <v>Small Cap</v>
          </cell>
        </row>
        <row r="2289">
          <cell r="C2289" t="str">
            <v>INE692B01014</v>
          </cell>
          <cell r="D2289" t="str">
            <v>MURUDCERA</v>
          </cell>
          <cell r="E2289">
            <v>251.07206337899999</v>
          </cell>
          <cell r="F2289" t="str">
            <v>MURUDCERA</v>
          </cell>
          <cell r="G2289">
            <v>250.7972</v>
          </cell>
          <cell r="H2289" t="str">
            <v>-</v>
          </cell>
          <cell r="I2289" t="str">
            <v>-</v>
          </cell>
          <cell r="J2289">
            <v>250.93463168950001</v>
          </cell>
          <cell r="K2289" t="str">
            <v>Small Cap</v>
          </cell>
        </row>
        <row r="2290">
          <cell r="C2290" t="str">
            <v>INE346R01013</v>
          </cell>
          <cell r="D2290" t="str">
            <v>NCML</v>
          </cell>
          <cell r="E2290">
            <v>250.57337478099998</v>
          </cell>
          <cell r="F2290" t="str">
            <v>-</v>
          </cell>
          <cell r="G2290" t="str">
            <v>-</v>
          </cell>
          <cell r="H2290" t="str">
            <v>-</v>
          </cell>
          <cell r="I2290" t="str">
            <v>-</v>
          </cell>
          <cell r="J2290">
            <v>250.57337478099998</v>
          </cell>
          <cell r="K2290" t="str">
            <v>Small Cap</v>
          </cell>
        </row>
        <row r="2291">
          <cell r="C2291" t="str">
            <v>INE0VWL01017</v>
          </cell>
          <cell r="D2291" t="str">
            <v>CHEMKART</v>
          </cell>
          <cell r="E2291">
            <v>246.84441846199999</v>
          </cell>
          <cell r="F2291" t="str">
            <v>-</v>
          </cell>
          <cell r="G2291" t="str">
            <v>-</v>
          </cell>
          <cell r="H2291" t="str">
            <v>-</v>
          </cell>
          <cell r="I2291" t="str">
            <v>-</v>
          </cell>
          <cell r="J2291">
            <v>246.84441846199999</v>
          </cell>
          <cell r="K2291" t="str">
            <v>Small Cap</v>
          </cell>
        </row>
        <row r="2292">
          <cell r="C2292" t="str">
            <v>INE521J01018</v>
          </cell>
          <cell r="D2292" t="str">
            <v>CPCAP</v>
          </cell>
          <cell r="E2292">
            <v>246.948210606</v>
          </cell>
          <cell r="F2292" t="str">
            <v>CPCAP</v>
          </cell>
          <cell r="G2292">
            <v>246.71299999999999</v>
          </cell>
          <cell r="H2292" t="str">
            <v>-</v>
          </cell>
          <cell r="I2292" t="str">
            <v>-</v>
          </cell>
          <cell r="J2292">
            <v>246.830605303</v>
          </cell>
          <cell r="K2292" t="str">
            <v>Small Cap</v>
          </cell>
        </row>
        <row r="2293">
          <cell r="C2293" t="str">
            <v>INE368I01016</v>
          </cell>
          <cell r="D2293" t="str">
            <v>NIRAJ</v>
          </cell>
          <cell r="E2293">
            <v>249.00291795500002</v>
          </cell>
          <cell r="F2293" t="str">
            <v>NIRAJ</v>
          </cell>
          <cell r="G2293">
            <v>242.64179999999999</v>
          </cell>
          <cell r="H2293" t="str">
            <v>-</v>
          </cell>
          <cell r="I2293" t="str">
            <v>-</v>
          </cell>
          <cell r="J2293">
            <v>245.82235897750002</v>
          </cell>
          <cell r="K2293" t="str">
            <v>Small Cap</v>
          </cell>
        </row>
        <row r="2294">
          <cell r="C2294" t="str">
            <v>INE035801013</v>
          </cell>
          <cell r="D2294" t="str">
            <v>AERONEU</v>
          </cell>
          <cell r="E2294">
            <v>245.60576330199999</v>
          </cell>
          <cell r="F2294" t="str">
            <v>AERONEU</v>
          </cell>
          <cell r="G2294">
            <v>245.8115</v>
          </cell>
          <cell r="H2294" t="str">
            <v>-</v>
          </cell>
          <cell r="I2294" t="str">
            <v>-</v>
          </cell>
          <cell r="J2294">
            <v>245.70863165099999</v>
          </cell>
          <cell r="K2294" t="str">
            <v>Small Cap</v>
          </cell>
        </row>
        <row r="2295">
          <cell r="C2295" t="str">
            <v>INE432A01017</v>
          </cell>
          <cell r="D2295" t="str">
            <v>AMBALALSA</v>
          </cell>
          <cell r="E2295">
            <v>245.70337659699999</v>
          </cell>
          <cell r="F2295" t="str">
            <v>-</v>
          </cell>
          <cell r="G2295" t="str">
            <v>-</v>
          </cell>
          <cell r="H2295" t="str">
            <v>-</v>
          </cell>
          <cell r="I2295" t="str">
            <v>-</v>
          </cell>
          <cell r="J2295">
            <v>245.70337659699999</v>
          </cell>
          <cell r="K2295" t="str">
            <v>Small Cap</v>
          </cell>
        </row>
        <row r="2296">
          <cell r="C2296" t="str">
            <v>INE091C01017</v>
          </cell>
          <cell r="D2296" t="str">
            <v>SUPER</v>
          </cell>
          <cell r="E2296">
            <v>245.60725644800002</v>
          </cell>
          <cell r="F2296" t="str">
            <v>-</v>
          </cell>
          <cell r="G2296" t="str">
            <v>-</v>
          </cell>
          <cell r="H2296" t="str">
            <v>-</v>
          </cell>
          <cell r="I2296" t="str">
            <v>-</v>
          </cell>
          <cell r="J2296">
            <v>245.60725644800002</v>
          </cell>
          <cell r="K2296" t="str">
            <v>Small Cap</v>
          </cell>
        </row>
        <row r="2297">
          <cell r="C2297" t="str">
            <v>INE828V01012</v>
          </cell>
          <cell r="D2297" t="str">
            <v>-</v>
          </cell>
          <cell r="E2297" t="str">
            <v>-</v>
          </cell>
          <cell r="F2297" t="str">
            <v>-</v>
          </cell>
          <cell r="G2297" t="str">
            <v>-</v>
          </cell>
          <cell r="H2297" t="str">
            <v>KCCL</v>
          </cell>
          <cell r="I2297">
            <v>244.99754999999999</v>
          </cell>
          <cell r="J2297">
            <v>244.99754999999999</v>
          </cell>
          <cell r="K2297" t="str">
            <v>Small Cap</v>
          </cell>
        </row>
        <row r="2298">
          <cell r="C2298" t="str">
            <v>INE854S01022</v>
          </cell>
          <cell r="D2298" t="str">
            <v>GENCON</v>
          </cell>
          <cell r="E2298">
            <v>245.41657938200001</v>
          </cell>
          <cell r="F2298" t="str">
            <v>GENCON</v>
          </cell>
          <cell r="G2298">
            <v>244.48759999999999</v>
          </cell>
          <cell r="H2298" t="str">
            <v>-</v>
          </cell>
          <cell r="I2298" t="str">
            <v>-</v>
          </cell>
          <cell r="J2298">
            <v>244.952089691</v>
          </cell>
          <cell r="K2298" t="str">
            <v>Small Cap</v>
          </cell>
        </row>
        <row r="2299">
          <cell r="C2299" t="str">
            <v>INE263B01022</v>
          </cell>
          <cell r="D2299" t="str">
            <v>JAYSYNTH</v>
          </cell>
          <cell r="E2299">
            <v>244.87972334299999</v>
          </cell>
          <cell r="F2299" t="str">
            <v>-</v>
          </cell>
          <cell r="G2299" t="str">
            <v>-</v>
          </cell>
          <cell r="H2299" t="str">
            <v>-</v>
          </cell>
          <cell r="I2299" t="str">
            <v>-</v>
          </cell>
          <cell r="J2299">
            <v>244.87972334299999</v>
          </cell>
          <cell r="K2299" t="str">
            <v>Small Cap</v>
          </cell>
        </row>
        <row r="2300">
          <cell r="C2300" t="str">
            <v>INE0XX801016</v>
          </cell>
          <cell r="D2300" t="str">
            <v>SUGSLLOYD</v>
          </cell>
          <cell r="E2300">
            <v>244.79917455</v>
          </cell>
          <cell r="F2300" t="str">
            <v>-</v>
          </cell>
          <cell r="G2300" t="str">
            <v>-</v>
          </cell>
          <cell r="H2300" t="str">
            <v>-</v>
          </cell>
          <cell r="I2300" t="str">
            <v>-</v>
          </cell>
          <cell r="J2300">
            <v>244.79917455</v>
          </cell>
          <cell r="K2300" t="str">
            <v>Small Cap</v>
          </cell>
        </row>
        <row r="2301">
          <cell r="C2301" t="str">
            <v>INE342D01012</v>
          </cell>
          <cell r="D2301" t="str">
            <v>INDGELA</v>
          </cell>
          <cell r="E2301">
            <v>244.708553881</v>
          </cell>
          <cell r="F2301" t="str">
            <v>-</v>
          </cell>
          <cell r="G2301" t="str">
            <v>-</v>
          </cell>
          <cell r="H2301" t="str">
            <v>-</v>
          </cell>
          <cell r="I2301" t="str">
            <v>-</v>
          </cell>
          <cell r="J2301">
            <v>244.708553881</v>
          </cell>
          <cell r="K2301" t="str">
            <v>Small Cap</v>
          </cell>
        </row>
        <row r="2302">
          <cell r="C2302" t="str">
            <v>INE731D01024</v>
          </cell>
          <cell r="D2302" t="str">
            <v>KPT</v>
          </cell>
          <cell r="E2302">
            <v>244.20958730199999</v>
          </cell>
          <cell r="F2302" t="str">
            <v>-</v>
          </cell>
          <cell r="G2302" t="str">
            <v>-</v>
          </cell>
          <cell r="H2302" t="str">
            <v>-</v>
          </cell>
          <cell r="I2302" t="str">
            <v>-</v>
          </cell>
          <cell r="J2302">
            <v>244.20958730199999</v>
          </cell>
          <cell r="K2302" t="str">
            <v>Small Cap</v>
          </cell>
        </row>
        <row r="2303">
          <cell r="C2303" t="str">
            <v>INE658G01014</v>
          </cell>
          <cell r="D2303" t="str">
            <v>SALSTEEL</v>
          </cell>
          <cell r="E2303">
            <v>244.800526461</v>
          </cell>
          <cell r="F2303" t="str">
            <v>SALSTEEL</v>
          </cell>
          <cell r="G2303">
            <v>243.42150000000001</v>
          </cell>
          <cell r="H2303" t="str">
            <v>-</v>
          </cell>
          <cell r="I2303" t="str">
            <v>-</v>
          </cell>
          <cell r="J2303">
            <v>244.11101323050002</v>
          </cell>
          <cell r="K2303" t="str">
            <v>Small Cap</v>
          </cell>
        </row>
        <row r="2304">
          <cell r="C2304" t="str">
            <v>INE964R01013</v>
          </cell>
          <cell r="D2304" t="str">
            <v>REGENCY</v>
          </cell>
          <cell r="E2304">
            <v>243.491135012</v>
          </cell>
          <cell r="F2304" t="str">
            <v>-</v>
          </cell>
          <cell r="G2304" t="str">
            <v>-</v>
          </cell>
          <cell r="H2304" t="str">
            <v>-</v>
          </cell>
          <cell r="I2304" t="str">
            <v>-</v>
          </cell>
          <cell r="J2304">
            <v>243.491135012</v>
          </cell>
          <cell r="K2304" t="str">
            <v>Small Cap</v>
          </cell>
        </row>
        <row r="2305">
          <cell r="C2305" t="str">
            <v>INE0ALR01029</v>
          </cell>
          <cell r="D2305" t="str">
            <v>ATALREAL</v>
          </cell>
          <cell r="E2305">
            <v>242.91315499999999</v>
          </cell>
          <cell r="F2305" t="str">
            <v>ATALREAL</v>
          </cell>
          <cell r="G2305">
            <v>242.57040000000001</v>
          </cell>
          <cell r="H2305" t="str">
            <v>-</v>
          </cell>
          <cell r="I2305" t="str">
            <v>-</v>
          </cell>
          <cell r="J2305">
            <v>242.74177750000001</v>
          </cell>
          <cell r="K2305" t="str">
            <v>Small Cap</v>
          </cell>
        </row>
        <row r="2306">
          <cell r="C2306" t="str">
            <v>INE782D01027</v>
          </cell>
          <cell r="D2306" t="str">
            <v>ALFREDHE</v>
          </cell>
          <cell r="E2306">
            <v>242.73454301599998</v>
          </cell>
          <cell r="F2306" t="str">
            <v>-</v>
          </cell>
          <cell r="G2306" t="str">
            <v>-</v>
          </cell>
          <cell r="H2306" t="str">
            <v>-</v>
          </cell>
          <cell r="I2306" t="str">
            <v>-</v>
          </cell>
          <cell r="J2306">
            <v>242.73454301599998</v>
          </cell>
          <cell r="K2306" t="str">
            <v>Small Cap</v>
          </cell>
        </row>
        <row r="2307">
          <cell r="C2307" t="str">
            <v>INE078D01012</v>
          </cell>
          <cell r="D2307" t="str">
            <v>PGFOILQ</v>
          </cell>
          <cell r="E2307">
            <v>242.727058333</v>
          </cell>
          <cell r="F2307" t="str">
            <v>-</v>
          </cell>
          <cell r="G2307" t="str">
            <v>-</v>
          </cell>
          <cell r="H2307" t="str">
            <v>-</v>
          </cell>
          <cell r="I2307" t="str">
            <v>-</v>
          </cell>
          <cell r="J2307">
            <v>242.727058333</v>
          </cell>
          <cell r="K2307" t="str">
            <v>Small Cap</v>
          </cell>
        </row>
        <row r="2308">
          <cell r="C2308" t="str">
            <v>INE703A01011</v>
          </cell>
          <cell r="D2308" t="str">
            <v>VIDEOIND</v>
          </cell>
          <cell r="E2308">
            <v>242.48268437499999</v>
          </cell>
          <cell r="F2308" t="str">
            <v>-</v>
          </cell>
          <cell r="G2308" t="str">
            <v>-</v>
          </cell>
          <cell r="H2308" t="str">
            <v>-</v>
          </cell>
          <cell r="I2308" t="str">
            <v>-</v>
          </cell>
          <cell r="J2308">
            <v>242.48268437499999</v>
          </cell>
          <cell r="K2308" t="str">
            <v>Small Cap</v>
          </cell>
        </row>
        <row r="2309">
          <cell r="C2309" t="str">
            <v>INE788D01016</v>
          </cell>
          <cell r="D2309" t="str">
            <v>BCCFUBA</v>
          </cell>
          <cell r="E2309">
            <v>242.22807758299999</v>
          </cell>
          <cell r="F2309" t="str">
            <v>-</v>
          </cell>
          <cell r="G2309" t="str">
            <v>-</v>
          </cell>
          <cell r="H2309" t="str">
            <v>-</v>
          </cell>
          <cell r="I2309" t="str">
            <v>-</v>
          </cell>
          <cell r="J2309">
            <v>242.22807758299999</v>
          </cell>
          <cell r="K2309" t="str">
            <v>Small Cap</v>
          </cell>
        </row>
        <row r="2310">
          <cell r="C2310" t="str">
            <v>INE482J01021</v>
          </cell>
          <cell r="D2310" t="str">
            <v>SHAH</v>
          </cell>
          <cell r="E2310">
            <v>244.35502330200001</v>
          </cell>
          <cell r="F2310" t="str">
            <v>SHAH</v>
          </cell>
          <cell r="G2310">
            <v>239.9709</v>
          </cell>
          <cell r="H2310" t="str">
            <v>-</v>
          </cell>
          <cell r="I2310" t="str">
            <v>-</v>
          </cell>
          <cell r="J2310">
            <v>242.16296165099999</v>
          </cell>
          <cell r="K2310" t="str">
            <v>Small Cap</v>
          </cell>
        </row>
        <row r="2311">
          <cell r="C2311" t="str">
            <v>INE705C01020</v>
          </cell>
          <cell r="D2311" t="str">
            <v>SHIVATEX</v>
          </cell>
          <cell r="E2311">
            <v>242.11107205799999</v>
          </cell>
          <cell r="F2311" t="str">
            <v>SHIVATEX</v>
          </cell>
          <cell r="G2311">
            <v>241.15199999999999</v>
          </cell>
          <cell r="H2311" t="str">
            <v>-</v>
          </cell>
          <cell r="I2311" t="str">
            <v>-</v>
          </cell>
          <cell r="J2311">
            <v>241.63153602899999</v>
          </cell>
          <cell r="K2311" t="str">
            <v>Small Cap</v>
          </cell>
        </row>
        <row r="2312">
          <cell r="C2312" t="str">
            <v>INE995D01025</v>
          </cell>
          <cell r="D2312" t="str">
            <v>CHEMBOND</v>
          </cell>
          <cell r="E2312">
            <v>241.54512769800002</v>
          </cell>
          <cell r="F2312" t="str">
            <v>CHEMBOND</v>
          </cell>
          <cell r="G2312">
            <v>241.04560000000001</v>
          </cell>
          <cell r="H2312" t="str">
            <v>-</v>
          </cell>
          <cell r="I2312" t="str">
            <v>-</v>
          </cell>
          <cell r="J2312">
            <v>241.29536384900001</v>
          </cell>
          <cell r="K2312" t="str">
            <v>Small Cap</v>
          </cell>
        </row>
        <row r="2313">
          <cell r="C2313" t="str">
            <v>INE268H01044</v>
          </cell>
          <cell r="D2313" t="str">
            <v>NAVKARURB</v>
          </cell>
          <cell r="E2313">
            <v>241.03570922099999</v>
          </cell>
          <cell r="F2313" t="str">
            <v>NAVKARURB</v>
          </cell>
          <cell r="G2313">
            <v>239.32589999999999</v>
          </cell>
          <cell r="H2313" t="str">
            <v>-</v>
          </cell>
          <cell r="I2313" t="str">
            <v>-</v>
          </cell>
          <cell r="J2313">
            <v>240.18080461049999</v>
          </cell>
          <cell r="K2313" t="str">
            <v>Small Cap</v>
          </cell>
        </row>
        <row r="2314">
          <cell r="C2314" t="str">
            <v>INE469A01019</v>
          </cell>
          <cell r="D2314" t="str">
            <v>BIMETAL</v>
          </cell>
          <cell r="E2314">
            <v>239.90521428600002</v>
          </cell>
          <cell r="F2314" t="str">
            <v>-</v>
          </cell>
          <cell r="G2314" t="str">
            <v>-</v>
          </cell>
          <cell r="H2314" t="str">
            <v>-</v>
          </cell>
          <cell r="I2314" t="str">
            <v>-</v>
          </cell>
          <cell r="J2314">
            <v>239.90521428600002</v>
          </cell>
          <cell r="K2314" t="str">
            <v>Small Cap</v>
          </cell>
        </row>
        <row r="2315">
          <cell r="C2315" t="str">
            <v>INE017I01027</v>
          </cell>
          <cell r="D2315" t="str">
            <v>SERA</v>
          </cell>
          <cell r="E2315">
            <v>239.72227638899997</v>
          </cell>
          <cell r="F2315" t="str">
            <v>-</v>
          </cell>
          <cell r="G2315" t="str">
            <v>-</v>
          </cell>
          <cell r="H2315" t="str">
            <v>-</v>
          </cell>
          <cell r="I2315" t="str">
            <v>-</v>
          </cell>
          <cell r="J2315">
            <v>239.72227638899997</v>
          </cell>
          <cell r="K2315" t="str">
            <v>Small Cap</v>
          </cell>
        </row>
        <row r="2316">
          <cell r="C2316" t="str">
            <v>INE792I01017</v>
          </cell>
          <cell r="D2316" t="str">
            <v>CORDSCABLE</v>
          </cell>
          <cell r="E2316">
            <v>238.98745554299998</v>
          </cell>
          <cell r="F2316" t="str">
            <v>CORDSCABLE</v>
          </cell>
          <cell r="G2316">
            <v>238.9922</v>
          </cell>
          <cell r="H2316" t="str">
            <v>-</v>
          </cell>
          <cell r="I2316" t="str">
            <v>-</v>
          </cell>
          <cell r="J2316">
            <v>238.98982777149999</v>
          </cell>
          <cell r="K2316" t="str">
            <v>Small Cap</v>
          </cell>
        </row>
        <row r="2317">
          <cell r="C2317" t="str">
            <v>INE421A01028</v>
          </cell>
          <cell r="D2317" t="str">
            <v>ABAN</v>
          </cell>
          <cell r="E2317">
            <v>238.77994786300002</v>
          </cell>
          <cell r="F2317" t="str">
            <v>ABAN</v>
          </cell>
          <cell r="G2317">
            <v>238.59739999999999</v>
          </cell>
          <cell r="H2317" t="str">
            <v>-</v>
          </cell>
          <cell r="I2317" t="str">
            <v>-</v>
          </cell>
          <cell r="J2317">
            <v>238.68867393150001</v>
          </cell>
          <cell r="K2317" t="str">
            <v>Small Cap</v>
          </cell>
        </row>
        <row r="2318">
          <cell r="C2318" t="str">
            <v>INE890G01021</v>
          </cell>
          <cell r="D2318" t="str">
            <v>UVDRHOR</v>
          </cell>
          <cell r="E2318">
            <v>238.55836539699999</v>
          </cell>
          <cell r="F2318" t="str">
            <v>-</v>
          </cell>
          <cell r="G2318" t="str">
            <v>-</v>
          </cell>
          <cell r="H2318" t="str">
            <v>-</v>
          </cell>
          <cell r="I2318" t="str">
            <v>-</v>
          </cell>
          <cell r="J2318">
            <v>238.55836539699999</v>
          </cell>
          <cell r="K2318" t="str">
            <v>Small Cap</v>
          </cell>
        </row>
        <row r="2319">
          <cell r="C2319" t="str">
            <v>INE013E01017</v>
          </cell>
          <cell r="D2319" t="str">
            <v>PANCARBON</v>
          </cell>
          <cell r="E2319">
            <v>238.48666666700001</v>
          </cell>
          <cell r="F2319" t="str">
            <v>-</v>
          </cell>
          <cell r="G2319" t="str">
            <v>-</v>
          </cell>
          <cell r="H2319" t="str">
            <v>-</v>
          </cell>
          <cell r="I2319" t="str">
            <v>-</v>
          </cell>
          <cell r="J2319">
            <v>238.48666666700001</v>
          </cell>
          <cell r="K2319" t="str">
            <v>Small Cap</v>
          </cell>
        </row>
        <row r="2320">
          <cell r="C2320" t="str">
            <v>INE273A01015</v>
          </cell>
          <cell r="D2320" t="str">
            <v>APLAB</v>
          </cell>
          <cell r="E2320">
            <v>238.13661955199998</v>
          </cell>
          <cell r="F2320" t="str">
            <v>-</v>
          </cell>
          <cell r="G2320" t="str">
            <v>-</v>
          </cell>
          <cell r="H2320" t="str">
            <v>-</v>
          </cell>
          <cell r="I2320" t="str">
            <v>-</v>
          </cell>
          <cell r="J2320">
            <v>238.13661955199998</v>
          </cell>
          <cell r="K2320" t="str">
            <v>Small Cap</v>
          </cell>
        </row>
        <row r="2321">
          <cell r="C2321" t="str">
            <v>INE060X01034</v>
          </cell>
          <cell r="D2321" t="str">
            <v>DEVIT</v>
          </cell>
          <cell r="E2321">
            <v>237.397118315</v>
          </cell>
          <cell r="F2321" t="str">
            <v>DEVIT</v>
          </cell>
          <cell r="G2321">
            <v>237.2294</v>
          </cell>
          <cell r="H2321" t="str">
            <v>-</v>
          </cell>
          <cell r="I2321" t="str">
            <v>-</v>
          </cell>
          <cell r="J2321">
            <v>237.3132591575</v>
          </cell>
          <cell r="K2321" t="str">
            <v>Small Cap</v>
          </cell>
        </row>
        <row r="2322">
          <cell r="C2322" t="str">
            <v>INE1GUJ01014</v>
          </cell>
          <cell r="D2322" t="str">
            <v>TRADEUNO</v>
          </cell>
          <cell r="E2322">
            <v>237.05965608400001</v>
          </cell>
          <cell r="F2322" t="str">
            <v>-</v>
          </cell>
          <cell r="G2322" t="str">
            <v>-</v>
          </cell>
          <cell r="H2322" t="str">
            <v>-</v>
          </cell>
          <cell r="I2322" t="str">
            <v>-</v>
          </cell>
          <cell r="J2322">
            <v>237.05965608400001</v>
          </cell>
          <cell r="K2322" t="str">
            <v>Small Cap</v>
          </cell>
        </row>
        <row r="2323">
          <cell r="C2323" t="str">
            <v>INE948A01012</v>
          </cell>
          <cell r="D2323" t="str">
            <v>TRIGYN</v>
          </cell>
          <cell r="E2323">
            <v>236.72813862800001</v>
          </cell>
          <cell r="F2323" t="str">
            <v>TRIGYN</v>
          </cell>
          <cell r="G2323">
            <v>236.4323</v>
          </cell>
          <cell r="H2323" t="str">
            <v>-</v>
          </cell>
          <cell r="I2323" t="str">
            <v>-</v>
          </cell>
          <cell r="J2323">
            <v>236.580219314</v>
          </cell>
          <cell r="K2323" t="str">
            <v>Small Cap</v>
          </cell>
        </row>
        <row r="2324">
          <cell r="C2324" t="str">
            <v>INE196Y01018</v>
          </cell>
          <cell r="D2324" t="str">
            <v>WORTHPERI</v>
          </cell>
          <cell r="E2324">
            <v>234.17070036999999</v>
          </cell>
          <cell r="F2324" t="str">
            <v>WORTHPERI</v>
          </cell>
          <cell r="G2324">
            <v>238.05969999999999</v>
          </cell>
          <cell r="H2324" t="str">
            <v>-</v>
          </cell>
          <cell r="I2324" t="str">
            <v>-</v>
          </cell>
          <cell r="J2324">
            <v>236.11520018499999</v>
          </cell>
          <cell r="K2324" t="str">
            <v>Small Cap</v>
          </cell>
        </row>
        <row r="2325">
          <cell r="C2325" t="str">
            <v>INE359D01024</v>
          </cell>
          <cell r="D2325" t="str">
            <v>INLCM</v>
          </cell>
          <cell r="E2325">
            <v>235.66991170599999</v>
          </cell>
          <cell r="F2325" t="str">
            <v>-</v>
          </cell>
          <cell r="G2325" t="str">
            <v>-</v>
          </cell>
          <cell r="H2325" t="str">
            <v>-</v>
          </cell>
          <cell r="I2325" t="str">
            <v>-</v>
          </cell>
          <cell r="J2325">
            <v>235.66991170599999</v>
          </cell>
          <cell r="K2325" t="str">
            <v>Small Cap</v>
          </cell>
        </row>
        <row r="2326">
          <cell r="C2326" t="str">
            <v>INE243N01029</v>
          </cell>
          <cell r="D2326" t="str">
            <v>SWADPOL</v>
          </cell>
          <cell r="E2326">
            <v>235.45661904799999</v>
          </cell>
          <cell r="F2326" t="str">
            <v>-</v>
          </cell>
          <cell r="G2326" t="str">
            <v>-</v>
          </cell>
          <cell r="H2326" t="str">
            <v>-</v>
          </cell>
          <cell r="I2326" t="str">
            <v>-</v>
          </cell>
          <cell r="J2326">
            <v>235.45661904799999</v>
          </cell>
          <cell r="K2326" t="str">
            <v>Small Cap</v>
          </cell>
        </row>
        <row r="2327">
          <cell r="C2327" t="str">
            <v>INE840D01015</v>
          </cell>
          <cell r="D2327" t="str">
            <v>ALPINEHOU</v>
          </cell>
          <cell r="E2327">
            <v>234.40720993099998</v>
          </cell>
          <cell r="F2327" t="str">
            <v>-</v>
          </cell>
          <cell r="G2327" t="str">
            <v>-</v>
          </cell>
          <cell r="H2327" t="str">
            <v>-</v>
          </cell>
          <cell r="I2327" t="str">
            <v>-</v>
          </cell>
          <cell r="J2327">
            <v>234.40720993099998</v>
          </cell>
          <cell r="K2327" t="str">
            <v>Small Cap</v>
          </cell>
        </row>
        <row r="2328">
          <cell r="C2328" t="str">
            <v>INE489B01031</v>
          </cell>
          <cell r="D2328" t="str">
            <v>SHRAAITECH</v>
          </cell>
          <cell r="E2328">
            <v>233.55080721500002</v>
          </cell>
          <cell r="F2328" t="str">
            <v>-</v>
          </cell>
          <cell r="G2328" t="str">
            <v>-</v>
          </cell>
          <cell r="H2328" t="str">
            <v>SHRAAITECH</v>
          </cell>
          <cell r="I2328">
            <v>233.52613599714289</v>
          </cell>
          <cell r="J2328">
            <v>233.53847160607145</v>
          </cell>
          <cell r="K2328" t="str">
            <v>Small Cap</v>
          </cell>
        </row>
        <row r="2329">
          <cell r="C2329" t="str">
            <v>INE618N01022</v>
          </cell>
          <cell r="D2329" t="str">
            <v>-</v>
          </cell>
          <cell r="E2329" t="str">
            <v>-</v>
          </cell>
          <cell r="F2329" t="str">
            <v>BALAXI</v>
          </cell>
          <cell r="G2329">
            <v>233.476</v>
          </cell>
          <cell r="H2329" t="str">
            <v>-</v>
          </cell>
          <cell r="I2329" t="str">
            <v>-</v>
          </cell>
          <cell r="J2329">
            <v>233.476</v>
          </cell>
          <cell r="K2329" t="str">
            <v>Small Cap</v>
          </cell>
        </row>
        <row r="2330">
          <cell r="C2330" t="str">
            <v>INE278R01034</v>
          </cell>
          <cell r="D2330" t="str">
            <v>DHARAN</v>
          </cell>
          <cell r="E2330">
            <v>237.12613243200002</v>
          </cell>
          <cell r="F2330" t="str">
            <v>DHARAN</v>
          </cell>
          <cell r="G2330">
            <v>228.65440000000001</v>
          </cell>
          <cell r="H2330" t="str">
            <v>-</v>
          </cell>
          <cell r="I2330" t="str">
            <v>-</v>
          </cell>
          <cell r="J2330">
            <v>232.89026621600001</v>
          </cell>
          <cell r="K2330" t="str">
            <v>Small Cap</v>
          </cell>
        </row>
        <row r="2331">
          <cell r="C2331" t="str">
            <v>INE112D01035</v>
          </cell>
          <cell r="D2331" t="str">
            <v>MHLXMIRU</v>
          </cell>
          <cell r="E2331">
            <v>232.61394470300002</v>
          </cell>
          <cell r="F2331" t="str">
            <v>MHLXMIRU</v>
          </cell>
          <cell r="G2331">
            <v>232.48140000000001</v>
          </cell>
          <cell r="H2331" t="str">
            <v>-</v>
          </cell>
          <cell r="I2331" t="str">
            <v>-</v>
          </cell>
          <cell r="J2331">
            <v>232.54767235150001</v>
          </cell>
          <cell r="K2331" t="str">
            <v>Small Cap</v>
          </cell>
        </row>
        <row r="2332">
          <cell r="C2332" t="str">
            <v>INE161701011</v>
          </cell>
          <cell r="D2332" t="str">
            <v>PATELCHEM</v>
          </cell>
          <cell r="E2332">
            <v>232.37900213600003</v>
          </cell>
          <cell r="F2332" t="str">
            <v>-</v>
          </cell>
          <cell r="G2332" t="str">
            <v>-</v>
          </cell>
          <cell r="H2332" t="str">
            <v>-</v>
          </cell>
          <cell r="I2332" t="str">
            <v>-</v>
          </cell>
          <cell r="J2332">
            <v>232.37900213600003</v>
          </cell>
          <cell r="K2332" t="str">
            <v>Small Cap</v>
          </cell>
        </row>
        <row r="2333">
          <cell r="C2333" t="str">
            <v>INE336C01016</v>
          </cell>
          <cell r="D2333" t="str">
            <v>RATHIST</v>
          </cell>
          <cell r="E2333">
            <v>232.287007671</v>
          </cell>
          <cell r="F2333" t="str">
            <v>-</v>
          </cell>
          <cell r="G2333" t="str">
            <v>-</v>
          </cell>
          <cell r="H2333" t="str">
            <v>-</v>
          </cell>
          <cell r="I2333" t="str">
            <v>-</v>
          </cell>
          <cell r="J2333">
            <v>232.287007671</v>
          </cell>
          <cell r="K2333" t="str">
            <v>Small Cap</v>
          </cell>
        </row>
        <row r="2334">
          <cell r="C2334" t="str">
            <v>INE499C01012</v>
          </cell>
          <cell r="D2334" t="str">
            <v>-</v>
          </cell>
          <cell r="E2334" t="str">
            <v>-</v>
          </cell>
          <cell r="F2334" t="str">
            <v>-</v>
          </cell>
          <cell r="G2334" t="str">
            <v>-</v>
          </cell>
          <cell r="H2334" t="str">
            <v>FRICKINDIA</v>
          </cell>
          <cell r="I2334">
            <v>231.74034374999979</v>
          </cell>
          <cell r="J2334">
            <v>231.74034374999979</v>
          </cell>
          <cell r="K2334" t="str">
            <v>Small Cap</v>
          </cell>
        </row>
        <row r="2335">
          <cell r="C2335" t="str">
            <v>INE048A01011</v>
          </cell>
          <cell r="D2335" t="str">
            <v>HOCL</v>
          </cell>
          <cell r="E2335">
            <v>231.62990863499999</v>
          </cell>
          <cell r="F2335" t="str">
            <v>-</v>
          </cell>
          <cell r="G2335" t="str">
            <v>-</v>
          </cell>
          <cell r="H2335" t="str">
            <v>-</v>
          </cell>
          <cell r="I2335" t="str">
            <v>-</v>
          </cell>
          <cell r="J2335">
            <v>231.62990863499999</v>
          </cell>
          <cell r="K2335" t="str">
            <v>Small Cap</v>
          </cell>
        </row>
        <row r="2336">
          <cell r="C2336" t="str">
            <v>INE201J01017</v>
          </cell>
          <cell r="D2336" t="str">
            <v>LGBFORGE</v>
          </cell>
          <cell r="E2336">
            <v>230.76903375800001</v>
          </cell>
          <cell r="F2336" t="str">
            <v>-</v>
          </cell>
          <cell r="G2336" t="str">
            <v>-</v>
          </cell>
          <cell r="H2336" t="str">
            <v>-</v>
          </cell>
          <cell r="I2336" t="str">
            <v>-</v>
          </cell>
          <cell r="J2336">
            <v>230.76903375800001</v>
          </cell>
          <cell r="K2336" t="str">
            <v>Small Cap</v>
          </cell>
        </row>
        <row r="2337">
          <cell r="C2337" t="str">
            <v>INE0TL001013</v>
          </cell>
          <cell r="D2337" t="str">
            <v>CRYOGENIC</v>
          </cell>
          <cell r="E2337">
            <v>230.49816000000001</v>
          </cell>
          <cell r="F2337" t="str">
            <v>-</v>
          </cell>
          <cell r="G2337" t="str">
            <v>-</v>
          </cell>
          <cell r="H2337" t="str">
            <v>-</v>
          </cell>
          <cell r="I2337" t="str">
            <v>-</v>
          </cell>
          <cell r="J2337">
            <v>230.49816000000001</v>
          </cell>
          <cell r="K2337" t="str">
            <v>Small Cap</v>
          </cell>
        </row>
        <row r="2338">
          <cell r="C2338" t="str">
            <v>INE105D01013</v>
          </cell>
          <cell r="D2338" t="str">
            <v>COCHINM</v>
          </cell>
          <cell r="E2338">
            <v>230.17776428600001</v>
          </cell>
          <cell r="F2338" t="str">
            <v>-</v>
          </cell>
          <cell r="G2338" t="str">
            <v>-</v>
          </cell>
          <cell r="H2338" t="str">
            <v>-</v>
          </cell>
          <cell r="I2338" t="str">
            <v>-</v>
          </cell>
          <cell r="J2338">
            <v>230.17776428600001</v>
          </cell>
          <cell r="K2338" t="str">
            <v>Small Cap</v>
          </cell>
        </row>
        <row r="2339">
          <cell r="C2339" t="str">
            <v>INE458F01011</v>
          </cell>
          <cell r="D2339" t="str">
            <v>-</v>
          </cell>
          <cell r="E2339" t="str">
            <v>-</v>
          </cell>
          <cell r="F2339" t="str">
            <v>UNITEDTEA</v>
          </cell>
          <cell r="G2339">
            <v>230.1738</v>
          </cell>
          <cell r="H2339" t="str">
            <v>-</v>
          </cell>
          <cell r="I2339" t="str">
            <v>-</v>
          </cell>
          <cell r="J2339">
            <v>230.1738</v>
          </cell>
          <cell r="K2339" t="str">
            <v>Small Cap</v>
          </cell>
        </row>
        <row r="2340">
          <cell r="C2340" t="str">
            <v>INE431F01018</v>
          </cell>
          <cell r="D2340" t="str">
            <v>-</v>
          </cell>
          <cell r="E2340" t="str">
            <v>-</v>
          </cell>
          <cell r="F2340" t="str">
            <v>PKTEA</v>
          </cell>
          <cell r="G2340">
            <v>230.13720000000001</v>
          </cell>
          <cell r="H2340" t="str">
            <v>-</v>
          </cell>
          <cell r="I2340" t="str">
            <v>-</v>
          </cell>
          <cell r="J2340">
            <v>230.13720000000001</v>
          </cell>
          <cell r="K2340" t="str">
            <v>Small Cap</v>
          </cell>
        </row>
        <row r="2341">
          <cell r="C2341" t="str">
            <v>INE222J01013</v>
          </cell>
          <cell r="D2341" t="str">
            <v>RANEENGINE</v>
          </cell>
          <cell r="E2341">
            <v>230.05566899999999</v>
          </cell>
          <cell r="F2341" t="str">
            <v>-</v>
          </cell>
          <cell r="G2341" t="str">
            <v>-</v>
          </cell>
          <cell r="H2341" t="str">
            <v>-</v>
          </cell>
          <cell r="I2341" t="str">
            <v>-</v>
          </cell>
          <cell r="J2341">
            <v>230.05566899999999</v>
          </cell>
          <cell r="K2341" t="str">
            <v>Small Cap</v>
          </cell>
        </row>
        <row r="2342">
          <cell r="C2342" t="str">
            <v>INE0MIO01019</v>
          </cell>
          <cell r="D2342" t="str">
            <v>ORGANICREC</v>
          </cell>
          <cell r="E2342">
            <v>229.61913764600001</v>
          </cell>
          <cell r="F2342" t="str">
            <v>-</v>
          </cell>
          <cell r="G2342" t="str">
            <v>-</v>
          </cell>
          <cell r="H2342" t="str">
            <v>-</v>
          </cell>
          <cell r="I2342" t="str">
            <v>-</v>
          </cell>
          <cell r="J2342">
            <v>229.61913764600001</v>
          </cell>
          <cell r="K2342" t="str">
            <v>Small Cap</v>
          </cell>
        </row>
        <row r="2343">
          <cell r="C2343" t="str">
            <v>INE072B01027</v>
          </cell>
          <cell r="D2343" t="str">
            <v>AEIM</v>
          </cell>
          <cell r="E2343">
            <v>229.61796760199999</v>
          </cell>
          <cell r="F2343" t="str">
            <v>-</v>
          </cell>
          <cell r="G2343" t="str">
            <v>-</v>
          </cell>
          <cell r="H2343" t="str">
            <v>-</v>
          </cell>
          <cell r="I2343" t="str">
            <v>-</v>
          </cell>
          <cell r="J2343">
            <v>229.61796760199999</v>
          </cell>
          <cell r="K2343" t="str">
            <v>Small Cap</v>
          </cell>
        </row>
        <row r="2344">
          <cell r="C2344" t="str">
            <v>INE186H01022</v>
          </cell>
          <cell r="D2344" t="str">
            <v>BASML</v>
          </cell>
          <cell r="E2344">
            <v>229.66485410500002</v>
          </cell>
          <cell r="F2344" t="str">
            <v>BASML</v>
          </cell>
          <cell r="G2344">
            <v>229.4479</v>
          </cell>
          <cell r="H2344" t="str">
            <v>-</v>
          </cell>
          <cell r="I2344" t="str">
            <v>-</v>
          </cell>
          <cell r="J2344">
            <v>229.55637705250001</v>
          </cell>
          <cell r="K2344" t="str">
            <v>Small Cap</v>
          </cell>
        </row>
        <row r="2345">
          <cell r="C2345" t="str">
            <v>INE312J01012</v>
          </cell>
          <cell r="D2345" t="str">
            <v>COROENGG</v>
          </cell>
          <cell r="E2345">
            <v>229.34033956799999</v>
          </cell>
          <cell r="F2345" t="str">
            <v>-</v>
          </cell>
          <cell r="G2345" t="str">
            <v>-</v>
          </cell>
          <cell r="H2345" t="str">
            <v>-</v>
          </cell>
          <cell r="I2345" t="str">
            <v>-</v>
          </cell>
          <cell r="J2345">
            <v>229.34033956799999</v>
          </cell>
          <cell r="K2345" t="str">
            <v>Small Cap</v>
          </cell>
        </row>
        <row r="2346">
          <cell r="C2346" t="str">
            <v>INE195F01027</v>
          </cell>
          <cell r="D2346" t="str">
            <v>SELLWIN</v>
          </cell>
          <cell r="E2346">
            <v>229.32969908699999</v>
          </cell>
          <cell r="F2346" t="str">
            <v>-</v>
          </cell>
          <cell r="G2346" t="str">
            <v>-</v>
          </cell>
          <cell r="H2346" t="str">
            <v>-</v>
          </cell>
          <cell r="I2346" t="str">
            <v>-</v>
          </cell>
          <cell r="J2346">
            <v>229.32969908699999</v>
          </cell>
          <cell r="K2346" t="str">
            <v>Small Cap</v>
          </cell>
        </row>
        <row r="2347">
          <cell r="C2347" t="str">
            <v>INE00Z501029</v>
          </cell>
          <cell r="D2347" t="str">
            <v>-</v>
          </cell>
          <cell r="E2347" t="str">
            <v>-</v>
          </cell>
          <cell r="F2347" t="str">
            <v>KRITIKA</v>
          </cell>
          <cell r="G2347">
            <v>229.12549999999999</v>
          </cell>
          <cell r="H2347" t="str">
            <v>-</v>
          </cell>
          <cell r="I2347" t="str">
            <v>-</v>
          </cell>
          <cell r="J2347">
            <v>229.12549999999999</v>
          </cell>
          <cell r="K2347" t="str">
            <v>Small Cap</v>
          </cell>
        </row>
        <row r="2348">
          <cell r="C2348" t="str">
            <v>INE0UMC01019</v>
          </cell>
          <cell r="D2348" t="str">
            <v>GLEN</v>
          </cell>
          <cell r="E2348">
            <v>228.95036574400001</v>
          </cell>
          <cell r="F2348" t="str">
            <v>-</v>
          </cell>
          <cell r="G2348" t="str">
            <v>-</v>
          </cell>
          <cell r="H2348" t="str">
            <v>-</v>
          </cell>
          <cell r="I2348" t="str">
            <v>-</v>
          </cell>
          <cell r="J2348">
            <v>228.95036574400001</v>
          </cell>
          <cell r="K2348" t="str">
            <v>Small Cap</v>
          </cell>
        </row>
        <row r="2349">
          <cell r="C2349" t="str">
            <v>INE365O01028</v>
          </cell>
          <cell r="D2349" t="str">
            <v>ABANSENT</v>
          </cell>
          <cell r="E2349">
            <v>228.75916596100001</v>
          </cell>
          <cell r="F2349" t="str">
            <v>-</v>
          </cell>
          <cell r="G2349" t="str">
            <v>-</v>
          </cell>
          <cell r="H2349" t="str">
            <v>ABANS</v>
          </cell>
          <cell r="I2349">
            <v>228.73757702222227</v>
          </cell>
          <cell r="J2349">
            <v>228.74837149161112</v>
          </cell>
          <cell r="K2349" t="str">
            <v>Small Cap</v>
          </cell>
        </row>
        <row r="2350">
          <cell r="C2350" t="str">
            <v>INE679E01015</v>
          </cell>
          <cell r="D2350" t="str">
            <v>AGRIBIO</v>
          </cell>
          <cell r="E2350">
            <v>228.70718953299999</v>
          </cell>
          <cell r="F2350" t="str">
            <v>-</v>
          </cell>
          <cell r="G2350" t="str">
            <v>-</v>
          </cell>
          <cell r="H2350" t="str">
            <v>-</v>
          </cell>
          <cell r="I2350" t="str">
            <v>-</v>
          </cell>
          <cell r="J2350">
            <v>228.70718953299999</v>
          </cell>
          <cell r="K2350" t="str">
            <v>Small Cap</v>
          </cell>
        </row>
        <row r="2351">
          <cell r="C2351" t="str">
            <v>INE951M01037</v>
          </cell>
          <cell r="D2351" t="str">
            <v>RRIL</v>
          </cell>
          <cell r="E2351">
            <v>228.60630286700001</v>
          </cell>
          <cell r="F2351" t="str">
            <v>-</v>
          </cell>
          <cell r="G2351" t="str">
            <v>-</v>
          </cell>
          <cell r="H2351" t="str">
            <v>-</v>
          </cell>
          <cell r="I2351" t="str">
            <v>-</v>
          </cell>
          <cell r="J2351">
            <v>228.60630286700001</v>
          </cell>
          <cell r="K2351" t="str">
            <v>Small Cap</v>
          </cell>
        </row>
        <row r="2352">
          <cell r="C2352" t="str">
            <v>INE606A01024</v>
          </cell>
          <cell r="D2352" t="str">
            <v>AMJLAND</v>
          </cell>
          <cell r="E2352">
            <v>228.44386507900001</v>
          </cell>
          <cell r="F2352" t="str">
            <v>AMJLAND</v>
          </cell>
          <cell r="G2352">
            <v>228.22579999999999</v>
          </cell>
          <cell r="H2352" t="str">
            <v>-</v>
          </cell>
          <cell r="I2352" t="str">
            <v>-</v>
          </cell>
          <cell r="J2352">
            <v>228.33483253949998</v>
          </cell>
          <cell r="K2352" t="str">
            <v>Small Cap</v>
          </cell>
        </row>
        <row r="2353">
          <cell r="C2353" t="str">
            <v>INE289C01025</v>
          </cell>
          <cell r="D2353" t="str">
            <v>TEAMGTY</v>
          </cell>
          <cell r="E2353">
            <v>229.07299170900001</v>
          </cell>
          <cell r="F2353" t="str">
            <v>TEAMGTY</v>
          </cell>
          <cell r="G2353">
            <v>227.38810000000001</v>
          </cell>
          <cell r="H2353" t="str">
            <v>-</v>
          </cell>
          <cell r="I2353" t="str">
            <v>-</v>
          </cell>
          <cell r="J2353">
            <v>228.23054585450001</v>
          </cell>
          <cell r="K2353" t="str">
            <v>Small Cap</v>
          </cell>
        </row>
        <row r="2354">
          <cell r="C2354" t="str">
            <v>INE227G01018</v>
          </cell>
          <cell r="D2354" t="str">
            <v>INDOWIND</v>
          </cell>
          <cell r="E2354">
            <v>228.093563152</v>
          </cell>
          <cell r="F2354" t="str">
            <v>INDOWIND</v>
          </cell>
          <cell r="G2354">
            <v>227.8664</v>
          </cell>
          <cell r="H2354" t="str">
            <v>-</v>
          </cell>
          <cell r="I2354" t="str">
            <v>-</v>
          </cell>
          <cell r="J2354">
            <v>227.979981576</v>
          </cell>
          <cell r="K2354" t="str">
            <v>Small Cap</v>
          </cell>
        </row>
        <row r="2355">
          <cell r="C2355" t="str">
            <v>INE0AH901011</v>
          </cell>
          <cell r="D2355" t="str">
            <v>CHATHA</v>
          </cell>
          <cell r="E2355">
            <v>227.00802351999999</v>
          </cell>
          <cell r="F2355" t="str">
            <v>-</v>
          </cell>
          <cell r="G2355" t="str">
            <v>-</v>
          </cell>
          <cell r="H2355" t="str">
            <v>-</v>
          </cell>
          <cell r="I2355" t="str">
            <v>-</v>
          </cell>
          <cell r="J2355">
            <v>227.00802351999999</v>
          </cell>
          <cell r="K2355" t="str">
            <v>Small Cap</v>
          </cell>
        </row>
        <row r="2356">
          <cell r="C2356" t="str">
            <v>INE067C01025</v>
          </cell>
          <cell r="D2356" t="str">
            <v>ANKIN</v>
          </cell>
          <cell r="E2356">
            <v>226.91703858899999</v>
          </cell>
          <cell r="F2356" t="str">
            <v>-</v>
          </cell>
          <cell r="G2356" t="str">
            <v>-</v>
          </cell>
          <cell r="H2356" t="str">
            <v>-</v>
          </cell>
          <cell r="I2356" t="str">
            <v>-</v>
          </cell>
          <cell r="J2356">
            <v>226.91703858899999</v>
          </cell>
          <cell r="K2356" t="str">
            <v>Small Cap</v>
          </cell>
        </row>
        <row r="2357">
          <cell r="C2357" t="str">
            <v>INE605D01012</v>
          </cell>
          <cell r="D2357" t="str">
            <v>NEAGI</v>
          </cell>
          <cell r="E2357">
            <v>226.46169578499999</v>
          </cell>
          <cell r="F2357" t="str">
            <v>-</v>
          </cell>
          <cell r="G2357" t="str">
            <v>-</v>
          </cell>
          <cell r="H2357" t="str">
            <v>-</v>
          </cell>
          <cell r="I2357" t="str">
            <v>-</v>
          </cell>
          <cell r="J2357">
            <v>226.46169578499999</v>
          </cell>
          <cell r="K2357" t="str">
            <v>Small Cap</v>
          </cell>
        </row>
        <row r="2358">
          <cell r="C2358" t="str">
            <v>INE371F01024</v>
          </cell>
          <cell r="D2358" t="str">
            <v>CHANDRIMA</v>
          </cell>
          <cell r="E2358">
            <v>226.111739121</v>
          </cell>
          <cell r="F2358" t="str">
            <v>-</v>
          </cell>
          <cell r="G2358" t="str">
            <v>-</v>
          </cell>
          <cell r="H2358" t="str">
            <v>-</v>
          </cell>
          <cell r="I2358" t="str">
            <v>-</v>
          </cell>
          <cell r="J2358">
            <v>226.111739121</v>
          </cell>
          <cell r="K2358" t="str">
            <v>Small Cap</v>
          </cell>
        </row>
        <row r="2359">
          <cell r="C2359" t="str">
            <v>INE882A01013</v>
          </cell>
          <cell r="D2359" t="str">
            <v>MARALOVER</v>
          </cell>
          <cell r="E2359">
            <v>226.35432457100001</v>
          </cell>
          <cell r="F2359" t="str">
            <v>MARALOVER</v>
          </cell>
          <cell r="G2359">
            <v>225.8141</v>
          </cell>
          <cell r="H2359" t="str">
            <v>-</v>
          </cell>
          <cell r="I2359" t="str">
            <v>-</v>
          </cell>
          <cell r="J2359">
            <v>226.0842122855</v>
          </cell>
          <cell r="K2359" t="str">
            <v>Small Cap</v>
          </cell>
        </row>
        <row r="2360">
          <cell r="C2360" t="str">
            <v>INE121D01036</v>
          </cell>
          <cell r="D2360" t="str">
            <v>SYSCHEM</v>
          </cell>
          <cell r="E2360">
            <v>225.840067508</v>
          </cell>
          <cell r="F2360" t="str">
            <v>-</v>
          </cell>
          <cell r="G2360" t="str">
            <v>-</v>
          </cell>
          <cell r="H2360" t="str">
            <v>-</v>
          </cell>
          <cell r="I2360" t="str">
            <v>-</v>
          </cell>
          <cell r="J2360">
            <v>225.840067508</v>
          </cell>
          <cell r="K2360" t="str">
            <v>Small Cap</v>
          </cell>
        </row>
        <row r="2361">
          <cell r="C2361" t="str">
            <v>INE043B01028</v>
          </cell>
          <cell r="D2361" t="str">
            <v>VINTRON</v>
          </cell>
          <cell r="E2361">
            <v>225.65078903000003</v>
          </cell>
          <cell r="F2361" t="str">
            <v>-</v>
          </cell>
          <cell r="G2361" t="str">
            <v>-</v>
          </cell>
          <cell r="H2361" t="str">
            <v>-</v>
          </cell>
          <cell r="I2361" t="str">
            <v>-</v>
          </cell>
          <cell r="J2361">
            <v>225.65078903000003</v>
          </cell>
          <cell r="K2361" t="str">
            <v>Small Cap</v>
          </cell>
        </row>
        <row r="2362">
          <cell r="C2362" t="str">
            <v>INE0SMW01011</v>
          </cell>
          <cell r="D2362" t="str">
            <v>PPARIVAH</v>
          </cell>
          <cell r="E2362">
            <v>225.58648500000001</v>
          </cell>
          <cell r="F2362" t="str">
            <v>-</v>
          </cell>
          <cell r="G2362" t="str">
            <v>-</v>
          </cell>
          <cell r="H2362" t="str">
            <v>-</v>
          </cell>
          <cell r="I2362" t="str">
            <v>-</v>
          </cell>
          <cell r="J2362">
            <v>225.58648500000001</v>
          </cell>
          <cell r="K2362" t="str">
            <v>Small Cap</v>
          </cell>
        </row>
        <row r="2363">
          <cell r="C2363" t="str">
            <v>INE918N01018</v>
          </cell>
          <cell r="D2363" t="str">
            <v>VETO</v>
          </cell>
          <cell r="E2363">
            <v>225.41083124799999</v>
          </cell>
          <cell r="F2363" t="str">
            <v>VETO</v>
          </cell>
          <cell r="G2363">
            <v>225.30539999999999</v>
          </cell>
          <cell r="H2363" t="str">
            <v>-</v>
          </cell>
          <cell r="I2363" t="str">
            <v>-</v>
          </cell>
          <cell r="J2363">
            <v>225.35811562399999</v>
          </cell>
          <cell r="K2363" t="str">
            <v>Small Cap</v>
          </cell>
        </row>
        <row r="2364">
          <cell r="C2364" t="str">
            <v>INE0INJ01017</v>
          </cell>
          <cell r="D2364" t="str">
            <v>PLAZACABLE</v>
          </cell>
          <cell r="E2364">
            <v>224.44468775300001</v>
          </cell>
          <cell r="F2364" t="str">
            <v>PLAZACABLE</v>
          </cell>
          <cell r="G2364">
            <v>224.20650000000001</v>
          </cell>
          <cell r="H2364" t="str">
            <v>-</v>
          </cell>
          <cell r="I2364" t="str">
            <v>-</v>
          </cell>
          <cell r="J2364">
            <v>224.32559387650002</v>
          </cell>
          <cell r="K2364" t="str">
            <v>Small Cap</v>
          </cell>
        </row>
        <row r="2365">
          <cell r="C2365" t="str">
            <v>INE0QMV01017</v>
          </cell>
          <cell r="D2365" t="str">
            <v>BHARATROHAN</v>
          </cell>
          <cell r="E2365">
            <v>224.19785515900003</v>
          </cell>
          <cell r="F2365" t="str">
            <v>-</v>
          </cell>
          <cell r="G2365" t="str">
            <v>-</v>
          </cell>
          <cell r="H2365" t="str">
            <v>-</v>
          </cell>
          <cell r="I2365" t="str">
            <v>-</v>
          </cell>
          <cell r="J2365">
            <v>224.19785515900003</v>
          </cell>
          <cell r="K2365" t="str">
            <v>Small Cap</v>
          </cell>
        </row>
        <row r="2366">
          <cell r="C2366" t="str">
            <v>INE0YG001013</v>
          </cell>
          <cell r="D2366" t="str">
            <v>STARIMAGIN</v>
          </cell>
          <cell r="E2366">
            <v>223.881652688</v>
          </cell>
          <cell r="F2366" t="str">
            <v>-</v>
          </cell>
          <cell r="G2366" t="str">
            <v>-</v>
          </cell>
          <cell r="H2366" t="str">
            <v>-</v>
          </cell>
          <cell r="I2366" t="str">
            <v>-</v>
          </cell>
          <cell r="J2366">
            <v>223.881652688</v>
          </cell>
          <cell r="K2366" t="str">
            <v>Small Cap</v>
          </cell>
        </row>
        <row r="2367">
          <cell r="C2367" t="str">
            <v>INE0CYK01015</v>
          </cell>
          <cell r="D2367" t="str">
            <v>PURPLEFIN</v>
          </cell>
          <cell r="E2367">
            <v>223.855854658</v>
          </cell>
          <cell r="F2367" t="str">
            <v>-</v>
          </cell>
          <cell r="G2367" t="str">
            <v>-</v>
          </cell>
          <cell r="H2367" t="str">
            <v>-</v>
          </cell>
          <cell r="I2367" t="str">
            <v>-</v>
          </cell>
          <cell r="J2367">
            <v>223.855854658</v>
          </cell>
          <cell r="K2367" t="str">
            <v>Small Cap</v>
          </cell>
        </row>
        <row r="2368">
          <cell r="C2368" t="str">
            <v>INE284C01018</v>
          </cell>
          <cell r="D2368" t="str">
            <v>LAKSELEC</v>
          </cell>
          <cell r="E2368">
            <v>223.69663007899999</v>
          </cell>
          <cell r="F2368" t="str">
            <v>-</v>
          </cell>
          <cell r="G2368" t="str">
            <v>-</v>
          </cell>
          <cell r="H2368" t="str">
            <v>-</v>
          </cell>
          <cell r="I2368" t="str">
            <v>-</v>
          </cell>
          <cell r="J2368">
            <v>223.69663007899999</v>
          </cell>
          <cell r="K2368" t="str">
            <v>Small Cap</v>
          </cell>
        </row>
        <row r="2369">
          <cell r="C2369" t="str">
            <v>INE155D01018</v>
          </cell>
          <cell r="D2369" t="str">
            <v>-</v>
          </cell>
          <cell r="E2369" t="str">
            <v>-</v>
          </cell>
          <cell r="F2369" t="str">
            <v>-</v>
          </cell>
          <cell r="G2369" t="str">
            <v>-</v>
          </cell>
          <cell r="H2369" t="str">
            <v>SELECTRIC</v>
          </cell>
          <cell r="I2369">
            <v>223.05791999999968</v>
          </cell>
          <cell r="J2369">
            <v>223.05791999999968</v>
          </cell>
          <cell r="K2369" t="str">
            <v>Small Cap</v>
          </cell>
        </row>
        <row r="2370">
          <cell r="C2370" t="str">
            <v>INE137M01017</v>
          </cell>
          <cell r="D2370" t="str">
            <v>SAB</v>
          </cell>
          <cell r="E2370">
            <v>222.63389527800001</v>
          </cell>
          <cell r="F2370" t="str">
            <v>-</v>
          </cell>
          <cell r="G2370" t="str">
            <v>-</v>
          </cell>
          <cell r="H2370" t="str">
            <v>-</v>
          </cell>
          <cell r="I2370" t="str">
            <v>-</v>
          </cell>
          <cell r="J2370">
            <v>222.63389527800001</v>
          </cell>
          <cell r="K2370" t="str">
            <v>Small Cap</v>
          </cell>
        </row>
        <row r="2371">
          <cell r="C2371" t="str">
            <v>INE878E01021</v>
          </cell>
          <cell r="D2371" t="str">
            <v>SETCO</v>
          </cell>
          <cell r="E2371">
            <v>222.85840344000002</v>
          </cell>
          <cell r="F2371" t="str">
            <v>SETCO</v>
          </cell>
          <cell r="G2371">
            <v>222.26920000000001</v>
          </cell>
          <cell r="H2371" t="str">
            <v>-</v>
          </cell>
          <cell r="I2371" t="str">
            <v>-</v>
          </cell>
          <cell r="J2371">
            <v>222.56380172000001</v>
          </cell>
          <cell r="K2371" t="str">
            <v>Small Cap</v>
          </cell>
        </row>
        <row r="2372">
          <cell r="C2372" t="str">
            <v>INE459Z01017</v>
          </cell>
          <cell r="D2372" t="str">
            <v>TRL</v>
          </cell>
          <cell r="E2372">
            <v>222.38941149499999</v>
          </cell>
          <cell r="F2372" t="str">
            <v>-</v>
          </cell>
          <cell r="G2372" t="str">
            <v>-</v>
          </cell>
          <cell r="H2372" t="str">
            <v>-</v>
          </cell>
          <cell r="I2372" t="str">
            <v>-</v>
          </cell>
          <cell r="J2372">
            <v>222.38941149499999</v>
          </cell>
          <cell r="K2372" t="str">
            <v>Small Cap</v>
          </cell>
        </row>
        <row r="2373">
          <cell r="C2373" t="str">
            <v>INE088P01015</v>
          </cell>
          <cell r="D2373" t="str">
            <v>ICONIKSPEV</v>
          </cell>
          <cell r="E2373">
            <v>222.00325141300002</v>
          </cell>
          <cell r="F2373" t="str">
            <v>-</v>
          </cell>
          <cell r="G2373" t="str">
            <v>-</v>
          </cell>
          <cell r="H2373" t="str">
            <v>-</v>
          </cell>
          <cell r="I2373" t="str">
            <v>-</v>
          </cell>
          <cell r="J2373">
            <v>222.00325141300002</v>
          </cell>
          <cell r="K2373" t="str">
            <v>Small Cap</v>
          </cell>
        </row>
        <row r="2374">
          <cell r="C2374" t="str">
            <v>INE446C01013</v>
          </cell>
          <cell r="D2374" t="str">
            <v>GLOBOFFS</v>
          </cell>
          <cell r="E2374">
            <v>221.466069425</v>
          </cell>
          <cell r="F2374" t="str">
            <v>-</v>
          </cell>
          <cell r="G2374" t="str">
            <v>-</v>
          </cell>
          <cell r="H2374" t="str">
            <v>-</v>
          </cell>
          <cell r="I2374" t="str">
            <v>-</v>
          </cell>
          <cell r="J2374">
            <v>221.466069425</v>
          </cell>
          <cell r="K2374" t="str">
            <v>Small Cap</v>
          </cell>
        </row>
        <row r="2375">
          <cell r="C2375" t="str">
            <v>INE473C01025</v>
          </cell>
          <cell r="D2375" t="str">
            <v>STRATMONT</v>
          </cell>
          <cell r="E2375">
            <v>220.136171359</v>
          </cell>
          <cell r="F2375" t="str">
            <v>-</v>
          </cell>
          <cell r="G2375" t="str">
            <v>-</v>
          </cell>
          <cell r="H2375" t="str">
            <v>-</v>
          </cell>
          <cell r="I2375" t="str">
            <v>-</v>
          </cell>
          <cell r="J2375">
            <v>220.136171359</v>
          </cell>
          <cell r="K2375" t="str">
            <v>Small Cap</v>
          </cell>
        </row>
        <row r="2376">
          <cell r="C2376" t="str">
            <v>INE947I01017</v>
          </cell>
          <cell r="D2376" t="str">
            <v>LOTUSEYE</v>
          </cell>
          <cell r="E2376">
            <v>219.94116082899998</v>
          </cell>
          <cell r="F2376" t="str">
            <v>LOTUSEYE</v>
          </cell>
          <cell r="G2376">
            <v>219.67959999999999</v>
          </cell>
          <cell r="H2376" t="str">
            <v>-</v>
          </cell>
          <cell r="I2376" t="str">
            <v>-</v>
          </cell>
          <cell r="J2376">
            <v>219.8103804145</v>
          </cell>
          <cell r="K2376" t="str">
            <v>Small Cap</v>
          </cell>
        </row>
        <row r="2377">
          <cell r="C2377" t="str">
            <v>INE0QSK01017</v>
          </cell>
          <cell r="D2377" t="str">
            <v>SIYARAM</v>
          </cell>
          <cell r="E2377">
            <v>219.74230078699998</v>
          </cell>
          <cell r="F2377" t="str">
            <v>-</v>
          </cell>
          <cell r="G2377" t="str">
            <v>-</v>
          </cell>
          <cell r="H2377" t="str">
            <v>-</v>
          </cell>
          <cell r="I2377" t="str">
            <v>-</v>
          </cell>
          <cell r="J2377">
            <v>219.74230078699998</v>
          </cell>
          <cell r="K2377" t="str">
            <v>Small Cap</v>
          </cell>
        </row>
        <row r="2378">
          <cell r="C2378" t="str">
            <v>INE625B01014</v>
          </cell>
          <cell r="D2378" t="str">
            <v>RANASUG</v>
          </cell>
          <cell r="E2378">
            <v>218.974304606</v>
          </cell>
          <cell r="F2378" t="str">
            <v>RANASUG</v>
          </cell>
          <cell r="G2378">
            <v>218.92679999999999</v>
          </cell>
          <cell r="H2378" t="str">
            <v>-</v>
          </cell>
          <cell r="I2378" t="str">
            <v>-</v>
          </cell>
          <cell r="J2378">
            <v>218.95055230299999</v>
          </cell>
          <cell r="K2378" t="str">
            <v>Small Cap</v>
          </cell>
        </row>
        <row r="2379">
          <cell r="C2379" t="str">
            <v>INE641R01017</v>
          </cell>
          <cell r="D2379" t="str">
            <v>QUINT</v>
          </cell>
          <cell r="E2379">
            <v>218.55986205799999</v>
          </cell>
          <cell r="F2379" t="str">
            <v>-</v>
          </cell>
          <cell r="G2379" t="str">
            <v>-</v>
          </cell>
          <cell r="H2379" t="str">
            <v>-</v>
          </cell>
          <cell r="I2379" t="str">
            <v>-</v>
          </cell>
          <cell r="J2379">
            <v>218.55986205799999</v>
          </cell>
          <cell r="K2379" t="str">
            <v>Small Cap</v>
          </cell>
        </row>
        <row r="2380">
          <cell r="C2380" t="str">
            <v>INE952H01027</v>
          </cell>
          <cell r="D2380" t="str">
            <v>RAJTV</v>
          </cell>
          <cell r="E2380">
            <v>218.20785324799999</v>
          </cell>
          <cell r="F2380" t="str">
            <v>RAJTV</v>
          </cell>
          <cell r="G2380">
            <v>217.52430000000001</v>
          </cell>
          <cell r="H2380" t="str">
            <v>-</v>
          </cell>
          <cell r="I2380" t="str">
            <v>-</v>
          </cell>
          <cell r="J2380">
            <v>217.86607662400002</v>
          </cell>
          <cell r="K2380" t="str">
            <v>Small Cap</v>
          </cell>
        </row>
        <row r="2381">
          <cell r="C2381" t="str">
            <v>INE928C01010</v>
          </cell>
          <cell r="D2381" t="str">
            <v>DAICHI</v>
          </cell>
          <cell r="E2381">
            <v>217.50255724499999</v>
          </cell>
          <cell r="F2381" t="str">
            <v>-</v>
          </cell>
          <cell r="G2381" t="str">
            <v>-</v>
          </cell>
          <cell r="H2381" t="str">
            <v>-</v>
          </cell>
          <cell r="I2381" t="str">
            <v>-</v>
          </cell>
          <cell r="J2381">
            <v>217.50255724499999</v>
          </cell>
          <cell r="K2381" t="str">
            <v>Small Cap</v>
          </cell>
        </row>
        <row r="2382">
          <cell r="C2382" t="str">
            <v>INE087B01017</v>
          </cell>
          <cell r="D2382" t="str">
            <v>ANIKINDS</v>
          </cell>
          <cell r="E2382">
            <v>217.80230962399997</v>
          </cell>
          <cell r="F2382" t="str">
            <v>ANIKINDS</v>
          </cell>
          <cell r="G2382">
            <v>217.03890000000001</v>
          </cell>
          <cell r="H2382" t="str">
            <v>-</v>
          </cell>
          <cell r="I2382" t="str">
            <v>-</v>
          </cell>
          <cell r="J2382">
            <v>217.42060481199999</v>
          </cell>
          <cell r="K2382" t="str">
            <v>Small Cap</v>
          </cell>
        </row>
        <row r="2383">
          <cell r="C2383" t="str">
            <v>INE890S01026</v>
          </cell>
          <cell r="D2383" t="str">
            <v>GAMCO</v>
          </cell>
          <cell r="E2383">
            <v>217.20662999999999</v>
          </cell>
          <cell r="F2383" t="str">
            <v>-</v>
          </cell>
          <cell r="G2383" t="str">
            <v>-</v>
          </cell>
          <cell r="H2383" t="str">
            <v>-</v>
          </cell>
          <cell r="I2383" t="str">
            <v>-</v>
          </cell>
          <cell r="J2383">
            <v>217.20662999999999</v>
          </cell>
          <cell r="K2383" t="str">
            <v>Small Cap</v>
          </cell>
        </row>
        <row r="2384">
          <cell r="C2384" t="str">
            <v>INE542B01011</v>
          </cell>
          <cell r="D2384" t="str">
            <v>AKSHARCHEM</v>
          </cell>
          <cell r="E2384">
            <v>216.68742637100002</v>
          </cell>
          <cell r="F2384" t="str">
            <v>AKSHARCHEM</v>
          </cell>
          <cell r="G2384">
            <v>217.0394</v>
          </cell>
          <cell r="H2384" t="str">
            <v>-</v>
          </cell>
          <cell r="I2384" t="str">
            <v>-</v>
          </cell>
          <cell r="J2384">
            <v>216.86341318550001</v>
          </cell>
          <cell r="K2384" t="str">
            <v>Small Cap</v>
          </cell>
        </row>
        <row r="2385">
          <cell r="C2385" t="str">
            <v>INE0W5Q01017</v>
          </cell>
          <cell r="D2385" t="str">
            <v>JUSTO</v>
          </cell>
          <cell r="E2385">
            <v>216.76380096900002</v>
          </cell>
          <cell r="F2385" t="str">
            <v>-</v>
          </cell>
          <cell r="G2385" t="str">
            <v>-</v>
          </cell>
          <cell r="H2385" t="str">
            <v>-</v>
          </cell>
          <cell r="I2385" t="str">
            <v>-</v>
          </cell>
          <cell r="J2385">
            <v>216.76380096900002</v>
          </cell>
          <cell r="K2385" t="str">
            <v>Small Cap</v>
          </cell>
        </row>
        <row r="2386">
          <cell r="C2386" t="str">
            <v>INE869A01010</v>
          </cell>
          <cell r="D2386" t="str">
            <v>SHAWGELTIN</v>
          </cell>
          <cell r="E2386">
            <v>216.74517918699999</v>
          </cell>
          <cell r="F2386" t="str">
            <v>-</v>
          </cell>
          <cell r="G2386" t="str">
            <v>-</v>
          </cell>
          <cell r="H2386" t="str">
            <v>-</v>
          </cell>
          <cell r="I2386" t="str">
            <v>-</v>
          </cell>
          <cell r="J2386">
            <v>216.74517918699999</v>
          </cell>
          <cell r="K2386" t="str">
            <v>Small Cap</v>
          </cell>
        </row>
        <row r="2387">
          <cell r="C2387" t="str">
            <v>INE546Y01022</v>
          </cell>
          <cell r="D2387" t="str">
            <v>PRAXIS</v>
          </cell>
          <cell r="E2387">
            <v>217.1291698</v>
          </cell>
          <cell r="F2387" t="str">
            <v>PRAXIS</v>
          </cell>
          <cell r="G2387">
            <v>215.20959999999999</v>
          </cell>
          <cell r="H2387" t="str">
            <v>-</v>
          </cell>
          <cell r="I2387" t="str">
            <v>-</v>
          </cell>
          <cell r="J2387">
            <v>216.16938490000001</v>
          </cell>
          <cell r="K2387" t="str">
            <v>Small Cap</v>
          </cell>
        </row>
        <row r="2388">
          <cell r="C2388" t="str">
            <v>INE198H01019</v>
          </cell>
          <cell r="D2388" t="str">
            <v>AAREYDRUGS</v>
          </cell>
          <cell r="E2388">
            <v>215.590142587</v>
          </cell>
          <cell r="F2388" t="str">
            <v>AAREYDRUGS</v>
          </cell>
          <cell r="G2388">
            <v>216.36160000000001</v>
          </cell>
          <cell r="H2388" t="str">
            <v>-</v>
          </cell>
          <cell r="I2388" t="str">
            <v>-</v>
          </cell>
          <cell r="J2388">
            <v>215.97587129350001</v>
          </cell>
          <cell r="K2388" t="str">
            <v>Small Cap</v>
          </cell>
        </row>
        <row r="2389">
          <cell r="C2389" t="str">
            <v>INE291E01019</v>
          </cell>
          <cell r="D2389" t="str">
            <v>PML</v>
          </cell>
          <cell r="E2389">
            <v>215.68798428600002</v>
          </cell>
          <cell r="F2389" t="str">
            <v>-</v>
          </cell>
          <cell r="G2389" t="str">
            <v>-</v>
          </cell>
          <cell r="H2389" t="str">
            <v>-</v>
          </cell>
          <cell r="I2389" t="str">
            <v>-</v>
          </cell>
          <cell r="J2389">
            <v>215.68798428600002</v>
          </cell>
          <cell r="K2389" t="str">
            <v>Small Cap</v>
          </cell>
        </row>
        <row r="2390">
          <cell r="C2390" t="str">
            <v>INE717F01028</v>
          </cell>
          <cell r="D2390" t="str">
            <v>VARIMAN</v>
          </cell>
          <cell r="E2390">
            <v>215.30542079400001</v>
          </cell>
          <cell r="F2390" t="str">
            <v>-</v>
          </cell>
          <cell r="G2390" t="str">
            <v>-</v>
          </cell>
          <cell r="H2390" t="str">
            <v>-</v>
          </cell>
          <cell r="I2390" t="str">
            <v>-</v>
          </cell>
          <cell r="J2390">
            <v>215.30542079400001</v>
          </cell>
          <cell r="K2390" t="str">
            <v>Small Cap</v>
          </cell>
        </row>
        <row r="2391">
          <cell r="C2391" t="str">
            <v>INE278D01018</v>
          </cell>
          <cell r="D2391" t="str">
            <v>BDH</v>
          </cell>
          <cell r="E2391">
            <v>215.30497132100001</v>
          </cell>
          <cell r="F2391" t="str">
            <v>-</v>
          </cell>
          <cell r="G2391" t="str">
            <v>-</v>
          </cell>
          <cell r="H2391" t="str">
            <v>-</v>
          </cell>
          <cell r="I2391" t="str">
            <v>-</v>
          </cell>
          <cell r="J2391">
            <v>215.30497132100001</v>
          </cell>
          <cell r="K2391" t="str">
            <v>Small Cap</v>
          </cell>
        </row>
        <row r="2392">
          <cell r="C2392" t="str">
            <v>INE936B01015</v>
          </cell>
          <cell r="D2392" t="str">
            <v>NATCAPSUQ</v>
          </cell>
          <cell r="E2392">
            <v>215.21911217600001</v>
          </cell>
          <cell r="F2392" t="str">
            <v>NATCAPSUQ</v>
          </cell>
          <cell r="G2392">
            <v>215.22630000000001</v>
          </cell>
          <cell r="H2392" t="str">
            <v>-</v>
          </cell>
          <cell r="I2392" t="str">
            <v>-</v>
          </cell>
          <cell r="J2392">
            <v>215.222706088</v>
          </cell>
          <cell r="K2392" t="str">
            <v>Small Cap</v>
          </cell>
        </row>
        <row r="2393">
          <cell r="C2393" t="str">
            <v>INE672K01025</v>
          </cell>
          <cell r="D2393" t="str">
            <v>TRUEGREEN</v>
          </cell>
          <cell r="E2393">
            <v>215.06733459699998</v>
          </cell>
          <cell r="F2393" t="str">
            <v>-</v>
          </cell>
          <cell r="G2393" t="str">
            <v>-</v>
          </cell>
          <cell r="H2393" t="str">
            <v>-</v>
          </cell>
          <cell r="I2393" t="str">
            <v>-</v>
          </cell>
          <cell r="J2393">
            <v>215.06733459699998</v>
          </cell>
          <cell r="K2393" t="str">
            <v>Small Cap</v>
          </cell>
        </row>
        <row r="2394">
          <cell r="C2394" t="str">
            <v>INE03JI01017</v>
          </cell>
          <cell r="D2394" t="str">
            <v>DGCONTENT</v>
          </cell>
          <cell r="E2394">
            <v>215.23353971999998</v>
          </cell>
          <cell r="F2394" t="str">
            <v>DGCONTENT</v>
          </cell>
          <cell r="G2394">
            <v>214.6096</v>
          </cell>
          <cell r="H2394" t="str">
            <v>-</v>
          </cell>
          <cell r="I2394" t="str">
            <v>-</v>
          </cell>
          <cell r="J2394">
            <v>214.92156985999998</v>
          </cell>
          <cell r="K2394" t="str">
            <v>Small Cap</v>
          </cell>
        </row>
        <row r="2395">
          <cell r="C2395" t="str">
            <v>INE099G01011</v>
          </cell>
          <cell r="D2395" t="str">
            <v>SCANSTL</v>
          </cell>
          <cell r="E2395">
            <v>214.26487364300002</v>
          </cell>
          <cell r="F2395" t="str">
            <v>-</v>
          </cell>
          <cell r="G2395" t="str">
            <v>-</v>
          </cell>
          <cell r="H2395" t="str">
            <v>-</v>
          </cell>
          <cell r="I2395" t="str">
            <v>-</v>
          </cell>
          <cell r="J2395">
            <v>214.26487364300002</v>
          </cell>
          <cell r="K2395" t="str">
            <v>Small Cap</v>
          </cell>
        </row>
        <row r="2396">
          <cell r="C2396" t="str">
            <v>INE244W01010</v>
          </cell>
          <cell r="D2396" t="str">
            <v>VGIL</v>
          </cell>
          <cell r="E2396">
            <v>213.62482246600001</v>
          </cell>
          <cell r="F2396" t="str">
            <v>-</v>
          </cell>
          <cell r="G2396" t="str">
            <v>-</v>
          </cell>
          <cell r="H2396" t="str">
            <v>-</v>
          </cell>
          <cell r="I2396" t="str">
            <v>-</v>
          </cell>
          <cell r="J2396">
            <v>213.62482246600001</v>
          </cell>
          <cell r="K2396" t="str">
            <v>Small Cap</v>
          </cell>
        </row>
        <row r="2397">
          <cell r="C2397" t="str">
            <v>INE226H01026</v>
          </cell>
          <cell r="D2397" t="str">
            <v>SADBHAV</v>
          </cell>
          <cell r="E2397">
            <v>213.522583946</v>
          </cell>
          <cell r="F2397" t="str">
            <v>SADBHAV</v>
          </cell>
          <cell r="G2397">
            <v>213.25839999999999</v>
          </cell>
          <cell r="H2397" t="str">
            <v>-</v>
          </cell>
          <cell r="I2397" t="str">
            <v>-</v>
          </cell>
          <cell r="J2397">
            <v>213.390491973</v>
          </cell>
          <cell r="K2397" t="str">
            <v>Small Cap</v>
          </cell>
        </row>
        <row r="2398">
          <cell r="C2398" t="str">
            <v>INE920P01019</v>
          </cell>
          <cell r="D2398" t="str">
            <v>LAXMIPATI</v>
          </cell>
          <cell r="E2398">
            <v>213.38847206300002</v>
          </cell>
          <cell r="F2398" t="str">
            <v>-</v>
          </cell>
          <cell r="G2398" t="str">
            <v>-</v>
          </cell>
          <cell r="H2398" t="str">
            <v>-</v>
          </cell>
          <cell r="I2398" t="str">
            <v>-</v>
          </cell>
          <cell r="J2398">
            <v>213.38847206300002</v>
          </cell>
          <cell r="K2398" t="str">
            <v>Small Cap</v>
          </cell>
        </row>
        <row r="2399">
          <cell r="C2399" t="str">
            <v>INE658W01011</v>
          </cell>
          <cell r="D2399" t="str">
            <v>-</v>
          </cell>
          <cell r="E2399" t="str">
            <v>-</v>
          </cell>
          <cell r="F2399" t="str">
            <v>-</v>
          </cell>
          <cell r="G2399" t="str">
            <v>-</v>
          </cell>
          <cell r="H2399" t="str">
            <v>SARVARAYA</v>
          </cell>
          <cell r="I2399">
            <v>212.43621437999983</v>
          </cell>
          <cell r="J2399">
            <v>212.43621437999983</v>
          </cell>
          <cell r="K2399" t="str">
            <v>Small Cap</v>
          </cell>
        </row>
        <row r="2400">
          <cell r="C2400" t="str">
            <v>INE0SLP01017</v>
          </cell>
          <cell r="D2400" t="str">
            <v>NSBBPO</v>
          </cell>
          <cell r="E2400">
            <v>211.99124202300001</v>
          </cell>
          <cell r="F2400" t="str">
            <v>-</v>
          </cell>
          <cell r="G2400" t="str">
            <v>-</v>
          </cell>
          <cell r="H2400" t="str">
            <v>-</v>
          </cell>
          <cell r="I2400" t="str">
            <v>-</v>
          </cell>
          <cell r="J2400">
            <v>211.99124202300001</v>
          </cell>
          <cell r="K2400" t="str">
            <v>Small Cap</v>
          </cell>
        </row>
        <row r="2401">
          <cell r="C2401" t="str">
            <v>INE590B01010</v>
          </cell>
          <cell r="D2401" t="str">
            <v>GARNETINT</v>
          </cell>
          <cell r="E2401">
            <v>211.447600833</v>
          </cell>
          <cell r="F2401" t="str">
            <v>-</v>
          </cell>
          <cell r="G2401" t="str">
            <v>-</v>
          </cell>
          <cell r="H2401" t="str">
            <v>-</v>
          </cell>
          <cell r="I2401" t="str">
            <v>-</v>
          </cell>
          <cell r="J2401">
            <v>211.447600833</v>
          </cell>
          <cell r="K2401" t="str">
            <v>Small Cap</v>
          </cell>
        </row>
        <row r="2402">
          <cell r="C2402" t="str">
            <v>INE513R01026</v>
          </cell>
          <cell r="D2402" t="str">
            <v>CAPPIPES</v>
          </cell>
          <cell r="E2402">
            <v>210.993331302</v>
          </cell>
          <cell r="F2402" t="str">
            <v>-</v>
          </cell>
          <cell r="G2402" t="str">
            <v>-</v>
          </cell>
          <cell r="H2402" t="str">
            <v>-</v>
          </cell>
          <cell r="I2402" t="str">
            <v>-</v>
          </cell>
          <cell r="J2402">
            <v>210.993331302</v>
          </cell>
          <cell r="K2402" t="str">
            <v>Small Cap</v>
          </cell>
        </row>
        <row r="2403">
          <cell r="C2403" t="str">
            <v>INE713D01055</v>
          </cell>
          <cell r="D2403" t="str">
            <v>CANDOUR</v>
          </cell>
          <cell r="E2403">
            <v>209.55635116600001</v>
          </cell>
          <cell r="F2403" t="str">
            <v>-</v>
          </cell>
          <cell r="G2403" t="str">
            <v>-</v>
          </cell>
          <cell r="H2403" t="str">
            <v>CANDOUR</v>
          </cell>
          <cell r="I2403">
            <v>212.34101159699992</v>
          </cell>
          <cell r="J2403">
            <v>210.94868138149997</v>
          </cell>
          <cell r="K2403" t="str">
            <v>Small Cap</v>
          </cell>
        </row>
        <row r="2404">
          <cell r="C2404" t="str">
            <v>INE394C01023</v>
          </cell>
          <cell r="D2404" t="str">
            <v>LANDMARC</v>
          </cell>
          <cell r="E2404">
            <v>210.51428571400001</v>
          </cell>
          <cell r="F2404" t="str">
            <v>-</v>
          </cell>
          <cell r="G2404" t="str">
            <v>-</v>
          </cell>
          <cell r="H2404" t="str">
            <v>-</v>
          </cell>
          <cell r="I2404" t="str">
            <v>-</v>
          </cell>
          <cell r="J2404">
            <v>210.51428571400001</v>
          </cell>
          <cell r="K2404" t="str">
            <v>Small Cap</v>
          </cell>
        </row>
        <row r="2405">
          <cell r="C2405" t="str">
            <v>INE375C01022</v>
          </cell>
          <cell r="D2405" t="str">
            <v>SAMPRE</v>
          </cell>
          <cell r="E2405">
            <v>210.359330828</v>
          </cell>
          <cell r="F2405" t="str">
            <v>-</v>
          </cell>
          <cell r="G2405" t="str">
            <v>-</v>
          </cell>
          <cell r="H2405" t="str">
            <v>-</v>
          </cell>
          <cell r="I2405" t="str">
            <v>-</v>
          </cell>
          <cell r="J2405">
            <v>210.359330828</v>
          </cell>
          <cell r="K2405" t="str">
            <v>Small Cap</v>
          </cell>
        </row>
        <row r="2406">
          <cell r="C2406" t="str">
            <v>INE679T01013</v>
          </cell>
          <cell r="D2406" t="str">
            <v>ZMILGFIN</v>
          </cell>
          <cell r="E2406">
            <v>209.20810711300001</v>
          </cell>
          <cell r="F2406" t="str">
            <v>-</v>
          </cell>
          <cell r="G2406" t="str">
            <v>-</v>
          </cell>
          <cell r="H2406" t="str">
            <v>-</v>
          </cell>
          <cell r="I2406" t="str">
            <v>-</v>
          </cell>
          <cell r="J2406">
            <v>209.20810711300001</v>
          </cell>
          <cell r="K2406" t="str">
            <v>Small Cap</v>
          </cell>
        </row>
        <row r="2407">
          <cell r="C2407" t="str">
            <v>INE0X4A01013</v>
          </cell>
          <cell r="D2407" t="str">
            <v>ATIL</v>
          </cell>
          <cell r="E2407">
            <v>208.004355</v>
          </cell>
          <cell r="F2407" t="str">
            <v>-</v>
          </cell>
          <cell r="G2407" t="str">
            <v>-</v>
          </cell>
          <cell r="H2407" t="str">
            <v>-</v>
          </cell>
          <cell r="I2407" t="str">
            <v>-</v>
          </cell>
          <cell r="J2407">
            <v>208.004355</v>
          </cell>
          <cell r="K2407" t="str">
            <v>Small Cap</v>
          </cell>
        </row>
        <row r="2408">
          <cell r="C2408" t="str">
            <v>INE814D01010</v>
          </cell>
          <cell r="D2408" t="str">
            <v>OMNITEX</v>
          </cell>
          <cell r="E2408">
            <v>207.33236516300002</v>
          </cell>
          <cell r="F2408" t="str">
            <v>-</v>
          </cell>
          <cell r="G2408" t="str">
            <v>-</v>
          </cell>
          <cell r="H2408" t="str">
            <v>-</v>
          </cell>
          <cell r="I2408" t="str">
            <v>-</v>
          </cell>
          <cell r="J2408">
            <v>207.33236516300002</v>
          </cell>
          <cell r="K2408" t="str">
            <v>Small Cap</v>
          </cell>
        </row>
        <row r="2409">
          <cell r="C2409" t="str">
            <v>INE185C01017</v>
          </cell>
          <cell r="D2409" t="str">
            <v>SAPPL</v>
          </cell>
          <cell r="E2409">
            <v>207.07123394000001</v>
          </cell>
          <cell r="F2409" t="str">
            <v>-</v>
          </cell>
          <cell r="G2409" t="str">
            <v>-</v>
          </cell>
          <cell r="H2409" t="str">
            <v>-</v>
          </cell>
          <cell r="I2409" t="str">
            <v>-</v>
          </cell>
          <cell r="J2409">
            <v>207.07123394000001</v>
          </cell>
          <cell r="K2409" t="str">
            <v>Small Cap</v>
          </cell>
        </row>
        <row r="2410">
          <cell r="C2410" t="str">
            <v>INE991I01015</v>
          </cell>
          <cell r="D2410" t="str">
            <v>-</v>
          </cell>
          <cell r="E2410" t="str">
            <v>-</v>
          </cell>
          <cell r="F2410" t="str">
            <v>ASPINWALL</v>
          </cell>
          <cell r="G2410">
            <v>206.91890000000001</v>
          </cell>
          <cell r="H2410" t="str">
            <v>-</v>
          </cell>
          <cell r="I2410" t="str">
            <v>-</v>
          </cell>
          <cell r="J2410">
            <v>206.91890000000001</v>
          </cell>
          <cell r="K2410" t="str">
            <v>Small Cap</v>
          </cell>
        </row>
        <row r="2411">
          <cell r="C2411" t="str">
            <v>INE05FR01029</v>
          </cell>
          <cell r="D2411" t="str">
            <v>AGOL</v>
          </cell>
          <cell r="E2411">
            <v>206.83762238</v>
          </cell>
          <cell r="F2411" t="str">
            <v>-</v>
          </cell>
          <cell r="G2411" t="str">
            <v>-</v>
          </cell>
          <cell r="H2411" t="str">
            <v>-</v>
          </cell>
          <cell r="I2411" t="str">
            <v>-</v>
          </cell>
          <cell r="J2411">
            <v>206.83762238</v>
          </cell>
          <cell r="K2411" t="str">
            <v>Small Cap</v>
          </cell>
        </row>
        <row r="2412">
          <cell r="C2412" t="str">
            <v>INE1IE301018</v>
          </cell>
          <cell r="D2412" t="str">
            <v>KVTOYS</v>
          </cell>
          <cell r="E2412">
            <v>206.72713333299998</v>
          </cell>
          <cell r="F2412" t="str">
            <v>-</v>
          </cell>
          <cell r="G2412" t="str">
            <v>-</v>
          </cell>
          <cell r="H2412" t="str">
            <v>-</v>
          </cell>
          <cell r="I2412" t="str">
            <v>-</v>
          </cell>
          <cell r="J2412">
            <v>206.72713333299998</v>
          </cell>
          <cell r="K2412" t="str">
            <v>Small Cap</v>
          </cell>
        </row>
        <row r="2413">
          <cell r="C2413" t="str">
            <v>INE368A01021</v>
          </cell>
          <cell r="D2413" t="str">
            <v>SILVERLINE</v>
          </cell>
          <cell r="E2413">
            <v>206.64723479100002</v>
          </cell>
          <cell r="F2413" t="str">
            <v>-</v>
          </cell>
          <cell r="G2413" t="str">
            <v>-</v>
          </cell>
          <cell r="H2413" t="str">
            <v>-</v>
          </cell>
          <cell r="I2413" t="str">
            <v>-</v>
          </cell>
          <cell r="J2413">
            <v>206.64723479100002</v>
          </cell>
          <cell r="K2413" t="str">
            <v>Small Cap</v>
          </cell>
        </row>
        <row r="2414">
          <cell r="C2414" t="str">
            <v>INE16XA01017</v>
          </cell>
          <cell r="D2414" t="str">
            <v>INFINITY</v>
          </cell>
          <cell r="E2414">
            <v>206.639084569</v>
          </cell>
          <cell r="F2414" t="str">
            <v>-</v>
          </cell>
          <cell r="G2414" t="str">
            <v>-</v>
          </cell>
          <cell r="H2414" t="str">
            <v>-</v>
          </cell>
          <cell r="I2414" t="str">
            <v>-</v>
          </cell>
          <cell r="J2414">
            <v>206.639084569</v>
          </cell>
          <cell r="K2414" t="str">
            <v>Small Cap</v>
          </cell>
        </row>
        <row r="2415">
          <cell r="C2415" t="str">
            <v>INE512D01028</v>
          </cell>
          <cell r="D2415" t="str">
            <v>GOURMET</v>
          </cell>
          <cell r="E2415">
            <v>206.169525902</v>
          </cell>
          <cell r="F2415" t="str">
            <v>-</v>
          </cell>
          <cell r="G2415" t="str">
            <v>-</v>
          </cell>
          <cell r="H2415" t="str">
            <v>-</v>
          </cell>
          <cell r="I2415" t="str">
            <v>-</v>
          </cell>
          <cell r="J2415">
            <v>206.169525902</v>
          </cell>
          <cell r="K2415" t="str">
            <v>Small Cap</v>
          </cell>
        </row>
        <row r="2416">
          <cell r="C2416" t="str">
            <v>INE921D01013</v>
          </cell>
          <cell r="D2416" t="str">
            <v>BAMBINO</v>
          </cell>
          <cell r="E2416">
            <v>205.81367631199998</v>
          </cell>
          <cell r="F2416" t="str">
            <v>-</v>
          </cell>
          <cell r="G2416" t="str">
            <v>-</v>
          </cell>
          <cell r="H2416" t="str">
            <v>-</v>
          </cell>
          <cell r="I2416" t="str">
            <v>-</v>
          </cell>
          <cell r="J2416">
            <v>205.81367631199998</v>
          </cell>
          <cell r="K2416" t="str">
            <v>Small Cap</v>
          </cell>
        </row>
        <row r="2417">
          <cell r="C2417" t="str">
            <v>INE586G01017</v>
          </cell>
          <cell r="D2417" t="str">
            <v>GULFPETRO</v>
          </cell>
          <cell r="E2417">
            <v>205.31510260899998</v>
          </cell>
          <cell r="F2417" t="str">
            <v>GULFPETRO</v>
          </cell>
          <cell r="G2417">
            <v>205.17769999999999</v>
          </cell>
          <cell r="H2417" t="str">
            <v>-</v>
          </cell>
          <cell r="I2417" t="str">
            <v>-</v>
          </cell>
          <cell r="J2417">
            <v>205.24640130449998</v>
          </cell>
          <cell r="K2417" t="str">
            <v>Small Cap</v>
          </cell>
        </row>
        <row r="2418">
          <cell r="C2418" t="str">
            <v>INE705G01021</v>
          </cell>
          <cell r="D2418" t="str">
            <v>HIMTEK</v>
          </cell>
          <cell r="E2418">
            <v>205.14523281199999</v>
          </cell>
          <cell r="F2418" t="str">
            <v>-</v>
          </cell>
          <cell r="G2418" t="str">
            <v>-</v>
          </cell>
          <cell r="H2418" t="str">
            <v>-</v>
          </cell>
          <cell r="I2418" t="str">
            <v>-</v>
          </cell>
          <cell r="J2418">
            <v>205.14523281199999</v>
          </cell>
          <cell r="K2418" t="str">
            <v>Small Cap</v>
          </cell>
        </row>
        <row r="2419">
          <cell r="C2419" t="str">
            <v>INE0EAX01014</v>
          </cell>
          <cell r="D2419" t="str">
            <v>AASHKA</v>
          </cell>
          <cell r="E2419">
            <v>204.830785714</v>
          </cell>
          <cell r="F2419" t="str">
            <v>-</v>
          </cell>
          <cell r="G2419" t="str">
            <v>-</v>
          </cell>
          <cell r="H2419" t="str">
            <v>-</v>
          </cell>
          <cell r="I2419" t="str">
            <v>-</v>
          </cell>
          <cell r="J2419">
            <v>204.830785714</v>
          </cell>
          <cell r="K2419" t="str">
            <v>Small Cap</v>
          </cell>
        </row>
        <row r="2420">
          <cell r="C2420" t="str">
            <v>INE054C01015</v>
          </cell>
          <cell r="D2420" t="str">
            <v>WATERBASE</v>
          </cell>
          <cell r="E2420">
            <v>204.05877861900001</v>
          </cell>
          <cell r="F2420" t="str">
            <v>-</v>
          </cell>
          <cell r="G2420" t="str">
            <v>-</v>
          </cell>
          <cell r="H2420" t="str">
            <v>-</v>
          </cell>
          <cell r="I2420" t="str">
            <v>-</v>
          </cell>
          <cell r="J2420">
            <v>204.05877861900001</v>
          </cell>
          <cell r="K2420" t="str">
            <v>Small Cap</v>
          </cell>
        </row>
        <row r="2421">
          <cell r="C2421" t="str">
            <v>INE553C01016</v>
          </cell>
          <cell r="D2421" t="str">
            <v>NECCLTD</v>
          </cell>
          <cell r="E2421">
            <v>205.765398006</v>
          </cell>
          <cell r="F2421" t="str">
            <v>NECCLTD</v>
          </cell>
          <cell r="G2421">
            <v>202.22720000000001</v>
          </cell>
          <cell r="H2421" t="str">
            <v>-</v>
          </cell>
          <cell r="I2421" t="str">
            <v>-</v>
          </cell>
          <cell r="J2421">
            <v>203.99629900299999</v>
          </cell>
          <cell r="K2421" t="str">
            <v>Small Cap</v>
          </cell>
        </row>
        <row r="2422">
          <cell r="C2422" t="str">
            <v>INE942P01013</v>
          </cell>
          <cell r="D2422" t="str">
            <v>DIKSAT</v>
          </cell>
          <cell r="E2422">
            <v>203.7479625</v>
          </cell>
          <cell r="F2422" t="str">
            <v>-</v>
          </cell>
          <cell r="G2422" t="str">
            <v>-</v>
          </cell>
          <cell r="H2422" t="str">
            <v>-</v>
          </cell>
          <cell r="I2422" t="str">
            <v>-</v>
          </cell>
          <cell r="J2422">
            <v>203.7479625</v>
          </cell>
          <cell r="K2422" t="str">
            <v>Small Cap</v>
          </cell>
        </row>
        <row r="2423">
          <cell r="C2423" t="str">
            <v>INE170U01011</v>
          </cell>
          <cell r="D2423" t="str">
            <v>SURJIND</v>
          </cell>
          <cell r="E2423">
            <v>203.47858471100002</v>
          </cell>
          <cell r="F2423" t="str">
            <v>-</v>
          </cell>
          <cell r="G2423" t="str">
            <v>-</v>
          </cell>
          <cell r="H2423" t="str">
            <v>-</v>
          </cell>
          <cell r="I2423" t="str">
            <v>-</v>
          </cell>
          <cell r="J2423">
            <v>203.47858471100002</v>
          </cell>
          <cell r="K2423" t="str">
            <v>Small Cap</v>
          </cell>
        </row>
        <row r="2424">
          <cell r="C2424" t="str">
            <v>INE754C01010</v>
          </cell>
          <cell r="D2424" t="str">
            <v>SODFC</v>
          </cell>
          <cell r="E2424">
            <v>203.17431684799999</v>
          </cell>
          <cell r="F2424" t="str">
            <v>-</v>
          </cell>
          <cell r="G2424" t="str">
            <v>-</v>
          </cell>
          <cell r="H2424" t="str">
            <v>-</v>
          </cell>
          <cell r="I2424" t="str">
            <v>-</v>
          </cell>
          <cell r="J2424">
            <v>203.17431684799999</v>
          </cell>
          <cell r="K2424" t="str">
            <v>Small Cap</v>
          </cell>
        </row>
        <row r="2425">
          <cell r="C2425" t="str">
            <v>INE412C01023</v>
          </cell>
          <cell r="D2425" t="str">
            <v>-</v>
          </cell>
          <cell r="E2425" t="str">
            <v>-</v>
          </cell>
          <cell r="F2425" t="str">
            <v>JMA</v>
          </cell>
          <cell r="G2425">
            <v>202.92590000000001</v>
          </cell>
          <cell r="H2425" t="str">
            <v>-</v>
          </cell>
          <cell r="I2425" t="str">
            <v>-</v>
          </cell>
          <cell r="J2425">
            <v>202.92590000000001</v>
          </cell>
          <cell r="K2425" t="str">
            <v>Small Cap</v>
          </cell>
        </row>
        <row r="2426">
          <cell r="C2426" t="str">
            <v>INE439T01012</v>
          </cell>
          <cell r="D2426" t="str">
            <v>-</v>
          </cell>
          <cell r="E2426" t="str">
            <v>-</v>
          </cell>
          <cell r="F2426" t="str">
            <v>NITIRAJ</v>
          </cell>
          <cell r="G2426">
            <v>201.99600000000001</v>
          </cell>
          <cell r="H2426" t="str">
            <v>-</v>
          </cell>
          <cell r="I2426" t="str">
            <v>-</v>
          </cell>
          <cell r="J2426">
            <v>201.99600000000001</v>
          </cell>
          <cell r="K2426" t="str">
            <v>Small Cap</v>
          </cell>
        </row>
        <row r="2427">
          <cell r="C2427" t="str">
            <v>INE217G01035</v>
          </cell>
          <cell r="D2427" t="str">
            <v>EQUIPPP</v>
          </cell>
          <cell r="E2427">
            <v>202.58948107000001</v>
          </cell>
          <cell r="F2427" t="str">
            <v>EQUIPPP</v>
          </cell>
          <cell r="G2427">
            <v>200.68879999999999</v>
          </cell>
          <cell r="H2427" t="str">
            <v>-</v>
          </cell>
          <cell r="I2427" t="str">
            <v>-</v>
          </cell>
          <cell r="J2427">
            <v>201.639140535</v>
          </cell>
          <cell r="K2427" t="str">
            <v>Small Cap</v>
          </cell>
        </row>
        <row r="2428">
          <cell r="C2428" t="str">
            <v>INE761D01021</v>
          </cell>
          <cell r="D2428" t="str">
            <v>WARDWIZFBL</v>
          </cell>
          <cell r="E2428">
            <v>201.46919</v>
          </cell>
          <cell r="F2428" t="str">
            <v>-</v>
          </cell>
          <cell r="G2428" t="str">
            <v>-</v>
          </cell>
          <cell r="H2428" t="str">
            <v>-</v>
          </cell>
          <cell r="I2428" t="str">
            <v>-</v>
          </cell>
          <cell r="J2428">
            <v>201.46919</v>
          </cell>
          <cell r="K2428" t="str">
            <v>Small Cap</v>
          </cell>
        </row>
        <row r="2429">
          <cell r="C2429" t="str">
            <v>INE690O01011</v>
          </cell>
          <cell r="D2429" t="str">
            <v>JKAGRI</v>
          </cell>
          <cell r="E2429">
            <v>201.277315364</v>
          </cell>
          <cell r="F2429" t="str">
            <v>-</v>
          </cell>
          <cell r="G2429" t="str">
            <v>-</v>
          </cell>
          <cell r="H2429" t="str">
            <v>-</v>
          </cell>
          <cell r="I2429" t="str">
            <v>-</v>
          </cell>
          <cell r="J2429">
            <v>201.277315364</v>
          </cell>
          <cell r="K2429" t="str">
            <v>Small Cap</v>
          </cell>
        </row>
        <row r="2430">
          <cell r="C2430" t="str">
            <v>INE691C01022</v>
          </cell>
          <cell r="D2430" t="str">
            <v>SWASTIKA</v>
          </cell>
          <cell r="E2430">
            <v>199.56048715899999</v>
          </cell>
          <cell r="F2430" t="str">
            <v>-</v>
          </cell>
          <cell r="G2430" t="str">
            <v>-</v>
          </cell>
          <cell r="H2430" t="str">
            <v>-</v>
          </cell>
          <cell r="I2430" t="str">
            <v>-</v>
          </cell>
          <cell r="J2430">
            <v>199.56048715899999</v>
          </cell>
          <cell r="K2430" t="str">
            <v>Small Cap</v>
          </cell>
        </row>
        <row r="2431">
          <cell r="C2431" t="str">
            <v>INE452L01012</v>
          </cell>
          <cell r="D2431" t="str">
            <v>INCREDIBLE</v>
          </cell>
          <cell r="E2431">
            <v>200.605724415</v>
          </cell>
          <cell r="F2431" t="str">
            <v>INCREDIBLE</v>
          </cell>
          <cell r="G2431">
            <v>198.22669999999999</v>
          </cell>
          <cell r="H2431" t="str">
            <v>-</v>
          </cell>
          <cell r="I2431" t="str">
            <v>-</v>
          </cell>
          <cell r="J2431">
            <v>199.4162122075</v>
          </cell>
          <cell r="K2431" t="str">
            <v>Small Cap</v>
          </cell>
        </row>
        <row r="2432">
          <cell r="C2432" t="str">
            <v>INE217K01011</v>
          </cell>
          <cell r="D2432" t="str">
            <v>RHFL</v>
          </cell>
          <cell r="E2432">
            <v>200.071757545</v>
          </cell>
          <cell r="F2432" t="str">
            <v>RHFL</v>
          </cell>
          <cell r="G2432">
            <v>198.67169999999999</v>
          </cell>
          <cell r="H2432" t="str">
            <v>-</v>
          </cell>
          <cell r="I2432" t="str">
            <v>-</v>
          </cell>
          <cell r="J2432">
            <v>199.37172877249998</v>
          </cell>
          <cell r="K2432" t="str">
            <v>Small Cap</v>
          </cell>
        </row>
        <row r="2433">
          <cell r="C2433" t="str">
            <v>INE829P01020</v>
          </cell>
          <cell r="D2433" t="str">
            <v>AEL</v>
          </cell>
          <cell r="E2433">
            <v>198.76049280000001</v>
          </cell>
          <cell r="F2433" t="str">
            <v>-</v>
          </cell>
          <cell r="G2433" t="str">
            <v>-</v>
          </cell>
          <cell r="H2433" t="str">
            <v>-</v>
          </cell>
          <cell r="I2433" t="str">
            <v>-</v>
          </cell>
          <cell r="J2433">
            <v>198.76049280000001</v>
          </cell>
          <cell r="K2433" t="str">
            <v>Small Cap</v>
          </cell>
        </row>
        <row r="2434">
          <cell r="C2434" t="str">
            <v>INE526R01028</v>
          </cell>
          <cell r="D2434" t="str">
            <v>STARHFL</v>
          </cell>
          <cell r="E2434">
            <v>198.73192424800001</v>
          </cell>
          <cell r="F2434" t="str">
            <v>-</v>
          </cell>
          <cell r="G2434" t="str">
            <v>-</v>
          </cell>
          <cell r="H2434" t="str">
            <v>-</v>
          </cell>
          <cell r="I2434" t="str">
            <v>-</v>
          </cell>
          <cell r="J2434">
            <v>198.73192424800001</v>
          </cell>
          <cell r="K2434" t="str">
            <v>Small Cap</v>
          </cell>
        </row>
        <row r="2435">
          <cell r="C2435" t="str">
            <v>INE865D01012</v>
          </cell>
          <cell r="D2435" t="str">
            <v>JHACC</v>
          </cell>
          <cell r="E2435">
            <v>198.582874151</v>
          </cell>
          <cell r="F2435" t="str">
            <v>-</v>
          </cell>
          <cell r="G2435" t="str">
            <v>-</v>
          </cell>
          <cell r="H2435" t="str">
            <v>-</v>
          </cell>
          <cell r="I2435" t="str">
            <v>-</v>
          </cell>
          <cell r="J2435">
            <v>198.582874151</v>
          </cell>
          <cell r="K2435" t="str">
            <v>Small Cap</v>
          </cell>
        </row>
        <row r="2436">
          <cell r="C2436" t="str">
            <v>INE0LQS01015</v>
          </cell>
          <cell r="D2436" t="str">
            <v>TIPSFILMS</v>
          </cell>
          <cell r="E2436">
            <v>198.225422901</v>
          </cell>
          <cell r="F2436" t="str">
            <v>TIPSFILMS</v>
          </cell>
          <cell r="G2436">
            <v>198.04839999999999</v>
          </cell>
          <cell r="H2436" t="str">
            <v>-</v>
          </cell>
          <cell r="I2436" t="str">
            <v>-</v>
          </cell>
          <cell r="J2436">
            <v>198.13691145050001</v>
          </cell>
          <cell r="K2436" t="str">
            <v>Small Cap</v>
          </cell>
        </row>
        <row r="2437">
          <cell r="C2437" t="str">
            <v>INE753K01015</v>
          </cell>
          <cell r="D2437" t="str">
            <v>EMMBI</v>
          </cell>
          <cell r="E2437">
            <v>199.42911830999998</v>
          </cell>
          <cell r="F2437" t="str">
            <v>EMMBI</v>
          </cell>
          <cell r="G2437">
            <v>196.7954</v>
          </cell>
          <cell r="H2437" t="str">
            <v>-</v>
          </cell>
          <cell r="I2437" t="str">
            <v>-</v>
          </cell>
          <cell r="J2437">
            <v>198.112259155</v>
          </cell>
          <cell r="K2437" t="str">
            <v>Small Cap</v>
          </cell>
        </row>
        <row r="2438">
          <cell r="C2438" t="str">
            <v>INE877I01016</v>
          </cell>
          <cell r="D2438" t="str">
            <v>ARCHIDPLY</v>
          </cell>
          <cell r="E2438">
            <v>198.35628178599998</v>
          </cell>
          <cell r="F2438" t="str">
            <v>ARCHIDPLY</v>
          </cell>
          <cell r="G2438">
            <v>197.7379</v>
          </cell>
          <cell r="H2438" t="str">
            <v>-</v>
          </cell>
          <cell r="I2438" t="str">
            <v>-</v>
          </cell>
          <cell r="J2438">
            <v>198.04709089299999</v>
          </cell>
          <cell r="K2438" t="str">
            <v>Small Cap</v>
          </cell>
        </row>
        <row r="2439">
          <cell r="C2439" t="str">
            <v>INE281A01026</v>
          </cell>
          <cell r="D2439" t="str">
            <v>CENTEXT</v>
          </cell>
          <cell r="E2439">
            <v>197.39492063499998</v>
          </cell>
          <cell r="F2439" t="str">
            <v>CENTEXT</v>
          </cell>
          <cell r="G2439">
            <v>196.88249999999999</v>
          </cell>
          <cell r="H2439" t="str">
            <v>-</v>
          </cell>
          <cell r="I2439" t="str">
            <v>-</v>
          </cell>
          <cell r="J2439">
            <v>197.1387103175</v>
          </cell>
          <cell r="K2439" t="str">
            <v>Small Cap</v>
          </cell>
        </row>
        <row r="2440">
          <cell r="C2440" t="str">
            <v>INE464Z01017</v>
          </cell>
          <cell r="D2440" t="str">
            <v>INFLAME</v>
          </cell>
          <cell r="E2440">
            <v>196.461284643</v>
          </cell>
          <cell r="F2440" t="str">
            <v>-</v>
          </cell>
          <cell r="G2440" t="str">
            <v>-</v>
          </cell>
          <cell r="H2440" t="str">
            <v>-</v>
          </cell>
          <cell r="I2440" t="str">
            <v>-</v>
          </cell>
          <cell r="J2440">
            <v>196.461284643</v>
          </cell>
          <cell r="K2440" t="str">
            <v>Small Cap</v>
          </cell>
        </row>
        <row r="2441">
          <cell r="C2441" t="str">
            <v>INE932D01010</v>
          </cell>
          <cell r="D2441" t="str">
            <v>DUROPLY</v>
          </cell>
          <cell r="E2441">
            <v>196.17560625499999</v>
          </cell>
          <cell r="F2441" t="str">
            <v>-</v>
          </cell>
          <cell r="G2441" t="str">
            <v>-</v>
          </cell>
          <cell r="H2441" t="str">
            <v>-</v>
          </cell>
          <cell r="I2441" t="str">
            <v>-</v>
          </cell>
          <cell r="J2441">
            <v>196.17560625499999</v>
          </cell>
          <cell r="K2441" t="str">
            <v>Small Cap</v>
          </cell>
        </row>
        <row r="2442">
          <cell r="C2442" t="str">
            <v>INE681C01015</v>
          </cell>
          <cell r="D2442" t="str">
            <v>KEYFINSERV</v>
          </cell>
          <cell r="E2442">
            <v>196.39679818900001</v>
          </cell>
          <cell r="F2442" t="str">
            <v>KEYFINSERV</v>
          </cell>
          <cell r="G2442">
            <v>195.80119999999999</v>
          </cell>
          <cell r="H2442" t="str">
            <v>-</v>
          </cell>
          <cell r="I2442" t="str">
            <v>-</v>
          </cell>
          <cell r="J2442">
            <v>196.09899909450002</v>
          </cell>
          <cell r="K2442" t="str">
            <v>Small Cap</v>
          </cell>
        </row>
        <row r="2443">
          <cell r="C2443" t="str">
            <v>INE507F01023</v>
          </cell>
          <cell r="D2443" t="str">
            <v>EMPOWER</v>
          </cell>
          <cell r="E2443">
            <v>196.07234787000002</v>
          </cell>
          <cell r="F2443" t="str">
            <v>-</v>
          </cell>
          <cell r="G2443" t="str">
            <v>-</v>
          </cell>
          <cell r="H2443" t="str">
            <v>-</v>
          </cell>
          <cell r="I2443" t="str">
            <v>-</v>
          </cell>
          <cell r="J2443">
            <v>196.07234787000002</v>
          </cell>
          <cell r="K2443" t="str">
            <v>Small Cap</v>
          </cell>
        </row>
        <row r="2444">
          <cell r="C2444" t="str">
            <v>INE0UH001016</v>
          </cell>
          <cell r="D2444" t="str">
            <v>MNFL</v>
          </cell>
          <cell r="E2444">
            <v>195.969368925</v>
          </cell>
          <cell r="F2444" t="str">
            <v>-</v>
          </cell>
          <cell r="G2444" t="str">
            <v>-</v>
          </cell>
          <cell r="H2444" t="str">
            <v>-</v>
          </cell>
          <cell r="I2444" t="str">
            <v>-</v>
          </cell>
          <cell r="J2444">
            <v>195.969368925</v>
          </cell>
          <cell r="K2444" t="str">
            <v>Small Cap</v>
          </cell>
        </row>
        <row r="2445">
          <cell r="C2445" t="str">
            <v>INE285U01025</v>
          </cell>
          <cell r="D2445" t="str">
            <v>KIMIABL</v>
          </cell>
          <cell r="E2445">
            <v>195.80903559999999</v>
          </cell>
          <cell r="F2445" t="str">
            <v>-</v>
          </cell>
          <cell r="G2445" t="str">
            <v>-</v>
          </cell>
          <cell r="H2445" t="str">
            <v>-</v>
          </cell>
          <cell r="I2445" t="str">
            <v>-</v>
          </cell>
          <cell r="J2445">
            <v>195.80903559999999</v>
          </cell>
          <cell r="K2445" t="str">
            <v>Small Cap</v>
          </cell>
        </row>
        <row r="2446">
          <cell r="C2446" t="str">
            <v>INE418N01035</v>
          </cell>
          <cell r="D2446" t="str">
            <v>ESSENTIA</v>
          </cell>
          <cell r="E2446">
            <v>196.00595216900001</v>
          </cell>
          <cell r="F2446" t="str">
            <v>ESSENTIA</v>
          </cell>
          <cell r="G2446">
            <v>195.57380000000001</v>
          </cell>
          <cell r="H2446" t="str">
            <v>-</v>
          </cell>
          <cell r="I2446" t="str">
            <v>-</v>
          </cell>
          <cell r="J2446">
            <v>195.78987608450001</v>
          </cell>
          <cell r="K2446" t="str">
            <v>Small Cap</v>
          </cell>
        </row>
        <row r="2447">
          <cell r="C2447" t="str">
            <v>INE123C01018</v>
          </cell>
          <cell r="D2447" t="str">
            <v>TAINWALCHM</v>
          </cell>
          <cell r="E2447">
            <v>195.50371091099998</v>
          </cell>
          <cell r="F2447" t="str">
            <v>TAINWALCHM</v>
          </cell>
          <cell r="G2447">
            <v>195.4151</v>
          </cell>
          <cell r="H2447" t="str">
            <v>-</v>
          </cell>
          <cell r="I2447" t="str">
            <v>-</v>
          </cell>
          <cell r="J2447">
            <v>195.45940545549999</v>
          </cell>
          <cell r="K2447" t="str">
            <v>Small Cap</v>
          </cell>
        </row>
        <row r="2448">
          <cell r="C2448" t="str">
            <v>INE0BUQ01012</v>
          </cell>
          <cell r="D2448" t="str">
            <v>GALLARD</v>
          </cell>
          <cell r="E2448">
            <v>195.1395</v>
          </cell>
          <cell r="F2448" t="str">
            <v>-</v>
          </cell>
          <cell r="G2448" t="str">
            <v>-</v>
          </cell>
          <cell r="H2448" t="str">
            <v>-</v>
          </cell>
          <cell r="I2448" t="str">
            <v>-</v>
          </cell>
          <cell r="J2448">
            <v>195.1395</v>
          </cell>
          <cell r="K2448" t="str">
            <v>Small Cap</v>
          </cell>
        </row>
        <row r="2449">
          <cell r="C2449" t="str">
            <v>INE150D01027</v>
          </cell>
          <cell r="D2449" t="str">
            <v>MUL</v>
          </cell>
          <cell r="E2449">
            <v>195.08937142899998</v>
          </cell>
          <cell r="F2449" t="str">
            <v>-</v>
          </cell>
          <cell r="G2449" t="str">
            <v>-</v>
          </cell>
          <cell r="H2449" t="str">
            <v>-</v>
          </cell>
          <cell r="I2449" t="str">
            <v>-</v>
          </cell>
          <cell r="J2449">
            <v>195.08937142899998</v>
          </cell>
          <cell r="K2449" t="str">
            <v>Small Cap</v>
          </cell>
        </row>
        <row r="2450">
          <cell r="C2450" t="str">
            <v>INE117D01018</v>
          </cell>
          <cell r="D2450" t="str">
            <v>PHARMAID</v>
          </cell>
          <cell r="E2450">
            <v>194.98929477300001</v>
          </cell>
          <cell r="F2450" t="str">
            <v>-</v>
          </cell>
          <cell r="G2450" t="str">
            <v>-</v>
          </cell>
          <cell r="H2450" t="str">
            <v>-</v>
          </cell>
          <cell r="I2450" t="str">
            <v>-</v>
          </cell>
          <cell r="J2450">
            <v>194.98929477300001</v>
          </cell>
          <cell r="K2450" t="str">
            <v>Small Cap</v>
          </cell>
        </row>
        <row r="2451">
          <cell r="C2451" t="str">
            <v>INE380Z01015</v>
          </cell>
          <cell r="D2451" t="str">
            <v>ACTIVE</v>
          </cell>
          <cell r="E2451">
            <v>194.90174801400002</v>
          </cell>
          <cell r="F2451" t="str">
            <v>-</v>
          </cell>
          <cell r="G2451" t="str">
            <v>-</v>
          </cell>
          <cell r="H2451" t="str">
            <v>-</v>
          </cell>
          <cell r="I2451" t="str">
            <v>-</v>
          </cell>
          <cell r="J2451">
            <v>194.90174801400002</v>
          </cell>
          <cell r="K2451" t="str">
            <v>Small Cap</v>
          </cell>
        </row>
        <row r="2452">
          <cell r="C2452" t="str">
            <v>INE790D01020</v>
          </cell>
          <cell r="D2452" t="str">
            <v>CHLLTD</v>
          </cell>
          <cell r="E2452">
            <v>194.85813779200001</v>
          </cell>
          <cell r="F2452" t="str">
            <v>-</v>
          </cell>
          <cell r="G2452" t="str">
            <v>-</v>
          </cell>
          <cell r="H2452" t="str">
            <v>-</v>
          </cell>
          <cell r="I2452" t="str">
            <v>-</v>
          </cell>
          <cell r="J2452">
            <v>194.85813779200001</v>
          </cell>
          <cell r="K2452" t="str">
            <v>Small Cap</v>
          </cell>
        </row>
        <row r="2453">
          <cell r="C2453" t="str">
            <v>INE641C01019</v>
          </cell>
          <cell r="D2453" t="str">
            <v>KAVDEFENCE</v>
          </cell>
          <cell r="E2453">
            <v>173.65016322700001</v>
          </cell>
          <cell r="F2453" t="str">
            <v>KAVDEFENCE</v>
          </cell>
          <cell r="G2453">
            <v>215.17959999999999</v>
          </cell>
          <cell r="H2453" t="str">
            <v>-</v>
          </cell>
          <cell r="I2453" t="str">
            <v>-</v>
          </cell>
          <cell r="J2453">
            <v>194.4148816135</v>
          </cell>
          <cell r="K2453" t="str">
            <v>Small Cap</v>
          </cell>
        </row>
        <row r="2454">
          <cell r="C2454" t="str">
            <v>INE006Z01016</v>
          </cell>
          <cell r="D2454" t="str">
            <v>-</v>
          </cell>
          <cell r="E2454" t="str">
            <v>-</v>
          </cell>
          <cell r="F2454" t="str">
            <v>ARVEE</v>
          </cell>
          <cell r="G2454">
            <v>194.01060000000001</v>
          </cell>
          <cell r="H2454" t="str">
            <v>-</v>
          </cell>
          <cell r="I2454" t="str">
            <v>-</v>
          </cell>
          <cell r="J2454">
            <v>194.01060000000001</v>
          </cell>
          <cell r="K2454" t="str">
            <v>Small Cap</v>
          </cell>
        </row>
        <row r="2455">
          <cell r="C2455" t="str">
            <v>INE688J01023</v>
          </cell>
          <cell r="D2455" t="str">
            <v>EXCEL</v>
          </cell>
          <cell r="E2455">
            <v>195.00060137299999</v>
          </cell>
          <cell r="F2455" t="str">
            <v>EXCEL</v>
          </cell>
          <cell r="G2455">
            <v>192.94049999999999</v>
          </cell>
          <cell r="H2455" t="str">
            <v>-</v>
          </cell>
          <cell r="I2455" t="str">
            <v>-</v>
          </cell>
          <cell r="J2455">
            <v>193.97055068649999</v>
          </cell>
          <cell r="K2455" t="str">
            <v>Small Cap</v>
          </cell>
        </row>
        <row r="2456">
          <cell r="C2456" t="str">
            <v>INE112X01025</v>
          </cell>
          <cell r="D2456" t="str">
            <v>-</v>
          </cell>
          <cell r="E2456" t="str">
            <v>-</v>
          </cell>
          <cell r="F2456" t="str">
            <v>SIKKO</v>
          </cell>
          <cell r="G2456">
            <v>193.56450000000001</v>
          </cell>
          <cell r="H2456" t="str">
            <v>-</v>
          </cell>
          <cell r="I2456" t="str">
            <v>-</v>
          </cell>
          <cell r="J2456">
            <v>193.56450000000001</v>
          </cell>
          <cell r="K2456" t="str">
            <v>Small Cap</v>
          </cell>
        </row>
        <row r="2457">
          <cell r="C2457" t="str">
            <v>INE212P01011</v>
          </cell>
          <cell r="D2457" t="str">
            <v>CHEMTECH</v>
          </cell>
          <cell r="E2457">
            <v>193.19489923499998</v>
          </cell>
          <cell r="F2457" t="str">
            <v>-</v>
          </cell>
          <cell r="G2457" t="str">
            <v>-</v>
          </cell>
          <cell r="H2457" t="str">
            <v>-</v>
          </cell>
          <cell r="I2457" t="str">
            <v>-</v>
          </cell>
          <cell r="J2457">
            <v>193.19489923499998</v>
          </cell>
          <cell r="K2457" t="str">
            <v>Small Cap</v>
          </cell>
        </row>
        <row r="2458">
          <cell r="C2458" t="str">
            <v>INE447A01015</v>
          </cell>
          <cell r="D2458" t="str">
            <v>ATVPR</v>
          </cell>
          <cell r="E2458">
            <v>192.61010655300001</v>
          </cell>
          <cell r="F2458" t="str">
            <v>-</v>
          </cell>
          <cell r="G2458" t="str">
            <v>-</v>
          </cell>
          <cell r="H2458" t="str">
            <v>-</v>
          </cell>
          <cell r="I2458" t="str">
            <v>-</v>
          </cell>
          <cell r="J2458">
            <v>192.61010655300001</v>
          </cell>
          <cell r="K2458" t="str">
            <v>Small Cap</v>
          </cell>
        </row>
        <row r="2459">
          <cell r="C2459" t="str">
            <v>INE986A01012</v>
          </cell>
          <cell r="D2459" t="str">
            <v>BI</v>
          </cell>
          <cell r="E2459">
            <v>191.97959143</v>
          </cell>
          <cell r="F2459" t="str">
            <v>-</v>
          </cell>
          <cell r="G2459" t="str">
            <v>-</v>
          </cell>
          <cell r="H2459" t="str">
            <v>-</v>
          </cell>
          <cell r="I2459" t="str">
            <v>-</v>
          </cell>
          <cell r="J2459">
            <v>191.97959143</v>
          </cell>
          <cell r="K2459" t="str">
            <v>Small Cap</v>
          </cell>
        </row>
        <row r="2460">
          <cell r="C2460" t="str">
            <v>INE082B01018</v>
          </cell>
          <cell r="D2460" t="str">
            <v>MACPLASQ</v>
          </cell>
          <cell r="E2460">
            <v>191.76087561900002</v>
          </cell>
          <cell r="F2460" t="str">
            <v>-</v>
          </cell>
          <cell r="G2460" t="str">
            <v>-</v>
          </cell>
          <cell r="H2460" t="str">
            <v>-</v>
          </cell>
          <cell r="I2460" t="str">
            <v>-</v>
          </cell>
          <cell r="J2460">
            <v>191.76087561900002</v>
          </cell>
          <cell r="K2460" t="str">
            <v>Small Cap</v>
          </cell>
        </row>
        <row r="2461">
          <cell r="C2461" t="str">
            <v>INE385I01010</v>
          </cell>
          <cell r="D2461" t="str">
            <v>ALPA</v>
          </cell>
          <cell r="E2461">
            <v>191.80560863299999</v>
          </cell>
          <cell r="F2461" t="str">
            <v>ALPA</v>
          </cell>
          <cell r="G2461">
            <v>191.51419999999999</v>
          </cell>
          <cell r="H2461" t="str">
            <v>-</v>
          </cell>
          <cell r="I2461" t="str">
            <v>-</v>
          </cell>
          <cell r="J2461">
            <v>191.65990431649999</v>
          </cell>
          <cell r="K2461" t="str">
            <v>Small Cap</v>
          </cell>
        </row>
        <row r="2462">
          <cell r="C2462" t="str">
            <v>INE366C01021</v>
          </cell>
          <cell r="D2462" t="str">
            <v>ACSTECH</v>
          </cell>
          <cell r="E2462">
            <v>191.33922362499999</v>
          </cell>
          <cell r="F2462" t="str">
            <v>-</v>
          </cell>
          <cell r="G2462" t="str">
            <v>-</v>
          </cell>
          <cell r="H2462" t="str">
            <v>-</v>
          </cell>
          <cell r="I2462" t="str">
            <v>-</v>
          </cell>
          <cell r="J2462">
            <v>191.33922362499999</v>
          </cell>
          <cell r="K2462" t="str">
            <v>Small Cap</v>
          </cell>
        </row>
        <row r="2463">
          <cell r="C2463" t="str">
            <v>INE336H01023</v>
          </cell>
          <cell r="D2463" t="str">
            <v>GAYAPROJ</v>
          </cell>
          <cell r="E2463">
            <v>191.18185702</v>
          </cell>
          <cell r="F2463" t="str">
            <v>-</v>
          </cell>
          <cell r="G2463" t="str">
            <v>-</v>
          </cell>
          <cell r="H2463" t="str">
            <v>-</v>
          </cell>
          <cell r="I2463" t="str">
            <v>-</v>
          </cell>
          <cell r="J2463">
            <v>191.18185702</v>
          </cell>
          <cell r="K2463" t="str">
            <v>Small Cap</v>
          </cell>
        </row>
        <row r="2464">
          <cell r="C2464" t="str">
            <v>INE497E01020</v>
          </cell>
          <cell r="D2464" t="str">
            <v>RAJTUBE</v>
          </cell>
          <cell r="E2464">
            <v>190.494977095</v>
          </cell>
          <cell r="F2464" t="str">
            <v>-</v>
          </cell>
          <cell r="G2464" t="str">
            <v>-</v>
          </cell>
          <cell r="H2464" t="str">
            <v>-</v>
          </cell>
          <cell r="I2464" t="str">
            <v>-</v>
          </cell>
          <cell r="J2464">
            <v>190.494977095</v>
          </cell>
          <cell r="K2464" t="str">
            <v>Small Cap</v>
          </cell>
        </row>
        <row r="2465">
          <cell r="C2465" t="str">
            <v>INE136C01044</v>
          </cell>
          <cell r="D2465" t="str">
            <v>HPBL</v>
          </cell>
          <cell r="E2465">
            <v>190.021841507</v>
          </cell>
          <cell r="F2465" t="str">
            <v>-</v>
          </cell>
          <cell r="G2465" t="str">
            <v>-</v>
          </cell>
          <cell r="H2465" t="str">
            <v>-</v>
          </cell>
          <cell r="I2465" t="str">
            <v>-</v>
          </cell>
          <cell r="J2465">
            <v>190.021841507</v>
          </cell>
          <cell r="K2465" t="str">
            <v>Small Cap</v>
          </cell>
        </row>
        <row r="2466">
          <cell r="C2466" t="str">
            <v>INE316G01019</v>
          </cell>
          <cell r="D2466" t="str">
            <v>PANCHSHEEL</v>
          </cell>
          <cell r="E2466">
            <v>189.77930576400001</v>
          </cell>
          <cell r="F2466" t="str">
            <v>-</v>
          </cell>
          <cell r="G2466" t="str">
            <v>-</v>
          </cell>
          <cell r="H2466" t="str">
            <v>-</v>
          </cell>
          <cell r="I2466" t="str">
            <v>-</v>
          </cell>
          <cell r="J2466">
            <v>189.77930576400001</v>
          </cell>
          <cell r="K2466" t="str">
            <v>Small Cap</v>
          </cell>
        </row>
        <row r="2467">
          <cell r="C2467" t="str">
            <v>INE666Y01010</v>
          </cell>
          <cell r="D2467" t="str">
            <v>DOLFIN</v>
          </cell>
          <cell r="E2467">
            <v>189.727347528</v>
          </cell>
          <cell r="F2467" t="str">
            <v>-</v>
          </cell>
          <cell r="G2467" t="str">
            <v>-</v>
          </cell>
          <cell r="H2467" t="str">
            <v>-</v>
          </cell>
          <cell r="I2467" t="str">
            <v>-</v>
          </cell>
          <cell r="J2467">
            <v>189.727347528</v>
          </cell>
          <cell r="K2467" t="str">
            <v>Small Cap</v>
          </cell>
        </row>
        <row r="2468">
          <cell r="C2468" t="str">
            <v>INE087A01019</v>
          </cell>
          <cell r="D2468" t="str">
            <v>KESORAMIND</v>
          </cell>
          <cell r="E2468">
            <v>189.23653844700002</v>
          </cell>
          <cell r="F2468" t="str">
            <v>KESORAMIND</v>
          </cell>
          <cell r="G2468">
            <v>188.9057</v>
          </cell>
          <cell r="H2468" t="str">
            <v>-</v>
          </cell>
          <cell r="I2468" t="str">
            <v>-</v>
          </cell>
          <cell r="J2468">
            <v>189.07111922350001</v>
          </cell>
          <cell r="K2468" t="str">
            <v>Small Cap</v>
          </cell>
        </row>
        <row r="2469">
          <cell r="C2469" t="str">
            <v>INE341R01014</v>
          </cell>
          <cell r="D2469" t="str">
            <v>DTIL</v>
          </cell>
          <cell r="E2469">
            <v>188.976074595</v>
          </cell>
          <cell r="F2469" t="str">
            <v>DTIL</v>
          </cell>
          <cell r="G2469">
            <v>188.68559999999999</v>
          </cell>
          <cell r="H2469" t="str">
            <v>-</v>
          </cell>
          <cell r="I2469" t="str">
            <v>-</v>
          </cell>
          <cell r="J2469">
            <v>188.83083729750001</v>
          </cell>
          <cell r="K2469" t="str">
            <v>Small Cap</v>
          </cell>
        </row>
        <row r="2470">
          <cell r="C2470" t="str">
            <v>INE864B01027</v>
          </cell>
          <cell r="D2470" t="str">
            <v>UMANGDAIRY</v>
          </cell>
          <cell r="E2470">
            <v>188.74344959999999</v>
          </cell>
          <cell r="F2470" t="str">
            <v>-</v>
          </cell>
          <cell r="G2470" t="str">
            <v>-</v>
          </cell>
          <cell r="H2470" t="str">
            <v>-</v>
          </cell>
          <cell r="I2470" t="str">
            <v>-</v>
          </cell>
          <cell r="J2470">
            <v>188.74344959999999</v>
          </cell>
          <cell r="K2470" t="str">
            <v>Small Cap</v>
          </cell>
        </row>
        <row r="2471">
          <cell r="C2471" t="str">
            <v>INE717C01025</v>
          </cell>
          <cell r="D2471" t="str">
            <v>MANGIND</v>
          </cell>
          <cell r="E2471">
            <v>188.718037858</v>
          </cell>
          <cell r="F2471" t="str">
            <v>-</v>
          </cell>
          <cell r="G2471" t="str">
            <v>-</v>
          </cell>
          <cell r="H2471" t="str">
            <v>-</v>
          </cell>
          <cell r="I2471" t="str">
            <v>-</v>
          </cell>
          <cell r="J2471">
            <v>188.718037858</v>
          </cell>
          <cell r="K2471" t="str">
            <v>Small Cap</v>
          </cell>
        </row>
        <row r="2472">
          <cell r="C2472" t="str">
            <v>INE541K01014</v>
          </cell>
          <cell r="D2472" t="str">
            <v>STARDELTA</v>
          </cell>
          <cell r="E2472">
            <v>188.612573333</v>
          </cell>
          <cell r="F2472" t="str">
            <v>-</v>
          </cell>
          <cell r="G2472" t="str">
            <v>-</v>
          </cell>
          <cell r="H2472" t="str">
            <v>-</v>
          </cell>
          <cell r="I2472" t="str">
            <v>-</v>
          </cell>
          <cell r="J2472">
            <v>188.612573333</v>
          </cell>
          <cell r="K2472" t="str">
            <v>Small Cap</v>
          </cell>
        </row>
        <row r="2473">
          <cell r="C2473" t="str">
            <v>INE652Z01017</v>
          </cell>
          <cell r="D2473" t="str">
            <v>AVROIND</v>
          </cell>
          <cell r="E2473">
            <v>188.32600311900001</v>
          </cell>
          <cell r="F2473" t="str">
            <v>AVROIND</v>
          </cell>
          <cell r="G2473">
            <v>187.78749999999999</v>
          </cell>
          <cell r="H2473" t="str">
            <v>-</v>
          </cell>
          <cell r="I2473" t="str">
            <v>-</v>
          </cell>
          <cell r="J2473">
            <v>188.05675155950001</v>
          </cell>
          <cell r="K2473" t="str">
            <v>Small Cap</v>
          </cell>
        </row>
        <row r="2474">
          <cell r="C2474" t="str">
            <v>INE855A01019</v>
          </cell>
          <cell r="D2474" t="str">
            <v>WHBRADY</v>
          </cell>
          <cell r="E2474">
            <v>187.62090476199998</v>
          </cell>
          <cell r="F2474" t="str">
            <v>-</v>
          </cell>
          <cell r="G2474" t="str">
            <v>-</v>
          </cell>
          <cell r="H2474" t="str">
            <v>-</v>
          </cell>
          <cell r="I2474" t="str">
            <v>-</v>
          </cell>
          <cell r="J2474">
            <v>187.62090476199998</v>
          </cell>
          <cell r="K2474" t="str">
            <v>Small Cap</v>
          </cell>
        </row>
        <row r="2475">
          <cell r="C2475" t="str">
            <v>INE890B01014</v>
          </cell>
          <cell r="D2475" t="str">
            <v>UPSURGE</v>
          </cell>
          <cell r="E2475">
            <v>186.93339093199998</v>
          </cell>
          <cell r="F2475" t="str">
            <v>-</v>
          </cell>
          <cell r="G2475" t="str">
            <v>-</v>
          </cell>
          <cell r="H2475" t="str">
            <v>-</v>
          </cell>
          <cell r="I2475" t="str">
            <v>-</v>
          </cell>
          <cell r="J2475">
            <v>186.93339093199998</v>
          </cell>
          <cell r="K2475" t="str">
            <v>Small Cap</v>
          </cell>
        </row>
        <row r="2476">
          <cell r="C2476" t="str">
            <v>INE117F01013</v>
          </cell>
          <cell r="D2476" t="str">
            <v>VJTFEDU</v>
          </cell>
          <cell r="E2476">
            <v>186.45439999999999</v>
          </cell>
          <cell r="F2476" t="str">
            <v>-</v>
          </cell>
          <cell r="G2476" t="str">
            <v>-</v>
          </cell>
          <cell r="H2476" t="str">
            <v>-</v>
          </cell>
          <cell r="I2476" t="str">
            <v>-</v>
          </cell>
          <cell r="J2476">
            <v>186.45439999999999</v>
          </cell>
          <cell r="K2476" t="str">
            <v>Small Cap</v>
          </cell>
        </row>
        <row r="2477">
          <cell r="C2477" t="str">
            <v>INE590D01016</v>
          </cell>
          <cell r="D2477" t="str">
            <v>DHPIND</v>
          </cell>
          <cell r="E2477">
            <v>186.26595238100001</v>
          </cell>
          <cell r="F2477" t="str">
            <v>-</v>
          </cell>
          <cell r="G2477" t="str">
            <v>-</v>
          </cell>
          <cell r="H2477" t="str">
            <v>-</v>
          </cell>
          <cell r="I2477" t="str">
            <v>-</v>
          </cell>
          <cell r="J2477">
            <v>186.26595238100001</v>
          </cell>
          <cell r="K2477" t="str">
            <v>Small Cap</v>
          </cell>
        </row>
        <row r="2478">
          <cell r="C2478" t="str">
            <v>INE0S9X01011</v>
          </cell>
          <cell r="D2478" t="str">
            <v>ACEALPHA</v>
          </cell>
          <cell r="E2478">
            <v>185.875431233</v>
          </cell>
          <cell r="F2478" t="str">
            <v>-</v>
          </cell>
          <cell r="G2478" t="str">
            <v>-</v>
          </cell>
          <cell r="H2478" t="str">
            <v>-</v>
          </cell>
          <cell r="I2478" t="str">
            <v>-</v>
          </cell>
          <cell r="J2478">
            <v>185.875431233</v>
          </cell>
          <cell r="K2478" t="str">
            <v>Small Cap</v>
          </cell>
        </row>
        <row r="2479">
          <cell r="C2479" t="str">
            <v>INE859Q01017</v>
          </cell>
          <cell r="D2479" t="str">
            <v>MANAKALUCO</v>
          </cell>
          <cell r="E2479">
            <v>186.18067571500001</v>
          </cell>
          <cell r="F2479" t="str">
            <v>MANAKALUCO</v>
          </cell>
          <cell r="G2479">
            <v>185.28139999999999</v>
          </cell>
          <cell r="H2479" t="str">
            <v>-</v>
          </cell>
          <cell r="I2479" t="str">
            <v>-</v>
          </cell>
          <cell r="J2479">
            <v>185.73103785749998</v>
          </cell>
          <cell r="K2479" t="str">
            <v>Small Cap</v>
          </cell>
        </row>
        <row r="2480">
          <cell r="C2480" t="str">
            <v>INE727S01012</v>
          </cell>
          <cell r="D2480" t="str">
            <v>BRNL</v>
          </cell>
          <cell r="E2480">
            <v>185.606121032</v>
          </cell>
          <cell r="F2480" t="str">
            <v>BRNL</v>
          </cell>
          <cell r="G2480">
            <v>185.4795</v>
          </cell>
          <cell r="H2480" t="str">
            <v>-</v>
          </cell>
          <cell r="I2480" t="str">
            <v>-</v>
          </cell>
          <cell r="J2480">
            <v>185.542810516</v>
          </cell>
          <cell r="K2480" t="str">
            <v>Small Cap</v>
          </cell>
        </row>
        <row r="2481">
          <cell r="C2481" t="str">
            <v>INE498A01018</v>
          </cell>
          <cell r="D2481" t="str">
            <v>DCM</v>
          </cell>
          <cell r="E2481">
            <v>184.885997323</v>
          </cell>
          <cell r="F2481" t="str">
            <v>DCM</v>
          </cell>
          <cell r="G2481">
            <v>184.87350000000001</v>
          </cell>
          <cell r="H2481" t="str">
            <v>-</v>
          </cell>
          <cell r="I2481" t="str">
            <v>-</v>
          </cell>
          <cell r="J2481">
            <v>184.8797486615</v>
          </cell>
          <cell r="K2481" t="str">
            <v>Small Cap</v>
          </cell>
        </row>
        <row r="2482">
          <cell r="C2482" t="str">
            <v>INE219M01021</v>
          </cell>
          <cell r="D2482" t="str">
            <v>ATVOENT</v>
          </cell>
          <cell r="E2482">
            <v>184.14168357899999</v>
          </cell>
          <cell r="F2482" t="str">
            <v>-</v>
          </cell>
          <cell r="G2482" t="str">
            <v>-</v>
          </cell>
          <cell r="H2482" t="str">
            <v>-</v>
          </cell>
          <cell r="I2482" t="str">
            <v>-</v>
          </cell>
          <cell r="J2482">
            <v>184.14168357899999</v>
          </cell>
          <cell r="K2482" t="str">
            <v>Small Cap</v>
          </cell>
        </row>
        <row r="2483">
          <cell r="C2483" t="str">
            <v>INE536C01029</v>
          </cell>
          <cell r="D2483" t="str">
            <v>NUTRICIRCLE</v>
          </cell>
          <cell r="E2483">
            <v>184.02619047600001</v>
          </cell>
          <cell r="F2483" t="str">
            <v>-</v>
          </cell>
          <cell r="G2483" t="str">
            <v>-</v>
          </cell>
          <cell r="H2483" t="str">
            <v>-</v>
          </cell>
          <cell r="I2483" t="str">
            <v>-</v>
          </cell>
          <cell r="J2483">
            <v>184.02619047600001</v>
          </cell>
          <cell r="K2483" t="str">
            <v>Small Cap</v>
          </cell>
        </row>
        <row r="2484">
          <cell r="C2484" t="str">
            <v>INE683E01017</v>
          </cell>
          <cell r="D2484" t="str">
            <v>CORALAB</v>
          </cell>
          <cell r="E2484">
            <v>183.96168019000001</v>
          </cell>
          <cell r="F2484" t="str">
            <v>-</v>
          </cell>
          <cell r="G2484" t="str">
            <v>-</v>
          </cell>
          <cell r="H2484" t="str">
            <v>-</v>
          </cell>
          <cell r="I2484" t="str">
            <v>-</v>
          </cell>
          <cell r="J2484">
            <v>183.96168019000001</v>
          </cell>
          <cell r="K2484" t="str">
            <v>Small Cap</v>
          </cell>
        </row>
        <row r="2485">
          <cell r="C2485" t="str">
            <v>INE423D01010</v>
          </cell>
          <cell r="D2485" t="str">
            <v>ECOPLAST</v>
          </cell>
          <cell r="E2485">
            <v>183.842006693</v>
          </cell>
          <cell r="F2485" t="str">
            <v>-</v>
          </cell>
          <cell r="G2485" t="str">
            <v>-</v>
          </cell>
          <cell r="H2485" t="str">
            <v>-</v>
          </cell>
          <cell r="I2485" t="str">
            <v>-</v>
          </cell>
          <cell r="J2485">
            <v>183.842006693</v>
          </cell>
          <cell r="K2485" t="str">
            <v>Small Cap</v>
          </cell>
        </row>
        <row r="2486">
          <cell r="C2486" t="str">
            <v>INE630D01010</v>
          </cell>
          <cell r="D2486" t="str">
            <v>BRIGHTBR</v>
          </cell>
          <cell r="E2486">
            <v>183.37218638800002</v>
          </cell>
          <cell r="F2486" t="str">
            <v>-</v>
          </cell>
          <cell r="G2486" t="str">
            <v>-</v>
          </cell>
          <cell r="H2486" t="str">
            <v>-</v>
          </cell>
          <cell r="I2486" t="str">
            <v>-</v>
          </cell>
          <cell r="J2486">
            <v>183.37218638800002</v>
          </cell>
          <cell r="K2486" t="str">
            <v>Small Cap</v>
          </cell>
        </row>
        <row r="2487">
          <cell r="C2487" t="str">
            <v>INE0MNV01014</v>
          </cell>
          <cell r="D2487" t="str">
            <v>SRSOLTD</v>
          </cell>
          <cell r="E2487">
            <v>183.11502857100001</v>
          </cell>
          <cell r="F2487" t="str">
            <v>-</v>
          </cell>
          <cell r="G2487" t="str">
            <v>-</v>
          </cell>
          <cell r="H2487" t="str">
            <v>-</v>
          </cell>
          <cell r="I2487" t="str">
            <v>-</v>
          </cell>
          <cell r="J2487">
            <v>183.11502857100001</v>
          </cell>
          <cell r="K2487" t="str">
            <v>Small Cap</v>
          </cell>
        </row>
        <row r="2488">
          <cell r="C2488" t="str">
            <v>INE327G01032</v>
          </cell>
          <cell r="D2488" t="str">
            <v>SAYAJIIND</v>
          </cell>
          <cell r="E2488">
            <v>182.891069206</v>
          </cell>
          <cell r="F2488" t="str">
            <v>-</v>
          </cell>
          <cell r="G2488" t="str">
            <v>-</v>
          </cell>
          <cell r="H2488" t="str">
            <v>-</v>
          </cell>
          <cell r="I2488" t="str">
            <v>-</v>
          </cell>
          <cell r="J2488">
            <v>182.891069206</v>
          </cell>
          <cell r="K2488" t="str">
            <v>Small Cap</v>
          </cell>
        </row>
        <row r="2489">
          <cell r="C2489" t="str">
            <v>INE082C01024</v>
          </cell>
          <cell r="D2489" t="str">
            <v>PATELSAI</v>
          </cell>
          <cell r="E2489">
            <v>182.87185978399998</v>
          </cell>
          <cell r="F2489" t="str">
            <v>-</v>
          </cell>
          <cell r="G2489" t="str">
            <v>-</v>
          </cell>
          <cell r="H2489" t="str">
            <v>-</v>
          </cell>
          <cell r="I2489" t="str">
            <v>-</v>
          </cell>
          <cell r="J2489">
            <v>182.87185978399998</v>
          </cell>
          <cell r="K2489" t="str">
            <v>Small Cap</v>
          </cell>
        </row>
        <row r="2490">
          <cell r="C2490" t="str">
            <v>INE750G01019</v>
          </cell>
          <cell r="D2490" t="str">
            <v>EY</v>
          </cell>
          <cell r="E2490">
            <v>182.82814417200001</v>
          </cell>
          <cell r="F2490" t="str">
            <v>-</v>
          </cell>
          <cell r="G2490" t="str">
            <v>-</v>
          </cell>
          <cell r="H2490" t="str">
            <v>-</v>
          </cell>
          <cell r="I2490" t="str">
            <v>-</v>
          </cell>
          <cell r="J2490">
            <v>182.82814417200001</v>
          </cell>
          <cell r="K2490" t="str">
            <v>Small Cap</v>
          </cell>
        </row>
        <row r="2491">
          <cell r="C2491" t="str">
            <v>INE13YH01017</v>
          </cell>
          <cell r="D2491" t="str">
            <v>SKM</v>
          </cell>
          <cell r="E2491">
            <v>182.6532</v>
          </cell>
          <cell r="F2491" t="str">
            <v>-</v>
          </cell>
          <cell r="G2491" t="str">
            <v>-</v>
          </cell>
          <cell r="H2491" t="str">
            <v>-</v>
          </cell>
          <cell r="I2491" t="str">
            <v>-</v>
          </cell>
          <cell r="J2491">
            <v>182.6532</v>
          </cell>
          <cell r="K2491" t="str">
            <v>Small Cap</v>
          </cell>
        </row>
        <row r="2492">
          <cell r="C2492" t="str">
            <v>INE01C001026</v>
          </cell>
          <cell r="D2492" t="str">
            <v>AARTECH</v>
          </cell>
          <cell r="E2492">
            <v>182.50945781300001</v>
          </cell>
          <cell r="F2492" t="str">
            <v>AARTECH</v>
          </cell>
          <cell r="G2492">
            <v>182.49209999999999</v>
          </cell>
          <cell r="H2492" t="str">
            <v>-</v>
          </cell>
          <cell r="I2492" t="str">
            <v>-</v>
          </cell>
          <cell r="J2492">
            <v>182.50077890649999</v>
          </cell>
          <cell r="K2492" t="str">
            <v>Small Cap</v>
          </cell>
        </row>
        <row r="2493">
          <cell r="C2493" t="str">
            <v>INE740X01023</v>
          </cell>
          <cell r="D2493" t="str">
            <v>LAL</v>
          </cell>
          <cell r="E2493">
            <v>182.78954408299998</v>
          </cell>
          <cell r="F2493" t="str">
            <v>LAL</v>
          </cell>
          <cell r="G2493">
            <v>182.1611</v>
          </cell>
          <cell r="H2493" t="str">
            <v>-</v>
          </cell>
          <cell r="I2493" t="str">
            <v>-</v>
          </cell>
          <cell r="J2493">
            <v>182.47532204149999</v>
          </cell>
          <cell r="K2493" t="str">
            <v>Small Cap</v>
          </cell>
        </row>
        <row r="2494">
          <cell r="C2494" t="str">
            <v>INE0UJF01018</v>
          </cell>
          <cell r="D2494" t="str">
            <v>SHARVAYA</v>
          </cell>
          <cell r="E2494">
            <v>182.192275333</v>
          </cell>
          <cell r="F2494" t="str">
            <v>-</v>
          </cell>
          <cell r="G2494" t="str">
            <v>-</v>
          </cell>
          <cell r="H2494" t="str">
            <v>-</v>
          </cell>
          <cell r="I2494" t="str">
            <v>-</v>
          </cell>
          <cell r="J2494">
            <v>182.192275333</v>
          </cell>
          <cell r="K2494" t="str">
            <v>Small Cap</v>
          </cell>
        </row>
        <row r="2495">
          <cell r="C2495" t="str">
            <v>INE637D01015</v>
          </cell>
          <cell r="D2495" t="str">
            <v>TULIVE</v>
          </cell>
          <cell r="E2495">
            <v>182.15086741099998</v>
          </cell>
          <cell r="F2495" t="str">
            <v>-</v>
          </cell>
          <cell r="G2495" t="str">
            <v>-</v>
          </cell>
          <cell r="H2495" t="str">
            <v>-</v>
          </cell>
          <cell r="I2495" t="str">
            <v>-</v>
          </cell>
          <cell r="J2495">
            <v>182.15086741099998</v>
          </cell>
          <cell r="K2495" t="str">
            <v>Small Cap</v>
          </cell>
        </row>
        <row r="2496">
          <cell r="C2496" t="str">
            <v>INE868C01018</v>
          </cell>
          <cell r="D2496" t="str">
            <v>AHMDSTE</v>
          </cell>
          <cell r="E2496">
            <v>182.028860159</v>
          </cell>
          <cell r="F2496" t="str">
            <v>-</v>
          </cell>
          <cell r="G2496" t="str">
            <v>-</v>
          </cell>
          <cell r="H2496" t="str">
            <v>-</v>
          </cell>
          <cell r="I2496" t="str">
            <v>-</v>
          </cell>
          <cell r="J2496">
            <v>182.028860159</v>
          </cell>
          <cell r="K2496" t="str">
            <v>Small Cap</v>
          </cell>
        </row>
        <row r="2497">
          <cell r="C2497" t="str">
            <v>INE558A01019</v>
          </cell>
          <cell r="D2497" t="str">
            <v>IPRINGLTD</v>
          </cell>
          <cell r="E2497">
            <v>181.81315096199998</v>
          </cell>
          <cell r="F2497" t="str">
            <v>-</v>
          </cell>
          <cell r="G2497" t="str">
            <v>-</v>
          </cell>
          <cell r="H2497" t="str">
            <v>-</v>
          </cell>
          <cell r="I2497" t="str">
            <v>-</v>
          </cell>
          <cell r="J2497">
            <v>181.81315096199998</v>
          </cell>
          <cell r="K2497" t="str">
            <v>Small Cap</v>
          </cell>
        </row>
        <row r="2498">
          <cell r="C2498" t="str">
            <v>INE00LM01029</v>
          </cell>
          <cell r="D2498" t="str">
            <v>-</v>
          </cell>
          <cell r="E2498" t="str">
            <v>-</v>
          </cell>
          <cell r="F2498" t="str">
            <v>SONAMLTD</v>
          </cell>
          <cell r="G2498">
            <v>181.60900000000001</v>
          </cell>
          <cell r="H2498" t="str">
            <v>-</v>
          </cell>
          <cell r="I2498" t="str">
            <v>-</v>
          </cell>
          <cell r="J2498">
            <v>181.60900000000001</v>
          </cell>
          <cell r="K2498" t="str">
            <v>Small Cap</v>
          </cell>
        </row>
        <row r="2499">
          <cell r="C2499" t="str">
            <v>INE104E01014</v>
          </cell>
          <cell r="D2499" t="str">
            <v>SAVERA</v>
          </cell>
          <cell r="E2499">
            <v>181.546053333</v>
          </cell>
          <cell r="F2499" t="str">
            <v>-</v>
          </cell>
          <cell r="G2499" t="str">
            <v>-</v>
          </cell>
          <cell r="H2499" t="str">
            <v>-</v>
          </cell>
          <cell r="I2499" t="str">
            <v>-</v>
          </cell>
          <cell r="J2499">
            <v>181.546053333</v>
          </cell>
          <cell r="K2499" t="str">
            <v>Small Cap</v>
          </cell>
        </row>
        <row r="2500">
          <cell r="C2500" t="str">
            <v>INE430N01022</v>
          </cell>
          <cell r="D2500" t="str">
            <v>VISHWARAJ</v>
          </cell>
          <cell r="E2500">
            <v>181.485049925</v>
          </cell>
          <cell r="F2500" t="str">
            <v>VISHWARAJ</v>
          </cell>
          <cell r="G2500">
            <v>181.4228</v>
          </cell>
          <cell r="H2500" t="str">
            <v>-</v>
          </cell>
          <cell r="I2500" t="str">
            <v>-</v>
          </cell>
          <cell r="J2500">
            <v>181.4539249625</v>
          </cell>
          <cell r="K2500" t="str">
            <v>Small Cap</v>
          </cell>
        </row>
        <row r="2501">
          <cell r="C2501" t="str">
            <v>INE454F01010</v>
          </cell>
          <cell r="D2501" t="str">
            <v>7SEASL</v>
          </cell>
          <cell r="E2501">
            <v>181.39268879799999</v>
          </cell>
          <cell r="F2501" t="str">
            <v>-</v>
          </cell>
          <cell r="G2501" t="str">
            <v>-</v>
          </cell>
          <cell r="H2501" t="str">
            <v>-</v>
          </cell>
          <cell r="I2501" t="str">
            <v>-</v>
          </cell>
          <cell r="J2501">
            <v>181.39268879799999</v>
          </cell>
          <cell r="K2501" t="str">
            <v>Small Cap</v>
          </cell>
        </row>
        <row r="2502">
          <cell r="C2502" t="str">
            <v>INE588G01021</v>
          </cell>
          <cell r="D2502" t="str">
            <v>MLKFOOD</v>
          </cell>
          <cell r="E2502">
            <v>181.31193984000001</v>
          </cell>
          <cell r="F2502" t="str">
            <v>-</v>
          </cell>
          <cell r="G2502" t="str">
            <v>-</v>
          </cell>
          <cell r="H2502" t="str">
            <v>-</v>
          </cell>
          <cell r="I2502" t="str">
            <v>-</v>
          </cell>
          <cell r="J2502">
            <v>181.31193984000001</v>
          </cell>
          <cell r="K2502" t="str">
            <v>Small Cap</v>
          </cell>
        </row>
        <row r="2503">
          <cell r="C2503" t="str">
            <v>INE837B01031</v>
          </cell>
          <cell r="D2503" t="str">
            <v>WINSOMTX</v>
          </cell>
          <cell r="E2503">
            <v>181.111542063</v>
          </cell>
          <cell r="F2503" t="str">
            <v>-</v>
          </cell>
          <cell r="G2503" t="str">
            <v>-</v>
          </cell>
          <cell r="H2503" t="str">
            <v>-</v>
          </cell>
          <cell r="I2503" t="str">
            <v>-</v>
          </cell>
          <cell r="J2503">
            <v>181.111542063</v>
          </cell>
          <cell r="K2503" t="str">
            <v>Small Cap</v>
          </cell>
        </row>
        <row r="2504">
          <cell r="C2504" t="str">
            <v>INE05MV01019</v>
          </cell>
          <cell r="D2504" t="str">
            <v>PARSHVA</v>
          </cell>
          <cell r="E2504">
            <v>181.07056601099998</v>
          </cell>
          <cell r="F2504" t="str">
            <v>-</v>
          </cell>
          <cell r="G2504" t="str">
            <v>-</v>
          </cell>
          <cell r="H2504" t="str">
            <v>-</v>
          </cell>
          <cell r="I2504" t="str">
            <v>-</v>
          </cell>
          <cell r="J2504">
            <v>181.07056601099998</v>
          </cell>
          <cell r="K2504" t="str">
            <v>Small Cap</v>
          </cell>
        </row>
        <row r="2505">
          <cell r="C2505" t="str">
            <v>INE0TGG01014</v>
          </cell>
          <cell r="D2505" t="str">
            <v>DESCO</v>
          </cell>
          <cell r="E2505">
            <v>180.242719755</v>
          </cell>
          <cell r="F2505" t="str">
            <v>-</v>
          </cell>
          <cell r="G2505" t="str">
            <v>-</v>
          </cell>
          <cell r="H2505" t="str">
            <v>-</v>
          </cell>
          <cell r="I2505" t="str">
            <v>-</v>
          </cell>
          <cell r="J2505">
            <v>180.242719755</v>
          </cell>
          <cell r="K2505" t="str">
            <v>Small Cap</v>
          </cell>
        </row>
        <row r="2506">
          <cell r="C2506" t="str">
            <v>INE611L01021</v>
          </cell>
          <cell r="D2506" t="str">
            <v>INDTERRAIN</v>
          </cell>
          <cell r="E2506">
            <v>180.75269752599999</v>
          </cell>
          <cell r="F2506" t="str">
            <v>INDTERRAIN</v>
          </cell>
          <cell r="G2506">
            <v>179.1679</v>
          </cell>
          <cell r="H2506" t="str">
            <v>-</v>
          </cell>
          <cell r="I2506" t="str">
            <v>-</v>
          </cell>
          <cell r="J2506">
            <v>179.960298763</v>
          </cell>
          <cell r="K2506" t="str">
            <v>Small Cap</v>
          </cell>
        </row>
        <row r="2507">
          <cell r="C2507" t="str">
            <v>INE561D01025</v>
          </cell>
          <cell r="D2507" t="str">
            <v>EXPOEAPL</v>
          </cell>
          <cell r="E2507">
            <v>179.92094884799999</v>
          </cell>
          <cell r="F2507" t="str">
            <v>-</v>
          </cell>
          <cell r="G2507" t="str">
            <v>-</v>
          </cell>
          <cell r="H2507" t="str">
            <v>-</v>
          </cell>
          <cell r="I2507" t="str">
            <v>-</v>
          </cell>
          <cell r="J2507">
            <v>179.92094884799999</v>
          </cell>
          <cell r="K2507" t="str">
            <v>Small Cap</v>
          </cell>
        </row>
        <row r="2508">
          <cell r="C2508" t="str">
            <v>INE505C01016</v>
          </cell>
          <cell r="D2508" t="str">
            <v>PRAENG</v>
          </cell>
          <cell r="E2508">
            <v>180.116854491</v>
          </cell>
          <cell r="F2508" t="str">
            <v>PRAENG</v>
          </cell>
          <cell r="G2508">
            <v>179.6551</v>
          </cell>
          <cell r="H2508" t="str">
            <v>-</v>
          </cell>
          <cell r="I2508" t="str">
            <v>-</v>
          </cell>
          <cell r="J2508">
            <v>179.88597724549999</v>
          </cell>
          <cell r="K2508" t="str">
            <v>Small Cap</v>
          </cell>
        </row>
        <row r="2509">
          <cell r="C2509" t="str">
            <v>INE520G01024</v>
          </cell>
          <cell r="D2509" t="str">
            <v>AXISOL</v>
          </cell>
          <cell r="E2509">
            <v>179.77814439900001</v>
          </cell>
          <cell r="F2509" t="str">
            <v>-</v>
          </cell>
          <cell r="G2509" t="str">
            <v>-</v>
          </cell>
          <cell r="H2509" t="str">
            <v>-</v>
          </cell>
          <cell r="I2509" t="str">
            <v>-</v>
          </cell>
          <cell r="J2509">
            <v>179.77814439900001</v>
          </cell>
          <cell r="K2509" t="str">
            <v>Small Cap</v>
          </cell>
        </row>
        <row r="2510">
          <cell r="C2510" t="str">
            <v>INE640B01021</v>
          </cell>
          <cell r="D2510" t="str">
            <v>HBESD</v>
          </cell>
          <cell r="E2510">
            <v>179.760103727</v>
          </cell>
          <cell r="F2510" t="str">
            <v>-</v>
          </cell>
          <cell r="G2510" t="str">
            <v>-</v>
          </cell>
          <cell r="H2510" t="str">
            <v>-</v>
          </cell>
          <cell r="I2510" t="str">
            <v>-</v>
          </cell>
          <cell r="J2510">
            <v>179.760103727</v>
          </cell>
          <cell r="K2510" t="str">
            <v>Small Cap</v>
          </cell>
        </row>
        <row r="2511">
          <cell r="C2511" t="str">
            <v>INE842D01029</v>
          </cell>
          <cell r="D2511" t="str">
            <v>BHARATAGRI</v>
          </cell>
          <cell r="E2511">
            <v>179.74009383000001</v>
          </cell>
          <cell r="F2511" t="str">
            <v>-</v>
          </cell>
          <cell r="G2511" t="str">
            <v>-</v>
          </cell>
          <cell r="H2511" t="str">
            <v>-</v>
          </cell>
          <cell r="I2511" t="str">
            <v>-</v>
          </cell>
          <cell r="J2511">
            <v>179.74009383000001</v>
          </cell>
          <cell r="K2511" t="str">
            <v>Small Cap</v>
          </cell>
        </row>
        <row r="2512">
          <cell r="C2512" t="str">
            <v>INE829S01016</v>
          </cell>
          <cell r="D2512" t="str">
            <v>MSL</v>
          </cell>
          <cell r="E2512">
            <v>179.658042349</v>
          </cell>
          <cell r="F2512" t="str">
            <v>-</v>
          </cell>
          <cell r="G2512" t="str">
            <v>-</v>
          </cell>
          <cell r="H2512" t="str">
            <v>-</v>
          </cell>
          <cell r="I2512" t="str">
            <v>-</v>
          </cell>
          <cell r="J2512">
            <v>179.658042349</v>
          </cell>
          <cell r="K2512" t="str">
            <v>Small Cap</v>
          </cell>
        </row>
        <row r="2513">
          <cell r="C2513" t="str">
            <v>INE402H01015</v>
          </cell>
          <cell r="D2513" t="str">
            <v>SHBAJRG</v>
          </cell>
          <cell r="E2513">
            <v>179.40357142900001</v>
          </cell>
          <cell r="F2513" t="str">
            <v>-</v>
          </cell>
          <cell r="G2513" t="str">
            <v>-</v>
          </cell>
          <cell r="H2513" t="str">
            <v>-</v>
          </cell>
          <cell r="I2513" t="str">
            <v>-</v>
          </cell>
          <cell r="J2513">
            <v>179.40357142900001</v>
          </cell>
          <cell r="K2513" t="str">
            <v>Small Cap</v>
          </cell>
        </row>
        <row r="2514">
          <cell r="C2514" t="str">
            <v>INE948G01019</v>
          </cell>
          <cell r="D2514" t="str">
            <v>SBECSUG</v>
          </cell>
          <cell r="E2514">
            <v>179.10294772099999</v>
          </cell>
          <cell r="F2514" t="str">
            <v>-</v>
          </cell>
          <cell r="G2514" t="str">
            <v>-</v>
          </cell>
          <cell r="H2514" t="str">
            <v>-</v>
          </cell>
          <cell r="I2514" t="str">
            <v>-</v>
          </cell>
          <cell r="J2514">
            <v>179.10294772099999</v>
          </cell>
          <cell r="K2514" t="str">
            <v>Small Cap</v>
          </cell>
        </row>
        <row r="2515">
          <cell r="C2515" t="str">
            <v>INE534E01020</v>
          </cell>
          <cell r="D2515" t="str">
            <v>KEIL</v>
          </cell>
          <cell r="E2515">
            <v>179.04492532899999</v>
          </cell>
          <cell r="F2515" t="str">
            <v>-</v>
          </cell>
          <cell r="G2515" t="str">
            <v>-</v>
          </cell>
          <cell r="H2515" t="str">
            <v>-</v>
          </cell>
          <cell r="I2515" t="str">
            <v>-</v>
          </cell>
          <cell r="J2515">
            <v>179.04492532899999</v>
          </cell>
          <cell r="K2515" t="str">
            <v>Small Cap</v>
          </cell>
        </row>
        <row r="2516">
          <cell r="C2516" t="str">
            <v>INE572G01025</v>
          </cell>
          <cell r="D2516" t="str">
            <v>LANCORHOL</v>
          </cell>
          <cell r="E2516">
            <v>178.08074621400002</v>
          </cell>
          <cell r="F2516" t="str">
            <v>LANCORHOL</v>
          </cell>
          <cell r="G2516">
            <v>177.5752</v>
          </cell>
          <cell r="H2516" t="str">
            <v>-</v>
          </cell>
          <cell r="I2516" t="str">
            <v>-</v>
          </cell>
          <cell r="J2516">
            <v>177.82797310699999</v>
          </cell>
          <cell r="K2516" t="str">
            <v>Small Cap</v>
          </cell>
        </row>
        <row r="2517">
          <cell r="C2517" t="str">
            <v>INE590L01019</v>
          </cell>
          <cell r="D2517" t="str">
            <v>VASWANI</v>
          </cell>
          <cell r="E2517">
            <v>177.484654855</v>
          </cell>
          <cell r="F2517" t="str">
            <v>VASWANI</v>
          </cell>
          <cell r="G2517">
            <v>177.1371</v>
          </cell>
          <cell r="H2517" t="str">
            <v>-</v>
          </cell>
          <cell r="I2517" t="str">
            <v>-</v>
          </cell>
          <cell r="J2517">
            <v>177.3108774275</v>
          </cell>
          <cell r="K2517" t="str">
            <v>Small Cap</v>
          </cell>
        </row>
        <row r="2518">
          <cell r="C2518" t="str">
            <v>INE754X01016</v>
          </cell>
          <cell r="D2518" t="str">
            <v>-</v>
          </cell>
          <cell r="E2518" t="str">
            <v>-</v>
          </cell>
          <cell r="F2518" t="str">
            <v>AARVI</v>
          </cell>
          <cell r="G2518">
            <v>177.2833</v>
          </cell>
          <cell r="H2518" t="str">
            <v>-</v>
          </cell>
          <cell r="I2518" t="str">
            <v>-</v>
          </cell>
          <cell r="J2518">
            <v>177.2833</v>
          </cell>
          <cell r="K2518" t="str">
            <v>Small Cap</v>
          </cell>
        </row>
        <row r="2519">
          <cell r="C2519" t="str">
            <v>INE498D01012</v>
          </cell>
          <cell r="D2519" t="str">
            <v>DECANBRG</v>
          </cell>
          <cell r="E2519">
            <v>177.160921446</v>
          </cell>
          <cell r="F2519" t="str">
            <v>-</v>
          </cell>
          <cell r="G2519" t="str">
            <v>-</v>
          </cell>
          <cell r="H2519" t="str">
            <v>-</v>
          </cell>
          <cell r="I2519" t="str">
            <v>-</v>
          </cell>
          <cell r="J2519">
            <v>177.160921446</v>
          </cell>
          <cell r="K2519" t="str">
            <v>Small Cap</v>
          </cell>
        </row>
        <row r="2520">
          <cell r="C2520" t="str">
            <v>INE712B01010</v>
          </cell>
          <cell r="D2520" t="str">
            <v>SUPERHOUSE</v>
          </cell>
          <cell r="E2520">
            <v>176.89656249999999</v>
          </cell>
          <cell r="F2520" t="str">
            <v>SUPERHOUSE</v>
          </cell>
          <cell r="G2520">
            <v>177.01339999999999</v>
          </cell>
          <cell r="H2520" t="str">
            <v>-</v>
          </cell>
          <cell r="I2520" t="str">
            <v>-</v>
          </cell>
          <cell r="J2520">
            <v>176.95498125</v>
          </cell>
          <cell r="K2520" t="str">
            <v>Small Cap</v>
          </cell>
        </row>
        <row r="2521">
          <cell r="C2521" t="str">
            <v>INE081G01019</v>
          </cell>
          <cell r="D2521" t="str">
            <v>KANCHI</v>
          </cell>
          <cell r="E2521">
            <v>176.66087567100001</v>
          </cell>
          <cell r="F2521" t="str">
            <v>-</v>
          </cell>
          <cell r="G2521" t="str">
            <v>-</v>
          </cell>
          <cell r="H2521" t="str">
            <v>-</v>
          </cell>
          <cell r="I2521" t="str">
            <v>-</v>
          </cell>
          <cell r="J2521">
            <v>176.66087567100001</v>
          </cell>
          <cell r="K2521" t="str">
            <v>Small Cap</v>
          </cell>
        </row>
        <row r="2522">
          <cell r="C2522" t="str">
            <v>INE072V01017</v>
          </cell>
          <cell r="D2522" t="str">
            <v>AMBARPIL</v>
          </cell>
          <cell r="E2522">
            <v>176.37623015899999</v>
          </cell>
          <cell r="F2522" t="str">
            <v>-</v>
          </cell>
          <cell r="G2522" t="str">
            <v>-</v>
          </cell>
          <cell r="H2522" t="str">
            <v>-</v>
          </cell>
          <cell r="I2522" t="str">
            <v>-</v>
          </cell>
          <cell r="J2522">
            <v>176.37623015899999</v>
          </cell>
          <cell r="K2522" t="str">
            <v>Small Cap</v>
          </cell>
        </row>
        <row r="2523">
          <cell r="C2523" t="str">
            <v>INE403C01014</v>
          </cell>
          <cell r="D2523" t="str">
            <v>INTLCOMBQ</v>
          </cell>
          <cell r="E2523">
            <v>176.001902718</v>
          </cell>
          <cell r="F2523" t="str">
            <v>-</v>
          </cell>
          <cell r="G2523" t="str">
            <v>-</v>
          </cell>
          <cell r="H2523" t="str">
            <v>-</v>
          </cell>
          <cell r="I2523" t="str">
            <v>-</v>
          </cell>
          <cell r="J2523">
            <v>176.001902718</v>
          </cell>
          <cell r="K2523" t="str">
            <v>Small Cap</v>
          </cell>
        </row>
        <row r="2524">
          <cell r="C2524" t="str">
            <v>INE165B01029</v>
          </cell>
          <cell r="D2524" t="str">
            <v>RSSOFTWARE</v>
          </cell>
          <cell r="E2524">
            <v>175.810707229</v>
          </cell>
          <cell r="F2524" t="str">
            <v>RSSOFTWARE</v>
          </cell>
          <cell r="G2524">
            <v>175.94229999999999</v>
          </cell>
          <cell r="H2524" t="str">
            <v>-</v>
          </cell>
          <cell r="I2524" t="str">
            <v>-</v>
          </cell>
          <cell r="J2524">
            <v>175.8765036145</v>
          </cell>
          <cell r="K2524" t="str">
            <v>Small Cap</v>
          </cell>
        </row>
        <row r="2525">
          <cell r="C2525" t="str">
            <v>INE412D01013</v>
          </cell>
          <cell r="D2525" t="str">
            <v>APOLLOFI</v>
          </cell>
          <cell r="E2525">
            <v>175.87460157300001</v>
          </cell>
          <cell r="F2525" t="str">
            <v>-</v>
          </cell>
          <cell r="G2525" t="str">
            <v>-</v>
          </cell>
          <cell r="H2525" t="str">
            <v>-</v>
          </cell>
          <cell r="I2525" t="str">
            <v>-</v>
          </cell>
          <cell r="J2525">
            <v>175.87460157300001</v>
          </cell>
          <cell r="K2525" t="str">
            <v>Small Cap</v>
          </cell>
        </row>
        <row r="2526">
          <cell r="C2526" t="str">
            <v>INE298W01016</v>
          </cell>
          <cell r="D2526" t="str">
            <v>CHEMCRUX</v>
          </cell>
          <cell r="E2526">
            <v>174.43696980499999</v>
          </cell>
          <cell r="F2526" t="str">
            <v>-</v>
          </cell>
          <cell r="G2526" t="str">
            <v>-</v>
          </cell>
          <cell r="H2526" t="str">
            <v>-</v>
          </cell>
          <cell r="I2526" t="str">
            <v>-</v>
          </cell>
          <cell r="J2526">
            <v>174.43696980499999</v>
          </cell>
          <cell r="K2526" t="str">
            <v>Small Cap</v>
          </cell>
        </row>
        <row r="2527">
          <cell r="C2527" t="str">
            <v>INE222U01010</v>
          </cell>
          <cell r="D2527" t="str">
            <v>GOLDENCREST</v>
          </cell>
          <cell r="E2527">
            <v>174.423931944</v>
          </cell>
          <cell r="F2527" t="str">
            <v>-</v>
          </cell>
          <cell r="G2527" t="str">
            <v>-</v>
          </cell>
          <cell r="H2527" t="str">
            <v>-</v>
          </cell>
          <cell r="I2527" t="str">
            <v>-</v>
          </cell>
          <cell r="J2527">
            <v>174.423931944</v>
          </cell>
          <cell r="K2527" t="str">
            <v>Small Cap</v>
          </cell>
        </row>
        <row r="2528">
          <cell r="C2528" t="str">
            <v>INE479A01018</v>
          </cell>
          <cell r="D2528" t="str">
            <v>CAPRIHANS</v>
          </cell>
          <cell r="E2528">
            <v>174.04538199000001</v>
          </cell>
          <cell r="F2528" t="str">
            <v>-</v>
          </cell>
          <cell r="G2528" t="str">
            <v>-</v>
          </cell>
          <cell r="H2528" t="str">
            <v>-</v>
          </cell>
          <cell r="I2528" t="str">
            <v>-</v>
          </cell>
          <cell r="J2528">
            <v>174.04538199000001</v>
          </cell>
          <cell r="K2528" t="str">
            <v>Small Cap</v>
          </cell>
        </row>
        <row r="2529">
          <cell r="C2529" t="str">
            <v>INE385D01029</v>
          </cell>
          <cell r="D2529" t="str">
            <v>TAHMARENT</v>
          </cell>
          <cell r="E2529">
            <v>173.82339822200001</v>
          </cell>
          <cell r="F2529" t="str">
            <v>-</v>
          </cell>
          <cell r="G2529" t="str">
            <v>-</v>
          </cell>
          <cell r="H2529" t="str">
            <v>-</v>
          </cell>
          <cell r="I2529" t="str">
            <v>-</v>
          </cell>
          <cell r="J2529">
            <v>173.82339822200001</v>
          </cell>
          <cell r="K2529" t="str">
            <v>Small Cap</v>
          </cell>
        </row>
        <row r="2530">
          <cell r="C2530" t="str">
            <v>INE737E01011</v>
          </cell>
          <cell r="D2530" t="str">
            <v>SOMAPPR</v>
          </cell>
          <cell r="E2530">
            <v>173.82131995699999</v>
          </cell>
          <cell r="F2530" t="str">
            <v>-</v>
          </cell>
          <cell r="G2530" t="str">
            <v>-</v>
          </cell>
          <cell r="H2530" t="str">
            <v>-</v>
          </cell>
          <cell r="I2530" t="str">
            <v>-</v>
          </cell>
          <cell r="J2530">
            <v>173.82131995699999</v>
          </cell>
          <cell r="K2530" t="str">
            <v>Small Cap</v>
          </cell>
        </row>
        <row r="2531">
          <cell r="C2531" t="str">
            <v>INE558D01021</v>
          </cell>
          <cell r="D2531" t="str">
            <v>CORALFINAC</v>
          </cell>
          <cell r="E2531">
            <v>173.769760125</v>
          </cell>
          <cell r="F2531" t="str">
            <v>CORALFINAC</v>
          </cell>
          <cell r="G2531">
            <v>173.72499999999999</v>
          </cell>
          <cell r="H2531" t="str">
            <v>-</v>
          </cell>
          <cell r="I2531" t="str">
            <v>-</v>
          </cell>
          <cell r="J2531">
            <v>173.74738006249999</v>
          </cell>
          <cell r="K2531" t="str">
            <v>Small Cap</v>
          </cell>
        </row>
        <row r="2532">
          <cell r="C2532" t="str">
            <v>INE052001026</v>
          </cell>
          <cell r="D2532" t="str">
            <v>SHAHLON</v>
          </cell>
          <cell r="E2532">
            <v>173.739333974</v>
          </cell>
          <cell r="F2532" t="str">
            <v>-</v>
          </cell>
          <cell r="G2532" t="str">
            <v>-</v>
          </cell>
          <cell r="H2532" t="str">
            <v>-</v>
          </cell>
          <cell r="I2532" t="str">
            <v>-</v>
          </cell>
          <cell r="J2532">
            <v>173.739333974</v>
          </cell>
          <cell r="K2532" t="str">
            <v>Small Cap</v>
          </cell>
        </row>
        <row r="2533">
          <cell r="C2533" t="str">
            <v>INE043C01018</v>
          </cell>
          <cell r="D2533" t="str">
            <v>IVP</v>
          </cell>
          <cell r="E2533">
            <v>173.68569479800001</v>
          </cell>
          <cell r="F2533" t="str">
            <v>IVP</v>
          </cell>
          <cell r="G2533">
            <v>173.5377</v>
          </cell>
          <cell r="H2533" t="str">
            <v>-</v>
          </cell>
          <cell r="I2533" t="str">
            <v>-</v>
          </cell>
          <cell r="J2533">
            <v>173.61169739900001</v>
          </cell>
          <cell r="K2533" t="str">
            <v>Small Cap</v>
          </cell>
        </row>
        <row r="2534">
          <cell r="C2534" t="str">
            <v>INE594B01012</v>
          </cell>
          <cell r="D2534" t="str">
            <v>BSL</v>
          </cell>
          <cell r="E2534">
            <v>173.068114372</v>
          </cell>
          <cell r="F2534" t="str">
            <v>BSL</v>
          </cell>
          <cell r="G2534">
            <v>172.78280000000001</v>
          </cell>
          <cell r="H2534" t="str">
            <v>-</v>
          </cell>
          <cell r="I2534" t="str">
            <v>-</v>
          </cell>
          <cell r="J2534">
            <v>172.92545718600002</v>
          </cell>
          <cell r="K2534" t="str">
            <v>Small Cap</v>
          </cell>
        </row>
        <row r="2535">
          <cell r="C2535" t="str">
            <v>INE186R01013</v>
          </cell>
          <cell r="D2535" t="str">
            <v>OSIAJEE</v>
          </cell>
          <cell r="E2535">
            <v>172.59835714300002</v>
          </cell>
          <cell r="F2535" t="str">
            <v>-</v>
          </cell>
          <cell r="G2535" t="str">
            <v>-</v>
          </cell>
          <cell r="H2535" t="str">
            <v>-</v>
          </cell>
          <cell r="I2535" t="str">
            <v>-</v>
          </cell>
          <cell r="J2535">
            <v>172.59835714300002</v>
          </cell>
          <cell r="K2535" t="str">
            <v>Small Cap</v>
          </cell>
        </row>
        <row r="2536">
          <cell r="C2536" t="str">
            <v>INE864E01021</v>
          </cell>
          <cell r="D2536" t="str">
            <v>AAIL</v>
          </cell>
          <cell r="E2536">
            <v>172.40952362499999</v>
          </cell>
          <cell r="F2536" t="str">
            <v>-</v>
          </cell>
          <cell r="G2536" t="str">
            <v>-</v>
          </cell>
          <cell r="H2536" t="str">
            <v>-</v>
          </cell>
          <cell r="I2536" t="str">
            <v>-</v>
          </cell>
          <cell r="J2536">
            <v>172.40952362499999</v>
          </cell>
          <cell r="K2536" t="str">
            <v>Small Cap</v>
          </cell>
        </row>
        <row r="2537">
          <cell r="C2537" t="str">
            <v>INE314D01011</v>
          </cell>
          <cell r="D2537" t="str">
            <v>TIRUSTA</v>
          </cell>
          <cell r="E2537">
            <v>172.33923022499999</v>
          </cell>
          <cell r="F2537" t="str">
            <v>-</v>
          </cell>
          <cell r="G2537" t="str">
            <v>-</v>
          </cell>
          <cell r="H2537" t="str">
            <v>-</v>
          </cell>
          <cell r="I2537" t="str">
            <v>-</v>
          </cell>
          <cell r="J2537">
            <v>172.33923022499999</v>
          </cell>
          <cell r="K2537" t="str">
            <v>Small Cap</v>
          </cell>
        </row>
        <row r="2538">
          <cell r="C2538" t="str">
            <v>INE413B01023</v>
          </cell>
          <cell r="D2538" t="str">
            <v>RUCHINFRA</v>
          </cell>
          <cell r="E2538">
            <v>172.092154139</v>
          </cell>
          <cell r="F2538" t="str">
            <v>RUCHINFRA</v>
          </cell>
          <cell r="G2538">
            <v>171.91980000000001</v>
          </cell>
          <cell r="H2538" t="str">
            <v>-</v>
          </cell>
          <cell r="I2538" t="str">
            <v>-</v>
          </cell>
          <cell r="J2538">
            <v>172.00597706950001</v>
          </cell>
          <cell r="K2538" t="str">
            <v>Small Cap</v>
          </cell>
        </row>
        <row r="2539">
          <cell r="C2539" t="str">
            <v>INE321D01016</v>
          </cell>
          <cell r="D2539" t="str">
            <v>AGVENTURES</v>
          </cell>
          <cell r="E2539">
            <v>171.44821460200001</v>
          </cell>
          <cell r="F2539" t="str">
            <v>-</v>
          </cell>
          <cell r="G2539" t="str">
            <v>-</v>
          </cell>
          <cell r="H2539" t="str">
            <v>-</v>
          </cell>
          <cell r="I2539" t="str">
            <v>-</v>
          </cell>
          <cell r="J2539">
            <v>171.44821460200001</v>
          </cell>
          <cell r="K2539" t="str">
            <v>Small Cap</v>
          </cell>
        </row>
        <row r="2540">
          <cell r="C2540" t="str">
            <v>INE919M01026</v>
          </cell>
          <cell r="D2540" t="str">
            <v>AXENTRA</v>
          </cell>
          <cell r="E2540">
            <v>171.27484523800001</v>
          </cell>
          <cell r="F2540" t="str">
            <v>-</v>
          </cell>
          <cell r="G2540" t="str">
            <v>-</v>
          </cell>
          <cell r="H2540" t="str">
            <v>-</v>
          </cell>
          <cell r="I2540" t="str">
            <v>-</v>
          </cell>
          <cell r="J2540">
            <v>171.27484523800001</v>
          </cell>
          <cell r="K2540" t="str">
            <v>Small Cap</v>
          </cell>
        </row>
        <row r="2541">
          <cell r="C2541" t="str">
            <v>INE0M3X01010</v>
          </cell>
          <cell r="D2541" t="str">
            <v>NISMGMT</v>
          </cell>
          <cell r="E2541">
            <v>171.18087773299999</v>
          </cell>
          <cell r="F2541" t="str">
            <v>-</v>
          </cell>
          <cell r="G2541" t="str">
            <v>-</v>
          </cell>
          <cell r="H2541" t="str">
            <v>-</v>
          </cell>
          <cell r="I2541" t="str">
            <v>-</v>
          </cell>
          <cell r="J2541">
            <v>171.18087773299999</v>
          </cell>
          <cell r="K2541" t="str">
            <v>Small Cap</v>
          </cell>
        </row>
        <row r="2542">
          <cell r="C2542" t="str">
            <v>INE491V01019</v>
          </cell>
          <cell r="D2542" t="str">
            <v>-</v>
          </cell>
          <cell r="E2542" t="str">
            <v>-</v>
          </cell>
          <cell r="F2542" t="str">
            <v>CROWN</v>
          </cell>
          <cell r="G2542">
            <v>170.9674</v>
          </cell>
          <cell r="H2542" t="str">
            <v>-</v>
          </cell>
          <cell r="I2542" t="str">
            <v>-</v>
          </cell>
          <cell r="J2542">
            <v>170.9674</v>
          </cell>
          <cell r="K2542" t="str">
            <v>Small Cap</v>
          </cell>
        </row>
        <row r="2543">
          <cell r="C2543" t="str">
            <v>INE077P01034</v>
          </cell>
          <cell r="D2543" t="str">
            <v>THACKER</v>
          </cell>
          <cell r="E2543">
            <v>170.92709877499999</v>
          </cell>
          <cell r="F2543" t="str">
            <v>-</v>
          </cell>
          <cell r="G2543" t="str">
            <v>-</v>
          </cell>
          <cell r="H2543" t="str">
            <v>-</v>
          </cell>
          <cell r="I2543" t="str">
            <v>-</v>
          </cell>
          <cell r="J2543">
            <v>170.92709877499999</v>
          </cell>
          <cell r="K2543" t="str">
            <v>Small Cap</v>
          </cell>
        </row>
        <row r="2544">
          <cell r="C2544" t="str">
            <v>INE0TG901011</v>
          </cell>
          <cell r="D2544" t="str">
            <v>ASTONEALAB</v>
          </cell>
          <cell r="E2544">
            <v>170.61104833299999</v>
          </cell>
          <cell r="F2544" t="str">
            <v>-</v>
          </cell>
          <cell r="G2544" t="str">
            <v>-</v>
          </cell>
          <cell r="H2544" t="str">
            <v>-</v>
          </cell>
          <cell r="I2544" t="str">
            <v>-</v>
          </cell>
          <cell r="J2544">
            <v>170.61104833299999</v>
          </cell>
          <cell r="K2544" t="str">
            <v>Small Cap</v>
          </cell>
        </row>
        <row r="2545">
          <cell r="C2545" t="str">
            <v>INE340F01011</v>
          </cell>
          <cell r="D2545" t="str">
            <v>DUNCANENG</v>
          </cell>
          <cell r="E2545">
            <v>170.27384000000001</v>
          </cell>
          <cell r="F2545" t="str">
            <v>-</v>
          </cell>
          <cell r="G2545" t="str">
            <v>-</v>
          </cell>
          <cell r="H2545" t="str">
            <v>-</v>
          </cell>
          <cell r="I2545" t="str">
            <v>-</v>
          </cell>
          <cell r="J2545">
            <v>170.27384000000001</v>
          </cell>
          <cell r="K2545" t="str">
            <v>Small Cap</v>
          </cell>
        </row>
        <row r="2546">
          <cell r="C2546" t="str">
            <v>INE223R01014</v>
          </cell>
          <cell r="D2546" t="str">
            <v>NAPL</v>
          </cell>
          <cell r="E2546">
            <v>170.26745079400001</v>
          </cell>
          <cell r="F2546" t="str">
            <v>-</v>
          </cell>
          <cell r="G2546" t="str">
            <v>-</v>
          </cell>
          <cell r="H2546" t="str">
            <v>-</v>
          </cell>
          <cell r="I2546" t="str">
            <v>-</v>
          </cell>
          <cell r="J2546">
            <v>170.26745079400001</v>
          </cell>
          <cell r="K2546" t="str">
            <v>Small Cap</v>
          </cell>
        </row>
        <row r="2547">
          <cell r="C2547" t="str">
            <v>INE0QUV01010</v>
          </cell>
          <cell r="D2547" t="str">
            <v>SATTRIX</v>
          </cell>
          <cell r="E2547">
            <v>170.14544444399999</v>
          </cell>
          <cell r="F2547" t="str">
            <v>-</v>
          </cell>
          <cell r="G2547" t="str">
            <v>-</v>
          </cell>
          <cell r="H2547" t="str">
            <v>-</v>
          </cell>
          <cell r="I2547" t="str">
            <v>-</v>
          </cell>
          <cell r="J2547">
            <v>170.14544444399999</v>
          </cell>
          <cell r="K2547" t="str">
            <v>Small Cap</v>
          </cell>
        </row>
        <row r="2548">
          <cell r="C2548" t="str">
            <v>INE325G01010</v>
          </cell>
          <cell r="D2548" t="str">
            <v>AVAILFC</v>
          </cell>
          <cell r="E2548">
            <v>169.860831937</v>
          </cell>
          <cell r="F2548" t="str">
            <v>-</v>
          </cell>
          <cell r="G2548" t="str">
            <v>-</v>
          </cell>
          <cell r="H2548" t="str">
            <v>-</v>
          </cell>
          <cell r="I2548" t="str">
            <v>-</v>
          </cell>
          <cell r="J2548">
            <v>169.860831937</v>
          </cell>
          <cell r="K2548" t="str">
            <v>Small Cap</v>
          </cell>
        </row>
        <row r="2549">
          <cell r="C2549" t="str">
            <v>INE080A01014</v>
          </cell>
          <cell r="D2549" t="str">
            <v>WEIZMANIND</v>
          </cell>
          <cell r="E2549">
            <v>169.952185555</v>
          </cell>
          <cell r="F2549" t="str">
            <v>WEIZMANIND</v>
          </cell>
          <cell r="G2549">
            <v>169.5856</v>
          </cell>
          <cell r="H2549" t="str">
            <v>-</v>
          </cell>
          <cell r="I2549" t="str">
            <v>-</v>
          </cell>
          <cell r="J2549">
            <v>169.76889277750001</v>
          </cell>
          <cell r="K2549" t="str">
            <v>Small Cap</v>
          </cell>
        </row>
        <row r="2550">
          <cell r="C2550" t="str">
            <v>INE0JZS01010</v>
          </cell>
          <cell r="D2550" t="str">
            <v>SVJ</v>
          </cell>
          <cell r="E2550">
            <v>169.729357857</v>
          </cell>
          <cell r="F2550" t="str">
            <v>-</v>
          </cell>
          <cell r="G2550" t="str">
            <v>-</v>
          </cell>
          <cell r="H2550" t="str">
            <v>-</v>
          </cell>
          <cell r="I2550" t="str">
            <v>-</v>
          </cell>
          <cell r="J2550">
            <v>169.729357857</v>
          </cell>
          <cell r="K2550" t="str">
            <v>Small Cap</v>
          </cell>
        </row>
        <row r="2551">
          <cell r="C2551" t="str">
            <v>INE323J01019</v>
          </cell>
          <cell r="D2551" t="str">
            <v>SOMICONVEY</v>
          </cell>
          <cell r="E2551">
            <v>169.70604488699999</v>
          </cell>
          <cell r="F2551" t="str">
            <v>SOMICONVEY</v>
          </cell>
          <cell r="G2551">
            <v>169.40889999999999</v>
          </cell>
          <cell r="H2551" t="str">
            <v>-</v>
          </cell>
          <cell r="I2551" t="str">
            <v>-</v>
          </cell>
          <cell r="J2551">
            <v>169.55747244349999</v>
          </cell>
          <cell r="K2551" t="str">
            <v>Small Cap</v>
          </cell>
        </row>
        <row r="2552">
          <cell r="C2552" t="str">
            <v>INE687B01014</v>
          </cell>
          <cell r="D2552" t="str">
            <v>KHODAY</v>
          </cell>
          <cell r="E2552">
            <v>169.38145800000001</v>
          </cell>
          <cell r="F2552" t="str">
            <v>-</v>
          </cell>
          <cell r="G2552" t="str">
            <v>-</v>
          </cell>
          <cell r="H2552" t="str">
            <v>-</v>
          </cell>
          <cell r="I2552" t="str">
            <v>-</v>
          </cell>
          <cell r="J2552">
            <v>169.38145800000001</v>
          </cell>
          <cell r="K2552" t="str">
            <v>Small Cap</v>
          </cell>
        </row>
        <row r="2553">
          <cell r="C2553" t="str">
            <v>INE382T01030</v>
          </cell>
          <cell r="D2553" t="str">
            <v>-</v>
          </cell>
          <cell r="E2553" t="str">
            <v>-</v>
          </cell>
          <cell r="F2553" t="str">
            <v>GVPTECH</v>
          </cell>
          <cell r="G2553">
            <v>168.7277</v>
          </cell>
          <cell r="H2553" t="str">
            <v>-</v>
          </cell>
          <cell r="I2553" t="str">
            <v>-</v>
          </cell>
          <cell r="J2553">
            <v>168.7277</v>
          </cell>
          <cell r="K2553" t="str">
            <v>Small Cap</v>
          </cell>
        </row>
        <row r="2554">
          <cell r="C2554" t="str">
            <v>INE340U01010</v>
          </cell>
          <cell r="D2554" t="str">
            <v>AUTOINT</v>
          </cell>
          <cell r="E2554">
            <v>168.5396944</v>
          </cell>
          <cell r="F2554" t="str">
            <v>-</v>
          </cell>
          <cell r="G2554" t="str">
            <v>-</v>
          </cell>
          <cell r="H2554" t="str">
            <v>-</v>
          </cell>
          <cell r="I2554" t="str">
            <v>-</v>
          </cell>
          <cell r="J2554">
            <v>168.5396944</v>
          </cell>
          <cell r="K2554" t="str">
            <v>Small Cap</v>
          </cell>
        </row>
        <row r="2555">
          <cell r="C2555" t="str">
            <v>INE0NYN01016</v>
          </cell>
          <cell r="D2555" t="str">
            <v>RESGEN</v>
          </cell>
          <cell r="E2555">
            <v>168.30506468299998</v>
          </cell>
          <cell r="F2555" t="str">
            <v>-</v>
          </cell>
          <cell r="G2555" t="str">
            <v>-</v>
          </cell>
          <cell r="H2555" t="str">
            <v>-</v>
          </cell>
          <cell r="I2555" t="str">
            <v>-</v>
          </cell>
          <cell r="J2555">
            <v>168.30506468299998</v>
          </cell>
          <cell r="K2555" t="str">
            <v>Small Cap</v>
          </cell>
        </row>
        <row r="2556">
          <cell r="C2556" t="str">
            <v>INE0N0Y01013</v>
          </cell>
          <cell r="D2556" t="str">
            <v>USK</v>
          </cell>
          <cell r="E2556">
            <v>168.29449852799999</v>
          </cell>
          <cell r="F2556" t="str">
            <v>USK</v>
          </cell>
          <cell r="G2556">
            <v>168.13679999999999</v>
          </cell>
          <cell r="H2556" t="str">
            <v>-</v>
          </cell>
          <cell r="I2556" t="str">
            <v>-</v>
          </cell>
          <cell r="J2556">
            <v>168.21564926399998</v>
          </cell>
          <cell r="K2556" t="str">
            <v>Small Cap</v>
          </cell>
        </row>
        <row r="2557">
          <cell r="C2557" t="str">
            <v>INE716D01033</v>
          </cell>
          <cell r="D2557" t="str">
            <v>CRSL</v>
          </cell>
          <cell r="E2557">
            <v>167.622394528</v>
          </cell>
          <cell r="F2557" t="str">
            <v>-</v>
          </cell>
          <cell r="G2557" t="str">
            <v>-</v>
          </cell>
          <cell r="H2557" t="str">
            <v>-</v>
          </cell>
          <cell r="I2557" t="str">
            <v>-</v>
          </cell>
          <cell r="J2557">
            <v>167.622394528</v>
          </cell>
          <cell r="K2557" t="str">
            <v>Small Cap</v>
          </cell>
        </row>
        <row r="2558">
          <cell r="C2558" t="str">
            <v>INE794W01014</v>
          </cell>
          <cell r="D2558" t="str">
            <v>MODTHREAD</v>
          </cell>
          <cell r="E2558">
            <v>168.504969733</v>
          </cell>
          <cell r="F2558" t="str">
            <v>MODTHREAD</v>
          </cell>
          <cell r="G2558">
            <v>165.9675</v>
          </cell>
          <cell r="H2558" t="str">
            <v>-</v>
          </cell>
          <cell r="I2558" t="str">
            <v>-</v>
          </cell>
          <cell r="J2558">
            <v>167.23623486650001</v>
          </cell>
          <cell r="K2558" t="str">
            <v>Small Cap</v>
          </cell>
        </row>
        <row r="2559">
          <cell r="C2559" t="str">
            <v>INE263W01010</v>
          </cell>
          <cell r="D2559" t="str">
            <v>-</v>
          </cell>
          <cell r="E2559" t="str">
            <v>-</v>
          </cell>
          <cell r="F2559" t="str">
            <v>MAHESHWARI</v>
          </cell>
          <cell r="G2559">
            <v>167.17410000000001</v>
          </cell>
          <cell r="H2559" t="str">
            <v>-</v>
          </cell>
          <cell r="I2559" t="str">
            <v>-</v>
          </cell>
          <cell r="J2559">
            <v>167.17410000000001</v>
          </cell>
          <cell r="K2559" t="str">
            <v>Small Cap</v>
          </cell>
        </row>
        <row r="2560">
          <cell r="C2560" t="str">
            <v>INE786W01010</v>
          </cell>
          <cell r="D2560" t="str">
            <v>-</v>
          </cell>
          <cell r="E2560" t="str">
            <v>-</v>
          </cell>
          <cell r="F2560" t="str">
            <v>RKEC</v>
          </cell>
          <cell r="G2560">
            <v>165.8485</v>
          </cell>
          <cell r="H2560" t="str">
            <v>-</v>
          </cell>
          <cell r="I2560" t="str">
            <v>-</v>
          </cell>
          <cell r="J2560">
            <v>165.8485</v>
          </cell>
          <cell r="K2560" t="str">
            <v>Small Cap</v>
          </cell>
        </row>
        <row r="2561">
          <cell r="C2561" t="str">
            <v>INE750R01016</v>
          </cell>
          <cell r="D2561" t="str">
            <v>AARNAV</v>
          </cell>
          <cell r="E2561">
            <v>165.409149066</v>
          </cell>
          <cell r="F2561" t="str">
            <v>-</v>
          </cell>
          <cell r="G2561" t="str">
            <v>-</v>
          </cell>
          <cell r="H2561" t="str">
            <v>-</v>
          </cell>
          <cell r="I2561" t="str">
            <v>-</v>
          </cell>
          <cell r="J2561">
            <v>165.409149066</v>
          </cell>
          <cell r="K2561" t="str">
            <v>Small Cap</v>
          </cell>
        </row>
        <row r="2562">
          <cell r="C2562" t="str">
            <v>INE529F01035</v>
          </cell>
          <cell r="D2562" t="str">
            <v>SIGIND</v>
          </cell>
          <cell r="E2562">
            <v>165.53803499200001</v>
          </cell>
          <cell r="F2562" t="str">
            <v>SIGIND</v>
          </cell>
          <cell r="G2562">
            <v>165.1874</v>
          </cell>
          <cell r="H2562" t="str">
            <v>-</v>
          </cell>
          <cell r="I2562" t="str">
            <v>-</v>
          </cell>
          <cell r="J2562">
            <v>165.36271749600002</v>
          </cell>
          <cell r="K2562" t="str">
            <v>Small Cap</v>
          </cell>
        </row>
        <row r="2563">
          <cell r="C2563" t="str">
            <v>INE741L01018</v>
          </cell>
          <cell r="D2563" t="str">
            <v>DUCON</v>
          </cell>
          <cell r="E2563">
            <v>165.36391481300001</v>
          </cell>
          <cell r="F2563" t="str">
            <v>DUCON</v>
          </cell>
          <cell r="G2563">
            <v>165.22980000000001</v>
          </cell>
          <cell r="H2563" t="str">
            <v>-</v>
          </cell>
          <cell r="I2563" t="str">
            <v>-</v>
          </cell>
          <cell r="J2563">
            <v>165.29685740650001</v>
          </cell>
          <cell r="K2563" t="str">
            <v>Small Cap</v>
          </cell>
        </row>
        <row r="2564">
          <cell r="C2564" t="str">
            <v>INE848M01019</v>
          </cell>
          <cell r="D2564" t="str">
            <v>MAPROIN</v>
          </cell>
          <cell r="E2564">
            <v>164.98871638599999</v>
          </cell>
          <cell r="F2564" t="str">
            <v>-</v>
          </cell>
          <cell r="G2564" t="str">
            <v>-</v>
          </cell>
          <cell r="H2564" t="str">
            <v>-</v>
          </cell>
          <cell r="I2564" t="str">
            <v>-</v>
          </cell>
          <cell r="J2564">
            <v>164.98871638599999</v>
          </cell>
          <cell r="K2564" t="str">
            <v>Small Cap</v>
          </cell>
        </row>
        <row r="2565">
          <cell r="C2565" t="str">
            <v>INE915K01010</v>
          </cell>
          <cell r="D2565" t="str">
            <v>AHLWEST</v>
          </cell>
          <cell r="E2565">
            <v>164.57334125</v>
          </cell>
          <cell r="F2565" t="str">
            <v>-</v>
          </cell>
          <cell r="G2565" t="str">
            <v>-</v>
          </cell>
          <cell r="H2565" t="str">
            <v>-</v>
          </cell>
          <cell r="I2565" t="str">
            <v>-</v>
          </cell>
          <cell r="J2565">
            <v>164.57334125</v>
          </cell>
          <cell r="K2565" t="str">
            <v>Small Cap</v>
          </cell>
        </row>
        <row r="2566">
          <cell r="C2566" t="str">
            <v>INE074C01013</v>
          </cell>
          <cell r="D2566" t="str">
            <v>HINDADH</v>
          </cell>
          <cell r="E2566">
            <v>164.32743488900002</v>
          </cell>
          <cell r="F2566" t="str">
            <v>-</v>
          </cell>
          <cell r="G2566" t="str">
            <v>-</v>
          </cell>
          <cell r="H2566" t="str">
            <v>-</v>
          </cell>
          <cell r="I2566" t="str">
            <v>-</v>
          </cell>
          <cell r="J2566">
            <v>164.32743488900002</v>
          </cell>
          <cell r="K2566" t="str">
            <v>Small Cap</v>
          </cell>
        </row>
        <row r="2567">
          <cell r="C2567" t="str">
            <v>INE01P501012</v>
          </cell>
          <cell r="D2567" t="str">
            <v>XELPMOC</v>
          </cell>
          <cell r="E2567">
            <v>164.668852069</v>
          </cell>
          <cell r="F2567" t="str">
            <v>XELPMOC</v>
          </cell>
          <cell r="G2567">
            <v>163.34880000000001</v>
          </cell>
          <cell r="H2567" t="str">
            <v>-</v>
          </cell>
          <cell r="I2567" t="str">
            <v>-</v>
          </cell>
          <cell r="J2567">
            <v>164.0088260345</v>
          </cell>
          <cell r="K2567" t="str">
            <v>Small Cap</v>
          </cell>
        </row>
        <row r="2568">
          <cell r="C2568" t="str">
            <v>INE642Y01029</v>
          </cell>
          <cell r="D2568" t="str">
            <v>-</v>
          </cell>
          <cell r="E2568" t="str">
            <v>-</v>
          </cell>
          <cell r="F2568" t="str">
            <v>HINDCON</v>
          </cell>
          <cell r="G2568">
            <v>163.47120000000001</v>
          </cell>
          <cell r="H2568" t="str">
            <v>-</v>
          </cell>
          <cell r="I2568" t="str">
            <v>-</v>
          </cell>
          <cell r="J2568">
            <v>163.47120000000001</v>
          </cell>
          <cell r="K2568" t="str">
            <v>Small Cap</v>
          </cell>
        </row>
        <row r="2569">
          <cell r="C2569" t="str">
            <v>INE511D01012</v>
          </cell>
          <cell r="D2569" t="str">
            <v>JYOTI</v>
          </cell>
          <cell r="E2569">
            <v>163.46781626400002</v>
          </cell>
          <cell r="F2569" t="str">
            <v>-</v>
          </cell>
          <cell r="G2569" t="str">
            <v>-</v>
          </cell>
          <cell r="H2569" t="str">
            <v>-</v>
          </cell>
          <cell r="I2569" t="str">
            <v>-</v>
          </cell>
          <cell r="J2569">
            <v>163.46781626400002</v>
          </cell>
          <cell r="K2569" t="str">
            <v>Small Cap</v>
          </cell>
        </row>
        <row r="2570">
          <cell r="C2570" t="str">
            <v>INE643C01015</v>
          </cell>
          <cell r="D2570" t="str">
            <v>NATFIT</v>
          </cell>
          <cell r="E2570">
            <v>163.193061492</v>
          </cell>
          <cell r="F2570" t="str">
            <v>-</v>
          </cell>
          <cell r="G2570" t="str">
            <v>-</v>
          </cell>
          <cell r="H2570" t="str">
            <v>-</v>
          </cell>
          <cell r="I2570" t="str">
            <v>-</v>
          </cell>
          <cell r="J2570">
            <v>163.193061492</v>
          </cell>
          <cell r="K2570" t="str">
            <v>Small Cap</v>
          </cell>
        </row>
        <row r="2571">
          <cell r="C2571" t="str">
            <v>INE141K01013</v>
          </cell>
          <cell r="D2571" t="str">
            <v>TEXMOPIPES</v>
          </cell>
          <cell r="E2571">
            <v>163.11339182500001</v>
          </cell>
          <cell r="F2571" t="str">
            <v>TEXMOPIPES</v>
          </cell>
          <cell r="G2571">
            <v>163.05549999999999</v>
          </cell>
          <cell r="H2571" t="str">
            <v>-</v>
          </cell>
          <cell r="I2571" t="str">
            <v>-</v>
          </cell>
          <cell r="J2571">
            <v>163.0844459125</v>
          </cell>
          <cell r="K2571" t="str">
            <v>Small Cap</v>
          </cell>
        </row>
        <row r="2572">
          <cell r="C2572" t="str">
            <v>INE768E01024</v>
          </cell>
          <cell r="D2572" t="str">
            <v>AICHAMP</v>
          </cell>
          <cell r="E2572">
            <v>162.55474346700001</v>
          </cell>
          <cell r="F2572" t="str">
            <v>-</v>
          </cell>
          <cell r="G2572" t="str">
            <v>-</v>
          </cell>
          <cell r="H2572" t="str">
            <v>-</v>
          </cell>
          <cell r="I2572" t="str">
            <v>-</v>
          </cell>
          <cell r="J2572">
            <v>162.55474346700001</v>
          </cell>
          <cell r="K2572" t="str">
            <v>Small Cap</v>
          </cell>
        </row>
        <row r="2573">
          <cell r="C2573" t="str">
            <v>INE398B01018</v>
          </cell>
          <cell r="D2573" t="str">
            <v>UMIYA-MRO</v>
          </cell>
          <cell r="E2573">
            <v>162.69216807200002</v>
          </cell>
          <cell r="F2573" t="str">
            <v>UMIYA-MRO</v>
          </cell>
          <cell r="G2573">
            <v>162.31829999999999</v>
          </cell>
          <cell r="H2573" t="str">
            <v>-</v>
          </cell>
          <cell r="I2573" t="str">
            <v>-</v>
          </cell>
          <cell r="J2573">
            <v>162.50523403599999</v>
          </cell>
          <cell r="K2573" t="str">
            <v>Small Cap</v>
          </cell>
        </row>
        <row r="2574">
          <cell r="C2574" t="str">
            <v>INE800W01019</v>
          </cell>
          <cell r="D2574" t="str">
            <v>MANAS</v>
          </cell>
          <cell r="E2574">
            <v>162.24</v>
          </cell>
          <cell r="F2574" t="str">
            <v>-</v>
          </cell>
          <cell r="G2574" t="str">
            <v>-</v>
          </cell>
          <cell r="H2574" t="str">
            <v>-</v>
          </cell>
          <cell r="I2574" t="str">
            <v>-</v>
          </cell>
          <cell r="J2574">
            <v>162.24</v>
          </cell>
          <cell r="K2574" t="str">
            <v>Small Cap</v>
          </cell>
        </row>
        <row r="2575">
          <cell r="C2575" t="str">
            <v>INE902D01013</v>
          </cell>
          <cell r="D2575" t="str">
            <v>KIFS</v>
          </cell>
          <cell r="E2575">
            <v>162.17984999999999</v>
          </cell>
          <cell r="F2575" t="str">
            <v>-</v>
          </cell>
          <cell r="G2575" t="str">
            <v>-</v>
          </cell>
          <cell r="H2575" t="str">
            <v>-</v>
          </cell>
          <cell r="I2575" t="str">
            <v>-</v>
          </cell>
          <cell r="J2575">
            <v>162.17984999999999</v>
          </cell>
          <cell r="K2575" t="str">
            <v>Small Cap</v>
          </cell>
        </row>
        <row r="2576">
          <cell r="C2576" t="str">
            <v>INE011R01013</v>
          </cell>
          <cell r="D2576" t="str">
            <v>ATISHAY</v>
          </cell>
          <cell r="E2576">
            <v>162.13502407300001</v>
          </cell>
          <cell r="F2576" t="str">
            <v>-</v>
          </cell>
          <cell r="G2576" t="str">
            <v>-</v>
          </cell>
          <cell r="H2576" t="str">
            <v>-</v>
          </cell>
          <cell r="I2576" t="str">
            <v>-</v>
          </cell>
          <cell r="J2576">
            <v>162.13502407300001</v>
          </cell>
          <cell r="K2576" t="str">
            <v>Small Cap</v>
          </cell>
        </row>
        <row r="2577">
          <cell r="C2577" t="str">
            <v>INE387I01016</v>
          </cell>
          <cell r="D2577" t="str">
            <v>MAGNUM</v>
          </cell>
          <cell r="E2577">
            <v>162.28185090299999</v>
          </cell>
          <cell r="F2577" t="str">
            <v>MAGNUM</v>
          </cell>
          <cell r="G2577">
            <v>161.91059999999999</v>
          </cell>
          <cell r="H2577" t="str">
            <v>-</v>
          </cell>
          <cell r="I2577" t="str">
            <v>-</v>
          </cell>
          <cell r="J2577">
            <v>162.0962254515</v>
          </cell>
          <cell r="K2577" t="str">
            <v>Small Cap</v>
          </cell>
        </row>
        <row r="2578">
          <cell r="C2578" t="str">
            <v>INE0Q3401017</v>
          </cell>
          <cell r="D2578" t="str">
            <v>SAFE</v>
          </cell>
          <cell r="E2578">
            <v>161.80850952399999</v>
          </cell>
          <cell r="F2578" t="str">
            <v>-</v>
          </cell>
          <cell r="G2578" t="str">
            <v>-</v>
          </cell>
          <cell r="H2578" t="str">
            <v>-</v>
          </cell>
          <cell r="I2578" t="str">
            <v>-</v>
          </cell>
          <cell r="J2578">
            <v>161.80850952399999</v>
          </cell>
          <cell r="K2578" t="str">
            <v>Small Cap</v>
          </cell>
        </row>
        <row r="2579">
          <cell r="C2579" t="str">
            <v>INE566K01011</v>
          </cell>
          <cell r="D2579" t="str">
            <v>ISFT</v>
          </cell>
          <cell r="E2579">
            <v>161.81650623900001</v>
          </cell>
          <cell r="F2579" t="str">
            <v>ISFT</v>
          </cell>
          <cell r="G2579">
            <v>161.6354</v>
          </cell>
          <cell r="H2579" t="str">
            <v>-</v>
          </cell>
          <cell r="I2579" t="str">
            <v>-</v>
          </cell>
          <cell r="J2579">
            <v>161.72595311949999</v>
          </cell>
          <cell r="K2579" t="str">
            <v>Small Cap</v>
          </cell>
        </row>
        <row r="2580">
          <cell r="C2580" t="str">
            <v>INE339F01021</v>
          </cell>
          <cell r="D2580" t="str">
            <v>POLSON</v>
          </cell>
          <cell r="E2580">
            <v>161.67385507399999</v>
          </cell>
          <cell r="F2580" t="str">
            <v>-</v>
          </cell>
          <cell r="G2580" t="str">
            <v>-</v>
          </cell>
          <cell r="H2580" t="str">
            <v>-</v>
          </cell>
          <cell r="I2580" t="str">
            <v>-</v>
          </cell>
          <cell r="J2580">
            <v>161.67385507399999</v>
          </cell>
          <cell r="K2580" t="str">
            <v>Small Cap</v>
          </cell>
        </row>
        <row r="2581">
          <cell r="C2581" t="str">
            <v>INE724D01011</v>
          </cell>
          <cell r="D2581" t="str">
            <v>HINDHARD</v>
          </cell>
          <cell r="E2581">
            <v>161.66646232899998</v>
          </cell>
          <cell r="F2581" t="str">
            <v>-</v>
          </cell>
          <cell r="G2581" t="str">
            <v>-</v>
          </cell>
          <cell r="H2581" t="str">
            <v>-</v>
          </cell>
          <cell r="I2581" t="str">
            <v>-</v>
          </cell>
          <cell r="J2581">
            <v>161.66646232899998</v>
          </cell>
          <cell r="K2581" t="str">
            <v>Small Cap</v>
          </cell>
        </row>
        <row r="2582">
          <cell r="C2582" t="str">
            <v>INE801L01010</v>
          </cell>
          <cell r="D2582" t="str">
            <v>-</v>
          </cell>
          <cell r="E2582" t="str">
            <v>-</v>
          </cell>
          <cell r="F2582" t="str">
            <v>AIROLAM</v>
          </cell>
          <cell r="G2582">
            <v>161.22040000000001</v>
          </cell>
          <cell r="H2582" t="str">
            <v>-</v>
          </cell>
          <cell r="I2582" t="str">
            <v>-</v>
          </cell>
          <cell r="J2582">
            <v>161.22040000000001</v>
          </cell>
          <cell r="K2582" t="str">
            <v>Small Cap</v>
          </cell>
        </row>
        <row r="2583">
          <cell r="C2583" t="str">
            <v>INE311N01016</v>
          </cell>
          <cell r="D2583" t="str">
            <v>SUMUKA</v>
          </cell>
          <cell r="E2583">
            <v>160.90407255599999</v>
          </cell>
          <cell r="F2583" t="str">
            <v>-</v>
          </cell>
          <cell r="G2583" t="str">
            <v>-</v>
          </cell>
          <cell r="H2583" t="str">
            <v>-</v>
          </cell>
          <cell r="I2583" t="str">
            <v>-</v>
          </cell>
          <cell r="J2583">
            <v>160.90407255599999</v>
          </cell>
          <cell r="K2583" t="str">
            <v>Small Cap</v>
          </cell>
        </row>
        <row r="2584">
          <cell r="C2584" t="str">
            <v>INE335Q01026</v>
          </cell>
          <cell r="D2584" t="str">
            <v>RNITAI</v>
          </cell>
          <cell r="E2584">
            <v>160.77743765700001</v>
          </cell>
          <cell r="F2584" t="str">
            <v>-</v>
          </cell>
          <cell r="G2584" t="str">
            <v>-</v>
          </cell>
          <cell r="H2584" t="str">
            <v>-</v>
          </cell>
          <cell r="I2584" t="str">
            <v>-</v>
          </cell>
          <cell r="J2584">
            <v>160.77743765700001</v>
          </cell>
          <cell r="K2584" t="str">
            <v>Small Cap</v>
          </cell>
        </row>
        <row r="2585">
          <cell r="C2585" t="str">
            <v>INE374B01019</v>
          </cell>
          <cell r="D2585" t="str">
            <v>MUKTAARTS</v>
          </cell>
          <cell r="E2585">
            <v>161.13124143800002</v>
          </cell>
          <cell r="F2585" t="str">
            <v>MUKTAARTS</v>
          </cell>
          <cell r="G2585">
            <v>160.2861</v>
          </cell>
          <cell r="H2585" t="str">
            <v>-</v>
          </cell>
          <cell r="I2585" t="str">
            <v>-</v>
          </cell>
          <cell r="J2585">
            <v>160.708670719</v>
          </cell>
          <cell r="K2585" t="str">
            <v>Small Cap</v>
          </cell>
        </row>
        <row r="2586">
          <cell r="C2586" t="str">
            <v>INE1B4801017</v>
          </cell>
          <cell r="D2586" t="str">
            <v>CHTR</v>
          </cell>
          <cell r="E2586">
            <v>160.678205311</v>
          </cell>
          <cell r="F2586" t="str">
            <v>-</v>
          </cell>
          <cell r="G2586" t="str">
            <v>-</v>
          </cell>
          <cell r="H2586" t="str">
            <v>-</v>
          </cell>
          <cell r="I2586" t="str">
            <v>-</v>
          </cell>
          <cell r="J2586">
            <v>160.678205311</v>
          </cell>
          <cell r="K2586" t="str">
            <v>Small Cap</v>
          </cell>
        </row>
        <row r="2587">
          <cell r="C2587" t="str">
            <v>INE896D01017</v>
          </cell>
          <cell r="D2587" t="str">
            <v>NATPLASTI</v>
          </cell>
          <cell r="E2587">
            <v>160.57211194300001</v>
          </cell>
          <cell r="F2587" t="str">
            <v>-</v>
          </cell>
          <cell r="G2587" t="str">
            <v>-</v>
          </cell>
          <cell r="H2587" t="str">
            <v>-</v>
          </cell>
          <cell r="I2587" t="str">
            <v>-</v>
          </cell>
          <cell r="J2587">
            <v>160.57211194300001</v>
          </cell>
          <cell r="K2587" t="str">
            <v>Small Cap</v>
          </cell>
        </row>
        <row r="2588">
          <cell r="C2588" t="str">
            <v>INE418D01010</v>
          </cell>
          <cell r="D2588" t="str">
            <v>CEENIK</v>
          </cell>
          <cell r="E2588">
            <v>160.51014523800001</v>
          </cell>
          <cell r="F2588" t="str">
            <v>-</v>
          </cell>
          <cell r="G2588" t="str">
            <v>-</v>
          </cell>
          <cell r="H2588" t="str">
            <v>-</v>
          </cell>
          <cell r="I2588" t="str">
            <v>-</v>
          </cell>
          <cell r="J2588">
            <v>160.51014523800001</v>
          </cell>
          <cell r="K2588" t="str">
            <v>Small Cap</v>
          </cell>
        </row>
        <row r="2589">
          <cell r="C2589" t="str">
            <v>INE626H01019</v>
          </cell>
          <cell r="D2589" t="str">
            <v>ZBINTXPP</v>
          </cell>
          <cell r="E2589">
            <v>160.34068147599999</v>
          </cell>
          <cell r="F2589" t="str">
            <v>-</v>
          </cell>
          <cell r="G2589" t="str">
            <v>-</v>
          </cell>
          <cell r="H2589" t="str">
            <v>-</v>
          </cell>
          <cell r="I2589" t="str">
            <v>-</v>
          </cell>
          <cell r="J2589">
            <v>160.34068147599999</v>
          </cell>
          <cell r="K2589" t="str">
            <v>Small Cap</v>
          </cell>
        </row>
        <row r="2590">
          <cell r="C2590" t="str">
            <v>INE313G01016</v>
          </cell>
          <cell r="D2590" t="str">
            <v>DHOOTIN</v>
          </cell>
          <cell r="E2590">
            <v>160.29192214299999</v>
          </cell>
          <cell r="F2590" t="str">
            <v>-</v>
          </cell>
          <cell r="G2590" t="str">
            <v>-</v>
          </cell>
          <cell r="H2590" t="str">
            <v>-</v>
          </cell>
          <cell r="I2590" t="str">
            <v>-</v>
          </cell>
          <cell r="J2590">
            <v>160.29192214299999</v>
          </cell>
          <cell r="K2590" t="str">
            <v>Small Cap</v>
          </cell>
        </row>
        <row r="2591">
          <cell r="C2591" t="str">
            <v>INE924N01024</v>
          </cell>
          <cell r="D2591" t="str">
            <v>BLUEGOD</v>
          </cell>
          <cell r="E2591">
            <v>160.050841453</v>
          </cell>
          <cell r="F2591" t="str">
            <v>-</v>
          </cell>
          <cell r="G2591" t="str">
            <v>-</v>
          </cell>
          <cell r="H2591" t="str">
            <v>-</v>
          </cell>
          <cell r="I2591" t="str">
            <v>-</v>
          </cell>
          <cell r="J2591">
            <v>160.050841453</v>
          </cell>
          <cell r="K2591" t="str">
            <v>Small Cap</v>
          </cell>
        </row>
        <row r="2592">
          <cell r="C2592" t="str">
            <v>INE745A01012</v>
          </cell>
          <cell r="D2592" t="str">
            <v>YASTF</v>
          </cell>
          <cell r="E2592">
            <v>160.03557037799999</v>
          </cell>
          <cell r="F2592" t="str">
            <v>-</v>
          </cell>
          <cell r="G2592" t="str">
            <v>-</v>
          </cell>
          <cell r="H2592" t="str">
            <v>-</v>
          </cell>
          <cell r="I2592" t="str">
            <v>-</v>
          </cell>
          <cell r="J2592">
            <v>160.03557037799999</v>
          </cell>
          <cell r="K2592" t="str">
            <v>Small Cap</v>
          </cell>
        </row>
        <row r="2593">
          <cell r="C2593" t="str">
            <v>INE061A01014</v>
          </cell>
          <cell r="D2593" t="str">
            <v>INDIANCARD</v>
          </cell>
          <cell r="E2593">
            <v>159.82650138399998</v>
          </cell>
          <cell r="F2593" t="str">
            <v>INDIANCARD</v>
          </cell>
          <cell r="G2593">
            <v>159.6669</v>
          </cell>
          <cell r="H2593" t="str">
            <v>-</v>
          </cell>
          <cell r="I2593" t="str">
            <v>-</v>
          </cell>
          <cell r="J2593">
            <v>159.74670069199999</v>
          </cell>
          <cell r="K2593" t="str">
            <v>Small Cap</v>
          </cell>
        </row>
        <row r="2594">
          <cell r="C2594" t="str">
            <v>INE137C01018</v>
          </cell>
          <cell r="D2594" t="str">
            <v>ALPHAGEO</v>
          </cell>
          <cell r="E2594">
            <v>159.47630914800001</v>
          </cell>
          <cell r="F2594" t="str">
            <v>ALPHAGEO</v>
          </cell>
          <cell r="G2594">
            <v>159.38460000000001</v>
          </cell>
          <cell r="H2594" t="str">
            <v>-</v>
          </cell>
          <cell r="I2594" t="str">
            <v>-</v>
          </cell>
          <cell r="J2594">
            <v>159.43045457400001</v>
          </cell>
          <cell r="K2594" t="str">
            <v>Small Cap</v>
          </cell>
        </row>
        <row r="2595">
          <cell r="C2595" t="str">
            <v>INE0OLZ01015</v>
          </cell>
          <cell r="D2595" t="str">
            <v>HARSHDEEP</v>
          </cell>
          <cell r="E2595">
            <v>159.342306565</v>
          </cell>
          <cell r="F2595" t="str">
            <v>-</v>
          </cell>
          <cell r="G2595" t="str">
            <v>-</v>
          </cell>
          <cell r="H2595" t="str">
            <v>-</v>
          </cell>
          <cell r="I2595" t="str">
            <v>-</v>
          </cell>
          <cell r="J2595">
            <v>159.342306565</v>
          </cell>
          <cell r="K2595" t="str">
            <v>Small Cap</v>
          </cell>
        </row>
        <row r="2596">
          <cell r="C2596" t="str">
            <v>INE557C01017</v>
          </cell>
          <cell r="D2596" t="str">
            <v>INDSUCR</v>
          </cell>
          <cell r="E2596">
            <v>158.89351931600001</v>
          </cell>
          <cell r="F2596" t="str">
            <v>-</v>
          </cell>
          <cell r="G2596" t="str">
            <v>-</v>
          </cell>
          <cell r="H2596" t="str">
            <v>-</v>
          </cell>
          <cell r="I2596" t="str">
            <v>-</v>
          </cell>
          <cell r="J2596">
            <v>158.89351931600001</v>
          </cell>
          <cell r="K2596" t="str">
            <v>Small Cap</v>
          </cell>
        </row>
        <row r="2597">
          <cell r="C2597" t="str">
            <v>INE561C01019</v>
          </cell>
          <cell r="D2597" t="str">
            <v>BHARATGEAR</v>
          </cell>
          <cell r="E2597">
            <v>158.442140897</v>
          </cell>
          <cell r="F2597" t="str">
            <v>BHARATGEAR</v>
          </cell>
          <cell r="G2597">
            <v>158.36439999999999</v>
          </cell>
          <cell r="H2597" t="str">
            <v>-</v>
          </cell>
          <cell r="I2597" t="str">
            <v>-</v>
          </cell>
          <cell r="J2597">
            <v>158.4032704485</v>
          </cell>
          <cell r="K2597" t="str">
            <v>Small Cap</v>
          </cell>
        </row>
        <row r="2598">
          <cell r="C2598" t="str">
            <v>INE268B01013</v>
          </cell>
          <cell r="D2598" t="str">
            <v>KREBSBIO</v>
          </cell>
          <cell r="E2598">
            <v>158.46448916400001</v>
          </cell>
          <cell r="F2598" t="str">
            <v>KREBSBIO</v>
          </cell>
          <cell r="G2598">
            <v>158.06659999999999</v>
          </cell>
          <cell r="H2598" t="str">
            <v>-</v>
          </cell>
          <cell r="I2598" t="str">
            <v>-</v>
          </cell>
          <cell r="J2598">
            <v>158.26554458200002</v>
          </cell>
          <cell r="K2598" t="str">
            <v>Small Cap</v>
          </cell>
        </row>
        <row r="2599">
          <cell r="C2599" t="str">
            <v>INE841B01017</v>
          </cell>
          <cell r="D2599" t="str">
            <v>INDBANK</v>
          </cell>
          <cell r="E2599">
            <v>157.82014985399999</v>
          </cell>
          <cell r="F2599" t="str">
            <v>INDBANK</v>
          </cell>
          <cell r="G2599">
            <v>157.70529999999999</v>
          </cell>
          <cell r="H2599" t="str">
            <v>-</v>
          </cell>
          <cell r="I2599" t="str">
            <v>-</v>
          </cell>
          <cell r="J2599">
            <v>157.76272492699999</v>
          </cell>
          <cell r="K2599" t="str">
            <v>Small Cap</v>
          </cell>
        </row>
        <row r="2600">
          <cell r="C2600" t="str">
            <v>INE0JSJ01014</v>
          </cell>
          <cell r="D2600" t="str">
            <v>SPITZE</v>
          </cell>
          <cell r="E2600">
            <v>157.75832857099999</v>
          </cell>
          <cell r="F2600" t="str">
            <v>-</v>
          </cell>
          <cell r="G2600" t="str">
            <v>-</v>
          </cell>
          <cell r="H2600" t="str">
            <v>-</v>
          </cell>
          <cell r="I2600" t="str">
            <v>-</v>
          </cell>
          <cell r="J2600">
            <v>157.75832857099999</v>
          </cell>
          <cell r="K2600" t="str">
            <v>Small Cap</v>
          </cell>
        </row>
        <row r="2601">
          <cell r="C2601" t="str">
            <v>INE158G01015</v>
          </cell>
          <cell r="D2601" t="str">
            <v>REMIEDEL</v>
          </cell>
          <cell r="E2601">
            <v>157.50014836099999</v>
          </cell>
          <cell r="F2601" t="str">
            <v>-</v>
          </cell>
          <cell r="G2601" t="str">
            <v>-</v>
          </cell>
          <cell r="H2601" t="str">
            <v>-</v>
          </cell>
          <cell r="I2601" t="str">
            <v>-</v>
          </cell>
          <cell r="J2601">
            <v>157.50014836099999</v>
          </cell>
          <cell r="K2601" t="str">
            <v>Small Cap</v>
          </cell>
        </row>
        <row r="2602">
          <cell r="C2602" t="str">
            <v>INE760W01023</v>
          </cell>
          <cell r="D2602" t="str">
            <v>-</v>
          </cell>
          <cell r="E2602" t="str">
            <v>-</v>
          </cell>
          <cell r="F2602" t="str">
            <v>RPPL</v>
          </cell>
          <cell r="G2602">
            <v>157.47370000000001</v>
          </cell>
          <cell r="H2602" t="str">
            <v>-</v>
          </cell>
          <cell r="I2602" t="str">
            <v>-</v>
          </cell>
          <cell r="J2602">
            <v>157.47370000000001</v>
          </cell>
          <cell r="K2602" t="str">
            <v>Small Cap</v>
          </cell>
        </row>
        <row r="2603">
          <cell r="C2603" t="str">
            <v>INE0GIU01018</v>
          </cell>
          <cell r="D2603" t="str">
            <v>UMAEXPORTS</v>
          </cell>
          <cell r="E2603">
            <v>157.48243149200002</v>
          </cell>
          <cell r="F2603" t="str">
            <v>UMAEXPORTS</v>
          </cell>
          <cell r="G2603">
            <v>157.42580000000001</v>
          </cell>
          <cell r="H2603" t="str">
            <v>-</v>
          </cell>
          <cell r="I2603" t="str">
            <v>-</v>
          </cell>
          <cell r="J2603">
            <v>157.45411574600001</v>
          </cell>
          <cell r="K2603" t="str">
            <v>Small Cap</v>
          </cell>
        </row>
        <row r="2604">
          <cell r="C2604" t="str">
            <v>INE485K01022</v>
          </cell>
          <cell r="D2604" t="str">
            <v>ABVL</v>
          </cell>
          <cell r="E2604">
            <v>157.437214071</v>
          </cell>
          <cell r="F2604" t="str">
            <v>-</v>
          </cell>
          <cell r="G2604" t="str">
            <v>-</v>
          </cell>
          <cell r="H2604" t="str">
            <v>-</v>
          </cell>
          <cell r="I2604" t="str">
            <v>-</v>
          </cell>
          <cell r="J2604">
            <v>157.437214071</v>
          </cell>
          <cell r="K2604" t="str">
            <v>Small Cap</v>
          </cell>
        </row>
        <row r="2605">
          <cell r="C2605" t="str">
            <v>INE191C01023</v>
          </cell>
          <cell r="D2605" t="str">
            <v>EASTINDIA</v>
          </cell>
          <cell r="E2605">
            <v>157.286004999</v>
          </cell>
          <cell r="F2605" t="str">
            <v>-</v>
          </cell>
          <cell r="G2605" t="str">
            <v>-</v>
          </cell>
          <cell r="H2605" t="str">
            <v>-</v>
          </cell>
          <cell r="I2605" t="str">
            <v>-</v>
          </cell>
          <cell r="J2605">
            <v>157.286004999</v>
          </cell>
          <cell r="K2605" t="str">
            <v>Small Cap</v>
          </cell>
        </row>
        <row r="2606">
          <cell r="C2606" t="str">
            <v>INE14QA01016</v>
          </cell>
          <cell r="D2606" t="str">
            <v>AMEENJI</v>
          </cell>
          <cell r="E2606">
            <v>157.18209999999999</v>
          </cell>
          <cell r="F2606" t="str">
            <v>-</v>
          </cell>
          <cell r="G2606" t="str">
            <v>-</v>
          </cell>
          <cell r="H2606" t="str">
            <v>-</v>
          </cell>
          <cell r="I2606" t="str">
            <v>-</v>
          </cell>
          <cell r="J2606">
            <v>157.18209999999999</v>
          </cell>
          <cell r="K2606" t="str">
            <v>Small Cap</v>
          </cell>
        </row>
        <row r="2607">
          <cell r="C2607" t="str">
            <v>INE475D01010</v>
          </cell>
          <cell r="D2607" t="str">
            <v>SANGAMFIN</v>
          </cell>
          <cell r="E2607">
            <v>157.053522391</v>
          </cell>
          <cell r="F2607" t="str">
            <v>-</v>
          </cell>
          <cell r="G2607" t="str">
            <v>-</v>
          </cell>
          <cell r="H2607" t="str">
            <v>-</v>
          </cell>
          <cell r="I2607" t="str">
            <v>-</v>
          </cell>
          <cell r="J2607">
            <v>157.053522391</v>
          </cell>
          <cell r="K2607" t="str">
            <v>Small Cap</v>
          </cell>
        </row>
        <row r="2608">
          <cell r="C2608" t="str">
            <v>INE204C01024</v>
          </cell>
          <cell r="D2608" t="str">
            <v>SHRIDINE</v>
          </cell>
          <cell r="E2608">
            <v>156.89097042699998</v>
          </cell>
          <cell r="F2608" t="str">
            <v>-</v>
          </cell>
          <cell r="G2608" t="str">
            <v>-</v>
          </cell>
          <cell r="H2608" t="str">
            <v>-</v>
          </cell>
          <cell r="I2608" t="str">
            <v>-</v>
          </cell>
          <cell r="J2608">
            <v>156.89097042699998</v>
          </cell>
          <cell r="K2608" t="str">
            <v>Small Cap</v>
          </cell>
        </row>
        <row r="2609">
          <cell r="C2609" t="str">
            <v>INE544W01021</v>
          </cell>
          <cell r="D2609" t="str">
            <v>MAXIMUS</v>
          </cell>
          <cell r="E2609">
            <v>156.608745873</v>
          </cell>
          <cell r="F2609" t="str">
            <v>-</v>
          </cell>
          <cell r="G2609" t="str">
            <v>-</v>
          </cell>
          <cell r="H2609" t="str">
            <v>-</v>
          </cell>
          <cell r="I2609" t="str">
            <v>-</v>
          </cell>
          <cell r="J2609">
            <v>156.608745873</v>
          </cell>
          <cell r="K2609" t="str">
            <v>Small Cap</v>
          </cell>
        </row>
        <row r="2610">
          <cell r="C2610" t="str">
            <v>INE864J01012</v>
          </cell>
          <cell r="D2610" t="str">
            <v>TAMBOLIIN</v>
          </cell>
          <cell r="E2610">
            <v>156.586019048</v>
          </cell>
          <cell r="F2610" t="str">
            <v>-</v>
          </cell>
          <cell r="G2610" t="str">
            <v>-</v>
          </cell>
          <cell r="H2610" t="str">
            <v>-</v>
          </cell>
          <cell r="I2610" t="str">
            <v>-</v>
          </cell>
          <cell r="J2610">
            <v>156.586019048</v>
          </cell>
          <cell r="K2610" t="str">
            <v>Small Cap</v>
          </cell>
        </row>
        <row r="2611">
          <cell r="C2611" t="str">
            <v>INE558R01013</v>
          </cell>
          <cell r="D2611" t="str">
            <v>-</v>
          </cell>
          <cell r="E2611" t="str">
            <v>-</v>
          </cell>
          <cell r="F2611" t="str">
            <v>HECPROJECT</v>
          </cell>
          <cell r="G2611">
            <v>155.96350000000001</v>
          </cell>
          <cell r="H2611" t="str">
            <v>-</v>
          </cell>
          <cell r="I2611" t="str">
            <v>-</v>
          </cell>
          <cell r="J2611">
            <v>155.96350000000001</v>
          </cell>
          <cell r="K2611" t="str">
            <v>Small Cap</v>
          </cell>
        </row>
        <row r="2612">
          <cell r="C2612" t="str">
            <v>INE064R01012</v>
          </cell>
          <cell r="D2612" t="str">
            <v>MODULEX</v>
          </cell>
          <cell r="E2612">
            <v>155.86933387799999</v>
          </cell>
          <cell r="F2612" t="str">
            <v>-</v>
          </cell>
          <cell r="G2612" t="str">
            <v>-</v>
          </cell>
          <cell r="H2612" t="str">
            <v>-</v>
          </cell>
          <cell r="I2612" t="str">
            <v>-</v>
          </cell>
          <cell r="J2612">
            <v>155.86933387799999</v>
          </cell>
          <cell r="K2612" t="str">
            <v>Small Cap</v>
          </cell>
        </row>
        <row r="2613">
          <cell r="C2613" t="str">
            <v>INE1LJ801017</v>
          </cell>
          <cell r="D2613" t="str">
            <v>BDI</v>
          </cell>
          <cell r="E2613">
            <v>155.78209849999999</v>
          </cell>
          <cell r="F2613" t="str">
            <v>-</v>
          </cell>
          <cell r="G2613" t="str">
            <v>-</v>
          </cell>
          <cell r="H2613" t="str">
            <v>-</v>
          </cell>
          <cell r="I2613" t="str">
            <v>-</v>
          </cell>
          <cell r="J2613">
            <v>155.78209849999999</v>
          </cell>
          <cell r="K2613" t="str">
            <v>Small Cap</v>
          </cell>
        </row>
        <row r="2614">
          <cell r="C2614" t="str">
            <v>INE05X901010</v>
          </cell>
          <cell r="D2614" t="str">
            <v>HPIL</v>
          </cell>
          <cell r="E2614">
            <v>155.75277970599998</v>
          </cell>
          <cell r="F2614" t="str">
            <v>HPIL</v>
          </cell>
          <cell r="G2614">
            <v>155.54419999999999</v>
          </cell>
          <cell r="H2614" t="str">
            <v>-</v>
          </cell>
          <cell r="I2614" t="str">
            <v>-</v>
          </cell>
          <cell r="J2614">
            <v>155.648489853</v>
          </cell>
          <cell r="K2614" t="str">
            <v>Small Cap</v>
          </cell>
        </row>
        <row r="2615">
          <cell r="C2615" t="str">
            <v>INE085D01033</v>
          </cell>
          <cell r="D2615" t="str">
            <v>METROGLOBL</v>
          </cell>
          <cell r="E2615">
            <v>155.57807279300002</v>
          </cell>
          <cell r="F2615" t="str">
            <v>-</v>
          </cell>
          <cell r="G2615" t="str">
            <v>-</v>
          </cell>
          <cell r="H2615" t="str">
            <v>-</v>
          </cell>
          <cell r="I2615" t="str">
            <v>-</v>
          </cell>
          <cell r="J2615">
            <v>155.57807279300002</v>
          </cell>
          <cell r="K2615" t="str">
            <v>Small Cap</v>
          </cell>
        </row>
        <row r="2616">
          <cell r="C2616" t="str">
            <v>INE164D01010</v>
          </cell>
          <cell r="D2616" t="str">
            <v>IKOMA</v>
          </cell>
          <cell r="E2616">
            <v>155.47141011099998</v>
          </cell>
          <cell r="F2616" t="str">
            <v>-</v>
          </cell>
          <cell r="G2616" t="str">
            <v>-</v>
          </cell>
          <cell r="H2616" t="str">
            <v>-</v>
          </cell>
          <cell r="I2616" t="str">
            <v>-</v>
          </cell>
          <cell r="J2616">
            <v>155.47141011099998</v>
          </cell>
          <cell r="K2616" t="str">
            <v>Small Cap</v>
          </cell>
        </row>
        <row r="2617">
          <cell r="C2617" t="str">
            <v>INE657D01021</v>
          </cell>
          <cell r="D2617" t="str">
            <v>SIMMOND</v>
          </cell>
          <cell r="E2617">
            <v>155.425777778</v>
          </cell>
          <cell r="F2617" t="str">
            <v>-</v>
          </cell>
          <cell r="G2617" t="str">
            <v>-</v>
          </cell>
          <cell r="H2617" t="str">
            <v>-</v>
          </cell>
          <cell r="I2617" t="str">
            <v>-</v>
          </cell>
          <cell r="J2617">
            <v>155.425777778</v>
          </cell>
          <cell r="K2617" t="str">
            <v>Small Cap</v>
          </cell>
        </row>
        <row r="2618">
          <cell r="C2618" t="str">
            <v>INE335W01016</v>
          </cell>
          <cell r="D2618" t="str">
            <v>GANGESSECU</v>
          </cell>
          <cell r="E2618">
            <v>155.589487558</v>
          </cell>
          <cell r="F2618" t="str">
            <v>GANGESSECU</v>
          </cell>
          <cell r="G2618">
            <v>154.8896</v>
          </cell>
          <cell r="H2618" t="str">
            <v>-</v>
          </cell>
          <cell r="I2618" t="str">
            <v>-</v>
          </cell>
          <cell r="J2618">
            <v>155.239543779</v>
          </cell>
          <cell r="K2618" t="str">
            <v>Small Cap</v>
          </cell>
        </row>
        <row r="2619">
          <cell r="C2619" t="str">
            <v>INE0MQD01015</v>
          </cell>
          <cell r="D2619" t="str">
            <v>DRONACHRYA</v>
          </cell>
          <cell r="E2619">
            <v>155.20700354300001</v>
          </cell>
          <cell r="F2619" t="str">
            <v>-</v>
          </cell>
          <cell r="G2619" t="str">
            <v>-</v>
          </cell>
          <cell r="H2619" t="str">
            <v>-</v>
          </cell>
          <cell r="I2619" t="str">
            <v>-</v>
          </cell>
          <cell r="J2619">
            <v>155.20700354300001</v>
          </cell>
          <cell r="K2619" t="str">
            <v>Small Cap</v>
          </cell>
        </row>
        <row r="2620">
          <cell r="C2620" t="str">
            <v>INE272L01022</v>
          </cell>
          <cell r="D2620" t="str">
            <v>SURANASOL</v>
          </cell>
          <cell r="E2620">
            <v>154.50794294300002</v>
          </cell>
          <cell r="F2620" t="str">
            <v>SURANASOL</v>
          </cell>
          <cell r="G2620">
            <v>154.50829999999999</v>
          </cell>
          <cell r="H2620" t="str">
            <v>-</v>
          </cell>
          <cell r="I2620" t="str">
            <v>-</v>
          </cell>
          <cell r="J2620">
            <v>154.5081214715</v>
          </cell>
          <cell r="K2620" t="str">
            <v>Small Cap</v>
          </cell>
        </row>
        <row r="2621">
          <cell r="C2621" t="str">
            <v>INE241V01018</v>
          </cell>
          <cell r="D2621" t="str">
            <v>SHRIGANG</v>
          </cell>
          <cell r="E2621">
            <v>153.78581825399999</v>
          </cell>
          <cell r="F2621" t="str">
            <v>-</v>
          </cell>
          <cell r="G2621" t="str">
            <v>-</v>
          </cell>
          <cell r="H2621" t="str">
            <v>-</v>
          </cell>
          <cell r="I2621" t="str">
            <v>-</v>
          </cell>
          <cell r="J2621">
            <v>153.78581825399999</v>
          </cell>
          <cell r="K2621" t="str">
            <v>Small Cap</v>
          </cell>
        </row>
        <row r="2622">
          <cell r="C2622" t="str">
            <v>INE499Q01012</v>
          </cell>
          <cell r="D2622" t="str">
            <v>SOFCOM</v>
          </cell>
          <cell r="E2622">
            <v>153.71844515799998</v>
          </cell>
          <cell r="F2622" t="str">
            <v>-</v>
          </cell>
          <cell r="G2622" t="str">
            <v>-</v>
          </cell>
          <cell r="H2622" t="str">
            <v>-</v>
          </cell>
          <cell r="I2622" t="str">
            <v>-</v>
          </cell>
          <cell r="J2622">
            <v>153.71844515799998</v>
          </cell>
          <cell r="K2622" t="str">
            <v>Small Cap</v>
          </cell>
        </row>
        <row r="2623">
          <cell r="C2623" t="str">
            <v>INE979R01011</v>
          </cell>
          <cell r="D2623" t="str">
            <v>SHYAMCENT</v>
          </cell>
          <cell r="E2623">
            <v>157.39193063800002</v>
          </cell>
          <cell r="F2623" t="str">
            <v>SHYAMCENT</v>
          </cell>
          <cell r="G2623">
            <v>149.99789999999999</v>
          </cell>
          <cell r="H2623" t="str">
            <v>-</v>
          </cell>
          <cell r="I2623" t="str">
            <v>-</v>
          </cell>
          <cell r="J2623">
            <v>153.69491531900002</v>
          </cell>
          <cell r="K2623" t="str">
            <v>Small Cap</v>
          </cell>
        </row>
        <row r="2624">
          <cell r="C2624" t="str">
            <v>INE341H01023</v>
          </cell>
          <cell r="D2624" t="str">
            <v>LKPSEC</v>
          </cell>
          <cell r="E2624">
            <v>153.45643638299998</v>
          </cell>
          <cell r="F2624" t="str">
            <v>-</v>
          </cell>
          <cell r="G2624" t="str">
            <v>-</v>
          </cell>
          <cell r="H2624" t="str">
            <v>-</v>
          </cell>
          <cell r="I2624" t="str">
            <v>-</v>
          </cell>
          <cell r="J2624">
            <v>153.45643638299998</v>
          </cell>
          <cell r="K2624" t="str">
            <v>Small Cap</v>
          </cell>
        </row>
        <row r="2625">
          <cell r="C2625" t="str">
            <v>INE878H01024</v>
          </cell>
          <cell r="D2625" t="str">
            <v>INVENTURE</v>
          </cell>
          <cell r="E2625">
            <v>153.64166666700001</v>
          </cell>
          <cell r="F2625" t="str">
            <v>INVENTURE</v>
          </cell>
          <cell r="G2625">
            <v>153.2167</v>
          </cell>
          <cell r="H2625" t="str">
            <v>-</v>
          </cell>
          <cell r="I2625" t="str">
            <v>-</v>
          </cell>
          <cell r="J2625">
            <v>153.42918333350002</v>
          </cell>
          <cell r="K2625" t="str">
            <v>Small Cap</v>
          </cell>
        </row>
        <row r="2626">
          <cell r="C2626" t="str">
            <v>INE088G01014</v>
          </cell>
          <cell r="D2626" t="str">
            <v>STHINPA</v>
          </cell>
          <cell r="E2626">
            <v>153.25937500000001</v>
          </cell>
          <cell r="F2626" t="str">
            <v>-</v>
          </cell>
          <cell r="G2626" t="str">
            <v>-</v>
          </cell>
          <cell r="H2626" t="str">
            <v>-</v>
          </cell>
          <cell r="I2626" t="str">
            <v>-</v>
          </cell>
          <cell r="J2626">
            <v>153.25937500000001</v>
          </cell>
          <cell r="K2626" t="str">
            <v>Small Cap</v>
          </cell>
        </row>
        <row r="2627">
          <cell r="C2627" t="str">
            <v>INE0EEJ01023</v>
          </cell>
          <cell r="D2627" t="str">
            <v>BTML</v>
          </cell>
          <cell r="E2627">
            <v>153.29131842199999</v>
          </cell>
          <cell r="F2627" t="str">
            <v>BTML</v>
          </cell>
          <cell r="G2627">
            <v>153.16810000000001</v>
          </cell>
          <cell r="H2627" t="str">
            <v>-</v>
          </cell>
          <cell r="I2627" t="str">
            <v>-</v>
          </cell>
          <cell r="J2627">
            <v>153.229709211</v>
          </cell>
          <cell r="K2627" t="str">
            <v>Small Cap</v>
          </cell>
        </row>
        <row r="2628">
          <cell r="C2628" t="str">
            <v>INE718M01022</v>
          </cell>
          <cell r="D2628" t="str">
            <v>LAKSHMIEW</v>
          </cell>
          <cell r="E2628">
            <v>153.22272619</v>
          </cell>
          <cell r="F2628" t="str">
            <v>-</v>
          </cell>
          <cell r="G2628" t="str">
            <v>-</v>
          </cell>
          <cell r="H2628" t="str">
            <v>-</v>
          </cell>
          <cell r="I2628" t="str">
            <v>-</v>
          </cell>
          <cell r="J2628">
            <v>153.22272619</v>
          </cell>
          <cell r="K2628" t="str">
            <v>Small Cap</v>
          </cell>
        </row>
        <row r="2629">
          <cell r="C2629" t="str">
            <v>INE395H01011</v>
          </cell>
          <cell r="D2629" t="str">
            <v>-</v>
          </cell>
          <cell r="E2629" t="str">
            <v>-</v>
          </cell>
          <cell r="F2629" t="str">
            <v>STEELCITY</v>
          </cell>
          <cell r="G2629">
            <v>153.20509999999999</v>
          </cell>
          <cell r="H2629" t="str">
            <v>-</v>
          </cell>
          <cell r="I2629" t="str">
            <v>-</v>
          </cell>
          <cell r="J2629">
            <v>153.20509999999999</v>
          </cell>
          <cell r="K2629" t="str">
            <v>Small Cap</v>
          </cell>
        </row>
        <row r="2630">
          <cell r="C2630" t="str">
            <v>INE718P01017</v>
          </cell>
          <cell r="D2630" t="str">
            <v>JAMESWARREN</v>
          </cell>
          <cell r="E2630">
            <v>152.80047619000001</v>
          </cell>
          <cell r="F2630" t="str">
            <v>-</v>
          </cell>
          <cell r="G2630" t="str">
            <v>-</v>
          </cell>
          <cell r="H2630" t="str">
            <v>-</v>
          </cell>
          <cell r="I2630" t="str">
            <v>-</v>
          </cell>
          <cell r="J2630">
            <v>152.80047619000001</v>
          </cell>
          <cell r="K2630" t="str">
            <v>Small Cap</v>
          </cell>
        </row>
        <row r="2631">
          <cell r="C2631" t="str">
            <v>INE319Q01012</v>
          </cell>
          <cell r="D2631" t="str">
            <v>BRPL</v>
          </cell>
          <cell r="E2631">
            <v>152.73364971400002</v>
          </cell>
          <cell r="F2631" t="str">
            <v>-</v>
          </cell>
          <cell r="G2631" t="str">
            <v>-</v>
          </cell>
          <cell r="H2631" t="str">
            <v>-</v>
          </cell>
          <cell r="I2631" t="str">
            <v>-</v>
          </cell>
          <cell r="J2631">
            <v>152.73364971400002</v>
          </cell>
          <cell r="K2631" t="str">
            <v>Small Cap</v>
          </cell>
        </row>
        <row r="2632">
          <cell r="C2632" t="str">
            <v>INE216C01010</v>
          </cell>
          <cell r="D2632" t="str">
            <v>CALCOM</v>
          </cell>
          <cell r="E2632">
            <v>152.32350464200002</v>
          </cell>
          <cell r="F2632" t="str">
            <v>-</v>
          </cell>
          <cell r="G2632" t="str">
            <v>-</v>
          </cell>
          <cell r="H2632" t="str">
            <v>-</v>
          </cell>
          <cell r="I2632" t="str">
            <v>-</v>
          </cell>
          <cell r="J2632">
            <v>152.32350464200002</v>
          </cell>
          <cell r="K2632" t="str">
            <v>Small Cap</v>
          </cell>
        </row>
        <row r="2633">
          <cell r="C2633" t="str">
            <v>INE164H01011</v>
          </cell>
          <cell r="D2633" t="str">
            <v>SHREERAM</v>
          </cell>
          <cell r="E2633">
            <v>152.19779800000001</v>
          </cell>
          <cell r="F2633" t="str">
            <v>-</v>
          </cell>
          <cell r="G2633" t="str">
            <v>-</v>
          </cell>
          <cell r="H2633" t="str">
            <v>-</v>
          </cell>
          <cell r="I2633" t="str">
            <v>-</v>
          </cell>
          <cell r="J2633">
            <v>152.19779800000001</v>
          </cell>
          <cell r="K2633" t="str">
            <v>Small Cap</v>
          </cell>
        </row>
        <row r="2634">
          <cell r="C2634" t="str">
            <v>INE0GOA01018</v>
          </cell>
          <cell r="D2634" t="str">
            <v>NBL</v>
          </cell>
          <cell r="E2634">
            <v>152.17707235699999</v>
          </cell>
          <cell r="F2634" t="str">
            <v>-</v>
          </cell>
          <cell r="G2634" t="str">
            <v>-</v>
          </cell>
          <cell r="H2634" t="str">
            <v>-</v>
          </cell>
          <cell r="I2634" t="str">
            <v>-</v>
          </cell>
          <cell r="J2634">
            <v>152.17707235699999</v>
          </cell>
          <cell r="K2634" t="str">
            <v>Small Cap</v>
          </cell>
        </row>
        <row r="2635">
          <cell r="C2635" t="str">
            <v>INE453B01029</v>
          </cell>
          <cell r="D2635" t="str">
            <v>COMPUSOFT</v>
          </cell>
          <cell r="E2635">
            <v>150.994093878</v>
          </cell>
          <cell r="F2635" t="str">
            <v>COMPUSOFT</v>
          </cell>
          <cell r="G2635">
            <v>150.8271</v>
          </cell>
          <cell r="H2635" t="str">
            <v>-</v>
          </cell>
          <cell r="I2635" t="str">
            <v>-</v>
          </cell>
          <cell r="J2635">
            <v>150.91059693900002</v>
          </cell>
          <cell r="K2635" t="str">
            <v>Small Cap</v>
          </cell>
        </row>
        <row r="2636">
          <cell r="C2636" t="str">
            <v>INE026L01022</v>
          </cell>
          <cell r="D2636" t="str">
            <v>TILAK</v>
          </cell>
          <cell r="E2636">
            <v>150.903021096</v>
          </cell>
          <cell r="F2636" t="str">
            <v>-</v>
          </cell>
          <cell r="G2636" t="str">
            <v>-</v>
          </cell>
          <cell r="H2636" t="str">
            <v>-</v>
          </cell>
          <cell r="I2636" t="str">
            <v>-</v>
          </cell>
          <cell r="J2636">
            <v>150.903021096</v>
          </cell>
          <cell r="K2636" t="str">
            <v>Small Cap</v>
          </cell>
        </row>
        <row r="2637">
          <cell r="C2637" t="str">
            <v>INE292C01011</v>
          </cell>
          <cell r="D2637" t="str">
            <v>AUROLAB</v>
          </cell>
          <cell r="E2637">
            <v>150.80597232100001</v>
          </cell>
          <cell r="F2637" t="str">
            <v>-</v>
          </cell>
          <cell r="G2637" t="str">
            <v>-</v>
          </cell>
          <cell r="H2637" t="str">
            <v>-</v>
          </cell>
          <cell r="I2637" t="str">
            <v>-</v>
          </cell>
          <cell r="J2637">
            <v>150.80597232100001</v>
          </cell>
          <cell r="K2637" t="str">
            <v>Small Cap</v>
          </cell>
        </row>
        <row r="2638">
          <cell r="C2638" t="str">
            <v>INE910G01027</v>
          </cell>
          <cell r="D2638" t="str">
            <v>MUNCAPM</v>
          </cell>
          <cell r="E2638">
            <v>150.68613015899999</v>
          </cell>
          <cell r="F2638" t="str">
            <v>-</v>
          </cell>
          <cell r="G2638" t="str">
            <v>-</v>
          </cell>
          <cell r="H2638" t="str">
            <v>-</v>
          </cell>
          <cell r="I2638" t="str">
            <v>-</v>
          </cell>
          <cell r="J2638">
            <v>150.68613015899999</v>
          </cell>
          <cell r="K2638" t="str">
            <v>Small Cap</v>
          </cell>
        </row>
        <row r="2639">
          <cell r="C2639" t="str">
            <v>INE594W01042</v>
          </cell>
          <cell r="D2639" t="str">
            <v>STARLENT</v>
          </cell>
          <cell r="E2639">
            <v>150.51162657099999</v>
          </cell>
          <cell r="F2639" t="str">
            <v>-</v>
          </cell>
          <cell r="G2639" t="str">
            <v>-</v>
          </cell>
          <cell r="H2639" t="str">
            <v>-</v>
          </cell>
          <cell r="I2639" t="str">
            <v>-</v>
          </cell>
          <cell r="J2639">
            <v>150.51162657099999</v>
          </cell>
          <cell r="K2639" t="str">
            <v>Small Cap</v>
          </cell>
        </row>
        <row r="2640">
          <cell r="C2640" t="str">
            <v>INE375D01012</v>
          </cell>
          <cell r="D2640" t="str">
            <v>KAIRA</v>
          </cell>
          <cell r="E2640">
            <v>150.411236</v>
          </cell>
          <cell r="F2640" t="str">
            <v>-</v>
          </cell>
          <cell r="G2640" t="str">
            <v>-</v>
          </cell>
          <cell r="H2640" t="str">
            <v>-</v>
          </cell>
          <cell r="I2640" t="str">
            <v>-</v>
          </cell>
          <cell r="J2640">
            <v>150.411236</v>
          </cell>
          <cell r="K2640" t="str">
            <v>Small Cap</v>
          </cell>
        </row>
        <row r="2641">
          <cell r="C2641" t="str">
            <v>INE699B01027</v>
          </cell>
          <cell r="D2641" t="str">
            <v>SAMBHAAV</v>
          </cell>
          <cell r="E2641">
            <v>150.14031610999999</v>
          </cell>
          <cell r="F2641" t="str">
            <v>SAMBHAAV</v>
          </cell>
          <cell r="G2641">
            <v>149.87790000000001</v>
          </cell>
          <cell r="H2641" t="str">
            <v>-</v>
          </cell>
          <cell r="I2641" t="str">
            <v>-</v>
          </cell>
          <cell r="J2641">
            <v>150.00910805500001</v>
          </cell>
          <cell r="K2641" t="str">
            <v>Small Cap</v>
          </cell>
        </row>
        <row r="2642">
          <cell r="C2642" t="str">
            <v>INE548Z01017</v>
          </cell>
          <cell r="D2642" t="str">
            <v>-</v>
          </cell>
          <cell r="E2642" t="str">
            <v>-</v>
          </cell>
          <cell r="F2642" t="str">
            <v>LAGNAM</v>
          </cell>
          <cell r="G2642">
            <v>149.91139999999999</v>
          </cell>
          <cell r="H2642" t="str">
            <v>-</v>
          </cell>
          <cell r="I2642" t="str">
            <v>-</v>
          </cell>
          <cell r="J2642">
            <v>149.91139999999999</v>
          </cell>
          <cell r="K2642" t="str">
            <v>Small Cap</v>
          </cell>
        </row>
        <row r="2643">
          <cell r="C2643" t="str">
            <v>INE01II01013</v>
          </cell>
          <cell r="D2643" t="str">
            <v>-</v>
          </cell>
          <cell r="E2643" t="str">
            <v>-</v>
          </cell>
          <cell r="F2643" t="str">
            <v>SILGO</v>
          </cell>
          <cell r="G2643">
            <v>149.8509</v>
          </cell>
          <cell r="H2643" t="str">
            <v>-</v>
          </cell>
          <cell r="I2643" t="str">
            <v>-</v>
          </cell>
          <cell r="J2643">
            <v>149.8509</v>
          </cell>
          <cell r="K2643" t="str">
            <v>Small Cap</v>
          </cell>
        </row>
        <row r="2644">
          <cell r="C2644" t="str">
            <v>INE515C01023</v>
          </cell>
          <cell r="D2644" t="str">
            <v>LAHOTIOV</v>
          </cell>
          <cell r="E2644">
            <v>149.74286597599999</v>
          </cell>
          <cell r="F2644" t="str">
            <v>-</v>
          </cell>
          <cell r="G2644" t="str">
            <v>-</v>
          </cell>
          <cell r="H2644" t="str">
            <v>-</v>
          </cell>
          <cell r="I2644" t="str">
            <v>-</v>
          </cell>
          <cell r="J2644">
            <v>149.74286597599999</v>
          </cell>
          <cell r="K2644" t="str">
            <v>Small Cap</v>
          </cell>
        </row>
        <row r="2645">
          <cell r="C2645" t="str">
            <v>INE0QZF01012</v>
          </cell>
          <cell r="D2645" t="str">
            <v>GPSL</v>
          </cell>
          <cell r="E2645">
            <v>148.97395802899999</v>
          </cell>
          <cell r="F2645" t="str">
            <v>-</v>
          </cell>
          <cell r="G2645" t="str">
            <v>-</v>
          </cell>
          <cell r="H2645" t="str">
            <v>-</v>
          </cell>
          <cell r="I2645" t="str">
            <v>-</v>
          </cell>
          <cell r="J2645">
            <v>148.97395802899999</v>
          </cell>
          <cell r="K2645" t="str">
            <v>Small Cap</v>
          </cell>
        </row>
        <row r="2646">
          <cell r="C2646" t="str">
            <v>INE603D01017</v>
          </cell>
          <cell r="D2646" t="str">
            <v>VEGA</v>
          </cell>
          <cell r="E2646">
            <v>148.96048814300002</v>
          </cell>
          <cell r="F2646" t="str">
            <v>-</v>
          </cell>
          <cell r="G2646" t="str">
            <v>-</v>
          </cell>
          <cell r="H2646" t="str">
            <v>-</v>
          </cell>
          <cell r="I2646" t="str">
            <v>-</v>
          </cell>
          <cell r="J2646">
            <v>148.96048814300002</v>
          </cell>
          <cell r="K2646" t="str">
            <v>Small Cap</v>
          </cell>
        </row>
        <row r="2647">
          <cell r="C2647" t="str">
            <v>INE001E01012</v>
          </cell>
          <cell r="D2647" t="str">
            <v>PREMCO</v>
          </cell>
          <cell r="E2647">
            <v>148.93750028599999</v>
          </cell>
          <cell r="F2647" t="str">
            <v>-</v>
          </cell>
          <cell r="G2647" t="str">
            <v>-</v>
          </cell>
          <cell r="H2647" t="str">
            <v>-</v>
          </cell>
          <cell r="I2647" t="str">
            <v>-</v>
          </cell>
          <cell r="J2647">
            <v>148.93750028599999</v>
          </cell>
          <cell r="K2647" t="str">
            <v>Small Cap</v>
          </cell>
        </row>
        <row r="2648">
          <cell r="C2648" t="str">
            <v>INE321M01017</v>
          </cell>
          <cell r="D2648" t="str">
            <v>SONAL</v>
          </cell>
          <cell r="E2648">
            <v>148.93174237299999</v>
          </cell>
          <cell r="F2648" t="str">
            <v>-</v>
          </cell>
          <cell r="G2648" t="str">
            <v>-</v>
          </cell>
          <cell r="H2648" t="str">
            <v>-</v>
          </cell>
          <cell r="I2648" t="str">
            <v>-</v>
          </cell>
          <cell r="J2648">
            <v>148.93174237299999</v>
          </cell>
          <cell r="K2648" t="str">
            <v>Small Cap</v>
          </cell>
        </row>
        <row r="2649">
          <cell r="C2649" t="str">
            <v>INE877E01015</v>
          </cell>
          <cell r="D2649" t="str">
            <v>GUJINTRX</v>
          </cell>
          <cell r="E2649">
            <v>148.85427542899998</v>
          </cell>
          <cell r="F2649" t="str">
            <v>-</v>
          </cell>
          <cell r="G2649" t="str">
            <v>-</v>
          </cell>
          <cell r="H2649" t="str">
            <v>-</v>
          </cell>
          <cell r="I2649" t="str">
            <v>-</v>
          </cell>
          <cell r="J2649">
            <v>148.85427542899998</v>
          </cell>
          <cell r="K2649" t="str">
            <v>Small Cap</v>
          </cell>
        </row>
        <row r="2650">
          <cell r="C2650" t="str">
            <v>INE573B01016</v>
          </cell>
          <cell r="D2650" t="str">
            <v>PRIMAPLA</v>
          </cell>
          <cell r="E2650">
            <v>148.74488095199999</v>
          </cell>
          <cell r="F2650" t="str">
            <v>-</v>
          </cell>
          <cell r="G2650" t="str">
            <v>-</v>
          </cell>
          <cell r="H2650" t="str">
            <v>-</v>
          </cell>
          <cell r="I2650" t="str">
            <v>-</v>
          </cell>
          <cell r="J2650">
            <v>148.74488095199999</v>
          </cell>
          <cell r="K2650" t="str">
            <v>Small Cap</v>
          </cell>
        </row>
        <row r="2651">
          <cell r="C2651" t="str">
            <v>INE953W01016</v>
          </cell>
          <cell r="D2651" t="str">
            <v>ESCORP</v>
          </cell>
          <cell r="E2651">
            <v>148.688736221</v>
          </cell>
          <cell r="F2651" t="str">
            <v>-</v>
          </cell>
          <cell r="G2651" t="str">
            <v>-</v>
          </cell>
          <cell r="H2651" t="str">
            <v>-</v>
          </cell>
          <cell r="I2651" t="str">
            <v>-</v>
          </cell>
          <cell r="J2651">
            <v>148.688736221</v>
          </cell>
          <cell r="K2651" t="str">
            <v>Small Cap</v>
          </cell>
        </row>
        <row r="2652">
          <cell r="C2652" t="str">
            <v>INE064L01015</v>
          </cell>
          <cell r="D2652" t="str">
            <v>GLOBUSCON</v>
          </cell>
          <cell r="E2652">
            <v>148.619046349</v>
          </cell>
          <cell r="F2652" t="str">
            <v>-</v>
          </cell>
          <cell r="G2652" t="str">
            <v>-</v>
          </cell>
          <cell r="H2652" t="str">
            <v>-</v>
          </cell>
          <cell r="I2652" t="str">
            <v>-</v>
          </cell>
          <cell r="J2652">
            <v>148.619046349</v>
          </cell>
          <cell r="K2652" t="str">
            <v>Small Cap</v>
          </cell>
        </row>
        <row r="2653">
          <cell r="C2653" t="str">
            <v>INE235U01012</v>
          </cell>
          <cell r="D2653" t="str">
            <v>SIZEMASTER</v>
          </cell>
          <cell r="E2653">
            <v>148.012301587</v>
          </cell>
          <cell r="F2653" t="str">
            <v>-</v>
          </cell>
          <cell r="G2653" t="str">
            <v>-</v>
          </cell>
          <cell r="H2653" t="str">
            <v>-</v>
          </cell>
          <cell r="I2653" t="str">
            <v>-</v>
          </cell>
          <cell r="J2653">
            <v>148.012301587</v>
          </cell>
          <cell r="K2653" t="str">
            <v>Small Cap</v>
          </cell>
        </row>
        <row r="2654">
          <cell r="C2654" t="str">
            <v>INE581L01018</v>
          </cell>
          <cell r="D2654" t="str">
            <v>JSLINDL</v>
          </cell>
          <cell r="E2654">
            <v>147.87000918499999</v>
          </cell>
          <cell r="F2654" t="str">
            <v>-</v>
          </cell>
          <cell r="G2654" t="str">
            <v>-</v>
          </cell>
          <cell r="H2654" t="str">
            <v>-</v>
          </cell>
          <cell r="I2654" t="str">
            <v>-</v>
          </cell>
          <cell r="J2654">
            <v>147.87000918499999</v>
          </cell>
          <cell r="K2654" t="str">
            <v>Small Cap</v>
          </cell>
        </row>
        <row r="2655">
          <cell r="C2655" t="str">
            <v>INE179O01031</v>
          </cell>
          <cell r="D2655" t="str">
            <v>SPRIGHT</v>
          </cell>
          <cell r="E2655">
            <v>147.629928009</v>
          </cell>
          <cell r="F2655" t="str">
            <v>-</v>
          </cell>
          <cell r="G2655" t="str">
            <v>-</v>
          </cell>
          <cell r="H2655" t="str">
            <v>-</v>
          </cell>
          <cell r="I2655" t="str">
            <v>-</v>
          </cell>
          <cell r="J2655">
            <v>147.629928009</v>
          </cell>
          <cell r="K2655" t="str">
            <v>Small Cap</v>
          </cell>
        </row>
        <row r="2656">
          <cell r="C2656" t="str">
            <v>INE960A01017</v>
          </cell>
          <cell r="D2656" t="str">
            <v>SHILGRAVQ</v>
          </cell>
          <cell r="E2656">
            <v>147.59666423800002</v>
          </cell>
          <cell r="F2656" t="str">
            <v>-</v>
          </cell>
          <cell r="G2656" t="str">
            <v>-</v>
          </cell>
          <cell r="H2656" t="str">
            <v>-</v>
          </cell>
          <cell r="I2656" t="str">
            <v>-</v>
          </cell>
          <cell r="J2656">
            <v>147.59666423800002</v>
          </cell>
          <cell r="K2656" t="str">
            <v>Small Cap</v>
          </cell>
        </row>
        <row r="2657">
          <cell r="C2657" t="str">
            <v>INE974F01025</v>
          </cell>
          <cell r="D2657" t="str">
            <v>SCL</v>
          </cell>
          <cell r="E2657">
            <v>147.454350127</v>
          </cell>
          <cell r="F2657" t="str">
            <v>-</v>
          </cell>
          <cell r="G2657" t="str">
            <v>-</v>
          </cell>
          <cell r="H2657" t="str">
            <v>-</v>
          </cell>
          <cell r="I2657" t="str">
            <v>-</v>
          </cell>
          <cell r="J2657">
            <v>147.454350127</v>
          </cell>
          <cell r="K2657" t="str">
            <v>Small Cap</v>
          </cell>
        </row>
        <row r="2658">
          <cell r="C2658" t="str">
            <v>INE300B01022</v>
          </cell>
          <cell r="D2658" t="str">
            <v>INDINFO</v>
          </cell>
          <cell r="E2658">
            <v>147.249872509</v>
          </cell>
          <cell r="F2658" t="str">
            <v>-</v>
          </cell>
          <cell r="G2658" t="str">
            <v>-</v>
          </cell>
          <cell r="H2658" t="str">
            <v>-</v>
          </cell>
          <cell r="I2658" t="str">
            <v>-</v>
          </cell>
          <cell r="J2658">
            <v>147.249872509</v>
          </cell>
          <cell r="K2658" t="str">
            <v>Small Cap</v>
          </cell>
        </row>
        <row r="2659">
          <cell r="C2659" t="str">
            <v>INE0A6N01026</v>
          </cell>
          <cell r="D2659" t="str">
            <v>MCPL</v>
          </cell>
          <cell r="E2659">
            <v>146.63646210299999</v>
          </cell>
          <cell r="F2659" t="str">
            <v>-</v>
          </cell>
          <cell r="G2659" t="str">
            <v>-</v>
          </cell>
          <cell r="H2659" t="str">
            <v>-</v>
          </cell>
          <cell r="I2659" t="str">
            <v>-</v>
          </cell>
          <cell r="J2659">
            <v>146.63646210299999</v>
          </cell>
          <cell r="K2659" t="str">
            <v>Small Cap</v>
          </cell>
        </row>
        <row r="2660">
          <cell r="C2660" t="str">
            <v>INE013J01016</v>
          </cell>
          <cell r="D2660" t="str">
            <v>KVFORGE</v>
          </cell>
          <cell r="E2660">
            <v>146.55019302400001</v>
          </cell>
          <cell r="F2660" t="str">
            <v>-</v>
          </cell>
          <cell r="G2660" t="str">
            <v>-</v>
          </cell>
          <cell r="H2660" t="str">
            <v>-</v>
          </cell>
          <cell r="I2660" t="str">
            <v>-</v>
          </cell>
          <cell r="J2660">
            <v>146.55019302400001</v>
          </cell>
          <cell r="K2660" t="str">
            <v>Small Cap</v>
          </cell>
        </row>
        <row r="2661">
          <cell r="C2661" t="str">
            <v>INE702A01013</v>
          </cell>
          <cell r="D2661" t="str">
            <v>VARUNSHIP</v>
          </cell>
          <cell r="E2661">
            <v>146.40758644799999</v>
          </cell>
          <cell r="F2661" t="str">
            <v>-</v>
          </cell>
          <cell r="G2661" t="str">
            <v>-</v>
          </cell>
          <cell r="H2661" t="str">
            <v>-</v>
          </cell>
          <cell r="I2661" t="str">
            <v>-</v>
          </cell>
          <cell r="J2661">
            <v>146.40758644799999</v>
          </cell>
          <cell r="K2661" t="str">
            <v>Small Cap</v>
          </cell>
        </row>
        <row r="2662">
          <cell r="C2662" t="str">
            <v>INE031G01022</v>
          </cell>
          <cell r="D2662" t="str">
            <v>OPTIFIN</v>
          </cell>
          <cell r="E2662">
            <v>146.24121355599999</v>
          </cell>
          <cell r="F2662" t="str">
            <v>-</v>
          </cell>
          <cell r="G2662" t="str">
            <v>-</v>
          </cell>
          <cell r="H2662" t="str">
            <v>-</v>
          </cell>
          <cell r="I2662" t="str">
            <v>-</v>
          </cell>
          <cell r="J2662">
            <v>146.24121355599999</v>
          </cell>
          <cell r="K2662" t="str">
            <v>Small Cap</v>
          </cell>
        </row>
        <row r="2663">
          <cell r="C2663" t="str">
            <v>INE172E01011</v>
          </cell>
          <cell r="D2663" t="str">
            <v>SMRUTHIORG</v>
          </cell>
          <cell r="E2663">
            <v>146.02331936800002</v>
          </cell>
          <cell r="F2663" t="str">
            <v>-</v>
          </cell>
          <cell r="G2663" t="str">
            <v>-</v>
          </cell>
          <cell r="H2663" t="str">
            <v>SMRUTHI</v>
          </cell>
          <cell r="I2663">
            <v>146.01378079285706</v>
          </cell>
          <cell r="J2663">
            <v>146.01855008042855</v>
          </cell>
          <cell r="K2663" t="str">
            <v>Small Cap</v>
          </cell>
        </row>
        <row r="2664">
          <cell r="C2664" t="str">
            <v>INE627F01011</v>
          </cell>
          <cell r="D2664" t="str">
            <v>CENLUB</v>
          </cell>
          <cell r="E2664">
            <v>145.77091941700002</v>
          </cell>
          <cell r="F2664" t="str">
            <v>-</v>
          </cell>
          <cell r="G2664" t="str">
            <v>-</v>
          </cell>
          <cell r="H2664" t="str">
            <v>-</v>
          </cell>
          <cell r="I2664" t="str">
            <v>-</v>
          </cell>
          <cell r="J2664">
            <v>145.77091941700002</v>
          </cell>
          <cell r="K2664" t="str">
            <v>Small Cap</v>
          </cell>
        </row>
        <row r="2665">
          <cell r="C2665" t="str">
            <v>INE033C01019</v>
          </cell>
          <cell r="D2665" t="str">
            <v>ELNET</v>
          </cell>
          <cell r="E2665">
            <v>145.51866735599998</v>
          </cell>
          <cell r="F2665" t="str">
            <v>-</v>
          </cell>
          <cell r="G2665" t="str">
            <v>-</v>
          </cell>
          <cell r="H2665" t="str">
            <v>-</v>
          </cell>
          <cell r="I2665" t="str">
            <v>-</v>
          </cell>
          <cell r="J2665">
            <v>145.51866735599998</v>
          </cell>
          <cell r="K2665" t="str">
            <v>Small Cap</v>
          </cell>
        </row>
        <row r="2666">
          <cell r="C2666" t="str">
            <v>INE799C01031</v>
          </cell>
          <cell r="D2666" t="str">
            <v>SANINFRA</v>
          </cell>
          <cell r="E2666">
            <v>145.36313791700002</v>
          </cell>
          <cell r="F2666" t="str">
            <v>-</v>
          </cell>
          <cell r="G2666" t="str">
            <v>-</v>
          </cell>
          <cell r="H2666" t="str">
            <v>-</v>
          </cell>
          <cell r="I2666" t="str">
            <v>-</v>
          </cell>
          <cell r="J2666">
            <v>145.36313791700002</v>
          </cell>
          <cell r="K2666" t="str">
            <v>Small Cap</v>
          </cell>
        </row>
        <row r="2667">
          <cell r="C2667" t="str">
            <v>INE403F01017</v>
          </cell>
          <cell r="D2667" t="str">
            <v>THAKDEV</v>
          </cell>
          <cell r="E2667">
            <v>145.201071429</v>
          </cell>
          <cell r="F2667" t="str">
            <v>-</v>
          </cell>
          <cell r="G2667" t="str">
            <v>-</v>
          </cell>
          <cell r="H2667" t="str">
            <v>-</v>
          </cell>
          <cell r="I2667" t="str">
            <v>-</v>
          </cell>
          <cell r="J2667">
            <v>145.201071429</v>
          </cell>
          <cell r="K2667" t="str">
            <v>Small Cap</v>
          </cell>
        </row>
        <row r="2668">
          <cell r="C2668" t="str">
            <v>INE962E01015</v>
          </cell>
          <cell r="D2668" t="str">
            <v>SCOOBEEDAY</v>
          </cell>
          <cell r="E2668">
            <v>145.00283562199999</v>
          </cell>
          <cell r="F2668" t="str">
            <v>-</v>
          </cell>
          <cell r="G2668" t="str">
            <v>-</v>
          </cell>
          <cell r="H2668" t="str">
            <v>-</v>
          </cell>
          <cell r="I2668" t="str">
            <v>-</v>
          </cell>
          <cell r="J2668">
            <v>145.00283562199999</v>
          </cell>
          <cell r="K2668" t="str">
            <v>Small Cap</v>
          </cell>
        </row>
        <row r="2669">
          <cell r="C2669" t="str">
            <v>INE218C01016</v>
          </cell>
          <cell r="D2669" t="str">
            <v>AUSOMENT</v>
          </cell>
          <cell r="E2669">
            <v>145.41087414899999</v>
          </cell>
          <cell r="F2669" t="str">
            <v>AUSOMENT</v>
          </cell>
          <cell r="G2669">
            <v>144.36609999999999</v>
          </cell>
          <cell r="H2669" t="str">
            <v>-</v>
          </cell>
          <cell r="I2669" t="str">
            <v>-</v>
          </cell>
          <cell r="J2669">
            <v>144.88848707450001</v>
          </cell>
          <cell r="K2669" t="str">
            <v>Small Cap</v>
          </cell>
        </row>
        <row r="2670">
          <cell r="C2670" t="str">
            <v>INE428D01019</v>
          </cell>
          <cell r="D2670" t="str">
            <v>HINDTIN</v>
          </cell>
          <cell r="E2670">
            <v>144.598513027</v>
          </cell>
          <cell r="F2670" t="str">
            <v>-</v>
          </cell>
          <cell r="G2670" t="str">
            <v>-</v>
          </cell>
          <cell r="H2670" t="str">
            <v>-</v>
          </cell>
          <cell r="I2670" t="str">
            <v>-</v>
          </cell>
          <cell r="J2670">
            <v>144.598513027</v>
          </cell>
          <cell r="K2670" t="str">
            <v>Small Cap</v>
          </cell>
        </row>
        <row r="2671">
          <cell r="C2671" t="str">
            <v>INE06H201014</v>
          </cell>
          <cell r="D2671" t="str">
            <v>GENSOL</v>
          </cell>
          <cell r="E2671">
            <v>144.359785714</v>
          </cell>
          <cell r="F2671" t="str">
            <v>GENSOL</v>
          </cell>
          <cell r="G2671">
            <v>144.80770000000001</v>
          </cell>
          <cell r="H2671" t="str">
            <v>-</v>
          </cell>
          <cell r="I2671" t="str">
            <v>-</v>
          </cell>
          <cell r="J2671">
            <v>144.583742857</v>
          </cell>
          <cell r="K2671" t="str">
            <v>Small Cap</v>
          </cell>
        </row>
        <row r="2672">
          <cell r="C2672" t="str">
            <v>INE777A01023</v>
          </cell>
          <cell r="D2672" t="str">
            <v>NATHIND</v>
          </cell>
          <cell r="E2672">
            <v>144.55350793699998</v>
          </cell>
          <cell r="F2672" t="str">
            <v>-</v>
          </cell>
          <cell r="G2672" t="str">
            <v>-</v>
          </cell>
          <cell r="H2672" t="str">
            <v>-</v>
          </cell>
          <cell r="I2672" t="str">
            <v>-</v>
          </cell>
          <cell r="J2672">
            <v>144.55350793699998</v>
          </cell>
          <cell r="K2672" t="str">
            <v>Small Cap</v>
          </cell>
        </row>
        <row r="2673">
          <cell r="C2673" t="str">
            <v>INE017W01010</v>
          </cell>
          <cell r="D2673" t="str">
            <v>SMLT</v>
          </cell>
          <cell r="E2673">
            <v>144.57017027999999</v>
          </cell>
          <cell r="F2673" t="str">
            <v>SMLT</v>
          </cell>
          <cell r="G2673">
            <v>144.48480000000001</v>
          </cell>
          <cell r="H2673" t="str">
            <v>-</v>
          </cell>
          <cell r="I2673" t="str">
            <v>-</v>
          </cell>
          <cell r="J2673">
            <v>144.52748514000001</v>
          </cell>
          <cell r="K2673" t="str">
            <v>Small Cap</v>
          </cell>
        </row>
        <row r="2674">
          <cell r="C2674" t="str">
            <v>INE0S0701019</v>
          </cell>
          <cell r="D2674" t="str">
            <v>GVL</v>
          </cell>
          <cell r="E2674">
            <v>144.301866668</v>
          </cell>
          <cell r="F2674" t="str">
            <v>-</v>
          </cell>
          <cell r="G2674" t="str">
            <v>-</v>
          </cell>
          <cell r="H2674" t="str">
            <v>-</v>
          </cell>
          <cell r="I2674" t="str">
            <v>-</v>
          </cell>
          <cell r="J2674">
            <v>144.301866668</v>
          </cell>
          <cell r="K2674" t="str">
            <v>Small Cap</v>
          </cell>
        </row>
        <row r="2675">
          <cell r="C2675" t="str">
            <v>INE043A01012</v>
          </cell>
          <cell r="D2675" t="str">
            <v>GTL</v>
          </cell>
          <cell r="E2675">
            <v>144.15750623800002</v>
          </cell>
          <cell r="F2675" t="str">
            <v>GTL</v>
          </cell>
          <cell r="G2675">
            <v>144.04640000000001</v>
          </cell>
          <cell r="H2675" t="str">
            <v>-</v>
          </cell>
          <cell r="I2675" t="str">
            <v>-</v>
          </cell>
          <cell r="J2675">
            <v>144.10195311900003</v>
          </cell>
          <cell r="K2675" t="str">
            <v>Small Cap</v>
          </cell>
        </row>
        <row r="2676">
          <cell r="C2676" t="str">
            <v>INE625D01028</v>
          </cell>
          <cell r="D2676" t="str">
            <v>STANCAP</v>
          </cell>
          <cell r="E2676">
            <v>144.001888213</v>
          </cell>
          <cell r="F2676" t="str">
            <v>-</v>
          </cell>
          <cell r="G2676" t="str">
            <v>-</v>
          </cell>
          <cell r="H2676" t="str">
            <v>-</v>
          </cell>
          <cell r="I2676" t="str">
            <v>-</v>
          </cell>
          <cell r="J2676">
            <v>144.001888213</v>
          </cell>
          <cell r="K2676" t="str">
            <v>Small Cap</v>
          </cell>
        </row>
        <row r="2677">
          <cell r="C2677" t="str">
            <v>INE812S01012</v>
          </cell>
          <cell r="D2677" t="str">
            <v>OVOBELE</v>
          </cell>
          <cell r="E2677">
            <v>143.67622501600002</v>
          </cell>
          <cell r="F2677" t="str">
            <v>-</v>
          </cell>
          <cell r="G2677" t="str">
            <v>-</v>
          </cell>
          <cell r="H2677" t="str">
            <v>-</v>
          </cell>
          <cell r="I2677" t="str">
            <v>-</v>
          </cell>
          <cell r="J2677">
            <v>143.67622501600002</v>
          </cell>
          <cell r="K2677" t="str">
            <v>Small Cap</v>
          </cell>
        </row>
        <row r="2678">
          <cell r="C2678" t="str">
            <v>INE060E01018</v>
          </cell>
          <cell r="D2678" t="str">
            <v>KEMP</v>
          </cell>
          <cell r="E2678">
            <v>143.608860738</v>
          </cell>
          <cell r="F2678" t="str">
            <v>-</v>
          </cell>
          <cell r="G2678" t="str">
            <v>-</v>
          </cell>
          <cell r="H2678" t="str">
            <v>-</v>
          </cell>
          <cell r="I2678" t="str">
            <v>-</v>
          </cell>
          <cell r="J2678">
            <v>143.608860738</v>
          </cell>
          <cell r="K2678" t="str">
            <v>Small Cap</v>
          </cell>
        </row>
        <row r="2679">
          <cell r="C2679" t="str">
            <v>INE383L01019</v>
          </cell>
          <cell r="D2679" t="str">
            <v>PARNAXLAB</v>
          </cell>
          <cell r="E2679">
            <v>143.59936981800001</v>
          </cell>
          <cell r="F2679" t="str">
            <v>-</v>
          </cell>
          <cell r="G2679" t="str">
            <v>-</v>
          </cell>
          <cell r="H2679" t="str">
            <v>-</v>
          </cell>
          <cell r="I2679" t="str">
            <v>-</v>
          </cell>
          <cell r="J2679">
            <v>143.59936981800001</v>
          </cell>
          <cell r="K2679" t="str">
            <v>Small Cap</v>
          </cell>
        </row>
        <row r="2680">
          <cell r="C2680" t="str">
            <v>INE727C01024</v>
          </cell>
          <cell r="D2680" t="str">
            <v>CGFL</v>
          </cell>
          <cell r="E2680">
            <v>143.537214721</v>
          </cell>
          <cell r="F2680" t="str">
            <v>-</v>
          </cell>
          <cell r="G2680" t="str">
            <v>-</v>
          </cell>
          <cell r="H2680" t="str">
            <v>-</v>
          </cell>
          <cell r="I2680" t="str">
            <v>-</v>
          </cell>
          <cell r="J2680">
            <v>143.537214721</v>
          </cell>
          <cell r="K2680" t="str">
            <v>Small Cap</v>
          </cell>
        </row>
        <row r="2681">
          <cell r="C2681" t="str">
            <v>INE791E01018</v>
          </cell>
          <cell r="D2681" t="str">
            <v>KANSHST</v>
          </cell>
          <cell r="E2681">
            <v>143.455028301</v>
          </cell>
          <cell r="F2681" t="str">
            <v>-</v>
          </cell>
          <cell r="G2681" t="str">
            <v>-</v>
          </cell>
          <cell r="H2681" t="str">
            <v>-</v>
          </cell>
          <cell r="I2681" t="str">
            <v>-</v>
          </cell>
          <cell r="J2681">
            <v>143.455028301</v>
          </cell>
          <cell r="K2681" t="str">
            <v>Small Cap</v>
          </cell>
        </row>
        <row r="2682">
          <cell r="C2682" t="str">
            <v>INE317V01016</v>
          </cell>
          <cell r="D2682" t="str">
            <v>MITSU</v>
          </cell>
          <cell r="E2682">
            <v>143.28377509200001</v>
          </cell>
          <cell r="F2682" t="str">
            <v>-</v>
          </cell>
          <cell r="G2682" t="str">
            <v>-</v>
          </cell>
          <cell r="H2682" t="str">
            <v>-</v>
          </cell>
          <cell r="I2682" t="str">
            <v>-</v>
          </cell>
          <cell r="J2682">
            <v>143.28377509200001</v>
          </cell>
          <cell r="K2682" t="str">
            <v>Small Cap</v>
          </cell>
        </row>
        <row r="2683">
          <cell r="C2683" t="str">
            <v>INE589D01018</v>
          </cell>
          <cell r="D2683" t="str">
            <v>DHINDIA</v>
          </cell>
          <cell r="E2683">
            <v>142.99074809500001</v>
          </cell>
          <cell r="F2683" t="str">
            <v>-</v>
          </cell>
          <cell r="G2683" t="str">
            <v>-</v>
          </cell>
          <cell r="H2683" t="str">
            <v>-</v>
          </cell>
          <cell r="I2683" t="str">
            <v>-</v>
          </cell>
          <cell r="J2683">
            <v>142.99074809500001</v>
          </cell>
          <cell r="K2683" t="str">
            <v>Small Cap</v>
          </cell>
        </row>
        <row r="2684">
          <cell r="C2684" t="str">
            <v>INE793G01035</v>
          </cell>
          <cell r="D2684" t="str">
            <v>PMCFIN</v>
          </cell>
          <cell r="E2684">
            <v>142.98146412700001</v>
          </cell>
          <cell r="F2684" t="str">
            <v>-</v>
          </cell>
          <cell r="G2684" t="str">
            <v>-</v>
          </cell>
          <cell r="H2684" t="str">
            <v>-</v>
          </cell>
          <cell r="I2684" t="str">
            <v>-</v>
          </cell>
          <cell r="J2684">
            <v>142.98146412700001</v>
          </cell>
          <cell r="K2684" t="str">
            <v>Small Cap</v>
          </cell>
        </row>
        <row r="2685">
          <cell r="C2685" t="str">
            <v>INE020D01022</v>
          </cell>
          <cell r="D2685" t="str">
            <v>BAIDFIN</v>
          </cell>
          <cell r="E2685">
            <v>142.62470247799999</v>
          </cell>
          <cell r="F2685" t="str">
            <v>BAIDFIN</v>
          </cell>
          <cell r="G2685">
            <v>142.48099999999999</v>
          </cell>
          <cell r="H2685" t="str">
            <v>-</v>
          </cell>
          <cell r="I2685" t="str">
            <v>-</v>
          </cell>
          <cell r="J2685">
            <v>142.55285123900001</v>
          </cell>
          <cell r="K2685" t="str">
            <v>Small Cap</v>
          </cell>
        </row>
        <row r="2686">
          <cell r="C2686" t="str">
            <v>INE178C01020</v>
          </cell>
          <cell r="D2686" t="str">
            <v>SMARTLINK</v>
          </cell>
          <cell r="E2686">
            <v>142.61043749999999</v>
          </cell>
          <cell r="F2686" t="str">
            <v>SMARTLINK</v>
          </cell>
          <cell r="G2686">
            <v>142.44759999999999</v>
          </cell>
          <cell r="H2686" t="str">
            <v>-</v>
          </cell>
          <cell r="I2686" t="str">
            <v>-</v>
          </cell>
          <cell r="J2686">
            <v>142.52901874999998</v>
          </cell>
          <cell r="K2686" t="str">
            <v>Small Cap</v>
          </cell>
        </row>
        <row r="2687">
          <cell r="C2687" t="str">
            <v>INE843B01013</v>
          </cell>
          <cell r="D2687" t="str">
            <v>MAHAPEXLTD</v>
          </cell>
          <cell r="E2687">
            <v>142.542155374</v>
          </cell>
          <cell r="F2687" t="str">
            <v>MAHAPEXLTD</v>
          </cell>
          <cell r="G2687">
            <v>142.3631</v>
          </cell>
          <cell r="H2687" t="str">
            <v>-</v>
          </cell>
          <cell r="I2687" t="str">
            <v>-</v>
          </cell>
          <cell r="J2687">
            <v>142.45262768700002</v>
          </cell>
          <cell r="K2687" t="str">
            <v>Small Cap</v>
          </cell>
        </row>
        <row r="2688">
          <cell r="C2688" t="str">
            <v>INE764L01010</v>
          </cell>
          <cell r="D2688" t="str">
            <v>SADBHIN</v>
          </cell>
          <cell r="E2688">
            <v>142.469508996</v>
          </cell>
          <cell r="F2688" t="str">
            <v>SADBHIN</v>
          </cell>
          <cell r="G2688">
            <v>142.03899999999999</v>
          </cell>
          <cell r="H2688" t="str">
            <v>-</v>
          </cell>
          <cell r="I2688" t="str">
            <v>-</v>
          </cell>
          <cell r="J2688">
            <v>142.25425449799999</v>
          </cell>
          <cell r="K2688" t="str">
            <v>Small Cap</v>
          </cell>
        </row>
        <row r="2689">
          <cell r="C2689" t="str">
            <v>INE058I01013</v>
          </cell>
          <cell r="D2689" t="str">
            <v>LACTOSE</v>
          </cell>
          <cell r="E2689">
            <v>142.17137368299998</v>
          </cell>
          <cell r="F2689" t="str">
            <v>-</v>
          </cell>
          <cell r="G2689" t="str">
            <v>-</v>
          </cell>
          <cell r="H2689" t="str">
            <v>-</v>
          </cell>
          <cell r="I2689" t="str">
            <v>-</v>
          </cell>
          <cell r="J2689">
            <v>142.17137368299998</v>
          </cell>
          <cell r="K2689" t="str">
            <v>Small Cap</v>
          </cell>
        </row>
        <row r="2690">
          <cell r="C2690" t="str">
            <v>INE0RDM01013</v>
          </cell>
          <cell r="D2690" t="str">
            <v>DEEPAKCHEM</v>
          </cell>
          <cell r="E2690">
            <v>141.417377778</v>
          </cell>
          <cell r="F2690" t="str">
            <v>-</v>
          </cell>
          <cell r="G2690" t="str">
            <v>-</v>
          </cell>
          <cell r="H2690" t="str">
            <v>-</v>
          </cell>
          <cell r="I2690" t="str">
            <v>-</v>
          </cell>
          <cell r="J2690">
            <v>141.417377778</v>
          </cell>
          <cell r="K2690" t="str">
            <v>Small Cap</v>
          </cell>
        </row>
        <row r="2691">
          <cell r="C2691" t="str">
            <v>INE132C01027</v>
          </cell>
          <cell r="D2691" t="str">
            <v>SURYALA</v>
          </cell>
          <cell r="E2691">
            <v>141.29510130999998</v>
          </cell>
          <cell r="F2691" t="str">
            <v>-</v>
          </cell>
          <cell r="G2691" t="str">
            <v>-</v>
          </cell>
          <cell r="H2691" t="str">
            <v>-</v>
          </cell>
          <cell r="I2691" t="str">
            <v>-</v>
          </cell>
          <cell r="J2691">
            <v>141.29510130999998</v>
          </cell>
          <cell r="K2691" t="str">
            <v>Small Cap</v>
          </cell>
        </row>
        <row r="2692">
          <cell r="C2692" t="str">
            <v>INE0GD201014</v>
          </cell>
          <cell r="D2692" t="str">
            <v>SAMOR</v>
          </cell>
          <cell r="E2692">
            <v>140.989920635</v>
          </cell>
          <cell r="F2692" t="str">
            <v>-</v>
          </cell>
          <cell r="G2692" t="str">
            <v>-</v>
          </cell>
          <cell r="H2692" t="str">
            <v>-</v>
          </cell>
          <cell r="I2692" t="str">
            <v>-</v>
          </cell>
          <cell r="J2692">
            <v>140.989920635</v>
          </cell>
          <cell r="K2692" t="str">
            <v>Small Cap</v>
          </cell>
        </row>
        <row r="2693">
          <cell r="C2693" t="str">
            <v>INE617A01013</v>
          </cell>
          <cell r="D2693" t="str">
            <v>SEMAC</v>
          </cell>
          <cell r="E2693">
            <v>140.66765758099999</v>
          </cell>
          <cell r="F2693" t="str">
            <v>SEMAC</v>
          </cell>
          <cell r="G2693">
            <v>141.02080000000001</v>
          </cell>
          <cell r="H2693" t="str">
            <v>-</v>
          </cell>
          <cell r="I2693" t="str">
            <v>-</v>
          </cell>
          <cell r="J2693">
            <v>140.84422879049998</v>
          </cell>
          <cell r="K2693" t="str">
            <v>Small Cap</v>
          </cell>
        </row>
        <row r="2694">
          <cell r="C2694" t="str">
            <v>INE568F01017</v>
          </cell>
          <cell r="D2694" t="str">
            <v>SNL</v>
          </cell>
          <cell r="E2694">
            <v>139.68935117200002</v>
          </cell>
          <cell r="F2694" t="str">
            <v>-</v>
          </cell>
          <cell r="G2694" t="str">
            <v>-</v>
          </cell>
          <cell r="H2694" t="str">
            <v>-</v>
          </cell>
          <cell r="I2694" t="str">
            <v>-</v>
          </cell>
          <cell r="J2694">
            <v>139.68935117200002</v>
          </cell>
          <cell r="K2694" t="str">
            <v>Small Cap</v>
          </cell>
        </row>
        <row r="2695">
          <cell r="C2695" t="str">
            <v>INE412J01010</v>
          </cell>
          <cell r="D2695" t="str">
            <v>SAMRATFORG</v>
          </cell>
          <cell r="E2695">
            <v>139.26269841300001</v>
          </cell>
          <cell r="F2695" t="str">
            <v>-</v>
          </cell>
          <cell r="G2695" t="str">
            <v>-</v>
          </cell>
          <cell r="H2695" t="str">
            <v>-</v>
          </cell>
          <cell r="I2695" t="str">
            <v>-</v>
          </cell>
          <cell r="J2695">
            <v>139.26269841300001</v>
          </cell>
          <cell r="K2695" t="str">
            <v>Small Cap</v>
          </cell>
        </row>
        <row r="2696">
          <cell r="C2696" t="str">
            <v>INE867D01018</v>
          </cell>
          <cell r="D2696" t="str">
            <v>INDSILHYD</v>
          </cell>
          <cell r="E2696">
            <v>139.23749137999999</v>
          </cell>
          <cell r="F2696" t="str">
            <v>-</v>
          </cell>
          <cell r="G2696" t="str">
            <v>-</v>
          </cell>
          <cell r="H2696" t="str">
            <v>-</v>
          </cell>
          <cell r="I2696" t="str">
            <v>-</v>
          </cell>
          <cell r="J2696">
            <v>139.23749137999999</v>
          </cell>
          <cell r="K2696" t="str">
            <v>Small Cap</v>
          </cell>
        </row>
        <row r="2697">
          <cell r="C2697" t="str">
            <v>INE615R01029</v>
          </cell>
          <cell r="D2697" t="str">
            <v>TRU</v>
          </cell>
          <cell r="E2697">
            <v>138.97877099300001</v>
          </cell>
          <cell r="F2697" t="str">
            <v>TRU</v>
          </cell>
          <cell r="G2697">
            <v>138.52690000000001</v>
          </cell>
          <cell r="H2697" t="str">
            <v>-</v>
          </cell>
          <cell r="I2697" t="str">
            <v>-</v>
          </cell>
          <cell r="J2697">
            <v>138.75283549650001</v>
          </cell>
          <cell r="K2697" t="str">
            <v>Small Cap</v>
          </cell>
        </row>
        <row r="2698">
          <cell r="C2698" t="str">
            <v>INE700F01024</v>
          </cell>
          <cell r="D2698" t="str">
            <v>CFEL</v>
          </cell>
          <cell r="E2698">
            <v>138.72041142899999</v>
          </cell>
          <cell r="F2698" t="str">
            <v>-</v>
          </cell>
          <cell r="G2698" t="str">
            <v>-</v>
          </cell>
          <cell r="H2698" t="str">
            <v>-</v>
          </cell>
          <cell r="I2698" t="str">
            <v>-</v>
          </cell>
          <cell r="J2698">
            <v>138.72041142899999</v>
          </cell>
          <cell r="K2698" t="str">
            <v>Small Cap</v>
          </cell>
        </row>
        <row r="2699">
          <cell r="C2699" t="str">
            <v>INE561M01018</v>
          </cell>
          <cell r="D2699" t="str">
            <v>ISHANCH</v>
          </cell>
          <cell r="E2699">
            <v>141.91380552999999</v>
          </cell>
          <cell r="F2699" t="str">
            <v>ISHANCH</v>
          </cell>
          <cell r="G2699">
            <v>135.5214</v>
          </cell>
          <cell r="H2699" t="str">
            <v>-</v>
          </cell>
          <cell r="I2699" t="str">
            <v>-</v>
          </cell>
          <cell r="J2699">
            <v>138.71760276499998</v>
          </cell>
          <cell r="K2699" t="str">
            <v>Small Cap</v>
          </cell>
        </row>
        <row r="2700">
          <cell r="C2700" t="str">
            <v>INE839G01010</v>
          </cell>
          <cell r="D2700" t="str">
            <v>-</v>
          </cell>
          <cell r="E2700" t="str">
            <v>-</v>
          </cell>
          <cell r="F2700" t="str">
            <v>JOCIL</v>
          </cell>
          <cell r="G2700">
            <v>138.35149999999999</v>
          </cell>
          <cell r="H2700" t="str">
            <v>-</v>
          </cell>
          <cell r="I2700" t="str">
            <v>-</v>
          </cell>
          <cell r="J2700">
            <v>138.35149999999999</v>
          </cell>
          <cell r="K2700" t="str">
            <v>Small Cap</v>
          </cell>
        </row>
        <row r="2701">
          <cell r="C2701" t="str">
            <v>INE005C01017</v>
          </cell>
          <cell r="D2701" t="str">
            <v>RTSPOWR</v>
          </cell>
          <cell r="E2701">
            <v>138.29117783699999</v>
          </cell>
          <cell r="F2701" t="str">
            <v>-</v>
          </cell>
          <cell r="G2701" t="str">
            <v>-</v>
          </cell>
          <cell r="H2701" t="str">
            <v>-</v>
          </cell>
          <cell r="I2701" t="str">
            <v>-</v>
          </cell>
          <cell r="J2701">
            <v>138.29117783699999</v>
          </cell>
          <cell r="K2701" t="str">
            <v>Small Cap</v>
          </cell>
        </row>
        <row r="2702">
          <cell r="C2702" t="str">
            <v>INE540C01021</v>
          </cell>
          <cell r="D2702" t="str">
            <v>NARBADA</v>
          </cell>
          <cell r="E2702">
            <v>137.846255426</v>
          </cell>
          <cell r="F2702" t="str">
            <v>-</v>
          </cell>
          <cell r="G2702" t="str">
            <v>-</v>
          </cell>
          <cell r="H2702" t="str">
            <v>-</v>
          </cell>
          <cell r="I2702" t="str">
            <v>-</v>
          </cell>
          <cell r="J2702">
            <v>137.846255426</v>
          </cell>
          <cell r="K2702" t="str">
            <v>Small Cap</v>
          </cell>
        </row>
        <row r="2703">
          <cell r="C2703" t="str">
            <v>INE10XK01019</v>
          </cell>
          <cell r="D2703" t="str">
            <v>PRODOCS</v>
          </cell>
          <cell r="E2703">
            <v>137.36043749999999</v>
          </cell>
          <cell r="F2703" t="str">
            <v>-</v>
          </cell>
          <cell r="G2703" t="str">
            <v>-</v>
          </cell>
          <cell r="H2703" t="str">
            <v>-</v>
          </cell>
          <cell r="I2703" t="str">
            <v>-</v>
          </cell>
          <cell r="J2703">
            <v>137.36043749999999</v>
          </cell>
          <cell r="K2703" t="str">
            <v>Small Cap</v>
          </cell>
        </row>
        <row r="2704">
          <cell r="C2704" t="str">
            <v>INE229D01011</v>
          </cell>
          <cell r="D2704" t="str">
            <v>RRFIN</v>
          </cell>
          <cell r="E2704">
            <v>137.33158243299999</v>
          </cell>
          <cell r="F2704" t="str">
            <v>-</v>
          </cell>
          <cell r="G2704" t="str">
            <v>-</v>
          </cell>
          <cell r="H2704" t="str">
            <v>-</v>
          </cell>
          <cell r="I2704" t="str">
            <v>-</v>
          </cell>
          <cell r="J2704">
            <v>137.33158243299999</v>
          </cell>
          <cell r="K2704" t="str">
            <v>Small Cap</v>
          </cell>
        </row>
        <row r="2705">
          <cell r="C2705" t="str">
            <v>INE498E01010</v>
          </cell>
          <cell r="D2705" t="str">
            <v>SALONA</v>
          </cell>
          <cell r="E2705">
            <v>138.06538739300001</v>
          </cell>
          <cell r="F2705" t="str">
            <v>SALONA</v>
          </cell>
          <cell r="G2705">
            <v>136.0916</v>
          </cell>
          <cell r="H2705" t="str">
            <v>-</v>
          </cell>
          <cell r="I2705" t="str">
            <v>-</v>
          </cell>
          <cell r="J2705">
            <v>137.0784936965</v>
          </cell>
          <cell r="K2705" t="str">
            <v>Small Cap</v>
          </cell>
        </row>
        <row r="2706">
          <cell r="C2706" t="str">
            <v>INE273F01022</v>
          </cell>
          <cell r="D2706" t="str">
            <v>ALANSCOTT</v>
          </cell>
          <cell r="E2706">
            <v>137.02417052300001</v>
          </cell>
          <cell r="F2706" t="str">
            <v>-</v>
          </cell>
          <cell r="G2706" t="str">
            <v>-</v>
          </cell>
          <cell r="H2706" t="str">
            <v>-</v>
          </cell>
          <cell r="I2706" t="str">
            <v>-</v>
          </cell>
          <cell r="J2706">
            <v>137.02417052300001</v>
          </cell>
          <cell r="K2706" t="str">
            <v>Small Cap</v>
          </cell>
        </row>
        <row r="2707">
          <cell r="C2707" t="str">
            <v>INE207B01011</v>
          </cell>
          <cell r="D2707" t="str">
            <v>SHARP</v>
          </cell>
          <cell r="E2707">
            <v>136.90689981</v>
          </cell>
          <cell r="F2707" t="str">
            <v>-</v>
          </cell>
          <cell r="G2707" t="str">
            <v>-</v>
          </cell>
          <cell r="H2707" t="str">
            <v>-</v>
          </cell>
          <cell r="I2707" t="str">
            <v>-</v>
          </cell>
          <cell r="J2707">
            <v>136.90689981</v>
          </cell>
          <cell r="K2707" t="str">
            <v>Small Cap</v>
          </cell>
        </row>
        <row r="2708">
          <cell r="C2708" t="str">
            <v>INE191I01012</v>
          </cell>
          <cell r="D2708" t="str">
            <v>HDIL</v>
          </cell>
          <cell r="E2708">
            <v>137.209106201</v>
          </cell>
          <cell r="F2708" t="str">
            <v>HDIL</v>
          </cell>
          <cell r="G2708">
            <v>136.4605</v>
          </cell>
          <cell r="H2708" t="str">
            <v>-</v>
          </cell>
          <cell r="I2708" t="str">
            <v>-</v>
          </cell>
          <cell r="J2708">
            <v>136.83480310049998</v>
          </cell>
          <cell r="K2708" t="str">
            <v>Small Cap</v>
          </cell>
        </row>
        <row r="2709">
          <cell r="C2709" t="str">
            <v>INE594V01028</v>
          </cell>
          <cell r="D2709" t="str">
            <v>TEXELIN</v>
          </cell>
          <cell r="E2709">
            <v>136.41165451800001</v>
          </cell>
          <cell r="F2709" t="str">
            <v>-</v>
          </cell>
          <cell r="G2709" t="str">
            <v>-</v>
          </cell>
          <cell r="H2709" t="str">
            <v>-</v>
          </cell>
          <cell r="I2709" t="str">
            <v>-</v>
          </cell>
          <cell r="J2709">
            <v>136.41165451800001</v>
          </cell>
          <cell r="K2709" t="str">
            <v>Small Cap</v>
          </cell>
        </row>
        <row r="2710">
          <cell r="C2710" t="str">
            <v>INE946H01037</v>
          </cell>
          <cell r="D2710" t="str">
            <v>VIPULLTD</v>
          </cell>
          <cell r="E2710">
            <v>136.42416466700001</v>
          </cell>
          <cell r="F2710" t="str">
            <v>VIPULLTD</v>
          </cell>
          <cell r="G2710">
            <v>136.2105</v>
          </cell>
          <cell r="H2710" t="str">
            <v>-</v>
          </cell>
          <cell r="I2710" t="str">
            <v>-</v>
          </cell>
          <cell r="J2710">
            <v>136.31733233350002</v>
          </cell>
          <cell r="K2710" t="str">
            <v>Small Cap</v>
          </cell>
        </row>
        <row r="2711">
          <cell r="C2711" t="str">
            <v>INE813V01022</v>
          </cell>
          <cell r="D2711" t="str">
            <v>-</v>
          </cell>
          <cell r="E2711" t="str">
            <v>-</v>
          </cell>
          <cell r="F2711" t="str">
            <v>MCL</v>
          </cell>
          <cell r="G2711">
            <v>136.30529999999999</v>
          </cell>
          <cell r="H2711" t="str">
            <v>-</v>
          </cell>
          <cell r="I2711" t="str">
            <v>-</v>
          </cell>
          <cell r="J2711">
            <v>136.30529999999999</v>
          </cell>
          <cell r="K2711" t="str">
            <v>Small Cap</v>
          </cell>
        </row>
        <row r="2712">
          <cell r="C2712" t="str">
            <v>INE083D01012</v>
          </cell>
          <cell r="D2712" t="str">
            <v>BALPHARMA</v>
          </cell>
          <cell r="E2712">
            <v>136.341925344</v>
          </cell>
          <cell r="F2712" t="str">
            <v>BALPHARMA</v>
          </cell>
          <cell r="G2712">
            <v>136.2287</v>
          </cell>
          <cell r="H2712" t="str">
            <v>-</v>
          </cell>
          <cell r="I2712" t="str">
            <v>-</v>
          </cell>
          <cell r="J2712">
            <v>136.285312672</v>
          </cell>
          <cell r="K2712" t="str">
            <v>Small Cap</v>
          </cell>
        </row>
        <row r="2713">
          <cell r="C2713" t="str">
            <v>INE215F01023</v>
          </cell>
          <cell r="D2713" t="str">
            <v>-</v>
          </cell>
          <cell r="E2713" t="str">
            <v>-</v>
          </cell>
          <cell r="F2713" t="str">
            <v>WIPL</v>
          </cell>
          <cell r="G2713">
            <v>136.27709999999999</v>
          </cell>
          <cell r="H2713" t="str">
            <v>-</v>
          </cell>
          <cell r="I2713" t="str">
            <v>-</v>
          </cell>
          <cell r="J2713">
            <v>136.27709999999999</v>
          </cell>
          <cell r="K2713" t="str">
            <v>Small Cap</v>
          </cell>
        </row>
        <row r="2714">
          <cell r="C2714" t="str">
            <v>INE443B01012</v>
          </cell>
          <cell r="D2714" t="str">
            <v>TYCHE</v>
          </cell>
          <cell r="E2714">
            <v>136.12772817499999</v>
          </cell>
          <cell r="F2714" t="str">
            <v>-</v>
          </cell>
          <cell r="G2714" t="str">
            <v>-</v>
          </cell>
          <cell r="H2714" t="str">
            <v>-</v>
          </cell>
          <cell r="I2714" t="str">
            <v>-</v>
          </cell>
          <cell r="J2714">
            <v>136.12772817499999</v>
          </cell>
          <cell r="K2714" t="str">
            <v>Small Cap</v>
          </cell>
        </row>
        <row r="2715">
          <cell r="C2715" t="str">
            <v>INE0XLO01010</v>
          </cell>
          <cell r="D2715" t="str">
            <v>ADMACH</v>
          </cell>
          <cell r="E2715">
            <v>135.96395999999999</v>
          </cell>
          <cell r="F2715" t="str">
            <v>-</v>
          </cell>
          <cell r="G2715" t="str">
            <v>-</v>
          </cell>
          <cell r="H2715" t="str">
            <v>-</v>
          </cell>
          <cell r="I2715" t="str">
            <v>-</v>
          </cell>
          <cell r="J2715">
            <v>135.96395999999999</v>
          </cell>
          <cell r="K2715" t="str">
            <v>Small Cap</v>
          </cell>
        </row>
        <row r="2716">
          <cell r="C2716" t="str">
            <v>INE597L01014</v>
          </cell>
          <cell r="D2716" t="str">
            <v>LOVABLE</v>
          </cell>
          <cell r="E2716">
            <v>135.95362222200001</v>
          </cell>
          <cell r="F2716" t="str">
            <v>LOVABLE</v>
          </cell>
          <cell r="G2716">
            <v>135.881</v>
          </cell>
          <cell r="H2716" t="str">
            <v>-</v>
          </cell>
          <cell r="I2716" t="str">
            <v>-</v>
          </cell>
          <cell r="J2716">
            <v>135.917311111</v>
          </cell>
          <cell r="K2716" t="str">
            <v>Small Cap</v>
          </cell>
        </row>
        <row r="2717">
          <cell r="C2717" t="str">
            <v>INE919C01019</v>
          </cell>
          <cell r="D2717" t="str">
            <v>JETKINGQ</v>
          </cell>
          <cell r="E2717">
            <v>135.3999</v>
          </cell>
          <cell r="F2717" t="str">
            <v>-</v>
          </cell>
          <cell r="G2717" t="str">
            <v>-</v>
          </cell>
          <cell r="H2717" t="str">
            <v>-</v>
          </cell>
          <cell r="I2717" t="str">
            <v>-</v>
          </cell>
          <cell r="J2717">
            <v>135.3999</v>
          </cell>
          <cell r="K2717" t="str">
            <v>Small Cap</v>
          </cell>
        </row>
        <row r="2718">
          <cell r="C2718" t="str">
            <v>INE970D01010</v>
          </cell>
          <cell r="D2718" t="str">
            <v>LOYALTEX</v>
          </cell>
          <cell r="E2718">
            <v>135.696103155</v>
          </cell>
          <cell r="F2718" t="str">
            <v>LOYALTEX</v>
          </cell>
          <cell r="G2718">
            <v>134.77430000000001</v>
          </cell>
          <cell r="H2718" t="str">
            <v>-</v>
          </cell>
          <cell r="I2718" t="str">
            <v>-</v>
          </cell>
          <cell r="J2718">
            <v>135.23520157749999</v>
          </cell>
          <cell r="K2718" t="str">
            <v>Small Cap</v>
          </cell>
        </row>
        <row r="2719">
          <cell r="C2719" t="str">
            <v>INE819S01025</v>
          </cell>
          <cell r="D2719" t="str">
            <v>ZEAL</v>
          </cell>
          <cell r="E2719">
            <v>135.16176195200001</v>
          </cell>
          <cell r="F2719" t="str">
            <v>-</v>
          </cell>
          <cell r="G2719" t="str">
            <v>-</v>
          </cell>
          <cell r="H2719" t="str">
            <v>-</v>
          </cell>
          <cell r="I2719" t="str">
            <v>-</v>
          </cell>
          <cell r="J2719">
            <v>135.16176195200001</v>
          </cell>
          <cell r="K2719" t="str">
            <v>Small Cap</v>
          </cell>
        </row>
        <row r="2720">
          <cell r="C2720" t="str">
            <v>INE0RUJ01013</v>
          </cell>
          <cell r="D2720" t="str">
            <v>GEMENVIRO</v>
          </cell>
          <cell r="E2720">
            <v>134.98007245700001</v>
          </cell>
          <cell r="F2720" t="str">
            <v>-</v>
          </cell>
          <cell r="G2720" t="str">
            <v>-</v>
          </cell>
          <cell r="H2720" t="str">
            <v>-</v>
          </cell>
          <cell r="I2720" t="str">
            <v>-</v>
          </cell>
          <cell r="J2720">
            <v>134.98007245700001</v>
          </cell>
          <cell r="K2720" t="str">
            <v>Small Cap</v>
          </cell>
        </row>
        <row r="2721">
          <cell r="C2721" t="str">
            <v>INE099E01016</v>
          </cell>
          <cell r="D2721" t="str">
            <v>NAGPI</v>
          </cell>
          <cell r="E2721">
            <v>134.61495240899998</v>
          </cell>
          <cell r="F2721" t="str">
            <v>-</v>
          </cell>
          <cell r="G2721" t="str">
            <v>-</v>
          </cell>
          <cell r="H2721" t="str">
            <v>-</v>
          </cell>
          <cell r="I2721" t="str">
            <v>-</v>
          </cell>
          <cell r="J2721">
            <v>134.61495240899998</v>
          </cell>
          <cell r="K2721" t="str">
            <v>Small Cap</v>
          </cell>
        </row>
        <row r="2722">
          <cell r="C2722" t="str">
            <v>INE078T01026</v>
          </cell>
          <cell r="D2722" t="str">
            <v>KRRAIL</v>
          </cell>
          <cell r="E2722">
            <v>134.54974389200001</v>
          </cell>
          <cell r="F2722" t="str">
            <v>-</v>
          </cell>
          <cell r="G2722" t="str">
            <v>-</v>
          </cell>
          <cell r="H2722" t="str">
            <v>-</v>
          </cell>
          <cell r="I2722" t="str">
            <v>-</v>
          </cell>
          <cell r="J2722">
            <v>134.54974389200001</v>
          </cell>
          <cell r="K2722" t="str">
            <v>Small Cap</v>
          </cell>
        </row>
        <row r="2723">
          <cell r="C2723" t="str">
            <v>INE0RTI01017</v>
          </cell>
          <cell r="D2723" t="str">
            <v>OVAL</v>
          </cell>
          <cell r="E2723">
            <v>134.00254790399998</v>
          </cell>
          <cell r="F2723" t="str">
            <v>-</v>
          </cell>
          <cell r="G2723" t="str">
            <v>-</v>
          </cell>
          <cell r="H2723" t="str">
            <v>-</v>
          </cell>
          <cell r="I2723" t="str">
            <v>-</v>
          </cell>
          <cell r="J2723">
            <v>134.00254790399998</v>
          </cell>
          <cell r="K2723" t="str">
            <v>Small Cap</v>
          </cell>
        </row>
        <row r="2724">
          <cell r="C2724" t="str">
            <v>INE562B01019</v>
          </cell>
          <cell r="D2724" t="str">
            <v>RAJSREESUG</v>
          </cell>
          <cell r="E2724">
            <v>133.93227858499998</v>
          </cell>
          <cell r="F2724" t="str">
            <v>RAJSREESUG</v>
          </cell>
          <cell r="G2724">
            <v>133.83920000000001</v>
          </cell>
          <cell r="H2724" t="str">
            <v>-</v>
          </cell>
          <cell r="I2724" t="str">
            <v>-</v>
          </cell>
          <cell r="J2724">
            <v>133.88573929249998</v>
          </cell>
          <cell r="K2724" t="str">
            <v>Small Cap</v>
          </cell>
        </row>
        <row r="2725">
          <cell r="C2725" t="str">
            <v>INE936A01025</v>
          </cell>
          <cell r="D2725" t="str">
            <v>SURATRAML</v>
          </cell>
          <cell r="E2725">
            <v>133.77620093800002</v>
          </cell>
          <cell r="F2725" t="str">
            <v>-</v>
          </cell>
          <cell r="G2725" t="str">
            <v>-</v>
          </cell>
          <cell r="H2725" t="str">
            <v>-</v>
          </cell>
          <cell r="I2725" t="str">
            <v>-</v>
          </cell>
          <cell r="J2725">
            <v>133.77620093800002</v>
          </cell>
          <cell r="K2725" t="str">
            <v>Small Cap</v>
          </cell>
        </row>
        <row r="2726">
          <cell r="C2726" t="str">
            <v>INE00IK01029</v>
          </cell>
          <cell r="D2726" t="str">
            <v>-</v>
          </cell>
          <cell r="E2726" t="str">
            <v>-</v>
          </cell>
          <cell r="F2726" t="str">
            <v>OSWALSEEDS</v>
          </cell>
          <cell r="G2726">
            <v>133.3734</v>
          </cell>
          <cell r="H2726" t="str">
            <v>-</v>
          </cell>
          <cell r="I2726" t="str">
            <v>-</v>
          </cell>
          <cell r="J2726">
            <v>133.3734</v>
          </cell>
          <cell r="K2726" t="str">
            <v>Small Cap</v>
          </cell>
        </row>
        <row r="2727">
          <cell r="C2727" t="str">
            <v>INE116D01028</v>
          </cell>
          <cell r="D2727" t="str">
            <v>BAGFILMS</v>
          </cell>
          <cell r="E2727">
            <v>133.44077445799999</v>
          </cell>
          <cell r="F2727" t="str">
            <v>BAGFILMS</v>
          </cell>
          <cell r="G2727">
            <v>133.17060000000001</v>
          </cell>
          <cell r="H2727" t="str">
            <v>-</v>
          </cell>
          <cell r="I2727" t="str">
            <v>-</v>
          </cell>
          <cell r="J2727">
            <v>133.305687229</v>
          </cell>
          <cell r="K2727" t="str">
            <v>Small Cap</v>
          </cell>
        </row>
        <row r="2728">
          <cell r="C2728" t="str">
            <v>INE00SW01015</v>
          </cell>
          <cell r="D2728" t="str">
            <v>BCPL</v>
          </cell>
          <cell r="E2728">
            <v>133.25885849400001</v>
          </cell>
          <cell r="F2728" t="str">
            <v>-</v>
          </cell>
          <cell r="G2728" t="str">
            <v>-</v>
          </cell>
          <cell r="H2728" t="str">
            <v>-</v>
          </cell>
          <cell r="I2728" t="str">
            <v>-</v>
          </cell>
          <cell r="J2728">
            <v>133.25885849400001</v>
          </cell>
          <cell r="K2728" t="str">
            <v>Small Cap</v>
          </cell>
        </row>
        <row r="2729">
          <cell r="C2729" t="str">
            <v>INE640C01011</v>
          </cell>
          <cell r="D2729" t="str">
            <v>SHAHALLOYS</v>
          </cell>
          <cell r="E2729">
            <v>133.33564628299999</v>
          </cell>
          <cell r="F2729" t="str">
            <v>SHAHALLOYS</v>
          </cell>
          <cell r="G2729">
            <v>133.0558</v>
          </cell>
          <cell r="H2729" t="str">
            <v>-</v>
          </cell>
          <cell r="I2729" t="str">
            <v>-</v>
          </cell>
          <cell r="J2729">
            <v>133.1957231415</v>
          </cell>
          <cell r="K2729" t="str">
            <v>Small Cap</v>
          </cell>
        </row>
        <row r="2730">
          <cell r="C2730" t="str">
            <v>INE391G01012</v>
          </cell>
          <cell r="D2730" t="str">
            <v>SANCTRN</v>
          </cell>
          <cell r="E2730">
            <v>132.97935714300002</v>
          </cell>
          <cell r="F2730" t="str">
            <v>-</v>
          </cell>
          <cell r="G2730" t="str">
            <v>-</v>
          </cell>
          <cell r="H2730" t="str">
            <v>-</v>
          </cell>
          <cell r="I2730" t="str">
            <v>-</v>
          </cell>
          <cell r="J2730">
            <v>132.97935714300002</v>
          </cell>
          <cell r="K2730" t="str">
            <v>Small Cap</v>
          </cell>
        </row>
        <row r="2731">
          <cell r="C2731" t="str">
            <v>INE0BTM01013</v>
          </cell>
          <cell r="D2731" t="str">
            <v>SECMARK</v>
          </cell>
          <cell r="E2731">
            <v>133.692467867</v>
          </cell>
          <cell r="F2731" t="str">
            <v>SECMARK</v>
          </cell>
          <cell r="G2731">
            <v>132.15950000000001</v>
          </cell>
          <cell r="H2731" t="str">
            <v>-</v>
          </cell>
          <cell r="I2731" t="str">
            <v>-</v>
          </cell>
          <cell r="J2731">
            <v>132.92598393349999</v>
          </cell>
          <cell r="K2731" t="str">
            <v>Small Cap</v>
          </cell>
        </row>
        <row r="2732">
          <cell r="C2732" t="str">
            <v>INE489D01011</v>
          </cell>
          <cell r="D2732" t="str">
            <v>BNALTD</v>
          </cell>
          <cell r="E2732">
            <v>132.88826587299999</v>
          </cell>
          <cell r="F2732" t="str">
            <v>-</v>
          </cell>
          <cell r="G2732" t="str">
            <v>-</v>
          </cell>
          <cell r="H2732" t="str">
            <v>-</v>
          </cell>
          <cell r="I2732" t="str">
            <v>-</v>
          </cell>
          <cell r="J2732">
            <v>132.88826587299999</v>
          </cell>
          <cell r="K2732" t="str">
            <v>Small Cap</v>
          </cell>
        </row>
        <row r="2733">
          <cell r="C2733" t="str">
            <v>INE0SCB01016</v>
          </cell>
          <cell r="D2733" t="str">
            <v>AZTEC</v>
          </cell>
          <cell r="E2733">
            <v>132.765466667</v>
          </cell>
          <cell r="F2733" t="str">
            <v>-</v>
          </cell>
          <cell r="G2733" t="str">
            <v>-</v>
          </cell>
          <cell r="H2733" t="str">
            <v>-</v>
          </cell>
          <cell r="I2733" t="str">
            <v>-</v>
          </cell>
          <cell r="J2733">
            <v>132.765466667</v>
          </cell>
          <cell r="K2733" t="str">
            <v>Small Cap</v>
          </cell>
        </row>
        <row r="2734">
          <cell r="C2734" t="str">
            <v>INE706B01012</v>
          </cell>
          <cell r="D2734" t="str">
            <v>SAMKRG</v>
          </cell>
          <cell r="E2734">
            <v>132.625073095</v>
          </cell>
          <cell r="F2734" t="str">
            <v>-</v>
          </cell>
          <cell r="G2734" t="str">
            <v>-</v>
          </cell>
          <cell r="H2734" t="str">
            <v>-</v>
          </cell>
          <cell r="I2734" t="str">
            <v>-</v>
          </cell>
          <cell r="J2734">
            <v>132.625073095</v>
          </cell>
          <cell r="K2734" t="str">
            <v>Small Cap</v>
          </cell>
        </row>
        <row r="2735">
          <cell r="C2735" t="str">
            <v>INE927K01023</v>
          </cell>
          <cell r="D2735" t="str">
            <v>BAROEXT</v>
          </cell>
          <cell r="E2735">
            <v>132.09720437499999</v>
          </cell>
          <cell r="F2735" t="str">
            <v>-</v>
          </cell>
          <cell r="G2735" t="str">
            <v>-</v>
          </cell>
          <cell r="H2735" t="str">
            <v>-</v>
          </cell>
          <cell r="I2735" t="str">
            <v>-</v>
          </cell>
          <cell r="J2735">
            <v>132.09720437499999</v>
          </cell>
          <cell r="K2735" t="str">
            <v>Small Cap</v>
          </cell>
        </row>
        <row r="2736">
          <cell r="C2736" t="str">
            <v>INE170N01016</v>
          </cell>
          <cell r="D2736" t="str">
            <v>MESCON</v>
          </cell>
          <cell r="E2736">
            <v>132.08425</v>
          </cell>
          <cell r="F2736" t="str">
            <v>-</v>
          </cell>
          <cell r="G2736" t="str">
            <v>-</v>
          </cell>
          <cell r="H2736" t="str">
            <v>-</v>
          </cell>
          <cell r="I2736" t="str">
            <v>-</v>
          </cell>
          <cell r="J2736">
            <v>132.08425</v>
          </cell>
          <cell r="K2736" t="str">
            <v>Small Cap</v>
          </cell>
        </row>
        <row r="2737">
          <cell r="C2737" t="str">
            <v>INE145J01032</v>
          </cell>
          <cell r="D2737" t="str">
            <v>GUJTLRM</v>
          </cell>
          <cell r="E2737">
            <v>132.00114049300001</v>
          </cell>
          <cell r="F2737" t="str">
            <v>-</v>
          </cell>
          <cell r="G2737" t="str">
            <v>-</v>
          </cell>
          <cell r="H2737" t="str">
            <v>-</v>
          </cell>
          <cell r="I2737" t="str">
            <v>-</v>
          </cell>
          <cell r="J2737">
            <v>132.00114049300001</v>
          </cell>
          <cell r="K2737" t="str">
            <v>Small Cap</v>
          </cell>
        </row>
        <row r="2738">
          <cell r="C2738" t="str">
            <v>INE616F01022</v>
          </cell>
          <cell r="D2738" t="str">
            <v>RSDFIN</v>
          </cell>
          <cell r="E2738">
            <v>131.832567342</v>
          </cell>
          <cell r="F2738" t="str">
            <v>-</v>
          </cell>
          <cell r="G2738" t="str">
            <v>-</v>
          </cell>
          <cell r="H2738" t="str">
            <v>-</v>
          </cell>
          <cell r="I2738" t="str">
            <v>-</v>
          </cell>
          <cell r="J2738">
            <v>131.832567342</v>
          </cell>
          <cell r="K2738" t="str">
            <v>Small Cap</v>
          </cell>
        </row>
        <row r="2739">
          <cell r="C2739" t="str">
            <v>INE058B01018</v>
          </cell>
          <cell r="D2739" t="str">
            <v>ZENITHEXPO</v>
          </cell>
          <cell r="E2739">
            <v>131.991204315</v>
          </cell>
          <cell r="F2739" t="str">
            <v>ZENITHEXPO</v>
          </cell>
          <cell r="G2739">
            <v>131.61449999999999</v>
          </cell>
          <cell r="H2739" t="str">
            <v>-</v>
          </cell>
          <cell r="I2739" t="str">
            <v>-</v>
          </cell>
          <cell r="J2739">
            <v>131.80285215750001</v>
          </cell>
          <cell r="K2739" t="str">
            <v>Small Cap</v>
          </cell>
        </row>
        <row r="2740">
          <cell r="C2740" t="str">
            <v>INE144D01012</v>
          </cell>
          <cell r="D2740" t="str">
            <v>CUBEXTUB</v>
          </cell>
          <cell r="E2740">
            <v>131.87866889100002</v>
          </cell>
          <cell r="F2740" t="str">
            <v>CUBEXTUB</v>
          </cell>
          <cell r="G2740">
            <v>131.47319999999999</v>
          </cell>
          <cell r="H2740" t="str">
            <v>-</v>
          </cell>
          <cell r="I2740" t="str">
            <v>-</v>
          </cell>
          <cell r="J2740">
            <v>131.67593444549999</v>
          </cell>
          <cell r="K2740" t="str">
            <v>Small Cap</v>
          </cell>
        </row>
        <row r="2741">
          <cell r="C2741" t="str">
            <v>INE997D01021</v>
          </cell>
          <cell r="D2741" t="str">
            <v>NEWINFRA</v>
          </cell>
          <cell r="E2741">
            <v>131.64686499999999</v>
          </cell>
          <cell r="F2741" t="str">
            <v>-</v>
          </cell>
          <cell r="G2741" t="str">
            <v>-</v>
          </cell>
          <cell r="H2741" t="str">
            <v>-</v>
          </cell>
          <cell r="I2741" t="str">
            <v>-</v>
          </cell>
          <cell r="J2741">
            <v>131.64686499999999</v>
          </cell>
          <cell r="K2741" t="str">
            <v>Small Cap</v>
          </cell>
        </row>
        <row r="2742">
          <cell r="C2742" t="str">
            <v>INE262Z01023</v>
          </cell>
          <cell r="D2742" t="str">
            <v>-</v>
          </cell>
          <cell r="E2742" t="str">
            <v>-</v>
          </cell>
          <cell r="F2742" t="str">
            <v>LATTEYS</v>
          </cell>
          <cell r="G2742">
            <v>131.3588</v>
          </cell>
          <cell r="H2742" t="str">
            <v>-</v>
          </cell>
          <cell r="I2742" t="str">
            <v>-</v>
          </cell>
          <cell r="J2742">
            <v>131.3588</v>
          </cell>
          <cell r="K2742" t="str">
            <v>Small Cap</v>
          </cell>
        </row>
        <row r="2743">
          <cell r="C2743" t="str">
            <v>INE106G01014</v>
          </cell>
          <cell r="D2743" t="str">
            <v>BGWTATO</v>
          </cell>
          <cell r="E2743">
            <v>131.09432751</v>
          </cell>
          <cell r="F2743" t="str">
            <v>-</v>
          </cell>
          <cell r="G2743" t="str">
            <v>-</v>
          </cell>
          <cell r="H2743" t="str">
            <v>-</v>
          </cell>
          <cell r="I2743" t="str">
            <v>-</v>
          </cell>
          <cell r="J2743">
            <v>131.09432751</v>
          </cell>
          <cell r="K2743" t="str">
            <v>Small Cap</v>
          </cell>
        </row>
        <row r="2744">
          <cell r="C2744" t="str">
            <v>INE752P01024</v>
          </cell>
          <cell r="D2744" t="str">
            <v>FRETAIL</v>
          </cell>
          <cell r="E2744">
            <v>130.69046303900001</v>
          </cell>
          <cell r="F2744" t="str">
            <v>-</v>
          </cell>
          <cell r="G2744" t="str">
            <v>-</v>
          </cell>
          <cell r="H2744" t="str">
            <v>-</v>
          </cell>
          <cell r="I2744" t="str">
            <v>-</v>
          </cell>
          <cell r="J2744">
            <v>130.69046303900001</v>
          </cell>
          <cell r="K2744" t="str">
            <v>Small Cap</v>
          </cell>
        </row>
        <row r="2745">
          <cell r="C2745" t="str">
            <v>INE735M01018</v>
          </cell>
          <cell r="D2745" t="str">
            <v>SAMPANN</v>
          </cell>
          <cell r="E2745">
            <v>130.443832222</v>
          </cell>
          <cell r="F2745" t="str">
            <v>SAMPANN</v>
          </cell>
          <cell r="G2745">
            <v>130.39420000000001</v>
          </cell>
          <cell r="H2745" t="str">
            <v>-</v>
          </cell>
          <cell r="I2745" t="str">
            <v>-</v>
          </cell>
          <cell r="J2745">
            <v>130.41901611100002</v>
          </cell>
          <cell r="K2745" t="str">
            <v>Small Cap</v>
          </cell>
        </row>
        <row r="2746">
          <cell r="C2746" t="str">
            <v>INE902G01016</v>
          </cell>
          <cell r="D2746" t="str">
            <v>KGPETRO</v>
          </cell>
          <cell r="E2746">
            <v>130.189364286</v>
          </cell>
          <cell r="F2746" t="str">
            <v>-</v>
          </cell>
          <cell r="G2746" t="str">
            <v>-</v>
          </cell>
          <cell r="H2746" t="str">
            <v>-</v>
          </cell>
          <cell r="I2746" t="str">
            <v>-</v>
          </cell>
          <cell r="J2746">
            <v>130.189364286</v>
          </cell>
          <cell r="K2746" t="str">
            <v>Small Cap</v>
          </cell>
        </row>
        <row r="2747">
          <cell r="C2747" t="str">
            <v>INE084D01010</v>
          </cell>
          <cell r="D2747" t="str">
            <v>CGVAK</v>
          </cell>
          <cell r="E2747">
            <v>130.100767381</v>
          </cell>
          <cell r="F2747" t="str">
            <v>-</v>
          </cell>
          <cell r="G2747" t="str">
            <v>-</v>
          </cell>
          <cell r="H2747" t="str">
            <v>-</v>
          </cell>
          <cell r="I2747" t="str">
            <v>-</v>
          </cell>
          <cell r="J2747">
            <v>130.100767381</v>
          </cell>
          <cell r="K2747" t="str">
            <v>Small Cap</v>
          </cell>
        </row>
        <row r="2748">
          <cell r="C2748" t="str">
            <v>INE883C01025</v>
          </cell>
          <cell r="D2748" t="str">
            <v>PACIFICI</v>
          </cell>
          <cell r="E2748">
            <v>129.779026375</v>
          </cell>
          <cell r="F2748" t="str">
            <v>-</v>
          </cell>
          <cell r="G2748" t="str">
            <v>-</v>
          </cell>
          <cell r="H2748" t="str">
            <v>-</v>
          </cell>
          <cell r="I2748" t="str">
            <v>-</v>
          </cell>
          <cell r="J2748">
            <v>129.779026375</v>
          </cell>
          <cell r="K2748" t="str">
            <v>Small Cap</v>
          </cell>
        </row>
        <row r="2749">
          <cell r="C2749" t="str">
            <v>INE738V01013</v>
          </cell>
          <cell r="D2749" t="str">
            <v>-</v>
          </cell>
          <cell r="E2749" t="str">
            <v>-</v>
          </cell>
          <cell r="F2749" t="str">
            <v>ARTNIRMAN</v>
          </cell>
          <cell r="G2749">
            <v>129.72659999999999</v>
          </cell>
          <cell r="H2749" t="str">
            <v>-</v>
          </cell>
          <cell r="I2749" t="str">
            <v>-</v>
          </cell>
          <cell r="J2749">
            <v>129.72659999999999</v>
          </cell>
          <cell r="K2749" t="str">
            <v>Small Cap</v>
          </cell>
        </row>
        <row r="2750">
          <cell r="C2750" t="str">
            <v>INE501N01020</v>
          </cell>
          <cell r="D2750" t="str">
            <v>LATIMMETAL</v>
          </cell>
          <cell r="E2750">
            <v>129.65193305599999</v>
          </cell>
          <cell r="F2750" t="str">
            <v>-</v>
          </cell>
          <cell r="G2750" t="str">
            <v>-</v>
          </cell>
          <cell r="H2750" t="str">
            <v>-</v>
          </cell>
          <cell r="I2750" t="str">
            <v>-</v>
          </cell>
          <cell r="J2750">
            <v>129.65193305599999</v>
          </cell>
          <cell r="K2750" t="str">
            <v>Small Cap</v>
          </cell>
        </row>
        <row r="2751">
          <cell r="C2751" t="str">
            <v>INE0O9L01010</v>
          </cell>
          <cell r="D2751" t="str">
            <v>SHIPWAVES</v>
          </cell>
          <cell r="E2751">
            <v>129.65186850000001</v>
          </cell>
          <cell r="F2751" t="str">
            <v>-</v>
          </cell>
          <cell r="G2751" t="str">
            <v>-</v>
          </cell>
          <cell r="H2751" t="str">
            <v>-</v>
          </cell>
          <cell r="I2751" t="str">
            <v>-</v>
          </cell>
          <cell r="J2751">
            <v>129.65186850000001</v>
          </cell>
          <cell r="K2751" t="str">
            <v>Small Cap</v>
          </cell>
        </row>
        <row r="2752">
          <cell r="C2752" t="str">
            <v>INE0RH001011</v>
          </cell>
          <cell r="D2752" t="str">
            <v>VANDU</v>
          </cell>
          <cell r="E2752">
            <v>129.48461114700001</v>
          </cell>
          <cell r="F2752" t="str">
            <v>-</v>
          </cell>
          <cell r="G2752" t="str">
            <v>-</v>
          </cell>
          <cell r="H2752" t="str">
            <v>-</v>
          </cell>
          <cell r="I2752" t="str">
            <v>-</v>
          </cell>
          <cell r="J2752">
            <v>129.48461114700001</v>
          </cell>
          <cell r="K2752" t="str">
            <v>Small Cap</v>
          </cell>
        </row>
        <row r="2753">
          <cell r="C2753" t="str">
            <v>INE163701019</v>
          </cell>
          <cell r="D2753" t="str">
            <v>KVSCASTING</v>
          </cell>
          <cell r="E2753">
            <v>129.17914682</v>
          </cell>
          <cell r="F2753" t="str">
            <v>-</v>
          </cell>
          <cell r="G2753" t="str">
            <v>-</v>
          </cell>
          <cell r="H2753" t="str">
            <v>-</v>
          </cell>
          <cell r="I2753" t="str">
            <v>-</v>
          </cell>
          <cell r="J2753">
            <v>129.17914682</v>
          </cell>
          <cell r="K2753" t="str">
            <v>Small Cap</v>
          </cell>
        </row>
        <row r="2754">
          <cell r="C2754" t="str">
            <v>INE798D01015</v>
          </cell>
          <cell r="D2754" t="str">
            <v>GOLKUNDIA</v>
          </cell>
          <cell r="E2754">
            <v>129.112661438</v>
          </cell>
          <cell r="F2754" t="str">
            <v>-</v>
          </cell>
          <cell r="G2754" t="str">
            <v>-</v>
          </cell>
          <cell r="H2754" t="str">
            <v>-</v>
          </cell>
          <cell r="I2754" t="str">
            <v>-</v>
          </cell>
          <cell r="J2754">
            <v>129.112661438</v>
          </cell>
          <cell r="K2754" t="str">
            <v>Small Cap</v>
          </cell>
        </row>
        <row r="2755">
          <cell r="C2755" t="str">
            <v>INE924H01018</v>
          </cell>
          <cell r="D2755" t="str">
            <v>TARMAT</v>
          </cell>
          <cell r="E2755">
            <v>128.96263437900001</v>
          </cell>
          <cell r="F2755" t="str">
            <v>TARMAT</v>
          </cell>
          <cell r="G2755">
            <v>128.84649999999999</v>
          </cell>
          <cell r="H2755" t="str">
            <v>-</v>
          </cell>
          <cell r="I2755" t="str">
            <v>-</v>
          </cell>
          <cell r="J2755">
            <v>128.9045671895</v>
          </cell>
          <cell r="K2755" t="str">
            <v>Small Cap</v>
          </cell>
        </row>
        <row r="2756">
          <cell r="C2756" t="str">
            <v>INE213B01019</v>
          </cell>
          <cell r="D2756" t="str">
            <v>ODYSSEY</v>
          </cell>
          <cell r="E2756">
            <v>128.73468939599999</v>
          </cell>
          <cell r="F2756" t="str">
            <v>-</v>
          </cell>
          <cell r="G2756" t="str">
            <v>-</v>
          </cell>
          <cell r="H2756" t="str">
            <v>-</v>
          </cell>
          <cell r="I2756" t="str">
            <v>-</v>
          </cell>
          <cell r="J2756">
            <v>128.73468939599999</v>
          </cell>
          <cell r="K2756" t="str">
            <v>Small Cap</v>
          </cell>
        </row>
        <row r="2757">
          <cell r="C2757" t="str">
            <v>INE861A01058</v>
          </cell>
          <cell r="D2757" t="str">
            <v>VISESHINFO</v>
          </cell>
          <cell r="E2757">
            <v>128.33084627</v>
          </cell>
          <cell r="F2757" t="str">
            <v>-</v>
          </cell>
          <cell r="G2757" t="str">
            <v>-</v>
          </cell>
          <cell r="H2757" t="str">
            <v>-</v>
          </cell>
          <cell r="I2757" t="str">
            <v>-</v>
          </cell>
          <cell r="J2757">
            <v>128.33084627</v>
          </cell>
          <cell r="K2757" t="str">
            <v>Small Cap</v>
          </cell>
        </row>
        <row r="2758">
          <cell r="C2758" t="str">
            <v>INE117H01019</v>
          </cell>
          <cell r="D2758" t="str">
            <v>SSLEL</v>
          </cell>
          <cell r="E2758">
            <v>128.136875</v>
          </cell>
          <cell r="F2758" t="str">
            <v>-</v>
          </cell>
          <cell r="G2758" t="str">
            <v>-</v>
          </cell>
          <cell r="H2758" t="str">
            <v>-</v>
          </cell>
          <cell r="I2758" t="str">
            <v>-</v>
          </cell>
          <cell r="J2758">
            <v>128.136875</v>
          </cell>
          <cell r="K2758" t="str">
            <v>Small Cap</v>
          </cell>
        </row>
        <row r="2759">
          <cell r="C2759" t="str">
            <v>INE480Y01016</v>
          </cell>
          <cell r="D2759" t="str">
            <v>-</v>
          </cell>
          <cell r="E2759" t="str">
            <v>-</v>
          </cell>
          <cell r="F2759" t="str">
            <v>-</v>
          </cell>
          <cell r="G2759" t="str">
            <v>-</v>
          </cell>
          <cell r="H2759" t="str">
            <v>PARTAPIND</v>
          </cell>
          <cell r="I2759">
            <v>127.99792949999974</v>
          </cell>
          <cell r="J2759">
            <v>127.99792949999974</v>
          </cell>
          <cell r="K2759" t="str">
            <v>Small Cap</v>
          </cell>
        </row>
        <row r="2760">
          <cell r="C2760" t="str">
            <v>INE233P01017</v>
          </cell>
          <cell r="D2760" t="str">
            <v>SPTRSHI</v>
          </cell>
          <cell r="E2760">
            <v>127.81865166400001</v>
          </cell>
          <cell r="F2760" t="str">
            <v>-</v>
          </cell>
          <cell r="G2760" t="str">
            <v>-</v>
          </cell>
          <cell r="H2760" t="str">
            <v>-</v>
          </cell>
          <cell r="I2760" t="str">
            <v>-</v>
          </cell>
          <cell r="J2760">
            <v>127.81865166400001</v>
          </cell>
          <cell r="K2760" t="str">
            <v>Small Cap</v>
          </cell>
        </row>
        <row r="2761">
          <cell r="C2761" t="str">
            <v>INE051G01012</v>
          </cell>
          <cell r="D2761" t="str">
            <v>DENISCHEM</v>
          </cell>
          <cell r="E2761">
            <v>127.78979508299999</v>
          </cell>
          <cell r="F2761" t="str">
            <v>-</v>
          </cell>
          <cell r="G2761" t="str">
            <v>-</v>
          </cell>
          <cell r="H2761" t="str">
            <v>-</v>
          </cell>
          <cell r="I2761" t="str">
            <v>-</v>
          </cell>
          <cell r="J2761">
            <v>127.78979508299999</v>
          </cell>
          <cell r="K2761" t="str">
            <v>Small Cap</v>
          </cell>
        </row>
        <row r="2762">
          <cell r="C2762" t="str">
            <v>INE576B01019</v>
          </cell>
          <cell r="D2762" t="str">
            <v>ATHENAGLO</v>
          </cell>
          <cell r="E2762">
            <v>127.060371105</v>
          </cell>
          <cell r="F2762" t="str">
            <v>-</v>
          </cell>
          <cell r="G2762" t="str">
            <v>-</v>
          </cell>
          <cell r="H2762" t="str">
            <v>-</v>
          </cell>
          <cell r="I2762" t="str">
            <v>-</v>
          </cell>
          <cell r="J2762">
            <v>127.060371105</v>
          </cell>
          <cell r="K2762" t="str">
            <v>Small Cap</v>
          </cell>
        </row>
        <row r="2763">
          <cell r="C2763" t="str">
            <v>INE920B01019</v>
          </cell>
          <cell r="D2763" t="str">
            <v>TCIIND</v>
          </cell>
          <cell r="E2763">
            <v>127.036566104</v>
          </cell>
          <cell r="F2763" t="str">
            <v>-</v>
          </cell>
          <cell r="G2763" t="str">
            <v>-</v>
          </cell>
          <cell r="H2763" t="str">
            <v>-</v>
          </cell>
          <cell r="I2763" t="str">
            <v>-</v>
          </cell>
          <cell r="J2763">
            <v>127.036566104</v>
          </cell>
          <cell r="K2763" t="str">
            <v>Small Cap</v>
          </cell>
        </row>
        <row r="2764">
          <cell r="C2764" t="str">
            <v>INE218N01021</v>
          </cell>
          <cell r="D2764" t="str">
            <v>ZR2</v>
          </cell>
          <cell r="E2764">
            <v>126.34309646199999</v>
          </cell>
          <cell r="F2764" t="str">
            <v>-</v>
          </cell>
          <cell r="G2764" t="str">
            <v>-</v>
          </cell>
          <cell r="H2764" t="str">
            <v>-</v>
          </cell>
          <cell r="I2764" t="str">
            <v>-</v>
          </cell>
          <cell r="J2764">
            <v>126.34309646199999</v>
          </cell>
          <cell r="K2764" t="str">
            <v>Small Cap</v>
          </cell>
        </row>
        <row r="2765">
          <cell r="C2765" t="str">
            <v>INE673E01018</v>
          </cell>
          <cell r="D2765" t="str">
            <v>SMTEL</v>
          </cell>
          <cell r="E2765">
            <v>126.32503111099999</v>
          </cell>
          <cell r="F2765" t="str">
            <v>-</v>
          </cell>
          <cell r="G2765" t="str">
            <v>-</v>
          </cell>
          <cell r="H2765" t="str">
            <v>-</v>
          </cell>
          <cell r="I2765" t="str">
            <v>-</v>
          </cell>
          <cell r="J2765">
            <v>126.32503111099999</v>
          </cell>
          <cell r="K2765" t="str">
            <v>Small Cap</v>
          </cell>
        </row>
        <row r="2766">
          <cell r="C2766" t="str">
            <v>INE296C01020</v>
          </cell>
          <cell r="D2766" t="str">
            <v>FIBERWEB</v>
          </cell>
          <cell r="E2766">
            <v>126.18104010899999</v>
          </cell>
          <cell r="F2766" t="str">
            <v>FIBERWEB</v>
          </cell>
          <cell r="G2766">
            <v>126.1452</v>
          </cell>
          <cell r="H2766" t="str">
            <v>-</v>
          </cell>
          <cell r="I2766" t="str">
            <v>-</v>
          </cell>
          <cell r="J2766">
            <v>126.1631200545</v>
          </cell>
          <cell r="K2766" t="str">
            <v>Small Cap</v>
          </cell>
        </row>
        <row r="2767">
          <cell r="C2767" t="str">
            <v>INE0YJA01011</v>
          </cell>
          <cell r="D2767" t="str">
            <v>NANTA</v>
          </cell>
          <cell r="E2767">
            <v>126.0482769</v>
          </cell>
          <cell r="F2767" t="str">
            <v>-</v>
          </cell>
          <cell r="G2767" t="str">
            <v>-</v>
          </cell>
          <cell r="H2767" t="str">
            <v>-</v>
          </cell>
          <cell r="I2767" t="str">
            <v>-</v>
          </cell>
          <cell r="J2767">
            <v>126.0482769</v>
          </cell>
          <cell r="K2767" t="str">
            <v>Small Cap</v>
          </cell>
        </row>
        <row r="2768">
          <cell r="C2768" t="str">
            <v>INE112F01022</v>
          </cell>
          <cell r="D2768" t="str">
            <v>LAMBODHARA</v>
          </cell>
          <cell r="E2768">
            <v>114.89571052399999</v>
          </cell>
          <cell r="F2768" t="str">
            <v>LAMBODHARA</v>
          </cell>
          <cell r="G2768">
            <v>135.97219999999999</v>
          </cell>
          <cell r="H2768" t="str">
            <v>-</v>
          </cell>
          <cell r="I2768" t="str">
            <v>-</v>
          </cell>
          <cell r="J2768">
            <v>125.43395526199998</v>
          </cell>
          <cell r="K2768" t="str">
            <v>Small Cap</v>
          </cell>
        </row>
        <row r="2769">
          <cell r="C2769" t="str">
            <v>INE473E01021</v>
          </cell>
          <cell r="D2769" t="str">
            <v>BASANTGL</v>
          </cell>
          <cell r="E2769">
            <v>125.391058175</v>
          </cell>
          <cell r="F2769" t="str">
            <v>-</v>
          </cell>
          <cell r="G2769" t="str">
            <v>-</v>
          </cell>
          <cell r="H2769" t="str">
            <v>-</v>
          </cell>
          <cell r="I2769" t="str">
            <v>-</v>
          </cell>
          <cell r="J2769">
            <v>125.391058175</v>
          </cell>
          <cell r="K2769" t="str">
            <v>Small Cap</v>
          </cell>
        </row>
        <row r="2770">
          <cell r="C2770" t="str">
            <v>INE347C01013</v>
          </cell>
          <cell r="D2770" t="str">
            <v>RUNGTAIR</v>
          </cell>
          <cell r="E2770">
            <v>124.99148007300001</v>
          </cell>
          <cell r="F2770" t="str">
            <v>-</v>
          </cell>
          <cell r="G2770" t="str">
            <v>-</v>
          </cell>
          <cell r="H2770" t="str">
            <v>-</v>
          </cell>
          <cell r="I2770" t="str">
            <v>-</v>
          </cell>
          <cell r="J2770">
            <v>124.99148007300001</v>
          </cell>
          <cell r="K2770" t="str">
            <v>Small Cap</v>
          </cell>
        </row>
        <row r="2771">
          <cell r="C2771" t="str">
            <v>INE0GEN01012</v>
          </cell>
          <cell r="D2771" t="str">
            <v>SWANAGRO</v>
          </cell>
          <cell r="E2771">
            <v>124.862744756</v>
          </cell>
          <cell r="F2771" t="str">
            <v>-</v>
          </cell>
          <cell r="G2771" t="str">
            <v>-</v>
          </cell>
          <cell r="H2771" t="str">
            <v>-</v>
          </cell>
          <cell r="I2771" t="str">
            <v>-</v>
          </cell>
          <cell r="J2771">
            <v>124.862744756</v>
          </cell>
          <cell r="K2771" t="str">
            <v>Small Cap</v>
          </cell>
        </row>
        <row r="2772">
          <cell r="C2772" t="str">
            <v>INE02XD01011</v>
          </cell>
          <cell r="D2772" t="str">
            <v>HINDAPL</v>
          </cell>
          <cell r="E2772">
            <v>124.744606</v>
          </cell>
          <cell r="F2772" t="str">
            <v>-</v>
          </cell>
          <cell r="G2772" t="str">
            <v>-</v>
          </cell>
          <cell r="H2772" t="str">
            <v>-</v>
          </cell>
          <cell r="I2772" t="str">
            <v>-</v>
          </cell>
          <cell r="J2772">
            <v>124.744606</v>
          </cell>
          <cell r="K2772" t="str">
            <v>Small Cap</v>
          </cell>
        </row>
        <row r="2773">
          <cell r="C2773" t="str">
            <v>INE988D01012</v>
          </cell>
          <cell r="D2773" t="str">
            <v>RISHILASE</v>
          </cell>
          <cell r="E2773">
            <v>124.63706457100001</v>
          </cell>
          <cell r="F2773" t="str">
            <v>-</v>
          </cell>
          <cell r="G2773" t="str">
            <v>-</v>
          </cell>
          <cell r="H2773" t="str">
            <v>-</v>
          </cell>
          <cell r="I2773" t="str">
            <v>-</v>
          </cell>
          <cell r="J2773">
            <v>124.63706457100001</v>
          </cell>
          <cell r="K2773" t="str">
            <v>Small Cap</v>
          </cell>
        </row>
        <row r="2774">
          <cell r="C2774" t="str">
            <v>INE0K1401020</v>
          </cell>
          <cell r="D2774" t="str">
            <v>ACHYUT</v>
          </cell>
          <cell r="E2774">
            <v>124.628348</v>
          </cell>
          <cell r="F2774" t="str">
            <v>-</v>
          </cell>
          <cell r="G2774" t="str">
            <v>-</v>
          </cell>
          <cell r="H2774" t="str">
            <v>-</v>
          </cell>
          <cell r="I2774" t="str">
            <v>-</v>
          </cell>
          <cell r="J2774">
            <v>124.628348</v>
          </cell>
          <cell r="K2774" t="str">
            <v>Small Cap</v>
          </cell>
        </row>
        <row r="2775">
          <cell r="C2775" t="str">
            <v>INE842B01015</v>
          </cell>
          <cell r="D2775" t="str">
            <v>FORTISMLR</v>
          </cell>
          <cell r="E2775">
            <v>124.53690613699999</v>
          </cell>
          <cell r="F2775" t="str">
            <v>-</v>
          </cell>
          <cell r="G2775" t="str">
            <v>-</v>
          </cell>
          <cell r="H2775" t="str">
            <v>-</v>
          </cell>
          <cell r="I2775" t="str">
            <v>-</v>
          </cell>
          <cell r="J2775">
            <v>124.53690613699999</v>
          </cell>
          <cell r="K2775" t="str">
            <v>Small Cap</v>
          </cell>
        </row>
        <row r="2776">
          <cell r="C2776" t="str">
            <v>INE385M01012</v>
          </cell>
          <cell r="D2776" t="str">
            <v>SHRDAIS</v>
          </cell>
          <cell r="E2776">
            <v>124.51698133299999</v>
          </cell>
          <cell r="F2776" t="str">
            <v>-</v>
          </cell>
          <cell r="G2776" t="str">
            <v>-</v>
          </cell>
          <cell r="H2776" t="str">
            <v>-</v>
          </cell>
          <cell r="I2776" t="str">
            <v>-</v>
          </cell>
          <cell r="J2776">
            <v>124.51698133299999</v>
          </cell>
          <cell r="K2776" t="str">
            <v>Small Cap</v>
          </cell>
        </row>
        <row r="2777">
          <cell r="C2777" t="str">
            <v>INE00KV01022</v>
          </cell>
          <cell r="D2777" t="str">
            <v>-</v>
          </cell>
          <cell r="E2777" t="str">
            <v>-</v>
          </cell>
          <cell r="F2777" t="str">
            <v>RAJMET</v>
          </cell>
          <cell r="G2777">
            <v>124.30410000000001</v>
          </cell>
          <cell r="H2777" t="str">
            <v>-</v>
          </cell>
          <cell r="I2777" t="str">
            <v>-</v>
          </cell>
          <cell r="J2777">
            <v>124.30410000000001</v>
          </cell>
          <cell r="K2777" t="str">
            <v>Small Cap</v>
          </cell>
        </row>
        <row r="2778">
          <cell r="C2778" t="str">
            <v>INE665D01016</v>
          </cell>
          <cell r="D2778" t="str">
            <v>BENGALT</v>
          </cell>
          <cell r="E2778">
            <v>124.27222897</v>
          </cell>
          <cell r="F2778" t="str">
            <v>-</v>
          </cell>
          <cell r="G2778" t="str">
            <v>-</v>
          </cell>
          <cell r="H2778" t="str">
            <v>-</v>
          </cell>
          <cell r="I2778" t="str">
            <v>-</v>
          </cell>
          <cell r="J2778">
            <v>124.27222897</v>
          </cell>
          <cell r="K2778" t="str">
            <v>Small Cap</v>
          </cell>
        </row>
        <row r="2779">
          <cell r="C2779" t="str">
            <v>INE139D01020</v>
          </cell>
          <cell r="D2779" t="str">
            <v>YUVRAAJHPL</v>
          </cell>
          <cell r="E2779">
            <v>124.24964089000001</v>
          </cell>
          <cell r="F2779" t="str">
            <v>-</v>
          </cell>
          <cell r="G2779" t="str">
            <v>-</v>
          </cell>
          <cell r="H2779" t="str">
            <v>-</v>
          </cell>
          <cell r="I2779" t="str">
            <v>-</v>
          </cell>
          <cell r="J2779">
            <v>124.24964089000001</v>
          </cell>
          <cell r="K2779" t="str">
            <v>Small Cap</v>
          </cell>
        </row>
        <row r="2780">
          <cell r="C2780" t="str">
            <v>INE04LG01015</v>
          </cell>
          <cell r="D2780" t="str">
            <v>-</v>
          </cell>
          <cell r="E2780" t="str">
            <v>-</v>
          </cell>
          <cell r="F2780" t="str">
            <v>PAR</v>
          </cell>
          <cell r="G2780">
            <v>124.05200000000001</v>
          </cell>
          <cell r="H2780" t="str">
            <v>-</v>
          </cell>
          <cell r="I2780" t="str">
            <v>-</v>
          </cell>
          <cell r="J2780">
            <v>124.05200000000001</v>
          </cell>
          <cell r="K2780" t="str">
            <v>Small Cap</v>
          </cell>
        </row>
        <row r="2781">
          <cell r="C2781" t="str">
            <v>INE520H01022</v>
          </cell>
          <cell r="D2781" t="str">
            <v>-</v>
          </cell>
          <cell r="E2781" t="str">
            <v>-</v>
          </cell>
          <cell r="F2781" t="str">
            <v>BEARDSELL</v>
          </cell>
          <cell r="G2781">
            <v>124.04810000000001</v>
          </cell>
          <cell r="H2781" t="str">
            <v>-</v>
          </cell>
          <cell r="I2781" t="str">
            <v>-</v>
          </cell>
          <cell r="J2781">
            <v>124.04810000000001</v>
          </cell>
          <cell r="K2781" t="str">
            <v>Small Cap</v>
          </cell>
        </row>
        <row r="2782">
          <cell r="C2782" t="str">
            <v>INE1ITY01011</v>
          </cell>
          <cell r="D2782" t="str">
            <v>GLOBALLOG</v>
          </cell>
          <cell r="E2782">
            <v>124.016499079</v>
          </cell>
          <cell r="F2782" t="str">
            <v>-</v>
          </cell>
          <cell r="G2782" t="str">
            <v>-</v>
          </cell>
          <cell r="H2782" t="str">
            <v>-</v>
          </cell>
          <cell r="I2782" t="str">
            <v>-</v>
          </cell>
          <cell r="J2782">
            <v>124.016499079</v>
          </cell>
          <cell r="K2782" t="str">
            <v>Small Cap</v>
          </cell>
        </row>
        <row r="2783">
          <cell r="C2783" t="str">
            <v>INE375Y01018</v>
          </cell>
          <cell r="D2783" t="str">
            <v>RELIABLE</v>
          </cell>
          <cell r="E2783">
            <v>124.21037333299999</v>
          </cell>
          <cell r="F2783" t="str">
            <v>RELIABLE</v>
          </cell>
          <cell r="G2783">
            <v>123.78230000000001</v>
          </cell>
          <cell r="H2783" t="str">
            <v>-</v>
          </cell>
          <cell r="I2783" t="str">
            <v>-</v>
          </cell>
          <cell r="J2783">
            <v>123.9963366665</v>
          </cell>
          <cell r="K2783" t="str">
            <v>Small Cap</v>
          </cell>
        </row>
        <row r="2784">
          <cell r="C2784" t="str">
            <v>INE392G01028</v>
          </cell>
          <cell r="D2784" t="str">
            <v>MAINFRA</v>
          </cell>
          <cell r="E2784">
            <v>123.787202381</v>
          </cell>
          <cell r="F2784" t="str">
            <v>-</v>
          </cell>
          <cell r="G2784" t="str">
            <v>-</v>
          </cell>
          <cell r="H2784" t="str">
            <v>-</v>
          </cell>
          <cell r="I2784" t="str">
            <v>-</v>
          </cell>
          <cell r="J2784">
            <v>123.787202381</v>
          </cell>
          <cell r="K2784" t="str">
            <v>Small Cap</v>
          </cell>
        </row>
        <row r="2785">
          <cell r="C2785" t="str">
            <v>INE523B01011</v>
          </cell>
          <cell r="D2785" t="str">
            <v>AKSHOPTFBR</v>
          </cell>
          <cell r="E2785">
            <v>123.77441831900001</v>
          </cell>
          <cell r="F2785" t="str">
            <v>AKSHOPTFBR</v>
          </cell>
          <cell r="G2785">
            <v>123.5975</v>
          </cell>
          <cell r="H2785" t="str">
            <v>-</v>
          </cell>
          <cell r="I2785" t="str">
            <v>-</v>
          </cell>
          <cell r="J2785">
            <v>123.6859591595</v>
          </cell>
          <cell r="K2785" t="str">
            <v>Small Cap</v>
          </cell>
        </row>
        <row r="2786">
          <cell r="C2786" t="str">
            <v>INE08RT01016</v>
          </cell>
          <cell r="D2786" t="str">
            <v>VALENCIA</v>
          </cell>
          <cell r="E2786">
            <v>123.54869158699999</v>
          </cell>
          <cell r="F2786" t="str">
            <v>-</v>
          </cell>
          <cell r="G2786" t="str">
            <v>-</v>
          </cell>
          <cell r="H2786" t="str">
            <v>-</v>
          </cell>
          <cell r="I2786" t="str">
            <v>-</v>
          </cell>
          <cell r="J2786">
            <v>123.54869158699999</v>
          </cell>
          <cell r="K2786" t="str">
            <v>Small Cap</v>
          </cell>
        </row>
        <row r="2787">
          <cell r="C2787" t="str">
            <v>INE514Y01020</v>
          </cell>
          <cell r="D2787" t="str">
            <v>-</v>
          </cell>
          <cell r="E2787" t="str">
            <v>-</v>
          </cell>
          <cell r="F2787" t="str">
            <v>MOKSH</v>
          </cell>
          <cell r="G2787">
            <v>123.5431</v>
          </cell>
          <cell r="H2787" t="str">
            <v>-</v>
          </cell>
          <cell r="I2787" t="str">
            <v>-</v>
          </cell>
          <cell r="J2787">
            <v>123.5431</v>
          </cell>
          <cell r="K2787" t="str">
            <v>Small Cap</v>
          </cell>
        </row>
        <row r="2788">
          <cell r="C2788" t="str">
            <v>INE364S01014</v>
          </cell>
          <cell r="D2788" t="str">
            <v>RGIL</v>
          </cell>
          <cell r="E2788">
            <v>123.43018706700001</v>
          </cell>
          <cell r="F2788" t="str">
            <v>-</v>
          </cell>
          <cell r="G2788" t="str">
            <v>-</v>
          </cell>
          <cell r="H2788" t="str">
            <v>-</v>
          </cell>
          <cell r="I2788" t="str">
            <v>-</v>
          </cell>
          <cell r="J2788">
            <v>123.43018706700001</v>
          </cell>
          <cell r="K2788" t="str">
            <v>Small Cap</v>
          </cell>
        </row>
        <row r="2789">
          <cell r="C2789" t="str">
            <v>INE0NZF01019</v>
          </cell>
          <cell r="D2789" t="str">
            <v>ALPHAIND</v>
          </cell>
          <cell r="E2789">
            <v>123.36897366700001</v>
          </cell>
          <cell r="F2789" t="str">
            <v>-</v>
          </cell>
          <cell r="G2789" t="str">
            <v>-</v>
          </cell>
          <cell r="H2789" t="str">
            <v>-</v>
          </cell>
          <cell r="I2789" t="str">
            <v>-</v>
          </cell>
          <cell r="J2789">
            <v>123.36897366700001</v>
          </cell>
          <cell r="K2789" t="str">
            <v>Small Cap</v>
          </cell>
        </row>
        <row r="2790">
          <cell r="C2790" t="str">
            <v>INE646C01018</v>
          </cell>
          <cell r="D2790" t="str">
            <v>-</v>
          </cell>
          <cell r="E2790" t="str">
            <v>-</v>
          </cell>
          <cell r="F2790" t="str">
            <v>GROBTEA</v>
          </cell>
          <cell r="G2790">
            <v>122.8553</v>
          </cell>
          <cell r="H2790" t="str">
            <v>-</v>
          </cell>
          <cell r="I2790" t="str">
            <v>-</v>
          </cell>
          <cell r="J2790">
            <v>122.8553</v>
          </cell>
          <cell r="K2790" t="str">
            <v>Small Cap</v>
          </cell>
        </row>
        <row r="2791">
          <cell r="C2791" t="str">
            <v>INE277C01012</v>
          </cell>
          <cell r="D2791" t="str">
            <v>REGENCERAM</v>
          </cell>
          <cell r="E2791">
            <v>123.121048132</v>
          </cell>
          <cell r="F2791" t="str">
            <v>REGENCERAM</v>
          </cell>
          <cell r="G2791">
            <v>122.48560000000001</v>
          </cell>
          <cell r="H2791" t="str">
            <v>-</v>
          </cell>
          <cell r="I2791" t="str">
            <v>-</v>
          </cell>
          <cell r="J2791">
            <v>122.803324066</v>
          </cell>
          <cell r="K2791" t="str">
            <v>Small Cap</v>
          </cell>
        </row>
        <row r="2792">
          <cell r="C2792" t="str">
            <v>INE757C01021</v>
          </cell>
          <cell r="D2792" t="str">
            <v>ADDIND</v>
          </cell>
          <cell r="E2792">
            <v>122.294593127</v>
          </cell>
          <cell r="F2792" t="str">
            <v>-</v>
          </cell>
          <cell r="G2792" t="str">
            <v>-</v>
          </cell>
          <cell r="H2792" t="str">
            <v>-</v>
          </cell>
          <cell r="I2792" t="str">
            <v>-</v>
          </cell>
          <cell r="J2792">
            <v>122.294593127</v>
          </cell>
          <cell r="K2792" t="str">
            <v>Small Cap</v>
          </cell>
        </row>
        <row r="2793">
          <cell r="C2793" t="str">
            <v>INE432N01010</v>
          </cell>
          <cell r="D2793" t="str">
            <v>BHUDEVI</v>
          </cell>
          <cell r="E2793">
            <v>122.02018969000001</v>
          </cell>
          <cell r="F2793" t="str">
            <v>-</v>
          </cell>
          <cell r="G2793" t="str">
            <v>-</v>
          </cell>
          <cell r="H2793" t="str">
            <v>-</v>
          </cell>
          <cell r="I2793" t="str">
            <v>-</v>
          </cell>
          <cell r="J2793">
            <v>122.02018969000001</v>
          </cell>
          <cell r="K2793" t="str">
            <v>Small Cap</v>
          </cell>
        </row>
        <row r="2794">
          <cell r="C2794" t="str">
            <v>INE944A01011</v>
          </cell>
          <cell r="D2794" t="str">
            <v>GUJSTATFIN</v>
          </cell>
          <cell r="E2794">
            <v>121.86834577799999</v>
          </cell>
          <cell r="F2794" t="str">
            <v>-</v>
          </cell>
          <cell r="G2794" t="str">
            <v>-</v>
          </cell>
          <cell r="H2794" t="str">
            <v>-</v>
          </cell>
          <cell r="I2794" t="str">
            <v>-</v>
          </cell>
          <cell r="J2794">
            <v>121.86834577799999</v>
          </cell>
          <cell r="K2794" t="str">
            <v>Small Cap</v>
          </cell>
        </row>
        <row r="2795">
          <cell r="C2795" t="str">
            <v>INE125G01014</v>
          </cell>
          <cell r="D2795" t="str">
            <v>EDVENSWA</v>
          </cell>
          <cell r="E2795">
            <v>121.81874854000002</v>
          </cell>
          <cell r="F2795" t="str">
            <v>-</v>
          </cell>
          <cell r="G2795" t="str">
            <v>-</v>
          </cell>
          <cell r="H2795" t="str">
            <v>-</v>
          </cell>
          <cell r="I2795" t="str">
            <v>-</v>
          </cell>
          <cell r="J2795">
            <v>121.81874854000002</v>
          </cell>
          <cell r="K2795" t="str">
            <v>Small Cap</v>
          </cell>
        </row>
        <row r="2796">
          <cell r="C2796" t="str">
            <v>INE713B01026</v>
          </cell>
          <cell r="D2796" t="str">
            <v>SURYALAXMI</v>
          </cell>
          <cell r="E2796">
            <v>122.062003175</v>
          </cell>
          <cell r="F2796" t="str">
            <v>SURYALAXMI</v>
          </cell>
          <cell r="G2796">
            <v>121.3665</v>
          </cell>
          <cell r="H2796" t="str">
            <v>-</v>
          </cell>
          <cell r="I2796" t="str">
            <v>-</v>
          </cell>
          <cell r="J2796">
            <v>121.7142515875</v>
          </cell>
          <cell r="K2796" t="str">
            <v>Small Cap</v>
          </cell>
        </row>
        <row r="2797">
          <cell r="C2797" t="str">
            <v>INE1EUB01016</v>
          </cell>
          <cell r="D2797" t="str">
            <v>SHLOKKA</v>
          </cell>
          <cell r="E2797">
            <v>121.581242969</v>
          </cell>
          <cell r="F2797" t="str">
            <v>-</v>
          </cell>
          <cell r="G2797" t="str">
            <v>-</v>
          </cell>
          <cell r="H2797" t="str">
            <v>-</v>
          </cell>
          <cell r="I2797" t="str">
            <v>-</v>
          </cell>
          <cell r="J2797">
            <v>121.581242969</v>
          </cell>
          <cell r="K2797" t="str">
            <v>Small Cap</v>
          </cell>
        </row>
        <row r="2798">
          <cell r="C2798" t="str">
            <v>INE1F9M01018</v>
          </cell>
          <cell r="D2798" t="str">
            <v>DACHEPALLI</v>
          </cell>
          <cell r="E2798">
            <v>121.4928</v>
          </cell>
          <cell r="F2798" t="str">
            <v>-</v>
          </cell>
          <cell r="G2798" t="str">
            <v>-</v>
          </cell>
          <cell r="H2798" t="str">
            <v>-</v>
          </cell>
          <cell r="I2798" t="str">
            <v>-</v>
          </cell>
          <cell r="J2798">
            <v>121.4928</v>
          </cell>
          <cell r="K2798" t="str">
            <v>Small Cap</v>
          </cell>
        </row>
        <row r="2799">
          <cell r="C2799" t="str">
            <v>INE819C01011</v>
          </cell>
          <cell r="D2799" t="str">
            <v>BIHSPONG</v>
          </cell>
          <cell r="E2799">
            <v>121.49092769100001</v>
          </cell>
          <cell r="F2799" t="str">
            <v>-</v>
          </cell>
          <cell r="G2799" t="str">
            <v>-</v>
          </cell>
          <cell r="H2799" t="str">
            <v>-</v>
          </cell>
          <cell r="I2799" t="str">
            <v>-</v>
          </cell>
          <cell r="J2799">
            <v>121.49092769100001</v>
          </cell>
          <cell r="K2799" t="str">
            <v>Small Cap</v>
          </cell>
        </row>
        <row r="2800">
          <cell r="C2800" t="str">
            <v>INE267I01010</v>
          </cell>
          <cell r="D2800" t="str">
            <v>ARSSINFRA</v>
          </cell>
          <cell r="E2800">
            <v>120.63357171199999</v>
          </cell>
          <cell r="F2800" t="str">
            <v>-</v>
          </cell>
          <cell r="G2800" t="str">
            <v>-</v>
          </cell>
          <cell r="H2800" t="str">
            <v>-</v>
          </cell>
          <cell r="I2800" t="str">
            <v>-</v>
          </cell>
          <cell r="J2800">
            <v>120.63357171199999</v>
          </cell>
          <cell r="K2800" t="str">
            <v>Small Cap</v>
          </cell>
        </row>
        <row r="2801">
          <cell r="C2801" t="str">
            <v>INE750D01016</v>
          </cell>
          <cell r="D2801" t="str">
            <v>RELCHEMQ</v>
          </cell>
          <cell r="E2801">
            <v>120.641329321</v>
          </cell>
          <cell r="F2801" t="str">
            <v>RELCHEMQ</v>
          </cell>
          <cell r="G2801">
            <v>120.43510000000001</v>
          </cell>
          <cell r="H2801" t="str">
            <v>-</v>
          </cell>
          <cell r="I2801" t="str">
            <v>-</v>
          </cell>
          <cell r="J2801">
            <v>120.5382146605</v>
          </cell>
          <cell r="K2801" t="str">
            <v>Small Cap</v>
          </cell>
        </row>
        <row r="2802">
          <cell r="C2802" t="str">
            <v>INE080B01012</v>
          </cell>
          <cell r="D2802" t="str">
            <v>KOHINOOR</v>
          </cell>
          <cell r="E2802">
            <v>120.329478884</v>
          </cell>
          <cell r="F2802" t="str">
            <v>KOHINOOR</v>
          </cell>
          <cell r="G2802">
            <v>120.3342</v>
          </cell>
          <cell r="H2802" t="str">
            <v>-</v>
          </cell>
          <cell r="I2802" t="str">
            <v>-</v>
          </cell>
          <cell r="J2802">
            <v>120.33183944199999</v>
          </cell>
          <cell r="K2802" t="str">
            <v>Small Cap</v>
          </cell>
        </row>
        <row r="2803">
          <cell r="C2803" t="str">
            <v>INE010R01023</v>
          </cell>
          <cell r="D2803" t="str">
            <v>ULTRACAB</v>
          </cell>
          <cell r="E2803">
            <v>120.10162121099999</v>
          </cell>
          <cell r="F2803" t="str">
            <v>-</v>
          </cell>
          <cell r="G2803" t="str">
            <v>-</v>
          </cell>
          <cell r="H2803" t="str">
            <v>-</v>
          </cell>
          <cell r="I2803" t="str">
            <v>-</v>
          </cell>
          <cell r="J2803">
            <v>120.10162121099999</v>
          </cell>
          <cell r="K2803" t="str">
            <v>Small Cap</v>
          </cell>
        </row>
        <row r="2804">
          <cell r="C2804" t="str">
            <v>INE0CQB01010</v>
          </cell>
          <cell r="D2804" t="str">
            <v>COSPOWER</v>
          </cell>
          <cell r="E2804">
            <v>120.06535021800001</v>
          </cell>
          <cell r="F2804" t="str">
            <v>-</v>
          </cell>
          <cell r="G2804" t="str">
            <v>-</v>
          </cell>
          <cell r="H2804" t="str">
            <v>-</v>
          </cell>
          <cell r="I2804" t="str">
            <v>-</v>
          </cell>
          <cell r="J2804">
            <v>120.06535021800001</v>
          </cell>
          <cell r="K2804" t="str">
            <v>Small Cap</v>
          </cell>
        </row>
        <row r="2805">
          <cell r="C2805" t="str">
            <v>INE278C01010</v>
          </cell>
          <cell r="D2805" t="str">
            <v>SHETR</v>
          </cell>
          <cell r="E2805">
            <v>119.68851255999999</v>
          </cell>
          <cell r="F2805" t="str">
            <v>-</v>
          </cell>
          <cell r="G2805" t="str">
            <v>-</v>
          </cell>
          <cell r="H2805" t="str">
            <v>-</v>
          </cell>
          <cell r="I2805" t="str">
            <v>-</v>
          </cell>
          <cell r="J2805">
            <v>119.68851255999999</v>
          </cell>
          <cell r="K2805" t="str">
            <v>Small Cap</v>
          </cell>
        </row>
        <row r="2806">
          <cell r="C2806" t="str">
            <v>INE0QQJ01021</v>
          </cell>
          <cell r="D2806" t="str">
            <v>PARMESHWAR</v>
          </cell>
          <cell r="E2806">
            <v>119.61979133299999</v>
          </cell>
          <cell r="F2806" t="str">
            <v>-</v>
          </cell>
          <cell r="G2806" t="str">
            <v>-</v>
          </cell>
          <cell r="H2806" t="str">
            <v>-</v>
          </cell>
          <cell r="I2806" t="str">
            <v>-</v>
          </cell>
          <cell r="J2806">
            <v>119.61979133299999</v>
          </cell>
          <cell r="K2806" t="str">
            <v>Small Cap</v>
          </cell>
        </row>
        <row r="2807">
          <cell r="C2807" t="str">
            <v>INE711C01028</v>
          </cell>
          <cell r="D2807" t="str">
            <v>JASCH</v>
          </cell>
          <cell r="E2807">
            <v>119.555239048</v>
          </cell>
          <cell r="F2807" t="str">
            <v>-</v>
          </cell>
          <cell r="G2807" t="str">
            <v>-</v>
          </cell>
          <cell r="H2807" t="str">
            <v>-</v>
          </cell>
          <cell r="I2807" t="str">
            <v>-</v>
          </cell>
          <cell r="J2807">
            <v>119.555239048</v>
          </cell>
          <cell r="K2807" t="str">
            <v>Small Cap</v>
          </cell>
        </row>
        <row r="2808">
          <cell r="C2808" t="str">
            <v>INE135H01029</v>
          </cell>
          <cell r="D2808" t="str">
            <v>TTGIL</v>
          </cell>
          <cell r="E2808">
            <v>119.50510647200001</v>
          </cell>
          <cell r="F2808" t="str">
            <v>-</v>
          </cell>
          <cell r="G2808" t="str">
            <v>-</v>
          </cell>
          <cell r="H2808" t="str">
            <v>-</v>
          </cell>
          <cell r="I2808" t="str">
            <v>-</v>
          </cell>
          <cell r="J2808">
            <v>119.50510647200001</v>
          </cell>
          <cell r="K2808" t="str">
            <v>Small Cap</v>
          </cell>
        </row>
        <row r="2809">
          <cell r="C2809" t="str">
            <v>INE417E01010</v>
          </cell>
          <cell r="D2809" t="str">
            <v>PCCOSMA</v>
          </cell>
          <cell r="E2809">
            <v>119.43870377</v>
          </cell>
          <cell r="F2809" t="str">
            <v>-</v>
          </cell>
          <cell r="G2809" t="str">
            <v>-</v>
          </cell>
          <cell r="H2809" t="str">
            <v>-</v>
          </cell>
          <cell r="I2809" t="str">
            <v>-</v>
          </cell>
          <cell r="J2809">
            <v>119.43870377</v>
          </cell>
          <cell r="K2809" t="str">
            <v>Small Cap</v>
          </cell>
        </row>
        <row r="2810">
          <cell r="C2810" t="str">
            <v>INE493D01013</v>
          </cell>
          <cell r="D2810" t="str">
            <v>CHOKSILA</v>
          </cell>
          <cell r="E2810">
            <v>119.43822928900001</v>
          </cell>
          <cell r="F2810" t="str">
            <v>-</v>
          </cell>
          <cell r="G2810" t="str">
            <v>-</v>
          </cell>
          <cell r="H2810" t="str">
            <v>-</v>
          </cell>
          <cell r="I2810" t="str">
            <v>-</v>
          </cell>
          <cell r="J2810">
            <v>119.43822928900001</v>
          </cell>
          <cell r="K2810" t="str">
            <v>Small Cap</v>
          </cell>
        </row>
        <row r="2811">
          <cell r="C2811" t="str">
            <v>INE788H01017</v>
          </cell>
          <cell r="D2811" t="str">
            <v>HILTON</v>
          </cell>
          <cell r="E2811">
            <v>119.37204523299999</v>
          </cell>
          <cell r="F2811" t="str">
            <v>HILTON</v>
          </cell>
          <cell r="G2811">
            <v>119.139</v>
          </cell>
          <cell r="H2811" t="str">
            <v>-</v>
          </cell>
          <cell r="I2811" t="str">
            <v>-</v>
          </cell>
          <cell r="J2811">
            <v>119.2555226165</v>
          </cell>
          <cell r="K2811" t="str">
            <v>Small Cap</v>
          </cell>
        </row>
        <row r="2812">
          <cell r="C2812" t="str">
            <v>INE617B01011</v>
          </cell>
          <cell r="D2812" t="str">
            <v>MODAIRY</v>
          </cell>
          <cell r="E2812">
            <v>119.230563117</v>
          </cell>
          <cell r="F2812" t="str">
            <v>-</v>
          </cell>
          <cell r="G2812" t="str">
            <v>-</v>
          </cell>
          <cell r="H2812" t="str">
            <v>-</v>
          </cell>
          <cell r="I2812" t="str">
            <v>-</v>
          </cell>
          <cell r="J2812">
            <v>119.230563117</v>
          </cell>
          <cell r="K2812" t="str">
            <v>Small Cap</v>
          </cell>
        </row>
        <row r="2813">
          <cell r="C2813" t="str">
            <v>INE722N01014</v>
          </cell>
          <cell r="D2813" t="str">
            <v>JATTAINDUS</v>
          </cell>
          <cell r="E2813">
            <v>119.017496627</v>
          </cell>
          <cell r="F2813" t="str">
            <v>-</v>
          </cell>
          <cell r="G2813" t="str">
            <v>-</v>
          </cell>
          <cell r="H2813" t="str">
            <v>-</v>
          </cell>
          <cell r="I2813" t="str">
            <v>-</v>
          </cell>
          <cell r="J2813">
            <v>119.017496627</v>
          </cell>
          <cell r="K2813" t="str">
            <v>Small Cap</v>
          </cell>
        </row>
        <row r="2814">
          <cell r="C2814" t="str">
            <v>INE0QQG01019</v>
          </cell>
          <cell r="D2814" t="str">
            <v>ROYAL</v>
          </cell>
          <cell r="E2814">
            <v>118.95708671300001</v>
          </cell>
          <cell r="F2814" t="str">
            <v>-</v>
          </cell>
          <cell r="G2814" t="str">
            <v>-</v>
          </cell>
          <cell r="H2814" t="str">
            <v>-</v>
          </cell>
          <cell r="I2814" t="str">
            <v>-</v>
          </cell>
          <cell r="J2814">
            <v>118.95708671300001</v>
          </cell>
          <cell r="K2814" t="str">
            <v>Small Cap</v>
          </cell>
        </row>
        <row r="2815">
          <cell r="C2815" t="str">
            <v>INE1P1A01018</v>
          </cell>
          <cell r="D2815" t="str">
            <v>UML</v>
          </cell>
          <cell r="E2815">
            <v>118.65767470599999</v>
          </cell>
          <cell r="F2815" t="str">
            <v>-</v>
          </cell>
          <cell r="G2815" t="str">
            <v>-</v>
          </cell>
          <cell r="H2815" t="str">
            <v>-</v>
          </cell>
          <cell r="I2815" t="str">
            <v>-</v>
          </cell>
          <cell r="J2815">
            <v>118.65767470599999</v>
          </cell>
          <cell r="K2815" t="str">
            <v>Small Cap</v>
          </cell>
        </row>
        <row r="2816">
          <cell r="C2816" t="str">
            <v>INE471W01019</v>
          </cell>
          <cell r="D2816" t="str">
            <v>PALASHSECU</v>
          </cell>
          <cell r="E2816">
            <v>118.71816416099999</v>
          </cell>
          <cell r="F2816" t="str">
            <v>PALASHSECU</v>
          </cell>
          <cell r="G2816">
            <v>118.1532</v>
          </cell>
          <cell r="H2816" t="str">
            <v>-</v>
          </cell>
          <cell r="I2816" t="str">
            <v>-</v>
          </cell>
          <cell r="J2816">
            <v>118.43568208049999</v>
          </cell>
          <cell r="K2816" t="str">
            <v>Small Cap</v>
          </cell>
        </row>
        <row r="2817">
          <cell r="C2817" t="str">
            <v>INE117B01020</v>
          </cell>
          <cell r="D2817" t="str">
            <v>CURAA</v>
          </cell>
          <cell r="E2817">
            <v>143.84237561700002</v>
          </cell>
          <cell r="F2817" t="str">
            <v>CURAA</v>
          </cell>
          <cell r="G2817">
            <v>92.861699999999999</v>
          </cell>
          <cell r="H2817" t="str">
            <v>-</v>
          </cell>
          <cell r="I2817" t="str">
            <v>-</v>
          </cell>
          <cell r="J2817">
            <v>118.3520378085</v>
          </cell>
          <cell r="K2817" t="str">
            <v>Small Cap</v>
          </cell>
        </row>
        <row r="2818">
          <cell r="C2818" t="str">
            <v>INE1DRH01011</v>
          </cell>
          <cell r="D2818" t="str">
            <v>CITYSQUARE</v>
          </cell>
          <cell r="E2818">
            <v>118.113501481</v>
          </cell>
          <cell r="F2818" t="str">
            <v>-</v>
          </cell>
          <cell r="G2818" t="str">
            <v>-</v>
          </cell>
          <cell r="H2818" t="str">
            <v>-</v>
          </cell>
          <cell r="I2818" t="str">
            <v>-</v>
          </cell>
          <cell r="J2818">
            <v>118.113501481</v>
          </cell>
          <cell r="K2818" t="str">
            <v>Small Cap</v>
          </cell>
        </row>
        <row r="2819">
          <cell r="C2819" t="str">
            <v>INE687C01012</v>
          </cell>
          <cell r="D2819" t="str">
            <v>REXNORD</v>
          </cell>
          <cell r="E2819">
            <v>118.099769048</v>
          </cell>
          <cell r="F2819" t="str">
            <v>-</v>
          </cell>
          <cell r="G2819" t="str">
            <v>-</v>
          </cell>
          <cell r="H2819" t="str">
            <v>-</v>
          </cell>
          <cell r="I2819" t="str">
            <v>-</v>
          </cell>
          <cell r="J2819">
            <v>118.099769048</v>
          </cell>
          <cell r="K2819" t="str">
            <v>Small Cap</v>
          </cell>
        </row>
        <row r="2820">
          <cell r="C2820" t="str">
            <v>INE336X01012</v>
          </cell>
          <cell r="D2820" t="str">
            <v>-</v>
          </cell>
          <cell r="E2820" t="str">
            <v>-</v>
          </cell>
          <cell r="F2820" t="str">
            <v>TOTAL</v>
          </cell>
          <cell r="G2820">
            <v>118.07470000000001</v>
          </cell>
          <cell r="H2820" t="str">
            <v>-</v>
          </cell>
          <cell r="I2820" t="str">
            <v>-</v>
          </cell>
          <cell r="J2820">
            <v>118.07470000000001</v>
          </cell>
          <cell r="K2820" t="str">
            <v>Small Cap</v>
          </cell>
        </row>
        <row r="2821">
          <cell r="C2821" t="str">
            <v>INE473T01011</v>
          </cell>
          <cell r="D2821" t="str">
            <v>PJL</v>
          </cell>
          <cell r="E2821">
            <v>117.982582143</v>
          </cell>
          <cell r="F2821" t="str">
            <v>-</v>
          </cell>
          <cell r="G2821" t="str">
            <v>-</v>
          </cell>
          <cell r="H2821" t="str">
            <v>-</v>
          </cell>
          <cell r="I2821" t="str">
            <v>-</v>
          </cell>
          <cell r="J2821">
            <v>117.982582143</v>
          </cell>
          <cell r="K2821" t="str">
            <v>Small Cap</v>
          </cell>
        </row>
        <row r="2822">
          <cell r="C2822" t="str">
            <v>INE724G01014</v>
          </cell>
          <cell r="D2822" t="str">
            <v>SALAUTO</v>
          </cell>
          <cell r="E2822">
            <v>117.97528168199999</v>
          </cell>
          <cell r="F2822" t="str">
            <v>-</v>
          </cell>
          <cell r="G2822" t="str">
            <v>-</v>
          </cell>
          <cell r="H2822" t="str">
            <v>-</v>
          </cell>
          <cell r="I2822" t="str">
            <v>-</v>
          </cell>
          <cell r="J2822">
            <v>117.97528168199999</v>
          </cell>
          <cell r="K2822" t="str">
            <v>Small Cap</v>
          </cell>
        </row>
        <row r="2823">
          <cell r="C2823" t="str">
            <v>INE839A01021</v>
          </cell>
          <cell r="D2823" t="str">
            <v>BITS</v>
          </cell>
          <cell r="E2823">
            <v>117.929568452</v>
          </cell>
          <cell r="F2823" t="str">
            <v>-</v>
          </cell>
          <cell r="G2823" t="str">
            <v>-</v>
          </cell>
          <cell r="H2823" t="str">
            <v>-</v>
          </cell>
          <cell r="I2823" t="str">
            <v>-</v>
          </cell>
          <cell r="J2823">
            <v>117.929568452</v>
          </cell>
          <cell r="K2823" t="str">
            <v>Small Cap</v>
          </cell>
        </row>
        <row r="2824">
          <cell r="C2824" t="str">
            <v>INE486D01017</v>
          </cell>
          <cell r="D2824" t="str">
            <v>RESONANCE</v>
          </cell>
          <cell r="E2824">
            <v>117.728827048</v>
          </cell>
          <cell r="F2824" t="str">
            <v>-</v>
          </cell>
          <cell r="G2824" t="str">
            <v>-</v>
          </cell>
          <cell r="H2824" t="str">
            <v>-</v>
          </cell>
          <cell r="I2824" t="str">
            <v>-</v>
          </cell>
          <cell r="J2824">
            <v>117.728827048</v>
          </cell>
          <cell r="K2824" t="str">
            <v>Small Cap</v>
          </cell>
        </row>
        <row r="2825">
          <cell r="C2825" t="str">
            <v>INE00IY01012</v>
          </cell>
          <cell r="D2825" t="str">
            <v>DEEP</v>
          </cell>
          <cell r="E2825">
            <v>117.713997143</v>
          </cell>
          <cell r="F2825" t="str">
            <v>-</v>
          </cell>
          <cell r="G2825" t="str">
            <v>-</v>
          </cell>
          <cell r="H2825" t="str">
            <v>-</v>
          </cell>
          <cell r="I2825" t="str">
            <v>-</v>
          </cell>
          <cell r="J2825">
            <v>117.713997143</v>
          </cell>
          <cell r="K2825" t="str">
            <v>Small Cap</v>
          </cell>
        </row>
        <row r="2826">
          <cell r="C2826" t="str">
            <v>INE173A01025</v>
          </cell>
          <cell r="D2826" t="str">
            <v>SIL</v>
          </cell>
          <cell r="E2826">
            <v>117.44116109700001</v>
          </cell>
          <cell r="F2826" t="str">
            <v>SIL</v>
          </cell>
          <cell r="G2826">
            <v>117.2385</v>
          </cell>
          <cell r="H2826" t="str">
            <v>-</v>
          </cell>
          <cell r="I2826" t="str">
            <v>-</v>
          </cell>
          <cell r="J2826">
            <v>117.3398305485</v>
          </cell>
          <cell r="K2826" t="str">
            <v>Small Cap</v>
          </cell>
        </row>
        <row r="2827">
          <cell r="C2827" t="str">
            <v>INE972X01022</v>
          </cell>
          <cell r="D2827" t="str">
            <v>-</v>
          </cell>
          <cell r="E2827" t="str">
            <v>-</v>
          </cell>
          <cell r="F2827" t="str">
            <v>VAISHALI</v>
          </cell>
          <cell r="G2827">
            <v>117.2734</v>
          </cell>
          <cell r="H2827" t="str">
            <v>-</v>
          </cell>
          <cell r="I2827" t="str">
            <v>-</v>
          </cell>
          <cell r="J2827">
            <v>117.2734</v>
          </cell>
          <cell r="K2827" t="str">
            <v>Small Cap</v>
          </cell>
        </row>
        <row r="2828">
          <cell r="C2828" t="str">
            <v>INE365H01014</v>
          </cell>
          <cell r="D2828" t="str">
            <v>FUNDVISER</v>
          </cell>
          <cell r="E2828">
            <v>117.09305833299999</v>
          </cell>
          <cell r="F2828" t="str">
            <v>-</v>
          </cell>
          <cell r="G2828" t="str">
            <v>-</v>
          </cell>
          <cell r="H2828" t="str">
            <v>-</v>
          </cell>
          <cell r="I2828" t="str">
            <v>-</v>
          </cell>
          <cell r="J2828">
            <v>117.09305833299999</v>
          </cell>
          <cell r="K2828" t="str">
            <v>Small Cap</v>
          </cell>
        </row>
        <row r="2829">
          <cell r="C2829" t="str">
            <v>INE426Z01016</v>
          </cell>
          <cell r="D2829" t="str">
            <v>OBCL</v>
          </cell>
          <cell r="E2829">
            <v>116.92866713800001</v>
          </cell>
          <cell r="F2829" t="str">
            <v>OBCL</v>
          </cell>
          <cell r="G2829">
            <v>117.0419</v>
          </cell>
          <cell r="H2829" t="str">
            <v>-</v>
          </cell>
          <cell r="I2829" t="str">
            <v>-</v>
          </cell>
          <cell r="J2829">
            <v>116.985283569</v>
          </cell>
          <cell r="K2829" t="str">
            <v>Small Cap</v>
          </cell>
        </row>
        <row r="2830">
          <cell r="C2830" t="str">
            <v>INE12QA01010</v>
          </cell>
          <cell r="D2830" t="str">
            <v>LGLL</v>
          </cell>
          <cell r="E2830">
            <v>116.98121500000001</v>
          </cell>
          <cell r="F2830" t="str">
            <v>-</v>
          </cell>
          <cell r="G2830" t="str">
            <v>-</v>
          </cell>
          <cell r="H2830" t="str">
            <v>-</v>
          </cell>
          <cell r="I2830" t="str">
            <v>-</v>
          </cell>
          <cell r="J2830">
            <v>116.98121500000001</v>
          </cell>
          <cell r="K2830" t="str">
            <v>Small Cap</v>
          </cell>
        </row>
        <row r="2831">
          <cell r="C2831" t="str">
            <v>INE0O1T01010</v>
          </cell>
          <cell r="D2831" t="str">
            <v>MAIDEN</v>
          </cell>
          <cell r="E2831">
            <v>116.851402381</v>
          </cell>
          <cell r="F2831" t="str">
            <v>-</v>
          </cell>
          <cell r="G2831" t="str">
            <v>-</v>
          </cell>
          <cell r="H2831" t="str">
            <v>-</v>
          </cell>
          <cell r="I2831" t="str">
            <v>-</v>
          </cell>
          <cell r="J2831">
            <v>116.851402381</v>
          </cell>
          <cell r="K2831" t="str">
            <v>Small Cap</v>
          </cell>
        </row>
        <row r="2832">
          <cell r="C2832" t="str">
            <v>INE932C01012</v>
          </cell>
          <cell r="D2832" t="str">
            <v>TOKYOPLAST</v>
          </cell>
          <cell r="E2832">
            <v>116.781254952</v>
          </cell>
          <cell r="F2832" t="str">
            <v>TOKYOPLAST</v>
          </cell>
          <cell r="G2832">
            <v>116.8831</v>
          </cell>
          <cell r="H2832" t="str">
            <v>-</v>
          </cell>
          <cell r="I2832" t="str">
            <v>-</v>
          </cell>
          <cell r="J2832">
            <v>116.832177476</v>
          </cell>
          <cell r="K2832" t="str">
            <v>Small Cap</v>
          </cell>
        </row>
        <row r="2833">
          <cell r="C2833" t="str">
            <v>INE0BLY01023</v>
          </cell>
          <cell r="D2833" t="str">
            <v>SHINEFASH</v>
          </cell>
          <cell r="E2833">
            <v>116.38882504000001</v>
          </cell>
          <cell r="F2833" t="str">
            <v>-</v>
          </cell>
          <cell r="G2833" t="str">
            <v>-</v>
          </cell>
          <cell r="H2833" t="str">
            <v>-</v>
          </cell>
          <cell r="I2833" t="str">
            <v>-</v>
          </cell>
          <cell r="J2833">
            <v>116.38882504000001</v>
          </cell>
          <cell r="K2833" t="str">
            <v>Small Cap</v>
          </cell>
        </row>
        <row r="2834">
          <cell r="C2834" t="str">
            <v>INE0M9Q01011</v>
          </cell>
          <cell r="D2834" t="str">
            <v>DHARNI</v>
          </cell>
          <cell r="E2834">
            <v>116.322561667</v>
          </cell>
          <cell r="F2834" t="str">
            <v>-</v>
          </cell>
          <cell r="G2834" t="str">
            <v>-</v>
          </cell>
          <cell r="H2834" t="str">
            <v>-</v>
          </cell>
          <cell r="I2834" t="str">
            <v>-</v>
          </cell>
          <cell r="J2834">
            <v>116.322561667</v>
          </cell>
          <cell r="K2834" t="str">
            <v>Small Cap</v>
          </cell>
        </row>
        <row r="2835">
          <cell r="C2835" t="str">
            <v>INE526G01021</v>
          </cell>
          <cell r="D2835" t="str">
            <v>VIVIMEDLAB</v>
          </cell>
          <cell r="E2835">
            <v>50.640002610000003</v>
          </cell>
          <cell r="F2835" t="str">
            <v>VIVIMEDLAB</v>
          </cell>
          <cell r="G2835">
            <v>181.29589999999999</v>
          </cell>
          <cell r="H2835" t="str">
            <v>-</v>
          </cell>
          <cell r="I2835" t="str">
            <v>-</v>
          </cell>
          <cell r="J2835">
            <v>115.967951305</v>
          </cell>
          <cell r="K2835" t="str">
            <v>Small Cap</v>
          </cell>
        </row>
        <row r="2836">
          <cell r="C2836" t="str">
            <v>INE986B01044</v>
          </cell>
          <cell r="D2836" t="str">
            <v>RADHEDE</v>
          </cell>
          <cell r="E2836">
            <v>115.63889059</v>
          </cell>
          <cell r="F2836" t="str">
            <v>-</v>
          </cell>
          <cell r="G2836" t="str">
            <v>-</v>
          </cell>
          <cell r="H2836" t="str">
            <v>-</v>
          </cell>
          <cell r="I2836" t="str">
            <v>-</v>
          </cell>
          <cell r="J2836">
            <v>115.63889059</v>
          </cell>
          <cell r="K2836" t="str">
            <v>Small Cap</v>
          </cell>
        </row>
        <row r="2837">
          <cell r="C2837" t="str">
            <v>INE0PSC01024</v>
          </cell>
          <cell r="D2837" t="str">
            <v>DIGIDRIVE</v>
          </cell>
          <cell r="E2837">
            <v>115.36434484999999</v>
          </cell>
          <cell r="F2837" t="str">
            <v>DIGIDRIVE</v>
          </cell>
          <cell r="G2837">
            <v>115.2933</v>
          </cell>
          <cell r="H2837" t="str">
            <v>-</v>
          </cell>
          <cell r="I2837" t="str">
            <v>-</v>
          </cell>
          <cell r="J2837">
            <v>115.328822425</v>
          </cell>
          <cell r="K2837" t="str">
            <v>Small Cap</v>
          </cell>
        </row>
        <row r="2838">
          <cell r="C2838" t="str">
            <v>INE474E01029</v>
          </cell>
          <cell r="D2838" t="str">
            <v>BHANDARI</v>
          </cell>
          <cell r="E2838">
            <v>115.21049686800001</v>
          </cell>
          <cell r="F2838" t="str">
            <v>BHANDARI</v>
          </cell>
          <cell r="G2838">
            <v>115.039</v>
          </cell>
          <cell r="H2838" t="str">
            <v>-</v>
          </cell>
          <cell r="I2838" t="str">
            <v>-</v>
          </cell>
          <cell r="J2838">
            <v>115.124748434</v>
          </cell>
          <cell r="K2838" t="str">
            <v>Small Cap</v>
          </cell>
        </row>
        <row r="2839">
          <cell r="C2839" t="str">
            <v>INE294A01037</v>
          </cell>
          <cell r="D2839" t="str">
            <v>BALLARPUR</v>
          </cell>
          <cell r="E2839">
            <v>115.11756228399999</v>
          </cell>
          <cell r="F2839" t="str">
            <v>-</v>
          </cell>
          <cell r="G2839" t="str">
            <v>-</v>
          </cell>
          <cell r="H2839" t="str">
            <v>-</v>
          </cell>
          <cell r="I2839" t="str">
            <v>-</v>
          </cell>
          <cell r="J2839">
            <v>115.11756228399999</v>
          </cell>
          <cell r="K2839" t="str">
            <v>Small Cap</v>
          </cell>
        </row>
        <row r="2840">
          <cell r="C2840" t="str">
            <v>INE054301028</v>
          </cell>
          <cell r="D2840" t="str">
            <v>ODIGMA</v>
          </cell>
          <cell r="E2840">
            <v>115.24792048699999</v>
          </cell>
          <cell r="F2840" t="str">
            <v>ODIGMA</v>
          </cell>
          <cell r="G2840">
            <v>114.95740000000001</v>
          </cell>
          <cell r="H2840" t="str">
            <v>-</v>
          </cell>
          <cell r="I2840" t="str">
            <v>-</v>
          </cell>
          <cell r="J2840">
            <v>115.1026602435</v>
          </cell>
          <cell r="K2840" t="str">
            <v>Small Cap</v>
          </cell>
        </row>
        <row r="2841">
          <cell r="C2841" t="str">
            <v>INE437B01014</v>
          </cell>
          <cell r="D2841" t="str">
            <v>KAKATCEM</v>
          </cell>
          <cell r="E2841">
            <v>115.15212254400001</v>
          </cell>
          <cell r="F2841" t="str">
            <v>KAKATCEM</v>
          </cell>
          <cell r="G2841">
            <v>114.9532</v>
          </cell>
          <cell r="H2841" t="str">
            <v>-</v>
          </cell>
          <cell r="I2841" t="str">
            <v>-</v>
          </cell>
          <cell r="J2841">
            <v>115.05266127199999</v>
          </cell>
          <cell r="K2841" t="str">
            <v>Small Cap</v>
          </cell>
        </row>
        <row r="2842">
          <cell r="C2842" t="str">
            <v>INE828O01033</v>
          </cell>
          <cell r="D2842" t="str">
            <v>-</v>
          </cell>
          <cell r="E2842" t="str">
            <v>-</v>
          </cell>
          <cell r="F2842" t="str">
            <v>MITCON</v>
          </cell>
          <cell r="G2842">
            <v>114.85680000000001</v>
          </cell>
          <cell r="H2842" t="str">
            <v>-</v>
          </cell>
          <cell r="I2842" t="str">
            <v>-</v>
          </cell>
          <cell r="J2842">
            <v>114.85680000000001</v>
          </cell>
          <cell r="K2842" t="str">
            <v>Small Cap</v>
          </cell>
        </row>
        <row r="2843">
          <cell r="C2843" t="str">
            <v>INE0QP701017</v>
          </cell>
          <cell r="D2843" t="str">
            <v>VALPLAST</v>
          </cell>
          <cell r="E2843">
            <v>114.761537006</v>
          </cell>
          <cell r="F2843" t="str">
            <v>-</v>
          </cell>
          <cell r="G2843" t="str">
            <v>-</v>
          </cell>
          <cell r="H2843" t="str">
            <v>-</v>
          </cell>
          <cell r="I2843" t="str">
            <v>-</v>
          </cell>
          <cell r="J2843">
            <v>114.761537006</v>
          </cell>
          <cell r="K2843" t="str">
            <v>Small Cap</v>
          </cell>
        </row>
        <row r="2844">
          <cell r="C2844" t="str">
            <v>INE486Y01013</v>
          </cell>
          <cell r="D2844" t="str">
            <v>-</v>
          </cell>
          <cell r="E2844" t="str">
            <v>-</v>
          </cell>
          <cell r="F2844" t="str">
            <v>TOUCHWOOD</v>
          </cell>
          <cell r="G2844">
            <v>114.7461</v>
          </cell>
          <cell r="H2844" t="str">
            <v>-</v>
          </cell>
          <cell r="I2844" t="str">
            <v>-</v>
          </cell>
          <cell r="J2844">
            <v>114.7461</v>
          </cell>
          <cell r="K2844" t="str">
            <v>Small Cap</v>
          </cell>
        </row>
        <row r="2845">
          <cell r="C2845" t="str">
            <v>INE906K01027</v>
          </cell>
          <cell r="D2845" t="str">
            <v>OSWALOR</v>
          </cell>
          <cell r="E2845">
            <v>114.64917856700001</v>
          </cell>
          <cell r="F2845" t="str">
            <v>-</v>
          </cell>
          <cell r="G2845" t="str">
            <v>-</v>
          </cell>
          <cell r="H2845" t="str">
            <v>-</v>
          </cell>
          <cell r="I2845" t="str">
            <v>-</v>
          </cell>
          <cell r="J2845">
            <v>114.64917856700001</v>
          </cell>
          <cell r="K2845" t="str">
            <v>Small Cap</v>
          </cell>
        </row>
        <row r="2846">
          <cell r="C2846" t="str">
            <v>INE403B01016</v>
          </cell>
          <cell r="D2846" t="str">
            <v>GCKL</v>
          </cell>
          <cell r="E2846">
            <v>114.43704550999999</v>
          </cell>
          <cell r="F2846" t="str">
            <v>-</v>
          </cell>
          <cell r="G2846" t="str">
            <v>-</v>
          </cell>
          <cell r="H2846" t="str">
            <v>-</v>
          </cell>
          <cell r="I2846" t="str">
            <v>-</v>
          </cell>
          <cell r="J2846">
            <v>114.43704550999999</v>
          </cell>
          <cell r="K2846" t="str">
            <v>Small Cap</v>
          </cell>
        </row>
        <row r="2847">
          <cell r="C2847" t="str">
            <v>INE0R5Z01015</v>
          </cell>
          <cell r="D2847" t="str">
            <v>MCFL</v>
          </cell>
          <cell r="E2847">
            <v>114.31178571400001</v>
          </cell>
          <cell r="F2847" t="str">
            <v>-</v>
          </cell>
          <cell r="G2847" t="str">
            <v>-</v>
          </cell>
          <cell r="H2847" t="str">
            <v>-</v>
          </cell>
          <cell r="I2847" t="str">
            <v>-</v>
          </cell>
          <cell r="J2847">
            <v>114.31178571400001</v>
          </cell>
          <cell r="K2847" t="str">
            <v>Small Cap</v>
          </cell>
        </row>
        <row r="2848">
          <cell r="C2848" t="str">
            <v>INE978G01016</v>
          </cell>
          <cell r="D2848" t="str">
            <v>SPLIL</v>
          </cell>
          <cell r="E2848">
            <v>114.607095173</v>
          </cell>
          <cell r="F2848" t="str">
            <v>SPLIL</v>
          </cell>
          <cell r="G2848">
            <v>113.7854</v>
          </cell>
          <cell r="H2848" t="str">
            <v>-</v>
          </cell>
          <cell r="I2848" t="str">
            <v>-</v>
          </cell>
          <cell r="J2848">
            <v>114.19624758649999</v>
          </cell>
          <cell r="K2848" t="str">
            <v>Small Cap</v>
          </cell>
        </row>
        <row r="2849">
          <cell r="C2849" t="str">
            <v>INE0D0U01013</v>
          </cell>
          <cell r="D2849" t="str">
            <v>AAATECH</v>
          </cell>
          <cell r="E2849">
            <v>114.07819979999999</v>
          </cell>
          <cell r="F2849" t="str">
            <v>AAATECH</v>
          </cell>
          <cell r="G2849">
            <v>113.7885</v>
          </cell>
          <cell r="H2849" t="str">
            <v>-</v>
          </cell>
          <cell r="I2849" t="str">
            <v>-</v>
          </cell>
          <cell r="J2849">
            <v>113.9333499</v>
          </cell>
          <cell r="K2849" t="str">
            <v>Small Cap</v>
          </cell>
        </row>
        <row r="2850">
          <cell r="C2850" t="str">
            <v>INE0P4P01011</v>
          </cell>
          <cell r="D2850" t="str">
            <v>TECHKGREEN</v>
          </cell>
          <cell r="E2850">
            <v>113.76054516300002</v>
          </cell>
          <cell r="F2850" t="str">
            <v>-</v>
          </cell>
          <cell r="G2850" t="str">
            <v>-</v>
          </cell>
          <cell r="H2850" t="str">
            <v>-</v>
          </cell>
          <cell r="I2850" t="str">
            <v>-</v>
          </cell>
          <cell r="J2850">
            <v>113.76054516300002</v>
          </cell>
          <cell r="K2850" t="str">
            <v>Small Cap</v>
          </cell>
        </row>
        <row r="2851">
          <cell r="C2851" t="str">
            <v>INE0R8101016</v>
          </cell>
          <cell r="D2851" t="str">
            <v>COVANCE</v>
          </cell>
          <cell r="E2851">
            <v>113.41319197999999</v>
          </cell>
          <cell r="F2851" t="str">
            <v>-</v>
          </cell>
          <cell r="G2851" t="str">
            <v>-</v>
          </cell>
          <cell r="H2851" t="str">
            <v>-</v>
          </cell>
          <cell r="I2851" t="str">
            <v>-</v>
          </cell>
          <cell r="J2851">
            <v>113.41319197999999</v>
          </cell>
          <cell r="K2851" t="str">
            <v>Small Cap</v>
          </cell>
        </row>
        <row r="2852">
          <cell r="C2852" t="str">
            <v>INE318D01020</v>
          </cell>
          <cell r="D2852" t="str">
            <v>ZENITHSTL</v>
          </cell>
          <cell r="E2852">
            <v>113.36476996900001</v>
          </cell>
          <cell r="F2852" t="str">
            <v>ZENITHSTL</v>
          </cell>
          <cell r="G2852">
            <v>113.33320000000001</v>
          </cell>
          <cell r="H2852" t="str">
            <v>-</v>
          </cell>
          <cell r="I2852" t="str">
            <v>-</v>
          </cell>
          <cell r="J2852">
            <v>113.34898498450001</v>
          </cell>
          <cell r="K2852" t="str">
            <v>Small Cap</v>
          </cell>
        </row>
        <row r="2853">
          <cell r="C2853" t="str">
            <v>INE549S01036</v>
          </cell>
          <cell r="D2853" t="str">
            <v>REMLIFE</v>
          </cell>
          <cell r="E2853">
            <v>113.24473297999999</v>
          </cell>
          <cell r="F2853" t="str">
            <v>-</v>
          </cell>
          <cell r="G2853" t="str">
            <v>-</v>
          </cell>
          <cell r="H2853" t="str">
            <v>-</v>
          </cell>
          <cell r="I2853" t="str">
            <v>-</v>
          </cell>
          <cell r="J2853">
            <v>113.24473297999999</v>
          </cell>
          <cell r="K2853" t="str">
            <v>Small Cap</v>
          </cell>
        </row>
        <row r="2854">
          <cell r="C2854" t="str">
            <v>INE1NQ501012</v>
          </cell>
          <cell r="D2854" t="str">
            <v>NEPLOG</v>
          </cell>
          <cell r="E2854">
            <v>113.191357143</v>
          </cell>
          <cell r="F2854" t="str">
            <v>-</v>
          </cell>
          <cell r="G2854" t="str">
            <v>-</v>
          </cell>
          <cell r="H2854" t="str">
            <v>-</v>
          </cell>
          <cell r="I2854" t="str">
            <v>-</v>
          </cell>
          <cell r="J2854">
            <v>113.191357143</v>
          </cell>
          <cell r="K2854" t="str">
            <v>Small Cap</v>
          </cell>
        </row>
        <row r="2855">
          <cell r="C2855" t="str">
            <v>INE544C01023</v>
          </cell>
          <cell r="D2855" t="str">
            <v>PICCASUG</v>
          </cell>
          <cell r="E2855">
            <v>113.078644173</v>
          </cell>
          <cell r="F2855" t="str">
            <v>-</v>
          </cell>
          <cell r="G2855" t="str">
            <v>-</v>
          </cell>
          <cell r="H2855" t="str">
            <v>-</v>
          </cell>
          <cell r="I2855" t="str">
            <v>-</v>
          </cell>
          <cell r="J2855">
            <v>113.078644173</v>
          </cell>
          <cell r="K2855" t="str">
            <v>Small Cap</v>
          </cell>
        </row>
        <row r="2856">
          <cell r="C2856" t="str">
            <v>INE491N01016</v>
          </cell>
          <cell r="D2856" t="str">
            <v>RAJABAH</v>
          </cell>
          <cell r="E2856">
            <v>112.976666667</v>
          </cell>
          <cell r="F2856" t="str">
            <v>-</v>
          </cell>
          <cell r="G2856" t="str">
            <v>-</v>
          </cell>
          <cell r="H2856" t="str">
            <v>-</v>
          </cell>
          <cell r="I2856" t="str">
            <v>-</v>
          </cell>
          <cell r="J2856">
            <v>112.976666667</v>
          </cell>
          <cell r="K2856" t="str">
            <v>Small Cap</v>
          </cell>
        </row>
        <row r="2857">
          <cell r="C2857" t="str">
            <v>INE434C01027</v>
          </cell>
          <cell r="D2857" t="str">
            <v>KAJARIR</v>
          </cell>
          <cell r="E2857">
            <v>112.826571429</v>
          </cell>
          <cell r="F2857" t="str">
            <v>-</v>
          </cell>
          <cell r="G2857" t="str">
            <v>-</v>
          </cell>
          <cell r="H2857" t="str">
            <v>-</v>
          </cell>
          <cell r="I2857" t="str">
            <v>-</v>
          </cell>
          <cell r="J2857">
            <v>112.826571429</v>
          </cell>
          <cell r="K2857" t="str">
            <v>Small Cap</v>
          </cell>
        </row>
        <row r="2858">
          <cell r="C2858" t="str">
            <v>INE0D7801012</v>
          </cell>
          <cell r="D2858" t="str">
            <v>MRP</v>
          </cell>
          <cell r="E2858">
            <v>111.85668831300001</v>
          </cell>
          <cell r="F2858" t="str">
            <v>-</v>
          </cell>
          <cell r="G2858" t="str">
            <v>-</v>
          </cell>
          <cell r="H2858" t="str">
            <v>-</v>
          </cell>
          <cell r="I2858" t="str">
            <v>-</v>
          </cell>
          <cell r="J2858">
            <v>111.85668831300001</v>
          </cell>
          <cell r="K2858" t="str">
            <v>Small Cap</v>
          </cell>
        </row>
        <row r="2859">
          <cell r="C2859" t="str">
            <v>INE041B01014</v>
          </cell>
          <cell r="D2859" t="str">
            <v>ASITCFIN</v>
          </cell>
          <cell r="E2859">
            <v>111.719064801</v>
          </cell>
          <cell r="F2859" t="str">
            <v>-</v>
          </cell>
          <cell r="G2859" t="str">
            <v>-</v>
          </cell>
          <cell r="H2859" t="str">
            <v>-</v>
          </cell>
          <cell r="I2859" t="str">
            <v>-</v>
          </cell>
          <cell r="J2859">
            <v>111.719064801</v>
          </cell>
          <cell r="K2859" t="str">
            <v>Small Cap</v>
          </cell>
        </row>
        <row r="2860">
          <cell r="C2860" t="str">
            <v>INE978V01015</v>
          </cell>
          <cell r="D2860" t="str">
            <v>TANVI</v>
          </cell>
          <cell r="E2860">
            <v>111.622967644</v>
          </cell>
          <cell r="F2860" t="str">
            <v>-</v>
          </cell>
          <cell r="G2860" t="str">
            <v>-</v>
          </cell>
          <cell r="H2860" t="str">
            <v>-</v>
          </cell>
          <cell r="I2860" t="str">
            <v>-</v>
          </cell>
          <cell r="J2860">
            <v>111.622967644</v>
          </cell>
          <cell r="K2860" t="str">
            <v>Small Cap</v>
          </cell>
        </row>
        <row r="2861">
          <cell r="C2861" t="str">
            <v>INE427T01025</v>
          </cell>
          <cell r="D2861" t="str">
            <v>VKAL</v>
          </cell>
          <cell r="E2861">
            <v>111.618963095</v>
          </cell>
          <cell r="F2861" t="str">
            <v>-</v>
          </cell>
          <cell r="G2861" t="str">
            <v>-</v>
          </cell>
          <cell r="H2861" t="str">
            <v>-</v>
          </cell>
          <cell r="I2861" t="str">
            <v>-</v>
          </cell>
          <cell r="J2861">
            <v>111.618963095</v>
          </cell>
          <cell r="K2861" t="str">
            <v>Small Cap</v>
          </cell>
        </row>
        <row r="2862">
          <cell r="C2862" t="str">
            <v>INE582D01013</v>
          </cell>
          <cell r="D2862" t="str">
            <v>RISHIROOP</v>
          </cell>
          <cell r="E2862">
            <v>111.437412451</v>
          </cell>
          <cell r="F2862" t="str">
            <v>-</v>
          </cell>
          <cell r="G2862" t="str">
            <v>-</v>
          </cell>
          <cell r="H2862" t="str">
            <v>-</v>
          </cell>
          <cell r="I2862" t="str">
            <v>-</v>
          </cell>
          <cell r="J2862">
            <v>111.437412451</v>
          </cell>
          <cell r="K2862" t="str">
            <v>Small Cap</v>
          </cell>
        </row>
        <row r="2863">
          <cell r="C2863" t="str">
            <v>INE997I01012</v>
          </cell>
          <cell r="D2863" t="str">
            <v>SHRIKRISH</v>
          </cell>
          <cell r="E2863">
            <v>111.40333333299999</v>
          </cell>
          <cell r="F2863" t="str">
            <v>-</v>
          </cell>
          <cell r="G2863" t="str">
            <v>-</v>
          </cell>
          <cell r="H2863" t="str">
            <v>-</v>
          </cell>
          <cell r="I2863" t="str">
            <v>-</v>
          </cell>
          <cell r="J2863">
            <v>111.40333333299999</v>
          </cell>
          <cell r="K2863" t="str">
            <v>Small Cap</v>
          </cell>
        </row>
        <row r="2864">
          <cell r="C2864" t="str">
            <v>INE258M01011</v>
          </cell>
          <cell r="D2864" t="str">
            <v>FERVENTSYN</v>
          </cell>
          <cell r="E2864">
            <v>111.373809524</v>
          </cell>
          <cell r="F2864" t="str">
            <v>-</v>
          </cell>
          <cell r="G2864" t="str">
            <v>-</v>
          </cell>
          <cell r="H2864" t="str">
            <v>-</v>
          </cell>
          <cell r="I2864" t="str">
            <v>-</v>
          </cell>
          <cell r="J2864">
            <v>111.373809524</v>
          </cell>
          <cell r="K2864" t="str">
            <v>Small Cap</v>
          </cell>
        </row>
        <row r="2865">
          <cell r="C2865" t="str">
            <v>INE167E01037</v>
          </cell>
          <cell r="D2865" t="str">
            <v>PANCM</v>
          </cell>
          <cell r="E2865">
            <v>111.29630225599999</v>
          </cell>
          <cell r="F2865" t="str">
            <v>-</v>
          </cell>
          <cell r="G2865" t="str">
            <v>-</v>
          </cell>
          <cell r="H2865" t="str">
            <v>-</v>
          </cell>
          <cell r="I2865" t="str">
            <v>-</v>
          </cell>
          <cell r="J2865">
            <v>111.29630225599999</v>
          </cell>
          <cell r="K2865" t="str">
            <v>Small Cap</v>
          </cell>
        </row>
        <row r="2866">
          <cell r="C2866" t="str">
            <v>INE745R01024</v>
          </cell>
          <cell r="D2866" t="str">
            <v>REGIS</v>
          </cell>
          <cell r="E2866">
            <v>110.94122111099999</v>
          </cell>
          <cell r="F2866" t="str">
            <v>-</v>
          </cell>
          <cell r="G2866" t="str">
            <v>-</v>
          </cell>
          <cell r="H2866" t="str">
            <v>-</v>
          </cell>
          <cell r="I2866" t="str">
            <v>-</v>
          </cell>
          <cell r="J2866">
            <v>110.94122111099999</v>
          </cell>
          <cell r="K2866" t="str">
            <v>Small Cap</v>
          </cell>
        </row>
        <row r="2867">
          <cell r="C2867" t="str">
            <v>INE621B01021</v>
          </cell>
          <cell r="D2867" t="str">
            <v>PRITHVIEXCH</v>
          </cell>
          <cell r="E2867">
            <v>110.784287956</v>
          </cell>
          <cell r="F2867" t="str">
            <v>-</v>
          </cell>
          <cell r="G2867" t="str">
            <v>-</v>
          </cell>
          <cell r="H2867" t="str">
            <v>-</v>
          </cell>
          <cell r="I2867" t="str">
            <v>-</v>
          </cell>
          <cell r="J2867">
            <v>110.784287956</v>
          </cell>
          <cell r="K2867" t="str">
            <v>Small Cap</v>
          </cell>
        </row>
        <row r="2868">
          <cell r="C2868" t="str">
            <v>INE156C01018</v>
          </cell>
          <cell r="D2868" t="str">
            <v>PIONEEREMB</v>
          </cell>
          <cell r="E2868">
            <v>110.44671733800001</v>
          </cell>
          <cell r="F2868" t="str">
            <v>PIONEEREMB</v>
          </cell>
          <cell r="G2868">
            <v>110.2959</v>
          </cell>
          <cell r="H2868" t="str">
            <v>-</v>
          </cell>
          <cell r="I2868" t="str">
            <v>-</v>
          </cell>
          <cell r="J2868">
            <v>110.371308669</v>
          </cell>
          <cell r="K2868" t="str">
            <v>Small Cap</v>
          </cell>
        </row>
        <row r="2869">
          <cell r="C2869" t="str">
            <v>INE328E01027</v>
          </cell>
          <cell r="D2869" t="str">
            <v>-</v>
          </cell>
          <cell r="E2869" t="str">
            <v>-</v>
          </cell>
          <cell r="F2869" t="str">
            <v>-</v>
          </cell>
          <cell r="G2869" t="str">
            <v>-</v>
          </cell>
          <cell r="H2869" t="str">
            <v>RAMARAJU</v>
          </cell>
          <cell r="I2869">
            <v>110.1385053800003</v>
          </cell>
          <cell r="J2869">
            <v>110.1385053800003</v>
          </cell>
          <cell r="K2869" t="str">
            <v>Small Cap</v>
          </cell>
        </row>
        <row r="2870">
          <cell r="C2870" t="str">
            <v>INE478D01014</v>
          </cell>
          <cell r="D2870" t="str">
            <v>ITL</v>
          </cell>
          <cell r="E2870">
            <v>109.96432817899999</v>
          </cell>
          <cell r="F2870" t="str">
            <v>-</v>
          </cell>
          <cell r="G2870" t="str">
            <v>-</v>
          </cell>
          <cell r="H2870" t="str">
            <v>-</v>
          </cell>
          <cell r="I2870" t="str">
            <v>-</v>
          </cell>
          <cell r="J2870">
            <v>109.96432817899999</v>
          </cell>
          <cell r="K2870" t="str">
            <v>Small Cap</v>
          </cell>
        </row>
        <row r="2871">
          <cell r="C2871" t="str">
            <v>INE0QZQ01019</v>
          </cell>
          <cell r="D2871" t="str">
            <v>SHANTIDENM</v>
          </cell>
          <cell r="E2871">
            <v>109.94181822200001</v>
          </cell>
          <cell r="F2871" t="str">
            <v>-</v>
          </cell>
          <cell r="G2871" t="str">
            <v>-</v>
          </cell>
          <cell r="H2871" t="str">
            <v>-</v>
          </cell>
          <cell r="I2871" t="str">
            <v>-</v>
          </cell>
          <cell r="J2871">
            <v>109.94181822200001</v>
          </cell>
          <cell r="K2871" t="str">
            <v>Small Cap</v>
          </cell>
        </row>
        <row r="2872">
          <cell r="C2872" t="str">
            <v>INE795D01011</v>
          </cell>
          <cell r="D2872" t="str">
            <v>PURETROP</v>
          </cell>
          <cell r="E2872">
            <v>109.66174006300001</v>
          </cell>
          <cell r="F2872" t="str">
            <v>-</v>
          </cell>
          <cell r="G2872" t="str">
            <v>-</v>
          </cell>
          <cell r="H2872" t="str">
            <v>-</v>
          </cell>
          <cell r="I2872" t="str">
            <v>-</v>
          </cell>
          <cell r="J2872">
            <v>109.66174006300001</v>
          </cell>
          <cell r="K2872" t="str">
            <v>Small Cap</v>
          </cell>
        </row>
        <row r="2873">
          <cell r="C2873" t="str">
            <v>INE0VDK01019</v>
          </cell>
          <cell r="D2873" t="str">
            <v>PURPLEWAVE</v>
          </cell>
          <cell r="E2873">
            <v>109.60619333299999</v>
          </cell>
          <cell r="F2873" t="str">
            <v>-</v>
          </cell>
          <cell r="G2873" t="str">
            <v>-</v>
          </cell>
          <cell r="H2873" t="str">
            <v>-</v>
          </cell>
          <cell r="I2873" t="str">
            <v>-</v>
          </cell>
          <cell r="J2873">
            <v>109.60619333299999</v>
          </cell>
          <cell r="K2873" t="str">
            <v>Small Cap</v>
          </cell>
        </row>
        <row r="2874">
          <cell r="C2874" t="str">
            <v>INE0SGR01013</v>
          </cell>
          <cell r="D2874" t="str">
            <v>SHIVAM</v>
          </cell>
          <cell r="E2874">
            <v>109.48094536500001</v>
          </cell>
          <cell r="F2874" t="str">
            <v>-</v>
          </cell>
          <cell r="G2874" t="str">
            <v>-</v>
          </cell>
          <cell r="H2874" t="str">
            <v>-</v>
          </cell>
          <cell r="I2874" t="str">
            <v>-</v>
          </cell>
          <cell r="J2874">
            <v>109.48094536500001</v>
          </cell>
          <cell r="K2874" t="str">
            <v>Small Cap</v>
          </cell>
        </row>
        <row r="2875">
          <cell r="C2875" t="str">
            <v>INE473L01018</v>
          </cell>
          <cell r="D2875" t="str">
            <v>CIL</v>
          </cell>
          <cell r="E2875">
            <v>109.451161329</v>
          </cell>
          <cell r="F2875" t="str">
            <v>-</v>
          </cell>
          <cell r="G2875" t="str">
            <v>-</v>
          </cell>
          <cell r="H2875" t="str">
            <v>-</v>
          </cell>
          <cell r="I2875" t="str">
            <v>-</v>
          </cell>
          <cell r="J2875">
            <v>109.451161329</v>
          </cell>
          <cell r="K2875" t="str">
            <v>Small Cap</v>
          </cell>
        </row>
        <row r="2876">
          <cell r="C2876" t="str">
            <v>INE0MSK01016</v>
          </cell>
          <cell r="D2876" t="str">
            <v>STML</v>
          </cell>
          <cell r="E2876">
            <v>109.41155802899999</v>
          </cell>
          <cell r="F2876" t="str">
            <v>-</v>
          </cell>
          <cell r="G2876" t="str">
            <v>-</v>
          </cell>
          <cell r="H2876" t="str">
            <v>-</v>
          </cell>
          <cell r="I2876" t="str">
            <v>-</v>
          </cell>
          <cell r="J2876">
            <v>109.41155802899999</v>
          </cell>
          <cell r="K2876" t="str">
            <v>Small Cap</v>
          </cell>
        </row>
        <row r="2877">
          <cell r="C2877" t="str">
            <v>INE214D01021</v>
          </cell>
          <cell r="D2877" t="str">
            <v>KARNAWATI</v>
          </cell>
          <cell r="E2877">
            <v>109.327011508</v>
          </cell>
          <cell r="F2877" t="str">
            <v>-</v>
          </cell>
          <cell r="G2877" t="str">
            <v>-</v>
          </cell>
          <cell r="H2877" t="str">
            <v>-</v>
          </cell>
          <cell r="I2877" t="str">
            <v>-</v>
          </cell>
          <cell r="J2877">
            <v>109.327011508</v>
          </cell>
          <cell r="K2877" t="str">
            <v>Small Cap</v>
          </cell>
        </row>
        <row r="2878">
          <cell r="C2878" t="str">
            <v>INE145E01017</v>
          </cell>
          <cell r="D2878" t="str">
            <v>CRAVATEX</v>
          </cell>
          <cell r="E2878">
            <v>109.325452451</v>
          </cell>
          <cell r="F2878" t="str">
            <v>-</v>
          </cell>
          <cell r="G2878" t="str">
            <v>-</v>
          </cell>
          <cell r="H2878" t="str">
            <v>-</v>
          </cell>
          <cell r="I2878" t="str">
            <v>-</v>
          </cell>
          <cell r="J2878">
            <v>109.325452451</v>
          </cell>
          <cell r="K2878" t="str">
            <v>Small Cap</v>
          </cell>
        </row>
        <row r="2879">
          <cell r="C2879" t="str">
            <v>INE014E01015</v>
          </cell>
          <cell r="D2879" t="str">
            <v>KLRFM</v>
          </cell>
          <cell r="E2879">
            <v>109.1503487</v>
          </cell>
          <cell r="F2879" t="str">
            <v>-</v>
          </cell>
          <cell r="G2879" t="str">
            <v>-</v>
          </cell>
          <cell r="H2879" t="str">
            <v>-</v>
          </cell>
          <cell r="I2879" t="str">
            <v>-</v>
          </cell>
          <cell r="J2879">
            <v>109.1503487</v>
          </cell>
          <cell r="K2879" t="str">
            <v>Small Cap</v>
          </cell>
        </row>
        <row r="2880">
          <cell r="C2880" t="str">
            <v>INE0SRP01014</v>
          </cell>
          <cell r="D2880" t="str">
            <v>TELGE</v>
          </cell>
          <cell r="E2880">
            <v>108.85440869300001</v>
          </cell>
          <cell r="F2880" t="str">
            <v>-</v>
          </cell>
          <cell r="G2880" t="str">
            <v>-</v>
          </cell>
          <cell r="H2880" t="str">
            <v>-</v>
          </cell>
          <cell r="I2880" t="str">
            <v>-</v>
          </cell>
          <cell r="J2880">
            <v>108.85440869300001</v>
          </cell>
          <cell r="K2880" t="str">
            <v>Small Cap</v>
          </cell>
        </row>
        <row r="2881">
          <cell r="C2881" t="str">
            <v>INE289M01016</v>
          </cell>
          <cell r="D2881" t="str">
            <v>JOLYPLS</v>
          </cell>
          <cell r="E2881">
            <v>108.824790127</v>
          </cell>
          <cell r="F2881" t="str">
            <v>-</v>
          </cell>
          <cell r="G2881" t="str">
            <v>-</v>
          </cell>
          <cell r="H2881" t="str">
            <v>-</v>
          </cell>
          <cell r="I2881" t="str">
            <v>-</v>
          </cell>
          <cell r="J2881">
            <v>108.824790127</v>
          </cell>
          <cell r="K2881" t="str">
            <v>Small Cap</v>
          </cell>
        </row>
        <row r="2882">
          <cell r="C2882" t="str">
            <v>INE295Z01015</v>
          </cell>
          <cell r="D2882" t="str">
            <v>PARVATI</v>
          </cell>
          <cell r="E2882">
            <v>108.78384296600001</v>
          </cell>
          <cell r="F2882" t="str">
            <v>-</v>
          </cell>
          <cell r="G2882" t="str">
            <v>-</v>
          </cell>
          <cell r="H2882" t="str">
            <v>-</v>
          </cell>
          <cell r="I2882" t="str">
            <v>-</v>
          </cell>
          <cell r="J2882">
            <v>108.78384296600001</v>
          </cell>
          <cell r="K2882" t="str">
            <v>Small Cap</v>
          </cell>
        </row>
        <row r="2883">
          <cell r="C2883" t="str">
            <v>INE911T01010</v>
          </cell>
          <cell r="D2883" t="str">
            <v>KRANTI</v>
          </cell>
          <cell r="E2883">
            <v>108.77955576199999</v>
          </cell>
          <cell r="F2883" t="str">
            <v>-</v>
          </cell>
          <cell r="G2883" t="str">
            <v>-</v>
          </cell>
          <cell r="H2883" t="str">
            <v>-</v>
          </cell>
          <cell r="I2883" t="str">
            <v>-</v>
          </cell>
          <cell r="J2883">
            <v>108.77955576199999</v>
          </cell>
          <cell r="K2883" t="str">
            <v>Small Cap</v>
          </cell>
        </row>
        <row r="2884">
          <cell r="C2884" t="str">
            <v>INE0U2L01017</v>
          </cell>
          <cell r="D2884" t="str">
            <v>AMWILL</v>
          </cell>
          <cell r="E2884">
            <v>108.73877580599999</v>
          </cell>
          <cell r="F2884" t="str">
            <v>-</v>
          </cell>
          <cell r="G2884" t="str">
            <v>-</v>
          </cell>
          <cell r="H2884" t="str">
            <v>-</v>
          </cell>
          <cell r="I2884" t="str">
            <v>-</v>
          </cell>
          <cell r="J2884">
            <v>108.73877580599999</v>
          </cell>
          <cell r="K2884" t="str">
            <v>Small Cap</v>
          </cell>
        </row>
        <row r="2885">
          <cell r="C2885" t="str">
            <v>INE0L3501015</v>
          </cell>
          <cell r="D2885" t="str">
            <v>HEALTHYLIFE</v>
          </cell>
          <cell r="E2885">
            <v>108.58794571400001</v>
          </cell>
          <cell r="F2885" t="str">
            <v>-</v>
          </cell>
          <cell r="G2885" t="str">
            <v>-</v>
          </cell>
          <cell r="H2885" t="str">
            <v>-</v>
          </cell>
          <cell r="I2885" t="str">
            <v>-</v>
          </cell>
          <cell r="J2885">
            <v>108.58794571400001</v>
          </cell>
          <cell r="K2885" t="str">
            <v>Small Cap</v>
          </cell>
        </row>
        <row r="2886">
          <cell r="C2886" t="str">
            <v>INE952M01019</v>
          </cell>
          <cell r="D2886" t="str">
            <v>FLOMIC</v>
          </cell>
          <cell r="E2886">
            <v>108.37873739300001</v>
          </cell>
          <cell r="F2886" t="str">
            <v>-</v>
          </cell>
          <cell r="G2886" t="str">
            <v>-</v>
          </cell>
          <cell r="H2886" t="str">
            <v>-</v>
          </cell>
          <cell r="I2886" t="str">
            <v>-</v>
          </cell>
          <cell r="J2886">
            <v>108.37873739300001</v>
          </cell>
          <cell r="K2886" t="str">
            <v>Small Cap</v>
          </cell>
        </row>
        <row r="2887">
          <cell r="C2887" t="str">
            <v>INE581X01021</v>
          </cell>
          <cell r="D2887" t="str">
            <v>-</v>
          </cell>
          <cell r="E2887" t="str">
            <v>-</v>
          </cell>
          <cell r="F2887" t="str">
            <v>GLOBE</v>
          </cell>
          <cell r="G2887">
            <v>108.1827</v>
          </cell>
          <cell r="H2887" t="str">
            <v>-</v>
          </cell>
          <cell r="I2887" t="str">
            <v>-</v>
          </cell>
          <cell r="J2887">
            <v>108.1827</v>
          </cell>
          <cell r="K2887" t="str">
            <v>Small Cap</v>
          </cell>
        </row>
        <row r="2888">
          <cell r="C2888" t="str">
            <v>INE506Z01015</v>
          </cell>
          <cell r="D2888" t="str">
            <v>DHRUV</v>
          </cell>
          <cell r="E2888">
            <v>107.64717081300002</v>
          </cell>
          <cell r="F2888" t="str">
            <v>DHRUV</v>
          </cell>
          <cell r="G2888">
            <v>108.06699999999999</v>
          </cell>
          <cell r="H2888" t="str">
            <v>-</v>
          </cell>
          <cell r="I2888" t="str">
            <v>-</v>
          </cell>
          <cell r="J2888">
            <v>107.8570854065</v>
          </cell>
          <cell r="K2888" t="str">
            <v>Small Cap</v>
          </cell>
        </row>
        <row r="2889">
          <cell r="C2889" t="str">
            <v>INE1PJP01015</v>
          </cell>
          <cell r="D2889" t="str">
            <v>MPKSTEELS</v>
          </cell>
          <cell r="E2889">
            <v>107.731334221</v>
          </cell>
          <cell r="F2889" t="str">
            <v>-</v>
          </cell>
          <cell r="G2889" t="str">
            <v>-</v>
          </cell>
          <cell r="H2889" t="str">
            <v>-</v>
          </cell>
          <cell r="I2889" t="str">
            <v>-</v>
          </cell>
          <cell r="J2889">
            <v>107.731334221</v>
          </cell>
          <cell r="K2889" t="str">
            <v>Small Cap</v>
          </cell>
        </row>
        <row r="2890">
          <cell r="C2890" t="str">
            <v>INE105I01020</v>
          </cell>
          <cell r="D2890" t="str">
            <v>SELMC</v>
          </cell>
          <cell r="E2890">
            <v>107.72380241199998</v>
          </cell>
          <cell r="F2890" t="str">
            <v>SELMC</v>
          </cell>
          <cell r="G2890">
            <v>107.1981</v>
          </cell>
          <cell r="H2890" t="str">
            <v>-</v>
          </cell>
          <cell r="I2890" t="str">
            <v>-</v>
          </cell>
          <cell r="J2890">
            <v>107.46095120599999</v>
          </cell>
          <cell r="K2890" t="str">
            <v>Small Cap</v>
          </cell>
        </row>
        <row r="2891">
          <cell r="C2891" t="str">
            <v>INE171P01019</v>
          </cell>
          <cell r="D2891" t="str">
            <v>PTIL</v>
          </cell>
          <cell r="E2891">
            <v>107.06277</v>
          </cell>
          <cell r="F2891" t="str">
            <v>-</v>
          </cell>
          <cell r="G2891" t="str">
            <v>-</v>
          </cell>
          <cell r="H2891" t="str">
            <v>-</v>
          </cell>
          <cell r="I2891" t="str">
            <v>-</v>
          </cell>
          <cell r="J2891">
            <v>107.06277</v>
          </cell>
          <cell r="K2891" t="str">
            <v>Small Cap</v>
          </cell>
        </row>
        <row r="2892">
          <cell r="C2892" t="str">
            <v>INE060601031</v>
          </cell>
          <cell r="D2892" t="str">
            <v>MURAE</v>
          </cell>
          <cell r="E2892">
            <v>107.020280253</v>
          </cell>
          <cell r="F2892" t="str">
            <v>-</v>
          </cell>
          <cell r="G2892" t="str">
            <v>-</v>
          </cell>
          <cell r="H2892" t="str">
            <v>-</v>
          </cell>
          <cell r="I2892" t="str">
            <v>-</v>
          </cell>
          <cell r="J2892">
            <v>107.020280253</v>
          </cell>
          <cell r="K2892" t="str">
            <v>Small Cap</v>
          </cell>
        </row>
        <row r="2893">
          <cell r="C2893" t="str">
            <v>INE436C01014</v>
          </cell>
          <cell r="D2893" t="str">
            <v>BHILSPIN</v>
          </cell>
          <cell r="E2893">
            <v>106.717148728</v>
          </cell>
          <cell r="F2893" t="str">
            <v>-</v>
          </cell>
          <cell r="G2893" t="str">
            <v>-</v>
          </cell>
          <cell r="H2893" t="str">
            <v>-</v>
          </cell>
          <cell r="I2893" t="str">
            <v>-</v>
          </cell>
          <cell r="J2893">
            <v>106.717148728</v>
          </cell>
          <cell r="K2893" t="str">
            <v>Small Cap</v>
          </cell>
        </row>
        <row r="2894">
          <cell r="C2894" t="str">
            <v>INE484D01012</v>
          </cell>
          <cell r="D2894" t="str">
            <v>AMARJOTHI</v>
          </cell>
          <cell r="E2894">
            <v>106.587321429</v>
          </cell>
          <cell r="F2894" t="str">
            <v>-</v>
          </cell>
          <cell r="G2894" t="str">
            <v>-</v>
          </cell>
          <cell r="H2894" t="str">
            <v>-</v>
          </cell>
          <cell r="I2894" t="str">
            <v>-</v>
          </cell>
          <cell r="J2894">
            <v>106.587321429</v>
          </cell>
          <cell r="K2894" t="str">
            <v>Small Cap</v>
          </cell>
        </row>
        <row r="2895">
          <cell r="C2895" t="str">
            <v>INE582C01015</v>
          </cell>
          <cell r="D2895" t="str">
            <v>JAGSONSER</v>
          </cell>
          <cell r="E2895">
            <v>106.526297329</v>
          </cell>
          <cell r="F2895" t="str">
            <v>-</v>
          </cell>
          <cell r="G2895" t="str">
            <v>-</v>
          </cell>
          <cell r="H2895" t="str">
            <v>-</v>
          </cell>
          <cell r="I2895" t="str">
            <v>-</v>
          </cell>
          <cell r="J2895">
            <v>106.526297329</v>
          </cell>
          <cell r="K2895" t="str">
            <v>Small Cap</v>
          </cell>
        </row>
        <row r="2896">
          <cell r="C2896" t="str">
            <v>INE0NTC01019</v>
          </cell>
          <cell r="D2896" t="str">
            <v>RETINA</v>
          </cell>
          <cell r="E2896">
            <v>106.427824286</v>
          </cell>
          <cell r="F2896" t="str">
            <v>-</v>
          </cell>
          <cell r="G2896" t="str">
            <v>-</v>
          </cell>
          <cell r="H2896" t="str">
            <v>-</v>
          </cell>
          <cell r="I2896" t="str">
            <v>-</v>
          </cell>
          <cell r="J2896">
            <v>106.427824286</v>
          </cell>
          <cell r="K2896" t="str">
            <v>Small Cap</v>
          </cell>
        </row>
        <row r="2897">
          <cell r="C2897" t="str">
            <v>INE301C01028</v>
          </cell>
          <cell r="D2897" t="str">
            <v>KKALPANAIND</v>
          </cell>
          <cell r="E2897">
            <v>105.99480735100001</v>
          </cell>
          <cell r="F2897" t="str">
            <v>-</v>
          </cell>
          <cell r="G2897" t="str">
            <v>-</v>
          </cell>
          <cell r="H2897" t="str">
            <v>-</v>
          </cell>
          <cell r="I2897" t="str">
            <v>-</v>
          </cell>
          <cell r="J2897">
            <v>105.99480735100001</v>
          </cell>
          <cell r="K2897" t="str">
            <v>Small Cap</v>
          </cell>
        </row>
        <row r="2898">
          <cell r="C2898" t="str">
            <v>INE09KD01013</v>
          </cell>
          <cell r="D2898" t="str">
            <v>ATAM</v>
          </cell>
          <cell r="E2898">
            <v>105.75627335700001</v>
          </cell>
          <cell r="F2898" t="str">
            <v>ATAM</v>
          </cell>
          <cell r="G2898">
            <v>105.72</v>
          </cell>
          <cell r="H2898" t="str">
            <v>-</v>
          </cell>
          <cell r="I2898" t="str">
            <v>-</v>
          </cell>
          <cell r="J2898">
            <v>105.73813667850001</v>
          </cell>
          <cell r="K2898" t="str">
            <v>Small Cap</v>
          </cell>
        </row>
        <row r="2899">
          <cell r="C2899" t="str">
            <v>INE548H01015</v>
          </cell>
          <cell r="D2899" t="str">
            <v> RAAJMEDI</v>
          </cell>
          <cell r="E2899">
            <v>105.557025336</v>
          </cell>
          <cell r="F2899" t="str">
            <v>-</v>
          </cell>
          <cell r="G2899" t="str">
            <v>-</v>
          </cell>
          <cell r="H2899" t="str">
            <v>-</v>
          </cell>
          <cell r="I2899" t="str">
            <v>-</v>
          </cell>
          <cell r="J2899">
            <v>105.557025336</v>
          </cell>
          <cell r="K2899" t="str">
            <v>Small Cap</v>
          </cell>
        </row>
        <row r="2900">
          <cell r="C2900" t="str">
            <v>INE197J01017</v>
          </cell>
          <cell r="D2900" t="str">
            <v>LPDC</v>
          </cell>
          <cell r="E2900">
            <v>105.47272112100001</v>
          </cell>
          <cell r="F2900" t="str">
            <v>LPDC</v>
          </cell>
          <cell r="G2900">
            <v>105.3364</v>
          </cell>
          <cell r="H2900" t="str">
            <v>-</v>
          </cell>
          <cell r="I2900" t="str">
            <v>-</v>
          </cell>
          <cell r="J2900">
            <v>105.4045605605</v>
          </cell>
          <cell r="K2900" t="str">
            <v>Small Cap</v>
          </cell>
        </row>
        <row r="2901">
          <cell r="C2901" t="str">
            <v>INE011D01013</v>
          </cell>
          <cell r="D2901" t="str">
            <v>SHERVANI</v>
          </cell>
          <cell r="E2901">
            <v>105.32179089600001</v>
          </cell>
          <cell r="F2901" t="str">
            <v>-</v>
          </cell>
          <cell r="G2901" t="str">
            <v>-</v>
          </cell>
          <cell r="H2901" t="str">
            <v>-</v>
          </cell>
          <cell r="I2901" t="str">
            <v>-</v>
          </cell>
          <cell r="J2901">
            <v>105.32179089600001</v>
          </cell>
          <cell r="K2901" t="str">
            <v>Small Cap</v>
          </cell>
        </row>
        <row r="2902">
          <cell r="C2902" t="str">
            <v>INE786J01033</v>
          </cell>
          <cell r="D2902" t="str">
            <v>RRETAIL</v>
          </cell>
          <cell r="E2902">
            <v>105.19542261900001</v>
          </cell>
          <cell r="F2902" t="str">
            <v>-</v>
          </cell>
          <cell r="G2902" t="str">
            <v>-</v>
          </cell>
          <cell r="H2902" t="str">
            <v>-</v>
          </cell>
          <cell r="I2902" t="str">
            <v>-</v>
          </cell>
          <cell r="J2902">
            <v>105.19542261900001</v>
          </cell>
          <cell r="K2902" t="str">
            <v>Small Cap</v>
          </cell>
        </row>
        <row r="2903">
          <cell r="C2903" t="str">
            <v>INE194N01016</v>
          </cell>
          <cell r="D2903" t="str">
            <v>GENESIS</v>
          </cell>
          <cell r="E2903">
            <v>105.192904762</v>
          </cell>
          <cell r="F2903" t="str">
            <v>-</v>
          </cell>
          <cell r="G2903" t="str">
            <v>-</v>
          </cell>
          <cell r="H2903" t="str">
            <v>-</v>
          </cell>
          <cell r="I2903" t="str">
            <v>-</v>
          </cell>
          <cell r="J2903">
            <v>105.192904762</v>
          </cell>
          <cell r="K2903" t="str">
            <v>Small Cap</v>
          </cell>
        </row>
        <row r="2904">
          <cell r="C2904" t="str">
            <v>INE945A01026</v>
          </cell>
          <cell r="D2904" t="str">
            <v>JCTLTD</v>
          </cell>
          <cell r="E2904">
            <v>105.06824629400001</v>
          </cell>
          <cell r="F2904" t="str">
            <v>-</v>
          </cell>
          <cell r="G2904" t="str">
            <v>-</v>
          </cell>
          <cell r="H2904" t="str">
            <v>-</v>
          </cell>
          <cell r="I2904" t="str">
            <v>-</v>
          </cell>
          <cell r="J2904">
            <v>105.06824629400001</v>
          </cell>
          <cell r="K2904" t="str">
            <v>Small Cap</v>
          </cell>
        </row>
        <row r="2905">
          <cell r="C2905" t="str">
            <v>INE276I01011</v>
          </cell>
          <cell r="D2905" t="str">
            <v>GUJCONT</v>
          </cell>
          <cell r="E2905">
            <v>104.86906746</v>
          </cell>
          <cell r="F2905" t="str">
            <v>-</v>
          </cell>
          <cell r="G2905" t="str">
            <v>-</v>
          </cell>
          <cell r="H2905" t="str">
            <v>-</v>
          </cell>
          <cell r="I2905" t="str">
            <v>-</v>
          </cell>
          <cell r="J2905">
            <v>104.86906746</v>
          </cell>
          <cell r="K2905" t="str">
            <v>Small Cap</v>
          </cell>
        </row>
        <row r="2906">
          <cell r="C2906" t="str">
            <v>INE0E2801015</v>
          </cell>
          <cell r="D2906" t="str">
            <v>GMPL</v>
          </cell>
          <cell r="E2906">
            <v>104.86641415599999</v>
          </cell>
          <cell r="F2906" t="str">
            <v>-</v>
          </cell>
          <cell r="G2906" t="str">
            <v>-</v>
          </cell>
          <cell r="H2906" t="str">
            <v>-</v>
          </cell>
          <cell r="I2906" t="str">
            <v>-</v>
          </cell>
          <cell r="J2906">
            <v>104.86641415599999</v>
          </cell>
          <cell r="K2906" t="str">
            <v>Small Cap</v>
          </cell>
        </row>
        <row r="2907">
          <cell r="C2907" t="str">
            <v>INE563C01015</v>
          </cell>
          <cell r="D2907" t="str">
            <v>SAUMYA</v>
          </cell>
          <cell r="E2907">
            <v>104.719414542</v>
          </cell>
          <cell r="F2907" t="str">
            <v>-</v>
          </cell>
          <cell r="G2907" t="str">
            <v>-</v>
          </cell>
          <cell r="H2907" t="str">
            <v>-</v>
          </cell>
          <cell r="I2907" t="str">
            <v>-</v>
          </cell>
          <cell r="J2907">
            <v>104.719414542</v>
          </cell>
          <cell r="K2907" t="str">
            <v>Small Cap</v>
          </cell>
        </row>
        <row r="2908">
          <cell r="C2908" t="str">
            <v>INE529D01014</v>
          </cell>
          <cell r="D2908" t="str">
            <v>PATINTLOG</v>
          </cell>
          <cell r="E2908">
            <v>104.52055183099999</v>
          </cell>
          <cell r="F2908" t="str">
            <v>PATINTLOG</v>
          </cell>
          <cell r="G2908">
            <v>104.3549</v>
          </cell>
          <cell r="H2908" t="str">
            <v>-</v>
          </cell>
          <cell r="I2908" t="str">
            <v>-</v>
          </cell>
          <cell r="J2908">
            <v>104.4377259155</v>
          </cell>
          <cell r="K2908" t="str">
            <v>Small Cap</v>
          </cell>
        </row>
        <row r="2909">
          <cell r="C2909" t="str">
            <v>INE763B01013</v>
          </cell>
          <cell r="D2909" t="str">
            <v>RAMAVISION</v>
          </cell>
          <cell r="E2909">
            <v>104.433534915</v>
          </cell>
          <cell r="F2909" t="str">
            <v>-</v>
          </cell>
          <cell r="G2909" t="str">
            <v>-</v>
          </cell>
          <cell r="H2909" t="str">
            <v>-</v>
          </cell>
          <cell r="I2909" t="str">
            <v>-</v>
          </cell>
          <cell r="J2909">
            <v>104.433534915</v>
          </cell>
          <cell r="K2909" t="str">
            <v>Small Cap</v>
          </cell>
        </row>
        <row r="2910">
          <cell r="C2910" t="str">
            <v>INE705X01026</v>
          </cell>
          <cell r="D2910" t="str">
            <v>GOYALALUM</v>
          </cell>
          <cell r="E2910">
            <v>104.132625409</v>
          </cell>
          <cell r="F2910" t="str">
            <v>GOYALALUM</v>
          </cell>
          <cell r="G2910">
            <v>104.1122</v>
          </cell>
          <cell r="H2910" t="str">
            <v>-</v>
          </cell>
          <cell r="I2910" t="str">
            <v>-</v>
          </cell>
          <cell r="J2910">
            <v>104.12241270449999</v>
          </cell>
          <cell r="K2910" t="str">
            <v>Small Cap</v>
          </cell>
        </row>
        <row r="2911">
          <cell r="C2911" t="str">
            <v>INE121B01014</v>
          </cell>
          <cell r="D2911" t="str">
            <v>WALLFORT</v>
          </cell>
          <cell r="E2911">
            <v>104.01692506000001</v>
          </cell>
          <cell r="F2911" t="str">
            <v>-</v>
          </cell>
          <cell r="G2911" t="str">
            <v>-</v>
          </cell>
          <cell r="H2911" t="str">
            <v>-</v>
          </cell>
          <cell r="I2911" t="str">
            <v>-</v>
          </cell>
          <cell r="J2911">
            <v>104.01692506000001</v>
          </cell>
          <cell r="K2911" t="str">
            <v>Small Cap</v>
          </cell>
        </row>
        <row r="2912">
          <cell r="C2912" t="str">
            <v>INE706C01028</v>
          </cell>
          <cell r="D2912" t="str">
            <v>AUTOPINS</v>
          </cell>
          <cell r="E2912">
            <v>103.76956069800001</v>
          </cell>
          <cell r="F2912" t="str">
            <v>-</v>
          </cell>
          <cell r="G2912" t="str">
            <v>-</v>
          </cell>
          <cell r="H2912" t="str">
            <v>-</v>
          </cell>
          <cell r="I2912" t="str">
            <v>-</v>
          </cell>
          <cell r="J2912">
            <v>103.76956069800001</v>
          </cell>
          <cell r="K2912" t="str">
            <v>Small Cap</v>
          </cell>
        </row>
        <row r="2913">
          <cell r="C2913" t="str">
            <v>INE807M01031</v>
          </cell>
          <cell r="D2913" t="str">
            <v>TITANIN</v>
          </cell>
          <cell r="E2913">
            <v>103.70102482999999</v>
          </cell>
          <cell r="F2913" t="str">
            <v>-</v>
          </cell>
          <cell r="G2913" t="str">
            <v>-</v>
          </cell>
          <cell r="H2913" t="str">
            <v>-</v>
          </cell>
          <cell r="I2913" t="str">
            <v>-</v>
          </cell>
          <cell r="J2913">
            <v>103.70102482999999</v>
          </cell>
          <cell r="K2913" t="str">
            <v>Small Cap</v>
          </cell>
        </row>
        <row r="2914">
          <cell r="C2914" t="str">
            <v>INE975G01012</v>
          </cell>
          <cell r="D2914" t="str">
            <v>IL&amp;FSTRANS</v>
          </cell>
          <cell r="E2914">
            <v>103.86521233400001</v>
          </cell>
          <cell r="F2914" t="str">
            <v>IL&amp;FSTRANS</v>
          </cell>
          <cell r="G2914">
            <v>103.23860000000001</v>
          </cell>
          <cell r="H2914" t="str">
            <v>-</v>
          </cell>
          <cell r="I2914" t="str">
            <v>-</v>
          </cell>
          <cell r="J2914">
            <v>103.551906167</v>
          </cell>
          <cell r="K2914" t="str">
            <v>Small Cap</v>
          </cell>
        </row>
        <row r="2915">
          <cell r="C2915" t="str">
            <v>INE178E01026</v>
          </cell>
          <cell r="D2915" t="str">
            <v>SKYLMILAR</v>
          </cell>
          <cell r="E2915">
            <v>103.449428478</v>
          </cell>
          <cell r="F2915" t="str">
            <v>-</v>
          </cell>
          <cell r="G2915" t="str">
            <v>-</v>
          </cell>
          <cell r="H2915" t="str">
            <v>-</v>
          </cell>
          <cell r="I2915" t="str">
            <v>-</v>
          </cell>
          <cell r="J2915">
            <v>103.449428478</v>
          </cell>
          <cell r="K2915" t="str">
            <v>Small Cap</v>
          </cell>
        </row>
        <row r="2916">
          <cell r="C2916" t="str">
            <v>INE562E01021</v>
          </cell>
          <cell r="D2916" t="str">
            <v>SOFTRAKV</v>
          </cell>
          <cell r="E2916">
            <v>103.321408889</v>
          </cell>
          <cell r="F2916" t="str">
            <v>-</v>
          </cell>
          <cell r="G2916" t="str">
            <v>-</v>
          </cell>
          <cell r="H2916" t="str">
            <v>-</v>
          </cell>
          <cell r="I2916" t="str">
            <v>-</v>
          </cell>
          <cell r="J2916">
            <v>103.321408889</v>
          </cell>
          <cell r="K2916" t="str">
            <v>Small Cap</v>
          </cell>
        </row>
        <row r="2917">
          <cell r="C2917" t="str">
            <v>INE584F01014</v>
          </cell>
          <cell r="D2917" t="str">
            <v>MANGALAM</v>
          </cell>
          <cell r="E2917">
            <v>103.18573054299999</v>
          </cell>
          <cell r="F2917" t="str">
            <v>MANGALAM</v>
          </cell>
          <cell r="G2917">
            <v>103.245</v>
          </cell>
          <cell r="H2917" t="str">
            <v>-</v>
          </cell>
          <cell r="I2917" t="str">
            <v>-</v>
          </cell>
          <cell r="J2917">
            <v>103.21536527149999</v>
          </cell>
          <cell r="K2917" t="str">
            <v>Small Cap</v>
          </cell>
        </row>
        <row r="2918">
          <cell r="C2918" t="str">
            <v>INE543F01028</v>
          </cell>
          <cell r="D2918" t="str">
            <v>PRIMIND</v>
          </cell>
          <cell r="E2918">
            <v>103.125527144</v>
          </cell>
          <cell r="F2918" t="str">
            <v>-</v>
          </cell>
          <cell r="G2918" t="str">
            <v>-</v>
          </cell>
          <cell r="H2918" t="str">
            <v>-</v>
          </cell>
          <cell r="I2918" t="str">
            <v>-</v>
          </cell>
          <cell r="J2918">
            <v>103.125527144</v>
          </cell>
          <cell r="K2918" t="str">
            <v>Small Cap</v>
          </cell>
        </row>
        <row r="2919">
          <cell r="C2919" t="str">
            <v>INE024D01016</v>
          </cell>
          <cell r="D2919" t="str">
            <v>PRUDMOULI</v>
          </cell>
          <cell r="E2919">
            <v>102.917411841</v>
          </cell>
          <cell r="F2919" t="str">
            <v>PRUDMOULI</v>
          </cell>
          <cell r="G2919">
            <v>102.5401</v>
          </cell>
          <cell r="H2919" t="str">
            <v>-</v>
          </cell>
          <cell r="I2919" t="str">
            <v>-</v>
          </cell>
          <cell r="J2919">
            <v>102.72875592049999</v>
          </cell>
          <cell r="K2919" t="str">
            <v>Small Cap</v>
          </cell>
        </row>
        <row r="2920">
          <cell r="C2920" t="str">
            <v>INE947G01011</v>
          </cell>
          <cell r="D2920" t="str">
            <v>MERCURYLAB</v>
          </cell>
          <cell r="E2920">
            <v>102.50714285700001</v>
          </cell>
          <cell r="F2920" t="str">
            <v>-</v>
          </cell>
          <cell r="G2920" t="str">
            <v>-</v>
          </cell>
          <cell r="H2920" t="str">
            <v>-</v>
          </cell>
          <cell r="I2920" t="str">
            <v>-</v>
          </cell>
          <cell r="J2920">
            <v>102.50714285700001</v>
          </cell>
          <cell r="K2920" t="str">
            <v>Small Cap</v>
          </cell>
        </row>
        <row r="2921">
          <cell r="C2921" t="str">
            <v>INE005I01014</v>
          </cell>
          <cell r="D2921" t="str">
            <v>AMDIND</v>
          </cell>
          <cell r="E2921">
            <v>102.473502358</v>
          </cell>
          <cell r="F2921" t="str">
            <v>AMDIND</v>
          </cell>
          <cell r="G2921">
            <v>102.28879999999999</v>
          </cell>
          <cell r="H2921" t="str">
            <v>-</v>
          </cell>
          <cell r="I2921" t="str">
            <v>-</v>
          </cell>
          <cell r="J2921">
            <v>102.381151179</v>
          </cell>
          <cell r="K2921" t="str">
            <v>Small Cap</v>
          </cell>
        </row>
        <row r="2922">
          <cell r="C2922" t="str">
            <v>INE167F01018</v>
          </cell>
          <cell r="D2922" t="str">
            <v>HARIGOV</v>
          </cell>
          <cell r="E2922">
            <v>102.302968849</v>
          </cell>
          <cell r="F2922" t="str">
            <v>-</v>
          </cell>
          <cell r="G2922" t="str">
            <v>-</v>
          </cell>
          <cell r="H2922" t="str">
            <v>-</v>
          </cell>
          <cell r="I2922" t="str">
            <v>-</v>
          </cell>
          <cell r="J2922">
            <v>102.302968849</v>
          </cell>
          <cell r="K2922" t="str">
            <v>Small Cap</v>
          </cell>
        </row>
        <row r="2923">
          <cell r="C2923" t="str">
            <v>INE731U01028</v>
          </cell>
          <cell r="D2923" t="str">
            <v>DIGJAMLMTD</v>
          </cell>
          <cell r="E2923">
            <v>103.01857142899999</v>
          </cell>
          <cell r="F2923" t="str">
            <v>DIGJAMLMTD</v>
          </cell>
          <cell r="G2923">
            <v>101.3451</v>
          </cell>
          <cell r="H2923" t="str">
            <v>-</v>
          </cell>
          <cell r="I2923" t="str">
            <v>-</v>
          </cell>
          <cell r="J2923">
            <v>102.1818357145</v>
          </cell>
          <cell r="K2923" t="str">
            <v>Small Cap</v>
          </cell>
        </row>
        <row r="2924">
          <cell r="C2924" t="str">
            <v>INE707C01018</v>
          </cell>
          <cell r="D2924" t="str">
            <v>CAPTRUST</v>
          </cell>
          <cell r="E2924">
            <v>98.539278155999995</v>
          </cell>
          <cell r="F2924" t="str">
            <v>CAPTRUST</v>
          </cell>
          <cell r="G2924">
            <v>105.78530000000001</v>
          </cell>
          <cell r="H2924" t="str">
            <v>-</v>
          </cell>
          <cell r="I2924" t="str">
            <v>-</v>
          </cell>
          <cell r="J2924">
            <v>102.162289078</v>
          </cell>
          <cell r="K2924" t="str">
            <v>Small Cap</v>
          </cell>
        </row>
        <row r="2925">
          <cell r="C2925" t="str">
            <v>INE967B01028</v>
          </cell>
          <cell r="D2925" t="str">
            <v>SGLRES</v>
          </cell>
          <cell r="E2925">
            <v>102.07449437000001</v>
          </cell>
          <cell r="F2925" t="str">
            <v>-</v>
          </cell>
          <cell r="G2925" t="str">
            <v>-</v>
          </cell>
          <cell r="H2925" t="str">
            <v>-</v>
          </cell>
          <cell r="I2925" t="str">
            <v>-</v>
          </cell>
          <cell r="J2925">
            <v>102.07449437000001</v>
          </cell>
          <cell r="K2925" t="str">
            <v>Small Cap</v>
          </cell>
        </row>
        <row r="2926">
          <cell r="C2926" t="str">
            <v>INE108T01013</v>
          </cell>
          <cell r="D2926" t="str">
            <v>FMEC</v>
          </cell>
          <cell r="E2926">
            <v>102.041858998</v>
          </cell>
          <cell r="F2926" t="str">
            <v>-</v>
          </cell>
          <cell r="G2926" t="str">
            <v>-</v>
          </cell>
          <cell r="H2926" t="str">
            <v>-</v>
          </cell>
          <cell r="I2926" t="str">
            <v>-</v>
          </cell>
          <cell r="J2926">
            <v>102.041858998</v>
          </cell>
          <cell r="K2926" t="str">
            <v>Small Cap</v>
          </cell>
        </row>
        <row r="2927">
          <cell r="C2927" t="str">
            <v>INE0RJ901010</v>
          </cell>
          <cell r="D2927" t="str">
            <v>SRIGEE</v>
          </cell>
          <cell r="E2927">
            <v>102.040940381</v>
          </cell>
          <cell r="F2927" t="str">
            <v>-</v>
          </cell>
          <cell r="G2927" t="str">
            <v>-</v>
          </cell>
          <cell r="H2927" t="str">
            <v>-</v>
          </cell>
          <cell r="I2927" t="str">
            <v>-</v>
          </cell>
          <cell r="J2927">
            <v>102.040940381</v>
          </cell>
          <cell r="K2927" t="str">
            <v>Small Cap</v>
          </cell>
        </row>
        <row r="2928">
          <cell r="C2928" t="str">
            <v>INE0W4D01018</v>
          </cell>
          <cell r="D2928" t="str">
            <v>RAVEL</v>
          </cell>
          <cell r="E2928">
            <v>101.712917941</v>
          </cell>
          <cell r="F2928" t="str">
            <v>-</v>
          </cell>
          <cell r="G2928" t="str">
            <v>-</v>
          </cell>
          <cell r="H2928" t="str">
            <v>-</v>
          </cell>
          <cell r="I2928" t="str">
            <v>-</v>
          </cell>
          <cell r="J2928">
            <v>101.712917941</v>
          </cell>
          <cell r="K2928" t="str">
            <v>Small Cap</v>
          </cell>
        </row>
        <row r="2929">
          <cell r="C2929" t="str">
            <v>INE636B01011</v>
          </cell>
          <cell r="D2929" t="str">
            <v>ACME</v>
          </cell>
          <cell r="E2929">
            <v>101.27137942899999</v>
          </cell>
          <cell r="F2929" t="str">
            <v>-</v>
          </cell>
          <cell r="G2929" t="str">
            <v>-</v>
          </cell>
          <cell r="H2929" t="str">
            <v>-</v>
          </cell>
          <cell r="I2929" t="str">
            <v>-</v>
          </cell>
          <cell r="J2929">
            <v>101.27137942899999</v>
          </cell>
          <cell r="K2929" t="str">
            <v>Small Cap</v>
          </cell>
        </row>
        <row r="2930">
          <cell r="C2930" t="str">
            <v>INE862B01013</v>
          </cell>
          <cell r="D2930" t="str">
            <v>INDIANACRY</v>
          </cell>
          <cell r="E2930">
            <v>101.24460485499999</v>
          </cell>
          <cell r="F2930" t="str">
            <v>-</v>
          </cell>
          <cell r="G2930" t="str">
            <v>-</v>
          </cell>
          <cell r="H2930" t="str">
            <v>-</v>
          </cell>
          <cell r="I2930" t="str">
            <v>-</v>
          </cell>
          <cell r="J2930">
            <v>101.24460485499999</v>
          </cell>
          <cell r="K2930" t="str">
            <v>Small Cap</v>
          </cell>
        </row>
        <row r="2931">
          <cell r="C2931" t="str">
            <v>INE16IQ01014</v>
          </cell>
          <cell r="D2931" t="str">
            <v>SUPERIRON</v>
          </cell>
          <cell r="E2931">
            <v>101.139760254</v>
          </cell>
          <cell r="F2931" t="str">
            <v>-</v>
          </cell>
          <cell r="G2931" t="str">
            <v>-</v>
          </cell>
          <cell r="H2931" t="str">
            <v>-</v>
          </cell>
          <cell r="I2931" t="str">
            <v>-</v>
          </cell>
          <cell r="J2931">
            <v>101.139760254</v>
          </cell>
          <cell r="K2931" t="str">
            <v>Small Cap</v>
          </cell>
        </row>
        <row r="2932">
          <cell r="C2932" t="str">
            <v>INE552B01010</v>
          </cell>
          <cell r="D2932" t="str">
            <v>HFIL</v>
          </cell>
          <cell r="E2932">
            <v>101.10341731699999</v>
          </cell>
          <cell r="F2932" t="str">
            <v>-</v>
          </cell>
          <cell r="G2932" t="str">
            <v>-</v>
          </cell>
          <cell r="H2932" t="str">
            <v>-</v>
          </cell>
          <cell r="I2932" t="str">
            <v>-</v>
          </cell>
          <cell r="J2932">
            <v>101.10341731699999</v>
          </cell>
          <cell r="K2932" t="str">
            <v>Small Cap</v>
          </cell>
        </row>
        <row r="2933">
          <cell r="C2933" t="str">
            <v>INE039B01026</v>
          </cell>
          <cell r="D2933" t="str">
            <v>CINEVISTA</v>
          </cell>
          <cell r="E2933">
            <v>100.98426333099999</v>
          </cell>
          <cell r="F2933" t="str">
            <v>CINEVISTA</v>
          </cell>
          <cell r="G2933">
            <v>100.6296</v>
          </cell>
          <cell r="H2933" t="str">
            <v>-</v>
          </cell>
          <cell r="I2933" t="str">
            <v>-</v>
          </cell>
          <cell r="J2933">
            <v>100.8069316655</v>
          </cell>
          <cell r="K2933" t="str">
            <v>Small Cap</v>
          </cell>
        </row>
        <row r="2934">
          <cell r="C2934" t="str">
            <v>INE139I01011</v>
          </cell>
          <cell r="D2934" t="str">
            <v>BVCL</v>
          </cell>
          <cell r="E2934">
            <v>100.940910476</v>
          </cell>
          <cell r="F2934" t="str">
            <v>BVCL</v>
          </cell>
          <cell r="G2934">
            <v>100.6695</v>
          </cell>
          <cell r="H2934" t="str">
            <v>-</v>
          </cell>
          <cell r="I2934" t="str">
            <v>-</v>
          </cell>
          <cell r="J2934">
            <v>100.805205238</v>
          </cell>
          <cell r="K2934" t="str">
            <v>Small Cap</v>
          </cell>
        </row>
        <row r="2935">
          <cell r="C2935" t="str">
            <v>INE861B01023</v>
          </cell>
          <cell r="D2935" t="str">
            <v>MOTOGENFIN</v>
          </cell>
          <cell r="E2935">
            <v>100.81087123200001</v>
          </cell>
          <cell r="F2935" t="str">
            <v>MOTOGENFIN</v>
          </cell>
          <cell r="G2935">
            <v>100.49890000000001</v>
          </cell>
          <cell r="H2935" t="str">
            <v>-</v>
          </cell>
          <cell r="I2935" t="str">
            <v>-</v>
          </cell>
          <cell r="J2935">
            <v>100.654885616</v>
          </cell>
          <cell r="K2935" t="str">
            <v>Small Cap</v>
          </cell>
        </row>
        <row r="2936">
          <cell r="C2936" t="str">
            <v>INE096L01025</v>
          </cell>
          <cell r="D2936" t="str">
            <v>KTIL</v>
          </cell>
          <cell r="E2936">
            <v>100.226647378</v>
          </cell>
          <cell r="F2936" t="str">
            <v>-</v>
          </cell>
          <cell r="G2936" t="str">
            <v>-</v>
          </cell>
          <cell r="H2936" t="str">
            <v>-</v>
          </cell>
          <cell r="I2936" t="str">
            <v>-</v>
          </cell>
          <cell r="J2936">
            <v>100.226647378</v>
          </cell>
          <cell r="K2936" t="str">
            <v>Small Cap</v>
          </cell>
        </row>
        <row r="2937">
          <cell r="C2937" t="str">
            <v>INE928H01019</v>
          </cell>
          <cell r="D2937" t="str">
            <v>HARYNACAP</v>
          </cell>
          <cell r="E2937">
            <v>99.829745400999997</v>
          </cell>
          <cell r="F2937" t="str">
            <v>-</v>
          </cell>
          <cell r="G2937" t="str">
            <v>-</v>
          </cell>
          <cell r="H2937" t="str">
            <v>-</v>
          </cell>
          <cell r="I2937" t="str">
            <v>-</v>
          </cell>
          <cell r="J2937">
            <v>99.829745400999997</v>
          </cell>
          <cell r="K2937" t="str">
            <v>Small Cap</v>
          </cell>
        </row>
        <row r="2938">
          <cell r="C2938" t="str">
            <v>INE598C01011</v>
          </cell>
          <cell r="D2938" t="str">
            <v>HISARMETAL</v>
          </cell>
          <cell r="E2938">
            <v>99.57664285700001</v>
          </cell>
          <cell r="F2938" t="str">
            <v>HISARMETAL</v>
          </cell>
          <cell r="G2938">
            <v>99.396900000000002</v>
          </cell>
          <cell r="H2938" t="str">
            <v>-</v>
          </cell>
          <cell r="I2938" t="str">
            <v>-</v>
          </cell>
          <cell r="J2938">
            <v>99.486771428500006</v>
          </cell>
          <cell r="K2938" t="str">
            <v>Small Cap</v>
          </cell>
        </row>
        <row r="2939">
          <cell r="C2939" t="str">
            <v>INE1CJB01013</v>
          </cell>
          <cell r="D2939" t="str">
            <v>LUXURY</v>
          </cell>
          <cell r="E2939">
            <v>99.482470011000004</v>
          </cell>
          <cell r="F2939" t="str">
            <v>-</v>
          </cell>
          <cell r="G2939" t="str">
            <v>-</v>
          </cell>
          <cell r="H2939" t="str">
            <v>-</v>
          </cell>
          <cell r="I2939" t="str">
            <v>-</v>
          </cell>
          <cell r="J2939">
            <v>99.482470011000004</v>
          </cell>
          <cell r="K2939" t="str">
            <v>Small Cap</v>
          </cell>
        </row>
        <row r="2940">
          <cell r="C2940" t="str">
            <v>INE544H01014</v>
          </cell>
          <cell r="D2940" t="str">
            <v>JHS</v>
          </cell>
          <cell r="E2940">
            <v>99.369219611999995</v>
          </cell>
          <cell r="F2940" t="str">
            <v>JHS</v>
          </cell>
          <cell r="G2940">
            <v>99.243499999999997</v>
          </cell>
          <cell r="H2940" t="str">
            <v>-</v>
          </cell>
          <cell r="I2940" t="str">
            <v>-</v>
          </cell>
          <cell r="J2940">
            <v>99.306359805999989</v>
          </cell>
          <cell r="K2940" t="str">
            <v>Small Cap</v>
          </cell>
        </row>
        <row r="2941">
          <cell r="C2941" t="str">
            <v>INE660D01017</v>
          </cell>
          <cell r="D2941" t="str">
            <v>VIPPYSP</v>
          </cell>
          <cell r="E2941">
            <v>99.184365079000003</v>
          </cell>
          <cell r="F2941" t="str">
            <v>-</v>
          </cell>
          <cell r="G2941" t="str">
            <v>-</v>
          </cell>
          <cell r="H2941" t="str">
            <v>-</v>
          </cell>
          <cell r="I2941" t="str">
            <v>-</v>
          </cell>
          <cell r="J2941">
            <v>99.184365079000003</v>
          </cell>
          <cell r="K2941" t="str">
            <v>Small Cap</v>
          </cell>
        </row>
        <row r="2942">
          <cell r="C2942" t="str">
            <v>INE367U01013</v>
          </cell>
          <cell r="D2942" t="str">
            <v>RSTL</v>
          </cell>
          <cell r="E2942">
            <v>98.904351250999994</v>
          </cell>
          <cell r="F2942" t="str">
            <v>-</v>
          </cell>
          <cell r="G2942" t="str">
            <v>-</v>
          </cell>
          <cell r="H2942" t="str">
            <v>-</v>
          </cell>
          <cell r="I2942" t="str">
            <v>-</v>
          </cell>
          <cell r="J2942">
            <v>98.904351250999994</v>
          </cell>
          <cell r="K2942" t="str">
            <v>Small Cap</v>
          </cell>
        </row>
        <row r="2943">
          <cell r="C2943" t="str">
            <v>INE426H01014</v>
          </cell>
          <cell r="D2943" t="str">
            <v>PRERINFRA</v>
          </cell>
          <cell r="E2943">
            <v>98.667151694000012</v>
          </cell>
          <cell r="F2943" t="str">
            <v>-</v>
          </cell>
          <cell r="G2943" t="str">
            <v>-</v>
          </cell>
          <cell r="H2943" t="str">
            <v>-</v>
          </cell>
          <cell r="I2943" t="str">
            <v>-</v>
          </cell>
          <cell r="J2943">
            <v>98.667151694000012</v>
          </cell>
          <cell r="K2943" t="str">
            <v>Small Cap</v>
          </cell>
        </row>
        <row r="2944">
          <cell r="C2944" t="str">
            <v>INE949B01018</v>
          </cell>
          <cell r="D2944" t="str">
            <v>COSCO</v>
          </cell>
          <cell r="E2944">
            <v>98.587299524000002</v>
          </cell>
          <cell r="F2944" t="str">
            <v>-</v>
          </cell>
          <cell r="G2944" t="str">
            <v>-</v>
          </cell>
          <cell r="H2944" t="str">
            <v>-</v>
          </cell>
          <cell r="I2944" t="str">
            <v>-</v>
          </cell>
          <cell r="J2944">
            <v>98.587299524000002</v>
          </cell>
          <cell r="K2944" t="str">
            <v>Small Cap</v>
          </cell>
        </row>
        <row r="2945">
          <cell r="C2945" t="str">
            <v>INE311H01018</v>
          </cell>
          <cell r="D2945" t="str">
            <v>ELAND</v>
          </cell>
          <cell r="E2945">
            <v>98.579279107000005</v>
          </cell>
          <cell r="F2945" t="str">
            <v>-</v>
          </cell>
          <cell r="G2945" t="str">
            <v>-</v>
          </cell>
          <cell r="H2945" t="str">
            <v>-</v>
          </cell>
          <cell r="I2945" t="str">
            <v>-</v>
          </cell>
          <cell r="J2945">
            <v>98.579279107000005</v>
          </cell>
          <cell r="K2945" t="str">
            <v>Small Cap</v>
          </cell>
        </row>
        <row r="2946">
          <cell r="C2946" t="str">
            <v>INE974Z01015</v>
          </cell>
          <cell r="D2946" t="str">
            <v>-</v>
          </cell>
          <cell r="E2946" t="str">
            <v>-</v>
          </cell>
          <cell r="F2946" t="str">
            <v>PRITI</v>
          </cell>
          <cell r="G2946">
            <v>98.494100000000003</v>
          </cell>
          <cell r="H2946" t="str">
            <v>-</v>
          </cell>
          <cell r="I2946" t="str">
            <v>-</v>
          </cell>
          <cell r="J2946">
            <v>98.494100000000003</v>
          </cell>
          <cell r="K2946" t="str">
            <v>Small Cap</v>
          </cell>
        </row>
        <row r="2947">
          <cell r="C2947" t="str">
            <v>INE861N01036</v>
          </cell>
          <cell r="D2947" t="str">
            <v>GENPHARMA</v>
          </cell>
          <cell r="E2947">
            <v>98.368744164999995</v>
          </cell>
          <cell r="F2947" t="str">
            <v>-</v>
          </cell>
          <cell r="G2947" t="str">
            <v>-</v>
          </cell>
          <cell r="H2947" t="str">
            <v>-</v>
          </cell>
          <cell r="I2947" t="str">
            <v>-</v>
          </cell>
          <cell r="J2947">
            <v>98.368744164999995</v>
          </cell>
          <cell r="K2947" t="str">
            <v>Small Cap</v>
          </cell>
        </row>
        <row r="2948">
          <cell r="C2948" t="str">
            <v>INE165G01010</v>
          </cell>
          <cell r="D2948" t="str">
            <v>ASSAMENT</v>
          </cell>
          <cell r="E2948">
            <v>98.151227048999999</v>
          </cell>
          <cell r="F2948" t="str">
            <v>-</v>
          </cell>
          <cell r="G2948" t="str">
            <v>-</v>
          </cell>
          <cell r="H2948" t="str">
            <v>-</v>
          </cell>
          <cell r="I2948" t="str">
            <v>-</v>
          </cell>
          <cell r="J2948">
            <v>98.151227048999999</v>
          </cell>
          <cell r="K2948" t="str">
            <v>Small Cap</v>
          </cell>
        </row>
        <row r="2949">
          <cell r="C2949" t="str">
            <v>INE046E01025</v>
          </cell>
          <cell r="D2949" t="str">
            <v>APTPACK</v>
          </cell>
          <cell r="E2949">
            <v>98.040177420000006</v>
          </cell>
          <cell r="F2949" t="str">
            <v>-</v>
          </cell>
          <cell r="G2949" t="str">
            <v>-</v>
          </cell>
          <cell r="H2949" t="str">
            <v>-</v>
          </cell>
          <cell r="I2949" t="str">
            <v>-</v>
          </cell>
          <cell r="J2949">
            <v>98.040177420000006</v>
          </cell>
          <cell r="K2949" t="str">
            <v>Small Cap</v>
          </cell>
        </row>
        <row r="2950">
          <cell r="C2950" t="str">
            <v>INE306C01019</v>
          </cell>
          <cell r="D2950" t="str">
            <v>ENERGYDEV</v>
          </cell>
          <cell r="E2950">
            <v>97.956309524000005</v>
          </cell>
          <cell r="F2950" t="str">
            <v>ENERGYDEV</v>
          </cell>
          <cell r="G2950">
            <v>97.648300000000006</v>
          </cell>
          <cell r="H2950" t="str">
            <v>-</v>
          </cell>
          <cell r="I2950" t="str">
            <v>-</v>
          </cell>
          <cell r="J2950">
            <v>97.802304762000006</v>
          </cell>
          <cell r="K2950" t="str">
            <v>Small Cap</v>
          </cell>
        </row>
        <row r="2951">
          <cell r="C2951" t="str">
            <v>INE272C01013</v>
          </cell>
          <cell r="D2951" t="str">
            <v>DEEPAKSP</v>
          </cell>
          <cell r="E2951">
            <v>97.645596767000001</v>
          </cell>
          <cell r="F2951" t="str">
            <v>-</v>
          </cell>
          <cell r="G2951" t="str">
            <v>-</v>
          </cell>
          <cell r="H2951" t="str">
            <v>-</v>
          </cell>
          <cell r="I2951" t="str">
            <v>-</v>
          </cell>
          <cell r="J2951">
            <v>97.645596767000001</v>
          </cell>
          <cell r="K2951" t="str">
            <v>Small Cap</v>
          </cell>
        </row>
        <row r="2952">
          <cell r="C2952" t="str">
            <v>INE268T01015</v>
          </cell>
          <cell r="D2952" t="str">
            <v>SUPRAPFSL</v>
          </cell>
          <cell r="E2952">
            <v>97.572659242</v>
          </cell>
          <cell r="F2952" t="str">
            <v>-</v>
          </cell>
          <cell r="G2952" t="str">
            <v>-</v>
          </cell>
          <cell r="H2952" t="str">
            <v>-</v>
          </cell>
          <cell r="I2952" t="str">
            <v>-</v>
          </cell>
          <cell r="J2952">
            <v>97.572659242</v>
          </cell>
          <cell r="K2952" t="str">
            <v>Small Cap</v>
          </cell>
        </row>
        <row r="2953">
          <cell r="C2953" t="str">
            <v>INE087Z01024</v>
          </cell>
          <cell r="D2953" t="str">
            <v>-</v>
          </cell>
          <cell r="E2953" t="str">
            <v>-</v>
          </cell>
          <cell r="F2953" t="str">
            <v>AAKASH</v>
          </cell>
          <cell r="G2953">
            <v>97.274699999999996</v>
          </cell>
          <cell r="H2953" t="str">
            <v>-</v>
          </cell>
          <cell r="I2953" t="str">
            <v>-</v>
          </cell>
          <cell r="J2953">
            <v>97.274699999999996</v>
          </cell>
          <cell r="K2953" t="str">
            <v>Small Cap</v>
          </cell>
        </row>
        <row r="2954">
          <cell r="C2954" t="str">
            <v>INE278O01015</v>
          </cell>
          <cell r="D2954" t="str">
            <v>GANGAPA</v>
          </cell>
          <cell r="E2954">
            <v>97.22156303300001</v>
          </cell>
          <cell r="F2954" t="str">
            <v>-</v>
          </cell>
          <cell r="G2954" t="str">
            <v>-</v>
          </cell>
          <cell r="H2954" t="str">
            <v>-</v>
          </cell>
          <cell r="I2954" t="str">
            <v>-</v>
          </cell>
          <cell r="J2954">
            <v>97.22156303300001</v>
          </cell>
          <cell r="K2954" t="str">
            <v>Small Cap</v>
          </cell>
        </row>
        <row r="2955">
          <cell r="C2955" t="str">
            <v>INE0JNA01014</v>
          </cell>
          <cell r="D2955" t="str">
            <v>SSTL</v>
          </cell>
          <cell r="E2955">
            <v>96.928158058000008</v>
          </cell>
          <cell r="F2955" t="str">
            <v>-</v>
          </cell>
          <cell r="G2955" t="str">
            <v>-</v>
          </cell>
          <cell r="H2955" t="str">
            <v>-</v>
          </cell>
          <cell r="I2955" t="str">
            <v>-</v>
          </cell>
          <cell r="J2955">
            <v>96.928158058000008</v>
          </cell>
          <cell r="K2955" t="str">
            <v>Small Cap</v>
          </cell>
        </row>
        <row r="2956">
          <cell r="C2956" t="str">
            <v>INE836H01014</v>
          </cell>
          <cell r="D2956" t="str">
            <v>MCDHOLDING</v>
          </cell>
          <cell r="E2956">
            <v>96.896386649999997</v>
          </cell>
          <cell r="F2956" t="str">
            <v>-</v>
          </cell>
          <cell r="G2956" t="str">
            <v>-</v>
          </cell>
          <cell r="H2956" t="str">
            <v>-</v>
          </cell>
          <cell r="I2956" t="str">
            <v>-</v>
          </cell>
          <cell r="J2956">
            <v>96.896386649999997</v>
          </cell>
          <cell r="K2956" t="str">
            <v>Small Cap</v>
          </cell>
        </row>
        <row r="2957">
          <cell r="C2957" t="str">
            <v>INE0RNZ01014</v>
          </cell>
          <cell r="D2957" t="str">
            <v>SBVCL</v>
          </cell>
          <cell r="E2957">
            <v>96.875714286000004</v>
          </cell>
          <cell r="F2957" t="str">
            <v>-</v>
          </cell>
          <cell r="G2957" t="str">
            <v>-</v>
          </cell>
          <cell r="H2957" t="str">
            <v>-</v>
          </cell>
          <cell r="I2957" t="str">
            <v>-</v>
          </cell>
          <cell r="J2957">
            <v>96.875714286000004</v>
          </cell>
          <cell r="K2957" t="str">
            <v>Small Cap</v>
          </cell>
        </row>
        <row r="2958">
          <cell r="C2958" t="str">
            <v>INE15XJ01010</v>
          </cell>
          <cell r="D2958" t="str">
            <v>APPL</v>
          </cell>
          <cell r="E2958">
            <v>96.38006</v>
          </cell>
          <cell r="F2958" t="str">
            <v>-</v>
          </cell>
          <cell r="G2958" t="str">
            <v>-</v>
          </cell>
          <cell r="H2958" t="str">
            <v>-</v>
          </cell>
          <cell r="I2958" t="str">
            <v>-</v>
          </cell>
          <cell r="J2958">
            <v>96.38006</v>
          </cell>
          <cell r="K2958" t="str">
            <v>Small Cap</v>
          </cell>
        </row>
        <row r="2959">
          <cell r="C2959" t="str">
            <v>INE648Z01023</v>
          </cell>
          <cell r="D2959" t="str">
            <v>ACCURACY</v>
          </cell>
          <cell r="E2959">
            <v>89.726038974000005</v>
          </cell>
          <cell r="F2959" t="str">
            <v>ACCURACY</v>
          </cell>
          <cell r="G2959">
            <v>102.56359999999999</v>
          </cell>
          <cell r="H2959" t="str">
            <v>-</v>
          </cell>
          <cell r="I2959" t="str">
            <v>-</v>
          </cell>
          <cell r="J2959">
            <v>96.144819487000007</v>
          </cell>
          <cell r="K2959" t="str">
            <v>Small Cap</v>
          </cell>
        </row>
        <row r="2960">
          <cell r="C2960" t="str">
            <v>INE0RGM01016</v>
          </cell>
          <cell r="D2960" t="str">
            <v>STAL</v>
          </cell>
          <cell r="E2960">
            <v>95.97665619</v>
          </cell>
          <cell r="F2960" t="str">
            <v>-</v>
          </cell>
          <cell r="G2960" t="str">
            <v>-</v>
          </cell>
          <cell r="H2960" t="str">
            <v>-</v>
          </cell>
          <cell r="I2960" t="str">
            <v>-</v>
          </cell>
          <cell r="J2960">
            <v>95.97665619</v>
          </cell>
          <cell r="K2960" t="str">
            <v>Small Cap</v>
          </cell>
        </row>
        <row r="2961">
          <cell r="C2961" t="str">
            <v>INE621C01011</v>
          </cell>
          <cell r="D2961" t="str">
            <v>GUJHOTE</v>
          </cell>
          <cell r="E2961">
            <v>95.944368071</v>
          </cell>
          <cell r="F2961" t="str">
            <v>-</v>
          </cell>
          <cell r="G2961" t="str">
            <v>-</v>
          </cell>
          <cell r="H2961" t="str">
            <v>-</v>
          </cell>
          <cell r="I2961" t="str">
            <v>-</v>
          </cell>
          <cell r="J2961">
            <v>95.944368071</v>
          </cell>
          <cell r="K2961" t="str">
            <v>Small Cap</v>
          </cell>
        </row>
        <row r="2962">
          <cell r="C2962" t="str">
            <v>INE574G01013</v>
          </cell>
          <cell r="D2962" t="str">
            <v>VASUPRADA</v>
          </cell>
          <cell r="E2962">
            <v>95.742373669000003</v>
          </cell>
          <cell r="F2962" t="str">
            <v>-</v>
          </cell>
          <cell r="G2962" t="str">
            <v>-</v>
          </cell>
          <cell r="H2962" t="str">
            <v>-</v>
          </cell>
          <cell r="I2962" t="str">
            <v>-</v>
          </cell>
          <cell r="J2962">
            <v>95.742373669000003</v>
          </cell>
          <cell r="K2962" t="str">
            <v>Small Cap</v>
          </cell>
        </row>
        <row r="2963">
          <cell r="C2963" t="str">
            <v>INE761Q01015</v>
          </cell>
          <cell r="D2963" t="str">
            <v>VGCL</v>
          </cell>
          <cell r="E2963">
            <v>95.659037225000006</v>
          </cell>
          <cell r="F2963" t="str">
            <v>-</v>
          </cell>
          <cell r="G2963" t="str">
            <v>-</v>
          </cell>
          <cell r="H2963" t="str">
            <v>-</v>
          </cell>
          <cell r="I2963" t="str">
            <v>-</v>
          </cell>
          <cell r="J2963">
            <v>95.659037225000006</v>
          </cell>
          <cell r="K2963" t="str">
            <v>Small Cap</v>
          </cell>
        </row>
        <row r="2964">
          <cell r="C2964" t="str">
            <v>INE0M3901015</v>
          </cell>
          <cell r="D2964" t="str">
            <v>OLATECH</v>
          </cell>
          <cell r="E2964">
            <v>95.621832841</v>
          </cell>
          <cell r="F2964" t="str">
            <v>-</v>
          </cell>
          <cell r="G2964" t="str">
            <v>-</v>
          </cell>
          <cell r="H2964" t="str">
            <v>-</v>
          </cell>
          <cell r="I2964" t="str">
            <v>-</v>
          </cell>
          <cell r="J2964">
            <v>95.621832841</v>
          </cell>
          <cell r="K2964" t="str">
            <v>Small Cap</v>
          </cell>
        </row>
        <row r="2965">
          <cell r="C2965" t="str">
            <v>INE434B01029</v>
          </cell>
          <cell r="D2965" t="str">
            <v>WEPSOLN</v>
          </cell>
          <cell r="E2965">
            <v>95.613886196999999</v>
          </cell>
          <cell r="F2965" t="str">
            <v>-</v>
          </cell>
          <cell r="G2965" t="str">
            <v>-</v>
          </cell>
          <cell r="H2965" t="str">
            <v>-</v>
          </cell>
          <cell r="I2965" t="str">
            <v>-</v>
          </cell>
          <cell r="J2965">
            <v>95.613886196999999</v>
          </cell>
          <cell r="K2965" t="str">
            <v>Small Cap</v>
          </cell>
        </row>
        <row r="2966">
          <cell r="C2966" t="str">
            <v>INE653S01028</v>
          </cell>
          <cell r="D2966" t="str">
            <v>GARMNTMNTR</v>
          </cell>
          <cell r="E2966">
            <v>95.584198474000004</v>
          </cell>
          <cell r="F2966" t="str">
            <v>-</v>
          </cell>
          <cell r="G2966" t="str">
            <v>-</v>
          </cell>
          <cell r="H2966" t="str">
            <v>-</v>
          </cell>
          <cell r="I2966" t="str">
            <v>-</v>
          </cell>
          <cell r="J2966">
            <v>95.584198474000004</v>
          </cell>
          <cell r="K2966" t="str">
            <v>Small Cap</v>
          </cell>
        </row>
        <row r="2967">
          <cell r="C2967" t="str">
            <v>INE173X01019</v>
          </cell>
          <cell r="D2967" t="str">
            <v>-</v>
          </cell>
          <cell r="E2967" t="str">
            <v>-</v>
          </cell>
          <cell r="F2967" t="str">
            <v>-</v>
          </cell>
          <cell r="G2967" t="str">
            <v>-</v>
          </cell>
          <cell r="H2967" t="str">
            <v>RATHIIND</v>
          </cell>
          <cell r="I2967">
            <v>95.568351500000048</v>
          </cell>
          <cell r="J2967">
            <v>95.568351500000048</v>
          </cell>
          <cell r="K2967" t="str">
            <v>Small Cap</v>
          </cell>
        </row>
        <row r="2968">
          <cell r="C2968" t="str">
            <v>INE215B01022</v>
          </cell>
          <cell r="D2968" t="str">
            <v>ORCHASP</v>
          </cell>
          <cell r="E2968">
            <v>95.733231871000001</v>
          </cell>
          <cell r="F2968" t="str">
            <v>ORCHASP</v>
          </cell>
          <cell r="G2968">
            <v>95.350300000000004</v>
          </cell>
          <cell r="H2968" t="str">
            <v>-</v>
          </cell>
          <cell r="I2968" t="str">
            <v>-</v>
          </cell>
          <cell r="J2968">
            <v>95.541765935499996</v>
          </cell>
          <cell r="K2968" t="str">
            <v>Small Cap</v>
          </cell>
        </row>
        <row r="2969">
          <cell r="C2969" t="str">
            <v>INE752B01024</v>
          </cell>
          <cell r="D2969" t="str">
            <v>POLYCHEM</v>
          </cell>
          <cell r="E2969">
            <v>95.334546017999998</v>
          </cell>
          <cell r="F2969" t="str">
            <v>-</v>
          </cell>
          <cell r="G2969" t="str">
            <v>-</v>
          </cell>
          <cell r="H2969" t="str">
            <v>-</v>
          </cell>
          <cell r="I2969" t="str">
            <v>-</v>
          </cell>
          <cell r="J2969">
            <v>95.334546017999998</v>
          </cell>
          <cell r="K2969" t="str">
            <v>Small Cap</v>
          </cell>
        </row>
        <row r="2970">
          <cell r="C2970" t="str">
            <v>INE516F01016</v>
          </cell>
          <cell r="D2970" t="str">
            <v>ABHICAP</v>
          </cell>
          <cell r="E2970">
            <v>95.054423857000003</v>
          </cell>
          <cell r="F2970" t="str">
            <v>-</v>
          </cell>
          <cell r="G2970" t="str">
            <v>-</v>
          </cell>
          <cell r="H2970" t="str">
            <v>-</v>
          </cell>
          <cell r="I2970" t="str">
            <v>-</v>
          </cell>
          <cell r="J2970">
            <v>95.054423857000003</v>
          </cell>
          <cell r="K2970" t="str">
            <v>Small Cap</v>
          </cell>
        </row>
        <row r="2971">
          <cell r="C2971" t="str">
            <v>INE661K01010</v>
          </cell>
          <cell r="D2971" t="str">
            <v>VIRYA</v>
          </cell>
          <cell r="E2971">
            <v>95.013571428999995</v>
          </cell>
          <cell r="F2971" t="str">
            <v>-</v>
          </cell>
          <cell r="G2971" t="str">
            <v>-</v>
          </cell>
          <cell r="H2971" t="str">
            <v>-</v>
          </cell>
          <cell r="I2971" t="str">
            <v>-</v>
          </cell>
          <cell r="J2971">
            <v>95.013571428999995</v>
          </cell>
          <cell r="K2971" t="str">
            <v>Small Cap</v>
          </cell>
        </row>
        <row r="2972">
          <cell r="C2972" t="str">
            <v>INE564S01019</v>
          </cell>
          <cell r="D2972" t="str">
            <v>KAMATS</v>
          </cell>
          <cell r="E2972">
            <v>94.613898136000003</v>
          </cell>
          <cell r="F2972" t="str">
            <v>-</v>
          </cell>
          <cell r="G2972" t="str">
            <v>-</v>
          </cell>
          <cell r="H2972" t="str">
            <v>-</v>
          </cell>
          <cell r="I2972" t="str">
            <v>-</v>
          </cell>
          <cell r="J2972">
            <v>94.613898136000003</v>
          </cell>
          <cell r="K2972" t="str">
            <v>Small Cap</v>
          </cell>
        </row>
        <row r="2973">
          <cell r="C2973" t="str">
            <v>INE638N01012</v>
          </cell>
          <cell r="D2973" t="str">
            <v>ECOHOTELS</v>
          </cell>
          <cell r="E2973">
            <v>94.582704387000007</v>
          </cell>
          <cell r="F2973" t="str">
            <v>-</v>
          </cell>
          <cell r="G2973" t="str">
            <v>-</v>
          </cell>
          <cell r="H2973" t="str">
            <v>-</v>
          </cell>
          <cell r="I2973" t="str">
            <v>-</v>
          </cell>
          <cell r="J2973">
            <v>94.582704387000007</v>
          </cell>
          <cell r="K2973" t="str">
            <v>Small Cap</v>
          </cell>
        </row>
        <row r="2974">
          <cell r="C2974" t="str">
            <v>INE128R01023</v>
          </cell>
          <cell r="D2974" t="str">
            <v>KRETTOSYS</v>
          </cell>
          <cell r="E2974">
            <v>94.507643454999993</v>
          </cell>
          <cell r="F2974" t="str">
            <v>-</v>
          </cell>
          <cell r="G2974" t="str">
            <v>-</v>
          </cell>
          <cell r="H2974" t="str">
            <v>-</v>
          </cell>
          <cell r="I2974" t="str">
            <v>-</v>
          </cell>
          <cell r="J2974">
            <v>94.507643454999993</v>
          </cell>
          <cell r="K2974" t="str">
            <v>Small Cap</v>
          </cell>
        </row>
        <row r="2975">
          <cell r="C2975" t="str">
            <v>INE628D01014</v>
          </cell>
          <cell r="D2975" t="str">
            <v>THRIVE</v>
          </cell>
          <cell r="E2975">
            <v>94.140993750999996</v>
          </cell>
          <cell r="F2975" t="str">
            <v>-</v>
          </cell>
          <cell r="G2975" t="str">
            <v>-</v>
          </cell>
          <cell r="H2975" t="str">
            <v>-</v>
          </cell>
          <cell r="I2975" t="str">
            <v>-</v>
          </cell>
          <cell r="J2975">
            <v>94.140993750999996</v>
          </cell>
          <cell r="K2975" t="str">
            <v>Small Cap</v>
          </cell>
        </row>
        <row r="2976">
          <cell r="C2976" t="str">
            <v>INE103E01016</v>
          </cell>
          <cell r="D2976" t="str">
            <v>SAMRATPH</v>
          </cell>
          <cell r="E2976">
            <v>94.126239213999995</v>
          </cell>
          <cell r="F2976" t="str">
            <v>-</v>
          </cell>
          <cell r="G2976" t="str">
            <v>-</v>
          </cell>
          <cell r="H2976" t="str">
            <v>-</v>
          </cell>
          <cell r="I2976" t="str">
            <v>-</v>
          </cell>
          <cell r="J2976">
            <v>94.126239213999995</v>
          </cell>
          <cell r="K2976" t="str">
            <v>Small Cap</v>
          </cell>
        </row>
        <row r="2977">
          <cell r="C2977" t="str">
            <v>INE090D01017</v>
          </cell>
          <cell r="D2977" t="str">
            <v>TITANSEC</v>
          </cell>
          <cell r="E2977">
            <v>93.901086277999994</v>
          </cell>
          <cell r="F2977" t="str">
            <v>-</v>
          </cell>
          <cell r="G2977" t="str">
            <v>-</v>
          </cell>
          <cell r="H2977" t="str">
            <v>-</v>
          </cell>
          <cell r="I2977" t="str">
            <v>-</v>
          </cell>
          <cell r="J2977">
            <v>93.901086277999994</v>
          </cell>
          <cell r="K2977" t="str">
            <v>Small Cap</v>
          </cell>
        </row>
        <row r="2978">
          <cell r="C2978" t="str">
            <v>INE685Z01033</v>
          </cell>
          <cell r="D2978" t="str">
            <v>RAJNISH</v>
          </cell>
          <cell r="E2978">
            <v>93.887212508000005</v>
          </cell>
          <cell r="F2978" t="str">
            <v>-</v>
          </cell>
          <cell r="G2978" t="str">
            <v>-</v>
          </cell>
          <cell r="H2978" t="str">
            <v>-</v>
          </cell>
          <cell r="I2978" t="str">
            <v>-</v>
          </cell>
          <cell r="J2978">
            <v>93.887212508000005</v>
          </cell>
          <cell r="K2978" t="str">
            <v>Small Cap</v>
          </cell>
        </row>
        <row r="2979">
          <cell r="C2979" t="str">
            <v>INE022N01019</v>
          </cell>
          <cell r="D2979" t="str">
            <v>AJIL</v>
          </cell>
          <cell r="E2979">
            <v>93.306752090999993</v>
          </cell>
          <cell r="F2979" t="str">
            <v>-</v>
          </cell>
          <cell r="G2979" t="str">
            <v>-</v>
          </cell>
          <cell r="H2979" t="str">
            <v>-</v>
          </cell>
          <cell r="I2979" t="str">
            <v>-</v>
          </cell>
          <cell r="J2979">
            <v>93.306752090999993</v>
          </cell>
          <cell r="K2979" t="str">
            <v>Small Cap</v>
          </cell>
        </row>
        <row r="2980">
          <cell r="C2980" t="str">
            <v>INE694X01030</v>
          </cell>
          <cell r="D2980" t="str">
            <v>GGENG</v>
          </cell>
          <cell r="E2980">
            <v>93.271647615999996</v>
          </cell>
          <cell r="F2980" t="str">
            <v>-</v>
          </cell>
          <cell r="G2980" t="str">
            <v>-</v>
          </cell>
          <cell r="H2980" t="str">
            <v>-</v>
          </cell>
          <cell r="I2980" t="str">
            <v>-</v>
          </cell>
          <cell r="J2980">
            <v>93.271647615999996</v>
          </cell>
          <cell r="K2980" t="str">
            <v>Small Cap</v>
          </cell>
        </row>
        <row r="2981">
          <cell r="C2981" t="str">
            <v>INE176N01021</v>
          </cell>
          <cell r="D2981" t="str">
            <v>CASPIAN</v>
          </cell>
          <cell r="E2981">
            <v>93.253961904999997</v>
          </cell>
          <cell r="F2981" t="str">
            <v>-</v>
          </cell>
          <cell r="G2981" t="str">
            <v>-</v>
          </cell>
          <cell r="H2981" t="str">
            <v>-</v>
          </cell>
          <cell r="I2981" t="str">
            <v>-</v>
          </cell>
          <cell r="J2981">
            <v>93.253961904999997</v>
          </cell>
          <cell r="K2981" t="str">
            <v>Small Cap</v>
          </cell>
        </row>
        <row r="2982">
          <cell r="C2982" t="str">
            <v>INE0JJS01014</v>
          </cell>
          <cell r="D2982" t="str">
            <v>CLARA</v>
          </cell>
          <cell r="E2982">
            <v>93.130256626000005</v>
          </cell>
          <cell r="F2982" t="str">
            <v>-</v>
          </cell>
          <cell r="G2982" t="str">
            <v>-</v>
          </cell>
          <cell r="H2982" t="str">
            <v>-</v>
          </cell>
          <cell r="I2982" t="str">
            <v>-</v>
          </cell>
          <cell r="J2982">
            <v>93.130256626000005</v>
          </cell>
          <cell r="K2982" t="str">
            <v>Small Cap</v>
          </cell>
        </row>
        <row r="2983">
          <cell r="C2983" t="str">
            <v>INE696K01024</v>
          </cell>
          <cell r="D2983" t="str">
            <v>PRAKASHSTL</v>
          </cell>
          <cell r="E2983">
            <v>93.047429585000003</v>
          </cell>
          <cell r="F2983" t="str">
            <v>PRAKASHSTL</v>
          </cell>
          <cell r="G2983">
            <v>92.994699999999995</v>
          </cell>
          <cell r="H2983" t="str">
            <v>-</v>
          </cell>
          <cell r="I2983" t="str">
            <v>-</v>
          </cell>
          <cell r="J2983">
            <v>93.021064792499999</v>
          </cell>
          <cell r="K2983" t="str">
            <v>Small Cap</v>
          </cell>
        </row>
        <row r="2984">
          <cell r="C2984" t="str">
            <v>INE811B01010</v>
          </cell>
          <cell r="D2984" t="str">
            <v>TIGLOB</v>
          </cell>
          <cell r="E2984">
            <v>92.442489770000009</v>
          </cell>
          <cell r="F2984" t="str">
            <v>-</v>
          </cell>
          <cell r="G2984" t="str">
            <v>-</v>
          </cell>
          <cell r="H2984" t="str">
            <v>-</v>
          </cell>
          <cell r="I2984" t="str">
            <v>-</v>
          </cell>
          <cell r="J2984">
            <v>92.442489770000009</v>
          </cell>
          <cell r="K2984" t="str">
            <v>Small Cap</v>
          </cell>
        </row>
        <row r="2985">
          <cell r="C2985" t="str">
            <v>INE108E01023</v>
          </cell>
          <cell r="D2985" t="str">
            <v>SUNDARAM</v>
          </cell>
          <cell r="E2985">
            <v>92.485145364000005</v>
          </cell>
          <cell r="F2985" t="str">
            <v>SUNDARAM</v>
          </cell>
          <cell r="G2985">
            <v>92.2971</v>
          </cell>
          <cell r="H2985" t="str">
            <v>-</v>
          </cell>
          <cell r="I2985" t="str">
            <v>-</v>
          </cell>
          <cell r="J2985">
            <v>92.391122682000002</v>
          </cell>
          <cell r="K2985" t="str">
            <v>Small Cap</v>
          </cell>
        </row>
        <row r="2986">
          <cell r="C2986" t="str">
            <v>INE331C01025</v>
          </cell>
          <cell r="D2986" t="str">
            <v>WELCURE</v>
          </cell>
          <cell r="E2986">
            <v>92.362016679999996</v>
          </cell>
          <cell r="F2986" t="str">
            <v>-</v>
          </cell>
          <cell r="G2986" t="str">
            <v>-</v>
          </cell>
          <cell r="H2986" t="str">
            <v>-</v>
          </cell>
          <cell r="I2986" t="str">
            <v>-</v>
          </cell>
          <cell r="J2986">
            <v>92.362016679999996</v>
          </cell>
          <cell r="K2986" t="str">
            <v>Small Cap</v>
          </cell>
        </row>
        <row r="2987">
          <cell r="C2987" t="str">
            <v>INE746D01014</v>
          </cell>
          <cell r="D2987" t="str">
            <v>PIONRINV</v>
          </cell>
          <cell r="E2987">
            <v>92.226029244000003</v>
          </cell>
          <cell r="F2987" t="str">
            <v>-</v>
          </cell>
          <cell r="G2987" t="str">
            <v>-</v>
          </cell>
          <cell r="H2987" t="str">
            <v>-</v>
          </cell>
          <cell r="I2987" t="str">
            <v>-</v>
          </cell>
          <cell r="J2987">
            <v>92.226029244000003</v>
          </cell>
          <cell r="K2987" t="str">
            <v>Small Cap</v>
          </cell>
        </row>
        <row r="2988">
          <cell r="C2988" t="str">
            <v>INE994B01014</v>
          </cell>
          <cell r="D2988" t="str">
            <v>BIBCL</v>
          </cell>
          <cell r="E2988">
            <v>92.041254285999997</v>
          </cell>
          <cell r="F2988" t="str">
            <v>-</v>
          </cell>
          <cell r="G2988" t="str">
            <v>-</v>
          </cell>
          <cell r="H2988" t="str">
            <v>-</v>
          </cell>
          <cell r="I2988" t="str">
            <v>-</v>
          </cell>
          <cell r="J2988">
            <v>92.041254285999997</v>
          </cell>
          <cell r="K2988" t="str">
            <v>Small Cap</v>
          </cell>
        </row>
        <row r="2989">
          <cell r="C2989" t="str">
            <v>INE921B01025</v>
          </cell>
          <cell r="D2989" t="str">
            <v>DBSTOCKBRO</v>
          </cell>
          <cell r="E2989">
            <v>92.004166666999993</v>
          </cell>
          <cell r="F2989" t="str">
            <v>DBSTOCKBRO</v>
          </cell>
          <cell r="G2989">
            <v>91.982500000000002</v>
          </cell>
          <cell r="H2989" t="str">
            <v>-</v>
          </cell>
          <cell r="I2989" t="str">
            <v>-</v>
          </cell>
          <cell r="J2989">
            <v>91.993333333500004</v>
          </cell>
          <cell r="K2989" t="str">
            <v>Small Cap</v>
          </cell>
        </row>
        <row r="2990">
          <cell r="C2990" t="str">
            <v>INE133B01027</v>
          </cell>
          <cell r="D2990" t="str">
            <v>KESARENT</v>
          </cell>
          <cell r="E2990">
            <v>91.890780973000005</v>
          </cell>
          <cell r="F2990" t="str">
            <v>-</v>
          </cell>
          <cell r="G2990" t="str">
            <v>-</v>
          </cell>
          <cell r="H2990" t="str">
            <v>-</v>
          </cell>
          <cell r="I2990" t="str">
            <v>-</v>
          </cell>
          <cell r="J2990">
            <v>91.890780973000005</v>
          </cell>
          <cell r="K2990" t="str">
            <v>Small Cap</v>
          </cell>
        </row>
        <row r="2991">
          <cell r="C2991" t="str">
            <v>INE895C01011</v>
          </cell>
          <cell r="D2991" t="str">
            <v>TATAYODOGA</v>
          </cell>
          <cell r="E2991">
            <v>91.732758899999993</v>
          </cell>
          <cell r="F2991" t="str">
            <v>-</v>
          </cell>
          <cell r="G2991" t="str">
            <v>-</v>
          </cell>
          <cell r="H2991" t="str">
            <v>-</v>
          </cell>
          <cell r="I2991" t="str">
            <v>-</v>
          </cell>
          <cell r="J2991">
            <v>91.732758899999993</v>
          </cell>
          <cell r="K2991" t="str">
            <v>Small Cap</v>
          </cell>
        </row>
        <row r="2992">
          <cell r="C2992" t="str">
            <v>INE078I01011</v>
          </cell>
          <cell r="D2992" t="str">
            <v>ARCHITORG</v>
          </cell>
          <cell r="E2992">
            <v>91.539688045000005</v>
          </cell>
          <cell r="F2992" t="str">
            <v>-</v>
          </cell>
          <cell r="G2992" t="str">
            <v>-</v>
          </cell>
          <cell r="H2992" t="str">
            <v>-</v>
          </cell>
          <cell r="I2992" t="str">
            <v>-</v>
          </cell>
          <cell r="J2992">
            <v>91.539688045000005</v>
          </cell>
          <cell r="K2992" t="str">
            <v>Small Cap</v>
          </cell>
        </row>
        <row r="2993">
          <cell r="C2993" t="str">
            <v>INE0DXR01010</v>
          </cell>
          <cell r="D2993" t="str">
            <v>FOCUS</v>
          </cell>
          <cell r="E2993">
            <v>91.530376596000011</v>
          </cell>
          <cell r="F2993" t="str">
            <v>-</v>
          </cell>
          <cell r="G2993" t="str">
            <v>-</v>
          </cell>
          <cell r="H2993" t="str">
            <v>-</v>
          </cell>
          <cell r="I2993" t="str">
            <v>-</v>
          </cell>
          <cell r="J2993">
            <v>91.530376596000011</v>
          </cell>
          <cell r="K2993" t="str">
            <v>Small Cap</v>
          </cell>
        </row>
        <row r="2994">
          <cell r="C2994" t="str">
            <v>INE714U01024</v>
          </cell>
          <cell r="D2994" t="str">
            <v>IFL</v>
          </cell>
          <cell r="E2994">
            <v>91.403638400000006</v>
          </cell>
          <cell r="F2994" t="str">
            <v>-</v>
          </cell>
          <cell r="G2994" t="str">
            <v>-</v>
          </cell>
          <cell r="H2994" t="str">
            <v>-</v>
          </cell>
          <cell r="I2994" t="str">
            <v>-</v>
          </cell>
          <cell r="J2994">
            <v>91.403638400000006</v>
          </cell>
          <cell r="K2994" t="str">
            <v>Small Cap</v>
          </cell>
        </row>
        <row r="2995">
          <cell r="C2995" t="str">
            <v>INE307N01014</v>
          </cell>
          <cell r="D2995" t="str">
            <v>ASTALLTD</v>
          </cell>
          <cell r="E2995">
            <v>91.402587288000007</v>
          </cell>
          <cell r="F2995" t="str">
            <v>-</v>
          </cell>
          <cell r="G2995" t="str">
            <v>-</v>
          </cell>
          <cell r="H2995" t="str">
            <v>-</v>
          </cell>
          <cell r="I2995" t="str">
            <v>-</v>
          </cell>
          <cell r="J2995">
            <v>91.402587288000007</v>
          </cell>
          <cell r="K2995" t="str">
            <v>Small Cap</v>
          </cell>
        </row>
        <row r="2996">
          <cell r="C2996" t="str">
            <v>INE258C01038</v>
          </cell>
          <cell r="D2996" t="str">
            <v>ACCEL</v>
          </cell>
          <cell r="E2996">
            <v>91.062175276999994</v>
          </cell>
          <cell r="F2996" t="str">
            <v>-</v>
          </cell>
          <cell r="G2996" t="str">
            <v>-</v>
          </cell>
          <cell r="H2996" t="str">
            <v>-</v>
          </cell>
          <cell r="I2996" t="str">
            <v>-</v>
          </cell>
          <cell r="J2996">
            <v>91.062175276999994</v>
          </cell>
          <cell r="K2996" t="str">
            <v>Small Cap</v>
          </cell>
        </row>
        <row r="2997">
          <cell r="C2997" t="str">
            <v>INE642Z01026</v>
          </cell>
          <cell r="D2997" t="str">
            <v>AKI</v>
          </cell>
          <cell r="E2997">
            <v>91.93850744400001</v>
          </cell>
          <cell r="F2997" t="str">
            <v>AKI</v>
          </cell>
          <cell r="G2997">
            <v>89.705699999999993</v>
          </cell>
          <cell r="H2997" t="str">
            <v>-</v>
          </cell>
          <cell r="I2997" t="str">
            <v>-</v>
          </cell>
          <cell r="J2997">
            <v>90.822103722000008</v>
          </cell>
          <cell r="K2997" t="str">
            <v>Small Cap</v>
          </cell>
        </row>
        <row r="2998">
          <cell r="C2998" t="str">
            <v>INE679C01027</v>
          </cell>
          <cell r="D2998" t="str">
            <v>SOURCENTRL</v>
          </cell>
          <cell r="E2998">
            <v>90.783205272000004</v>
          </cell>
          <cell r="F2998" t="str">
            <v>-</v>
          </cell>
          <cell r="G2998" t="str">
            <v>-</v>
          </cell>
          <cell r="H2998" t="str">
            <v>-</v>
          </cell>
          <cell r="I2998" t="str">
            <v>-</v>
          </cell>
          <cell r="J2998">
            <v>90.783205272000004</v>
          </cell>
          <cell r="K2998" t="str">
            <v>Small Cap</v>
          </cell>
        </row>
        <row r="2999">
          <cell r="C2999" t="str">
            <v>INE925Y01036</v>
          </cell>
          <cell r="D2999" t="str">
            <v>-</v>
          </cell>
          <cell r="E2999" t="str">
            <v>-</v>
          </cell>
          <cell r="F2999" t="str">
            <v>AURIGROW</v>
          </cell>
          <cell r="G2999">
            <v>90.741900000000001</v>
          </cell>
          <cell r="H2999" t="str">
            <v>-</v>
          </cell>
          <cell r="I2999" t="str">
            <v>-</v>
          </cell>
          <cell r="J2999">
            <v>90.741900000000001</v>
          </cell>
          <cell r="K2999" t="str">
            <v>Small Cap</v>
          </cell>
        </row>
        <row r="3000">
          <cell r="C3000" t="str">
            <v>INE773I01017</v>
          </cell>
          <cell r="D3000" t="str">
            <v>ALKALI</v>
          </cell>
          <cell r="E3000">
            <v>90.807346066999997</v>
          </cell>
          <cell r="F3000" t="str">
            <v>ALKALI</v>
          </cell>
          <cell r="G3000">
            <v>90.617800000000003</v>
          </cell>
          <cell r="H3000" t="str">
            <v>-</v>
          </cell>
          <cell r="I3000" t="str">
            <v>-</v>
          </cell>
          <cell r="J3000">
            <v>90.712573033500007</v>
          </cell>
          <cell r="K3000" t="str">
            <v>Small Cap</v>
          </cell>
        </row>
        <row r="3001">
          <cell r="C3001" t="str">
            <v>INE865P01016</v>
          </cell>
          <cell r="D3001" t="str">
            <v>RAFL</v>
          </cell>
          <cell r="E3001">
            <v>90.498848021000001</v>
          </cell>
          <cell r="F3001" t="str">
            <v>-</v>
          </cell>
          <cell r="G3001" t="str">
            <v>-</v>
          </cell>
          <cell r="H3001" t="str">
            <v>-</v>
          </cell>
          <cell r="I3001" t="str">
            <v>-</v>
          </cell>
          <cell r="J3001">
            <v>90.498848021000001</v>
          </cell>
          <cell r="K3001" t="str">
            <v>Small Cap</v>
          </cell>
        </row>
        <row r="3002">
          <cell r="C3002" t="str">
            <v>INE558F01026</v>
          </cell>
          <cell r="D3002" t="str">
            <v>CHLOGIST</v>
          </cell>
          <cell r="E3002">
            <v>90.475179683000007</v>
          </cell>
          <cell r="F3002" t="str">
            <v>-</v>
          </cell>
          <cell r="G3002" t="str">
            <v>-</v>
          </cell>
          <cell r="H3002" t="str">
            <v>-</v>
          </cell>
          <cell r="I3002" t="str">
            <v>-</v>
          </cell>
          <cell r="J3002">
            <v>90.475179683000007</v>
          </cell>
          <cell r="K3002" t="str">
            <v>Small Cap</v>
          </cell>
        </row>
        <row r="3003">
          <cell r="C3003" t="str">
            <v>INE345B01019</v>
          </cell>
          <cell r="D3003" t="str">
            <v>CEREBRAINT</v>
          </cell>
          <cell r="E3003">
            <v>94.327325680000001</v>
          </cell>
          <cell r="F3003" t="str">
            <v>CEREBRAINT</v>
          </cell>
          <cell r="G3003">
            <v>86.601100000000002</v>
          </cell>
          <cell r="H3003" t="str">
            <v>-</v>
          </cell>
          <cell r="I3003" t="str">
            <v>-</v>
          </cell>
          <cell r="J3003">
            <v>90.464212840000002</v>
          </cell>
          <cell r="K3003" t="str">
            <v>Small Cap</v>
          </cell>
        </row>
        <row r="3004">
          <cell r="C3004" t="str">
            <v>INE220J01025</v>
          </cell>
          <cell r="D3004" t="str">
            <v>FCONSUMER</v>
          </cell>
          <cell r="E3004">
            <v>90.928474182000002</v>
          </cell>
          <cell r="F3004" t="str">
            <v>FCONSUMER</v>
          </cell>
          <cell r="G3004">
            <v>89.898300000000006</v>
          </cell>
          <cell r="H3004" t="str">
            <v>-</v>
          </cell>
          <cell r="I3004" t="str">
            <v>-</v>
          </cell>
          <cell r="J3004">
            <v>90.413387091000004</v>
          </cell>
          <cell r="K3004" t="str">
            <v>Small Cap</v>
          </cell>
        </row>
        <row r="3005">
          <cell r="C3005" t="str">
            <v>INE237C01016</v>
          </cell>
          <cell r="D3005" t="str">
            <v>KATIPATANG</v>
          </cell>
          <cell r="E3005">
            <v>89.861970557999996</v>
          </cell>
          <cell r="F3005" t="str">
            <v>-</v>
          </cell>
          <cell r="G3005" t="str">
            <v>-</v>
          </cell>
          <cell r="H3005" t="str">
            <v>-</v>
          </cell>
          <cell r="I3005" t="str">
            <v>-</v>
          </cell>
          <cell r="J3005">
            <v>89.861970557999996</v>
          </cell>
          <cell r="K3005" t="str">
            <v>Small Cap</v>
          </cell>
        </row>
        <row r="3006">
          <cell r="C3006" t="str">
            <v>INE0SIK01014</v>
          </cell>
          <cell r="D3006" t="str">
            <v>GPAPL</v>
          </cell>
          <cell r="E3006">
            <v>89.425759671999998</v>
          </cell>
          <cell r="F3006" t="str">
            <v>-</v>
          </cell>
          <cell r="G3006" t="str">
            <v>-</v>
          </cell>
          <cell r="H3006" t="str">
            <v>-</v>
          </cell>
          <cell r="I3006" t="str">
            <v>-</v>
          </cell>
          <cell r="J3006">
            <v>89.425759671999998</v>
          </cell>
          <cell r="K3006" t="str">
            <v>Small Cap</v>
          </cell>
        </row>
        <row r="3007">
          <cell r="C3007" t="str">
            <v>INE204S01012</v>
          </cell>
          <cell r="D3007" t="str">
            <v>LELAVOIR</v>
          </cell>
          <cell r="E3007">
            <v>89.332457142999999</v>
          </cell>
          <cell r="F3007" t="str">
            <v>-</v>
          </cell>
          <cell r="G3007" t="str">
            <v>-</v>
          </cell>
          <cell r="H3007" t="str">
            <v>-</v>
          </cell>
          <cell r="I3007" t="str">
            <v>-</v>
          </cell>
          <cell r="J3007">
            <v>89.332457142999999</v>
          </cell>
          <cell r="K3007" t="str">
            <v>Small Cap</v>
          </cell>
        </row>
        <row r="3008">
          <cell r="C3008" t="str">
            <v>INE0N6V01016</v>
          </cell>
          <cell r="D3008" t="str">
            <v>AMBOAGRI</v>
          </cell>
          <cell r="E3008">
            <v>89.312757932000011</v>
          </cell>
          <cell r="F3008" t="str">
            <v>-</v>
          </cell>
          <cell r="G3008" t="str">
            <v>-</v>
          </cell>
          <cell r="H3008" t="str">
            <v>-</v>
          </cell>
          <cell r="I3008" t="str">
            <v>-</v>
          </cell>
          <cell r="J3008">
            <v>89.312757932000011</v>
          </cell>
          <cell r="K3008" t="str">
            <v>Small Cap</v>
          </cell>
        </row>
        <row r="3009">
          <cell r="C3009" t="str">
            <v>INE0ZHT01012</v>
          </cell>
          <cell r="D3009" t="str">
            <v>TECHNICHEM</v>
          </cell>
          <cell r="E3009">
            <v>89.120305713999997</v>
          </cell>
          <cell r="F3009" t="str">
            <v>-</v>
          </cell>
          <cell r="G3009" t="str">
            <v>-</v>
          </cell>
          <cell r="H3009" t="str">
            <v>-</v>
          </cell>
          <cell r="I3009" t="str">
            <v>-</v>
          </cell>
          <cell r="J3009">
            <v>89.120305713999997</v>
          </cell>
          <cell r="K3009" t="str">
            <v>Small Cap</v>
          </cell>
        </row>
        <row r="3010">
          <cell r="C3010" t="str">
            <v>INE10CM01027</v>
          </cell>
          <cell r="D3010" t="str">
            <v>SUNSKY</v>
          </cell>
          <cell r="E3010">
            <v>89.104493275999999</v>
          </cell>
          <cell r="F3010" t="str">
            <v>-</v>
          </cell>
          <cell r="G3010" t="str">
            <v>-</v>
          </cell>
          <cell r="H3010" t="str">
            <v>-</v>
          </cell>
          <cell r="I3010" t="str">
            <v>-</v>
          </cell>
          <cell r="J3010">
            <v>89.104493275999999</v>
          </cell>
          <cell r="K3010" t="str">
            <v>Small Cap</v>
          </cell>
        </row>
        <row r="3011">
          <cell r="C3011" t="str">
            <v>INE019B01010</v>
          </cell>
          <cell r="D3011" t="str">
            <v>TRANSCHEM</v>
          </cell>
          <cell r="E3011">
            <v>89.030262857000011</v>
          </cell>
          <cell r="F3011" t="str">
            <v>-</v>
          </cell>
          <cell r="G3011" t="str">
            <v>-</v>
          </cell>
          <cell r="H3011" t="str">
            <v>-</v>
          </cell>
          <cell r="I3011" t="str">
            <v>-</v>
          </cell>
          <cell r="J3011">
            <v>89.030262857000011</v>
          </cell>
          <cell r="K3011" t="str">
            <v>Small Cap</v>
          </cell>
        </row>
        <row r="3012">
          <cell r="C3012" t="str">
            <v>INE451S01027</v>
          </cell>
          <cell r="D3012" t="str">
            <v>GROWINGTON</v>
          </cell>
          <cell r="E3012">
            <v>88.921398008000011</v>
          </cell>
          <cell r="F3012" t="str">
            <v>-</v>
          </cell>
          <cell r="G3012" t="str">
            <v>-</v>
          </cell>
          <cell r="H3012" t="str">
            <v>-</v>
          </cell>
          <cell r="I3012" t="str">
            <v>-</v>
          </cell>
          <cell r="J3012">
            <v>88.921398008000011</v>
          </cell>
          <cell r="K3012" t="str">
            <v>Small Cap</v>
          </cell>
        </row>
        <row r="3013">
          <cell r="C3013" t="str">
            <v>INE994D01010</v>
          </cell>
          <cell r="D3013" t="str">
            <v>AEONXDIGI</v>
          </cell>
          <cell r="E3013">
            <v>88.726377313</v>
          </cell>
          <cell r="F3013" t="str">
            <v>-</v>
          </cell>
          <cell r="G3013" t="str">
            <v>-</v>
          </cell>
          <cell r="H3013" t="str">
            <v>-</v>
          </cell>
          <cell r="I3013" t="str">
            <v>-</v>
          </cell>
          <cell r="J3013">
            <v>88.726377313</v>
          </cell>
          <cell r="K3013" t="str">
            <v>Small Cap</v>
          </cell>
        </row>
        <row r="3014">
          <cell r="C3014" t="str">
            <v>INE295C01014</v>
          </cell>
          <cell r="D3014" t="str">
            <v>VIRATCRA</v>
          </cell>
          <cell r="E3014">
            <v>88.659660842999997</v>
          </cell>
          <cell r="F3014" t="str">
            <v>-</v>
          </cell>
          <cell r="G3014" t="str">
            <v>-</v>
          </cell>
          <cell r="H3014" t="str">
            <v>-</v>
          </cell>
          <cell r="I3014" t="str">
            <v>-</v>
          </cell>
          <cell r="J3014">
            <v>88.659660842999997</v>
          </cell>
          <cell r="K3014" t="str">
            <v>Small Cap</v>
          </cell>
        </row>
        <row r="3015">
          <cell r="C3015" t="str">
            <v>INE326C01017</v>
          </cell>
          <cell r="D3015" t="str">
            <v>ACKNIT</v>
          </cell>
          <cell r="E3015">
            <v>88.634819047999997</v>
          </cell>
          <cell r="F3015" t="str">
            <v>-</v>
          </cell>
          <cell r="G3015" t="str">
            <v>-</v>
          </cell>
          <cell r="H3015" t="str">
            <v>-</v>
          </cell>
          <cell r="I3015" t="str">
            <v>-</v>
          </cell>
          <cell r="J3015">
            <v>88.634819047999997</v>
          </cell>
          <cell r="K3015" t="str">
            <v>Small Cap</v>
          </cell>
        </row>
        <row r="3016">
          <cell r="C3016" t="str">
            <v>INE820Y01021</v>
          </cell>
          <cell r="D3016" t="str">
            <v>-</v>
          </cell>
          <cell r="E3016" t="str">
            <v>-</v>
          </cell>
          <cell r="F3016" t="str">
            <v>AJOONI</v>
          </cell>
          <cell r="G3016">
            <v>88.626199999999997</v>
          </cell>
          <cell r="H3016" t="str">
            <v>-</v>
          </cell>
          <cell r="I3016" t="str">
            <v>-</v>
          </cell>
          <cell r="J3016">
            <v>88.626199999999997</v>
          </cell>
          <cell r="K3016" t="str">
            <v>Small Cap</v>
          </cell>
        </row>
        <row r="3017">
          <cell r="C3017" t="str">
            <v>INE257C01014</v>
          </cell>
          <cell r="D3017" t="str">
            <v xml:space="preserve">ADTECH </v>
          </cell>
          <cell r="E3017">
            <v>88.520959017999999</v>
          </cell>
          <cell r="F3017" t="str">
            <v>-</v>
          </cell>
          <cell r="G3017" t="str">
            <v>-</v>
          </cell>
          <cell r="H3017" t="str">
            <v>ADTECH</v>
          </cell>
          <cell r="I3017">
            <v>88.540342500000008</v>
          </cell>
          <cell r="J3017">
            <v>88.530650758999997</v>
          </cell>
          <cell r="K3017" t="str">
            <v>Small Cap</v>
          </cell>
        </row>
        <row r="3018">
          <cell r="C3018" t="str">
            <v>INE02AR01019</v>
          </cell>
          <cell r="D3018" t="str">
            <v>ANMOL</v>
          </cell>
          <cell r="E3018">
            <v>88.495631154999998</v>
          </cell>
          <cell r="F3018" t="str">
            <v>ANMOL</v>
          </cell>
          <cell r="G3018">
            <v>88.4071</v>
          </cell>
          <cell r="H3018" t="str">
            <v>-</v>
          </cell>
          <cell r="I3018" t="str">
            <v>-</v>
          </cell>
          <cell r="J3018">
            <v>88.451365577499999</v>
          </cell>
          <cell r="K3018" t="str">
            <v>Small Cap</v>
          </cell>
        </row>
        <row r="3019">
          <cell r="C3019" t="str">
            <v>INE123B01028</v>
          </cell>
          <cell r="D3019" t="str">
            <v>NAGREEKEXP</v>
          </cell>
          <cell r="E3019">
            <v>88.618408821000003</v>
          </cell>
          <cell r="F3019" t="str">
            <v>NAGREEKEXP</v>
          </cell>
          <cell r="G3019">
            <v>88.221800000000002</v>
          </cell>
          <cell r="H3019" t="str">
            <v>-</v>
          </cell>
          <cell r="I3019" t="str">
            <v>-</v>
          </cell>
          <cell r="J3019">
            <v>88.420104410500002</v>
          </cell>
          <cell r="K3019" t="str">
            <v>Small Cap</v>
          </cell>
        </row>
        <row r="3020">
          <cell r="C3020" t="str">
            <v>INE0CQ101015</v>
          </cell>
          <cell r="D3020" t="str">
            <v>RCAN</v>
          </cell>
          <cell r="E3020">
            <v>88.406924316999991</v>
          </cell>
          <cell r="F3020" t="str">
            <v>-</v>
          </cell>
          <cell r="G3020" t="str">
            <v>-</v>
          </cell>
          <cell r="H3020" t="str">
            <v>-</v>
          </cell>
          <cell r="I3020" t="str">
            <v>-</v>
          </cell>
          <cell r="J3020">
            <v>88.406924316999991</v>
          </cell>
          <cell r="K3020" t="str">
            <v>Small Cap</v>
          </cell>
        </row>
        <row r="3021">
          <cell r="C3021" t="str">
            <v>INE655D01025</v>
          </cell>
          <cell r="D3021" t="str">
            <v>SHALIWIR</v>
          </cell>
          <cell r="E3021">
            <v>88.345657173000006</v>
          </cell>
          <cell r="F3021" t="str">
            <v>-</v>
          </cell>
          <cell r="G3021" t="str">
            <v>-</v>
          </cell>
          <cell r="H3021" t="str">
            <v>-</v>
          </cell>
          <cell r="I3021" t="str">
            <v>-</v>
          </cell>
          <cell r="J3021">
            <v>88.345657173000006</v>
          </cell>
          <cell r="K3021" t="str">
            <v>Small Cap</v>
          </cell>
        </row>
        <row r="3022">
          <cell r="C3022" t="str">
            <v>INE862Y01015</v>
          </cell>
          <cell r="D3022" t="str">
            <v>-</v>
          </cell>
          <cell r="E3022" t="str">
            <v>-</v>
          </cell>
          <cell r="F3022" t="str">
            <v>BANKA</v>
          </cell>
          <cell r="G3022">
            <v>88.269400000000005</v>
          </cell>
          <cell r="H3022" t="str">
            <v>-</v>
          </cell>
          <cell r="I3022" t="str">
            <v>-</v>
          </cell>
          <cell r="J3022">
            <v>88.269400000000005</v>
          </cell>
          <cell r="K3022" t="str">
            <v>Small Cap</v>
          </cell>
        </row>
        <row r="3023">
          <cell r="C3023" t="str">
            <v>INE924F01012</v>
          </cell>
          <cell r="D3023" t="str">
            <v>MYSPAPE</v>
          </cell>
          <cell r="E3023">
            <v>88.218926544000013</v>
          </cell>
          <cell r="F3023" t="str">
            <v>-</v>
          </cell>
          <cell r="G3023" t="str">
            <v>-</v>
          </cell>
          <cell r="H3023" t="str">
            <v>-</v>
          </cell>
          <cell r="I3023" t="str">
            <v>-</v>
          </cell>
          <cell r="J3023">
            <v>88.218926544000013</v>
          </cell>
          <cell r="K3023" t="str">
            <v>Small Cap</v>
          </cell>
        </row>
        <row r="3024">
          <cell r="C3024" t="str">
            <v>INE393A01011</v>
          </cell>
          <cell r="D3024" t="str">
            <v>DELTAMAGNT</v>
          </cell>
          <cell r="E3024">
            <v>88.450665560000004</v>
          </cell>
          <cell r="F3024" t="str">
            <v>DELTAMAGNT</v>
          </cell>
          <cell r="G3024">
            <v>87.889099999999999</v>
          </cell>
          <cell r="H3024" t="str">
            <v>-</v>
          </cell>
          <cell r="I3024" t="str">
            <v>-</v>
          </cell>
          <cell r="J3024">
            <v>88.169882779999995</v>
          </cell>
          <cell r="K3024" t="str">
            <v>Small Cap</v>
          </cell>
        </row>
        <row r="3025">
          <cell r="C3025" t="str">
            <v>INE596B01017</v>
          </cell>
          <cell r="D3025" t="str">
            <v>MUKESHB</v>
          </cell>
          <cell r="E3025">
            <v>88.152562959999997</v>
          </cell>
          <cell r="F3025" t="str">
            <v>-</v>
          </cell>
          <cell r="G3025" t="str">
            <v>-</v>
          </cell>
          <cell r="H3025" t="str">
            <v>-</v>
          </cell>
          <cell r="I3025" t="str">
            <v>-</v>
          </cell>
          <cell r="J3025">
            <v>88.152562959999997</v>
          </cell>
          <cell r="K3025" t="str">
            <v>Small Cap</v>
          </cell>
        </row>
        <row r="3026">
          <cell r="C3026" t="str">
            <v>INE178T01024</v>
          </cell>
          <cell r="D3026" t="str">
            <v>ADVIKCA</v>
          </cell>
          <cell r="E3026">
            <v>88.148530136000005</v>
          </cell>
          <cell r="F3026" t="str">
            <v>-</v>
          </cell>
          <cell r="G3026" t="str">
            <v>-</v>
          </cell>
          <cell r="H3026" t="str">
            <v>-</v>
          </cell>
          <cell r="I3026" t="str">
            <v>-</v>
          </cell>
          <cell r="J3026">
            <v>88.148530136000005</v>
          </cell>
          <cell r="K3026" t="str">
            <v>Small Cap</v>
          </cell>
        </row>
        <row r="3027">
          <cell r="C3027" t="str">
            <v>INE953B01010</v>
          </cell>
          <cell r="D3027" t="str">
            <v>CHRTEDCA</v>
          </cell>
          <cell r="E3027">
            <v>87.761370221999996</v>
          </cell>
          <cell r="F3027" t="str">
            <v>-</v>
          </cell>
          <cell r="G3027" t="str">
            <v>-</v>
          </cell>
          <cell r="H3027" t="str">
            <v>-</v>
          </cell>
          <cell r="I3027" t="str">
            <v>-</v>
          </cell>
          <cell r="J3027">
            <v>87.761370221999996</v>
          </cell>
          <cell r="K3027" t="str">
            <v>Small Cap</v>
          </cell>
        </row>
        <row r="3028">
          <cell r="C3028" t="str">
            <v>INE056E01024</v>
          </cell>
          <cell r="D3028" t="str">
            <v>INDXTRA</v>
          </cell>
          <cell r="E3028">
            <v>87.645482673000004</v>
          </cell>
          <cell r="F3028" t="str">
            <v>-</v>
          </cell>
          <cell r="G3028" t="str">
            <v>-</v>
          </cell>
          <cell r="H3028" t="str">
            <v>-</v>
          </cell>
          <cell r="I3028" t="str">
            <v>-</v>
          </cell>
          <cell r="J3028">
            <v>87.645482673000004</v>
          </cell>
          <cell r="K3028" t="str">
            <v>Small Cap</v>
          </cell>
        </row>
        <row r="3029">
          <cell r="C3029" t="str">
            <v>INE008C01011</v>
          </cell>
          <cell r="D3029" t="str">
            <v>RAYALEMA</v>
          </cell>
          <cell r="E3029">
            <v>87.567977311000007</v>
          </cell>
          <cell r="F3029" t="str">
            <v>-</v>
          </cell>
          <cell r="G3029" t="str">
            <v>-</v>
          </cell>
          <cell r="H3029" t="str">
            <v>-</v>
          </cell>
          <cell r="I3029" t="str">
            <v>-</v>
          </cell>
          <cell r="J3029">
            <v>87.567977311000007</v>
          </cell>
          <cell r="K3029" t="str">
            <v>Small Cap</v>
          </cell>
        </row>
        <row r="3030">
          <cell r="C3030" t="str">
            <v>INE825B01010</v>
          </cell>
          <cell r="D3030" t="str">
            <v>JAFINANCE</v>
          </cell>
          <cell r="E3030">
            <v>87.444099359999996</v>
          </cell>
          <cell r="F3030" t="str">
            <v>-</v>
          </cell>
          <cell r="G3030" t="str">
            <v>-</v>
          </cell>
          <cell r="H3030" t="str">
            <v>-</v>
          </cell>
          <cell r="I3030" t="str">
            <v>-</v>
          </cell>
          <cell r="J3030">
            <v>87.444099359999996</v>
          </cell>
          <cell r="K3030" t="str">
            <v>Small Cap</v>
          </cell>
        </row>
        <row r="3031">
          <cell r="C3031" t="str">
            <v>INE123D01024</v>
          </cell>
          <cell r="D3031" t="str">
            <v>AIML</v>
          </cell>
          <cell r="E3031">
            <v>87.14289642899999</v>
          </cell>
          <cell r="F3031" t="str">
            <v>-</v>
          </cell>
          <cell r="G3031" t="str">
            <v>-</v>
          </cell>
          <cell r="H3031" t="str">
            <v>-</v>
          </cell>
          <cell r="I3031" t="str">
            <v>-</v>
          </cell>
          <cell r="J3031">
            <v>87.14289642899999</v>
          </cell>
          <cell r="K3031" t="str">
            <v>Small Cap</v>
          </cell>
        </row>
        <row r="3032">
          <cell r="C3032" t="str">
            <v>INE369Q01017</v>
          </cell>
          <cell r="D3032" t="str">
            <v>GANVERSE</v>
          </cell>
          <cell r="E3032">
            <v>87.070526477999991</v>
          </cell>
          <cell r="F3032" t="str">
            <v>-</v>
          </cell>
          <cell r="G3032" t="str">
            <v>-</v>
          </cell>
          <cell r="H3032" t="str">
            <v>-</v>
          </cell>
          <cell r="I3032" t="str">
            <v>-</v>
          </cell>
          <cell r="J3032">
            <v>87.070526477999991</v>
          </cell>
          <cell r="K3032" t="str">
            <v>Small Cap</v>
          </cell>
        </row>
        <row r="3033">
          <cell r="C3033" t="str">
            <v>INE0WCH01015</v>
          </cell>
          <cell r="D3033" t="str">
            <v>JUNGLECAMP</v>
          </cell>
          <cell r="E3033">
            <v>87.059591365999992</v>
          </cell>
          <cell r="F3033" t="str">
            <v>-</v>
          </cell>
          <cell r="G3033" t="str">
            <v>-</v>
          </cell>
          <cell r="H3033" t="str">
            <v>-</v>
          </cell>
          <cell r="I3033" t="str">
            <v>-</v>
          </cell>
          <cell r="J3033">
            <v>87.059591365999992</v>
          </cell>
          <cell r="K3033" t="str">
            <v>Small Cap</v>
          </cell>
        </row>
        <row r="3034">
          <cell r="C3034" t="str">
            <v>INE460D01038</v>
          </cell>
          <cell r="D3034" t="str">
            <v>SUPTANERY</v>
          </cell>
          <cell r="E3034">
            <v>87.024814297000006</v>
          </cell>
          <cell r="F3034" t="str">
            <v>-</v>
          </cell>
          <cell r="G3034" t="str">
            <v>-</v>
          </cell>
          <cell r="H3034" t="str">
            <v>-</v>
          </cell>
          <cell r="I3034" t="str">
            <v>-</v>
          </cell>
          <cell r="J3034">
            <v>87.024814297000006</v>
          </cell>
          <cell r="K3034" t="str">
            <v>Small Cap</v>
          </cell>
        </row>
        <row r="3035">
          <cell r="C3035" t="str">
            <v>INE596H01014</v>
          </cell>
          <cell r="D3035" t="str">
            <v>HGM</v>
          </cell>
          <cell r="E3035">
            <v>87.376018888000004</v>
          </cell>
          <cell r="F3035" t="str">
            <v>HGM</v>
          </cell>
          <cell r="G3035">
            <v>86.609300000000005</v>
          </cell>
          <cell r="H3035" t="str">
            <v>-</v>
          </cell>
          <cell r="I3035" t="str">
            <v>-</v>
          </cell>
          <cell r="J3035">
            <v>86.992659443999997</v>
          </cell>
          <cell r="K3035" t="str">
            <v>Small Cap</v>
          </cell>
        </row>
        <row r="3036">
          <cell r="C3036" t="str">
            <v>INE627H01017</v>
          </cell>
          <cell r="D3036" t="str">
            <v>CTE</v>
          </cell>
          <cell r="E3036">
            <v>87.257836252999994</v>
          </cell>
          <cell r="F3036" t="str">
            <v>CTE</v>
          </cell>
          <cell r="G3036">
            <v>86.581299999999999</v>
          </cell>
          <cell r="H3036" t="str">
            <v>-</v>
          </cell>
          <cell r="I3036" t="str">
            <v>-</v>
          </cell>
          <cell r="J3036">
            <v>86.919568126499996</v>
          </cell>
          <cell r="K3036" t="str">
            <v>Small Cap</v>
          </cell>
        </row>
        <row r="3037">
          <cell r="C3037" t="str">
            <v>INE06TD01010</v>
          </cell>
          <cell r="D3037" t="str">
            <v>EVANS</v>
          </cell>
          <cell r="E3037">
            <v>86.919466666999995</v>
          </cell>
          <cell r="F3037" t="str">
            <v>-</v>
          </cell>
          <cell r="G3037" t="str">
            <v>-</v>
          </cell>
          <cell r="H3037" t="str">
            <v>-</v>
          </cell>
          <cell r="I3037" t="str">
            <v>-</v>
          </cell>
          <cell r="J3037">
            <v>86.919466666999995</v>
          </cell>
          <cell r="K3037" t="str">
            <v>Small Cap</v>
          </cell>
        </row>
        <row r="3038">
          <cell r="C3038" t="str">
            <v>INE971L01029</v>
          </cell>
          <cell r="D3038" t="str">
            <v>KEMISTAR</v>
          </cell>
          <cell r="E3038">
            <v>86.703323094000012</v>
          </cell>
          <cell r="F3038" t="str">
            <v>-</v>
          </cell>
          <cell r="G3038" t="str">
            <v>-</v>
          </cell>
          <cell r="H3038" t="str">
            <v>-</v>
          </cell>
          <cell r="I3038" t="str">
            <v>-</v>
          </cell>
          <cell r="J3038">
            <v>86.703323094000012</v>
          </cell>
          <cell r="K3038" t="str">
            <v>Small Cap</v>
          </cell>
        </row>
        <row r="3039">
          <cell r="C3039" t="str">
            <v>INE083E01010</v>
          </cell>
          <cell r="D3039" t="str">
            <v>DYNAVSN</v>
          </cell>
          <cell r="E3039">
            <v>86.672152380999989</v>
          </cell>
          <cell r="F3039" t="str">
            <v>-</v>
          </cell>
          <cell r="G3039" t="str">
            <v>-</v>
          </cell>
          <cell r="H3039" t="str">
            <v>-</v>
          </cell>
          <cell r="I3039" t="str">
            <v>-</v>
          </cell>
          <cell r="J3039">
            <v>86.672152380999989</v>
          </cell>
          <cell r="K3039" t="str">
            <v>Small Cap</v>
          </cell>
        </row>
        <row r="3040">
          <cell r="C3040" t="str">
            <v>INE788B01028</v>
          </cell>
          <cell r="D3040" t="str">
            <v>INDSWFTLTD</v>
          </cell>
          <cell r="E3040">
            <v>86.573170378</v>
          </cell>
          <cell r="F3040" t="str">
            <v>-</v>
          </cell>
          <cell r="G3040" t="str">
            <v>-</v>
          </cell>
          <cell r="H3040" t="str">
            <v>-</v>
          </cell>
          <cell r="I3040" t="str">
            <v>-</v>
          </cell>
          <cell r="J3040">
            <v>86.573170378</v>
          </cell>
          <cell r="K3040" t="str">
            <v>Small Cap</v>
          </cell>
        </row>
        <row r="3041">
          <cell r="C3041" t="str">
            <v>INE455H01013</v>
          </cell>
          <cell r="D3041" t="str">
            <v>FYNX</v>
          </cell>
          <cell r="E3041">
            <v>86.569841269999998</v>
          </cell>
          <cell r="F3041" t="str">
            <v>-</v>
          </cell>
          <cell r="G3041" t="str">
            <v>-</v>
          </cell>
          <cell r="H3041" t="str">
            <v>-</v>
          </cell>
          <cell r="I3041" t="str">
            <v>-</v>
          </cell>
          <cell r="J3041">
            <v>86.569841269999998</v>
          </cell>
          <cell r="K3041" t="str">
            <v>Small Cap</v>
          </cell>
        </row>
        <row r="3042">
          <cell r="C3042" t="str">
            <v>INE347L01022</v>
          </cell>
          <cell r="D3042" t="str">
            <v>VLL</v>
          </cell>
          <cell r="E3042">
            <v>86.538108944000001</v>
          </cell>
          <cell r="F3042" t="str">
            <v>-</v>
          </cell>
          <cell r="G3042" t="str">
            <v>-</v>
          </cell>
          <cell r="H3042" t="str">
            <v>-</v>
          </cell>
          <cell r="I3042" t="str">
            <v>-</v>
          </cell>
          <cell r="J3042">
            <v>86.538108944000001</v>
          </cell>
          <cell r="K3042" t="str">
            <v>Small Cap</v>
          </cell>
        </row>
        <row r="3043">
          <cell r="C3043" t="str">
            <v>INE201F01015</v>
          </cell>
          <cell r="D3043" t="str">
            <v>SHRINIWAS</v>
          </cell>
          <cell r="E3043">
            <v>86.460819999999998</v>
          </cell>
          <cell r="F3043" t="str">
            <v>-</v>
          </cell>
          <cell r="G3043" t="str">
            <v>-</v>
          </cell>
          <cell r="H3043" t="str">
            <v>-</v>
          </cell>
          <cell r="I3043" t="str">
            <v>-</v>
          </cell>
          <cell r="J3043">
            <v>86.460819999999998</v>
          </cell>
          <cell r="K3043" t="str">
            <v>Small Cap</v>
          </cell>
        </row>
        <row r="3044">
          <cell r="C3044" t="str">
            <v>INE526B01014</v>
          </cell>
          <cell r="D3044" t="str">
            <v>CALSOFT</v>
          </cell>
          <cell r="E3044">
            <v>124.400997246</v>
          </cell>
          <cell r="F3044" t="str">
            <v>CALSOFT</v>
          </cell>
          <cell r="G3044">
            <v>47.994599999999998</v>
          </cell>
          <cell r="H3044" t="str">
            <v>-</v>
          </cell>
          <cell r="I3044" t="str">
            <v>-</v>
          </cell>
          <cell r="J3044">
            <v>86.197798622999997</v>
          </cell>
          <cell r="K3044" t="str">
            <v>Small Cap</v>
          </cell>
        </row>
        <row r="3045">
          <cell r="C3045" t="str">
            <v>INE018401013</v>
          </cell>
          <cell r="D3045" t="str">
            <v>SUVIDHAA</v>
          </cell>
          <cell r="E3045">
            <v>85.865885581000001</v>
          </cell>
          <cell r="F3045" t="str">
            <v>SUVIDHAA</v>
          </cell>
          <cell r="G3045">
            <v>85.766000000000005</v>
          </cell>
          <cell r="H3045" t="str">
            <v>-</v>
          </cell>
          <cell r="I3045" t="str">
            <v>-</v>
          </cell>
          <cell r="J3045">
            <v>85.815942790500003</v>
          </cell>
          <cell r="K3045" t="str">
            <v>Small Cap</v>
          </cell>
        </row>
        <row r="3046">
          <cell r="C3046" t="str">
            <v>INE609C01024</v>
          </cell>
          <cell r="D3046" t="str">
            <v>ORIENTLTD</v>
          </cell>
          <cell r="E3046">
            <v>85.938888888999998</v>
          </cell>
          <cell r="F3046" t="str">
            <v>ORIENTLTD</v>
          </cell>
          <cell r="G3046">
            <v>85.542100000000005</v>
          </cell>
          <cell r="H3046" t="str">
            <v>-</v>
          </cell>
          <cell r="I3046" t="str">
            <v>-</v>
          </cell>
          <cell r="J3046">
            <v>85.740494444500001</v>
          </cell>
          <cell r="K3046" t="str">
            <v>Small Cap</v>
          </cell>
        </row>
        <row r="3047">
          <cell r="C3047" t="str">
            <v>INE203T01012</v>
          </cell>
          <cell r="D3047" t="str">
            <v>UNIAUTO</v>
          </cell>
          <cell r="E3047">
            <v>85.685646066999993</v>
          </cell>
          <cell r="F3047" t="str">
            <v>-</v>
          </cell>
          <cell r="G3047" t="str">
            <v>-</v>
          </cell>
          <cell r="H3047" t="str">
            <v>-</v>
          </cell>
          <cell r="I3047" t="str">
            <v>-</v>
          </cell>
          <cell r="J3047">
            <v>85.685646066999993</v>
          </cell>
          <cell r="K3047" t="str">
            <v>Small Cap</v>
          </cell>
        </row>
        <row r="3048">
          <cell r="C3048" t="str">
            <v>INE386I01018</v>
          </cell>
          <cell r="D3048" t="str">
            <v>PORWAL</v>
          </cell>
          <cell r="E3048">
            <v>85.396012698000007</v>
          </cell>
          <cell r="F3048" t="str">
            <v>-</v>
          </cell>
          <cell r="G3048" t="str">
            <v>-</v>
          </cell>
          <cell r="H3048" t="str">
            <v>-</v>
          </cell>
          <cell r="I3048" t="str">
            <v>-</v>
          </cell>
          <cell r="J3048">
            <v>85.396012698000007</v>
          </cell>
          <cell r="K3048" t="str">
            <v>Small Cap</v>
          </cell>
        </row>
        <row r="3049">
          <cell r="C3049" t="str">
            <v>INE298E01022</v>
          </cell>
          <cell r="D3049" t="str">
            <v>RESTILE</v>
          </cell>
          <cell r="E3049">
            <v>85.332899247</v>
          </cell>
          <cell r="F3049" t="str">
            <v>-</v>
          </cell>
          <cell r="G3049" t="str">
            <v>-</v>
          </cell>
          <cell r="H3049" t="str">
            <v>-</v>
          </cell>
          <cell r="I3049" t="str">
            <v>-</v>
          </cell>
          <cell r="J3049">
            <v>85.332899247</v>
          </cell>
          <cell r="K3049" t="str">
            <v>Small Cap</v>
          </cell>
        </row>
        <row r="3050">
          <cell r="C3050" t="str">
            <v>INE030C01015</v>
          </cell>
          <cell r="D3050" t="str">
            <v>ANSALBU</v>
          </cell>
          <cell r="E3050">
            <v>85.307120431000001</v>
          </cell>
          <cell r="F3050" t="str">
            <v>-</v>
          </cell>
          <cell r="G3050" t="str">
            <v>-</v>
          </cell>
          <cell r="H3050" t="str">
            <v>-</v>
          </cell>
          <cell r="I3050" t="str">
            <v>-</v>
          </cell>
          <cell r="J3050">
            <v>85.307120431000001</v>
          </cell>
          <cell r="K3050" t="str">
            <v>Small Cap</v>
          </cell>
        </row>
        <row r="3051">
          <cell r="C3051" t="str">
            <v>INE0DZD01015</v>
          </cell>
          <cell r="D3051" t="str">
            <v>HMEML</v>
          </cell>
          <cell r="E3051">
            <v>85.253165866999993</v>
          </cell>
          <cell r="F3051" t="str">
            <v>-</v>
          </cell>
          <cell r="G3051" t="str">
            <v>-</v>
          </cell>
          <cell r="H3051" t="str">
            <v>-</v>
          </cell>
          <cell r="I3051" t="str">
            <v>-</v>
          </cell>
          <cell r="J3051">
            <v>85.253165866999993</v>
          </cell>
          <cell r="K3051" t="str">
            <v>Small Cap</v>
          </cell>
        </row>
        <row r="3052">
          <cell r="C3052" t="str">
            <v>INE721X01015</v>
          </cell>
          <cell r="D3052" t="str">
            <v>GEL</v>
          </cell>
          <cell r="E3052">
            <v>85.115314761999997</v>
          </cell>
          <cell r="F3052" t="str">
            <v>-</v>
          </cell>
          <cell r="G3052" t="str">
            <v>-</v>
          </cell>
          <cell r="H3052" t="str">
            <v>-</v>
          </cell>
          <cell r="I3052" t="str">
            <v>-</v>
          </cell>
          <cell r="J3052">
            <v>85.115314761999997</v>
          </cell>
          <cell r="K3052" t="str">
            <v>Small Cap</v>
          </cell>
        </row>
        <row r="3053">
          <cell r="C3053" t="str">
            <v>INE194E01015</v>
          </cell>
          <cell r="D3053" t="str">
            <v>GARGFUR</v>
          </cell>
          <cell r="E3053">
            <v>84.986906071000007</v>
          </cell>
          <cell r="F3053" t="str">
            <v>-</v>
          </cell>
          <cell r="G3053" t="str">
            <v>-</v>
          </cell>
          <cell r="H3053" t="str">
            <v>-</v>
          </cell>
          <cell r="I3053" t="str">
            <v>-</v>
          </cell>
          <cell r="J3053">
            <v>84.986906071000007</v>
          </cell>
          <cell r="K3053" t="str">
            <v>Small Cap</v>
          </cell>
        </row>
        <row r="3054">
          <cell r="C3054" t="str">
            <v>INE117Z01011</v>
          </cell>
          <cell r="D3054" t="str">
            <v>NARMADA</v>
          </cell>
          <cell r="E3054">
            <v>85.091644039999991</v>
          </cell>
          <cell r="F3054" t="str">
            <v>NARMADA</v>
          </cell>
          <cell r="G3054">
            <v>84.855000000000004</v>
          </cell>
          <cell r="H3054" t="str">
            <v>-</v>
          </cell>
          <cell r="I3054" t="str">
            <v>-</v>
          </cell>
          <cell r="J3054">
            <v>84.973322019999998</v>
          </cell>
          <cell r="K3054" t="str">
            <v>Small Cap</v>
          </cell>
        </row>
        <row r="3055">
          <cell r="C3055" t="str">
            <v>INE1KH601014</v>
          </cell>
          <cell r="D3055" t="str">
            <v>MEHUL</v>
          </cell>
          <cell r="E3055">
            <v>84.867026800000005</v>
          </cell>
          <cell r="F3055" t="str">
            <v>-</v>
          </cell>
          <cell r="G3055" t="str">
            <v>-</v>
          </cell>
          <cell r="H3055" t="str">
            <v>-</v>
          </cell>
          <cell r="I3055" t="str">
            <v>-</v>
          </cell>
          <cell r="J3055">
            <v>84.867026800000005</v>
          </cell>
          <cell r="K3055" t="str">
            <v>Small Cap</v>
          </cell>
        </row>
        <row r="3056">
          <cell r="C3056" t="str">
            <v>INE258Z01013</v>
          </cell>
          <cell r="D3056" t="str">
            <v>HIRAUTO</v>
          </cell>
          <cell r="E3056">
            <v>84.581743313999993</v>
          </cell>
          <cell r="F3056" t="str">
            <v>-</v>
          </cell>
          <cell r="G3056" t="str">
            <v>-</v>
          </cell>
          <cell r="H3056" t="str">
            <v>-</v>
          </cell>
          <cell r="I3056" t="str">
            <v>-</v>
          </cell>
          <cell r="J3056">
            <v>84.581743313999993</v>
          </cell>
          <cell r="K3056" t="str">
            <v>Small Cap</v>
          </cell>
        </row>
        <row r="3057">
          <cell r="C3057" t="str">
            <v>INE472B01011</v>
          </cell>
          <cell r="D3057" t="str">
            <v>BLUECOAST</v>
          </cell>
          <cell r="E3057">
            <v>86.363975033000003</v>
          </cell>
          <cell r="F3057" t="str">
            <v>BLUECOAST</v>
          </cell>
          <cell r="G3057">
            <v>82.497399999999999</v>
          </cell>
          <cell r="H3057" t="str">
            <v>-</v>
          </cell>
          <cell r="I3057" t="str">
            <v>-</v>
          </cell>
          <cell r="J3057">
            <v>84.430687516500001</v>
          </cell>
          <cell r="K3057" t="str">
            <v>Small Cap</v>
          </cell>
        </row>
        <row r="3058">
          <cell r="C3058" t="str">
            <v>INE799N01012</v>
          </cell>
          <cell r="D3058" t="str">
            <v>WAA</v>
          </cell>
          <cell r="E3058">
            <v>84.403679026999995</v>
          </cell>
          <cell r="F3058" t="str">
            <v>-</v>
          </cell>
          <cell r="G3058" t="str">
            <v>-</v>
          </cell>
          <cell r="H3058" t="str">
            <v>-</v>
          </cell>
          <cell r="I3058" t="str">
            <v>-</v>
          </cell>
          <cell r="J3058">
            <v>84.403679026999995</v>
          </cell>
          <cell r="K3058" t="str">
            <v>Small Cap</v>
          </cell>
        </row>
        <row r="3059">
          <cell r="C3059" t="str">
            <v>INE111601014</v>
          </cell>
          <cell r="D3059" t="str">
            <v xml:space="preserve">ICODEX </v>
          </cell>
          <cell r="E3059">
            <v>84.347275652999997</v>
          </cell>
          <cell r="F3059" t="str">
            <v>-</v>
          </cell>
          <cell r="G3059" t="str">
            <v>-</v>
          </cell>
          <cell r="H3059" t="str">
            <v>-</v>
          </cell>
          <cell r="I3059" t="str">
            <v>-</v>
          </cell>
          <cell r="J3059">
            <v>84.347275652999997</v>
          </cell>
          <cell r="K3059" t="str">
            <v>Small Cap</v>
          </cell>
        </row>
        <row r="3060">
          <cell r="C3060" t="str">
            <v>INE710D01028</v>
          </cell>
          <cell r="D3060" t="str">
            <v>BNRSEC</v>
          </cell>
          <cell r="E3060">
            <v>84.263263889000001</v>
          </cell>
          <cell r="F3060" t="str">
            <v>-</v>
          </cell>
          <cell r="G3060" t="str">
            <v>-</v>
          </cell>
          <cell r="H3060" t="str">
            <v>-</v>
          </cell>
          <cell r="I3060" t="str">
            <v>-</v>
          </cell>
          <cell r="J3060">
            <v>84.263263889000001</v>
          </cell>
          <cell r="K3060" t="str">
            <v>Small Cap</v>
          </cell>
        </row>
        <row r="3061">
          <cell r="C3061" t="str">
            <v>INE902C01015</v>
          </cell>
          <cell r="D3061" t="str">
            <v>MORGAN</v>
          </cell>
          <cell r="E3061">
            <v>84.176904762000007</v>
          </cell>
          <cell r="F3061" t="str">
            <v>-</v>
          </cell>
          <cell r="G3061" t="str">
            <v>-</v>
          </cell>
          <cell r="H3061" t="str">
            <v>-</v>
          </cell>
          <cell r="I3061" t="str">
            <v>-</v>
          </cell>
          <cell r="J3061">
            <v>84.176904762000007</v>
          </cell>
          <cell r="K3061" t="str">
            <v>Small Cap</v>
          </cell>
        </row>
        <row r="3062">
          <cell r="C3062" t="str">
            <v>INE457N01025</v>
          </cell>
          <cell r="D3062" t="str">
            <v>YAMNINV</v>
          </cell>
          <cell r="E3062">
            <v>84.123525755999992</v>
          </cell>
          <cell r="F3062" t="str">
            <v>-</v>
          </cell>
          <cell r="G3062" t="str">
            <v>-</v>
          </cell>
          <cell r="H3062" t="str">
            <v>-</v>
          </cell>
          <cell r="I3062" t="str">
            <v>-</v>
          </cell>
          <cell r="J3062">
            <v>84.123525755999992</v>
          </cell>
          <cell r="K3062" t="str">
            <v>Small Cap</v>
          </cell>
        </row>
        <row r="3063">
          <cell r="C3063" t="str">
            <v>INE638B01025</v>
          </cell>
          <cell r="D3063" t="str">
            <v>HBPOR</v>
          </cell>
          <cell r="E3063">
            <v>83.899911266000004</v>
          </cell>
          <cell r="F3063" t="str">
            <v>-</v>
          </cell>
          <cell r="G3063" t="str">
            <v>-</v>
          </cell>
          <cell r="H3063" t="str">
            <v>-</v>
          </cell>
          <cell r="I3063" t="str">
            <v>-</v>
          </cell>
          <cell r="J3063">
            <v>83.899911266000004</v>
          </cell>
          <cell r="K3063" t="str">
            <v>Small Cap</v>
          </cell>
        </row>
        <row r="3064">
          <cell r="C3064" t="str">
            <v>INE804H01012</v>
          </cell>
          <cell r="D3064" t="str">
            <v>TFL</v>
          </cell>
          <cell r="E3064">
            <v>83.983951203000004</v>
          </cell>
          <cell r="F3064" t="str">
            <v>TFL</v>
          </cell>
          <cell r="G3064">
            <v>83.124200000000002</v>
          </cell>
          <cell r="H3064" t="str">
            <v>-</v>
          </cell>
          <cell r="I3064" t="str">
            <v>-</v>
          </cell>
          <cell r="J3064">
            <v>83.554075601500003</v>
          </cell>
          <cell r="K3064" t="str">
            <v>Small Cap</v>
          </cell>
        </row>
        <row r="3065">
          <cell r="C3065" t="str">
            <v>INE490A01015</v>
          </cell>
          <cell r="D3065" t="str">
            <v>CHOWGULSTM</v>
          </cell>
          <cell r="E3065">
            <v>83.391519200000005</v>
          </cell>
          <cell r="F3065" t="str">
            <v>-</v>
          </cell>
          <cell r="G3065" t="str">
            <v>-</v>
          </cell>
          <cell r="H3065" t="str">
            <v>-</v>
          </cell>
          <cell r="I3065" t="str">
            <v>-</v>
          </cell>
          <cell r="J3065">
            <v>83.391519200000005</v>
          </cell>
          <cell r="K3065" t="str">
            <v>Small Cap</v>
          </cell>
        </row>
        <row r="3066">
          <cell r="C3066" t="str">
            <v>INE716M01034</v>
          </cell>
          <cell r="D3066" t="str">
            <v>SWADEIN</v>
          </cell>
          <cell r="E3066">
            <v>83.035407500000005</v>
          </cell>
          <cell r="F3066" t="str">
            <v>-</v>
          </cell>
          <cell r="G3066" t="str">
            <v>-</v>
          </cell>
          <cell r="H3066" t="str">
            <v>-</v>
          </cell>
          <cell r="I3066" t="str">
            <v>-</v>
          </cell>
          <cell r="J3066">
            <v>83.035407500000005</v>
          </cell>
          <cell r="K3066" t="str">
            <v>Small Cap</v>
          </cell>
        </row>
        <row r="3067">
          <cell r="C3067" t="str">
            <v>INE040C01022</v>
          </cell>
          <cell r="D3067" t="str">
            <v>CALSREF</v>
          </cell>
          <cell r="E3067">
            <v>82.939631000000006</v>
          </cell>
          <cell r="F3067" t="str">
            <v>-</v>
          </cell>
          <cell r="G3067" t="str">
            <v>-</v>
          </cell>
          <cell r="H3067" t="str">
            <v>-</v>
          </cell>
          <cell r="I3067" t="str">
            <v>-</v>
          </cell>
          <cell r="J3067">
            <v>82.939631000000006</v>
          </cell>
          <cell r="K3067" t="str">
            <v>Small Cap</v>
          </cell>
        </row>
        <row r="3068">
          <cell r="C3068" t="str">
            <v>INE172F01018</v>
          </cell>
          <cell r="D3068" t="str">
            <v>-</v>
          </cell>
          <cell r="E3068" t="str">
            <v>-</v>
          </cell>
          <cell r="F3068" t="str">
            <v>-</v>
          </cell>
          <cell r="G3068" t="str">
            <v>-</v>
          </cell>
          <cell r="H3068" t="str">
            <v>AASHRIT</v>
          </cell>
          <cell r="I3068">
            <v>82.898796000000033</v>
          </cell>
          <cell r="J3068">
            <v>82.898796000000033</v>
          </cell>
          <cell r="K3068" t="str">
            <v>Small Cap</v>
          </cell>
        </row>
        <row r="3069">
          <cell r="C3069" t="str">
            <v>INE580C01019</v>
          </cell>
          <cell r="D3069" t="str">
            <v>STARLOG</v>
          </cell>
          <cell r="E3069">
            <v>82.887756858000003</v>
          </cell>
          <cell r="F3069" t="str">
            <v>-</v>
          </cell>
          <cell r="G3069" t="str">
            <v>-</v>
          </cell>
          <cell r="H3069" t="str">
            <v>-</v>
          </cell>
          <cell r="I3069" t="str">
            <v>-</v>
          </cell>
          <cell r="J3069">
            <v>82.887756858000003</v>
          </cell>
          <cell r="K3069" t="str">
            <v>Small Cap</v>
          </cell>
        </row>
        <row r="3070">
          <cell r="C3070" t="str">
            <v>INE618A01011</v>
          </cell>
          <cell r="D3070" t="str">
            <v>ROYALCU</v>
          </cell>
          <cell r="E3070">
            <v>82.865316429999993</v>
          </cell>
          <cell r="F3070" t="str">
            <v>-</v>
          </cell>
          <cell r="G3070" t="str">
            <v>-</v>
          </cell>
          <cell r="H3070" t="str">
            <v>-</v>
          </cell>
          <cell r="I3070" t="str">
            <v>-</v>
          </cell>
          <cell r="J3070">
            <v>82.865316429999993</v>
          </cell>
          <cell r="K3070" t="str">
            <v>Small Cap</v>
          </cell>
        </row>
        <row r="3071">
          <cell r="C3071" t="str">
            <v>INE060D01028</v>
          </cell>
          <cell r="D3071" t="str">
            <v>NARMP</v>
          </cell>
          <cell r="E3071">
            <v>82.82235507899999</v>
          </cell>
          <cell r="F3071" t="str">
            <v>-</v>
          </cell>
          <cell r="G3071" t="str">
            <v>-</v>
          </cell>
          <cell r="H3071" t="str">
            <v>-</v>
          </cell>
          <cell r="I3071" t="str">
            <v>-</v>
          </cell>
          <cell r="J3071">
            <v>82.82235507899999</v>
          </cell>
          <cell r="K3071" t="str">
            <v>Small Cap</v>
          </cell>
        </row>
        <row r="3072">
          <cell r="C3072" t="str">
            <v>INE449G01018</v>
          </cell>
          <cell r="D3072" t="str">
            <v>AGRITECH</v>
          </cell>
          <cell r="E3072">
            <v>82.801478571000004</v>
          </cell>
          <cell r="F3072" t="str">
            <v>AGRITECH</v>
          </cell>
          <cell r="G3072">
            <v>82.832300000000004</v>
          </cell>
          <cell r="H3072" t="str">
            <v>-</v>
          </cell>
          <cell r="I3072" t="str">
            <v>-</v>
          </cell>
          <cell r="J3072">
            <v>82.816889285499997</v>
          </cell>
          <cell r="K3072" t="str">
            <v>Small Cap</v>
          </cell>
        </row>
        <row r="3073">
          <cell r="C3073" t="str">
            <v>INE0QUL01011</v>
          </cell>
          <cell r="D3073" t="str">
            <v>NEXXUS</v>
          </cell>
          <cell r="E3073">
            <v>82.750028189999995</v>
          </cell>
          <cell r="F3073" t="str">
            <v>-</v>
          </cell>
          <cell r="G3073" t="str">
            <v>-</v>
          </cell>
          <cell r="H3073" t="str">
            <v>-</v>
          </cell>
          <cell r="I3073" t="str">
            <v>-</v>
          </cell>
          <cell r="J3073">
            <v>82.750028189999995</v>
          </cell>
          <cell r="K3073" t="str">
            <v>Small Cap</v>
          </cell>
        </row>
        <row r="3074">
          <cell r="C3074" t="str">
            <v>INE791A01024</v>
          </cell>
          <cell r="D3074" t="str">
            <v>BLBLIMITED</v>
          </cell>
          <cell r="E3074">
            <v>82.761820096000008</v>
          </cell>
          <cell r="F3074" t="str">
            <v>BLBLIMITED</v>
          </cell>
          <cell r="G3074">
            <v>82.581000000000003</v>
          </cell>
          <cell r="H3074" t="str">
            <v>-</v>
          </cell>
          <cell r="I3074" t="str">
            <v>-</v>
          </cell>
          <cell r="J3074">
            <v>82.671410048000013</v>
          </cell>
          <cell r="K3074" t="str">
            <v>Small Cap</v>
          </cell>
        </row>
        <row r="3075">
          <cell r="C3075" t="str">
            <v>INE571U01010</v>
          </cell>
          <cell r="D3075" t="str">
            <v>YASHCHEM</v>
          </cell>
          <cell r="E3075">
            <v>82.573793567999999</v>
          </cell>
          <cell r="F3075" t="str">
            <v>-</v>
          </cell>
          <cell r="G3075" t="str">
            <v>-</v>
          </cell>
          <cell r="H3075" t="str">
            <v>-</v>
          </cell>
          <cell r="I3075" t="str">
            <v>-</v>
          </cell>
          <cell r="J3075">
            <v>82.573793567999999</v>
          </cell>
          <cell r="K3075" t="str">
            <v>Small Cap</v>
          </cell>
        </row>
        <row r="3076">
          <cell r="C3076" t="str">
            <v>INE0SJX01015</v>
          </cell>
          <cell r="D3076" t="str">
            <v>APL</v>
          </cell>
          <cell r="E3076">
            <v>82.509935377000005</v>
          </cell>
          <cell r="F3076" t="str">
            <v>-</v>
          </cell>
          <cell r="G3076" t="str">
            <v>-</v>
          </cell>
          <cell r="H3076" t="str">
            <v>-</v>
          </cell>
          <cell r="I3076" t="str">
            <v>-</v>
          </cell>
          <cell r="J3076">
            <v>82.509935377000005</v>
          </cell>
          <cell r="K3076" t="str">
            <v>Small Cap</v>
          </cell>
        </row>
        <row r="3077">
          <cell r="C3077" t="str">
            <v>INE170D01025</v>
          </cell>
          <cell r="D3077" t="str">
            <v>APMIN</v>
          </cell>
          <cell r="E3077">
            <v>82.452483962000002</v>
          </cell>
          <cell r="F3077" t="str">
            <v>-</v>
          </cell>
          <cell r="G3077" t="str">
            <v>-</v>
          </cell>
          <cell r="H3077" t="str">
            <v>-</v>
          </cell>
          <cell r="I3077" t="str">
            <v>-</v>
          </cell>
          <cell r="J3077">
            <v>82.452483962000002</v>
          </cell>
          <cell r="K3077" t="str">
            <v>Small Cap</v>
          </cell>
        </row>
        <row r="3078">
          <cell r="C3078" t="str">
            <v>INE655B01011</v>
          </cell>
          <cell r="D3078" t="str">
            <v>BANARBEADS</v>
          </cell>
          <cell r="E3078">
            <v>82.450897544</v>
          </cell>
          <cell r="F3078" t="str">
            <v>BANARBEADS</v>
          </cell>
          <cell r="G3078">
            <v>82.411900000000003</v>
          </cell>
          <cell r="H3078" t="str">
            <v>-</v>
          </cell>
          <cell r="I3078" t="str">
            <v>-</v>
          </cell>
          <cell r="J3078">
            <v>82.431398771999994</v>
          </cell>
          <cell r="K3078" t="str">
            <v>Small Cap</v>
          </cell>
        </row>
        <row r="3079">
          <cell r="C3079" t="str">
            <v>INE277T01024</v>
          </cell>
          <cell r="D3079" t="str">
            <v>SEACOAST</v>
          </cell>
          <cell r="E3079">
            <v>82.272681904999999</v>
          </cell>
          <cell r="F3079" t="str">
            <v>-</v>
          </cell>
          <cell r="G3079" t="str">
            <v>-</v>
          </cell>
          <cell r="H3079" t="str">
            <v>-</v>
          </cell>
          <cell r="I3079" t="str">
            <v>-</v>
          </cell>
          <cell r="J3079">
            <v>82.272681904999999</v>
          </cell>
          <cell r="K3079" t="str">
            <v>Small Cap</v>
          </cell>
        </row>
        <row r="3080">
          <cell r="C3080" t="str">
            <v>INE0NIJ01017</v>
          </cell>
          <cell r="D3080" t="str">
            <v>DEVLAB</v>
          </cell>
          <cell r="E3080">
            <v>81.953057571000002</v>
          </cell>
          <cell r="F3080" t="str">
            <v>-</v>
          </cell>
          <cell r="G3080" t="str">
            <v>-</v>
          </cell>
          <cell r="H3080" t="str">
            <v>-</v>
          </cell>
          <cell r="I3080" t="str">
            <v>-</v>
          </cell>
          <cell r="J3080">
            <v>81.953057571000002</v>
          </cell>
          <cell r="K3080" t="str">
            <v>Small Cap</v>
          </cell>
        </row>
        <row r="3081">
          <cell r="C3081" t="str">
            <v>INE510H01015</v>
          </cell>
          <cell r="D3081" t="str">
            <v>ROYALIND</v>
          </cell>
          <cell r="E3081">
            <v>81.950624364999996</v>
          </cell>
          <cell r="F3081" t="str">
            <v>-</v>
          </cell>
          <cell r="G3081" t="str">
            <v>-</v>
          </cell>
          <cell r="H3081" t="str">
            <v>-</v>
          </cell>
          <cell r="I3081" t="str">
            <v>-</v>
          </cell>
          <cell r="J3081">
            <v>81.950624364999996</v>
          </cell>
          <cell r="K3081" t="str">
            <v>Small Cap</v>
          </cell>
        </row>
        <row r="3082">
          <cell r="C3082" t="str">
            <v>INE740V01019</v>
          </cell>
          <cell r="D3082" t="str">
            <v>-</v>
          </cell>
          <cell r="E3082" t="str">
            <v>-</v>
          </cell>
          <cell r="F3082" t="str">
            <v>AGROPHOS</v>
          </cell>
          <cell r="G3082">
            <v>81.941900000000004</v>
          </cell>
          <cell r="H3082" t="str">
            <v>-</v>
          </cell>
          <cell r="I3082" t="str">
            <v>-</v>
          </cell>
          <cell r="J3082">
            <v>81.941900000000004</v>
          </cell>
          <cell r="K3082" t="str">
            <v>Small Cap</v>
          </cell>
        </row>
        <row r="3083">
          <cell r="C3083" t="str">
            <v>INE0KR801019</v>
          </cell>
          <cell r="D3083" t="str">
            <v>JAYANT</v>
          </cell>
          <cell r="E3083">
            <v>81.865237182000001</v>
          </cell>
          <cell r="F3083" t="str">
            <v>-</v>
          </cell>
          <cell r="G3083" t="str">
            <v>-</v>
          </cell>
          <cell r="H3083" t="str">
            <v>-</v>
          </cell>
          <cell r="I3083" t="str">
            <v>-</v>
          </cell>
          <cell r="J3083">
            <v>81.865237182000001</v>
          </cell>
          <cell r="K3083" t="str">
            <v>Small Cap</v>
          </cell>
        </row>
        <row r="3084">
          <cell r="C3084" t="str">
            <v>INE0KA601012</v>
          </cell>
          <cell r="D3084" t="str">
            <v>ALKOSIGN</v>
          </cell>
          <cell r="E3084">
            <v>81.84841462</v>
          </cell>
          <cell r="F3084" t="str">
            <v>-</v>
          </cell>
          <cell r="G3084" t="str">
            <v>-</v>
          </cell>
          <cell r="H3084" t="str">
            <v>-</v>
          </cell>
          <cell r="I3084" t="str">
            <v>-</v>
          </cell>
          <cell r="J3084">
            <v>81.84841462</v>
          </cell>
          <cell r="K3084" t="str">
            <v>Small Cap</v>
          </cell>
        </row>
        <row r="3085">
          <cell r="C3085" t="str">
            <v>INE359B01010</v>
          </cell>
          <cell r="D3085" t="str">
            <v>VEDAVAAG</v>
          </cell>
          <cell r="E3085">
            <v>81.823143084999998</v>
          </cell>
          <cell r="F3085" t="str">
            <v>-</v>
          </cell>
          <cell r="G3085" t="str">
            <v>-</v>
          </cell>
          <cell r="H3085" t="str">
            <v>-</v>
          </cell>
          <cell r="I3085" t="str">
            <v>-</v>
          </cell>
          <cell r="J3085">
            <v>81.823143084999998</v>
          </cell>
          <cell r="K3085" t="str">
            <v>Small Cap</v>
          </cell>
        </row>
        <row r="3086">
          <cell r="C3086" t="str">
            <v>INE060T01024</v>
          </cell>
          <cell r="D3086" t="str">
            <v>VISHALBL</v>
          </cell>
          <cell r="E3086">
            <v>81.807941286000002</v>
          </cell>
          <cell r="F3086" t="str">
            <v>-</v>
          </cell>
          <cell r="G3086" t="str">
            <v>-</v>
          </cell>
          <cell r="H3086" t="str">
            <v>-</v>
          </cell>
          <cell r="I3086" t="str">
            <v>-</v>
          </cell>
          <cell r="J3086">
            <v>81.807941286000002</v>
          </cell>
          <cell r="K3086" t="str">
            <v>Small Cap</v>
          </cell>
        </row>
        <row r="3087">
          <cell r="C3087" t="str">
            <v>INE363L01045</v>
          </cell>
          <cell r="D3087" t="str">
            <v>SYNTHFO</v>
          </cell>
          <cell r="E3087">
            <v>81.806479761999995</v>
          </cell>
          <cell r="F3087" t="str">
            <v>-</v>
          </cell>
          <cell r="G3087" t="str">
            <v>-</v>
          </cell>
          <cell r="H3087" t="str">
            <v>-</v>
          </cell>
          <cell r="I3087" t="str">
            <v>-</v>
          </cell>
          <cell r="J3087">
            <v>81.806479761999995</v>
          </cell>
          <cell r="K3087" t="str">
            <v>Small Cap</v>
          </cell>
        </row>
        <row r="3088">
          <cell r="C3088" t="str">
            <v>INE416N01013</v>
          </cell>
          <cell r="D3088" t="str">
            <v>NILACHAL</v>
          </cell>
          <cell r="E3088">
            <v>81.763341660999998</v>
          </cell>
          <cell r="F3088" t="str">
            <v>-</v>
          </cell>
          <cell r="G3088" t="str">
            <v>-</v>
          </cell>
          <cell r="H3088" t="str">
            <v>-</v>
          </cell>
          <cell r="I3088" t="str">
            <v>-</v>
          </cell>
          <cell r="J3088">
            <v>81.763341660999998</v>
          </cell>
          <cell r="K3088" t="str">
            <v>Small Cap</v>
          </cell>
        </row>
        <row r="3089">
          <cell r="C3089" t="str">
            <v>INE195E01020</v>
          </cell>
          <cell r="D3089" t="str">
            <v>DHANSAFAL</v>
          </cell>
          <cell r="E3089">
            <v>81.585175316999994</v>
          </cell>
          <cell r="F3089" t="str">
            <v>-</v>
          </cell>
          <cell r="G3089" t="str">
            <v>-</v>
          </cell>
          <cell r="H3089" t="str">
            <v>-</v>
          </cell>
          <cell r="I3089" t="str">
            <v>-</v>
          </cell>
          <cell r="J3089">
            <v>81.585175316999994</v>
          </cell>
          <cell r="K3089" t="str">
            <v>Small Cap</v>
          </cell>
        </row>
        <row r="3090">
          <cell r="C3090" t="str">
            <v>INE402Y01028</v>
          </cell>
          <cell r="D3090" t="str">
            <v>STL</v>
          </cell>
          <cell r="E3090">
            <v>81.486934155</v>
          </cell>
          <cell r="F3090" t="str">
            <v>-</v>
          </cell>
          <cell r="G3090" t="str">
            <v>-</v>
          </cell>
          <cell r="H3090" t="str">
            <v>-</v>
          </cell>
          <cell r="I3090" t="str">
            <v>-</v>
          </cell>
          <cell r="J3090">
            <v>81.486934155</v>
          </cell>
          <cell r="K3090" t="str">
            <v>Small Cap</v>
          </cell>
        </row>
        <row r="3091">
          <cell r="C3091" t="str">
            <v>INE0YON01014</v>
          </cell>
          <cell r="D3091" t="str">
            <v>MALPANI</v>
          </cell>
          <cell r="E3091">
            <v>81.430513214000001</v>
          </cell>
          <cell r="F3091" t="str">
            <v>-</v>
          </cell>
          <cell r="G3091" t="str">
            <v>-</v>
          </cell>
          <cell r="H3091" t="str">
            <v>-</v>
          </cell>
          <cell r="I3091" t="str">
            <v>-</v>
          </cell>
          <cell r="J3091">
            <v>81.430513214000001</v>
          </cell>
          <cell r="K3091" t="str">
            <v>Small Cap</v>
          </cell>
        </row>
        <row r="3092">
          <cell r="C3092" t="str">
            <v>INE391C01011</v>
          </cell>
          <cell r="D3092" t="str">
            <v>WINSOMBR</v>
          </cell>
          <cell r="E3092">
            <v>81.372258549999998</v>
          </cell>
          <cell r="F3092" t="str">
            <v>-</v>
          </cell>
          <cell r="G3092" t="str">
            <v>-</v>
          </cell>
          <cell r="H3092" t="str">
            <v>-</v>
          </cell>
          <cell r="I3092" t="str">
            <v>-</v>
          </cell>
          <cell r="J3092">
            <v>81.372258549999998</v>
          </cell>
          <cell r="K3092" t="str">
            <v>Small Cap</v>
          </cell>
        </row>
        <row r="3093">
          <cell r="C3093" t="str">
            <v>INE224E01028</v>
          </cell>
          <cell r="D3093" t="str">
            <v>GATECH</v>
          </cell>
          <cell r="E3093">
            <v>82.256279729999989</v>
          </cell>
          <cell r="F3093" t="str">
            <v>GATECH</v>
          </cell>
          <cell r="G3093">
            <v>80.273899999999998</v>
          </cell>
          <cell r="H3093" t="str">
            <v>-</v>
          </cell>
          <cell r="I3093" t="str">
            <v>-</v>
          </cell>
          <cell r="J3093">
            <v>81.265089864999993</v>
          </cell>
          <cell r="K3093" t="str">
            <v>Small Cap</v>
          </cell>
        </row>
        <row r="3094">
          <cell r="C3094" t="str">
            <v>INE15WN01014</v>
          </cell>
          <cell r="D3094" t="str">
            <v>REPONO</v>
          </cell>
          <cell r="E3094">
            <v>81.233998188000001</v>
          </cell>
          <cell r="F3094" t="str">
            <v>-</v>
          </cell>
          <cell r="G3094" t="str">
            <v>-</v>
          </cell>
          <cell r="H3094" t="str">
            <v>-</v>
          </cell>
          <cell r="I3094" t="str">
            <v>-</v>
          </cell>
          <cell r="J3094">
            <v>81.233998188000001</v>
          </cell>
          <cell r="K3094" t="str">
            <v>Small Cap</v>
          </cell>
        </row>
        <row r="3095">
          <cell r="C3095" t="str">
            <v>INE709B01016</v>
          </cell>
          <cell r="D3095" t="str">
            <v>SKPSEC</v>
          </cell>
          <cell r="E3095">
            <v>81.160625809999999</v>
          </cell>
          <cell r="F3095" t="str">
            <v>-</v>
          </cell>
          <cell r="G3095" t="str">
            <v>-</v>
          </cell>
          <cell r="H3095" t="str">
            <v>-</v>
          </cell>
          <cell r="I3095" t="str">
            <v>-</v>
          </cell>
          <cell r="J3095">
            <v>81.160625809999999</v>
          </cell>
          <cell r="K3095" t="str">
            <v>Small Cap</v>
          </cell>
        </row>
        <row r="3096">
          <cell r="C3096" t="str">
            <v>INE325X01015</v>
          </cell>
          <cell r="D3096" t="str">
            <v>RIDDHICORP</v>
          </cell>
          <cell r="E3096">
            <v>81.015255539999998</v>
          </cell>
          <cell r="F3096" t="str">
            <v>-</v>
          </cell>
          <cell r="G3096" t="str">
            <v>-</v>
          </cell>
          <cell r="H3096" t="str">
            <v>-</v>
          </cell>
          <cell r="I3096" t="str">
            <v>-</v>
          </cell>
          <cell r="J3096">
            <v>81.015255539999998</v>
          </cell>
          <cell r="K3096" t="str">
            <v>Small Cap</v>
          </cell>
        </row>
        <row r="3097">
          <cell r="C3097" t="str">
            <v>INE184B01012</v>
          </cell>
          <cell r="D3097" t="str">
            <v>SAGARSOFT</v>
          </cell>
          <cell r="E3097">
            <v>80.749692874999994</v>
          </cell>
          <cell r="F3097" t="str">
            <v>-</v>
          </cell>
          <cell r="G3097" t="str">
            <v>-</v>
          </cell>
          <cell r="H3097" t="str">
            <v>-</v>
          </cell>
          <cell r="I3097" t="str">
            <v>-</v>
          </cell>
          <cell r="J3097">
            <v>80.749692874999994</v>
          </cell>
          <cell r="K3097" t="str">
            <v>Small Cap</v>
          </cell>
        </row>
        <row r="3098">
          <cell r="C3098" t="str">
            <v>INE987A01010</v>
          </cell>
          <cell r="D3098" t="str">
            <v>MAKERSL</v>
          </cell>
          <cell r="E3098">
            <v>80.696773334</v>
          </cell>
          <cell r="F3098" t="str">
            <v>-</v>
          </cell>
          <cell r="G3098" t="str">
            <v>-</v>
          </cell>
          <cell r="H3098" t="str">
            <v>-</v>
          </cell>
          <cell r="I3098" t="str">
            <v>-</v>
          </cell>
          <cell r="J3098">
            <v>80.696773334</v>
          </cell>
          <cell r="K3098" t="str">
            <v>Small Cap</v>
          </cell>
        </row>
        <row r="3099">
          <cell r="C3099" t="str">
            <v>INE932K01015</v>
          </cell>
          <cell r="D3099" t="str">
            <v>VMS</v>
          </cell>
          <cell r="E3099">
            <v>80.679641164000003</v>
          </cell>
          <cell r="F3099" t="str">
            <v>-</v>
          </cell>
          <cell r="G3099" t="str">
            <v>-</v>
          </cell>
          <cell r="H3099" t="str">
            <v>-</v>
          </cell>
          <cell r="I3099" t="str">
            <v>-</v>
          </cell>
          <cell r="J3099">
            <v>80.679641164000003</v>
          </cell>
          <cell r="K3099" t="str">
            <v>Small Cap</v>
          </cell>
        </row>
        <row r="3100">
          <cell r="C3100" t="str">
            <v>INE0QU501030</v>
          </cell>
          <cell r="D3100" t="str">
            <v>SODHACAP</v>
          </cell>
          <cell r="E3100">
            <v>80.568878108000007</v>
          </cell>
          <cell r="F3100" t="str">
            <v>-</v>
          </cell>
          <cell r="G3100" t="str">
            <v>-</v>
          </cell>
          <cell r="H3100" t="str">
            <v>-</v>
          </cell>
          <cell r="I3100" t="str">
            <v>-</v>
          </cell>
          <cell r="J3100">
            <v>80.568878108000007</v>
          </cell>
          <cell r="K3100" t="str">
            <v>Small Cap</v>
          </cell>
        </row>
        <row r="3101">
          <cell r="C3101" t="str">
            <v>INE497D01022</v>
          </cell>
          <cell r="D3101" t="str">
            <v>DAMODARIND</v>
          </cell>
          <cell r="E3101">
            <v>80.463221429000001</v>
          </cell>
          <cell r="F3101" t="str">
            <v>DAMODARIND</v>
          </cell>
          <cell r="G3101">
            <v>80.460999999999999</v>
          </cell>
          <cell r="H3101" t="str">
            <v>-</v>
          </cell>
          <cell r="I3101" t="str">
            <v>-</v>
          </cell>
          <cell r="J3101">
            <v>80.4621107145</v>
          </cell>
          <cell r="K3101" t="str">
            <v>Small Cap</v>
          </cell>
        </row>
        <row r="3102">
          <cell r="C3102" t="str">
            <v>INE762C01021</v>
          </cell>
          <cell r="D3102" t="str">
            <v>AMRAPLIN</v>
          </cell>
          <cell r="E3102">
            <v>79.813676549000007</v>
          </cell>
          <cell r="F3102" t="str">
            <v>-</v>
          </cell>
          <cell r="G3102" t="str">
            <v>-</v>
          </cell>
          <cell r="H3102" t="str">
            <v>-</v>
          </cell>
          <cell r="I3102" t="str">
            <v>-</v>
          </cell>
          <cell r="J3102">
            <v>79.813676549000007</v>
          </cell>
          <cell r="K3102" t="str">
            <v>Small Cap</v>
          </cell>
        </row>
        <row r="3103">
          <cell r="C3103" t="str">
            <v>INE622E01023</v>
          </cell>
          <cell r="D3103" t="str">
            <v>GAYATRI</v>
          </cell>
          <cell r="E3103">
            <v>79.583003149999996</v>
          </cell>
          <cell r="F3103" t="str">
            <v>-</v>
          </cell>
          <cell r="G3103" t="str">
            <v>-</v>
          </cell>
          <cell r="H3103" t="str">
            <v>-</v>
          </cell>
          <cell r="I3103" t="str">
            <v>-</v>
          </cell>
          <cell r="J3103">
            <v>79.583003149999996</v>
          </cell>
          <cell r="K3103" t="str">
            <v>Small Cap</v>
          </cell>
        </row>
        <row r="3104">
          <cell r="C3104" t="str">
            <v>INE549D01012</v>
          </cell>
          <cell r="D3104" t="str">
            <v>WSFX</v>
          </cell>
          <cell r="E3104">
            <v>79.350997238000005</v>
          </cell>
          <cell r="F3104" t="str">
            <v>-</v>
          </cell>
          <cell r="G3104" t="str">
            <v>-</v>
          </cell>
          <cell r="H3104" t="str">
            <v>-</v>
          </cell>
          <cell r="I3104" t="str">
            <v>-</v>
          </cell>
          <cell r="J3104">
            <v>79.350997238000005</v>
          </cell>
          <cell r="K3104" t="str">
            <v>Small Cap</v>
          </cell>
        </row>
        <row r="3105">
          <cell r="C3105" t="str">
            <v>INE333Y01017</v>
          </cell>
          <cell r="D3105" t="str">
            <v>MRCAGRO</v>
          </cell>
          <cell r="E3105">
            <v>79.311603351999992</v>
          </cell>
          <cell r="F3105" t="str">
            <v>-</v>
          </cell>
          <cell r="G3105" t="str">
            <v>-</v>
          </cell>
          <cell r="H3105" t="str">
            <v>-</v>
          </cell>
          <cell r="I3105" t="str">
            <v>-</v>
          </cell>
          <cell r="J3105">
            <v>79.311603351999992</v>
          </cell>
          <cell r="K3105" t="str">
            <v>Small Cap</v>
          </cell>
        </row>
        <row r="3106">
          <cell r="C3106" t="str">
            <v>INE781B01015</v>
          </cell>
          <cell r="D3106" t="str">
            <v>NOIDATOLL</v>
          </cell>
          <cell r="E3106">
            <v>79.32793728099999</v>
          </cell>
          <cell r="F3106" t="str">
            <v>NOIDATOLL</v>
          </cell>
          <cell r="G3106">
            <v>79.163899999999998</v>
          </cell>
          <cell r="H3106" t="str">
            <v>-</v>
          </cell>
          <cell r="I3106" t="str">
            <v>-</v>
          </cell>
          <cell r="J3106">
            <v>79.245918640499994</v>
          </cell>
          <cell r="K3106" t="str">
            <v>Small Cap</v>
          </cell>
        </row>
        <row r="3107">
          <cell r="C3107" t="str">
            <v>INE970C01012</v>
          </cell>
          <cell r="D3107" t="str">
            <v>SKPMIL</v>
          </cell>
          <cell r="E3107">
            <v>79.197102178999998</v>
          </cell>
          <cell r="F3107" t="str">
            <v>-</v>
          </cell>
          <cell r="G3107" t="str">
            <v>-</v>
          </cell>
          <cell r="H3107" t="str">
            <v>-</v>
          </cell>
          <cell r="I3107" t="str">
            <v>-</v>
          </cell>
          <cell r="J3107">
            <v>79.197102178999998</v>
          </cell>
          <cell r="K3107" t="str">
            <v>Small Cap</v>
          </cell>
        </row>
        <row r="3108">
          <cell r="C3108" t="str">
            <v>INE521L01030</v>
          </cell>
          <cell r="D3108" t="str">
            <v>BANASFN</v>
          </cell>
          <cell r="E3108">
            <v>79.171733320000001</v>
          </cell>
          <cell r="F3108" t="str">
            <v>-</v>
          </cell>
          <cell r="G3108" t="str">
            <v>-</v>
          </cell>
          <cell r="H3108" t="str">
            <v>-</v>
          </cell>
          <cell r="I3108" t="str">
            <v>-</v>
          </cell>
          <cell r="J3108">
            <v>79.171733320000001</v>
          </cell>
          <cell r="K3108" t="str">
            <v>Small Cap</v>
          </cell>
        </row>
        <row r="3109">
          <cell r="C3109" t="str">
            <v>INE811H01017</v>
          </cell>
          <cell r="D3109" t="str">
            <v>RIBATEX</v>
          </cell>
          <cell r="E3109">
            <v>79.156521792999996</v>
          </cell>
          <cell r="F3109" t="str">
            <v>-</v>
          </cell>
          <cell r="G3109" t="str">
            <v>-</v>
          </cell>
          <cell r="H3109" t="str">
            <v>-</v>
          </cell>
          <cell r="I3109" t="str">
            <v>-</v>
          </cell>
          <cell r="J3109">
            <v>79.156521792999996</v>
          </cell>
          <cell r="K3109" t="str">
            <v>Small Cap</v>
          </cell>
        </row>
        <row r="3110">
          <cell r="C3110" t="str">
            <v>INE148B01033</v>
          </cell>
          <cell r="D3110" t="str">
            <v>MENAMANI</v>
          </cell>
          <cell r="E3110">
            <v>79.029625862000003</v>
          </cell>
          <cell r="F3110" t="str">
            <v>-</v>
          </cell>
          <cell r="G3110" t="str">
            <v>-</v>
          </cell>
          <cell r="H3110" t="str">
            <v>-</v>
          </cell>
          <cell r="I3110" t="str">
            <v>-</v>
          </cell>
          <cell r="J3110">
            <v>79.029625862000003</v>
          </cell>
          <cell r="K3110" t="str">
            <v>Small Cap</v>
          </cell>
        </row>
        <row r="3111">
          <cell r="C3111" t="str">
            <v>INE0LY301010</v>
          </cell>
          <cell r="D3111" t="str">
            <v>SSL</v>
          </cell>
          <cell r="E3111">
            <v>78.850019039999992</v>
          </cell>
          <cell r="F3111" t="str">
            <v>-</v>
          </cell>
          <cell r="G3111" t="str">
            <v>-</v>
          </cell>
          <cell r="H3111" t="str">
            <v>-</v>
          </cell>
          <cell r="I3111" t="str">
            <v>-</v>
          </cell>
          <cell r="J3111">
            <v>78.850019039999992</v>
          </cell>
          <cell r="K3111" t="str">
            <v>Small Cap</v>
          </cell>
        </row>
        <row r="3112">
          <cell r="C3112" t="str">
            <v>INE589J01015</v>
          </cell>
          <cell r="D3112" t="str">
            <v>SANTETX</v>
          </cell>
          <cell r="E3112">
            <v>78.842852777999994</v>
          </cell>
          <cell r="F3112" t="str">
            <v>-</v>
          </cell>
          <cell r="G3112" t="str">
            <v>-</v>
          </cell>
          <cell r="H3112" t="str">
            <v>-</v>
          </cell>
          <cell r="I3112" t="str">
            <v>-</v>
          </cell>
          <cell r="J3112">
            <v>78.842852777999994</v>
          </cell>
          <cell r="K3112" t="str">
            <v>Small Cap</v>
          </cell>
        </row>
        <row r="3113">
          <cell r="C3113" t="str">
            <v>INE537B01011</v>
          </cell>
          <cell r="D3113" t="str">
            <v>CONSTRONIC</v>
          </cell>
          <cell r="E3113">
            <v>78.684465653999993</v>
          </cell>
          <cell r="F3113" t="str">
            <v>-</v>
          </cell>
          <cell r="G3113" t="str">
            <v>-</v>
          </cell>
          <cell r="H3113" t="str">
            <v>-</v>
          </cell>
          <cell r="I3113" t="str">
            <v>-</v>
          </cell>
          <cell r="J3113">
            <v>78.684465653999993</v>
          </cell>
          <cell r="K3113" t="str">
            <v>Small Cap</v>
          </cell>
        </row>
        <row r="3114">
          <cell r="C3114" t="str">
            <v>INE105C01023</v>
          </cell>
          <cell r="D3114" t="str">
            <v>3PLAND</v>
          </cell>
          <cell r="E3114">
            <v>78.636571429</v>
          </cell>
          <cell r="F3114" t="str">
            <v>3PLAND</v>
          </cell>
          <cell r="G3114">
            <v>78.628699999999995</v>
          </cell>
          <cell r="H3114" t="str">
            <v>-</v>
          </cell>
          <cell r="I3114" t="str">
            <v>-</v>
          </cell>
          <cell r="J3114">
            <v>78.632635714499997</v>
          </cell>
          <cell r="K3114" t="str">
            <v>Small Cap</v>
          </cell>
        </row>
        <row r="3115">
          <cell r="C3115" t="str">
            <v>INE991B01010</v>
          </cell>
          <cell r="D3115" t="str">
            <v>KFBL</v>
          </cell>
          <cell r="E3115">
            <v>78.576666666999998</v>
          </cell>
          <cell r="F3115" t="str">
            <v>-</v>
          </cell>
          <cell r="G3115" t="str">
            <v>-</v>
          </cell>
          <cell r="H3115" t="str">
            <v>-</v>
          </cell>
          <cell r="I3115" t="str">
            <v>-</v>
          </cell>
          <cell r="J3115">
            <v>78.576666666999998</v>
          </cell>
          <cell r="K3115" t="str">
            <v>Small Cap</v>
          </cell>
        </row>
        <row r="3116">
          <cell r="C3116" t="str">
            <v>INE661M01016</v>
          </cell>
          <cell r="D3116" t="str">
            <v>INTRGLB</v>
          </cell>
          <cell r="E3116">
            <v>78.442998121000002</v>
          </cell>
          <cell r="F3116" t="str">
            <v>-</v>
          </cell>
          <cell r="G3116" t="str">
            <v>-</v>
          </cell>
          <cell r="H3116" t="str">
            <v>-</v>
          </cell>
          <cell r="I3116" t="str">
            <v>-</v>
          </cell>
          <cell r="J3116">
            <v>78.442998121000002</v>
          </cell>
          <cell r="K3116" t="str">
            <v>Small Cap</v>
          </cell>
        </row>
        <row r="3117">
          <cell r="C3117" t="str">
            <v>INE650K01021</v>
          </cell>
          <cell r="D3117" t="str">
            <v>SECURKLOUD</v>
          </cell>
          <cell r="E3117">
            <v>78.466661986999995</v>
          </cell>
          <cell r="F3117" t="str">
            <v>SECURKLOUD</v>
          </cell>
          <cell r="G3117">
            <v>78.181299999999993</v>
          </cell>
          <cell r="H3117" t="str">
            <v>-</v>
          </cell>
          <cell r="I3117" t="str">
            <v>-</v>
          </cell>
          <cell r="J3117">
            <v>78.323980993499987</v>
          </cell>
          <cell r="K3117" t="str">
            <v>Small Cap</v>
          </cell>
        </row>
        <row r="3118">
          <cell r="C3118" t="str">
            <v>INE671C01016</v>
          </cell>
          <cell r="D3118" t="str">
            <v>SUNLOC</v>
          </cell>
          <cell r="E3118">
            <v>78.318699839000004</v>
          </cell>
          <cell r="F3118" t="str">
            <v>-</v>
          </cell>
          <cell r="G3118" t="str">
            <v>-</v>
          </cell>
          <cell r="H3118" t="str">
            <v>-</v>
          </cell>
          <cell r="I3118" t="str">
            <v>-</v>
          </cell>
          <cell r="J3118">
            <v>78.318699839000004</v>
          </cell>
          <cell r="K3118" t="str">
            <v>Small Cap</v>
          </cell>
        </row>
        <row r="3119">
          <cell r="C3119" t="str">
            <v>INE923K01014</v>
          </cell>
          <cell r="D3119" t="str">
            <v>VSFPROJ</v>
          </cell>
          <cell r="E3119">
            <v>78.273204237000002</v>
          </cell>
          <cell r="F3119" t="str">
            <v>-</v>
          </cell>
          <cell r="G3119" t="str">
            <v>-</v>
          </cell>
          <cell r="H3119" t="str">
            <v>-</v>
          </cell>
          <cell r="I3119" t="str">
            <v>-</v>
          </cell>
          <cell r="J3119">
            <v>78.273204237000002</v>
          </cell>
          <cell r="K3119" t="str">
            <v>Small Cap</v>
          </cell>
        </row>
        <row r="3120">
          <cell r="C3120" t="str">
            <v>INE956B01013</v>
          </cell>
          <cell r="D3120" t="str">
            <v>DHAMPURE</v>
          </cell>
          <cell r="E3120">
            <v>78.107065904999999</v>
          </cell>
          <cell r="F3120" t="str">
            <v>-</v>
          </cell>
          <cell r="G3120" t="str">
            <v>-</v>
          </cell>
          <cell r="H3120" t="str">
            <v>-</v>
          </cell>
          <cell r="I3120" t="str">
            <v>-</v>
          </cell>
          <cell r="J3120">
            <v>78.107065904999999</v>
          </cell>
          <cell r="K3120" t="str">
            <v>Small Cap</v>
          </cell>
        </row>
        <row r="3121">
          <cell r="C3121" t="str">
            <v>INE146E01015</v>
          </cell>
          <cell r="D3121" t="str">
            <v>CREATIVE</v>
          </cell>
          <cell r="E3121">
            <v>77.990250000000003</v>
          </cell>
          <cell r="F3121" t="str">
            <v>-</v>
          </cell>
          <cell r="G3121" t="str">
            <v>-</v>
          </cell>
          <cell r="H3121" t="str">
            <v>-</v>
          </cell>
          <cell r="I3121" t="str">
            <v>-</v>
          </cell>
          <cell r="J3121">
            <v>77.990250000000003</v>
          </cell>
          <cell r="K3121" t="str">
            <v>Small Cap</v>
          </cell>
        </row>
        <row r="3122">
          <cell r="C3122" t="str">
            <v>INE237B01018</v>
          </cell>
          <cell r="D3122" t="str">
            <v>JSTL</v>
          </cell>
          <cell r="E3122">
            <v>77.87935685299999</v>
          </cell>
          <cell r="F3122" t="str">
            <v>-</v>
          </cell>
          <cell r="G3122" t="str">
            <v>-</v>
          </cell>
          <cell r="H3122" t="str">
            <v>-</v>
          </cell>
          <cell r="I3122" t="str">
            <v>-</v>
          </cell>
          <cell r="J3122">
            <v>77.87935685299999</v>
          </cell>
          <cell r="K3122" t="str">
            <v>Small Cap</v>
          </cell>
        </row>
        <row r="3123">
          <cell r="C3123" t="str">
            <v>INE039D01014</v>
          </cell>
          <cell r="D3123" t="str">
            <v>HYPERSOFT</v>
          </cell>
          <cell r="E3123">
            <v>77.843562205999987</v>
          </cell>
          <cell r="F3123" t="str">
            <v>-</v>
          </cell>
          <cell r="G3123" t="str">
            <v>-</v>
          </cell>
          <cell r="H3123" t="str">
            <v>-</v>
          </cell>
          <cell r="I3123" t="str">
            <v>-</v>
          </cell>
          <cell r="J3123">
            <v>77.843562205999987</v>
          </cell>
          <cell r="K3123" t="str">
            <v>Small Cap</v>
          </cell>
        </row>
        <row r="3124">
          <cell r="C3124" t="str">
            <v>INE191O01010</v>
          </cell>
          <cell r="D3124" t="str">
            <v>LAKHOTIA</v>
          </cell>
          <cell r="E3124">
            <v>77.568110701999998</v>
          </cell>
          <cell r="F3124" t="str">
            <v>-</v>
          </cell>
          <cell r="G3124" t="str">
            <v>-</v>
          </cell>
          <cell r="H3124" t="str">
            <v>-</v>
          </cell>
          <cell r="I3124" t="str">
            <v>-</v>
          </cell>
          <cell r="J3124">
            <v>77.568110701999998</v>
          </cell>
          <cell r="K3124" t="str">
            <v>Small Cap</v>
          </cell>
        </row>
        <row r="3125">
          <cell r="C3125" t="str">
            <v>INE088D01011</v>
          </cell>
          <cell r="D3125" t="str">
            <v>TRESCON</v>
          </cell>
          <cell r="E3125">
            <v>77.496103176000005</v>
          </cell>
          <cell r="F3125" t="str">
            <v>-</v>
          </cell>
          <cell r="G3125" t="str">
            <v>-</v>
          </cell>
          <cell r="H3125" t="str">
            <v>-</v>
          </cell>
          <cell r="I3125" t="str">
            <v>-</v>
          </cell>
          <cell r="J3125">
            <v>77.496103176000005</v>
          </cell>
          <cell r="K3125" t="str">
            <v>Small Cap</v>
          </cell>
        </row>
        <row r="3126">
          <cell r="C3126" t="str">
            <v>INE0UK501010</v>
          </cell>
          <cell r="D3126" t="str">
            <v>THREEMPAPE</v>
          </cell>
          <cell r="E3126">
            <v>77.365638756999999</v>
          </cell>
          <cell r="F3126" t="str">
            <v>-</v>
          </cell>
          <cell r="G3126" t="str">
            <v>-</v>
          </cell>
          <cell r="H3126" t="str">
            <v>-</v>
          </cell>
          <cell r="I3126" t="str">
            <v>-</v>
          </cell>
          <cell r="J3126">
            <v>77.365638756999999</v>
          </cell>
          <cell r="K3126" t="str">
            <v>Small Cap</v>
          </cell>
        </row>
        <row r="3127">
          <cell r="C3127" t="str">
            <v>INE339D01034</v>
          </cell>
          <cell r="D3127" t="str">
            <v>EVERFIN</v>
          </cell>
          <cell r="E3127">
            <v>77.116190476</v>
          </cell>
          <cell r="F3127" t="str">
            <v>-</v>
          </cell>
          <cell r="G3127" t="str">
            <v>-</v>
          </cell>
          <cell r="H3127" t="str">
            <v>-</v>
          </cell>
          <cell r="I3127" t="str">
            <v>-</v>
          </cell>
          <cell r="J3127">
            <v>77.116190476</v>
          </cell>
          <cell r="K3127" t="str">
            <v>Small Cap</v>
          </cell>
        </row>
        <row r="3128">
          <cell r="C3128" t="str">
            <v>INE0TE101010</v>
          </cell>
          <cell r="D3128" t="str">
            <v>3BFILMS</v>
          </cell>
          <cell r="E3128">
            <v>77.045441873000001</v>
          </cell>
          <cell r="F3128" t="str">
            <v>-</v>
          </cell>
          <cell r="G3128" t="str">
            <v>-</v>
          </cell>
          <cell r="H3128" t="str">
            <v>-</v>
          </cell>
          <cell r="I3128" t="str">
            <v>-</v>
          </cell>
          <cell r="J3128">
            <v>77.045441873000001</v>
          </cell>
          <cell r="K3128" t="str">
            <v>Small Cap</v>
          </cell>
        </row>
        <row r="3129">
          <cell r="C3129" t="str">
            <v>INE1BA901016</v>
          </cell>
          <cell r="D3129" t="str">
            <v>LOGICIEL</v>
          </cell>
          <cell r="E3129">
            <v>76.975379250000003</v>
          </cell>
          <cell r="F3129" t="str">
            <v>-</v>
          </cell>
          <cell r="G3129" t="str">
            <v>-</v>
          </cell>
          <cell r="H3129" t="str">
            <v>-</v>
          </cell>
          <cell r="I3129" t="str">
            <v>-</v>
          </cell>
          <cell r="J3129">
            <v>76.975379250000003</v>
          </cell>
          <cell r="K3129" t="str">
            <v>Small Cap</v>
          </cell>
        </row>
        <row r="3130">
          <cell r="C3130" t="str">
            <v>INE0TI501017</v>
          </cell>
          <cell r="D3130" t="str">
            <v>PRARUH</v>
          </cell>
          <cell r="E3130">
            <v>76.811592742000002</v>
          </cell>
          <cell r="F3130" t="str">
            <v>-</v>
          </cell>
          <cell r="G3130" t="str">
            <v>-</v>
          </cell>
          <cell r="H3130" t="str">
            <v>-</v>
          </cell>
          <cell r="I3130" t="str">
            <v>-</v>
          </cell>
          <cell r="J3130">
            <v>76.811592742000002</v>
          </cell>
          <cell r="K3130" t="str">
            <v>Small Cap</v>
          </cell>
        </row>
        <row r="3131">
          <cell r="C3131" t="str">
            <v>INE706F01021</v>
          </cell>
          <cell r="D3131" t="str">
            <v>SYLPH</v>
          </cell>
          <cell r="E3131">
            <v>76.771978421</v>
          </cell>
          <cell r="F3131" t="str">
            <v>-</v>
          </cell>
          <cell r="G3131" t="str">
            <v>-</v>
          </cell>
          <cell r="H3131" t="str">
            <v>-</v>
          </cell>
          <cell r="I3131" t="str">
            <v>-</v>
          </cell>
          <cell r="J3131">
            <v>76.771978421</v>
          </cell>
          <cell r="K3131" t="str">
            <v>Small Cap</v>
          </cell>
        </row>
        <row r="3132">
          <cell r="C3132" t="str">
            <v>INE318N01011</v>
          </cell>
          <cell r="D3132" t="str">
            <v>METSL</v>
          </cell>
          <cell r="E3132">
            <v>76.732018166999993</v>
          </cell>
          <cell r="F3132" t="str">
            <v>-</v>
          </cell>
          <cell r="G3132" t="str">
            <v>-</v>
          </cell>
          <cell r="H3132" t="str">
            <v>-</v>
          </cell>
          <cell r="I3132" t="str">
            <v>-</v>
          </cell>
          <cell r="J3132">
            <v>76.732018166999993</v>
          </cell>
          <cell r="K3132" t="str">
            <v>Small Cap</v>
          </cell>
        </row>
        <row r="3133">
          <cell r="C3133" t="str">
            <v>INE052E01015</v>
          </cell>
          <cell r="D3133" t="str">
            <v>GAYATRIBI</v>
          </cell>
          <cell r="E3133">
            <v>76.646247649000003</v>
          </cell>
          <cell r="F3133" t="str">
            <v>-</v>
          </cell>
          <cell r="G3133" t="str">
            <v>-</v>
          </cell>
          <cell r="H3133" t="str">
            <v>-</v>
          </cell>
          <cell r="I3133" t="str">
            <v>-</v>
          </cell>
          <cell r="J3133">
            <v>76.646247649000003</v>
          </cell>
          <cell r="K3133" t="str">
            <v>Small Cap</v>
          </cell>
        </row>
        <row r="3134">
          <cell r="C3134" t="str">
            <v>INE601A01017</v>
          </cell>
          <cell r="D3134" t="str">
            <v>TEAM24</v>
          </cell>
          <cell r="E3134">
            <v>76.441478571000005</v>
          </cell>
          <cell r="F3134" t="str">
            <v>-</v>
          </cell>
          <cell r="G3134" t="str">
            <v>-</v>
          </cell>
          <cell r="H3134" t="str">
            <v>-</v>
          </cell>
          <cell r="I3134" t="str">
            <v>-</v>
          </cell>
          <cell r="J3134">
            <v>76.441478571000005</v>
          </cell>
          <cell r="K3134" t="str">
            <v>Small Cap</v>
          </cell>
        </row>
        <row r="3135">
          <cell r="C3135" t="str">
            <v>INE065J01024</v>
          </cell>
          <cell r="D3135" t="str">
            <v>TPHQ</v>
          </cell>
          <cell r="E3135">
            <v>76.778872777999993</v>
          </cell>
          <cell r="F3135" t="str">
            <v>TPHQ</v>
          </cell>
          <cell r="G3135">
            <v>75.708799999999997</v>
          </cell>
          <cell r="H3135" t="str">
            <v>-</v>
          </cell>
          <cell r="I3135" t="str">
            <v>-</v>
          </cell>
          <cell r="J3135">
            <v>76.243836388999995</v>
          </cell>
          <cell r="K3135" t="str">
            <v>Small Cap</v>
          </cell>
        </row>
        <row r="3136">
          <cell r="C3136" t="str">
            <v>INE741A01011</v>
          </cell>
          <cell r="D3136" t="str">
            <v>MYSORPETRO</v>
          </cell>
          <cell r="E3136">
            <v>76.237836037999998</v>
          </cell>
          <cell r="F3136" t="str">
            <v>-</v>
          </cell>
          <cell r="G3136" t="str">
            <v>-</v>
          </cell>
          <cell r="H3136" t="str">
            <v>-</v>
          </cell>
          <cell r="I3136" t="str">
            <v>-</v>
          </cell>
          <cell r="J3136">
            <v>76.237836037999998</v>
          </cell>
          <cell r="K3136" t="str">
            <v>Small Cap</v>
          </cell>
        </row>
        <row r="3137">
          <cell r="C3137" t="str">
            <v>INE294G01026</v>
          </cell>
          <cell r="D3137" t="str">
            <v>ROML</v>
          </cell>
          <cell r="E3137">
            <v>76.161785885</v>
          </cell>
          <cell r="F3137" t="str">
            <v>ROML</v>
          </cell>
          <cell r="G3137">
            <v>76.138900000000007</v>
          </cell>
          <cell r="H3137" t="str">
            <v>-</v>
          </cell>
          <cell r="I3137" t="str">
            <v>-</v>
          </cell>
          <cell r="J3137">
            <v>76.150342942500004</v>
          </cell>
          <cell r="K3137" t="str">
            <v>Small Cap</v>
          </cell>
        </row>
        <row r="3138">
          <cell r="C3138" t="str">
            <v>INE162C01024</v>
          </cell>
          <cell r="D3138" t="str">
            <v>PARASPETRO</v>
          </cell>
          <cell r="E3138">
            <v>76.212998189999993</v>
          </cell>
          <cell r="F3138" t="str">
            <v>PARASPETRO</v>
          </cell>
          <cell r="G3138">
            <v>76.03</v>
          </cell>
          <cell r="H3138" t="str">
            <v>-</v>
          </cell>
          <cell r="I3138" t="str">
            <v>-</v>
          </cell>
          <cell r="J3138">
            <v>76.12149909499999</v>
          </cell>
          <cell r="K3138" t="str">
            <v>Small Cap</v>
          </cell>
        </row>
        <row r="3139">
          <cell r="C3139" t="str">
            <v>INE789R01022</v>
          </cell>
          <cell r="D3139" t="str">
            <v>FRANKLININD</v>
          </cell>
          <cell r="E3139">
            <v>75.987682539999994</v>
          </cell>
          <cell r="F3139" t="str">
            <v>-</v>
          </cell>
          <cell r="G3139" t="str">
            <v>-</v>
          </cell>
          <cell r="H3139" t="str">
            <v>-</v>
          </cell>
          <cell r="I3139" t="str">
            <v>-</v>
          </cell>
          <cell r="J3139">
            <v>75.987682539999994</v>
          </cell>
          <cell r="K3139" t="str">
            <v>Small Cap</v>
          </cell>
        </row>
        <row r="3140">
          <cell r="C3140" t="str">
            <v>INE691K01017</v>
          </cell>
          <cell r="D3140" t="str">
            <v>BOMBCYC</v>
          </cell>
          <cell r="E3140">
            <v>75.979619048000004</v>
          </cell>
          <cell r="F3140" t="str">
            <v>-</v>
          </cell>
          <cell r="G3140" t="str">
            <v>-</v>
          </cell>
          <cell r="H3140" t="str">
            <v>-</v>
          </cell>
          <cell r="I3140" t="str">
            <v>-</v>
          </cell>
          <cell r="J3140">
            <v>75.979619048000004</v>
          </cell>
          <cell r="K3140" t="str">
            <v>Small Cap</v>
          </cell>
        </row>
        <row r="3141">
          <cell r="C3141" t="str">
            <v>INE00PV01013</v>
          </cell>
          <cell r="D3141" t="str">
            <v>-</v>
          </cell>
          <cell r="E3141" t="str">
            <v>-</v>
          </cell>
          <cell r="F3141" t="str">
            <v>AHLADA</v>
          </cell>
          <cell r="G3141">
            <v>75.968299999999999</v>
          </cell>
          <cell r="H3141" t="str">
            <v>-</v>
          </cell>
          <cell r="I3141" t="str">
            <v>-</v>
          </cell>
          <cell r="J3141">
            <v>75.968299999999999</v>
          </cell>
          <cell r="K3141" t="str">
            <v>Small Cap</v>
          </cell>
        </row>
        <row r="3142">
          <cell r="C3142" t="str">
            <v>INE398H01015</v>
          </cell>
          <cell r="D3142" t="str">
            <v>TRUSTEDGE</v>
          </cell>
          <cell r="E3142">
            <v>75.767165649000006</v>
          </cell>
          <cell r="F3142" t="str">
            <v>-</v>
          </cell>
          <cell r="G3142" t="str">
            <v>-</v>
          </cell>
          <cell r="H3142" t="str">
            <v>-</v>
          </cell>
          <cell r="I3142" t="str">
            <v>-</v>
          </cell>
          <cell r="J3142">
            <v>75.767165649000006</v>
          </cell>
          <cell r="K3142" t="str">
            <v>Small Cap</v>
          </cell>
        </row>
        <row r="3143">
          <cell r="C3143" t="str">
            <v>INE0E4I01027</v>
          </cell>
          <cell r="D3143" t="str">
            <v>ASCENSIVE</v>
          </cell>
          <cell r="E3143">
            <v>75.739671717999997</v>
          </cell>
          <cell r="F3143" t="str">
            <v>-</v>
          </cell>
          <cell r="G3143" t="str">
            <v>-</v>
          </cell>
          <cell r="H3143" t="str">
            <v>-</v>
          </cell>
          <cell r="I3143" t="str">
            <v>-</v>
          </cell>
          <cell r="J3143">
            <v>75.739671717999997</v>
          </cell>
          <cell r="K3143" t="str">
            <v>Small Cap</v>
          </cell>
        </row>
        <row r="3144">
          <cell r="C3144" t="str">
            <v>INE472C01027</v>
          </cell>
          <cell r="D3144" t="str">
            <v>SHRISTI</v>
          </cell>
          <cell r="E3144">
            <v>75.678390476000004</v>
          </cell>
          <cell r="F3144" t="str">
            <v>-</v>
          </cell>
          <cell r="G3144" t="str">
            <v>-</v>
          </cell>
          <cell r="H3144" t="str">
            <v>-</v>
          </cell>
          <cell r="I3144" t="str">
            <v>-</v>
          </cell>
          <cell r="J3144">
            <v>75.678390476000004</v>
          </cell>
          <cell r="K3144" t="str">
            <v>Small Cap</v>
          </cell>
        </row>
        <row r="3145">
          <cell r="C3145" t="str">
            <v>INE416L01017</v>
          </cell>
          <cell r="D3145" t="str">
            <v>EROSMEDIA</v>
          </cell>
          <cell r="E3145">
            <v>75.676239890999994</v>
          </cell>
          <cell r="F3145" t="str">
            <v>-</v>
          </cell>
          <cell r="G3145" t="str">
            <v>-</v>
          </cell>
          <cell r="H3145" t="str">
            <v>-</v>
          </cell>
          <cell r="I3145" t="str">
            <v>-</v>
          </cell>
          <cell r="J3145">
            <v>75.676239890999994</v>
          </cell>
          <cell r="K3145" t="str">
            <v>Small Cap</v>
          </cell>
        </row>
        <row r="3146">
          <cell r="C3146" t="str">
            <v>INE330E01023</v>
          </cell>
          <cell r="D3146" t="str">
            <v>TRANSCOR</v>
          </cell>
          <cell r="E3146">
            <v>75.658564140999999</v>
          </cell>
          <cell r="F3146" t="str">
            <v>-</v>
          </cell>
          <cell r="G3146" t="str">
            <v>-</v>
          </cell>
          <cell r="H3146" t="str">
            <v>-</v>
          </cell>
          <cell r="I3146" t="str">
            <v>-</v>
          </cell>
          <cell r="J3146">
            <v>75.658564140999999</v>
          </cell>
          <cell r="K3146" t="str">
            <v>Small Cap</v>
          </cell>
        </row>
        <row r="3147">
          <cell r="C3147" t="str">
            <v>INE724R01011</v>
          </cell>
          <cell r="D3147" t="str">
            <v>-</v>
          </cell>
          <cell r="E3147" t="str">
            <v>-</v>
          </cell>
          <cell r="F3147" t="str">
            <v>-</v>
          </cell>
          <cell r="G3147" t="str">
            <v>-</v>
          </cell>
          <cell r="H3147" t="str">
            <v>SUNAYANA</v>
          </cell>
          <cell r="I3147">
            <v>75.622799999999955</v>
          </cell>
          <cell r="J3147">
            <v>75.622799999999955</v>
          </cell>
          <cell r="K3147" t="str">
            <v>Small Cap</v>
          </cell>
        </row>
        <row r="3148">
          <cell r="C3148" t="str">
            <v>INE977F01010</v>
          </cell>
          <cell r="D3148" t="str">
            <v>DHANCOT</v>
          </cell>
          <cell r="E3148">
            <v>75.456591666999998</v>
          </cell>
          <cell r="F3148" t="str">
            <v>-</v>
          </cell>
          <cell r="G3148" t="str">
            <v>-</v>
          </cell>
          <cell r="H3148" t="str">
            <v>-</v>
          </cell>
          <cell r="I3148" t="str">
            <v>-</v>
          </cell>
          <cell r="J3148">
            <v>75.456591666999998</v>
          </cell>
          <cell r="K3148" t="str">
            <v>Small Cap</v>
          </cell>
        </row>
        <row r="3149">
          <cell r="C3149" t="str">
            <v>INE446A01025</v>
          </cell>
          <cell r="D3149" t="str">
            <v>ATLASCYCLE</v>
          </cell>
          <cell r="E3149">
            <v>75.400412697999997</v>
          </cell>
          <cell r="F3149" t="str">
            <v>ATLASCYCLE</v>
          </cell>
          <cell r="G3149">
            <v>75.215000000000003</v>
          </cell>
          <cell r="H3149" t="str">
            <v>-</v>
          </cell>
          <cell r="I3149" t="str">
            <v>-</v>
          </cell>
          <cell r="J3149">
            <v>75.307706349</v>
          </cell>
          <cell r="K3149" t="str">
            <v>Small Cap</v>
          </cell>
        </row>
        <row r="3150">
          <cell r="C3150" t="str">
            <v>INE765B01018</v>
          </cell>
          <cell r="D3150" t="str">
            <v>SKYIND</v>
          </cell>
          <cell r="E3150">
            <v>75.242257651999992</v>
          </cell>
          <cell r="F3150" t="str">
            <v>-</v>
          </cell>
          <cell r="G3150" t="str">
            <v>-</v>
          </cell>
          <cell r="H3150" t="str">
            <v>-</v>
          </cell>
          <cell r="I3150" t="str">
            <v>-</v>
          </cell>
          <cell r="J3150">
            <v>75.242257651999992</v>
          </cell>
          <cell r="K3150" t="str">
            <v>Small Cap</v>
          </cell>
        </row>
        <row r="3151">
          <cell r="C3151" t="str">
            <v>INE485D01043</v>
          </cell>
          <cell r="D3151" t="str">
            <v>MAXGROW</v>
          </cell>
          <cell r="E3151">
            <v>75.167075681</v>
          </cell>
          <cell r="F3151" t="str">
            <v>-</v>
          </cell>
          <cell r="G3151" t="str">
            <v>-</v>
          </cell>
          <cell r="H3151" t="str">
            <v>-</v>
          </cell>
          <cell r="I3151" t="str">
            <v>-</v>
          </cell>
          <cell r="J3151">
            <v>75.167075681</v>
          </cell>
          <cell r="K3151" t="str">
            <v>Small Cap</v>
          </cell>
        </row>
        <row r="3152">
          <cell r="C3152" t="str">
            <v>INE588E01026</v>
          </cell>
          <cell r="D3152" t="str">
            <v>ARISINT</v>
          </cell>
          <cell r="E3152">
            <v>75.161726189999996</v>
          </cell>
          <cell r="F3152" t="str">
            <v>-</v>
          </cell>
          <cell r="G3152" t="str">
            <v>-</v>
          </cell>
          <cell r="H3152" t="str">
            <v>-</v>
          </cell>
          <cell r="I3152" t="str">
            <v>-</v>
          </cell>
          <cell r="J3152">
            <v>75.161726189999996</v>
          </cell>
          <cell r="K3152" t="str">
            <v>Small Cap</v>
          </cell>
        </row>
        <row r="3153">
          <cell r="C3153" t="str">
            <v>INE891N01017</v>
          </cell>
          <cell r="D3153" t="str">
            <v>KAIZENAGRO</v>
          </cell>
          <cell r="E3153">
            <v>75.118783586999996</v>
          </cell>
          <cell r="F3153" t="str">
            <v>-</v>
          </cell>
          <cell r="G3153" t="str">
            <v>-</v>
          </cell>
          <cell r="H3153" t="str">
            <v>-</v>
          </cell>
          <cell r="I3153" t="str">
            <v>-</v>
          </cell>
          <cell r="J3153">
            <v>75.118783586999996</v>
          </cell>
          <cell r="K3153" t="str">
            <v>Small Cap</v>
          </cell>
        </row>
        <row r="3154">
          <cell r="C3154" t="str">
            <v>INE703D01023</v>
          </cell>
          <cell r="D3154" t="str">
            <v>BIOGEN</v>
          </cell>
          <cell r="E3154">
            <v>75.062628134999997</v>
          </cell>
          <cell r="F3154" t="str">
            <v>-</v>
          </cell>
          <cell r="G3154" t="str">
            <v>-</v>
          </cell>
          <cell r="H3154" t="str">
            <v>-</v>
          </cell>
          <cell r="I3154" t="str">
            <v>-</v>
          </cell>
          <cell r="J3154">
            <v>75.062628134999997</v>
          </cell>
          <cell r="K3154" t="str">
            <v>Small Cap</v>
          </cell>
        </row>
        <row r="3155">
          <cell r="C3155" t="str">
            <v>INE372I01018</v>
          </cell>
          <cell r="D3155" t="str">
            <v>ASHNOOR</v>
          </cell>
          <cell r="E3155">
            <v>74.967466260000009</v>
          </cell>
          <cell r="F3155" t="str">
            <v>-</v>
          </cell>
          <cell r="G3155" t="str">
            <v>-</v>
          </cell>
          <cell r="H3155" t="str">
            <v>-</v>
          </cell>
          <cell r="I3155" t="str">
            <v>-</v>
          </cell>
          <cell r="J3155">
            <v>74.967466260000009</v>
          </cell>
          <cell r="K3155" t="str">
            <v>Small Cap</v>
          </cell>
        </row>
        <row r="3156">
          <cell r="C3156" t="str">
            <v>INE395F01023</v>
          </cell>
          <cell r="D3156" t="str">
            <v>STELLANT</v>
          </cell>
          <cell r="E3156">
            <v>74.894262857000001</v>
          </cell>
          <cell r="F3156" t="str">
            <v>-</v>
          </cell>
          <cell r="G3156" t="str">
            <v>-</v>
          </cell>
          <cell r="H3156" t="str">
            <v>-</v>
          </cell>
          <cell r="I3156" t="str">
            <v>-</v>
          </cell>
          <cell r="J3156">
            <v>74.894262857000001</v>
          </cell>
          <cell r="K3156" t="str">
            <v>Small Cap</v>
          </cell>
        </row>
        <row r="3157">
          <cell r="C3157" t="str">
            <v>INE268L01046</v>
          </cell>
          <cell r="D3157" t="str">
            <v>SHEKHAWATI</v>
          </cell>
          <cell r="E3157">
            <v>74.859264999999994</v>
          </cell>
          <cell r="F3157" t="str">
            <v>-</v>
          </cell>
          <cell r="G3157" t="str">
            <v>-</v>
          </cell>
          <cell r="H3157" t="str">
            <v>-</v>
          </cell>
          <cell r="I3157" t="str">
            <v>-</v>
          </cell>
          <cell r="J3157">
            <v>74.859264999999994</v>
          </cell>
          <cell r="K3157" t="str">
            <v>Small Cap</v>
          </cell>
        </row>
        <row r="3158">
          <cell r="C3158" t="str">
            <v>INE701B01021</v>
          </cell>
          <cell r="D3158" t="str">
            <v>PUNJLLOYD</v>
          </cell>
          <cell r="E3158">
            <v>74.837851135000008</v>
          </cell>
          <cell r="F3158" t="str">
            <v>-</v>
          </cell>
          <cell r="G3158" t="str">
            <v>-</v>
          </cell>
          <cell r="H3158" t="str">
            <v>-</v>
          </cell>
          <cell r="I3158" t="str">
            <v>-</v>
          </cell>
          <cell r="J3158">
            <v>74.837851135000008</v>
          </cell>
          <cell r="K3158" t="str">
            <v>Small Cap</v>
          </cell>
        </row>
        <row r="3159">
          <cell r="C3159" t="str">
            <v>INE502D01011</v>
          </cell>
          <cell r="D3159" t="str">
            <v>TIHIL</v>
          </cell>
          <cell r="E3159">
            <v>74.632795238</v>
          </cell>
          <cell r="F3159" t="str">
            <v>-</v>
          </cell>
          <cell r="G3159" t="str">
            <v>-</v>
          </cell>
          <cell r="H3159" t="str">
            <v>-</v>
          </cell>
          <cell r="I3159" t="str">
            <v>-</v>
          </cell>
          <cell r="J3159">
            <v>74.632795238</v>
          </cell>
          <cell r="K3159" t="str">
            <v>Small Cap</v>
          </cell>
        </row>
        <row r="3160">
          <cell r="C3160" t="str">
            <v>INE095B01010</v>
          </cell>
          <cell r="D3160" t="str">
            <v>ELEMARB</v>
          </cell>
          <cell r="E3160">
            <v>74.489779921000007</v>
          </cell>
          <cell r="F3160" t="str">
            <v>-</v>
          </cell>
          <cell r="G3160" t="str">
            <v>-</v>
          </cell>
          <cell r="H3160" t="str">
            <v>-</v>
          </cell>
          <cell r="I3160" t="str">
            <v>-</v>
          </cell>
          <cell r="J3160">
            <v>74.489779921000007</v>
          </cell>
          <cell r="K3160" t="str">
            <v>Small Cap</v>
          </cell>
        </row>
        <row r="3161">
          <cell r="C3161" t="str">
            <v>INE268L01020</v>
          </cell>
          <cell r="D3161" t="str">
            <v>-</v>
          </cell>
          <cell r="E3161" t="str">
            <v>-</v>
          </cell>
          <cell r="F3161" t="str">
            <v>SHEKHAWATI</v>
          </cell>
          <cell r="G3161">
            <v>74.489099999999993</v>
          </cell>
          <cell r="H3161" t="str">
            <v>-</v>
          </cell>
          <cell r="I3161" t="str">
            <v>-</v>
          </cell>
          <cell r="J3161">
            <v>74.489099999999993</v>
          </cell>
          <cell r="K3161" t="str">
            <v>Small Cap</v>
          </cell>
        </row>
        <row r="3162">
          <cell r="C3162" t="str">
            <v>INE0RU901015</v>
          </cell>
          <cell r="D3162" t="str">
            <v>MANGALCOMP</v>
          </cell>
          <cell r="E3162">
            <v>74.328066222000004</v>
          </cell>
          <cell r="F3162" t="str">
            <v>-</v>
          </cell>
          <cell r="G3162" t="str">
            <v>-</v>
          </cell>
          <cell r="H3162" t="str">
            <v>-</v>
          </cell>
          <cell r="I3162" t="str">
            <v>-</v>
          </cell>
          <cell r="J3162">
            <v>74.328066222000004</v>
          </cell>
          <cell r="K3162" t="str">
            <v>Small Cap</v>
          </cell>
        </row>
        <row r="3163">
          <cell r="C3163" t="str">
            <v>INE642O01012</v>
          </cell>
          <cell r="D3163" t="str">
            <v>TIRUFIN</v>
          </cell>
          <cell r="E3163">
            <v>74.163375000000002</v>
          </cell>
          <cell r="F3163" t="str">
            <v>-</v>
          </cell>
          <cell r="G3163" t="str">
            <v>-</v>
          </cell>
          <cell r="H3163" t="str">
            <v>-</v>
          </cell>
          <cell r="I3163" t="str">
            <v>-</v>
          </cell>
          <cell r="J3163">
            <v>74.163375000000002</v>
          </cell>
          <cell r="K3163" t="str">
            <v>Small Cap</v>
          </cell>
        </row>
        <row r="3164">
          <cell r="C3164" t="str">
            <v>INE097E01028</v>
          </cell>
          <cell r="D3164" t="str">
            <v>MINALIND</v>
          </cell>
          <cell r="E3164">
            <v>74.123910594000009</v>
          </cell>
          <cell r="F3164" t="str">
            <v>-</v>
          </cell>
          <cell r="G3164" t="str">
            <v>-</v>
          </cell>
          <cell r="H3164" t="str">
            <v>-</v>
          </cell>
          <cell r="I3164" t="str">
            <v>-</v>
          </cell>
          <cell r="J3164">
            <v>74.123910594000009</v>
          </cell>
          <cell r="K3164" t="str">
            <v>Small Cap</v>
          </cell>
        </row>
        <row r="3165">
          <cell r="C3165" t="str">
            <v>INE390D01011</v>
          </cell>
          <cell r="D3165" t="str">
            <v>TERAI</v>
          </cell>
          <cell r="E3165">
            <v>74.034043842999992</v>
          </cell>
          <cell r="F3165" t="str">
            <v>-</v>
          </cell>
          <cell r="G3165" t="str">
            <v>-</v>
          </cell>
          <cell r="H3165" t="str">
            <v>-</v>
          </cell>
          <cell r="I3165" t="str">
            <v>-</v>
          </cell>
          <cell r="J3165">
            <v>74.034043842999992</v>
          </cell>
          <cell r="K3165" t="str">
            <v>Small Cap</v>
          </cell>
        </row>
        <row r="3166">
          <cell r="C3166" t="str">
            <v>INE541R01019</v>
          </cell>
          <cell r="D3166" t="str">
            <v>FILTRA</v>
          </cell>
          <cell r="E3166">
            <v>73.732725967999997</v>
          </cell>
          <cell r="F3166" t="str">
            <v>-</v>
          </cell>
          <cell r="G3166" t="str">
            <v>-</v>
          </cell>
          <cell r="H3166" t="str">
            <v>-</v>
          </cell>
          <cell r="I3166" t="str">
            <v>-</v>
          </cell>
          <cell r="J3166">
            <v>73.732725967999997</v>
          </cell>
          <cell r="K3166" t="str">
            <v>Small Cap</v>
          </cell>
        </row>
        <row r="3167">
          <cell r="C3167" t="str">
            <v>INE998H01012</v>
          </cell>
          <cell r="D3167" t="str">
            <v>ORIENTALTL</v>
          </cell>
          <cell r="E3167">
            <v>73.735954269000004</v>
          </cell>
          <cell r="F3167" t="str">
            <v>ORIENTALTL</v>
          </cell>
          <cell r="G3167">
            <v>73.639099999999999</v>
          </cell>
          <cell r="H3167" t="str">
            <v>-</v>
          </cell>
          <cell r="I3167" t="str">
            <v>-</v>
          </cell>
          <cell r="J3167">
            <v>73.687527134500002</v>
          </cell>
          <cell r="K3167" t="str">
            <v>Small Cap</v>
          </cell>
        </row>
        <row r="3168">
          <cell r="C3168" t="str">
            <v>INE666Q01016</v>
          </cell>
          <cell r="D3168" t="str">
            <v>EIKO</v>
          </cell>
          <cell r="E3168">
            <v>73.66530500399999</v>
          </cell>
          <cell r="F3168" t="str">
            <v>-</v>
          </cell>
          <cell r="G3168" t="str">
            <v>-</v>
          </cell>
          <cell r="H3168" t="str">
            <v>-</v>
          </cell>
          <cell r="I3168" t="str">
            <v>-</v>
          </cell>
          <cell r="J3168">
            <v>73.66530500399999</v>
          </cell>
          <cell r="K3168" t="str">
            <v>Small Cap</v>
          </cell>
        </row>
        <row r="3169">
          <cell r="C3169" t="str">
            <v>INE789B01018</v>
          </cell>
          <cell r="D3169" t="str">
            <v>DAIKAFFI</v>
          </cell>
          <cell r="E3169">
            <v>73.624095237999995</v>
          </cell>
          <cell r="F3169" t="str">
            <v>-</v>
          </cell>
          <cell r="G3169" t="str">
            <v>-</v>
          </cell>
          <cell r="H3169" t="str">
            <v>-</v>
          </cell>
          <cell r="I3169" t="str">
            <v>-</v>
          </cell>
          <cell r="J3169">
            <v>73.624095237999995</v>
          </cell>
          <cell r="K3169" t="str">
            <v>Small Cap</v>
          </cell>
        </row>
        <row r="3170">
          <cell r="C3170" t="str">
            <v>INE797D01017</v>
          </cell>
          <cell r="D3170" t="str">
            <v>GARNET</v>
          </cell>
          <cell r="E3170">
            <v>73.563822305000002</v>
          </cell>
          <cell r="F3170" t="str">
            <v>-</v>
          </cell>
          <cell r="G3170" t="str">
            <v>-</v>
          </cell>
          <cell r="H3170" t="str">
            <v>-</v>
          </cell>
          <cell r="I3170" t="str">
            <v>-</v>
          </cell>
          <cell r="J3170">
            <v>73.563822305000002</v>
          </cell>
          <cell r="K3170" t="str">
            <v>Small Cap</v>
          </cell>
        </row>
        <row r="3171">
          <cell r="C3171" t="str">
            <v>INE360L01017</v>
          </cell>
          <cell r="D3171" t="str">
            <v>FMNL</v>
          </cell>
          <cell r="E3171">
            <v>73.694474225999997</v>
          </cell>
          <cell r="F3171" t="str">
            <v>FMNL</v>
          </cell>
          <cell r="G3171">
            <v>73.355599999999995</v>
          </cell>
          <cell r="H3171" t="str">
            <v>-</v>
          </cell>
          <cell r="I3171" t="str">
            <v>-</v>
          </cell>
          <cell r="J3171">
            <v>73.525037112999996</v>
          </cell>
          <cell r="K3171" t="str">
            <v>Small Cap</v>
          </cell>
        </row>
        <row r="3172">
          <cell r="C3172" t="str">
            <v>INE711V01010</v>
          </cell>
          <cell r="D3172" t="str">
            <v>OCEANIC</v>
          </cell>
          <cell r="E3172">
            <v>73.494464285999996</v>
          </cell>
          <cell r="F3172" t="str">
            <v>-</v>
          </cell>
          <cell r="G3172" t="str">
            <v>-</v>
          </cell>
          <cell r="H3172" t="str">
            <v>-</v>
          </cell>
          <cell r="I3172" t="str">
            <v>-</v>
          </cell>
          <cell r="J3172">
            <v>73.494464285999996</v>
          </cell>
          <cell r="K3172" t="str">
            <v>Small Cap</v>
          </cell>
        </row>
        <row r="3173">
          <cell r="C3173" t="str">
            <v>INE839E01023</v>
          </cell>
          <cell r="D3173" t="str">
            <v>ODYCORP</v>
          </cell>
          <cell r="E3173">
            <v>73.309862741000003</v>
          </cell>
          <cell r="F3173" t="str">
            <v>-</v>
          </cell>
          <cell r="G3173" t="str">
            <v>-</v>
          </cell>
          <cell r="H3173" t="str">
            <v>-</v>
          </cell>
          <cell r="I3173" t="str">
            <v>-</v>
          </cell>
          <cell r="J3173">
            <v>73.309862741000003</v>
          </cell>
          <cell r="K3173" t="str">
            <v>Small Cap</v>
          </cell>
        </row>
        <row r="3174">
          <cell r="C3174" t="str">
            <v>INE866A01016</v>
          </cell>
          <cell r="D3174" t="str">
            <v>ECOBOAR</v>
          </cell>
          <cell r="E3174">
            <v>73.245897900999992</v>
          </cell>
          <cell r="F3174" t="str">
            <v>-</v>
          </cell>
          <cell r="G3174" t="str">
            <v>-</v>
          </cell>
          <cell r="H3174" t="str">
            <v>-</v>
          </cell>
          <cell r="I3174" t="str">
            <v>-</v>
          </cell>
          <cell r="J3174">
            <v>73.245897900999992</v>
          </cell>
          <cell r="K3174" t="str">
            <v>Small Cap</v>
          </cell>
        </row>
        <row r="3175">
          <cell r="C3175" t="str">
            <v>INE715T01031</v>
          </cell>
          <cell r="D3175" t="str">
            <v>DHATRE</v>
          </cell>
          <cell r="E3175">
            <v>73.221747590999996</v>
          </cell>
          <cell r="F3175" t="str">
            <v>-</v>
          </cell>
          <cell r="G3175" t="str">
            <v>-</v>
          </cell>
          <cell r="H3175" t="str">
            <v>-</v>
          </cell>
          <cell r="I3175" t="str">
            <v>-</v>
          </cell>
          <cell r="J3175">
            <v>73.221747590999996</v>
          </cell>
          <cell r="K3175" t="str">
            <v>Small Cap</v>
          </cell>
        </row>
        <row r="3176">
          <cell r="C3176" t="str">
            <v>INE232L01018</v>
          </cell>
          <cell r="D3176" t="str">
            <v>MYMONEY</v>
          </cell>
          <cell r="E3176">
            <v>73.13970604299999</v>
          </cell>
          <cell r="F3176" t="str">
            <v>-</v>
          </cell>
          <cell r="G3176" t="str">
            <v>-</v>
          </cell>
          <cell r="H3176" t="str">
            <v>-</v>
          </cell>
          <cell r="I3176" t="str">
            <v>-</v>
          </cell>
          <cell r="J3176">
            <v>73.13970604299999</v>
          </cell>
          <cell r="K3176" t="str">
            <v>Small Cap</v>
          </cell>
        </row>
        <row r="3177">
          <cell r="C3177" t="str">
            <v>INE317D01014</v>
          </cell>
          <cell r="D3177" t="str">
            <v>VRWODAR</v>
          </cell>
          <cell r="E3177">
            <v>73.132004621000007</v>
          </cell>
          <cell r="F3177" t="str">
            <v>-</v>
          </cell>
          <cell r="G3177" t="str">
            <v>-</v>
          </cell>
          <cell r="H3177" t="str">
            <v>-</v>
          </cell>
          <cell r="I3177" t="str">
            <v>-</v>
          </cell>
          <cell r="J3177">
            <v>73.132004621000007</v>
          </cell>
          <cell r="K3177" t="str">
            <v>Small Cap</v>
          </cell>
        </row>
        <row r="3178">
          <cell r="C3178" t="str">
            <v>INE274M01026</v>
          </cell>
          <cell r="D3178" t="str">
            <v>COMFINCAP</v>
          </cell>
          <cell r="E3178">
            <v>72.671565524000002</v>
          </cell>
          <cell r="F3178" t="str">
            <v>-</v>
          </cell>
          <cell r="G3178" t="str">
            <v>-</v>
          </cell>
          <cell r="H3178" t="str">
            <v>-</v>
          </cell>
          <cell r="I3178" t="str">
            <v>-</v>
          </cell>
          <cell r="J3178">
            <v>72.671565524000002</v>
          </cell>
          <cell r="K3178" t="str">
            <v>Small Cap</v>
          </cell>
        </row>
        <row r="3179">
          <cell r="C3179" t="str">
            <v>INE060J01017</v>
          </cell>
          <cell r="D3179" t="str">
            <v>FLEXITUFF</v>
          </cell>
          <cell r="E3179">
            <v>73.866808595999998</v>
          </cell>
          <cell r="F3179" t="str">
            <v>FLEXITUFF</v>
          </cell>
          <cell r="G3179">
            <v>71.421000000000006</v>
          </cell>
          <cell r="H3179" t="str">
            <v>-</v>
          </cell>
          <cell r="I3179" t="str">
            <v>-</v>
          </cell>
          <cell r="J3179">
            <v>72.643904297999995</v>
          </cell>
          <cell r="K3179" t="str">
            <v>Small Cap</v>
          </cell>
        </row>
        <row r="3180">
          <cell r="C3180" t="str">
            <v>INE395B01048</v>
          </cell>
          <cell r="D3180" t="str">
            <v>GVFILM</v>
          </cell>
          <cell r="E3180">
            <v>72.602096417999988</v>
          </cell>
          <cell r="F3180" t="str">
            <v>-</v>
          </cell>
          <cell r="G3180" t="str">
            <v>-</v>
          </cell>
          <cell r="H3180" t="str">
            <v>-</v>
          </cell>
          <cell r="I3180" t="str">
            <v>-</v>
          </cell>
          <cell r="J3180">
            <v>72.602096417999988</v>
          </cell>
          <cell r="K3180" t="str">
            <v>Small Cap</v>
          </cell>
        </row>
        <row r="3181">
          <cell r="C3181" t="str">
            <v>INE0RDR01012</v>
          </cell>
          <cell r="D3181" t="str">
            <v>SPL</v>
          </cell>
          <cell r="E3181">
            <v>72.559071459999998</v>
          </cell>
          <cell r="F3181" t="str">
            <v>-</v>
          </cell>
          <cell r="G3181" t="str">
            <v>-</v>
          </cell>
          <cell r="H3181" t="str">
            <v>-</v>
          </cell>
          <cell r="I3181" t="str">
            <v>-</v>
          </cell>
          <cell r="J3181">
            <v>72.559071459999998</v>
          </cell>
          <cell r="K3181" t="str">
            <v>Small Cap</v>
          </cell>
        </row>
        <row r="3182">
          <cell r="C3182" t="str">
            <v>INE369C01017</v>
          </cell>
          <cell r="D3182" t="str">
            <v>NORBTEAEXP</v>
          </cell>
          <cell r="E3182">
            <v>73.157296131999999</v>
          </cell>
          <cell r="F3182" t="str">
            <v>NORBTEAEXP</v>
          </cell>
          <cell r="G3182">
            <v>71.909800000000004</v>
          </cell>
          <cell r="H3182" t="str">
            <v>-</v>
          </cell>
          <cell r="I3182" t="str">
            <v>-</v>
          </cell>
          <cell r="J3182">
            <v>72.533548066000009</v>
          </cell>
          <cell r="K3182" t="str">
            <v>Small Cap</v>
          </cell>
        </row>
        <row r="3183">
          <cell r="C3183" t="str">
            <v>INE462D01034</v>
          </cell>
          <cell r="D3183" t="str">
            <v>JAMSHRI</v>
          </cell>
          <cell r="E3183">
            <v>72.394833828999992</v>
          </cell>
          <cell r="F3183" t="str">
            <v>-</v>
          </cell>
          <cell r="G3183" t="str">
            <v>-</v>
          </cell>
          <cell r="H3183" t="str">
            <v>-</v>
          </cell>
          <cell r="I3183" t="str">
            <v>-</v>
          </cell>
          <cell r="J3183">
            <v>72.394833828999992</v>
          </cell>
          <cell r="K3183" t="str">
            <v>Small Cap</v>
          </cell>
        </row>
        <row r="3184">
          <cell r="C3184" t="str">
            <v>INE940C01015</v>
          </cell>
          <cell r="D3184" t="str">
            <v>DUTRON</v>
          </cell>
          <cell r="E3184">
            <v>72.346904761999994</v>
          </cell>
          <cell r="F3184" t="str">
            <v>-</v>
          </cell>
          <cell r="G3184" t="str">
            <v>-</v>
          </cell>
          <cell r="H3184" t="str">
            <v>-</v>
          </cell>
          <cell r="I3184" t="str">
            <v>-</v>
          </cell>
          <cell r="J3184">
            <v>72.346904761999994</v>
          </cell>
          <cell r="K3184" t="str">
            <v>Small Cap</v>
          </cell>
        </row>
        <row r="3185">
          <cell r="C3185" t="str">
            <v>INE302C01018</v>
          </cell>
          <cell r="D3185" t="str">
            <v>KREONFIN</v>
          </cell>
          <cell r="E3185">
            <v>72.102664444000013</v>
          </cell>
          <cell r="F3185" t="str">
            <v>-</v>
          </cell>
          <cell r="G3185" t="str">
            <v>-</v>
          </cell>
          <cell r="H3185" t="str">
            <v>-</v>
          </cell>
          <cell r="I3185" t="str">
            <v>-</v>
          </cell>
          <cell r="J3185">
            <v>72.102664444000013</v>
          </cell>
          <cell r="K3185" t="str">
            <v>Small Cap</v>
          </cell>
        </row>
        <row r="3186">
          <cell r="C3186" t="str">
            <v>INE220C01012</v>
          </cell>
          <cell r="D3186" t="str">
            <v>DHANROTO</v>
          </cell>
          <cell r="E3186">
            <v>72.027087738000006</v>
          </cell>
          <cell r="F3186" t="str">
            <v>-</v>
          </cell>
          <cell r="G3186" t="str">
            <v>-</v>
          </cell>
          <cell r="H3186" t="str">
            <v>-</v>
          </cell>
          <cell r="I3186" t="str">
            <v>-</v>
          </cell>
          <cell r="J3186">
            <v>72.027087738000006</v>
          </cell>
          <cell r="K3186" t="str">
            <v>Small Cap</v>
          </cell>
        </row>
        <row r="3187">
          <cell r="C3187" t="str">
            <v>INE005G01026</v>
          </cell>
          <cell r="D3187" t="str">
            <v>DDIL</v>
          </cell>
          <cell r="E3187">
            <v>71.984620238000005</v>
          </cell>
          <cell r="F3187" t="str">
            <v>-</v>
          </cell>
          <cell r="G3187" t="str">
            <v>-</v>
          </cell>
          <cell r="H3187" t="str">
            <v>-</v>
          </cell>
          <cell r="I3187" t="str">
            <v>-</v>
          </cell>
          <cell r="J3187">
            <v>71.984620238000005</v>
          </cell>
          <cell r="K3187" t="str">
            <v>Small Cap</v>
          </cell>
        </row>
        <row r="3188">
          <cell r="C3188" t="str">
            <v>INE0OYK01010</v>
          </cell>
          <cell r="D3188" t="str">
            <v>RUDRAGAS</v>
          </cell>
          <cell r="E3188">
            <v>71.934374460000001</v>
          </cell>
          <cell r="F3188" t="str">
            <v>-</v>
          </cell>
          <cell r="G3188" t="str">
            <v>-</v>
          </cell>
          <cell r="H3188" t="str">
            <v>-</v>
          </cell>
          <cell r="I3188" t="str">
            <v>-</v>
          </cell>
          <cell r="J3188">
            <v>71.934374460000001</v>
          </cell>
          <cell r="K3188" t="str">
            <v>Small Cap</v>
          </cell>
        </row>
        <row r="3189">
          <cell r="C3189" t="str">
            <v>INE863I01016</v>
          </cell>
          <cell r="D3189" t="str">
            <v>BANG</v>
          </cell>
          <cell r="E3189">
            <v>72.074198095</v>
          </cell>
          <cell r="F3189" t="str">
            <v>BANG</v>
          </cell>
          <cell r="G3189">
            <v>71.703999999999994</v>
          </cell>
          <cell r="H3189" t="str">
            <v>-</v>
          </cell>
          <cell r="I3189" t="str">
            <v>-</v>
          </cell>
          <cell r="J3189">
            <v>71.889099047499997</v>
          </cell>
          <cell r="K3189" t="str">
            <v>Small Cap</v>
          </cell>
        </row>
        <row r="3190">
          <cell r="C3190" t="str">
            <v>INE024B01010</v>
          </cell>
          <cell r="D3190" t="str">
            <v>JOINDRE</v>
          </cell>
          <cell r="E3190">
            <v>71.86470641599999</v>
          </cell>
          <cell r="F3190" t="str">
            <v>-</v>
          </cell>
          <cell r="G3190" t="str">
            <v>-</v>
          </cell>
          <cell r="H3190" t="str">
            <v>-</v>
          </cell>
          <cell r="I3190" t="str">
            <v>-</v>
          </cell>
          <cell r="J3190">
            <v>71.86470641599999</v>
          </cell>
          <cell r="K3190" t="str">
            <v>Small Cap</v>
          </cell>
        </row>
        <row r="3191">
          <cell r="C3191" t="str">
            <v>INE541F01022</v>
          </cell>
          <cell r="D3191" t="str">
            <v>GUJARATPOLY</v>
          </cell>
          <cell r="E3191">
            <v>71.801950000000005</v>
          </cell>
          <cell r="F3191" t="str">
            <v>-</v>
          </cell>
          <cell r="G3191" t="str">
            <v>-</v>
          </cell>
          <cell r="H3191" t="str">
            <v>-</v>
          </cell>
          <cell r="I3191" t="str">
            <v>-</v>
          </cell>
          <cell r="J3191">
            <v>71.801950000000005</v>
          </cell>
          <cell r="K3191" t="str">
            <v>Small Cap</v>
          </cell>
        </row>
        <row r="3192">
          <cell r="C3192" t="str">
            <v>INE098E01026</v>
          </cell>
          <cell r="D3192" t="str">
            <v>HARSHILAGR</v>
          </cell>
          <cell r="E3192">
            <v>71.753941666999992</v>
          </cell>
          <cell r="F3192" t="str">
            <v>-</v>
          </cell>
          <cell r="G3192" t="str">
            <v>-</v>
          </cell>
          <cell r="H3192" t="str">
            <v>-</v>
          </cell>
          <cell r="I3192" t="str">
            <v>-</v>
          </cell>
          <cell r="J3192">
            <v>71.753941666999992</v>
          </cell>
          <cell r="K3192" t="str">
            <v>Small Cap</v>
          </cell>
        </row>
        <row r="3193">
          <cell r="C3193" t="str">
            <v>INE457P01020</v>
          </cell>
          <cell r="D3193" t="str">
            <v>TOYAMSL</v>
          </cell>
          <cell r="E3193">
            <v>71.534414166999994</v>
          </cell>
          <cell r="F3193" t="str">
            <v>-</v>
          </cell>
          <cell r="G3193" t="str">
            <v>-</v>
          </cell>
          <cell r="H3193" t="str">
            <v>TOYAMSL</v>
          </cell>
          <cell r="I3193">
            <v>71.506899166666742</v>
          </cell>
          <cell r="J3193">
            <v>71.520656666833361</v>
          </cell>
          <cell r="K3193" t="str">
            <v>Small Cap</v>
          </cell>
        </row>
        <row r="3194">
          <cell r="C3194" t="str">
            <v>INE343X01018</v>
          </cell>
          <cell r="D3194" t="str">
            <v>MEERA</v>
          </cell>
          <cell r="E3194">
            <v>71.494200211000006</v>
          </cell>
          <cell r="F3194" t="str">
            <v>-</v>
          </cell>
          <cell r="G3194" t="str">
            <v>-</v>
          </cell>
          <cell r="H3194" t="str">
            <v>-</v>
          </cell>
          <cell r="I3194" t="str">
            <v>-</v>
          </cell>
          <cell r="J3194">
            <v>71.494200211000006</v>
          </cell>
          <cell r="K3194" t="str">
            <v>Small Cap</v>
          </cell>
        </row>
        <row r="3195">
          <cell r="C3195" t="str">
            <v>INE008B01013</v>
          </cell>
          <cell r="D3195" t="str">
            <v>AIMCOPEST</v>
          </cell>
          <cell r="E3195">
            <v>71.413198928999989</v>
          </cell>
          <cell r="F3195" t="str">
            <v>-</v>
          </cell>
          <cell r="G3195" t="str">
            <v>-</v>
          </cell>
          <cell r="H3195" t="str">
            <v>-</v>
          </cell>
          <cell r="I3195" t="str">
            <v>-</v>
          </cell>
          <cell r="J3195">
            <v>71.413198928999989</v>
          </cell>
          <cell r="K3195" t="str">
            <v>Small Cap</v>
          </cell>
        </row>
        <row r="3196">
          <cell r="C3196" t="str">
            <v>INE436A01026</v>
          </cell>
          <cell r="D3196" t="str">
            <v>ANSALAPI</v>
          </cell>
          <cell r="E3196">
            <v>70.945952845999997</v>
          </cell>
          <cell r="F3196" t="str">
            <v>ANSALAPI</v>
          </cell>
          <cell r="G3196">
            <v>70.748500000000007</v>
          </cell>
          <cell r="H3196" t="str">
            <v>-</v>
          </cell>
          <cell r="I3196" t="str">
            <v>-</v>
          </cell>
          <cell r="J3196">
            <v>70.847226422999995</v>
          </cell>
          <cell r="K3196" t="str">
            <v>Small Cap</v>
          </cell>
        </row>
        <row r="3197">
          <cell r="C3197" t="str">
            <v>INE841Y01019</v>
          </cell>
          <cell r="D3197" t="str">
            <v>JFL</v>
          </cell>
          <cell r="E3197">
            <v>70.685285487000002</v>
          </cell>
          <cell r="F3197" t="str">
            <v>-</v>
          </cell>
          <cell r="G3197" t="str">
            <v>-</v>
          </cell>
          <cell r="H3197" t="str">
            <v>-</v>
          </cell>
          <cell r="I3197" t="str">
            <v>-</v>
          </cell>
          <cell r="J3197">
            <v>70.685285487000002</v>
          </cell>
          <cell r="K3197" t="str">
            <v>Small Cap</v>
          </cell>
        </row>
        <row r="3198">
          <cell r="C3198" t="str">
            <v>INE400G01011</v>
          </cell>
          <cell r="D3198" t="str">
            <v>HRYNSHP</v>
          </cell>
          <cell r="E3198">
            <v>70.63696810399999</v>
          </cell>
          <cell r="F3198" t="str">
            <v>-</v>
          </cell>
          <cell r="G3198" t="str">
            <v>-</v>
          </cell>
          <cell r="H3198" t="str">
            <v>-</v>
          </cell>
          <cell r="I3198" t="str">
            <v>-</v>
          </cell>
          <cell r="J3198">
            <v>70.63696810399999</v>
          </cell>
          <cell r="K3198" t="str">
            <v>Small Cap</v>
          </cell>
        </row>
        <row r="3199">
          <cell r="C3199" t="str">
            <v>INE641A01013</v>
          </cell>
          <cell r="D3199" t="str">
            <v>NEXOME</v>
          </cell>
          <cell r="E3199">
            <v>70.630112499999996</v>
          </cell>
          <cell r="F3199" t="str">
            <v>-</v>
          </cell>
          <cell r="G3199" t="str">
            <v>-</v>
          </cell>
          <cell r="H3199" t="str">
            <v>-</v>
          </cell>
          <cell r="I3199" t="str">
            <v>-</v>
          </cell>
          <cell r="J3199">
            <v>70.630112499999996</v>
          </cell>
          <cell r="K3199" t="str">
            <v>Small Cap</v>
          </cell>
        </row>
        <row r="3200">
          <cell r="C3200" t="str">
            <v>INE880B01015</v>
          </cell>
          <cell r="D3200" t="str">
            <v>ANSALHSG</v>
          </cell>
          <cell r="E3200">
            <v>70.284104399</v>
          </cell>
          <cell r="F3200" t="str">
            <v>-</v>
          </cell>
          <cell r="G3200" t="str">
            <v>-</v>
          </cell>
          <cell r="H3200" t="str">
            <v>-</v>
          </cell>
          <cell r="I3200" t="str">
            <v>-</v>
          </cell>
          <cell r="J3200">
            <v>70.284104399</v>
          </cell>
          <cell r="K3200" t="str">
            <v>Small Cap</v>
          </cell>
        </row>
        <row r="3201">
          <cell r="C3201" t="str">
            <v>INE578C01021</v>
          </cell>
          <cell r="D3201" t="str">
            <v>TPINDIA</v>
          </cell>
          <cell r="E3201">
            <v>70.118428919999999</v>
          </cell>
          <cell r="F3201" t="str">
            <v>-</v>
          </cell>
          <cell r="G3201" t="str">
            <v>-</v>
          </cell>
          <cell r="H3201" t="str">
            <v>-</v>
          </cell>
          <cell r="I3201" t="str">
            <v>-</v>
          </cell>
          <cell r="J3201">
            <v>70.118428919999999</v>
          </cell>
          <cell r="K3201" t="str">
            <v>Small Cap</v>
          </cell>
        </row>
        <row r="3202">
          <cell r="C3202" t="str">
            <v>INE202R01026</v>
          </cell>
          <cell r="D3202" t="str">
            <v>ARCFIN</v>
          </cell>
          <cell r="E3202">
            <v>70.052773505999994</v>
          </cell>
          <cell r="F3202" t="str">
            <v>-</v>
          </cell>
          <cell r="G3202" t="str">
            <v>-</v>
          </cell>
          <cell r="H3202" t="str">
            <v>-</v>
          </cell>
          <cell r="I3202" t="str">
            <v>-</v>
          </cell>
          <cell r="J3202">
            <v>70.052773505999994</v>
          </cell>
          <cell r="K3202" t="str">
            <v>Small Cap</v>
          </cell>
        </row>
        <row r="3203">
          <cell r="C3203" t="str">
            <v>INE427V01013</v>
          </cell>
          <cell r="D3203" t="str">
            <v>ACML</v>
          </cell>
          <cell r="E3203">
            <v>70.038596175999999</v>
          </cell>
          <cell r="F3203" t="str">
            <v>-</v>
          </cell>
          <cell r="G3203" t="str">
            <v>-</v>
          </cell>
          <cell r="H3203" t="str">
            <v>-</v>
          </cell>
          <cell r="I3203" t="str">
            <v>-</v>
          </cell>
          <cell r="J3203">
            <v>70.038596175999999</v>
          </cell>
          <cell r="K3203" t="str">
            <v>Small Cap</v>
          </cell>
        </row>
        <row r="3204">
          <cell r="C3204" t="str">
            <v>INE878P01019</v>
          </cell>
          <cell r="D3204" t="str">
            <v>VISTARAMAR</v>
          </cell>
          <cell r="E3204">
            <v>70.038399999999996</v>
          </cell>
          <cell r="F3204" t="str">
            <v>-</v>
          </cell>
          <cell r="G3204" t="str">
            <v>-</v>
          </cell>
          <cell r="H3204" t="str">
            <v>-</v>
          </cell>
          <cell r="I3204" t="str">
            <v>-</v>
          </cell>
          <cell r="J3204">
            <v>70.038399999999996</v>
          </cell>
          <cell r="K3204" t="str">
            <v>Small Cap</v>
          </cell>
        </row>
        <row r="3205">
          <cell r="C3205" t="str">
            <v>INE096I01021</v>
          </cell>
          <cell r="D3205" t="str">
            <v>ANJANIFOODS</v>
          </cell>
          <cell r="E3205">
            <v>70.027078033000009</v>
          </cell>
          <cell r="F3205" t="str">
            <v>-</v>
          </cell>
          <cell r="G3205" t="str">
            <v>-</v>
          </cell>
          <cell r="H3205" t="str">
            <v>-</v>
          </cell>
          <cell r="I3205" t="str">
            <v>-</v>
          </cell>
          <cell r="J3205">
            <v>70.027078033000009</v>
          </cell>
          <cell r="K3205" t="str">
            <v>Small Cap</v>
          </cell>
        </row>
        <row r="3206">
          <cell r="C3206" t="str">
            <v>INE0PA401012</v>
          </cell>
          <cell r="D3206" t="str">
            <v>IDENTIXWEB</v>
          </cell>
          <cell r="E3206">
            <v>70.023354644000008</v>
          </cell>
          <cell r="F3206" t="str">
            <v>-</v>
          </cell>
          <cell r="G3206" t="str">
            <v>-</v>
          </cell>
          <cell r="H3206" t="str">
            <v>-</v>
          </cell>
          <cell r="I3206" t="str">
            <v>-</v>
          </cell>
          <cell r="J3206">
            <v>70.023354644000008</v>
          </cell>
          <cell r="K3206" t="str">
            <v>Small Cap</v>
          </cell>
        </row>
        <row r="3207">
          <cell r="C3207" t="str">
            <v>INE850R01014</v>
          </cell>
          <cell r="D3207" t="str">
            <v>CMBL</v>
          </cell>
          <cell r="E3207">
            <v>70.005780951999995</v>
          </cell>
          <cell r="F3207" t="str">
            <v>-</v>
          </cell>
          <cell r="G3207" t="str">
            <v>-</v>
          </cell>
          <cell r="H3207" t="str">
            <v>CMBL</v>
          </cell>
          <cell r="I3207">
            <v>69.98946428571432</v>
          </cell>
          <cell r="J3207">
            <v>69.99762261885715</v>
          </cell>
          <cell r="K3207" t="str">
            <v>Small Cap</v>
          </cell>
        </row>
        <row r="3208">
          <cell r="C3208" t="str">
            <v>INE173M01012</v>
          </cell>
          <cell r="D3208" t="str">
            <v>ONIXSOLAR</v>
          </cell>
          <cell r="E3208">
            <v>69.713128570999999</v>
          </cell>
          <cell r="F3208" t="str">
            <v>-</v>
          </cell>
          <cell r="G3208" t="str">
            <v>-</v>
          </cell>
          <cell r="H3208" t="str">
            <v>-</v>
          </cell>
          <cell r="I3208" t="str">
            <v>-</v>
          </cell>
          <cell r="J3208">
            <v>69.713128570999999</v>
          </cell>
          <cell r="K3208" t="str">
            <v>Small Cap</v>
          </cell>
        </row>
        <row r="3209">
          <cell r="C3209" t="str">
            <v>INE875R01011</v>
          </cell>
          <cell r="D3209" t="str">
            <v>BALKRISHNA</v>
          </cell>
          <cell r="E3209">
            <v>69.711048851000001</v>
          </cell>
          <cell r="F3209" t="str">
            <v>BALKRISHNA</v>
          </cell>
          <cell r="G3209">
            <v>69.616699999999994</v>
          </cell>
          <cell r="H3209" t="str">
            <v>-</v>
          </cell>
          <cell r="I3209" t="str">
            <v>-</v>
          </cell>
          <cell r="J3209">
            <v>69.663874425499998</v>
          </cell>
          <cell r="K3209" t="str">
            <v>Small Cap</v>
          </cell>
        </row>
        <row r="3210">
          <cell r="C3210" t="str">
            <v>INE448D01025</v>
          </cell>
          <cell r="D3210" t="str">
            <v>PADAMCO</v>
          </cell>
          <cell r="E3210">
            <v>69.646376189999998</v>
          </cell>
          <cell r="F3210" t="str">
            <v>-</v>
          </cell>
          <cell r="G3210" t="str">
            <v>-</v>
          </cell>
          <cell r="H3210" t="str">
            <v>-</v>
          </cell>
          <cell r="I3210" t="str">
            <v>-</v>
          </cell>
          <cell r="J3210">
            <v>69.646376189999998</v>
          </cell>
          <cell r="K3210" t="str">
            <v>Small Cap</v>
          </cell>
        </row>
        <row r="3211">
          <cell r="C3211" t="str">
            <v>INE624M01014</v>
          </cell>
          <cell r="D3211" t="str">
            <v>LYKISLTD</v>
          </cell>
          <cell r="E3211">
            <v>69.434712219000005</v>
          </cell>
          <cell r="F3211" t="str">
            <v>-</v>
          </cell>
          <cell r="G3211" t="str">
            <v>-</v>
          </cell>
          <cell r="H3211" t="str">
            <v>-</v>
          </cell>
          <cell r="I3211" t="str">
            <v>-</v>
          </cell>
          <cell r="J3211">
            <v>69.434712219000005</v>
          </cell>
          <cell r="K3211" t="str">
            <v>Small Cap</v>
          </cell>
        </row>
        <row r="3212">
          <cell r="C3212" t="str">
            <v>INE0VYX01018</v>
          </cell>
          <cell r="D3212" t="str">
            <v>NUKLEUS</v>
          </cell>
          <cell r="E3212">
            <v>69.377440000000007</v>
          </cell>
          <cell r="F3212" t="str">
            <v>-</v>
          </cell>
          <cell r="G3212" t="str">
            <v>-</v>
          </cell>
          <cell r="H3212" t="str">
            <v>-</v>
          </cell>
          <cell r="I3212" t="str">
            <v>-</v>
          </cell>
          <cell r="J3212">
            <v>69.377440000000007</v>
          </cell>
          <cell r="K3212" t="str">
            <v>Small Cap</v>
          </cell>
        </row>
        <row r="3213">
          <cell r="C3213" t="str">
            <v>INE217S01014</v>
          </cell>
          <cell r="D3213" t="str">
            <v>APOORVA</v>
          </cell>
          <cell r="E3213">
            <v>69.318927176000003</v>
          </cell>
          <cell r="F3213" t="str">
            <v>-</v>
          </cell>
          <cell r="G3213" t="str">
            <v>-</v>
          </cell>
          <cell r="H3213" t="str">
            <v>-</v>
          </cell>
          <cell r="I3213" t="str">
            <v>-</v>
          </cell>
          <cell r="J3213">
            <v>69.318927176000003</v>
          </cell>
          <cell r="K3213" t="str">
            <v>Small Cap</v>
          </cell>
        </row>
        <row r="3214">
          <cell r="C3214" t="str">
            <v>INE951B01014</v>
          </cell>
          <cell r="D3214" t="str">
            <v>KRYPTONQ</v>
          </cell>
          <cell r="E3214">
            <v>69.228031412000007</v>
          </cell>
          <cell r="F3214" t="str">
            <v>-</v>
          </cell>
          <cell r="G3214" t="str">
            <v>-</v>
          </cell>
          <cell r="H3214" t="str">
            <v>-</v>
          </cell>
          <cell r="I3214" t="str">
            <v>-</v>
          </cell>
          <cell r="J3214">
            <v>69.228031412000007</v>
          </cell>
          <cell r="K3214" t="str">
            <v>Small Cap</v>
          </cell>
        </row>
        <row r="3215">
          <cell r="C3215" t="str">
            <v>INE245B01011</v>
          </cell>
          <cell r="D3215" t="str">
            <v>PHOENXINTL</v>
          </cell>
          <cell r="E3215">
            <v>68.777633037000001</v>
          </cell>
          <cell r="F3215" t="str">
            <v>-</v>
          </cell>
          <cell r="G3215" t="str">
            <v>-</v>
          </cell>
          <cell r="H3215" t="str">
            <v>-</v>
          </cell>
          <cell r="I3215" t="str">
            <v>-</v>
          </cell>
          <cell r="J3215">
            <v>68.777633037000001</v>
          </cell>
          <cell r="K3215" t="str">
            <v>Small Cap</v>
          </cell>
        </row>
        <row r="3216">
          <cell r="C3216" t="str">
            <v>INE047O01014</v>
          </cell>
          <cell r="D3216" t="str">
            <v>NIBL</v>
          </cell>
          <cell r="E3216">
            <v>68.754661682000005</v>
          </cell>
          <cell r="F3216" t="str">
            <v>NIBL</v>
          </cell>
          <cell r="G3216">
            <v>68.705399999999997</v>
          </cell>
          <cell r="H3216" t="str">
            <v>-</v>
          </cell>
          <cell r="I3216" t="str">
            <v>-</v>
          </cell>
          <cell r="J3216">
            <v>68.730030841000001</v>
          </cell>
          <cell r="K3216" t="str">
            <v>Small Cap</v>
          </cell>
        </row>
        <row r="3217">
          <cell r="C3217" t="str">
            <v>INE02AP01013</v>
          </cell>
          <cell r="D3217" t="str">
            <v>RONI</v>
          </cell>
          <cell r="E3217">
            <v>68.711632952000002</v>
          </cell>
          <cell r="F3217" t="str">
            <v>-</v>
          </cell>
          <cell r="G3217" t="str">
            <v>-</v>
          </cell>
          <cell r="H3217" t="str">
            <v>-</v>
          </cell>
          <cell r="I3217" t="str">
            <v>-</v>
          </cell>
          <cell r="J3217">
            <v>68.711632952000002</v>
          </cell>
          <cell r="K3217" t="str">
            <v>Small Cap</v>
          </cell>
        </row>
        <row r="3218">
          <cell r="C3218" t="str">
            <v>INE847D01010</v>
          </cell>
          <cell r="D3218" t="str">
            <v>SHREEPAC</v>
          </cell>
          <cell r="E3218">
            <v>68.679208700000004</v>
          </cell>
          <cell r="F3218" t="str">
            <v>-</v>
          </cell>
          <cell r="G3218" t="str">
            <v>-</v>
          </cell>
          <cell r="H3218" t="str">
            <v>-</v>
          </cell>
          <cell r="I3218" t="str">
            <v>-</v>
          </cell>
          <cell r="J3218">
            <v>68.679208700000004</v>
          </cell>
          <cell r="K3218" t="str">
            <v>Small Cap</v>
          </cell>
        </row>
        <row r="3219">
          <cell r="C3219" t="str">
            <v>INE696V01013</v>
          </cell>
          <cell r="D3219" t="str">
            <v>-</v>
          </cell>
          <cell r="E3219" t="str">
            <v>-</v>
          </cell>
          <cell r="F3219" t="str">
            <v>JAIPURKURT</v>
          </cell>
          <cell r="G3219">
            <v>68.557400000000001</v>
          </cell>
          <cell r="H3219" t="str">
            <v>-</v>
          </cell>
          <cell r="I3219" t="str">
            <v>-</v>
          </cell>
          <cell r="J3219">
            <v>68.557400000000001</v>
          </cell>
          <cell r="K3219" t="str">
            <v>Small Cap</v>
          </cell>
        </row>
        <row r="3220">
          <cell r="C3220" t="str">
            <v>INE0I2F01015</v>
          </cell>
          <cell r="D3220" t="str">
            <v>PROMAX</v>
          </cell>
          <cell r="E3220">
            <v>68.510119048000007</v>
          </cell>
          <cell r="F3220" t="str">
            <v>-</v>
          </cell>
          <cell r="G3220" t="str">
            <v>-</v>
          </cell>
          <cell r="H3220" t="str">
            <v>-</v>
          </cell>
          <cell r="I3220" t="str">
            <v>-</v>
          </cell>
          <cell r="J3220">
            <v>68.510119048000007</v>
          </cell>
          <cell r="K3220" t="str">
            <v>Small Cap</v>
          </cell>
        </row>
        <row r="3221">
          <cell r="C3221" t="str">
            <v>INE0NXA01015</v>
          </cell>
          <cell r="D3221" t="str">
            <v>COMRADE</v>
          </cell>
          <cell r="E3221">
            <v>68.440393670000006</v>
          </cell>
          <cell r="F3221" t="str">
            <v>-</v>
          </cell>
          <cell r="G3221" t="str">
            <v>-</v>
          </cell>
          <cell r="H3221" t="str">
            <v>-</v>
          </cell>
          <cell r="I3221" t="str">
            <v>-</v>
          </cell>
          <cell r="J3221">
            <v>68.440393670000006</v>
          </cell>
          <cell r="K3221" t="str">
            <v>Small Cap</v>
          </cell>
        </row>
        <row r="3222">
          <cell r="C3222" t="str">
            <v>INE819K01014</v>
          </cell>
          <cell r="D3222" t="str">
            <v>AASTAFIN</v>
          </cell>
          <cell r="E3222">
            <v>68.291506626</v>
          </cell>
          <cell r="F3222" t="str">
            <v>-</v>
          </cell>
          <cell r="G3222" t="str">
            <v>-</v>
          </cell>
          <cell r="H3222" t="str">
            <v>-</v>
          </cell>
          <cell r="I3222" t="str">
            <v>-</v>
          </cell>
          <cell r="J3222">
            <v>68.291506626</v>
          </cell>
          <cell r="K3222" t="str">
            <v>Small Cap</v>
          </cell>
        </row>
        <row r="3223">
          <cell r="C3223" t="str">
            <v>INE380K01017</v>
          </cell>
          <cell r="D3223" t="str">
            <v>VIVOBIOT</v>
          </cell>
          <cell r="E3223">
            <v>68.289702071999997</v>
          </cell>
          <cell r="F3223" t="str">
            <v>-</v>
          </cell>
          <cell r="G3223" t="str">
            <v>-</v>
          </cell>
          <cell r="H3223" t="str">
            <v>-</v>
          </cell>
          <cell r="I3223" t="str">
            <v>-</v>
          </cell>
          <cell r="J3223">
            <v>68.289702071999997</v>
          </cell>
          <cell r="K3223" t="str">
            <v>Small Cap</v>
          </cell>
        </row>
        <row r="3224">
          <cell r="C3224" t="str">
            <v>INE333E01019</v>
          </cell>
          <cell r="D3224" t="str">
            <v>UNIQUEO</v>
          </cell>
          <cell r="E3224">
            <v>68.234136429000003</v>
          </cell>
          <cell r="F3224" t="str">
            <v>-</v>
          </cell>
          <cell r="G3224" t="str">
            <v>-</v>
          </cell>
          <cell r="H3224" t="str">
            <v>-</v>
          </cell>
          <cell r="I3224" t="str">
            <v>-</v>
          </cell>
          <cell r="J3224">
            <v>68.234136429000003</v>
          </cell>
          <cell r="K3224" t="str">
            <v>Small Cap</v>
          </cell>
        </row>
        <row r="3225">
          <cell r="C3225" t="str">
            <v>INE185H01016</v>
          </cell>
          <cell r="D3225" t="str">
            <v>CELEBRITY</v>
          </cell>
          <cell r="E3225">
            <v>68.252211668000001</v>
          </cell>
          <cell r="F3225" t="str">
            <v>CELEBRITY</v>
          </cell>
          <cell r="G3225">
            <v>68.1404</v>
          </cell>
          <cell r="H3225" t="str">
            <v>-</v>
          </cell>
          <cell r="I3225" t="str">
            <v>-</v>
          </cell>
          <cell r="J3225">
            <v>68.196305834</v>
          </cell>
          <cell r="K3225" t="str">
            <v>Small Cap</v>
          </cell>
        </row>
        <row r="3226">
          <cell r="C3226" t="str">
            <v>INE14OX01013</v>
          </cell>
          <cell r="D3226" t="str">
            <v>TAKYON</v>
          </cell>
          <cell r="E3226">
            <v>68.188187760000005</v>
          </cell>
          <cell r="F3226" t="str">
            <v>-</v>
          </cell>
          <cell r="G3226" t="str">
            <v>-</v>
          </cell>
          <cell r="H3226" t="str">
            <v>-</v>
          </cell>
          <cell r="I3226" t="str">
            <v>-</v>
          </cell>
          <cell r="J3226">
            <v>68.188187760000005</v>
          </cell>
          <cell r="K3226" t="str">
            <v>Small Cap</v>
          </cell>
        </row>
        <row r="3227">
          <cell r="C3227" t="str">
            <v>INE231N01024</v>
          </cell>
          <cell r="D3227" t="str">
            <v>MISHKAFIN</v>
          </cell>
          <cell r="E3227">
            <v>68.098423999999994</v>
          </cell>
          <cell r="F3227" t="str">
            <v>-</v>
          </cell>
          <cell r="G3227" t="str">
            <v>-</v>
          </cell>
          <cell r="H3227" t="str">
            <v>-</v>
          </cell>
          <cell r="I3227" t="str">
            <v>-</v>
          </cell>
          <cell r="J3227">
            <v>68.098423999999994</v>
          </cell>
          <cell r="K3227" t="str">
            <v>Small Cap</v>
          </cell>
        </row>
        <row r="3228">
          <cell r="C3228" t="str">
            <v>INE531X01018</v>
          </cell>
          <cell r="D3228" t="str">
            <v>SAICAPI</v>
          </cell>
          <cell r="E3228">
            <v>68.083105142999997</v>
          </cell>
          <cell r="F3228" t="str">
            <v>-</v>
          </cell>
          <cell r="G3228" t="str">
            <v>-</v>
          </cell>
          <cell r="H3228" t="str">
            <v>-</v>
          </cell>
          <cell r="I3228" t="str">
            <v>-</v>
          </cell>
          <cell r="J3228">
            <v>68.083105142999997</v>
          </cell>
          <cell r="K3228" t="str">
            <v>Small Cap</v>
          </cell>
        </row>
        <row r="3229">
          <cell r="C3229" t="str">
            <v>INE357B01022</v>
          </cell>
          <cell r="D3229" t="str">
            <v>RAMINFO</v>
          </cell>
          <cell r="E3229">
            <v>68.045427592999999</v>
          </cell>
          <cell r="F3229" t="str">
            <v>-</v>
          </cell>
          <cell r="G3229" t="str">
            <v>-</v>
          </cell>
          <cell r="H3229" t="str">
            <v>-</v>
          </cell>
          <cell r="I3229" t="str">
            <v>-</v>
          </cell>
          <cell r="J3229">
            <v>68.045427592999999</v>
          </cell>
          <cell r="K3229" t="str">
            <v>Small Cap</v>
          </cell>
        </row>
        <row r="3230">
          <cell r="C3230" t="str">
            <v>INE858L01010</v>
          </cell>
          <cell r="D3230" t="str">
            <v>CONCORD</v>
          </cell>
          <cell r="E3230">
            <v>67.768253967999996</v>
          </cell>
          <cell r="F3230" t="str">
            <v>-</v>
          </cell>
          <cell r="G3230" t="str">
            <v>-</v>
          </cell>
          <cell r="H3230" t="str">
            <v>-</v>
          </cell>
          <cell r="I3230" t="str">
            <v>-</v>
          </cell>
          <cell r="J3230">
            <v>67.768253967999996</v>
          </cell>
          <cell r="K3230" t="str">
            <v>Small Cap</v>
          </cell>
        </row>
        <row r="3231">
          <cell r="C3231" t="str">
            <v>INE1FHV01026</v>
          </cell>
          <cell r="D3231" t="str">
            <v>UNISEM</v>
          </cell>
          <cell r="E3231">
            <v>67.708699999999993</v>
          </cell>
          <cell r="F3231" t="str">
            <v>-</v>
          </cell>
          <cell r="G3231" t="str">
            <v>-</v>
          </cell>
          <cell r="H3231" t="str">
            <v>-</v>
          </cell>
          <cell r="I3231" t="str">
            <v>-</v>
          </cell>
          <cell r="J3231">
            <v>67.708699999999993</v>
          </cell>
          <cell r="K3231" t="str">
            <v>Small Cap</v>
          </cell>
        </row>
        <row r="3232">
          <cell r="C3232" t="str">
            <v>INE609A01010</v>
          </cell>
          <cell r="D3232" t="str">
            <v>PUNJCOMMU</v>
          </cell>
          <cell r="E3232">
            <v>67.550487523000001</v>
          </cell>
          <cell r="F3232" t="str">
            <v>-</v>
          </cell>
          <cell r="G3232" t="str">
            <v>-</v>
          </cell>
          <cell r="H3232" t="str">
            <v>-</v>
          </cell>
          <cell r="I3232" t="str">
            <v>-</v>
          </cell>
          <cell r="J3232">
            <v>67.550487523000001</v>
          </cell>
          <cell r="K3232" t="str">
            <v>Small Cap</v>
          </cell>
        </row>
        <row r="3233">
          <cell r="C3233" t="str">
            <v>INE061B01020</v>
          </cell>
          <cell r="D3233" t="str">
            <v>ALKA</v>
          </cell>
          <cell r="E3233">
            <v>67.5</v>
          </cell>
          <cell r="F3233" t="str">
            <v>-</v>
          </cell>
          <cell r="G3233" t="str">
            <v>-</v>
          </cell>
          <cell r="H3233" t="str">
            <v>-</v>
          </cell>
          <cell r="I3233" t="str">
            <v>-</v>
          </cell>
          <cell r="J3233">
            <v>67.5</v>
          </cell>
          <cell r="K3233" t="str">
            <v>Small Cap</v>
          </cell>
        </row>
        <row r="3234">
          <cell r="C3234" t="str">
            <v>INE186C01023</v>
          </cell>
          <cell r="D3234" t="str">
            <v>MEFCOMCAP</v>
          </cell>
          <cell r="E3234">
            <v>67.468585337999997</v>
          </cell>
          <cell r="F3234" t="str">
            <v>-</v>
          </cell>
          <cell r="G3234" t="str">
            <v>-</v>
          </cell>
          <cell r="H3234" t="str">
            <v>-</v>
          </cell>
          <cell r="I3234" t="str">
            <v>-</v>
          </cell>
          <cell r="J3234">
            <v>67.468585337999997</v>
          </cell>
          <cell r="K3234" t="str">
            <v>Small Cap</v>
          </cell>
        </row>
        <row r="3235">
          <cell r="C3235" t="str">
            <v>INE982V01025</v>
          </cell>
          <cell r="D3235" t="str">
            <v>JETFREIGHT</v>
          </cell>
          <cell r="E3235">
            <v>67.250868103999991</v>
          </cell>
          <cell r="F3235" t="str">
            <v>JETFREIGHT</v>
          </cell>
          <cell r="G3235">
            <v>67.162099999999995</v>
          </cell>
          <cell r="H3235" t="str">
            <v>-</v>
          </cell>
          <cell r="I3235" t="str">
            <v>-</v>
          </cell>
          <cell r="J3235">
            <v>67.206484051999993</v>
          </cell>
          <cell r="K3235" t="str">
            <v>Small Cap</v>
          </cell>
        </row>
        <row r="3236">
          <cell r="C3236" t="str">
            <v>INE757D01011</v>
          </cell>
          <cell r="D3236" t="str">
            <v>TEEAI</v>
          </cell>
          <cell r="E3236">
            <v>67.144576189999995</v>
          </cell>
          <cell r="F3236" t="str">
            <v>-</v>
          </cell>
          <cell r="G3236" t="str">
            <v>-</v>
          </cell>
          <cell r="H3236" t="str">
            <v>-</v>
          </cell>
          <cell r="I3236" t="str">
            <v>-</v>
          </cell>
          <cell r="J3236">
            <v>67.144576189999995</v>
          </cell>
          <cell r="K3236" t="str">
            <v>Small Cap</v>
          </cell>
        </row>
        <row r="3237">
          <cell r="C3237" t="str">
            <v>INE871H01011</v>
          </cell>
          <cell r="D3237" t="str">
            <v>GSS</v>
          </cell>
          <cell r="E3237">
            <v>66.726314087000006</v>
          </cell>
          <cell r="F3237" t="str">
            <v>GSS</v>
          </cell>
          <cell r="G3237">
            <v>66.637900000000002</v>
          </cell>
          <cell r="H3237" t="str">
            <v>-</v>
          </cell>
          <cell r="I3237" t="str">
            <v>-</v>
          </cell>
          <cell r="J3237">
            <v>66.682107043499997</v>
          </cell>
          <cell r="K3237" t="str">
            <v>Small Cap</v>
          </cell>
        </row>
        <row r="3238">
          <cell r="C3238" t="str">
            <v>INE10XS01012</v>
          </cell>
          <cell r="D3238" t="str">
            <v>SAMPAT</v>
          </cell>
          <cell r="E3238">
            <v>66.667268845000009</v>
          </cell>
          <cell r="F3238" t="str">
            <v>-</v>
          </cell>
          <cell r="G3238" t="str">
            <v>-</v>
          </cell>
          <cell r="H3238" t="str">
            <v>-</v>
          </cell>
          <cell r="I3238" t="str">
            <v>-</v>
          </cell>
          <cell r="J3238">
            <v>66.667268845000009</v>
          </cell>
          <cell r="K3238" t="str">
            <v>Small Cap</v>
          </cell>
        </row>
        <row r="3239">
          <cell r="C3239" t="str">
            <v>INE714D01020</v>
          </cell>
          <cell r="D3239" t="str">
            <v>CONART</v>
          </cell>
          <cell r="E3239">
            <v>66.660555238000001</v>
          </cell>
          <cell r="F3239" t="str">
            <v>-</v>
          </cell>
          <cell r="G3239" t="str">
            <v>-</v>
          </cell>
          <cell r="H3239" t="str">
            <v>-</v>
          </cell>
          <cell r="I3239" t="str">
            <v>-</v>
          </cell>
          <cell r="J3239">
            <v>66.660555238000001</v>
          </cell>
          <cell r="K3239" t="str">
            <v>Small Cap</v>
          </cell>
        </row>
        <row r="3240">
          <cell r="C3240" t="str">
            <v>INE829A01014</v>
          </cell>
          <cell r="D3240" t="str">
            <v>BIOFILCHEM</v>
          </cell>
          <cell r="E3240">
            <v>66.683832856999999</v>
          </cell>
          <cell r="F3240" t="str">
            <v>BIOFILCHEM</v>
          </cell>
          <cell r="G3240">
            <v>66.625299999999996</v>
          </cell>
          <cell r="H3240" t="str">
            <v>-</v>
          </cell>
          <cell r="I3240" t="str">
            <v>-</v>
          </cell>
          <cell r="J3240">
            <v>66.654566428500004</v>
          </cell>
          <cell r="K3240" t="str">
            <v>Small Cap</v>
          </cell>
        </row>
        <row r="3241">
          <cell r="C3241" t="str">
            <v>INE469D01013</v>
          </cell>
          <cell r="D3241" t="str">
            <v>WIREFABR</v>
          </cell>
          <cell r="E3241">
            <v>66.599811012000004</v>
          </cell>
          <cell r="F3241" t="str">
            <v>-</v>
          </cell>
          <cell r="G3241" t="str">
            <v>-</v>
          </cell>
          <cell r="H3241" t="str">
            <v>-</v>
          </cell>
          <cell r="I3241" t="str">
            <v>-</v>
          </cell>
          <cell r="J3241">
            <v>66.599811012000004</v>
          </cell>
          <cell r="K3241" t="str">
            <v>Small Cap</v>
          </cell>
        </row>
        <row r="3242">
          <cell r="C3242" t="str">
            <v>INE725L01011</v>
          </cell>
          <cell r="D3242" t="str">
            <v>KARMAENG</v>
          </cell>
          <cell r="E3242">
            <v>67.285409076999997</v>
          </cell>
          <cell r="F3242" t="str">
            <v>KARMAENG</v>
          </cell>
          <cell r="G3242">
            <v>65.726799999999997</v>
          </cell>
          <cell r="H3242" t="str">
            <v>-</v>
          </cell>
          <cell r="I3242" t="str">
            <v>-</v>
          </cell>
          <cell r="J3242">
            <v>66.506104538499997</v>
          </cell>
          <cell r="K3242" t="str">
            <v>Small Cap</v>
          </cell>
        </row>
        <row r="3243">
          <cell r="C3243" t="str">
            <v>INE287Z01012</v>
          </cell>
          <cell r="D3243" t="str">
            <v>GAYAHWS</v>
          </cell>
          <cell r="E3243">
            <v>66.788702130999994</v>
          </cell>
          <cell r="F3243" t="str">
            <v>GAYAHWS</v>
          </cell>
          <cell r="G3243">
            <v>66.123000000000005</v>
          </cell>
          <cell r="H3243" t="str">
            <v>-</v>
          </cell>
          <cell r="I3243" t="str">
            <v>-</v>
          </cell>
          <cell r="J3243">
            <v>66.455851065499999</v>
          </cell>
          <cell r="K3243" t="str">
            <v>Small Cap</v>
          </cell>
        </row>
        <row r="3244">
          <cell r="C3244" t="str">
            <v>INE731A01020</v>
          </cell>
          <cell r="D3244" t="str">
            <v>ARCHIES</v>
          </cell>
          <cell r="E3244">
            <v>66.490836189999996</v>
          </cell>
          <cell r="F3244" t="str">
            <v>ARCHIES</v>
          </cell>
          <cell r="G3244">
            <v>66.411199999999994</v>
          </cell>
          <cell r="H3244" t="str">
            <v>-</v>
          </cell>
          <cell r="I3244" t="str">
            <v>-</v>
          </cell>
          <cell r="J3244">
            <v>66.451018094999995</v>
          </cell>
          <cell r="K3244" t="str">
            <v>Small Cap</v>
          </cell>
        </row>
        <row r="3245">
          <cell r="C3245" t="str">
            <v>INE168C01013</v>
          </cell>
          <cell r="D3245" t="str">
            <v>HILLTONE</v>
          </cell>
          <cell r="E3245">
            <v>66.390035600000004</v>
          </cell>
          <cell r="F3245" t="str">
            <v>-</v>
          </cell>
          <cell r="G3245" t="str">
            <v>-</v>
          </cell>
          <cell r="H3245" t="str">
            <v>-</v>
          </cell>
          <cell r="I3245" t="str">
            <v>-</v>
          </cell>
          <cell r="J3245">
            <v>66.390035600000004</v>
          </cell>
          <cell r="K3245" t="str">
            <v>Small Cap</v>
          </cell>
        </row>
        <row r="3246">
          <cell r="C3246" t="str">
            <v>INE771E01010</v>
          </cell>
          <cell r="D3246" t="str">
            <v>ASSOCER</v>
          </cell>
          <cell r="E3246">
            <v>66.361900000000006</v>
          </cell>
          <cell r="F3246" t="str">
            <v>-</v>
          </cell>
          <cell r="G3246" t="str">
            <v>-</v>
          </cell>
          <cell r="H3246" t="str">
            <v>-</v>
          </cell>
          <cell r="I3246" t="str">
            <v>-</v>
          </cell>
          <cell r="J3246">
            <v>66.361900000000006</v>
          </cell>
          <cell r="K3246" t="str">
            <v>Small Cap</v>
          </cell>
        </row>
        <row r="3247">
          <cell r="C3247" t="str">
            <v>INE532B01020</v>
          </cell>
          <cell r="D3247" t="str">
            <v>ISTRNETWK</v>
          </cell>
          <cell r="E3247">
            <v>66.354740476000003</v>
          </cell>
          <cell r="F3247" t="str">
            <v>-</v>
          </cell>
          <cell r="G3247" t="str">
            <v>-</v>
          </cell>
          <cell r="H3247" t="str">
            <v>-</v>
          </cell>
          <cell r="I3247" t="str">
            <v>-</v>
          </cell>
          <cell r="J3247">
            <v>66.354740476000003</v>
          </cell>
          <cell r="K3247" t="str">
            <v>Small Cap</v>
          </cell>
        </row>
        <row r="3248">
          <cell r="C3248" t="str">
            <v>INE358C01010</v>
          </cell>
          <cell r="D3248" t="str">
            <v>CEEJAY</v>
          </cell>
          <cell r="E3248">
            <v>66.268613095000006</v>
          </cell>
          <cell r="F3248" t="str">
            <v>-</v>
          </cell>
          <cell r="G3248" t="str">
            <v>-</v>
          </cell>
          <cell r="H3248" t="str">
            <v>-</v>
          </cell>
          <cell r="I3248" t="str">
            <v>-</v>
          </cell>
          <cell r="J3248">
            <v>66.268613095000006</v>
          </cell>
          <cell r="K3248" t="str">
            <v>Small Cap</v>
          </cell>
        </row>
        <row r="3249">
          <cell r="C3249" t="str">
            <v>INE967A01012</v>
          </cell>
          <cell r="D3249" t="str">
            <v>SWARNSAR</v>
          </cell>
          <cell r="E3249">
            <v>66.133725866999995</v>
          </cell>
          <cell r="F3249" t="str">
            <v>-</v>
          </cell>
          <cell r="G3249" t="str">
            <v>-</v>
          </cell>
          <cell r="H3249" t="str">
            <v>-</v>
          </cell>
          <cell r="I3249" t="str">
            <v>-</v>
          </cell>
          <cell r="J3249">
            <v>66.133725866999995</v>
          </cell>
          <cell r="K3249" t="str">
            <v>Small Cap</v>
          </cell>
        </row>
        <row r="3250">
          <cell r="C3250" t="str">
            <v>INE669Y01022</v>
          </cell>
          <cell r="D3250" t="str">
            <v>SHARIKA</v>
          </cell>
          <cell r="E3250">
            <v>66.132502380999995</v>
          </cell>
          <cell r="F3250" t="str">
            <v>-</v>
          </cell>
          <cell r="G3250" t="str">
            <v>-</v>
          </cell>
          <cell r="H3250" t="str">
            <v>-</v>
          </cell>
          <cell r="I3250" t="str">
            <v>-</v>
          </cell>
          <cell r="J3250">
            <v>66.132502380999995</v>
          </cell>
          <cell r="K3250" t="str">
            <v>Small Cap</v>
          </cell>
        </row>
        <row r="3251">
          <cell r="C3251" t="str">
            <v>INE0XAY01012</v>
          </cell>
          <cell r="D3251" t="str">
            <v>TTC</v>
          </cell>
          <cell r="E3251">
            <v>66.110024999999993</v>
          </cell>
          <cell r="F3251" t="str">
            <v>-</v>
          </cell>
          <cell r="G3251" t="str">
            <v>-</v>
          </cell>
          <cell r="H3251" t="str">
            <v>-</v>
          </cell>
          <cell r="I3251" t="str">
            <v>-</v>
          </cell>
          <cell r="J3251">
            <v>66.110024999999993</v>
          </cell>
          <cell r="K3251" t="str">
            <v>Small Cap</v>
          </cell>
        </row>
        <row r="3252">
          <cell r="C3252" t="str">
            <v>INE759I01024</v>
          </cell>
          <cell r="D3252" t="str">
            <v>PERFEPA</v>
          </cell>
          <cell r="E3252">
            <v>66.100294286000008</v>
          </cell>
          <cell r="F3252" t="str">
            <v>-</v>
          </cell>
          <cell r="G3252" t="str">
            <v>-</v>
          </cell>
          <cell r="H3252" t="str">
            <v>-</v>
          </cell>
          <cell r="I3252" t="str">
            <v>-</v>
          </cell>
          <cell r="J3252">
            <v>66.100294286000008</v>
          </cell>
          <cell r="K3252" t="str">
            <v>Small Cap</v>
          </cell>
        </row>
        <row r="3253">
          <cell r="C3253" t="str">
            <v>INE141D01018</v>
          </cell>
          <cell r="D3253" t="str">
            <v>TNTELE</v>
          </cell>
          <cell r="E3253">
            <v>66.397696048</v>
          </cell>
          <cell r="F3253" t="str">
            <v>TNTELE</v>
          </cell>
          <cell r="G3253">
            <v>65.723699999999994</v>
          </cell>
          <cell r="H3253" t="str">
            <v>-</v>
          </cell>
          <cell r="I3253" t="str">
            <v>-</v>
          </cell>
          <cell r="J3253">
            <v>66.060698024000004</v>
          </cell>
          <cell r="K3253" t="str">
            <v>Small Cap</v>
          </cell>
        </row>
        <row r="3254">
          <cell r="C3254" t="str">
            <v>INE0SC101013</v>
          </cell>
          <cell r="D3254" t="str">
            <v>SEVL</v>
          </cell>
          <cell r="E3254">
            <v>65.974235845999999</v>
          </cell>
          <cell r="F3254" t="str">
            <v>-</v>
          </cell>
          <cell r="G3254" t="str">
            <v>-</v>
          </cell>
          <cell r="H3254" t="str">
            <v>-</v>
          </cell>
          <cell r="I3254" t="str">
            <v>-</v>
          </cell>
          <cell r="J3254">
            <v>65.974235845999999</v>
          </cell>
          <cell r="K3254" t="str">
            <v>Small Cap</v>
          </cell>
        </row>
        <row r="3255">
          <cell r="C3255" t="str">
            <v>INE440C01016</v>
          </cell>
          <cell r="D3255" t="str">
            <v>SABOOSOD</v>
          </cell>
          <cell r="E3255">
            <v>65.953185786999995</v>
          </cell>
          <cell r="F3255" t="str">
            <v>-</v>
          </cell>
          <cell r="G3255" t="str">
            <v>-</v>
          </cell>
          <cell r="H3255" t="str">
            <v>-</v>
          </cell>
          <cell r="I3255" t="str">
            <v>-</v>
          </cell>
          <cell r="J3255">
            <v>65.953185786999995</v>
          </cell>
          <cell r="K3255" t="str">
            <v>Small Cap</v>
          </cell>
        </row>
        <row r="3256">
          <cell r="C3256" t="str">
            <v>INE650C01036</v>
          </cell>
          <cell r="D3256" t="str">
            <v>DILIGENT</v>
          </cell>
          <cell r="E3256">
            <v>65.890152952999998</v>
          </cell>
          <cell r="F3256" t="str">
            <v>-</v>
          </cell>
          <cell r="G3256" t="str">
            <v>-</v>
          </cell>
          <cell r="H3256" t="str">
            <v>-</v>
          </cell>
          <cell r="I3256" t="str">
            <v>-</v>
          </cell>
          <cell r="J3256">
            <v>65.890152952999998</v>
          </cell>
          <cell r="K3256" t="str">
            <v>Small Cap</v>
          </cell>
        </row>
        <row r="3257">
          <cell r="C3257" t="str">
            <v>INE380G01015</v>
          </cell>
          <cell r="D3257" t="str">
            <v>ZWELCAST</v>
          </cell>
          <cell r="E3257">
            <v>65.886020786000003</v>
          </cell>
          <cell r="F3257" t="str">
            <v>-</v>
          </cell>
          <cell r="G3257" t="str">
            <v>-</v>
          </cell>
          <cell r="H3257" t="str">
            <v>-</v>
          </cell>
          <cell r="I3257" t="str">
            <v>-</v>
          </cell>
          <cell r="J3257">
            <v>65.886020786000003</v>
          </cell>
          <cell r="K3257" t="str">
            <v>Small Cap</v>
          </cell>
        </row>
        <row r="3258">
          <cell r="C3258" t="str">
            <v>INE843L01012</v>
          </cell>
          <cell r="D3258" t="str">
            <v>SIEL</v>
          </cell>
          <cell r="E3258">
            <v>65.884889682999997</v>
          </cell>
          <cell r="F3258" t="str">
            <v>-</v>
          </cell>
          <cell r="G3258" t="str">
            <v>-</v>
          </cell>
          <cell r="H3258" t="str">
            <v>-</v>
          </cell>
          <cell r="I3258" t="str">
            <v>-</v>
          </cell>
          <cell r="J3258">
            <v>65.884889682999997</v>
          </cell>
          <cell r="K3258" t="str">
            <v>Small Cap</v>
          </cell>
        </row>
        <row r="3259">
          <cell r="C3259" t="str">
            <v>INE688Y01022</v>
          </cell>
          <cell r="D3259" t="str">
            <v>-</v>
          </cell>
          <cell r="E3259" t="str">
            <v>-</v>
          </cell>
          <cell r="F3259" t="str">
            <v>DANGEE</v>
          </cell>
          <cell r="G3259">
            <v>65.852400000000003</v>
          </cell>
          <cell r="H3259" t="str">
            <v>-</v>
          </cell>
          <cell r="I3259" t="str">
            <v>-</v>
          </cell>
          <cell r="J3259">
            <v>65.852400000000003</v>
          </cell>
          <cell r="K3259" t="str">
            <v>Small Cap</v>
          </cell>
        </row>
        <row r="3260">
          <cell r="C3260" t="str">
            <v>INE383H01017</v>
          </cell>
          <cell r="D3260" t="str">
            <v>MALUPAPER</v>
          </cell>
          <cell r="E3260">
            <v>65.718458979999994</v>
          </cell>
          <cell r="F3260" t="str">
            <v>MALUPAPER</v>
          </cell>
          <cell r="G3260">
            <v>65.591700000000003</v>
          </cell>
          <cell r="H3260" t="str">
            <v>-</v>
          </cell>
          <cell r="I3260" t="str">
            <v>-</v>
          </cell>
          <cell r="J3260">
            <v>65.655079489999991</v>
          </cell>
          <cell r="K3260" t="str">
            <v>Small Cap</v>
          </cell>
        </row>
        <row r="3261">
          <cell r="C3261" t="str">
            <v>INE950G01023</v>
          </cell>
          <cell r="D3261" t="str">
            <v>UNIPLY</v>
          </cell>
          <cell r="E3261">
            <v>65.589727740000001</v>
          </cell>
          <cell r="F3261" t="str">
            <v>-</v>
          </cell>
          <cell r="G3261" t="str">
            <v>-</v>
          </cell>
          <cell r="H3261" t="str">
            <v>-</v>
          </cell>
          <cell r="I3261" t="str">
            <v>-</v>
          </cell>
          <cell r="J3261">
            <v>65.589727740000001</v>
          </cell>
          <cell r="K3261" t="str">
            <v>Small Cap</v>
          </cell>
        </row>
        <row r="3262">
          <cell r="C3262" t="str">
            <v>INE840I01014</v>
          </cell>
          <cell r="D3262" t="str">
            <v>RTFL</v>
          </cell>
          <cell r="E3262">
            <v>65.504353963</v>
          </cell>
          <cell r="F3262" t="str">
            <v>-</v>
          </cell>
          <cell r="G3262" t="str">
            <v>-</v>
          </cell>
          <cell r="H3262" t="str">
            <v>-</v>
          </cell>
          <cell r="I3262" t="str">
            <v>-</v>
          </cell>
          <cell r="J3262">
            <v>65.504353963</v>
          </cell>
          <cell r="K3262" t="str">
            <v>Small Cap</v>
          </cell>
        </row>
        <row r="3263">
          <cell r="C3263" t="str">
            <v>INE130F01016</v>
          </cell>
          <cell r="D3263" t="str">
            <v>KEYCORP</v>
          </cell>
          <cell r="E3263">
            <v>65.409047619000006</v>
          </cell>
          <cell r="F3263" t="str">
            <v>-</v>
          </cell>
          <cell r="G3263" t="str">
            <v>-</v>
          </cell>
          <cell r="H3263" t="str">
            <v>-</v>
          </cell>
          <cell r="I3263" t="str">
            <v>-</v>
          </cell>
          <cell r="J3263">
            <v>65.409047619000006</v>
          </cell>
          <cell r="K3263" t="str">
            <v>Small Cap</v>
          </cell>
        </row>
        <row r="3264">
          <cell r="C3264" t="str">
            <v>INE372D01019</v>
          </cell>
          <cell r="D3264" t="str">
            <v>GUJCRAFT</v>
          </cell>
          <cell r="E3264">
            <v>65.349587713999995</v>
          </cell>
          <cell r="F3264" t="str">
            <v>-</v>
          </cell>
          <cell r="G3264" t="str">
            <v>-</v>
          </cell>
          <cell r="H3264" t="str">
            <v>-</v>
          </cell>
          <cell r="I3264" t="str">
            <v>-</v>
          </cell>
          <cell r="J3264">
            <v>65.349587713999995</v>
          </cell>
          <cell r="K3264" t="str">
            <v>Small Cap</v>
          </cell>
        </row>
        <row r="3265">
          <cell r="C3265" t="str">
            <v>INE699D01015</v>
          </cell>
          <cell r="D3265" t="str">
            <v>JUMBO</v>
          </cell>
          <cell r="E3265">
            <v>65.231854037000005</v>
          </cell>
          <cell r="F3265" t="str">
            <v>-</v>
          </cell>
          <cell r="G3265" t="str">
            <v>-</v>
          </cell>
          <cell r="H3265" t="str">
            <v>-</v>
          </cell>
          <cell r="I3265" t="str">
            <v>-</v>
          </cell>
          <cell r="J3265">
            <v>65.231854037000005</v>
          </cell>
          <cell r="K3265" t="str">
            <v>Small Cap</v>
          </cell>
        </row>
        <row r="3266">
          <cell r="C3266" t="str">
            <v>INE802A01037</v>
          </cell>
          <cell r="D3266" t="str">
            <v>BAMPSL</v>
          </cell>
          <cell r="E3266">
            <v>65.119044994000006</v>
          </cell>
          <cell r="F3266" t="str">
            <v>-</v>
          </cell>
          <cell r="G3266" t="str">
            <v>-</v>
          </cell>
          <cell r="H3266" t="str">
            <v>-</v>
          </cell>
          <cell r="I3266" t="str">
            <v>-</v>
          </cell>
          <cell r="J3266">
            <v>65.119044994000006</v>
          </cell>
          <cell r="K3266" t="str">
            <v>Small Cap</v>
          </cell>
        </row>
        <row r="3267">
          <cell r="C3267" t="str">
            <v>INE569B01022</v>
          </cell>
          <cell r="D3267" t="str">
            <v>ISLCONSUL</v>
          </cell>
          <cell r="E3267">
            <v>65.060761904999993</v>
          </cell>
          <cell r="F3267" t="str">
            <v>-</v>
          </cell>
          <cell r="G3267" t="str">
            <v>-</v>
          </cell>
          <cell r="H3267" t="str">
            <v>-</v>
          </cell>
          <cell r="I3267" t="str">
            <v>-</v>
          </cell>
          <cell r="J3267">
            <v>65.060761904999993</v>
          </cell>
          <cell r="K3267" t="str">
            <v>Small Cap</v>
          </cell>
        </row>
        <row r="3268">
          <cell r="C3268" t="str">
            <v>INE653D01012</v>
          </cell>
          <cell r="D3268" t="str">
            <v>SAMINDUS</v>
          </cell>
          <cell r="E3268">
            <v>64.828299835999999</v>
          </cell>
          <cell r="F3268" t="str">
            <v>-</v>
          </cell>
          <cell r="G3268" t="str">
            <v>-</v>
          </cell>
          <cell r="H3268" t="str">
            <v>-</v>
          </cell>
          <cell r="I3268" t="str">
            <v>-</v>
          </cell>
          <cell r="J3268">
            <v>64.828299835999999</v>
          </cell>
          <cell r="K3268" t="str">
            <v>Small Cap</v>
          </cell>
        </row>
        <row r="3269">
          <cell r="C3269" t="str">
            <v>INE954B01018</v>
          </cell>
          <cell r="D3269" t="str">
            <v>FLEXFO</v>
          </cell>
          <cell r="E3269">
            <v>64.827347619000008</v>
          </cell>
          <cell r="F3269" t="str">
            <v>-</v>
          </cell>
          <cell r="G3269" t="str">
            <v>-</v>
          </cell>
          <cell r="H3269" t="str">
            <v>-</v>
          </cell>
          <cell r="I3269" t="str">
            <v>-</v>
          </cell>
          <cell r="J3269">
            <v>64.827347619000008</v>
          </cell>
          <cell r="K3269" t="str">
            <v>Small Cap</v>
          </cell>
        </row>
        <row r="3270">
          <cell r="C3270" t="str">
            <v>INE722J01012</v>
          </cell>
          <cell r="D3270" t="str">
            <v>RKDL</v>
          </cell>
          <cell r="E3270">
            <v>64.771809524000005</v>
          </cell>
          <cell r="F3270" t="str">
            <v>RKDL</v>
          </cell>
          <cell r="G3270">
            <v>64.626999999999995</v>
          </cell>
          <cell r="H3270" t="str">
            <v>-</v>
          </cell>
          <cell r="I3270" t="str">
            <v>-</v>
          </cell>
          <cell r="J3270">
            <v>64.699404762</v>
          </cell>
          <cell r="K3270" t="str">
            <v>Small Cap</v>
          </cell>
        </row>
        <row r="3271">
          <cell r="C3271" t="str">
            <v>INE500C01017</v>
          </cell>
          <cell r="D3271" t="str">
            <v>ASPIRA</v>
          </cell>
          <cell r="E3271">
            <v>64.615696237999998</v>
          </cell>
          <cell r="F3271" t="str">
            <v>-</v>
          </cell>
          <cell r="G3271" t="str">
            <v>-</v>
          </cell>
          <cell r="H3271" t="str">
            <v>-</v>
          </cell>
          <cell r="I3271" t="str">
            <v>-</v>
          </cell>
          <cell r="J3271">
            <v>64.615696237999998</v>
          </cell>
          <cell r="K3271" t="str">
            <v>Small Cap</v>
          </cell>
        </row>
        <row r="3272">
          <cell r="C3272" t="str">
            <v>INE618D01015</v>
          </cell>
          <cell r="D3272" t="str">
            <v>SUDAI</v>
          </cell>
          <cell r="E3272">
            <v>64.613775719000003</v>
          </cell>
          <cell r="F3272" t="str">
            <v>-</v>
          </cell>
          <cell r="G3272" t="str">
            <v>-</v>
          </cell>
          <cell r="H3272" t="str">
            <v>-</v>
          </cell>
          <cell r="I3272" t="str">
            <v>-</v>
          </cell>
          <cell r="J3272">
            <v>64.613775719000003</v>
          </cell>
          <cell r="K3272" t="str">
            <v>Small Cap</v>
          </cell>
        </row>
        <row r="3273">
          <cell r="C3273" t="str">
            <v>INE833Q01012</v>
          </cell>
          <cell r="D3273" t="str">
            <v>MITTALSTL</v>
          </cell>
          <cell r="E3273">
            <v>64.544507870000004</v>
          </cell>
          <cell r="F3273" t="str">
            <v>-</v>
          </cell>
          <cell r="G3273" t="str">
            <v>-</v>
          </cell>
          <cell r="H3273" t="str">
            <v>-</v>
          </cell>
          <cell r="I3273" t="str">
            <v>-</v>
          </cell>
          <cell r="J3273">
            <v>64.544507870000004</v>
          </cell>
          <cell r="K3273" t="str">
            <v>Small Cap</v>
          </cell>
        </row>
        <row r="3274">
          <cell r="C3274" t="str">
            <v>INE791H01011</v>
          </cell>
          <cell r="D3274" t="str">
            <v>IRONWOOD</v>
          </cell>
          <cell r="E3274">
            <v>64.333917769999999</v>
          </cell>
          <cell r="F3274" t="str">
            <v>-</v>
          </cell>
          <cell r="G3274" t="str">
            <v>-</v>
          </cell>
          <cell r="H3274" t="str">
            <v>-</v>
          </cell>
          <cell r="I3274" t="str">
            <v>-</v>
          </cell>
          <cell r="J3274">
            <v>64.333917769999999</v>
          </cell>
          <cell r="K3274" t="str">
            <v>Small Cap</v>
          </cell>
        </row>
        <row r="3275">
          <cell r="C3275" t="str">
            <v>INE369D01023</v>
          </cell>
          <cell r="D3275" t="str">
            <v>CONTPTR</v>
          </cell>
          <cell r="E3275">
            <v>64.149300269000008</v>
          </cell>
          <cell r="F3275" t="str">
            <v>-</v>
          </cell>
          <cell r="G3275" t="str">
            <v>-</v>
          </cell>
          <cell r="H3275" t="str">
            <v>-</v>
          </cell>
          <cell r="I3275" t="str">
            <v>-</v>
          </cell>
          <cell r="J3275">
            <v>64.149300269000008</v>
          </cell>
          <cell r="K3275" t="str">
            <v>Small Cap</v>
          </cell>
        </row>
        <row r="3276">
          <cell r="C3276" t="str">
            <v>INE181G01025</v>
          </cell>
          <cell r="D3276" t="str">
            <v>AJRINFRA</v>
          </cell>
          <cell r="E3276">
            <v>64.044489232000004</v>
          </cell>
          <cell r="F3276" t="str">
            <v>-</v>
          </cell>
          <cell r="G3276" t="str">
            <v>-</v>
          </cell>
          <cell r="H3276" t="str">
            <v>-</v>
          </cell>
          <cell r="I3276" t="str">
            <v>-</v>
          </cell>
          <cell r="J3276">
            <v>64.044489232000004</v>
          </cell>
          <cell r="K3276" t="str">
            <v>Small Cap</v>
          </cell>
        </row>
        <row r="3277">
          <cell r="C3277" t="str">
            <v>INE234B01023</v>
          </cell>
          <cell r="D3277" t="str">
            <v>CRANESSOFT</v>
          </cell>
          <cell r="E3277">
            <v>64.001729948999994</v>
          </cell>
          <cell r="F3277" t="str">
            <v>-</v>
          </cell>
          <cell r="G3277" t="str">
            <v>-</v>
          </cell>
          <cell r="H3277" t="str">
            <v>-</v>
          </cell>
          <cell r="I3277" t="str">
            <v>-</v>
          </cell>
          <cell r="J3277">
            <v>64.001729948999994</v>
          </cell>
          <cell r="K3277" t="str">
            <v>Small Cap</v>
          </cell>
        </row>
        <row r="3278">
          <cell r="C3278" t="str">
            <v>INE160L01011</v>
          </cell>
          <cell r="D3278" t="str">
            <v>BINNYMILLS</v>
          </cell>
          <cell r="E3278">
            <v>63.962380263999997</v>
          </cell>
          <cell r="F3278" t="str">
            <v>-</v>
          </cell>
          <cell r="G3278" t="str">
            <v>-</v>
          </cell>
          <cell r="H3278" t="str">
            <v>-</v>
          </cell>
          <cell r="I3278" t="str">
            <v>-</v>
          </cell>
          <cell r="J3278">
            <v>63.962380263999997</v>
          </cell>
          <cell r="K3278" t="str">
            <v>Small Cap</v>
          </cell>
        </row>
        <row r="3279">
          <cell r="C3279" t="str">
            <v>INE773T01014</v>
          </cell>
          <cell r="D3279" t="str">
            <v>RELICAB</v>
          </cell>
          <cell r="E3279">
            <v>63.781920102000001</v>
          </cell>
          <cell r="F3279" t="str">
            <v>-</v>
          </cell>
          <cell r="G3279" t="str">
            <v>-</v>
          </cell>
          <cell r="H3279" t="str">
            <v>-</v>
          </cell>
          <cell r="I3279" t="str">
            <v>-</v>
          </cell>
          <cell r="J3279">
            <v>63.781920102000001</v>
          </cell>
          <cell r="K3279" t="str">
            <v>Small Cap</v>
          </cell>
        </row>
        <row r="3280">
          <cell r="C3280" t="str">
            <v>INE0FK501019</v>
          </cell>
          <cell r="D3280" t="str">
            <v>INDOBELL</v>
          </cell>
          <cell r="E3280">
            <v>63.777564072000004</v>
          </cell>
          <cell r="F3280" t="str">
            <v>-</v>
          </cell>
          <cell r="G3280" t="str">
            <v>-</v>
          </cell>
          <cell r="H3280" t="str">
            <v>-</v>
          </cell>
          <cell r="I3280" t="str">
            <v>-</v>
          </cell>
          <cell r="J3280">
            <v>63.777564072000004</v>
          </cell>
          <cell r="K3280" t="str">
            <v>Small Cap</v>
          </cell>
        </row>
        <row r="3281">
          <cell r="C3281" t="str">
            <v>INE785D01012</v>
          </cell>
          <cell r="D3281" t="str">
            <v>ELIXIR</v>
          </cell>
          <cell r="E3281">
            <v>63.753218285999999</v>
          </cell>
          <cell r="F3281" t="str">
            <v>-</v>
          </cell>
          <cell r="G3281" t="str">
            <v>-</v>
          </cell>
          <cell r="H3281" t="str">
            <v>-</v>
          </cell>
          <cell r="I3281" t="str">
            <v>-</v>
          </cell>
          <cell r="J3281">
            <v>63.753218285999999</v>
          </cell>
          <cell r="K3281" t="str">
            <v>Small Cap</v>
          </cell>
        </row>
        <row r="3282">
          <cell r="C3282" t="str">
            <v>INE827D01020</v>
          </cell>
          <cell r="D3282" t="str">
            <v>SRICC</v>
          </cell>
          <cell r="E3282">
            <v>63.696857142999995</v>
          </cell>
          <cell r="F3282" t="str">
            <v>-</v>
          </cell>
          <cell r="G3282" t="str">
            <v>-</v>
          </cell>
          <cell r="H3282" t="str">
            <v>-</v>
          </cell>
          <cell r="I3282" t="str">
            <v>-</v>
          </cell>
          <cell r="J3282">
            <v>63.696857142999995</v>
          </cell>
          <cell r="K3282" t="str">
            <v>Small Cap</v>
          </cell>
        </row>
        <row r="3283">
          <cell r="C3283" t="str">
            <v>INE099D01026</v>
          </cell>
          <cell r="D3283" t="str">
            <v>UNISON</v>
          </cell>
          <cell r="E3283">
            <v>63.683716204999996</v>
          </cell>
          <cell r="F3283" t="str">
            <v>-</v>
          </cell>
          <cell r="G3283" t="str">
            <v>-</v>
          </cell>
          <cell r="H3283" t="str">
            <v>-</v>
          </cell>
          <cell r="I3283" t="str">
            <v>-</v>
          </cell>
          <cell r="J3283">
            <v>63.683716204999996</v>
          </cell>
          <cell r="K3283" t="str">
            <v>Small Cap</v>
          </cell>
        </row>
        <row r="3284">
          <cell r="C3284" t="str">
            <v>INE828G01013</v>
          </cell>
          <cell r="D3284" t="str">
            <v>FACORALL</v>
          </cell>
          <cell r="E3284">
            <v>63.670839573000002</v>
          </cell>
          <cell r="F3284" t="str">
            <v>-</v>
          </cell>
          <cell r="G3284" t="str">
            <v>-</v>
          </cell>
          <cell r="H3284" t="str">
            <v>-</v>
          </cell>
          <cell r="I3284" t="str">
            <v>-</v>
          </cell>
          <cell r="J3284">
            <v>63.670839573000002</v>
          </cell>
          <cell r="K3284" t="str">
            <v>Small Cap</v>
          </cell>
        </row>
        <row r="3285">
          <cell r="C3285" t="str">
            <v>INE705H01011</v>
          </cell>
          <cell r="D3285" t="str">
            <v>-</v>
          </cell>
          <cell r="E3285" t="str">
            <v>-</v>
          </cell>
          <cell r="F3285" t="str">
            <v>-</v>
          </cell>
          <cell r="G3285" t="str">
            <v>-</v>
          </cell>
          <cell r="H3285" t="str">
            <v>MFL</v>
          </cell>
          <cell r="I3285">
            <v>63.550396800000094</v>
          </cell>
          <cell r="J3285">
            <v>63.550396800000094</v>
          </cell>
          <cell r="K3285" t="str">
            <v>Small Cap</v>
          </cell>
        </row>
        <row r="3286">
          <cell r="C3286" t="str">
            <v>INE203D01016</v>
          </cell>
          <cell r="D3286" t="str">
            <v>VICTMILL</v>
          </cell>
          <cell r="E3286">
            <v>63.504963028999995</v>
          </cell>
          <cell r="F3286" t="str">
            <v>-</v>
          </cell>
          <cell r="G3286" t="str">
            <v>-</v>
          </cell>
          <cell r="H3286" t="str">
            <v>-</v>
          </cell>
          <cell r="I3286" t="str">
            <v>-</v>
          </cell>
          <cell r="J3286">
            <v>63.504963028999995</v>
          </cell>
          <cell r="K3286" t="str">
            <v>Small Cap</v>
          </cell>
        </row>
        <row r="3287">
          <cell r="C3287" t="str">
            <v>INE0PTF01017</v>
          </cell>
          <cell r="D3287" t="str">
            <v>SWASTIKAAL</v>
          </cell>
          <cell r="E3287">
            <v>63.459840186999998</v>
          </cell>
          <cell r="F3287" t="str">
            <v>-</v>
          </cell>
          <cell r="G3287" t="str">
            <v>-</v>
          </cell>
          <cell r="H3287" t="str">
            <v>-</v>
          </cell>
          <cell r="I3287" t="str">
            <v>-</v>
          </cell>
          <cell r="J3287">
            <v>63.459840186999998</v>
          </cell>
          <cell r="K3287" t="str">
            <v>Small Cap</v>
          </cell>
        </row>
        <row r="3288">
          <cell r="C3288" t="str">
            <v>INE0PZB01013</v>
          </cell>
          <cell r="D3288" t="str">
            <v>PFL</v>
          </cell>
          <cell r="E3288">
            <v>63.455636428999995</v>
          </cell>
          <cell r="F3288" t="str">
            <v>-</v>
          </cell>
          <cell r="G3288" t="str">
            <v>-</v>
          </cell>
          <cell r="H3288" t="str">
            <v>-</v>
          </cell>
          <cell r="I3288" t="str">
            <v>-</v>
          </cell>
          <cell r="J3288">
            <v>63.455636428999995</v>
          </cell>
          <cell r="K3288" t="str">
            <v>Small Cap</v>
          </cell>
        </row>
        <row r="3289">
          <cell r="C3289" t="str">
            <v>INE141C01036</v>
          </cell>
          <cell r="D3289" t="str">
            <v>NHCFOODS</v>
          </cell>
          <cell r="E3289">
            <v>63.165509921000002</v>
          </cell>
          <cell r="F3289" t="str">
            <v>-</v>
          </cell>
          <cell r="G3289" t="str">
            <v>-</v>
          </cell>
          <cell r="H3289" t="str">
            <v>-</v>
          </cell>
          <cell r="I3289" t="str">
            <v>-</v>
          </cell>
          <cell r="J3289">
            <v>63.165509921000002</v>
          </cell>
          <cell r="K3289" t="str">
            <v>Small Cap</v>
          </cell>
        </row>
        <row r="3290">
          <cell r="C3290" t="str">
            <v>INE040E01028</v>
          </cell>
          <cell r="D3290" t="str">
            <v>ERABUILD</v>
          </cell>
          <cell r="E3290">
            <v>63.036926563999998</v>
          </cell>
          <cell r="F3290" t="str">
            <v>-</v>
          </cell>
          <cell r="G3290" t="str">
            <v>-</v>
          </cell>
          <cell r="H3290" t="str">
            <v>-</v>
          </cell>
          <cell r="I3290" t="str">
            <v>-</v>
          </cell>
          <cell r="J3290">
            <v>63.036926563999998</v>
          </cell>
          <cell r="K3290" t="str">
            <v>Small Cap</v>
          </cell>
        </row>
        <row r="3291">
          <cell r="C3291" t="str">
            <v>INE613B01010</v>
          </cell>
          <cell r="D3291" t="str">
            <v>ICDSLTD</v>
          </cell>
          <cell r="E3291">
            <v>63.237598216999999</v>
          </cell>
          <cell r="F3291" t="str">
            <v>ICDSLTD</v>
          </cell>
          <cell r="G3291">
            <v>62.765799999999999</v>
          </cell>
          <cell r="H3291" t="str">
            <v>-</v>
          </cell>
          <cell r="I3291" t="str">
            <v>-</v>
          </cell>
          <cell r="J3291">
            <v>63.001699108499999</v>
          </cell>
          <cell r="K3291" t="str">
            <v>Small Cap</v>
          </cell>
        </row>
        <row r="3292">
          <cell r="C3292" t="str">
            <v>INE765L01017</v>
          </cell>
          <cell r="D3292" t="str">
            <v>BETXIND</v>
          </cell>
          <cell r="E3292">
            <v>62.951190476000001</v>
          </cell>
          <cell r="F3292" t="str">
            <v>-</v>
          </cell>
          <cell r="G3292" t="str">
            <v>-</v>
          </cell>
          <cell r="H3292" t="str">
            <v>-</v>
          </cell>
          <cell r="I3292" t="str">
            <v>-</v>
          </cell>
          <cell r="J3292">
            <v>62.951190476000001</v>
          </cell>
          <cell r="K3292" t="str">
            <v>Small Cap</v>
          </cell>
        </row>
        <row r="3293">
          <cell r="C3293" t="str">
            <v>INE410G01010</v>
          </cell>
          <cell r="D3293" t="str">
            <v>DIVSHKT</v>
          </cell>
          <cell r="E3293">
            <v>62.840594461999999</v>
          </cell>
          <cell r="F3293" t="str">
            <v>-</v>
          </cell>
          <cell r="G3293" t="str">
            <v>-</v>
          </cell>
          <cell r="H3293" t="str">
            <v>-</v>
          </cell>
          <cell r="I3293" t="str">
            <v>-</v>
          </cell>
          <cell r="J3293">
            <v>62.840594461999999</v>
          </cell>
          <cell r="K3293" t="str">
            <v>Small Cap</v>
          </cell>
        </row>
        <row r="3294">
          <cell r="C3294" t="str">
            <v>INE607V01028</v>
          </cell>
          <cell r="D3294" t="str">
            <v>VSL</v>
          </cell>
          <cell r="E3294">
            <v>62.786109429999996</v>
          </cell>
          <cell r="F3294" t="str">
            <v>-</v>
          </cell>
          <cell r="G3294" t="str">
            <v>-</v>
          </cell>
          <cell r="H3294" t="str">
            <v>-</v>
          </cell>
          <cell r="I3294" t="str">
            <v>-</v>
          </cell>
          <cell r="J3294">
            <v>62.786109429999996</v>
          </cell>
          <cell r="K3294" t="str">
            <v>Small Cap</v>
          </cell>
        </row>
        <row r="3295">
          <cell r="C3295" t="str">
            <v>INE712A01012</v>
          </cell>
          <cell r="D3295" t="str">
            <v>WARRENTEA</v>
          </cell>
          <cell r="E3295">
            <v>62.773969201</v>
          </cell>
          <cell r="F3295" t="str">
            <v>-</v>
          </cell>
          <cell r="G3295" t="str">
            <v>-</v>
          </cell>
          <cell r="H3295" t="str">
            <v>-</v>
          </cell>
          <cell r="I3295" t="str">
            <v>-</v>
          </cell>
          <cell r="J3295">
            <v>62.773969201</v>
          </cell>
          <cell r="K3295" t="str">
            <v>Small Cap</v>
          </cell>
        </row>
        <row r="3296">
          <cell r="C3296" t="str">
            <v>INE12P101018</v>
          </cell>
          <cell r="D3296" t="str">
            <v>CHIRAHARIT</v>
          </cell>
          <cell r="E3296">
            <v>62.744254275999999</v>
          </cell>
          <cell r="F3296" t="str">
            <v>-</v>
          </cell>
          <cell r="G3296" t="str">
            <v>-</v>
          </cell>
          <cell r="H3296" t="str">
            <v>-</v>
          </cell>
          <cell r="I3296" t="str">
            <v>-</v>
          </cell>
          <cell r="J3296">
            <v>62.744254275999999</v>
          </cell>
          <cell r="K3296" t="str">
            <v>Small Cap</v>
          </cell>
        </row>
        <row r="3297">
          <cell r="C3297" t="str">
            <v>INE113E01015</v>
          </cell>
          <cell r="D3297" t="str">
            <v>UNIVSTAR</v>
          </cell>
          <cell r="E3297">
            <v>62.692500000000003</v>
          </cell>
          <cell r="F3297" t="str">
            <v>-</v>
          </cell>
          <cell r="G3297" t="str">
            <v>-</v>
          </cell>
          <cell r="H3297" t="str">
            <v>-</v>
          </cell>
          <cell r="I3297" t="str">
            <v>-</v>
          </cell>
          <cell r="J3297">
            <v>62.692500000000003</v>
          </cell>
          <cell r="K3297" t="str">
            <v>Small Cap</v>
          </cell>
        </row>
        <row r="3298">
          <cell r="C3298" t="str">
            <v>INE0TD301017</v>
          </cell>
          <cell r="D3298" t="str">
            <v>SHANMUGA</v>
          </cell>
          <cell r="E3298">
            <v>62.674900237999999</v>
          </cell>
          <cell r="F3298" t="str">
            <v>-</v>
          </cell>
          <cell r="G3298" t="str">
            <v>-</v>
          </cell>
          <cell r="H3298" t="str">
            <v>-</v>
          </cell>
          <cell r="I3298" t="str">
            <v>-</v>
          </cell>
          <cell r="J3298">
            <v>62.674900237999999</v>
          </cell>
          <cell r="K3298" t="str">
            <v>Small Cap</v>
          </cell>
        </row>
        <row r="3299">
          <cell r="C3299" t="str">
            <v>INE218G01033</v>
          </cell>
          <cell r="D3299" t="str">
            <v>PALREDTEC</v>
          </cell>
          <cell r="E3299">
            <v>62.552391247000003</v>
          </cell>
          <cell r="F3299" t="str">
            <v>PALREDTEC</v>
          </cell>
          <cell r="G3299">
            <v>62.489600000000003</v>
          </cell>
          <cell r="H3299" t="str">
            <v>-</v>
          </cell>
          <cell r="I3299" t="str">
            <v>-</v>
          </cell>
          <cell r="J3299">
            <v>62.520995623499999</v>
          </cell>
          <cell r="K3299" t="str">
            <v>Small Cap</v>
          </cell>
        </row>
        <row r="3300">
          <cell r="C3300" t="str">
            <v>INE362C01012</v>
          </cell>
          <cell r="D3300" t="str">
            <v>GODAVARI</v>
          </cell>
          <cell r="E3300">
            <v>62.410154301999995</v>
          </cell>
          <cell r="F3300" t="str">
            <v>-</v>
          </cell>
          <cell r="G3300" t="str">
            <v>-</v>
          </cell>
          <cell r="H3300" t="str">
            <v>-</v>
          </cell>
          <cell r="I3300" t="str">
            <v>-</v>
          </cell>
          <cell r="J3300">
            <v>62.410154301999995</v>
          </cell>
          <cell r="K3300" t="str">
            <v>Small Cap</v>
          </cell>
        </row>
        <row r="3301">
          <cell r="C3301" t="str">
            <v>INE354D01017</v>
          </cell>
          <cell r="D3301" t="str">
            <v>SIMRAN</v>
          </cell>
          <cell r="E3301">
            <v>62.390467463999997</v>
          </cell>
          <cell r="F3301" t="str">
            <v>-</v>
          </cell>
          <cell r="G3301" t="str">
            <v>-</v>
          </cell>
          <cell r="H3301" t="str">
            <v>-</v>
          </cell>
          <cell r="I3301" t="str">
            <v>-</v>
          </cell>
          <cell r="J3301">
            <v>62.390467463999997</v>
          </cell>
          <cell r="K3301" t="str">
            <v>Small Cap</v>
          </cell>
        </row>
        <row r="3302">
          <cell r="C3302" t="str">
            <v>INE007C01021</v>
          </cell>
          <cell r="D3302" t="str">
            <v>INDRANIB</v>
          </cell>
          <cell r="E3302">
            <v>62.376719945000005</v>
          </cell>
          <cell r="F3302" t="str">
            <v>-</v>
          </cell>
          <cell r="G3302" t="str">
            <v>-</v>
          </cell>
          <cell r="H3302" t="str">
            <v>-</v>
          </cell>
          <cell r="I3302" t="str">
            <v>-</v>
          </cell>
          <cell r="J3302">
            <v>62.376719945000005</v>
          </cell>
          <cell r="K3302" t="str">
            <v>Small Cap</v>
          </cell>
        </row>
        <row r="3303">
          <cell r="C3303" t="str">
            <v>INE075K01013</v>
          </cell>
          <cell r="D3303" t="str">
            <v>ANVRDHI</v>
          </cell>
          <cell r="E3303">
            <v>62.262283652999997</v>
          </cell>
          <cell r="F3303" t="str">
            <v>-</v>
          </cell>
          <cell r="G3303" t="str">
            <v>-</v>
          </cell>
          <cell r="H3303" t="str">
            <v>-</v>
          </cell>
          <cell r="I3303" t="str">
            <v>-</v>
          </cell>
          <cell r="J3303">
            <v>62.262283652999997</v>
          </cell>
          <cell r="K3303" t="str">
            <v>Small Cap</v>
          </cell>
        </row>
        <row r="3304">
          <cell r="C3304" t="str">
            <v>INE132F01038</v>
          </cell>
          <cell r="D3304" t="str">
            <v>NCLRESE</v>
          </cell>
          <cell r="E3304">
            <v>62.223433333000003</v>
          </cell>
          <cell r="F3304" t="str">
            <v>-</v>
          </cell>
          <cell r="G3304" t="str">
            <v>-</v>
          </cell>
          <cell r="H3304" t="str">
            <v>-</v>
          </cell>
          <cell r="I3304" t="str">
            <v>-</v>
          </cell>
          <cell r="J3304">
            <v>62.223433333000003</v>
          </cell>
          <cell r="K3304" t="str">
            <v>Small Cap</v>
          </cell>
        </row>
        <row r="3305">
          <cell r="C3305" t="str">
            <v>INE115F01017</v>
          </cell>
          <cell r="D3305" t="str">
            <v>SHREYASI</v>
          </cell>
          <cell r="E3305">
            <v>61.397153679999995</v>
          </cell>
          <cell r="F3305" t="str">
            <v>-</v>
          </cell>
          <cell r="G3305" t="str">
            <v>-</v>
          </cell>
          <cell r="H3305" t="str">
            <v>-</v>
          </cell>
          <cell r="I3305" t="str">
            <v>-</v>
          </cell>
          <cell r="J3305">
            <v>61.397153679999995</v>
          </cell>
          <cell r="K3305" t="str">
            <v>Small Cap</v>
          </cell>
        </row>
        <row r="3306">
          <cell r="C3306" t="str">
            <v>INE972E01014</v>
          </cell>
          <cell r="D3306" t="str">
            <v>DHRUVCA</v>
          </cell>
          <cell r="E3306">
            <v>61.385020107000003</v>
          </cell>
          <cell r="F3306" t="str">
            <v>-</v>
          </cell>
          <cell r="G3306" t="str">
            <v>-</v>
          </cell>
          <cell r="H3306" t="str">
            <v>-</v>
          </cell>
          <cell r="I3306" t="str">
            <v>-</v>
          </cell>
          <cell r="J3306">
            <v>61.385020107000003</v>
          </cell>
          <cell r="K3306" t="str">
            <v>Small Cap</v>
          </cell>
        </row>
        <row r="3307">
          <cell r="C3307" t="str">
            <v>INE583L01014</v>
          </cell>
          <cell r="D3307" t="str">
            <v xml:space="preserve">AGSTRA </v>
          </cell>
          <cell r="E3307">
            <v>61.429744112999998</v>
          </cell>
          <cell r="F3307" t="str">
            <v>AGSTRA</v>
          </cell>
          <cell r="G3307">
            <v>61.187100000000001</v>
          </cell>
          <cell r="H3307" t="str">
            <v>-</v>
          </cell>
          <cell r="I3307" t="str">
            <v>-</v>
          </cell>
          <cell r="J3307">
            <v>61.3084220565</v>
          </cell>
          <cell r="K3307" t="str">
            <v>Small Cap</v>
          </cell>
        </row>
        <row r="3308">
          <cell r="C3308" t="str">
            <v>INE867A01022</v>
          </cell>
          <cell r="D3308" t="str">
            <v>MANUGRAPH</v>
          </cell>
          <cell r="E3308">
            <v>61.548496774</v>
          </cell>
          <cell r="F3308" t="str">
            <v>MANUGRAPH</v>
          </cell>
          <cell r="G3308">
            <v>60.928600000000003</v>
          </cell>
          <cell r="H3308" t="str">
            <v>-</v>
          </cell>
          <cell r="I3308" t="str">
            <v>-</v>
          </cell>
          <cell r="J3308">
            <v>61.238548387000002</v>
          </cell>
          <cell r="K3308" t="str">
            <v>Small Cap</v>
          </cell>
        </row>
        <row r="3309">
          <cell r="C3309" t="str">
            <v>INE104F01029</v>
          </cell>
          <cell r="D3309" t="str">
            <v>BODHTREE</v>
          </cell>
          <cell r="E3309">
            <v>61.114500480999993</v>
          </cell>
          <cell r="F3309" t="str">
            <v>-</v>
          </cell>
          <cell r="G3309" t="str">
            <v>-</v>
          </cell>
          <cell r="H3309" t="str">
            <v>-</v>
          </cell>
          <cell r="I3309" t="str">
            <v>-</v>
          </cell>
          <cell r="J3309">
            <v>61.114500480999993</v>
          </cell>
          <cell r="K3309" t="str">
            <v>Small Cap</v>
          </cell>
        </row>
        <row r="3310">
          <cell r="C3310" t="str">
            <v>INE595R01023</v>
          </cell>
          <cell r="D3310" t="str">
            <v>EASTWEST</v>
          </cell>
          <cell r="E3310">
            <v>60.9697125</v>
          </cell>
          <cell r="F3310" t="str">
            <v>-</v>
          </cell>
          <cell r="G3310" t="str">
            <v>-</v>
          </cell>
          <cell r="H3310" t="str">
            <v>-</v>
          </cell>
          <cell r="I3310" t="str">
            <v>-</v>
          </cell>
          <cell r="J3310">
            <v>60.9697125</v>
          </cell>
          <cell r="K3310" t="str">
            <v>Small Cap</v>
          </cell>
        </row>
        <row r="3311">
          <cell r="C3311" t="str">
            <v>INE120V01014</v>
          </cell>
          <cell r="D3311" t="str">
            <v>TITAANIUM</v>
          </cell>
          <cell r="E3311">
            <v>60.933786599000001</v>
          </cell>
          <cell r="F3311" t="str">
            <v>-</v>
          </cell>
          <cell r="G3311" t="str">
            <v>-</v>
          </cell>
          <cell r="H3311" t="str">
            <v>-</v>
          </cell>
          <cell r="I3311" t="str">
            <v>-</v>
          </cell>
          <cell r="J3311">
            <v>60.933786599000001</v>
          </cell>
          <cell r="K3311" t="str">
            <v>Small Cap</v>
          </cell>
        </row>
        <row r="3312">
          <cell r="C3312" t="str">
            <v>INE0S5T01017</v>
          </cell>
          <cell r="D3312" t="str">
            <v>RDGAIL</v>
          </cell>
          <cell r="E3312">
            <v>60.881371600000001</v>
          </cell>
          <cell r="F3312" t="str">
            <v>-</v>
          </cell>
          <cell r="G3312" t="str">
            <v>-</v>
          </cell>
          <cell r="H3312" t="str">
            <v>-</v>
          </cell>
          <cell r="I3312" t="str">
            <v>-</v>
          </cell>
          <cell r="J3312">
            <v>60.881371600000001</v>
          </cell>
          <cell r="K3312" t="str">
            <v>Small Cap</v>
          </cell>
        </row>
        <row r="3313">
          <cell r="C3313" t="str">
            <v>INE973A01010</v>
          </cell>
          <cell r="D3313" t="str">
            <v>GOLDENTOBC</v>
          </cell>
          <cell r="E3313">
            <v>60.943085454999995</v>
          </cell>
          <cell r="F3313" t="str">
            <v>GOLDENTOBC</v>
          </cell>
          <cell r="G3313">
            <v>60.714500000000001</v>
          </cell>
          <cell r="H3313" t="str">
            <v>-</v>
          </cell>
          <cell r="I3313" t="str">
            <v>-</v>
          </cell>
          <cell r="J3313">
            <v>60.828792727500002</v>
          </cell>
          <cell r="K3313" t="str">
            <v>Small Cap</v>
          </cell>
        </row>
        <row r="3314">
          <cell r="C3314" t="str">
            <v>INE850E01012</v>
          </cell>
          <cell r="D3314" t="str">
            <v>-</v>
          </cell>
          <cell r="E3314" t="str">
            <v>-</v>
          </cell>
          <cell r="F3314" t="str">
            <v>LFIC</v>
          </cell>
          <cell r="G3314">
            <v>60.808100000000003</v>
          </cell>
          <cell r="H3314" t="str">
            <v>-</v>
          </cell>
          <cell r="I3314" t="str">
            <v>-</v>
          </cell>
          <cell r="J3314">
            <v>60.808100000000003</v>
          </cell>
          <cell r="K3314" t="str">
            <v>Small Cap</v>
          </cell>
        </row>
        <row r="3315">
          <cell r="C3315" t="str">
            <v>INE463D01016</v>
          </cell>
          <cell r="D3315" t="str">
            <v>TULSYAN</v>
          </cell>
          <cell r="E3315">
            <v>60.803472907000007</v>
          </cell>
          <cell r="F3315" t="str">
            <v>-</v>
          </cell>
          <cell r="G3315" t="str">
            <v>-</v>
          </cell>
          <cell r="H3315" t="str">
            <v>-</v>
          </cell>
          <cell r="I3315" t="str">
            <v>-</v>
          </cell>
          <cell r="J3315">
            <v>60.803472907000007</v>
          </cell>
          <cell r="K3315" t="str">
            <v>Small Cap</v>
          </cell>
        </row>
        <row r="3316">
          <cell r="C3316" t="str">
            <v>INE760J01012</v>
          </cell>
          <cell r="D3316" t="str">
            <v>CEETAIN</v>
          </cell>
          <cell r="E3316">
            <v>60.782781155999992</v>
          </cell>
          <cell r="F3316" t="str">
            <v>-</v>
          </cell>
          <cell r="G3316" t="str">
            <v>-</v>
          </cell>
          <cell r="H3316" t="str">
            <v>-</v>
          </cell>
          <cell r="I3316" t="str">
            <v>-</v>
          </cell>
          <cell r="J3316">
            <v>60.782781155999992</v>
          </cell>
          <cell r="K3316" t="str">
            <v>Small Cap</v>
          </cell>
        </row>
        <row r="3317">
          <cell r="C3317" t="str">
            <v>INE01KI01027</v>
          </cell>
          <cell r="D3317" t="str">
            <v>VINNY</v>
          </cell>
          <cell r="E3317">
            <v>60.470983559000004</v>
          </cell>
          <cell r="F3317" t="str">
            <v>VINNY</v>
          </cell>
          <cell r="G3317">
            <v>60.249400000000001</v>
          </cell>
          <cell r="H3317" t="str">
            <v>-</v>
          </cell>
          <cell r="I3317" t="str">
            <v>-</v>
          </cell>
          <cell r="J3317">
            <v>60.360191779499999</v>
          </cell>
          <cell r="K3317" t="str">
            <v>Small Cap</v>
          </cell>
        </row>
        <row r="3318">
          <cell r="C3318" t="str">
            <v>INE519D01015</v>
          </cell>
          <cell r="D3318" t="str">
            <v>LADDERUP</v>
          </cell>
          <cell r="E3318">
            <v>60.306552588999999</v>
          </cell>
          <cell r="F3318" t="str">
            <v>-</v>
          </cell>
          <cell r="G3318" t="str">
            <v>-</v>
          </cell>
          <cell r="H3318" t="str">
            <v>-</v>
          </cell>
          <cell r="I3318" t="str">
            <v>-</v>
          </cell>
          <cell r="J3318">
            <v>60.306552588999999</v>
          </cell>
          <cell r="K3318" t="str">
            <v>Small Cap</v>
          </cell>
        </row>
        <row r="3319">
          <cell r="C3319" t="str">
            <v>INE0B9A01018</v>
          </cell>
          <cell r="D3319" t="str">
            <v>BONLON</v>
          </cell>
          <cell r="E3319">
            <v>60.301897333000007</v>
          </cell>
          <cell r="F3319" t="str">
            <v>-</v>
          </cell>
          <cell r="G3319" t="str">
            <v>-</v>
          </cell>
          <cell r="H3319" t="str">
            <v>-</v>
          </cell>
          <cell r="I3319" t="str">
            <v>-</v>
          </cell>
          <cell r="J3319">
            <v>60.301897333000007</v>
          </cell>
          <cell r="K3319" t="str">
            <v>Small Cap</v>
          </cell>
        </row>
        <row r="3320">
          <cell r="C3320" t="str">
            <v>INE972C01018</v>
          </cell>
          <cell r="D3320" t="str">
            <v>BHASKAGR</v>
          </cell>
          <cell r="E3320">
            <v>60.196381348999999</v>
          </cell>
          <cell r="F3320" t="str">
            <v>-</v>
          </cell>
          <cell r="G3320" t="str">
            <v>-</v>
          </cell>
          <cell r="H3320" t="str">
            <v>-</v>
          </cell>
          <cell r="I3320" t="str">
            <v>-</v>
          </cell>
          <cell r="J3320">
            <v>60.196381348999999</v>
          </cell>
          <cell r="K3320" t="str">
            <v>Small Cap</v>
          </cell>
        </row>
        <row r="3321">
          <cell r="C3321" t="str">
            <v>INE427C01021</v>
          </cell>
          <cell r="D3321" t="str">
            <v>VISTAPH</v>
          </cell>
          <cell r="E3321">
            <v>60.129862545000002</v>
          </cell>
          <cell r="F3321" t="str">
            <v>-</v>
          </cell>
          <cell r="G3321" t="str">
            <v>-</v>
          </cell>
          <cell r="H3321" t="str">
            <v>-</v>
          </cell>
          <cell r="I3321" t="str">
            <v>-</v>
          </cell>
          <cell r="J3321">
            <v>60.129862545000002</v>
          </cell>
          <cell r="K3321" t="str">
            <v>Small Cap</v>
          </cell>
        </row>
        <row r="3322">
          <cell r="C3322" t="str">
            <v>INE038B01010</v>
          </cell>
          <cell r="D3322" t="str">
            <v>SVCIND</v>
          </cell>
          <cell r="E3322">
            <v>60.003556645000003</v>
          </cell>
          <cell r="F3322" t="str">
            <v>-</v>
          </cell>
          <cell r="G3322" t="str">
            <v>-</v>
          </cell>
          <cell r="H3322" t="str">
            <v>-</v>
          </cell>
          <cell r="I3322" t="str">
            <v>-</v>
          </cell>
          <cell r="J3322">
            <v>60.003556645000003</v>
          </cell>
          <cell r="K3322" t="str">
            <v>Small Cap</v>
          </cell>
        </row>
        <row r="3323">
          <cell r="C3323" t="str">
            <v>INE606B01022</v>
          </cell>
          <cell r="D3323" t="str">
            <v>BLSINFOTE</v>
          </cell>
          <cell r="E3323">
            <v>59.964189380999997</v>
          </cell>
          <cell r="F3323" t="str">
            <v>-</v>
          </cell>
          <cell r="G3323" t="str">
            <v>-</v>
          </cell>
          <cell r="H3323" t="str">
            <v>-</v>
          </cell>
          <cell r="I3323" t="str">
            <v>-</v>
          </cell>
          <cell r="J3323">
            <v>59.964189380999997</v>
          </cell>
          <cell r="K3323" t="str">
            <v>Small Cap</v>
          </cell>
        </row>
        <row r="3324">
          <cell r="C3324" t="str">
            <v>INE644Y01017</v>
          </cell>
          <cell r="D3324" t="str">
            <v>SHIVAMILLS</v>
          </cell>
          <cell r="E3324">
            <v>60.149864283000007</v>
          </cell>
          <cell r="F3324" t="str">
            <v>SHIVAMILLS</v>
          </cell>
          <cell r="G3324">
            <v>59.708500000000001</v>
          </cell>
          <cell r="H3324" t="str">
            <v>-</v>
          </cell>
          <cell r="I3324" t="str">
            <v>-</v>
          </cell>
          <cell r="J3324">
            <v>59.929182141500007</v>
          </cell>
          <cell r="K3324" t="str">
            <v>Small Cap</v>
          </cell>
        </row>
        <row r="3325">
          <cell r="C3325" t="str">
            <v>INE567L01017</v>
          </cell>
          <cell r="D3325" t="str">
            <v>LORDSMARK</v>
          </cell>
          <cell r="E3325">
            <v>59.791865078999997</v>
          </cell>
          <cell r="F3325" t="str">
            <v>-</v>
          </cell>
          <cell r="G3325" t="str">
            <v>-</v>
          </cell>
          <cell r="H3325" t="str">
            <v>-</v>
          </cell>
          <cell r="I3325" t="str">
            <v>-</v>
          </cell>
          <cell r="J3325">
            <v>59.791865078999997</v>
          </cell>
          <cell r="K3325" t="str">
            <v>Small Cap</v>
          </cell>
        </row>
        <row r="3326">
          <cell r="C3326" t="str">
            <v>INE513E01024</v>
          </cell>
          <cell r="D3326" t="str">
            <v>RODIUM</v>
          </cell>
          <cell r="E3326">
            <v>59.778759463999997</v>
          </cell>
          <cell r="F3326" t="str">
            <v>-</v>
          </cell>
          <cell r="G3326" t="str">
            <v>-</v>
          </cell>
          <cell r="H3326" t="str">
            <v>-</v>
          </cell>
          <cell r="I3326" t="str">
            <v>-</v>
          </cell>
          <cell r="J3326">
            <v>59.778759463999997</v>
          </cell>
          <cell r="K3326" t="str">
            <v>Small Cap</v>
          </cell>
        </row>
        <row r="3327">
          <cell r="C3327" t="str">
            <v>INE314I01036</v>
          </cell>
          <cell r="D3327" t="str">
            <v>NOVELIX</v>
          </cell>
          <cell r="E3327">
            <v>59.732063175</v>
          </cell>
          <cell r="F3327" t="str">
            <v>-</v>
          </cell>
          <cell r="G3327" t="str">
            <v>-</v>
          </cell>
          <cell r="H3327" t="str">
            <v>-</v>
          </cell>
          <cell r="I3327" t="str">
            <v>-</v>
          </cell>
          <cell r="J3327">
            <v>59.732063175</v>
          </cell>
          <cell r="K3327" t="str">
            <v>Small Cap</v>
          </cell>
        </row>
        <row r="3328">
          <cell r="C3328" t="str">
            <v>INE0ZN101029</v>
          </cell>
          <cell r="D3328" t="str">
            <v>RACHIT</v>
          </cell>
          <cell r="E3328">
            <v>59.661728752999998</v>
          </cell>
          <cell r="F3328" t="str">
            <v>-</v>
          </cell>
          <cell r="G3328" t="str">
            <v>-</v>
          </cell>
          <cell r="H3328" t="str">
            <v>-</v>
          </cell>
          <cell r="I3328" t="str">
            <v>-</v>
          </cell>
          <cell r="J3328">
            <v>59.661728752999998</v>
          </cell>
          <cell r="K3328" t="str">
            <v>Small Cap</v>
          </cell>
        </row>
        <row r="3329">
          <cell r="C3329" t="str">
            <v>INE500X01013</v>
          </cell>
          <cell r="D3329" t="str">
            <v>-</v>
          </cell>
          <cell r="E3329" t="str">
            <v>-</v>
          </cell>
          <cell r="F3329" t="str">
            <v>LEXUS</v>
          </cell>
          <cell r="G3329">
            <v>59.604399999999998</v>
          </cell>
          <cell r="H3329" t="str">
            <v>-</v>
          </cell>
          <cell r="I3329" t="str">
            <v>-</v>
          </cell>
          <cell r="J3329">
            <v>59.604399999999998</v>
          </cell>
          <cell r="K3329" t="str">
            <v>Small Cap</v>
          </cell>
        </row>
        <row r="3330">
          <cell r="C3330" t="str">
            <v>INE406F01010</v>
          </cell>
          <cell r="D3330" t="str">
            <v>VRL</v>
          </cell>
          <cell r="E3330">
            <v>59.578764213999996</v>
          </cell>
          <cell r="F3330" t="str">
            <v>-</v>
          </cell>
          <cell r="G3330" t="str">
            <v>-</v>
          </cell>
          <cell r="H3330" t="str">
            <v>-</v>
          </cell>
          <cell r="I3330" t="str">
            <v>-</v>
          </cell>
          <cell r="J3330">
            <v>59.578764213999996</v>
          </cell>
          <cell r="K3330" t="str">
            <v>Small Cap</v>
          </cell>
        </row>
        <row r="3331">
          <cell r="C3331" t="str">
            <v>INE239L01013</v>
          </cell>
          <cell r="D3331" t="str">
            <v>PALCO</v>
          </cell>
          <cell r="E3331">
            <v>59.528888889000001</v>
          </cell>
          <cell r="F3331" t="str">
            <v>-</v>
          </cell>
          <cell r="G3331" t="str">
            <v>-</v>
          </cell>
          <cell r="H3331" t="str">
            <v>-</v>
          </cell>
          <cell r="I3331" t="str">
            <v>-</v>
          </cell>
          <cell r="J3331">
            <v>59.528888889000001</v>
          </cell>
          <cell r="K3331" t="str">
            <v>Small Cap</v>
          </cell>
        </row>
        <row r="3332">
          <cell r="C3332" t="str">
            <v>INE160F01013</v>
          </cell>
          <cell r="D3332" t="str">
            <v>PHCAP</v>
          </cell>
          <cell r="E3332">
            <v>59.287095217999997</v>
          </cell>
          <cell r="F3332" t="str">
            <v>-</v>
          </cell>
          <cell r="G3332" t="str">
            <v>-</v>
          </cell>
          <cell r="H3332" t="str">
            <v>-</v>
          </cell>
          <cell r="I3332" t="str">
            <v>-</v>
          </cell>
          <cell r="J3332">
            <v>59.287095217999997</v>
          </cell>
          <cell r="K3332" t="str">
            <v>Small Cap</v>
          </cell>
        </row>
        <row r="3333">
          <cell r="C3333" t="str">
            <v>INE823D01011</v>
          </cell>
          <cell r="D3333" t="str">
            <v>YASHINNO</v>
          </cell>
          <cell r="E3333">
            <v>59.113965712999999</v>
          </cell>
          <cell r="F3333" t="str">
            <v>-</v>
          </cell>
          <cell r="G3333" t="str">
            <v>-</v>
          </cell>
          <cell r="H3333" t="str">
            <v>-</v>
          </cell>
          <cell r="I3333" t="str">
            <v>-</v>
          </cell>
          <cell r="J3333">
            <v>59.113965712999999</v>
          </cell>
          <cell r="K3333" t="str">
            <v>Small Cap</v>
          </cell>
        </row>
        <row r="3334">
          <cell r="C3334" t="str">
            <v>INE0ZDY01011</v>
          </cell>
          <cell r="D3334" t="str">
            <v>ABRFL</v>
          </cell>
          <cell r="E3334">
            <v>59.110735142999992</v>
          </cell>
          <cell r="F3334" t="str">
            <v>-</v>
          </cell>
          <cell r="G3334" t="str">
            <v>-</v>
          </cell>
          <cell r="H3334" t="str">
            <v>-</v>
          </cell>
          <cell r="I3334" t="str">
            <v>-</v>
          </cell>
          <cell r="J3334">
            <v>59.110735142999992</v>
          </cell>
          <cell r="K3334" t="str">
            <v>Small Cap</v>
          </cell>
        </row>
        <row r="3335">
          <cell r="C3335" t="str">
            <v>INE104201012</v>
          </cell>
          <cell r="D3335" t="str">
            <v>AUSTERE</v>
          </cell>
          <cell r="E3335">
            <v>59.063564857000003</v>
          </cell>
          <cell r="F3335" t="str">
            <v>-</v>
          </cell>
          <cell r="G3335" t="str">
            <v>-</v>
          </cell>
          <cell r="H3335" t="str">
            <v>-</v>
          </cell>
          <cell r="I3335" t="str">
            <v>-</v>
          </cell>
          <cell r="J3335">
            <v>59.063564857000003</v>
          </cell>
          <cell r="K3335" t="str">
            <v>Small Cap</v>
          </cell>
        </row>
        <row r="3336">
          <cell r="C3336" t="str">
            <v>INE647Z01025</v>
          </cell>
          <cell r="D3336" t="str">
            <v>VIVIDM</v>
          </cell>
          <cell r="E3336">
            <v>58.822657800000002</v>
          </cell>
          <cell r="F3336" t="str">
            <v>-</v>
          </cell>
          <cell r="G3336" t="str">
            <v>-</v>
          </cell>
          <cell r="H3336" t="str">
            <v>-</v>
          </cell>
          <cell r="I3336" t="str">
            <v>-</v>
          </cell>
          <cell r="J3336">
            <v>58.822657800000002</v>
          </cell>
          <cell r="K3336" t="str">
            <v>Small Cap</v>
          </cell>
        </row>
        <row r="3337">
          <cell r="C3337" t="str">
            <v>INE989J01017</v>
          </cell>
          <cell r="D3337" t="str">
            <v>AMPVOLTS</v>
          </cell>
          <cell r="E3337">
            <v>58.539009404999995</v>
          </cell>
          <cell r="F3337" t="str">
            <v>-</v>
          </cell>
          <cell r="G3337" t="str">
            <v>-</v>
          </cell>
          <cell r="H3337" t="str">
            <v>-</v>
          </cell>
          <cell r="I3337" t="str">
            <v>-</v>
          </cell>
          <cell r="J3337">
            <v>58.539009404999995</v>
          </cell>
          <cell r="K3337" t="str">
            <v>Small Cap</v>
          </cell>
        </row>
        <row r="3338">
          <cell r="C3338" t="str">
            <v>INE550B01022</v>
          </cell>
          <cell r="D3338" t="str">
            <v>HBSL</v>
          </cell>
          <cell r="E3338">
            <v>58.599493224</v>
          </cell>
          <cell r="F3338" t="str">
            <v>HBSL</v>
          </cell>
          <cell r="G3338">
            <v>58.317700000000002</v>
          </cell>
          <cell r="H3338" t="str">
            <v>-</v>
          </cell>
          <cell r="I3338" t="str">
            <v>-</v>
          </cell>
          <cell r="J3338">
            <v>58.458596612000001</v>
          </cell>
          <cell r="K3338" t="str">
            <v>Small Cap</v>
          </cell>
        </row>
        <row r="3339">
          <cell r="C3339" t="str">
            <v>INE775R01013</v>
          </cell>
          <cell r="D3339" t="str">
            <v>ROLCOEN</v>
          </cell>
          <cell r="E3339">
            <v>58.415430000000001</v>
          </cell>
          <cell r="F3339" t="str">
            <v>-</v>
          </cell>
          <cell r="G3339" t="str">
            <v>-</v>
          </cell>
          <cell r="H3339" t="str">
            <v>-</v>
          </cell>
          <cell r="I3339" t="str">
            <v>-</v>
          </cell>
          <cell r="J3339">
            <v>58.415430000000001</v>
          </cell>
          <cell r="K3339" t="str">
            <v>Small Cap</v>
          </cell>
        </row>
        <row r="3340">
          <cell r="C3340" t="str">
            <v>INE154B01023</v>
          </cell>
          <cell r="D3340" t="str">
            <v>MOHITE</v>
          </cell>
          <cell r="E3340">
            <v>58.405580642999993</v>
          </cell>
          <cell r="F3340" t="str">
            <v>-</v>
          </cell>
          <cell r="G3340" t="str">
            <v>-</v>
          </cell>
          <cell r="H3340" t="str">
            <v>-</v>
          </cell>
          <cell r="I3340" t="str">
            <v>-</v>
          </cell>
          <cell r="J3340">
            <v>58.405580642999993</v>
          </cell>
          <cell r="K3340" t="str">
            <v>Small Cap</v>
          </cell>
        </row>
        <row r="3341">
          <cell r="C3341" t="str">
            <v>INE296D01010</v>
          </cell>
          <cell r="D3341" t="str">
            <v>NOL</v>
          </cell>
          <cell r="E3341">
            <v>58.339794165999997</v>
          </cell>
          <cell r="F3341" t="str">
            <v>-</v>
          </cell>
          <cell r="G3341" t="str">
            <v>-</v>
          </cell>
          <cell r="H3341" t="str">
            <v>-</v>
          </cell>
          <cell r="I3341" t="str">
            <v>-</v>
          </cell>
          <cell r="J3341">
            <v>58.339794165999997</v>
          </cell>
          <cell r="K3341" t="str">
            <v>Small Cap</v>
          </cell>
        </row>
        <row r="3342">
          <cell r="C3342" t="str">
            <v>INE737B01033</v>
          </cell>
          <cell r="D3342" t="str">
            <v>ADROITINFO</v>
          </cell>
          <cell r="E3342">
            <v>58.311444944000009</v>
          </cell>
          <cell r="F3342" t="str">
            <v>ADROITINFO</v>
          </cell>
          <cell r="G3342">
            <v>58.2074</v>
          </cell>
          <cell r="H3342" t="str">
            <v>-</v>
          </cell>
          <cell r="I3342" t="str">
            <v>-</v>
          </cell>
          <cell r="J3342">
            <v>58.259422472000004</v>
          </cell>
          <cell r="K3342" t="str">
            <v>Small Cap</v>
          </cell>
        </row>
        <row r="3343">
          <cell r="C3343" t="str">
            <v>INE589G01011</v>
          </cell>
          <cell r="D3343" t="str">
            <v>BRFL</v>
          </cell>
          <cell r="E3343">
            <v>57.780719177999998</v>
          </cell>
          <cell r="F3343" t="str">
            <v>-</v>
          </cell>
          <cell r="G3343" t="str">
            <v>-</v>
          </cell>
          <cell r="H3343" t="str">
            <v>-</v>
          </cell>
          <cell r="I3343" t="str">
            <v>-</v>
          </cell>
          <cell r="J3343">
            <v>57.780719177999998</v>
          </cell>
          <cell r="K3343" t="str">
            <v>Small Cap</v>
          </cell>
        </row>
        <row r="3344">
          <cell r="C3344" t="str">
            <v>INE726D01016</v>
          </cell>
          <cell r="D3344" t="str">
            <v>JINDHOT</v>
          </cell>
          <cell r="E3344">
            <v>57.731944444000007</v>
          </cell>
          <cell r="F3344" t="str">
            <v>-</v>
          </cell>
          <cell r="G3344" t="str">
            <v>-</v>
          </cell>
          <cell r="H3344" t="str">
            <v>-</v>
          </cell>
          <cell r="I3344" t="str">
            <v>-</v>
          </cell>
          <cell r="J3344">
            <v>57.731944444000007</v>
          </cell>
          <cell r="K3344" t="str">
            <v>Small Cap</v>
          </cell>
        </row>
        <row r="3345">
          <cell r="C3345" t="str">
            <v>INE225G01012</v>
          </cell>
          <cell r="D3345" t="str">
            <v>GOWRALE</v>
          </cell>
          <cell r="E3345">
            <v>57.720158711000003</v>
          </cell>
          <cell r="F3345" t="str">
            <v>-</v>
          </cell>
          <cell r="G3345" t="str">
            <v>-</v>
          </cell>
          <cell r="H3345" t="str">
            <v>-</v>
          </cell>
          <cell r="I3345" t="str">
            <v>-</v>
          </cell>
          <cell r="J3345">
            <v>57.720158711000003</v>
          </cell>
          <cell r="K3345" t="str">
            <v>Small Cap</v>
          </cell>
        </row>
        <row r="3346">
          <cell r="C3346" t="str">
            <v>INE817H01014</v>
          </cell>
          <cell r="D3346" t="str">
            <v>BURNPUR</v>
          </cell>
          <cell r="E3346">
            <v>57.358825758000002</v>
          </cell>
          <cell r="F3346" t="str">
            <v>-</v>
          </cell>
          <cell r="G3346" t="str">
            <v>-</v>
          </cell>
          <cell r="H3346" t="str">
            <v>-</v>
          </cell>
          <cell r="I3346" t="str">
            <v>-</v>
          </cell>
          <cell r="J3346">
            <v>57.358825758000002</v>
          </cell>
          <cell r="K3346" t="str">
            <v>Small Cap</v>
          </cell>
        </row>
        <row r="3347">
          <cell r="C3347" t="str">
            <v>INE747K01017</v>
          </cell>
          <cell r="D3347" t="str">
            <v>TARAPUR</v>
          </cell>
          <cell r="E3347">
            <v>57.196782264999996</v>
          </cell>
          <cell r="F3347" t="str">
            <v>TARAPUR</v>
          </cell>
          <cell r="G3347">
            <v>57.064500000000002</v>
          </cell>
          <cell r="H3347" t="str">
            <v>-</v>
          </cell>
          <cell r="I3347" t="str">
            <v>-</v>
          </cell>
          <cell r="J3347">
            <v>57.130641132500003</v>
          </cell>
          <cell r="K3347" t="str">
            <v>Small Cap</v>
          </cell>
        </row>
        <row r="3348">
          <cell r="C3348" t="str">
            <v>INE639K01016</v>
          </cell>
          <cell r="D3348" t="str">
            <v>SATCH</v>
          </cell>
          <cell r="E3348">
            <v>57.013406713999998</v>
          </cell>
          <cell r="F3348" t="str">
            <v>-</v>
          </cell>
          <cell r="G3348" t="str">
            <v>-</v>
          </cell>
          <cell r="H3348" t="str">
            <v>-</v>
          </cell>
          <cell r="I3348" t="str">
            <v>-</v>
          </cell>
          <cell r="J3348">
            <v>57.013406713999998</v>
          </cell>
          <cell r="K3348" t="str">
            <v>Small Cap</v>
          </cell>
        </row>
        <row r="3349">
          <cell r="C3349" t="str">
            <v>INE395A01016</v>
          </cell>
          <cell r="D3349" t="str">
            <v>BSELALGO</v>
          </cell>
          <cell r="E3349">
            <v>56.961571264</v>
          </cell>
          <cell r="F3349" t="str">
            <v>-</v>
          </cell>
          <cell r="G3349" t="str">
            <v>-</v>
          </cell>
          <cell r="H3349" t="str">
            <v>-</v>
          </cell>
          <cell r="I3349" t="str">
            <v>-</v>
          </cell>
          <cell r="J3349">
            <v>56.961571264</v>
          </cell>
          <cell r="K3349" t="str">
            <v>Small Cap</v>
          </cell>
        </row>
        <row r="3350">
          <cell r="C3350" t="str">
            <v>INE642I01014</v>
          </cell>
          <cell r="D3350" t="str">
            <v>GOKAKTEX</v>
          </cell>
          <cell r="E3350">
            <v>56.936465589000001</v>
          </cell>
          <cell r="F3350" t="str">
            <v>-</v>
          </cell>
          <cell r="G3350" t="str">
            <v>-</v>
          </cell>
          <cell r="H3350" t="str">
            <v>-</v>
          </cell>
          <cell r="I3350" t="str">
            <v>-</v>
          </cell>
          <cell r="J3350">
            <v>56.936465589000001</v>
          </cell>
          <cell r="K3350" t="str">
            <v>Small Cap</v>
          </cell>
        </row>
        <row r="3351">
          <cell r="C3351" t="str">
            <v>INE410A01013</v>
          </cell>
          <cell r="D3351" t="str">
            <v>SOLIMAC</v>
          </cell>
          <cell r="E3351">
            <v>56.890754399999999</v>
          </cell>
          <cell r="F3351" t="str">
            <v>-</v>
          </cell>
          <cell r="G3351" t="str">
            <v>-</v>
          </cell>
          <cell r="H3351" t="str">
            <v>-</v>
          </cell>
          <cell r="I3351" t="str">
            <v>-</v>
          </cell>
          <cell r="J3351">
            <v>56.890754399999999</v>
          </cell>
          <cell r="K3351" t="str">
            <v>Small Cap</v>
          </cell>
        </row>
        <row r="3352">
          <cell r="C3352" t="str">
            <v>INE145L01012</v>
          </cell>
          <cell r="D3352" t="str">
            <v>KEERTHI</v>
          </cell>
          <cell r="E3352">
            <v>56.865076754999997</v>
          </cell>
          <cell r="F3352" t="str">
            <v>-</v>
          </cell>
          <cell r="G3352" t="str">
            <v>-</v>
          </cell>
          <cell r="H3352" t="str">
            <v>-</v>
          </cell>
          <cell r="I3352" t="str">
            <v>-</v>
          </cell>
          <cell r="J3352">
            <v>56.865076754999997</v>
          </cell>
          <cell r="K3352" t="str">
            <v>Small Cap</v>
          </cell>
        </row>
        <row r="3353">
          <cell r="C3353" t="str">
            <v>INE535C01013</v>
          </cell>
          <cell r="D3353" t="str">
            <v>KAMADGIRI</v>
          </cell>
          <cell r="E3353">
            <v>56.779782648999998</v>
          </cell>
          <cell r="F3353" t="str">
            <v>-</v>
          </cell>
          <cell r="G3353" t="str">
            <v>-</v>
          </cell>
          <cell r="H3353" t="str">
            <v>-</v>
          </cell>
          <cell r="I3353" t="str">
            <v>-</v>
          </cell>
          <cell r="J3353">
            <v>56.779782648999998</v>
          </cell>
          <cell r="K3353" t="str">
            <v>Small Cap</v>
          </cell>
        </row>
        <row r="3354">
          <cell r="C3354" t="str">
            <v>INE694W01024</v>
          </cell>
          <cell r="D3354" t="str">
            <v>ASHNI</v>
          </cell>
          <cell r="E3354">
            <v>56.708894840999996</v>
          </cell>
          <cell r="F3354" t="str">
            <v>-</v>
          </cell>
          <cell r="G3354" t="str">
            <v>-</v>
          </cell>
          <cell r="H3354" t="str">
            <v>-</v>
          </cell>
          <cell r="I3354" t="str">
            <v>-</v>
          </cell>
          <cell r="J3354">
            <v>56.708894840999996</v>
          </cell>
          <cell r="K3354" t="str">
            <v>Small Cap</v>
          </cell>
        </row>
        <row r="3355">
          <cell r="C3355" t="str">
            <v>INE343C01012</v>
          </cell>
          <cell r="D3355" t="str">
            <v>GROVY</v>
          </cell>
          <cell r="E3355">
            <v>56.692915646000003</v>
          </cell>
          <cell r="F3355" t="str">
            <v>-</v>
          </cell>
          <cell r="G3355" t="str">
            <v>-</v>
          </cell>
          <cell r="H3355" t="str">
            <v>-</v>
          </cell>
          <cell r="I3355" t="str">
            <v>-</v>
          </cell>
          <cell r="J3355">
            <v>56.692915646000003</v>
          </cell>
          <cell r="K3355" t="str">
            <v>Small Cap</v>
          </cell>
        </row>
        <row r="3356">
          <cell r="C3356" t="str">
            <v>INE378P01036</v>
          </cell>
          <cell r="D3356" t="str">
            <v>OMANSH</v>
          </cell>
          <cell r="E3356">
            <v>56.506737907000009</v>
          </cell>
          <cell r="F3356" t="str">
            <v>-</v>
          </cell>
          <cell r="G3356" t="str">
            <v>-</v>
          </cell>
          <cell r="H3356" t="str">
            <v>-</v>
          </cell>
          <cell r="I3356" t="str">
            <v>-</v>
          </cell>
          <cell r="J3356">
            <v>56.506737907000009</v>
          </cell>
          <cell r="K3356" t="str">
            <v>Small Cap</v>
          </cell>
        </row>
        <row r="3357">
          <cell r="C3357" t="str">
            <v>INE0XRR01010</v>
          </cell>
          <cell r="D3357" t="str">
            <v>AJCJEWEL</v>
          </cell>
          <cell r="E3357">
            <v>56.494986751999996</v>
          </cell>
          <cell r="F3357" t="str">
            <v>-</v>
          </cell>
          <cell r="G3357" t="str">
            <v>-</v>
          </cell>
          <cell r="H3357" t="str">
            <v>-</v>
          </cell>
          <cell r="I3357" t="str">
            <v>-</v>
          </cell>
          <cell r="J3357">
            <v>56.494986751999996</v>
          </cell>
          <cell r="K3357" t="str">
            <v>Small Cap</v>
          </cell>
        </row>
        <row r="3358">
          <cell r="C3358" t="str">
            <v>INE966Q01010</v>
          </cell>
          <cell r="D3358" t="str">
            <v>HILIKS</v>
          </cell>
          <cell r="E3358">
            <v>54.577952062999998</v>
          </cell>
          <cell r="F3358" t="str">
            <v>-</v>
          </cell>
          <cell r="G3358" t="str">
            <v>-</v>
          </cell>
          <cell r="H3358" t="str">
            <v>HILIKS</v>
          </cell>
          <cell r="I3358">
            <v>58.356428571428566</v>
          </cell>
          <cell r="J3358">
            <v>56.467190317214282</v>
          </cell>
          <cell r="K3358" t="str">
            <v>Small Cap</v>
          </cell>
        </row>
        <row r="3359">
          <cell r="C3359" t="str">
            <v>INE0OMZ01013</v>
          </cell>
          <cell r="D3359" t="str">
            <v>VRUDDHI</v>
          </cell>
          <cell r="E3359">
            <v>56.383275662000003</v>
          </cell>
          <cell r="F3359" t="str">
            <v>-</v>
          </cell>
          <cell r="G3359" t="str">
            <v>-</v>
          </cell>
          <cell r="H3359" t="str">
            <v>-</v>
          </cell>
          <cell r="I3359" t="str">
            <v>-</v>
          </cell>
          <cell r="J3359">
            <v>56.383275662000003</v>
          </cell>
          <cell r="K3359" t="str">
            <v>Small Cap</v>
          </cell>
        </row>
        <row r="3360">
          <cell r="C3360" t="str">
            <v>INE778E01031</v>
          </cell>
          <cell r="D3360" t="str">
            <v>CCLINTER</v>
          </cell>
          <cell r="E3360">
            <v>56.264173155999991</v>
          </cell>
          <cell r="F3360" t="str">
            <v>-</v>
          </cell>
          <cell r="G3360" t="str">
            <v>-</v>
          </cell>
          <cell r="H3360" t="str">
            <v>-</v>
          </cell>
          <cell r="I3360" t="str">
            <v>-</v>
          </cell>
          <cell r="J3360">
            <v>56.264173155999991</v>
          </cell>
          <cell r="K3360" t="str">
            <v>Small Cap</v>
          </cell>
        </row>
        <row r="3361">
          <cell r="C3361" t="str">
            <v>INE632W01016</v>
          </cell>
          <cell r="D3361" t="str">
            <v>GSTL</v>
          </cell>
          <cell r="E3361">
            <v>56.070241951</v>
          </cell>
          <cell r="F3361" t="str">
            <v>-</v>
          </cell>
          <cell r="G3361" t="str">
            <v>-</v>
          </cell>
          <cell r="H3361" t="str">
            <v>-</v>
          </cell>
          <cell r="I3361" t="str">
            <v>-</v>
          </cell>
          <cell r="J3361">
            <v>56.070241951</v>
          </cell>
          <cell r="K3361" t="str">
            <v>Small Cap</v>
          </cell>
        </row>
        <row r="3362">
          <cell r="C3362" t="str">
            <v>INE540S01019</v>
          </cell>
          <cell r="D3362" t="str">
            <v>MISHKA</v>
          </cell>
          <cell r="E3362">
            <v>55.978497222000001</v>
          </cell>
          <cell r="F3362" t="str">
            <v>-</v>
          </cell>
          <cell r="G3362" t="str">
            <v>-</v>
          </cell>
          <cell r="H3362" t="str">
            <v>-</v>
          </cell>
          <cell r="I3362" t="str">
            <v>-</v>
          </cell>
          <cell r="J3362">
            <v>55.978497222000001</v>
          </cell>
          <cell r="K3362" t="str">
            <v>Small Cap</v>
          </cell>
        </row>
        <row r="3363">
          <cell r="C3363" t="str">
            <v>INE822D01021</v>
          </cell>
          <cell r="D3363" t="str">
            <v>RASIELEC</v>
          </cell>
          <cell r="E3363">
            <v>55.866152925000002</v>
          </cell>
          <cell r="F3363" t="str">
            <v>-</v>
          </cell>
          <cell r="G3363" t="str">
            <v>-</v>
          </cell>
          <cell r="H3363" t="str">
            <v>-</v>
          </cell>
          <cell r="I3363" t="str">
            <v>-</v>
          </cell>
          <cell r="J3363">
            <v>55.866152925000002</v>
          </cell>
          <cell r="K3363" t="str">
            <v>Small Cap</v>
          </cell>
        </row>
        <row r="3364">
          <cell r="C3364" t="str">
            <v>INE606K01049</v>
          </cell>
          <cell r="D3364" t="str">
            <v>SRESTHA</v>
          </cell>
          <cell r="E3364">
            <v>62.502222222</v>
          </cell>
          <cell r="F3364" t="str">
            <v>-</v>
          </cell>
          <cell r="G3364" t="str">
            <v>-</v>
          </cell>
          <cell r="H3364" t="str">
            <v>SRESTHA</v>
          </cell>
          <cell r="I3364">
            <v>49.2</v>
          </cell>
          <cell r="J3364">
            <v>55.851111111000002</v>
          </cell>
          <cell r="K3364" t="str">
            <v>Small Cap</v>
          </cell>
        </row>
        <row r="3365">
          <cell r="C3365" t="str">
            <v>INE748A01016</v>
          </cell>
          <cell r="D3365" t="str">
            <v>MBECL</v>
          </cell>
          <cell r="E3365">
            <v>55.777169267999994</v>
          </cell>
          <cell r="F3365" t="str">
            <v>-</v>
          </cell>
          <cell r="G3365" t="str">
            <v>-</v>
          </cell>
          <cell r="H3365" t="str">
            <v>-</v>
          </cell>
          <cell r="I3365" t="str">
            <v>-</v>
          </cell>
          <cell r="J3365">
            <v>55.777169267999994</v>
          </cell>
          <cell r="K3365" t="str">
            <v>Small Cap</v>
          </cell>
        </row>
        <row r="3366">
          <cell r="C3366" t="str">
            <v>INE958A01011</v>
          </cell>
          <cell r="D3366" t="str">
            <v>EUREKAI</v>
          </cell>
          <cell r="E3366">
            <v>55.771374999999999</v>
          </cell>
          <cell r="F3366" t="str">
            <v>-</v>
          </cell>
          <cell r="G3366" t="str">
            <v>-</v>
          </cell>
          <cell r="H3366" t="str">
            <v>-</v>
          </cell>
          <cell r="I3366" t="str">
            <v>-</v>
          </cell>
          <cell r="J3366">
            <v>55.771374999999999</v>
          </cell>
          <cell r="K3366" t="str">
            <v>Small Cap</v>
          </cell>
        </row>
        <row r="3367">
          <cell r="C3367" t="str">
            <v>INE01J501010</v>
          </cell>
          <cell r="D3367" t="str">
            <v>SHUBHAM</v>
          </cell>
          <cell r="E3367">
            <v>55.753599698000002</v>
          </cell>
          <cell r="F3367" t="str">
            <v>-</v>
          </cell>
          <cell r="G3367" t="str">
            <v>-</v>
          </cell>
          <cell r="H3367" t="str">
            <v>-</v>
          </cell>
          <cell r="I3367" t="str">
            <v>-</v>
          </cell>
          <cell r="J3367">
            <v>55.753599698000002</v>
          </cell>
          <cell r="K3367" t="str">
            <v>Small Cap</v>
          </cell>
        </row>
        <row r="3368">
          <cell r="C3368" t="str">
            <v>INE144C01014</v>
          </cell>
          <cell r="D3368" t="str">
            <v>JAGANLAM</v>
          </cell>
          <cell r="E3368">
            <v>55.718049455999996</v>
          </cell>
          <cell r="F3368" t="str">
            <v>-</v>
          </cell>
          <cell r="G3368" t="str">
            <v>-</v>
          </cell>
          <cell r="H3368" t="str">
            <v>-</v>
          </cell>
          <cell r="I3368" t="str">
            <v>-</v>
          </cell>
          <cell r="J3368">
            <v>55.718049455999996</v>
          </cell>
          <cell r="K3368" t="str">
            <v>Small Cap</v>
          </cell>
        </row>
        <row r="3369">
          <cell r="C3369" t="str">
            <v>INE398C01016</v>
          </cell>
          <cell r="D3369" t="str">
            <v>PHOSPHATE</v>
          </cell>
          <cell r="E3369">
            <v>55.703928973000004</v>
          </cell>
          <cell r="F3369" t="str">
            <v>-</v>
          </cell>
          <cell r="G3369" t="str">
            <v>-</v>
          </cell>
          <cell r="H3369" t="str">
            <v>-</v>
          </cell>
          <cell r="I3369" t="str">
            <v>-</v>
          </cell>
          <cell r="J3369">
            <v>55.703928973000004</v>
          </cell>
          <cell r="K3369" t="str">
            <v>Small Cap</v>
          </cell>
        </row>
        <row r="3370">
          <cell r="C3370" t="str">
            <v>INE309D01011</v>
          </cell>
          <cell r="D3370" t="str">
            <v>SUGALDAM</v>
          </cell>
          <cell r="E3370">
            <v>55.700211194000005</v>
          </cell>
          <cell r="F3370" t="str">
            <v>-</v>
          </cell>
          <cell r="G3370" t="str">
            <v>-</v>
          </cell>
          <cell r="H3370" t="str">
            <v>-</v>
          </cell>
          <cell r="I3370" t="str">
            <v>-</v>
          </cell>
          <cell r="J3370">
            <v>55.700211194000005</v>
          </cell>
          <cell r="K3370" t="str">
            <v>Small Cap</v>
          </cell>
        </row>
        <row r="3371">
          <cell r="C3371" t="str">
            <v>INE759C01027</v>
          </cell>
          <cell r="D3371" t="str">
            <v>AJCON</v>
          </cell>
          <cell r="E3371">
            <v>55.634605602999997</v>
          </cell>
          <cell r="F3371" t="str">
            <v>-</v>
          </cell>
          <cell r="G3371" t="str">
            <v>-</v>
          </cell>
          <cell r="H3371" t="str">
            <v>-</v>
          </cell>
          <cell r="I3371" t="str">
            <v>-</v>
          </cell>
          <cell r="J3371">
            <v>55.634605602999997</v>
          </cell>
          <cell r="K3371" t="str">
            <v>Small Cap</v>
          </cell>
        </row>
        <row r="3372">
          <cell r="C3372" t="str">
            <v>INE646X01014</v>
          </cell>
          <cell r="D3372" t="str">
            <v>ASTRON</v>
          </cell>
          <cell r="E3372">
            <v>55.450511904999992</v>
          </cell>
          <cell r="F3372" t="str">
            <v>ASTRON</v>
          </cell>
          <cell r="G3372">
            <v>55.255699999999997</v>
          </cell>
          <cell r="H3372" t="str">
            <v>-</v>
          </cell>
          <cell r="I3372" t="str">
            <v>-</v>
          </cell>
          <cell r="J3372">
            <v>55.353105952499995</v>
          </cell>
          <cell r="K3372" t="str">
            <v>Small Cap</v>
          </cell>
        </row>
        <row r="3373">
          <cell r="C3373" t="str">
            <v>INE865B01016</v>
          </cell>
          <cell r="D3373" t="str">
            <v>CHOKSI</v>
          </cell>
          <cell r="E3373">
            <v>55.244729849000002</v>
          </cell>
          <cell r="F3373" t="str">
            <v>-</v>
          </cell>
          <cell r="G3373" t="str">
            <v>-</v>
          </cell>
          <cell r="H3373" t="str">
            <v>-</v>
          </cell>
          <cell r="I3373" t="str">
            <v>-</v>
          </cell>
          <cell r="J3373">
            <v>55.244729849000002</v>
          </cell>
          <cell r="K3373" t="str">
            <v>Small Cap</v>
          </cell>
        </row>
        <row r="3374">
          <cell r="C3374" t="str">
            <v>INE731C01018</v>
          </cell>
          <cell r="D3374" t="str">
            <v>KHAITANLTD</v>
          </cell>
          <cell r="E3374">
            <v>55.206309523999998</v>
          </cell>
          <cell r="F3374" t="str">
            <v>KHAITANLTD</v>
          </cell>
          <cell r="G3374">
            <v>55.171799999999998</v>
          </cell>
          <cell r="H3374" t="str">
            <v>-</v>
          </cell>
          <cell r="I3374" t="str">
            <v>-</v>
          </cell>
          <cell r="J3374">
            <v>55.189054761999998</v>
          </cell>
          <cell r="K3374" t="str">
            <v>Small Cap</v>
          </cell>
        </row>
        <row r="3375">
          <cell r="C3375" t="str">
            <v>INE07L501010</v>
          </cell>
          <cell r="D3375" t="str">
            <v>DMR</v>
          </cell>
          <cell r="E3375">
            <v>55.117727472000006</v>
          </cell>
          <cell r="F3375" t="str">
            <v>-</v>
          </cell>
          <cell r="G3375" t="str">
            <v>-</v>
          </cell>
          <cell r="H3375" t="str">
            <v>-</v>
          </cell>
          <cell r="I3375" t="str">
            <v>-</v>
          </cell>
          <cell r="J3375">
            <v>55.117727472000006</v>
          </cell>
          <cell r="K3375" t="str">
            <v>Small Cap</v>
          </cell>
        </row>
        <row r="3376">
          <cell r="C3376" t="str">
            <v>INE1U2R01013</v>
          </cell>
          <cell r="D3376" t="str">
            <v>SSMD</v>
          </cell>
          <cell r="E3376">
            <v>54.990715233000003</v>
          </cell>
          <cell r="F3376" t="str">
            <v>-</v>
          </cell>
          <cell r="G3376" t="str">
            <v>-</v>
          </cell>
          <cell r="H3376" t="str">
            <v>-</v>
          </cell>
          <cell r="I3376" t="str">
            <v>-</v>
          </cell>
          <cell r="J3376">
            <v>54.990715233000003</v>
          </cell>
          <cell r="K3376" t="str">
            <v>Small Cap</v>
          </cell>
        </row>
        <row r="3377">
          <cell r="C3377" t="str">
            <v>INE159O01033</v>
          </cell>
          <cell r="D3377" t="str">
            <v>MYSTICELE</v>
          </cell>
          <cell r="E3377">
            <v>54.903912047000006</v>
          </cell>
          <cell r="F3377" t="str">
            <v>-</v>
          </cell>
          <cell r="G3377" t="str">
            <v>-</v>
          </cell>
          <cell r="H3377" t="str">
            <v>-</v>
          </cell>
          <cell r="I3377" t="str">
            <v>-</v>
          </cell>
          <cell r="J3377">
            <v>54.903912047000006</v>
          </cell>
          <cell r="K3377" t="str">
            <v>Small Cap</v>
          </cell>
        </row>
        <row r="3378">
          <cell r="C3378" t="str">
            <v>INE433G01020</v>
          </cell>
          <cell r="D3378" t="str">
            <v>SACHEMT</v>
          </cell>
          <cell r="E3378">
            <v>54.902777777999994</v>
          </cell>
          <cell r="F3378" t="str">
            <v>-</v>
          </cell>
          <cell r="G3378" t="str">
            <v>-</v>
          </cell>
          <cell r="H3378" t="str">
            <v>-</v>
          </cell>
          <cell r="I3378" t="str">
            <v>-</v>
          </cell>
          <cell r="J3378">
            <v>54.902777777999994</v>
          </cell>
          <cell r="K3378" t="str">
            <v>Small Cap</v>
          </cell>
        </row>
        <row r="3379">
          <cell r="C3379" t="str">
            <v>INE210C01013</v>
          </cell>
          <cell r="D3379" t="str">
            <v>AROGRANITE</v>
          </cell>
          <cell r="E3379">
            <v>54.864707142999997</v>
          </cell>
          <cell r="F3379" t="str">
            <v>AROGRANITE</v>
          </cell>
          <cell r="G3379">
            <v>54.846499999999999</v>
          </cell>
          <cell r="H3379" t="str">
            <v>-</v>
          </cell>
          <cell r="I3379" t="str">
            <v>-</v>
          </cell>
          <cell r="J3379">
            <v>54.855603571499998</v>
          </cell>
          <cell r="K3379" t="str">
            <v>Small Cap</v>
          </cell>
        </row>
        <row r="3380">
          <cell r="C3380" t="str">
            <v>INE748T01016</v>
          </cell>
          <cell r="D3380" t="str">
            <v>SIMBHALS</v>
          </cell>
          <cell r="E3380">
            <v>54.856213855999997</v>
          </cell>
          <cell r="F3380" t="str">
            <v>SIMBHALS</v>
          </cell>
          <cell r="G3380">
            <v>54.515500000000003</v>
          </cell>
          <cell r="H3380" t="str">
            <v>-</v>
          </cell>
          <cell r="I3380" t="str">
            <v>-</v>
          </cell>
          <cell r="J3380">
            <v>54.685856928</v>
          </cell>
          <cell r="K3380" t="str">
            <v>Small Cap</v>
          </cell>
        </row>
        <row r="3381">
          <cell r="C3381" t="str">
            <v>INE009C01019</v>
          </cell>
          <cell r="D3381" t="str">
            <v>SRIKPRIND</v>
          </cell>
          <cell r="E3381">
            <v>54.508334871000002</v>
          </cell>
          <cell r="F3381" t="str">
            <v>-</v>
          </cell>
          <cell r="G3381" t="str">
            <v>-</v>
          </cell>
          <cell r="H3381" t="str">
            <v>-</v>
          </cell>
          <cell r="I3381" t="str">
            <v>-</v>
          </cell>
          <cell r="J3381">
            <v>54.508334871000002</v>
          </cell>
          <cell r="K3381" t="str">
            <v>Small Cap</v>
          </cell>
        </row>
        <row r="3382">
          <cell r="C3382" t="str">
            <v>INE965B01022</v>
          </cell>
          <cell r="D3382" t="str">
            <v>HYBRIDFIN</v>
          </cell>
          <cell r="E3382">
            <v>54.759648242999994</v>
          </cell>
          <cell r="F3382" t="str">
            <v>HYBRIDFIN</v>
          </cell>
          <cell r="G3382">
            <v>54.196599999999997</v>
          </cell>
          <cell r="H3382" t="str">
            <v>-</v>
          </cell>
          <cell r="I3382" t="str">
            <v>-</v>
          </cell>
          <cell r="J3382">
            <v>54.478124121499995</v>
          </cell>
          <cell r="K3382" t="str">
            <v>Small Cap</v>
          </cell>
        </row>
        <row r="3383">
          <cell r="C3383" t="str">
            <v>INE027D01019</v>
          </cell>
          <cell r="D3383" t="str">
            <v>NETTLINX</v>
          </cell>
          <cell r="E3383">
            <v>54.656055500999997</v>
          </cell>
          <cell r="F3383" t="str">
            <v>-</v>
          </cell>
          <cell r="G3383" t="str">
            <v>-</v>
          </cell>
          <cell r="H3383" t="str">
            <v>NETTLINX</v>
          </cell>
          <cell r="I3383">
            <v>53.945180141079355</v>
          </cell>
          <cell r="J3383">
            <v>54.30061782103968</v>
          </cell>
          <cell r="K3383" t="str">
            <v>Small Cap</v>
          </cell>
        </row>
        <row r="3384">
          <cell r="C3384" t="str">
            <v>INE968D01022</v>
          </cell>
          <cell r="D3384" t="str">
            <v>ARSHIYA</v>
          </cell>
          <cell r="E3384">
            <v>55.022553583000004</v>
          </cell>
          <cell r="F3384" t="str">
            <v>ARSHIYA</v>
          </cell>
          <cell r="G3384">
            <v>53.349699999999999</v>
          </cell>
          <cell r="H3384" t="str">
            <v>-</v>
          </cell>
          <cell r="I3384" t="str">
            <v>-</v>
          </cell>
          <cell r="J3384">
            <v>54.186126791500001</v>
          </cell>
          <cell r="K3384" t="str">
            <v>Small Cap</v>
          </cell>
        </row>
        <row r="3385">
          <cell r="C3385" t="str">
            <v>INE233C01023</v>
          </cell>
          <cell r="D3385" t="str">
            <v>PRIMEPRO</v>
          </cell>
          <cell r="E3385">
            <v>53.926414847000004</v>
          </cell>
          <cell r="F3385" t="str">
            <v>-</v>
          </cell>
          <cell r="G3385" t="str">
            <v>-</v>
          </cell>
          <cell r="H3385" t="str">
            <v>-</v>
          </cell>
          <cell r="I3385" t="str">
            <v>-</v>
          </cell>
          <cell r="J3385">
            <v>53.926414847000004</v>
          </cell>
          <cell r="K3385" t="str">
            <v>Small Cap</v>
          </cell>
        </row>
        <row r="3386">
          <cell r="C3386" t="str">
            <v>INE791B01014</v>
          </cell>
          <cell r="D3386" t="str">
            <v>LEENEE</v>
          </cell>
          <cell r="E3386">
            <v>53.898045936999999</v>
          </cell>
          <cell r="F3386" t="str">
            <v>-</v>
          </cell>
          <cell r="G3386" t="str">
            <v>-</v>
          </cell>
          <cell r="H3386" t="str">
            <v>-</v>
          </cell>
          <cell r="I3386" t="str">
            <v>-</v>
          </cell>
          <cell r="J3386">
            <v>53.898045936999999</v>
          </cell>
          <cell r="K3386" t="str">
            <v>Small Cap</v>
          </cell>
        </row>
        <row r="3387">
          <cell r="C3387" t="str">
            <v>INE233D01013</v>
          </cell>
          <cell r="D3387" t="str">
            <v>NATPLAS</v>
          </cell>
          <cell r="E3387">
            <v>53.869059886000002</v>
          </cell>
          <cell r="F3387" t="str">
            <v>-</v>
          </cell>
          <cell r="G3387" t="str">
            <v>-</v>
          </cell>
          <cell r="H3387" t="str">
            <v>-</v>
          </cell>
          <cell r="I3387" t="str">
            <v>-</v>
          </cell>
          <cell r="J3387">
            <v>53.869059886000002</v>
          </cell>
          <cell r="K3387" t="str">
            <v>Small Cap</v>
          </cell>
        </row>
        <row r="3388">
          <cell r="C3388" t="str">
            <v>INE0P7001013</v>
          </cell>
          <cell r="D3388" t="str">
            <v>SANCODE</v>
          </cell>
          <cell r="E3388">
            <v>53.843801399999997</v>
          </cell>
          <cell r="F3388" t="str">
            <v>-</v>
          </cell>
          <cell r="G3388" t="str">
            <v>-</v>
          </cell>
          <cell r="H3388" t="str">
            <v>-</v>
          </cell>
          <cell r="I3388" t="str">
            <v>-</v>
          </cell>
          <cell r="J3388">
            <v>53.843801399999997</v>
          </cell>
          <cell r="K3388" t="str">
            <v>Small Cap</v>
          </cell>
        </row>
        <row r="3389">
          <cell r="C3389" t="str">
            <v>INE253B01015</v>
          </cell>
          <cell r="D3389" t="str">
            <v>21STCENMGM</v>
          </cell>
          <cell r="E3389">
            <v>54.047750000000001</v>
          </cell>
          <cell r="F3389" t="str">
            <v>21STCENMGM</v>
          </cell>
          <cell r="G3389">
            <v>53.624000000000002</v>
          </cell>
          <cell r="H3389" t="str">
            <v>-</v>
          </cell>
          <cell r="I3389" t="str">
            <v>-</v>
          </cell>
          <cell r="J3389">
            <v>53.835875000000001</v>
          </cell>
          <cell r="K3389" t="str">
            <v>Small Cap</v>
          </cell>
        </row>
        <row r="3390">
          <cell r="C3390" t="str">
            <v>INE167H01014</v>
          </cell>
          <cell r="D3390" t="str">
            <v>SIMPLXREA</v>
          </cell>
          <cell r="E3390">
            <v>53.791102347000006</v>
          </cell>
          <cell r="F3390" t="str">
            <v>-</v>
          </cell>
          <cell r="G3390" t="str">
            <v>-</v>
          </cell>
          <cell r="H3390" t="str">
            <v>-</v>
          </cell>
          <cell r="I3390" t="str">
            <v>-</v>
          </cell>
          <cell r="J3390">
            <v>53.791102347000006</v>
          </cell>
          <cell r="K3390" t="str">
            <v>Small Cap</v>
          </cell>
        </row>
        <row r="3391">
          <cell r="C3391" t="str">
            <v>INE0E5R01017</v>
          </cell>
          <cell r="D3391" t="str">
            <v>NVENTURES</v>
          </cell>
          <cell r="E3391">
            <v>53.765042857000005</v>
          </cell>
          <cell r="F3391" t="str">
            <v>-</v>
          </cell>
          <cell r="G3391" t="str">
            <v>-</v>
          </cell>
          <cell r="H3391" t="str">
            <v>-</v>
          </cell>
          <cell r="I3391" t="str">
            <v>-</v>
          </cell>
          <cell r="J3391">
            <v>53.765042857000005</v>
          </cell>
          <cell r="K3391" t="str">
            <v>Small Cap</v>
          </cell>
        </row>
        <row r="3392">
          <cell r="C3392" t="str">
            <v>INE250S01015</v>
          </cell>
          <cell r="D3392" t="str">
            <v>MEAPL</v>
          </cell>
          <cell r="E3392">
            <v>53.633694048000002</v>
          </cell>
          <cell r="F3392" t="str">
            <v>-</v>
          </cell>
          <cell r="G3392" t="str">
            <v>-</v>
          </cell>
          <cell r="H3392" t="str">
            <v>-</v>
          </cell>
          <cell r="I3392" t="str">
            <v>-</v>
          </cell>
          <cell r="J3392">
            <v>53.633694048000002</v>
          </cell>
          <cell r="K3392" t="str">
            <v>Small Cap</v>
          </cell>
        </row>
        <row r="3393">
          <cell r="C3393" t="str">
            <v>INE845A01028</v>
          </cell>
          <cell r="D3393" t="str">
            <v>KIDUJA</v>
          </cell>
          <cell r="E3393">
            <v>53.512</v>
          </cell>
          <cell r="F3393" t="str">
            <v>-</v>
          </cell>
          <cell r="G3393" t="str">
            <v>-</v>
          </cell>
          <cell r="H3393" t="str">
            <v>-</v>
          </cell>
          <cell r="I3393" t="str">
            <v>-</v>
          </cell>
          <cell r="J3393">
            <v>53.512</v>
          </cell>
          <cell r="K3393" t="str">
            <v>Small Cap</v>
          </cell>
        </row>
        <row r="3394">
          <cell r="C3394" t="str">
            <v>INE808B01016</v>
          </cell>
          <cell r="D3394" t="str">
            <v>OPTOCIRCUI</v>
          </cell>
          <cell r="E3394">
            <v>53.511382431999998</v>
          </cell>
          <cell r="F3394" t="str">
            <v>-</v>
          </cell>
          <cell r="G3394" t="str">
            <v>-</v>
          </cell>
          <cell r="H3394" t="str">
            <v>-</v>
          </cell>
          <cell r="I3394" t="str">
            <v>-</v>
          </cell>
          <cell r="J3394">
            <v>53.511382431999998</v>
          </cell>
          <cell r="K3394" t="str">
            <v>Small Cap</v>
          </cell>
        </row>
        <row r="3395">
          <cell r="C3395" t="str">
            <v>INE804B01023</v>
          </cell>
          <cell r="D3395" t="str">
            <v>MEGACOR</v>
          </cell>
          <cell r="E3395">
            <v>53.487301586999997</v>
          </cell>
          <cell r="F3395" t="str">
            <v>-</v>
          </cell>
          <cell r="G3395" t="str">
            <v>-</v>
          </cell>
          <cell r="H3395" t="str">
            <v>-</v>
          </cell>
          <cell r="I3395" t="str">
            <v>-</v>
          </cell>
          <cell r="J3395">
            <v>53.487301586999997</v>
          </cell>
          <cell r="K3395" t="str">
            <v>Small Cap</v>
          </cell>
        </row>
        <row r="3396">
          <cell r="C3396" t="str">
            <v>INE259B01020</v>
          </cell>
          <cell r="D3396" t="str">
            <v>GAMMONIND</v>
          </cell>
          <cell r="E3396">
            <v>53.482859224999999</v>
          </cell>
          <cell r="F3396" t="str">
            <v>-</v>
          </cell>
          <cell r="G3396" t="str">
            <v>-</v>
          </cell>
          <cell r="H3396" t="str">
            <v>-</v>
          </cell>
          <cell r="I3396" t="str">
            <v>-</v>
          </cell>
          <cell r="J3396">
            <v>53.482859224999999</v>
          </cell>
          <cell r="K3396" t="str">
            <v>Small Cap</v>
          </cell>
        </row>
        <row r="3397">
          <cell r="C3397" t="str">
            <v>INE0LU301014</v>
          </cell>
          <cell r="D3397" t="str">
            <v>SISL</v>
          </cell>
          <cell r="E3397">
            <v>53.397175238000003</v>
          </cell>
          <cell r="F3397" t="str">
            <v>-</v>
          </cell>
          <cell r="G3397" t="str">
            <v>-</v>
          </cell>
          <cell r="H3397" t="str">
            <v>-</v>
          </cell>
          <cell r="I3397" t="str">
            <v>-</v>
          </cell>
          <cell r="J3397">
            <v>53.397175238000003</v>
          </cell>
          <cell r="K3397" t="str">
            <v>Small Cap</v>
          </cell>
        </row>
        <row r="3398">
          <cell r="C3398" t="str">
            <v>INE0M4L01013</v>
          </cell>
          <cell r="D3398" t="str">
            <v>CARGOTRANS</v>
          </cell>
          <cell r="E3398">
            <v>53.395642856999999</v>
          </cell>
          <cell r="F3398" t="str">
            <v>-</v>
          </cell>
          <cell r="G3398" t="str">
            <v>-</v>
          </cell>
          <cell r="H3398" t="str">
            <v>-</v>
          </cell>
          <cell r="I3398" t="str">
            <v>-</v>
          </cell>
          <cell r="J3398">
            <v>53.395642856999999</v>
          </cell>
          <cell r="K3398" t="str">
            <v>Small Cap</v>
          </cell>
        </row>
        <row r="3399">
          <cell r="C3399" t="str">
            <v>INE726X01014</v>
          </cell>
          <cell r="D3399" t="str">
            <v>SPACAPS</v>
          </cell>
          <cell r="E3399">
            <v>53.344513368000001</v>
          </cell>
          <cell r="F3399" t="str">
            <v>-</v>
          </cell>
          <cell r="G3399" t="str">
            <v>-</v>
          </cell>
          <cell r="H3399" t="str">
            <v>-</v>
          </cell>
          <cell r="I3399" t="str">
            <v>-</v>
          </cell>
          <cell r="J3399">
            <v>53.344513368000001</v>
          </cell>
          <cell r="K3399" t="str">
            <v>Small Cap</v>
          </cell>
        </row>
        <row r="3400">
          <cell r="C3400" t="str">
            <v>INE465H01012</v>
          </cell>
          <cell r="D3400" t="str">
            <v>SHARMEH</v>
          </cell>
          <cell r="E3400">
            <v>53.249182380999997</v>
          </cell>
          <cell r="F3400" t="str">
            <v>-</v>
          </cell>
          <cell r="G3400" t="str">
            <v>-</v>
          </cell>
          <cell r="H3400" t="str">
            <v>-</v>
          </cell>
          <cell r="I3400" t="str">
            <v>-</v>
          </cell>
          <cell r="J3400">
            <v>53.249182380999997</v>
          </cell>
          <cell r="K3400" t="str">
            <v>Small Cap</v>
          </cell>
        </row>
        <row r="3401">
          <cell r="C3401" t="str">
            <v>INE670X01014</v>
          </cell>
          <cell r="D3401" t="str">
            <v>LASA</v>
          </cell>
          <cell r="E3401">
            <v>53.405932630000002</v>
          </cell>
          <cell r="F3401" t="str">
            <v>LASA</v>
          </cell>
          <cell r="G3401">
            <v>53.001100000000001</v>
          </cell>
          <cell r="H3401" t="str">
            <v>-</v>
          </cell>
          <cell r="I3401" t="str">
            <v>-</v>
          </cell>
          <cell r="J3401">
            <v>53.203516315000002</v>
          </cell>
          <cell r="K3401" t="str">
            <v>Small Cap</v>
          </cell>
        </row>
        <row r="3402">
          <cell r="C3402" t="str">
            <v>INE241F01011</v>
          </cell>
          <cell r="D3402" t="str">
            <v>FUTSOL</v>
          </cell>
          <cell r="E3402">
            <v>53.201702733999994</v>
          </cell>
          <cell r="F3402" t="str">
            <v>-</v>
          </cell>
          <cell r="G3402" t="str">
            <v>-</v>
          </cell>
          <cell r="H3402" t="str">
            <v>-</v>
          </cell>
          <cell r="I3402" t="str">
            <v>-</v>
          </cell>
          <cell r="J3402">
            <v>53.201702733999994</v>
          </cell>
          <cell r="K3402" t="str">
            <v>Small Cap</v>
          </cell>
        </row>
        <row r="3403">
          <cell r="C3403" t="str">
            <v>INE832C01014</v>
          </cell>
          <cell r="D3403" t="str">
            <v>GOGIACAPGL</v>
          </cell>
          <cell r="E3403">
            <v>53.200535131000002</v>
          </cell>
          <cell r="F3403" t="str">
            <v>-</v>
          </cell>
          <cell r="G3403" t="str">
            <v>-</v>
          </cell>
          <cell r="H3403" t="str">
            <v>-</v>
          </cell>
          <cell r="I3403" t="str">
            <v>-</v>
          </cell>
          <cell r="J3403">
            <v>53.200535131000002</v>
          </cell>
          <cell r="K3403" t="str">
            <v>Small Cap</v>
          </cell>
        </row>
        <row r="3404">
          <cell r="C3404" t="str">
            <v>INE489H01020</v>
          </cell>
          <cell r="D3404" t="str">
            <v>NITINFIRE</v>
          </cell>
          <cell r="E3404">
            <v>53.193071203999999</v>
          </cell>
          <cell r="F3404" t="str">
            <v>-</v>
          </cell>
          <cell r="G3404" t="str">
            <v>-</v>
          </cell>
          <cell r="H3404" t="str">
            <v>-</v>
          </cell>
          <cell r="I3404" t="str">
            <v>-</v>
          </cell>
          <cell r="J3404">
            <v>53.193071203999999</v>
          </cell>
          <cell r="K3404" t="str">
            <v>Small Cap</v>
          </cell>
        </row>
        <row r="3405">
          <cell r="C3405" t="str">
            <v>INE480H01011</v>
          </cell>
          <cell r="D3405" t="str">
            <v>AREXMIS</v>
          </cell>
          <cell r="E3405">
            <v>53.149086056000002</v>
          </cell>
          <cell r="F3405" t="str">
            <v>-</v>
          </cell>
          <cell r="G3405" t="str">
            <v>-</v>
          </cell>
          <cell r="H3405" t="str">
            <v>-</v>
          </cell>
          <cell r="I3405" t="str">
            <v>-</v>
          </cell>
          <cell r="J3405">
            <v>53.149086056000002</v>
          </cell>
          <cell r="K3405" t="str">
            <v>Small Cap</v>
          </cell>
        </row>
        <row r="3406">
          <cell r="C3406" t="str">
            <v>INE312B01027</v>
          </cell>
          <cell r="D3406" t="str">
            <v>SJCORP</v>
          </cell>
          <cell r="E3406">
            <v>53.113663332999998</v>
          </cell>
          <cell r="F3406" t="str">
            <v>-</v>
          </cell>
          <cell r="G3406" t="str">
            <v>-</v>
          </cell>
          <cell r="H3406" t="str">
            <v>-</v>
          </cell>
          <cell r="I3406" t="str">
            <v>-</v>
          </cell>
          <cell r="J3406">
            <v>53.113663332999998</v>
          </cell>
          <cell r="K3406" t="str">
            <v>Small Cap</v>
          </cell>
        </row>
        <row r="3407">
          <cell r="C3407" t="str">
            <v>INE016M01021</v>
          </cell>
          <cell r="D3407" t="str">
            <v>DNAMEDIA</v>
          </cell>
          <cell r="E3407">
            <v>53.034001443000001</v>
          </cell>
          <cell r="F3407" t="str">
            <v>DNAMEDIA</v>
          </cell>
          <cell r="G3407">
            <v>53.054600000000001</v>
          </cell>
          <cell r="H3407" t="str">
            <v>-</v>
          </cell>
          <cell r="I3407" t="str">
            <v>-</v>
          </cell>
          <cell r="J3407">
            <v>53.044300721500001</v>
          </cell>
          <cell r="K3407" t="str">
            <v>Small Cap</v>
          </cell>
        </row>
        <row r="3408">
          <cell r="C3408" t="str">
            <v>INE728B01032</v>
          </cell>
          <cell r="D3408" t="str">
            <v>SMFIL</v>
          </cell>
          <cell r="E3408">
            <v>53.014717608999995</v>
          </cell>
          <cell r="F3408" t="str">
            <v>-</v>
          </cell>
          <cell r="G3408" t="str">
            <v>-</v>
          </cell>
          <cell r="H3408" t="str">
            <v>-</v>
          </cell>
          <cell r="I3408" t="str">
            <v>-</v>
          </cell>
          <cell r="J3408">
            <v>53.014717608999995</v>
          </cell>
          <cell r="K3408" t="str">
            <v>Small Cap</v>
          </cell>
        </row>
        <row r="3409">
          <cell r="C3409" t="str">
            <v>INE609D01014</v>
          </cell>
          <cell r="D3409" t="str">
            <v>RAMSONS</v>
          </cell>
          <cell r="E3409">
            <v>52.972406361000004</v>
          </cell>
          <cell r="F3409" t="str">
            <v>-</v>
          </cell>
          <cell r="G3409" t="str">
            <v>-</v>
          </cell>
          <cell r="H3409" t="str">
            <v>-</v>
          </cell>
          <cell r="I3409" t="str">
            <v>-</v>
          </cell>
          <cell r="J3409">
            <v>52.972406361000004</v>
          </cell>
          <cell r="K3409" t="str">
            <v>Small Cap</v>
          </cell>
        </row>
        <row r="3410">
          <cell r="C3410" t="str">
            <v>INE277E01026</v>
          </cell>
          <cell r="D3410" t="str">
            <v>MSCTC</v>
          </cell>
          <cell r="E3410">
            <v>52.947624866000005</v>
          </cell>
          <cell r="F3410" t="str">
            <v>-</v>
          </cell>
          <cell r="G3410" t="str">
            <v>-</v>
          </cell>
          <cell r="H3410" t="str">
            <v>-</v>
          </cell>
          <cell r="I3410" t="str">
            <v>-</v>
          </cell>
          <cell r="J3410">
            <v>52.947624866000005</v>
          </cell>
          <cell r="K3410" t="str">
            <v>Small Cap</v>
          </cell>
        </row>
        <row r="3411">
          <cell r="C3411" t="str">
            <v>INE229N01010</v>
          </cell>
          <cell r="D3411" t="str">
            <v>NEWTRAC</v>
          </cell>
          <cell r="E3411">
            <v>52.910400000000003</v>
          </cell>
          <cell r="F3411" t="str">
            <v>-</v>
          </cell>
          <cell r="G3411" t="str">
            <v>-</v>
          </cell>
          <cell r="H3411" t="str">
            <v>-</v>
          </cell>
          <cell r="I3411" t="str">
            <v>-</v>
          </cell>
          <cell r="J3411">
            <v>52.910400000000003</v>
          </cell>
          <cell r="K3411" t="str">
            <v>Small Cap</v>
          </cell>
        </row>
        <row r="3412">
          <cell r="C3412" t="str">
            <v>INE906D01014</v>
          </cell>
          <cell r="D3412" t="str">
            <v>CITADEL</v>
          </cell>
          <cell r="E3412">
            <v>52.846296905000003</v>
          </cell>
          <cell r="F3412" t="str">
            <v>-</v>
          </cell>
          <cell r="G3412" t="str">
            <v>-</v>
          </cell>
          <cell r="H3412" t="str">
            <v>-</v>
          </cell>
          <cell r="I3412" t="str">
            <v>-</v>
          </cell>
          <cell r="J3412">
            <v>52.846296905000003</v>
          </cell>
          <cell r="K3412" t="str">
            <v>Small Cap</v>
          </cell>
        </row>
        <row r="3413">
          <cell r="C3413" t="str">
            <v>INE274E01015</v>
          </cell>
          <cell r="D3413" t="str">
            <v>INDIAHOME</v>
          </cell>
          <cell r="E3413">
            <v>52.844420402999994</v>
          </cell>
          <cell r="F3413" t="str">
            <v>-</v>
          </cell>
          <cell r="G3413" t="str">
            <v>-</v>
          </cell>
          <cell r="H3413" t="str">
            <v>-</v>
          </cell>
          <cell r="I3413" t="str">
            <v>-</v>
          </cell>
          <cell r="J3413">
            <v>52.844420402999994</v>
          </cell>
          <cell r="K3413" t="str">
            <v>Small Cap</v>
          </cell>
        </row>
        <row r="3414">
          <cell r="C3414" t="str">
            <v>INE161F01011</v>
          </cell>
          <cell r="D3414" t="str">
            <v>ANIRIT</v>
          </cell>
          <cell r="E3414">
            <v>52.807571428999999</v>
          </cell>
          <cell r="F3414" t="str">
            <v>-</v>
          </cell>
          <cell r="G3414" t="str">
            <v>-</v>
          </cell>
          <cell r="H3414" t="str">
            <v>-</v>
          </cell>
          <cell r="I3414" t="str">
            <v>-</v>
          </cell>
          <cell r="J3414">
            <v>52.807571428999999</v>
          </cell>
          <cell r="K3414" t="str">
            <v>Small Cap</v>
          </cell>
        </row>
        <row r="3415">
          <cell r="C3415" t="str">
            <v>INE834B01012</v>
          </cell>
          <cell r="D3415" t="str">
            <v>PCS</v>
          </cell>
          <cell r="E3415">
            <v>52.749980356000002</v>
          </cell>
          <cell r="F3415" t="str">
            <v>-</v>
          </cell>
          <cell r="G3415" t="str">
            <v>-</v>
          </cell>
          <cell r="H3415" t="str">
            <v>-</v>
          </cell>
          <cell r="I3415" t="str">
            <v>-</v>
          </cell>
          <cell r="J3415">
            <v>52.749980356000002</v>
          </cell>
          <cell r="K3415" t="str">
            <v>Small Cap</v>
          </cell>
        </row>
        <row r="3416">
          <cell r="C3416" t="str">
            <v>INE759F01012</v>
          </cell>
          <cell r="D3416" t="str">
            <v>AUSTENG</v>
          </cell>
          <cell r="E3416">
            <v>52.746633332999998</v>
          </cell>
          <cell r="F3416" t="str">
            <v>-</v>
          </cell>
          <cell r="G3416" t="str">
            <v>-</v>
          </cell>
          <cell r="H3416" t="str">
            <v>-</v>
          </cell>
          <cell r="I3416" t="str">
            <v>-</v>
          </cell>
          <cell r="J3416">
            <v>52.746633332999998</v>
          </cell>
          <cell r="K3416" t="str">
            <v>Small Cap</v>
          </cell>
        </row>
        <row r="3417">
          <cell r="C3417" t="str">
            <v>INE333H01020</v>
          </cell>
          <cell r="D3417" t="str">
            <v>BHEEMACEM</v>
          </cell>
          <cell r="E3417">
            <v>52.665153230000001</v>
          </cell>
          <cell r="F3417" t="str">
            <v>-</v>
          </cell>
          <cell r="G3417" t="str">
            <v>-</v>
          </cell>
          <cell r="H3417" t="str">
            <v>-</v>
          </cell>
          <cell r="I3417" t="str">
            <v>-</v>
          </cell>
          <cell r="J3417">
            <v>52.665153230000001</v>
          </cell>
          <cell r="K3417" t="str">
            <v>Small Cap</v>
          </cell>
        </row>
        <row r="3418">
          <cell r="C3418" t="str">
            <v>INE239B01014</v>
          </cell>
          <cell r="D3418" t="str">
            <v>RFL</v>
          </cell>
          <cell r="E3418">
            <v>52.495388016</v>
          </cell>
          <cell r="F3418" t="str">
            <v>-</v>
          </cell>
          <cell r="G3418" t="str">
            <v>-</v>
          </cell>
          <cell r="H3418" t="str">
            <v>-</v>
          </cell>
          <cell r="I3418" t="str">
            <v>-</v>
          </cell>
          <cell r="J3418">
            <v>52.495388016</v>
          </cell>
          <cell r="K3418" t="str">
            <v>Small Cap</v>
          </cell>
        </row>
        <row r="3419">
          <cell r="C3419" t="str">
            <v>INE901A01011</v>
          </cell>
          <cell r="D3419" t="str">
            <v>INSILCO</v>
          </cell>
          <cell r="E3419">
            <v>52.429740000000002</v>
          </cell>
          <cell r="F3419" t="str">
            <v>-</v>
          </cell>
          <cell r="G3419" t="str">
            <v>-</v>
          </cell>
          <cell r="H3419" t="str">
            <v>-</v>
          </cell>
          <cell r="I3419" t="str">
            <v>-</v>
          </cell>
          <cell r="J3419">
            <v>52.429740000000002</v>
          </cell>
          <cell r="K3419" t="str">
            <v>Small Cap</v>
          </cell>
        </row>
        <row r="3420">
          <cell r="C3420" t="str">
            <v>INE323D01020</v>
          </cell>
          <cell r="D3420" t="str">
            <v>POLYLINK</v>
          </cell>
          <cell r="E3420">
            <v>52.413204893</v>
          </cell>
          <cell r="F3420" t="str">
            <v>-</v>
          </cell>
          <cell r="G3420" t="str">
            <v>-</v>
          </cell>
          <cell r="H3420" t="str">
            <v>-</v>
          </cell>
          <cell r="I3420" t="str">
            <v>-</v>
          </cell>
          <cell r="J3420">
            <v>52.413204893</v>
          </cell>
          <cell r="K3420" t="str">
            <v>Small Cap</v>
          </cell>
        </row>
        <row r="3421">
          <cell r="C3421" t="str">
            <v>INE608B01010</v>
          </cell>
          <cell r="D3421" t="str">
            <v>CRANEX</v>
          </cell>
          <cell r="E3421">
            <v>52.322176429000002</v>
          </cell>
          <cell r="F3421" t="str">
            <v>-</v>
          </cell>
          <cell r="G3421" t="str">
            <v>-</v>
          </cell>
          <cell r="H3421" t="str">
            <v>-</v>
          </cell>
          <cell r="I3421" t="str">
            <v>-</v>
          </cell>
          <cell r="J3421">
            <v>52.322176429000002</v>
          </cell>
          <cell r="K3421" t="str">
            <v>Small Cap</v>
          </cell>
        </row>
        <row r="3422">
          <cell r="C3422" t="str">
            <v>INE209C01015</v>
          </cell>
          <cell r="D3422" t="str">
            <v>ALFATRAN</v>
          </cell>
          <cell r="E3422">
            <v>52.238853580000004</v>
          </cell>
          <cell r="F3422" t="str">
            <v>-</v>
          </cell>
          <cell r="G3422" t="str">
            <v>-</v>
          </cell>
          <cell r="H3422" t="str">
            <v>-</v>
          </cell>
          <cell r="I3422" t="str">
            <v>-</v>
          </cell>
          <cell r="J3422">
            <v>52.238853580000004</v>
          </cell>
          <cell r="K3422" t="str">
            <v>Small Cap</v>
          </cell>
        </row>
        <row r="3423">
          <cell r="C3423" t="str">
            <v>INE198N01017</v>
          </cell>
          <cell r="D3423" t="str">
            <v>CDG</v>
          </cell>
          <cell r="E3423">
            <v>52.209197131000003</v>
          </cell>
          <cell r="F3423" t="str">
            <v>-</v>
          </cell>
          <cell r="G3423" t="str">
            <v>-</v>
          </cell>
          <cell r="H3423" t="str">
            <v>-</v>
          </cell>
          <cell r="I3423" t="str">
            <v>-</v>
          </cell>
          <cell r="J3423">
            <v>52.209197131000003</v>
          </cell>
          <cell r="K3423" t="str">
            <v>Small Cap</v>
          </cell>
        </row>
        <row r="3424">
          <cell r="C3424" t="str">
            <v>INE332Q01023</v>
          </cell>
          <cell r="D3424" t="str">
            <v>KAPILRAJ</v>
          </cell>
          <cell r="E3424">
            <v>52.125626984</v>
          </cell>
          <cell r="F3424" t="str">
            <v>-</v>
          </cell>
          <cell r="G3424" t="str">
            <v>-</v>
          </cell>
          <cell r="H3424" t="str">
            <v>KAPILRAJ</v>
          </cell>
          <cell r="I3424">
            <v>52.138650793650797</v>
          </cell>
          <cell r="J3424">
            <v>52.132138888825395</v>
          </cell>
          <cell r="K3424" t="str">
            <v>Small Cap</v>
          </cell>
        </row>
        <row r="3425">
          <cell r="C3425" t="str">
            <v>INE185K01036</v>
          </cell>
          <cell r="D3425" t="str">
            <v>ARNOLD</v>
          </cell>
          <cell r="E3425">
            <v>52.085364286000001</v>
          </cell>
          <cell r="F3425" t="str">
            <v>-</v>
          </cell>
          <cell r="G3425" t="str">
            <v>-</v>
          </cell>
          <cell r="H3425" t="str">
            <v>-</v>
          </cell>
          <cell r="I3425" t="str">
            <v>-</v>
          </cell>
          <cell r="J3425">
            <v>52.085364286000001</v>
          </cell>
          <cell r="K3425" t="str">
            <v>Small Cap</v>
          </cell>
        </row>
        <row r="3426">
          <cell r="C3426" t="str">
            <v>INE055E01034</v>
          </cell>
          <cell r="D3426" t="str">
            <v>REALECO</v>
          </cell>
          <cell r="E3426">
            <v>52.045238095000002</v>
          </cell>
          <cell r="F3426" t="str">
            <v>-</v>
          </cell>
          <cell r="G3426" t="str">
            <v>-</v>
          </cell>
          <cell r="H3426" t="str">
            <v>-</v>
          </cell>
          <cell r="I3426" t="str">
            <v>-</v>
          </cell>
          <cell r="J3426">
            <v>52.045238095000002</v>
          </cell>
          <cell r="K3426" t="str">
            <v>Small Cap</v>
          </cell>
        </row>
        <row r="3427">
          <cell r="C3427" t="str">
            <v>INE965C01038</v>
          </cell>
          <cell r="D3427" t="str">
            <v>INNOVTEC</v>
          </cell>
          <cell r="E3427">
            <v>52.024660951999998</v>
          </cell>
          <cell r="F3427" t="str">
            <v>-</v>
          </cell>
          <cell r="G3427" t="str">
            <v>-</v>
          </cell>
          <cell r="H3427" t="str">
            <v>-</v>
          </cell>
          <cell r="I3427" t="str">
            <v>-</v>
          </cell>
          <cell r="J3427">
            <v>52.024660951999998</v>
          </cell>
          <cell r="K3427" t="str">
            <v>Small Cap</v>
          </cell>
        </row>
        <row r="3428">
          <cell r="C3428" t="str">
            <v>INE077B01018</v>
          </cell>
          <cell r="D3428" t="str">
            <v>ZODJRDMKJ</v>
          </cell>
          <cell r="E3428">
            <v>52.015664577999999</v>
          </cell>
          <cell r="F3428" t="str">
            <v>-</v>
          </cell>
          <cell r="G3428" t="str">
            <v>-</v>
          </cell>
          <cell r="H3428" t="str">
            <v>-</v>
          </cell>
          <cell r="I3428" t="str">
            <v>-</v>
          </cell>
          <cell r="J3428">
            <v>52.015664577999999</v>
          </cell>
          <cell r="K3428" t="str">
            <v>Small Cap</v>
          </cell>
        </row>
        <row r="3429">
          <cell r="C3429" t="str">
            <v>INE608C01026</v>
          </cell>
          <cell r="D3429" t="str">
            <v>NOVIS</v>
          </cell>
          <cell r="E3429">
            <v>51.928141936000003</v>
          </cell>
          <cell r="F3429" t="str">
            <v>-</v>
          </cell>
          <cell r="G3429" t="str">
            <v>-</v>
          </cell>
          <cell r="H3429" t="str">
            <v>-</v>
          </cell>
          <cell r="I3429" t="str">
            <v>-</v>
          </cell>
          <cell r="J3429">
            <v>51.928141936000003</v>
          </cell>
          <cell r="K3429" t="str">
            <v>Small Cap</v>
          </cell>
        </row>
        <row r="3430">
          <cell r="C3430" t="str">
            <v>INE579D01019</v>
          </cell>
          <cell r="D3430" t="str">
            <v>SITAENT</v>
          </cell>
          <cell r="E3430">
            <v>51.925119047999999</v>
          </cell>
          <cell r="F3430" t="str">
            <v>-</v>
          </cell>
          <cell r="G3430" t="str">
            <v>-</v>
          </cell>
          <cell r="H3430" t="str">
            <v>-</v>
          </cell>
          <cell r="I3430" t="str">
            <v>-</v>
          </cell>
          <cell r="J3430">
            <v>51.925119047999999</v>
          </cell>
          <cell r="K3430" t="str">
            <v>Small Cap</v>
          </cell>
        </row>
        <row r="3431">
          <cell r="C3431" t="str">
            <v>INE065E01017</v>
          </cell>
          <cell r="D3431" t="str">
            <v>SHHARICH</v>
          </cell>
          <cell r="E3431">
            <v>51.851780194999996</v>
          </cell>
          <cell r="F3431" t="str">
            <v>-</v>
          </cell>
          <cell r="G3431" t="str">
            <v>-</v>
          </cell>
          <cell r="H3431" t="str">
            <v>-</v>
          </cell>
          <cell r="I3431" t="str">
            <v>-</v>
          </cell>
          <cell r="J3431">
            <v>51.851780194999996</v>
          </cell>
          <cell r="K3431" t="str">
            <v>Small Cap</v>
          </cell>
        </row>
        <row r="3432">
          <cell r="C3432" t="str">
            <v>INE938A01021</v>
          </cell>
          <cell r="D3432" t="str">
            <v>LCCINFOTEC</v>
          </cell>
          <cell r="E3432">
            <v>47.406259548000001</v>
          </cell>
          <cell r="F3432" t="str">
            <v>LCCINFOTEC</v>
          </cell>
          <cell r="G3432">
            <v>56.293900000000001</v>
          </cell>
          <cell r="H3432" t="str">
            <v>-</v>
          </cell>
          <cell r="I3432" t="str">
            <v>-</v>
          </cell>
          <cell r="J3432">
            <v>51.850079774000001</v>
          </cell>
          <cell r="K3432" t="str">
            <v>Small Cap</v>
          </cell>
        </row>
        <row r="3433">
          <cell r="C3433" t="str">
            <v>INE191201016</v>
          </cell>
          <cell r="D3433" t="str">
            <v>LGT</v>
          </cell>
          <cell r="E3433">
            <v>51.847420800000002</v>
          </cell>
          <cell r="F3433" t="str">
            <v>-</v>
          </cell>
          <cell r="G3433" t="str">
            <v>-</v>
          </cell>
          <cell r="H3433" t="str">
            <v>-</v>
          </cell>
          <cell r="I3433" t="str">
            <v>-</v>
          </cell>
          <cell r="J3433">
            <v>51.847420800000002</v>
          </cell>
          <cell r="K3433" t="str">
            <v>Small Cap</v>
          </cell>
        </row>
        <row r="3434">
          <cell r="C3434" t="str">
            <v>INE159E01026</v>
          </cell>
          <cell r="D3434" t="str">
            <v>MMRUBBR-B</v>
          </cell>
          <cell r="E3434">
            <v>51.766287904000002</v>
          </cell>
          <cell r="F3434" t="str">
            <v>-</v>
          </cell>
          <cell r="G3434" t="str">
            <v>-</v>
          </cell>
          <cell r="H3434" t="str">
            <v>-</v>
          </cell>
          <cell r="I3434" t="str">
            <v>-</v>
          </cell>
          <cell r="J3434">
            <v>51.766287904000002</v>
          </cell>
          <cell r="K3434" t="str">
            <v>Small Cap</v>
          </cell>
        </row>
        <row r="3435">
          <cell r="C3435" t="str">
            <v>INE573R01012</v>
          </cell>
          <cell r="D3435" t="str">
            <v>SEYAIND</v>
          </cell>
          <cell r="E3435">
            <v>52.821179133000001</v>
          </cell>
          <cell r="F3435" t="str">
            <v>SEYAIND</v>
          </cell>
          <cell r="G3435">
            <v>50.568399999999997</v>
          </cell>
          <cell r="H3435" t="str">
            <v>-</v>
          </cell>
          <cell r="I3435" t="str">
            <v>-</v>
          </cell>
          <cell r="J3435">
            <v>51.694789566499999</v>
          </cell>
          <cell r="K3435" t="str">
            <v>Small Cap</v>
          </cell>
        </row>
        <row r="3436">
          <cell r="C3436" t="str">
            <v>INE662A01027</v>
          </cell>
          <cell r="D3436" t="str">
            <v>SUPERSPIN</v>
          </cell>
          <cell r="E3436">
            <v>51.463412697999999</v>
          </cell>
          <cell r="F3436" t="str">
            <v>SUPERSPIN</v>
          </cell>
          <cell r="G3436">
            <v>51.343800000000002</v>
          </cell>
          <cell r="H3436" t="str">
            <v>-</v>
          </cell>
          <cell r="I3436" t="str">
            <v>-</v>
          </cell>
          <cell r="J3436">
            <v>51.403606349</v>
          </cell>
          <cell r="K3436" t="str">
            <v>Small Cap</v>
          </cell>
        </row>
        <row r="3437">
          <cell r="C3437" t="str">
            <v>INE943X01015</v>
          </cell>
          <cell r="D3437" t="str">
            <v>JIGAR</v>
          </cell>
          <cell r="E3437">
            <v>51.311287048000004</v>
          </cell>
          <cell r="F3437" t="str">
            <v>-</v>
          </cell>
          <cell r="G3437" t="str">
            <v>-</v>
          </cell>
          <cell r="H3437" t="str">
            <v>-</v>
          </cell>
          <cell r="I3437" t="str">
            <v>-</v>
          </cell>
          <cell r="J3437">
            <v>51.311287048000004</v>
          </cell>
          <cell r="K3437" t="str">
            <v>Small Cap</v>
          </cell>
        </row>
        <row r="3438">
          <cell r="C3438" t="str">
            <v>INE695B01025</v>
          </cell>
          <cell r="D3438" t="str">
            <v>COUNCODOS</v>
          </cell>
          <cell r="E3438">
            <v>51.340467574999998</v>
          </cell>
          <cell r="F3438" t="str">
            <v>COUNCODOS</v>
          </cell>
          <cell r="G3438">
            <v>51.256700000000002</v>
          </cell>
          <cell r="H3438" t="str">
            <v>-</v>
          </cell>
          <cell r="I3438" t="str">
            <v>-</v>
          </cell>
          <cell r="J3438">
            <v>51.2985837875</v>
          </cell>
          <cell r="K3438" t="str">
            <v>Small Cap</v>
          </cell>
        </row>
        <row r="3439">
          <cell r="C3439" t="str">
            <v>INE07NX01019</v>
          </cell>
          <cell r="D3439" t="str">
            <v>PUNCTRD</v>
          </cell>
          <cell r="E3439">
            <v>51.25</v>
          </cell>
          <cell r="F3439" t="str">
            <v>-</v>
          </cell>
          <cell r="G3439" t="str">
            <v>-</v>
          </cell>
          <cell r="H3439" t="str">
            <v>-</v>
          </cell>
          <cell r="I3439" t="str">
            <v>-</v>
          </cell>
          <cell r="J3439">
            <v>51.25</v>
          </cell>
          <cell r="K3439" t="str">
            <v>Small Cap</v>
          </cell>
        </row>
        <row r="3440">
          <cell r="C3440" t="str">
            <v>INE082W01014</v>
          </cell>
          <cell r="D3440" t="str">
            <v>WEWIN</v>
          </cell>
          <cell r="E3440">
            <v>51.314259643</v>
          </cell>
          <cell r="F3440" t="str">
            <v>WEWIN</v>
          </cell>
          <cell r="G3440">
            <v>51.107300000000002</v>
          </cell>
          <cell r="H3440" t="str">
            <v>-</v>
          </cell>
          <cell r="I3440" t="str">
            <v>-</v>
          </cell>
          <cell r="J3440">
            <v>51.210779821499997</v>
          </cell>
          <cell r="K3440" t="str">
            <v>Small Cap</v>
          </cell>
        </row>
        <row r="3441">
          <cell r="C3441" t="str">
            <v>INE272G01014</v>
          </cell>
          <cell r="D3441" t="str">
            <v>PARLEIND</v>
          </cell>
          <cell r="E3441">
            <v>51.195948570999995</v>
          </cell>
          <cell r="F3441" t="str">
            <v>-</v>
          </cell>
          <cell r="G3441" t="str">
            <v>-</v>
          </cell>
          <cell r="H3441" t="str">
            <v>-</v>
          </cell>
          <cell r="I3441" t="str">
            <v>-</v>
          </cell>
          <cell r="J3441">
            <v>51.195948570999995</v>
          </cell>
          <cell r="K3441" t="str">
            <v>Small Cap</v>
          </cell>
        </row>
        <row r="3442">
          <cell r="C3442" t="str">
            <v>INE323K01017</v>
          </cell>
          <cell r="D3442" t="str">
            <v>KABRADG</v>
          </cell>
          <cell r="E3442">
            <v>51.109796976999995</v>
          </cell>
          <cell r="F3442" t="str">
            <v>-</v>
          </cell>
          <cell r="G3442" t="str">
            <v>-</v>
          </cell>
          <cell r="H3442" t="str">
            <v>-</v>
          </cell>
          <cell r="I3442" t="str">
            <v>-</v>
          </cell>
          <cell r="J3442">
            <v>51.109796976999995</v>
          </cell>
          <cell r="K3442" t="str">
            <v>Small Cap</v>
          </cell>
        </row>
        <row r="3443">
          <cell r="C3443" t="str">
            <v>INE161E01014</v>
          </cell>
          <cell r="D3443" t="str">
            <v>METALCO</v>
          </cell>
          <cell r="E3443">
            <v>50.971559063000001</v>
          </cell>
          <cell r="F3443" t="str">
            <v>-</v>
          </cell>
          <cell r="G3443" t="str">
            <v>-</v>
          </cell>
          <cell r="H3443" t="str">
            <v>-</v>
          </cell>
          <cell r="I3443" t="str">
            <v>-</v>
          </cell>
          <cell r="J3443">
            <v>50.971559063000001</v>
          </cell>
          <cell r="K3443" t="str">
            <v>Small Cap</v>
          </cell>
        </row>
        <row r="3444">
          <cell r="C3444" t="str">
            <v>INE378D01032</v>
          </cell>
          <cell r="D3444" t="str">
            <v>MADHUCON</v>
          </cell>
          <cell r="E3444">
            <v>50.720550744999997</v>
          </cell>
          <cell r="F3444" t="str">
            <v>MADHUCON</v>
          </cell>
          <cell r="G3444">
            <v>50.397300000000001</v>
          </cell>
          <cell r="H3444" t="str">
            <v>-</v>
          </cell>
          <cell r="I3444" t="str">
            <v>-</v>
          </cell>
          <cell r="J3444">
            <v>50.558925372499999</v>
          </cell>
          <cell r="K3444" t="str">
            <v>Small Cap</v>
          </cell>
        </row>
        <row r="3445">
          <cell r="C3445" t="str">
            <v>INE304D01012</v>
          </cell>
          <cell r="D3445" t="str">
            <v>SAMBANDAM</v>
          </cell>
          <cell r="E3445">
            <v>50.543125357000001</v>
          </cell>
          <cell r="F3445" t="str">
            <v>-</v>
          </cell>
          <cell r="G3445" t="str">
            <v>-</v>
          </cell>
          <cell r="H3445" t="str">
            <v>-</v>
          </cell>
          <cell r="I3445" t="str">
            <v>-</v>
          </cell>
          <cell r="J3445">
            <v>50.543125357000001</v>
          </cell>
          <cell r="K3445" t="str">
            <v>Small Cap</v>
          </cell>
        </row>
        <row r="3446">
          <cell r="C3446" t="str">
            <v>INE556D01017</v>
          </cell>
          <cell r="D3446" t="str">
            <v>ADMANUM</v>
          </cell>
          <cell r="E3446">
            <v>50.465833332999999</v>
          </cell>
          <cell r="F3446" t="str">
            <v>-</v>
          </cell>
          <cell r="G3446" t="str">
            <v>-</v>
          </cell>
          <cell r="H3446" t="str">
            <v>-</v>
          </cell>
          <cell r="I3446" t="str">
            <v>-</v>
          </cell>
          <cell r="J3446">
            <v>50.465833332999999</v>
          </cell>
          <cell r="K3446" t="str">
            <v>Small Cap</v>
          </cell>
        </row>
        <row r="3447">
          <cell r="C3447" t="str">
            <v>INE1DKT01011</v>
          </cell>
          <cell r="D3447" t="str">
            <v>RDEL</v>
          </cell>
          <cell r="E3447">
            <v>50.440975780999999</v>
          </cell>
          <cell r="F3447" t="str">
            <v>-</v>
          </cell>
          <cell r="G3447" t="str">
            <v>-</v>
          </cell>
          <cell r="H3447" t="str">
            <v>-</v>
          </cell>
          <cell r="I3447" t="str">
            <v>-</v>
          </cell>
          <cell r="J3447">
            <v>50.440975780999999</v>
          </cell>
          <cell r="K3447" t="str">
            <v>Small Cap</v>
          </cell>
        </row>
        <row r="3448">
          <cell r="C3448" t="str">
            <v>INE00FM01013</v>
          </cell>
          <cell r="D3448" t="str">
            <v>BAPACK</v>
          </cell>
          <cell r="E3448">
            <v>50.425096429</v>
          </cell>
          <cell r="F3448" t="str">
            <v>-</v>
          </cell>
          <cell r="G3448" t="str">
            <v>-</v>
          </cell>
          <cell r="H3448" t="str">
            <v>-</v>
          </cell>
          <cell r="I3448" t="str">
            <v>-</v>
          </cell>
          <cell r="J3448">
            <v>50.425096429</v>
          </cell>
          <cell r="K3448" t="str">
            <v>Small Cap</v>
          </cell>
        </row>
        <row r="3449">
          <cell r="C3449" t="str">
            <v>INE206C01029</v>
          </cell>
          <cell r="D3449" t="str">
            <v>PRATIK</v>
          </cell>
          <cell r="E3449">
            <v>50.417437892999999</v>
          </cell>
          <cell r="F3449" t="str">
            <v>-</v>
          </cell>
          <cell r="G3449" t="str">
            <v>-</v>
          </cell>
          <cell r="H3449" t="str">
            <v>-</v>
          </cell>
          <cell r="I3449" t="str">
            <v>-</v>
          </cell>
          <cell r="J3449">
            <v>50.417437892999999</v>
          </cell>
          <cell r="K3449" t="str">
            <v>Small Cap</v>
          </cell>
        </row>
        <row r="3450">
          <cell r="C3450" t="str">
            <v>INE711D01018</v>
          </cell>
          <cell r="D3450" t="str">
            <v>BACPHAR</v>
          </cell>
          <cell r="E3450">
            <v>50.411322897000005</v>
          </cell>
          <cell r="F3450" t="str">
            <v>-</v>
          </cell>
          <cell r="G3450" t="str">
            <v>-</v>
          </cell>
          <cell r="H3450" t="str">
            <v>-</v>
          </cell>
          <cell r="I3450" t="str">
            <v>-</v>
          </cell>
          <cell r="J3450">
            <v>50.411322897000005</v>
          </cell>
          <cell r="K3450" t="str">
            <v>Small Cap</v>
          </cell>
        </row>
        <row r="3451">
          <cell r="C3451" t="str">
            <v>INE953D01016</v>
          </cell>
          <cell r="D3451" t="str">
            <v>DHANFAB</v>
          </cell>
          <cell r="E3451">
            <v>50.171035644999996</v>
          </cell>
          <cell r="F3451" t="str">
            <v>-</v>
          </cell>
          <cell r="G3451" t="str">
            <v>-</v>
          </cell>
          <cell r="H3451" t="str">
            <v>-</v>
          </cell>
          <cell r="I3451" t="str">
            <v>-</v>
          </cell>
          <cell r="J3451">
            <v>50.171035644999996</v>
          </cell>
          <cell r="K3451" t="str">
            <v>Small Cap</v>
          </cell>
        </row>
        <row r="3452">
          <cell r="C3452" t="str">
            <v>INE955E01019</v>
          </cell>
          <cell r="D3452" t="str">
            <v>-</v>
          </cell>
          <cell r="E3452" t="str">
            <v>-</v>
          </cell>
          <cell r="F3452" t="str">
            <v>-</v>
          </cell>
          <cell r="G3452" t="str">
            <v>-</v>
          </cell>
          <cell r="H3452" t="str">
            <v>NEELEC</v>
          </cell>
          <cell r="I3452">
            <v>50.012459999999933</v>
          </cell>
          <cell r="J3452">
            <v>50.012459999999933</v>
          </cell>
          <cell r="K3452" t="str">
            <v>Small Cap</v>
          </cell>
        </row>
        <row r="3453">
          <cell r="C3453" t="str">
            <v>INE856B01023</v>
          </cell>
          <cell r="D3453" t="str">
            <v>7TEC</v>
          </cell>
          <cell r="E3453">
            <v>50.002524735999998</v>
          </cell>
          <cell r="F3453" t="str">
            <v>-</v>
          </cell>
          <cell r="G3453" t="str">
            <v>-</v>
          </cell>
          <cell r="H3453" t="str">
            <v>-</v>
          </cell>
          <cell r="I3453" t="str">
            <v>-</v>
          </cell>
          <cell r="J3453">
            <v>50.002524735999998</v>
          </cell>
          <cell r="K3453" t="str">
            <v>Small Cap</v>
          </cell>
        </row>
        <row r="3454">
          <cell r="C3454" t="str">
            <v>INE236Y01012</v>
          </cell>
          <cell r="D3454" t="str">
            <v>NGIL</v>
          </cell>
          <cell r="E3454">
            <v>52.314047838999997</v>
          </cell>
          <cell r="F3454" t="str">
            <v>NGIL</v>
          </cell>
          <cell r="G3454">
            <v>47.563499999999998</v>
          </cell>
          <cell r="H3454" t="str">
            <v>-</v>
          </cell>
          <cell r="I3454" t="str">
            <v>-</v>
          </cell>
          <cell r="J3454">
            <v>49.938773919499994</v>
          </cell>
          <cell r="K3454" t="str">
            <v>Small Cap</v>
          </cell>
        </row>
        <row r="3455">
          <cell r="C3455" t="str">
            <v>INE0N1L01018</v>
          </cell>
          <cell r="D3455" t="str">
            <v>PACE</v>
          </cell>
          <cell r="E3455">
            <v>49.853244826000001</v>
          </cell>
          <cell r="F3455" t="str">
            <v>-</v>
          </cell>
          <cell r="G3455" t="str">
            <v>-</v>
          </cell>
          <cell r="H3455" t="str">
            <v>-</v>
          </cell>
          <cell r="I3455" t="str">
            <v>-</v>
          </cell>
          <cell r="J3455">
            <v>49.853244826000001</v>
          </cell>
          <cell r="K3455" t="str">
            <v>Small Cap</v>
          </cell>
        </row>
        <row r="3456">
          <cell r="C3456" t="str">
            <v>INE885F01015</v>
          </cell>
          <cell r="D3456" t="str">
            <v>-</v>
          </cell>
          <cell r="E3456" t="str">
            <v>-</v>
          </cell>
          <cell r="F3456" t="str">
            <v>MASKINVEST</v>
          </cell>
          <cell r="G3456">
            <v>49.849499999999999</v>
          </cell>
          <cell r="H3456" t="str">
            <v>-</v>
          </cell>
          <cell r="I3456" t="str">
            <v>-</v>
          </cell>
          <cell r="J3456">
            <v>49.849499999999999</v>
          </cell>
          <cell r="K3456" t="str">
            <v>Small Cap</v>
          </cell>
        </row>
        <row r="3457">
          <cell r="C3457" t="str">
            <v>INE12P601017</v>
          </cell>
          <cell r="D3457" t="str">
            <v>GLOBTIER</v>
          </cell>
          <cell r="E3457">
            <v>49.844940694000002</v>
          </cell>
          <cell r="F3457" t="str">
            <v>-</v>
          </cell>
          <cell r="G3457" t="str">
            <v>-</v>
          </cell>
          <cell r="H3457" t="str">
            <v>-</v>
          </cell>
          <cell r="I3457" t="str">
            <v>-</v>
          </cell>
          <cell r="J3457">
            <v>49.844940694000002</v>
          </cell>
          <cell r="K3457" t="str">
            <v>Small Cap</v>
          </cell>
        </row>
        <row r="3458">
          <cell r="C3458" t="str">
            <v>INE722D01015</v>
          </cell>
          <cell r="D3458" t="str">
            <v>HARDCAS</v>
          </cell>
          <cell r="E3458">
            <v>49.799134799000001</v>
          </cell>
          <cell r="F3458" t="str">
            <v>-</v>
          </cell>
          <cell r="G3458" t="str">
            <v>-</v>
          </cell>
          <cell r="H3458" t="str">
            <v>-</v>
          </cell>
          <cell r="I3458" t="str">
            <v>-</v>
          </cell>
          <cell r="J3458">
            <v>49.799134799000001</v>
          </cell>
          <cell r="K3458" t="str">
            <v>Small Cap</v>
          </cell>
        </row>
        <row r="3459">
          <cell r="C3459" t="str">
            <v>INE584B01013</v>
          </cell>
          <cell r="D3459" t="str">
            <v>SAINIK</v>
          </cell>
          <cell r="E3459">
            <v>49.647426031999998</v>
          </cell>
          <cell r="F3459" t="str">
            <v>-</v>
          </cell>
          <cell r="G3459" t="str">
            <v>-</v>
          </cell>
          <cell r="H3459" t="str">
            <v>-</v>
          </cell>
          <cell r="I3459" t="str">
            <v>-</v>
          </cell>
          <cell r="J3459">
            <v>49.647426031999998</v>
          </cell>
          <cell r="K3459" t="str">
            <v>Small Cap</v>
          </cell>
        </row>
        <row r="3460">
          <cell r="C3460" t="str">
            <v>INE013V01011</v>
          </cell>
          <cell r="D3460" t="str">
            <v>SHELTER</v>
          </cell>
          <cell r="E3460">
            <v>49.577883325999998</v>
          </cell>
          <cell r="F3460" t="str">
            <v>-</v>
          </cell>
          <cell r="G3460" t="str">
            <v>-</v>
          </cell>
          <cell r="H3460" t="str">
            <v>-</v>
          </cell>
          <cell r="I3460" t="str">
            <v>-</v>
          </cell>
          <cell r="J3460">
            <v>49.577883325999998</v>
          </cell>
          <cell r="K3460" t="str">
            <v>Small Cap</v>
          </cell>
        </row>
        <row r="3461">
          <cell r="C3461" t="str">
            <v>INE793H01017</v>
          </cell>
          <cell r="D3461" t="str">
            <v>NAGTECH</v>
          </cell>
          <cell r="E3461">
            <v>49.417392307999997</v>
          </cell>
          <cell r="F3461" t="str">
            <v>-</v>
          </cell>
          <cell r="G3461" t="str">
            <v>-</v>
          </cell>
          <cell r="H3461" t="str">
            <v>-</v>
          </cell>
          <cell r="I3461" t="str">
            <v>-</v>
          </cell>
          <cell r="J3461">
            <v>49.417392307999997</v>
          </cell>
          <cell r="K3461" t="str">
            <v>Small Cap</v>
          </cell>
        </row>
        <row r="3462">
          <cell r="C3462" t="str">
            <v>INE367E01033</v>
          </cell>
          <cell r="D3462" t="str">
            <v>SEL</v>
          </cell>
          <cell r="E3462">
            <v>49.414439387000002</v>
          </cell>
          <cell r="F3462" t="str">
            <v>-</v>
          </cell>
          <cell r="G3462" t="str">
            <v>-</v>
          </cell>
          <cell r="H3462" t="str">
            <v>-</v>
          </cell>
          <cell r="I3462" t="str">
            <v>-</v>
          </cell>
          <cell r="J3462">
            <v>49.414439387000002</v>
          </cell>
          <cell r="K3462" t="str">
            <v>Small Cap</v>
          </cell>
        </row>
        <row r="3463">
          <cell r="C3463" t="str">
            <v>INE0EOJ01014</v>
          </cell>
          <cell r="D3463" t="str">
            <v>KKSILK</v>
          </cell>
          <cell r="E3463">
            <v>49.399129072000001</v>
          </cell>
          <cell r="F3463" t="str">
            <v>-</v>
          </cell>
          <cell r="G3463" t="str">
            <v>-</v>
          </cell>
          <cell r="H3463" t="str">
            <v>-</v>
          </cell>
          <cell r="I3463" t="str">
            <v>-</v>
          </cell>
          <cell r="J3463">
            <v>49.399129072000001</v>
          </cell>
          <cell r="K3463" t="str">
            <v>Small Cap</v>
          </cell>
        </row>
        <row r="3464">
          <cell r="C3464" t="str">
            <v>INE819Y01015</v>
          </cell>
          <cell r="D3464" t="str">
            <v>RITHWIKFMS</v>
          </cell>
          <cell r="E3464">
            <v>49.199214286</v>
          </cell>
          <cell r="F3464" t="str">
            <v>-</v>
          </cell>
          <cell r="G3464" t="str">
            <v>-</v>
          </cell>
          <cell r="H3464" t="str">
            <v>-</v>
          </cell>
          <cell r="I3464" t="str">
            <v>-</v>
          </cell>
          <cell r="J3464">
            <v>49.199214286</v>
          </cell>
          <cell r="K3464" t="str">
            <v>Small Cap</v>
          </cell>
        </row>
        <row r="3465">
          <cell r="C3465" t="str">
            <v>INE736H01024</v>
          </cell>
          <cell r="D3465" t="str">
            <v>GSAUTO</v>
          </cell>
          <cell r="E3465">
            <v>49.061814691999999</v>
          </cell>
          <cell r="F3465" t="str">
            <v>-</v>
          </cell>
          <cell r="G3465" t="str">
            <v>-</v>
          </cell>
          <cell r="H3465" t="str">
            <v>-</v>
          </cell>
          <cell r="I3465" t="str">
            <v>-</v>
          </cell>
          <cell r="J3465">
            <v>49.061814691999999</v>
          </cell>
          <cell r="K3465" t="str">
            <v>Small Cap</v>
          </cell>
        </row>
        <row r="3466">
          <cell r="C3466" t="str">
            <v>INE885B01014</v>
          </cell>
          <cell r="D3466" t="str">
            <v>ARTEFACT</v>
          </cell>
          <cell r="E3466">
            <v>48.942966667</v>
          </cell>
          <cell r="F3466" t="str">
            <v>-</v>
          </cell>
          <cell r="G3466" t="str">
            <v>-</v>
          </cell>
          <cell r="H3466" t="str">
            <v>-</v>
          </cell>
          <cell r="I3466" t="str">
            <v>-</v>
          </cell>
          <cell r="J3466">
            <v>48.942966667</v>
          </cell>
          <cell r="K3466" t="str">
            <v>Small Cap</v>
          </cell>
        </row>
        <row r="3467">
          <cell r="C3467" t="str">
            <v>INE960C01013</v>
          </cell>
          <cell r="D3467" t="str">
            <v>CAPFIN</v>
          </cell>
          <cell r="E3467">
            <v>48.856235499999997</v>
          </cell>
          <cell r="F3467" t="str">
            <v>-</v>
          </cell>
          <cell r="G3467" t="str">
            <v>-</v>
          </cell>
          <cell r="H3467" t="str">
            <v>-</v>
          </cell>
          <cell r="I3467" t="str">
            <v>-</v>
          </cell>
          <cell r="J3467">
            <v>48.856235499999997</v>
          </cell>
          <cell r="K3467" t="str">
            <v>Small Cap</v>
          </cell>
        </row>
        <row r="3468">
          <cell r="C3468" t="str">
            <v>INE350D01015</v>
          </cell>
          <cell r="D3468" t="str">
            <v>RAPICUT</v>
          </cell>
          <cell r="E3468">
            <v>48.670556101999999</v>
          </cell>
          <cell r="F3468" t="str">
            <v>-</v>
          </cell>
          <cell r="G3468" t="str">
            <v>-</v>
          </cell>
          <cell r="H3468" t="str">
            <v>-</v>
          </cell>
          <cell r="I3468" t="str">
            <v>-</v>
          </cell>
          <cell r="J3468">
            <v>48.670556101999999</v>
          </cell>
          <cell r="K3468" t="str">
            <v>Small Cap</v>
          </cell>
        </row>
        <row r="3469">
          <cell r="C3469" t="str">
            <v>INE308E01029</v>
          </cell>
          <cell r="D3469" t="str">
            <v>SVPGLOB</v>
          </cell>
          <cell r="E3469">
            <v>48.764746031999998</v>
          </cell>
          <cell r="F3469" t="str">
            <v>SVPGLOB</v>
          </cell>
          <cell r="G3469">
            <v>48.459499999999998</v>
          </cell>
          <cell r="H3469" t="str">
            <v>-</v>
          </cell>
          <cell r="I3469" t="str">
            <v>-</v>
          </cell>
          <cell r="J3469">
            <v>48.612123015999998</v>
          </cell>
          <cell r="K3469" t="str">
            <v>Small Cap</v>
          </cell>
        </row>
        <row r="3470">
          <cell r="C3470" t="str">
            <v>INE905D01016</v>
          </cell>
          <cell r="D3470" t="str">
            <v>PARSOLI</v>
          </cell>
          <cell r="E3470">
            <v>48.599444499999997</v>
          </cell>
          <cell r="F3470" t="str">
            <v>-</v>
          </cell>
          <cell r="G3470" t="str">
            <v>-</v>
          </cell>
          <cell r="H3470" t="str">
            <v>-</v>
          </cell>
          <cell r="I3470" t="str">
            <v>-</v>
          </cell>
          <cell r="J3470">
            <v>48.599444499999997</v>
          </cell>
          <cell r="K3470" t="str">
            <v>Small Cap</v>
          </cell>
        </row>
        <row r="3471">
          <cell r="C3471" t="str">
            <v>INE825C01018</v>
          </cell>
          <cell r="D3471" t="str">
            <v>NGIND</v>
          </cell>
          <cell r="E3471">
            <v>48.505002361000003</v>
          </cell>
          <cell r="F3471" t="str">
            <v>-</v>
          </cell>
          <cell r="G3471" t="str">
            <v>-</v>
          </cell>
          <cell r="H3471" t="str">
            <v>-</v>
          </cell>
          <cell r="I3471" t="str">
            <v>-</v>
          </cell>
          <cell r="J3471">
            <v>48.505002361000003</v>
          </cell>
          <cell r="K3471" t="str">
            <v>Small Cap</v>
          </cell>
        </row>
        <row r="3472">
          <cell r="C3472" t="str">
            <v>INE844A01013</v>
          </cell>
          <cell r="D3472" t="str">
            <v>PEARLPOLY</v>
          </cell>
          <cell r="E3472">
            <v>48.522148731000001</v>
          </cell>
          <cell r="F3472" t="str">
            <v>PEARLPOLY</v>
          </cell>
          <cell r="G3472">
            <v>48.465800000000002</v>
          </cell>
          <cell r="H3472" t="str">
            <v>-</v>
          </cell>
          <cell r="I3472" t="str">
            <v>-</v>
          </cell>
          <cell r="J3472">
            <v>48.493974365500002</v>
          </cell>
          <cell r="K3472" t="str">
            <v>Small Cap</v>
          </cell>
        </row>
        <row r="3473">
          <cell r="C3473" t="str">
            <v>INE682D01011</v>
          </cell>
          <cell r="D3473" t="str">
            <v>RASANDIK</v>
          </cell>
          <cell r="E3473">
            <v>48.438661111000002</v>
          </cell>
          <cell r="F3473" t="str">
            <v>-</v>
          </cell>
          <cell r="G3473" t="str">
            <v>-</v>
          </cell>
          <cell r="H3473" t="str">
            <v>-</v>
          </cell>
          <cell r="I3473" t="str">
            <v>-</v>
          </cell>
          <cell r="J3473">
            <v>48.438661111000002</v>
          </cell>
          <cell r="K3473" t="str">
            <v>Small Cap</v>
          </cell>
        </row>
        <row r="3474">
          <cell r="C3474" t="str">
            <v>INE575I01016</v>
          </cell>
          <cell r="D3474" t="str">
            <v>RATHIBAR</v>
          </cell>
          <cell r="E3474">
            <v>48.401882088000001</v>
          </cell>
          <cell r="F3474" t="str">
            <v>-</v>
          </cell>
          <cell r="G3474" t="str">
            <v>-</v>
          </cell>
          <cell r="H3474" t="str">
            <v>-</v>
          </cell>
          <cell r="I3474" t="str">
            <v>-</v>
          </cell>
          <cell r="J3474">
            <v>48.401882088000001</v>
          </cell>
          <cell r="K3474" t="str">
            <v>Small Cap</v>
          </cell>
        </row>
        <row r="3475">
          <cell r="C3475" t="str">
            <v>INE792G01011</v>
          </cell>
          <cell r="D3475" t="str">
            <v>NAM</v>
          </cell>
          <cell r="E3475">
            <v>48.269911491999999</v>
          </cell>
          <cell r="F3475" t="str">
            <v>-</v>
          </cell>
          <cell r="G3475" t="str">
            <v>-</v>
          </cell>
          <cell r="H3475" t="str">
            <v>-</v>
          </cell>
          <cell r="I3475" t="str">
            <v>-</v>
          </cell>
          <cell r="J3475">
            <v>48.269911491999999</v>
          </cell>
          <cell r="K3475" t="str">
            <v>Small Cap</v>
          </cell>
        </row>
        <row r="3476">
          <cell r="C3476" t="str">
            <v>INE435E01020</v>
          </cell>
          <cell r="D3476" t="str">
            <v>SHALPRO</v>
          </cell>
          <cell r="E3476">
            <v>48.232087337000003</v>
          </cell>
          <cell r="F3476" t="str">
            <v>-</v>
          </cell>
          <cell r="G3476" t="str">
            <v>-</v>
          </cell>
          <cell r="H3476" t="str">
            <v>-</v>
          </cell>
          <cell r="I3476" t="str">
            <v>-</v>
          </cell>
          <cell r="J3476">
            <v>48.232087337000003</v>
          </cell>
          <cell r="K3476" t="str">
            <v>Small Cap</v>
          </cell>
        </row>
        <row r="3477">
          <cell r="C3477" t="str">
            <v>INE0MC401013</v>
          </cell>
          <cell r="D3477" t="str">
            <v>DPL</v>
          </cell>
          <cell r="E3477">
            <v>48.158819043999998</v>
          </cell>
          <cell r="F3477" t="str">
            <v>-</v>
          </cell>
          <cell r="G3477" t="str">
            <v>-</v>
          </cell>
          <cell r="H3477" t="str">
            <v>-</v>
          </cell>
          <cell r="I3477" t="str">
            <v>-</v>
          </cell>
          <cell r="J3477">
            <v>48.158819043999998</v>
          </cell>
          <cell r="K3477" t="str">
            <v>Small Cap</v>
          </cell>
        </row>
        <row r="3478">
          <cell r="C3478" t="str">
            <v>INE547C01018</v>
          </cell>
          <cell r="D3478" t="str">
            <v>SPECFOOD</v>
          </cell>
          <cell r="E3478">
            <v>47.968394910000001</v>
          </cell>
          <cell r="F3478" t="str">
            <v>-</v>
          </cell>
          <cell r="G3478" t="str">
            <v>-</v>
          </cell>
          <cell r="H3478" t="str">
            <v>-</v>
          </cell>
          <cell r="I3478" t="str">
            <v>-</v>
          </cell>
          <cell r="J3478">
            <v>47.968394910000001</v>
          </cell>
          <cell r="K3478" t="str">
            <v>Small Cap</v>
          </cell>
        </row>
        <row r="3479">
          <cell r="C3479" t="str">
            <v>INE442D01010</v>
          </cell>
          <cell r="D3479" t="str">
            <v>MEDICAPQ</v>
          </cell>
          <cell r="E3479">
            <v>47.802289743000003</v>
          </cell>
          <cell r="F3479" t="str">
            <v>-</v>
          </cell>
          <cell r="G3479" t="str">
            <v>-</v>
          </cell>
          <cell r="H3479" t="str">
            <v>-</v>
          </cell>
          <cell r="I3479" t="str">
            <v>-</v>
          </cell>
          <cell r="J3479">
            <v>47.802289743000003</v>
          </cell>
          <cell r="K3479" t="str">
            <v>Small Cap</v>
          </cell>
        </row>
        <row r="3480">
          <cell r="C3480" t="str">
            <v>INE976T01013</v>
          </cell>
          <cell r="D3480" t="str">
            <v>-</v>
          </cell>
          <cell r="E3480" t="str">
            <v>-</v>
          </cell>
          <cell r="F3480" t="str">
            <v>SAGARDEEP</v>
          </cell>
          <cell r="G3480">
            <v>47.757300000000001</v>
          </cell>
          <cell r="H3480" t="str">
            <v>-</v>
          </cell>
          <cell r="I3480" t="str">
            <v>-</v>
          </cell>
          <cell r="J3480">
            <v>47.757300000000001</v>
          </cell>
          <cell r="K3480" t="str">
            <v>Small Cap</v>
          </cell>
        </row>
        <row r="3481">
          <cell r="C3481" t="str">
            <v>INE691Z01023</v>
          </cell>
          <cell r="D3481" t="str">
            <v>-</v>
          </cell>
          <cell r="E3481" t="str">
            <v>-</v>
          </cell>
          <cell r="F3481" t="str">
            <v>GANGAFORGE</v>
          </cell>
          <cell r="G3481">
            <v>47.632300000000001</v>
          </cell>
          <cell r="H3481" t="str">
            <v>-</v>
          </cell>
          <cell r="I3481" t="str">
            <v>-</v>
          </cell>
          <cell r="J3481">
            <v>47.632300000000001</v>
          </cell>
          <cell r="K3481" t="str">
            <v>Small Cap</v>
          </cell>
        </row>
        <row r="3482">
          <cell r="C3482" t="str">
            <v>INE170C01019</v>
          </cell>
          <cell r="D3482" t="str">
            <v>MODIPON</v>
          </cell>
          <cell r="E3482">
            <v>47.543899789000001</v>
          </cell>
          <cell r="F3482" t="str">
            <v>-</v>
          </cell>
          <cell r="G3482" t="str">
            <v>-</v>
          </cell>
          <cell r="H3482" t="str">
            <v>-</v>
          </cell>
          <cell r="I3482" t="str">
            <v>-</v>
          </cell>
          <cell r="J3482">
            <v>47.543899789000001</v>
          </cell>
          <cell r="K3482" t="str">
            <v>Small Cap</v>
          </cell>
        </row>
        <row r="3483">
          <cell r="C3483" t="str">
            <v>INE113B01029</v>
          </cell>
          <cell r="D3483" t="str">
            <v>OMEGAIN</v>
          </cell>
          <cell r="E3483">
            <v>47.452133779</v>
          </cell>
          <cell r="F3483" t="str">
            <v>-</v>
          </cell>
          <cell r="G3483" t="str">
            <v>-</v>
          </cell>
          <cell r="H3483" t="str">
            <v>-</v>
          </cell>
          <cell r="I3483" t="str">
            <v>-</v>
          </cell>
          <cell r="J3483">
            <v>47.452133779</v>
          </cell>
          <cell r="K3483" t="str">
            <v>Small Cap</v>
          </cell>
        </row>
        <row r="3484">
          <cell r="C3484" t="str">
            <v>INE0CHO01012</v>
          </cell>
          <cell r="D3484" t="str">
            <v>ADL</v>
          </cell>
          <cell r="E3484">
            <v>47.616750685</v>
          </cell>
          <cell r="F3484" t="str">
            <v>ADL</v>
          </cell>
          <cell r="G3484">
            <v>47.280099999999997</v>
          </cell>
          <cell r="H3484" t="str">
            <v>-</v>
          </cell>
          <cell r="I3484" t="str">
            <v>-</v>
          </cell>
          <cell r="J3484">
            <v>47.448425342500002</v>
          </cell>
          <cell r="K3484" t="str">
            <v>Small Cap</v>
          </cell>
        </row>
        <row r="3485">
          <cell r="C3485" t="str">
            <v>INE039E01020</v>
          </cell>
          <cell r="D3485" t="str">
            <v>ERAINFRA</v>
          </cell>
          <cell r="E3485">
            <v>47.418719920000001</v>
          </cell>
          <cell r="F3485" t="str">
            <v>-</v>
          </cell>
          <cell r="G3485" t="str">
            <v>-</v>
          </cell>
          <cell r="H3485" t="str">
            <v>-</v>
          </cell>
          <cell r="I3485" t="str">
            <v>-</v>
          </cell>
          <cell r="J3485">
            <v>47.418719920000001</v>
          </cell>
          <cell r="K3485" t="str">
            <v>Small Cap</v>
          </cell>
        </row>
        <row r="3486">
          <cell r="C3486" t="str">
            <v>INE0S6R01027</v>
          </cell>
          <cell r="D3486" t="str">
            <v>DFPL</v>
          </cell>
          <cell r="E3486">
            <v>47.264840305</v>
          </cell>
          <cell r="F3486" t="str">
            <v>-</v>
          </cell>
          <cell r="G3486" t="str">
            <v>-</v>
          </cell>
          <cell r="H3486" t="str">
            <v>-</v>
          </cell>
          <cell r="I3486" t="str">
            <v>-</v>
          </cell>
          <cell r="J3486">
            <v>47.264840305</v>
          </cell>
          <cell r="K3486" t="str">
            <v>Small Cap</v>
          </cell>
        </row>
        <row r="3487">
          <cell r="C3487" t="str">
            <v>INE389D01013</v>
          </cell>
          <cell r="D3487" t="str">
            <v>TCFCFINQ</v>
          </cell>
          <cell r="E3487">
            <v>47.251940085000001</v>
          </cell>
          <cell r="F3487" t="str">
            <v>-</v>
          </cell>
          <cell r="G3487" t="str">
            <v>-</v>
          </cell>
          <cell r="H3487" t="str">
            <v>-</v>
          </cell>
          <cell r="I3487" t="str">
            <v>-</v>
          </cell>
          <cell r="J3487">
            <v>47.251940085000001</v>
          </cell>
          <cell r="K3487" t="str">
            <v>Small Cap</v>
          </cell>
        </row>
        <row r="3488">
          <cell r="C3488" t="str">
            <v>INE575D01041</v>
          </cell>
          <cell r="D3488" t="str">
            <v>DANUBE</v>
          </cell>
          <cell r="E3488">
            <v>47.155928570999997</v>
          </cell>
          <cell r="F3488" t="str">
            <v>-</v>
          </cell>
          <cell r="G3488" t="str">
            <v>-</v>
          </cell>
          <cell r="H3488" t="str">
            <v>-</v>
          </cell>
          <cell r="I3488" t="str">
            <v>-</v>
          </cell>
          <cell r="J3488">
            <v>47.155928570999997</v>
          </cell>
          <cell r="K3488" t="str">
            <v>Small Cap</v>
          </cell>
        </row>
        <row r="3489">
          <cell r="C3489" t="str">
            <v>INE09SR01016</v>
          </cell>
          <cell r="D3489" t="str">
            <v>-</v>
          </cell>
          <cell r="E3489" t="str">
            <v>-</v>
          </cell>
          <cell r="F3489" t="str">
            <v>-</v>
          </cell>
          <cell r="G3489" t="str">
            <v>-</v>
          </cell>
          <cell r="H3489" t="str">
            <v>MPL</v>
          </cell>
          <cell r="I3489">
            <v>47.100092310000029</v>
          </cell>
          <cell r="J3489">
            <v>47.100092310000029</v>
          </cell>
          <cell r="K3489" t="str">
            <v>Small Cap</v>
          </cell>
        </row>
        <row r="3490">
          <cell r="C3490" t="str">
            <v>INE364D01032</v>
          </cell>
          <cell r="D3490" t="str">
            <v>ANJANI</v>
          </cell>
          <cell r="E3490">
            <v>47.083053571000001</v>
          </cell>
          <cell r="F3490" t="str">
            <v>-</v>
          </cell>
          <cell r="G3490" t="str">
            <v>-</v>
          </cell>
          <cell r="H3490" t="str">
            <v>-</v>
          </cell>
          <cell r="I3490" t="str">
            <v>-</v>
          </cell>
          <cell r="J3490">
            <v>47.083053571000001</v>
          </cell>
          <cell r="K3490" t="str">
            <v>Small Cap</v>
          </cell>
        </row>
        <row r="3491">
          <cell r="C3491" t="str">
            <v>INE894E01028</v>
          </cell>
          <cell r="D3491" t="str">
            <v>SALEM</v>
          </cell>
          <cell r="E3491">
            <v>46.957219152</v>
          </cell>
          <cell r="F3491" t="str">
            <v>-</v>
          </cell>
          <cell r="G3491" t="str">
            <v>-</v>
          </cell>
          <cell r="H3491" t="str">
            <v>-</v>
          </cell>
          <cell r="I3491" t="str">
            <v>-</v>
          </cell>
          <cell r="J3491">
            <v>46.957219152</v>
          </cell>
          <cell r="K3491" t="str">
            <v>Small Cap</v>
          </cell>
        </row>
        <row r="3492">
          <cell r="C3492" t="str">
            <v>INE307D01015</v>
          </cell>
          <cell r="D3492" t="str">
            <v>STDSFAC</v>
          </cell>
          <cell r="E3492">
            <v>46.903463656999996</v>
          </cell>
          <cell r="F3492" t="str">
            <v>-</v>
          </cell>
          <cell r="G3492" t="str">
            <v>-</v>
          </cell>
          <cell r="H3492" t="str">
            <v>-</v>
          </cell>
          <cell r="I3492" t="str">
            <v>-</v>
          </cell>
          <cell r="J3492">
            <v>46.903463656999996</v>
          </cell>
          <cell r="K3492" t="str">
            <v>Small Cap</v>
          </cell>
        </row>
        <row r="3493">
          <cell r="C3493" t="str">
            <v>INE935C01015</v>
          </cell>
          <cell r="D3493" t="str">
            <v>LAKHANI</v>
          </cell>
          <cell r="E3493">
            <v>46.81644</v>
          </cell>
          <cell r="F3493" t="str">
            <v>-</v>
          </cell>
          <cell r="G3493" t="str">
            <v>-</v>
          </cell>
          <cell r="H3493" t="str">
            <v>-</v>
          </cell>
          <cell r="I3493" t="str">
            <v>-</v>
          </cell>
          <cell r="J3493">
            <v>46.81644</v>
          </cell>
          <cell r="K3493" t="str">
            <v>Small Cap</v>
          </cell>
        </row>
        <row r="3494">
          <cell r="C3494" t="str">
            <v>INE104A01012</v>
          </cell>
          <cell r="D3494" t="str">
            <v>KGDENIM</v>
          </cell>
          <cell r="E3494">
            <v>46.809174630000001</v>
          </cell>
          <cell r="F3494" t="str">
            <v>-</v>
          </cell>
          <cell r="G3494" t="str">
            <v>-</v>
          </cell>
          <cell r="H3494" t="str">
            <v>-</v>
          </cell>
          <cell r="I3494" t="str">
            <v>-</v>
          </cell>
          <cell r="J3494">
            <v>46.809174630000001</v>
          </cell>
          <cell r="K3494" t="str">
            <v>Small Cap</v>
          </cell>
        </row>
        <row r="3495">
          <cell r="C3495" t="str">
            <v>INE0IPL01018</v>
          </cell>
          <cell r="D3495" t="str">
            <v>INTEGSW</v>
          </cell>
          <cell r="E3495">
            <v>46.782734071</v>
          </cell>
          <cell r="F3495" t="str">
            <v>-</v>
          </cell>
          <cell r="G3495" t="str">
            <v>-</v>
          </cell>
          <cell r="H3495" t="str">
            <v>-</v>
          </cell>
          <cell r="I3495" t="str">
            <v>-</v>
          </cell>
          <cell r="J3495">
            <v>46.782734071</v>
          </cell>
          <cell r="K3495" t="str">
            <v>Small Cap</v>
          </cell>
        </row>
        <row r="3496">
          <cell r="C3496" t="str">
            <v>INE251C01025</v>
          </cell>
          <cell r="D3496" t="str">
            <v>-</v>
          </cell>
          <cell r="E3496" t="str">
            <v>-</v>
          </cell>
          <cell r="F3496" t="str">
            <v>ABMINTLLTD</v>
          </cell>
          <cell r="G3496">
            <v>46.622500000000002</v>
          </cell>
          <cell r="H3496" t="str">
            <v>-</v>
          </cell>
          <cell r="I3496" t="str">
            <v>-</v>
          </cell>
          <cell r="J3496">
            <v>46.622500000000002</v>
          </cell>
          <cell r="K3496" t="str">
            <v>Small Cap</v>
          </cell>
        </row>
        <row r="3497">
          <cell r="C3497" t="str">
            <v>INE524N01014</v>
          </cell>
          <cell r="D3497" t="str">
            <v>JUPITERIN</v>
          </cell>
          <cell r="E3497">
            <v>46.601827143000001</v>
          </cell>
          <cell r="F3497" t="str">
            <v>-</v>
          </cell>
          <cell r="G3497" t="str">
            <v>-</v>
          </cell>
          <cell r="H3497" t="str">
            <v>-</v>
          </cell>
          <cell r="I3497" t="str">
            <v>-</v>
          </cell>
          <cell r="J3497">
            <v>46.601827143000001</v>
          </cell>
          <cell r="K3497" t="str">
            <v>Small Cap</v>
          </cell>
        </row>
        <row r="3498">
          <cell r="C3498" t="str">
            <v>INE737W01013</v>
          </cell>
          <cell r="D3498" t="str">
            <v>-</v>
          </cell>
          <cell r="E3498" t="str">
            <v>-</v>
          </cell>
          <cell r="F3498" t="str">
            <v>AKASH</v>
          </cell>
          <cell r="G3498">
            <v>46.264600000000002</v>
          </cell>
          <cell r="H3498" t="str">
            <v>-</v>
          </cell>
          <cell r="I3498" t="str">
            <v>-</v>
          </cell>
          <cell r="J3498">
            <v>46.264600000000002</v>
          </cell>
          <cell r="K3498" t="str">
            <v>Small Cap</v>
          </cell>
        </row>
        <row r="3499">
          <cell r="C3499" t="str">
            <v>INE149Q01021</v>
          </cell>
          <cell r="D3499" t="str">
            <v>KALYANCAP</v>
          </cell>
          <cell r="E3499">
            <v>46.248208218999999</v>
          </cell>
          <cell r="F3499" t="str">
            <v>-</v>
          </cell>
          <cell r="G3499" t="str">
            <v>-</v>
          </cell>
          <cell r="H3499" t="str">
            <v>-</v>
          </cell>
          <cell r="I3499" t="str">
            <v>-</v>
          </cell>
          <cell r="J3499">
            <v>46.248208218999999</v>
          </cell>
          <cell r="K3499" t="str">
            <v>Small Cap</v>
          </cell>
        </row>
        <row r="3500">
          <cell r="C3500" t="str">
            <v>INE804A01025</v>
          </cell>
          <cell r="D3500" t="str">
            <v>SWASTIVI</v>
          </cell>
          <cell r="E3500">
            <v>46.058571429000004</v>
          </cell>
          <cell r="F3500" t="str">
            <v>-</v>
          </cell>
          <cell r="G3500" t="str">
            <v>-</v>
          </cell>
          <cell r="H3500" t="str">
            <v>-</v>
          </cell>
          <cell r="I3500" t="str">
            <v>-</v>
          </cell>
          <cell r="J3500">
            <v>46.058571429000004</v>
          </cell>
          <cell r="K3500" t="str">
            <v>Small Cap</v>
          </cell>
        </row>
        <row r="3501">
          <cell r="C3501" t="str">
            <v>INE0QSB01016</v>
          </cell>
          <cell r="D3501" t="str">
            <v>AMKAY</v>
          </cell>
          <cell r="E3501">
            <v>46.015099629000005</v>
          </cell>
          <cell r="F3501" t="str">
            <v>-</v>
          </cell>
          <cell r="G3501" t="str">
            <v>-</v>
          </cell>
          <cell r="H3501" t="str">
            <v>-</v>
          </cell>
          <cell r="I3501" t="str">
            <v>-</v>
          </cell>
          <cell r="J3501">
            <v>46.015099629000005</v>
          </cell>
          <cell r="K3501" t="str">
            <v>Small Cap</v>
          </cell>
        </row>
        <row r="3502">
          <cell r="C3502" t="str">
            <v>INE247F01018</v>
          </cell>
          <cell r="D3502" t="str">
            <v>ORIBEVER</v>
          </cell>
          <cell r="E3502">
            <v>45.918322738000001</v>
          </cell>
          <cell r="F3502" t="str">
            <v>-</v>
          </cell>
          <cell r="G3502" t="str">
            <v>-</v>
          </cell>
          <cell r="H3502" t="str">
            <v>-</v>
          </cell>
          <cell r="I3502" t="str">
            <v>-</v>
          </cell>
          <cell r="J3502">
            <v>45.918322738000001</v>
          </cell>
          <cell r="K3502" t="str">
            <v>Small Cap</v>
          </cell>
        </row>
        <row r="3503">
          <cell r="C3503" t="str">
            <v>INE429K01012</v>
          </cell>
          <cell r="D3503" t="str">
            <v>PEIL</v>
          </cell>
          <cell r="E3503">
            <v>45.906442802000001</v>
          </cell>
          <cell r="F3503" t="str">
            <v>-</v>
          </cell>
          <cell r="G3503" t="str">
            <v>-</v>
          </cell>
          <cell r="H3503" t="str">
            <v>-</v>
          </cell>
          <cell r="I3503" t="str">
            <v>-</v>
          </cell>
          <cell r="J3503">
            <v>45.906442802000001</v>
          </cell>
          <cell r="K3503" t="str">
            <v>Small Cap</v>
          </cell>
        </row>
        <row r="3504">
          <cell r="C3504" t="str">
            <v>INE510P01018</v>
          </cell>
          <cell r="D3504" t="str">
            <v>ARMAN</v>
          </cell>
          <cell r="E3504">
            <v>45.820392642999998</v>
          </cell>
          <cell r="F3504" t="str">
            <v>-</v>
          </cell>
          <cell r="G3504" t="str">
            <v>-</v>
          </cell>
          <cell r="H3504" t="str">
            <v>-</v>
          </cell>
          <cell r="I3504" t="str">
            <v>-</v>
          </cell>
          <cell r="J3504">
            <v>45.820392642999998</v>
          </cell>
          <cell r="K3504" t="str">
            <v>Small Cap</v>
          </cell>
        </row>
        <row r="3505">
          <cell r="C3505" t="str">
            <v>INE537U01037</v>
          </cell>
          <cell r="D3505" t="str">
            <v>SPRAYKING</v>
          </cell>
          <cell r="E3505">
            <v>45.790239036999999</v>
          </cell>
          <cell r="F3505" t="str">
            <v>-</v>
          </cell>
          <cell r="G3505" t="str">
            <v>-</v>
          </cell>
          <cell r="H3505" t="str">
            <v>-</v>
          </cell>
          <cell r="I3505" t="str">
            <v>-</v>
          </cell>
          <cell r="J3505">
            <v>45.790239036999999</v>
          </cell>
          <cell r="K3505" t="str">
            <v>Small Cap</v>
          </cell>
        </row>
        <row r="3506">
          <cell r="C3506" t="str">
            <v>INE0MV001018</v>
          </cell>
          <cell r="D3506" t="str">
            <v>MANOJJEWEL</v>
          </cell>
          <cell r="E3506">
            <v>45.675729987000004</v>
          </cell>
          <cell r="F3506" t="str">
            <v>-</v>
          </cell>
          <cell r="G3506" t="str">
            <v>-</v>
          </cell>
          <cell r="H3506" t="str">
            <v>-</v>
          </cell>
          <cell r="I3506" t="str">
            <v>-</v>
          </cell>
          <cell r="J3506">
            <v>45.675729987000004</v>
          </cell>
          <cell r="K3506" t="str">
            <v>Small Cap</v>
          </cell>
        </row>
        <row r="3507">
          <cell r="C3507" t="str">
            <v>INE501F01018</v>
          </cell>
          <cell r="D3507" t="str">
            <v>PBMPOLY</v>
          </cell>
          <cell r="E3507">
            <v>45.558493766000005</v>
          </cell>
          <cell r="F3507" t="str">
            <v>-</v>
          </cell>
          <cell r="G3507" t="str">
            <v>-</v>
          </cell>
          <cell r="H3507" t="str">
            <v>-</v>
          </cell>
          <cell r="I3507" t="str">
            <v>-</v>
          </cell>
          <cell r="J3507">
            <v>45.558493766000005</v>
          </cell>
          <cell r="K3507" t="str">
            <v>Small Cap</v>
          </cell>
        </row>
        <row r="3508">
          <cell r="C3508" t="str">
            <v>INE870J01019</v>
          </cell>
          <cell r="D3508" t="str">
            <v>SILVOAK</v>
          </cell>
          <cell r="E3508">
            <v>45.520151595000002</v>
          </cell>
          <cell r="F3508" t="str">
            <v>-</v>
          </cell>
          <cell r="G3508" t="str">
            <v>-</v>
          </cell>
          <cell r="H3508" t="str">
            <v>-</v>
          </cell>
          <cell r="I3508" t="str">
            <v>-</v>
          </cell>
          <cell r="J3508">
            <v>45.520151595000002</v>
          </cell>
          <cell r="K3508" t="str">
            <v>Small Cap</v>
          </cell>
        </row>
        <row r="3509">
          <cell r="C3509" t="str">
            <v>INE0SVZ01015</v>
          </cell>
          <cell r="D3509" t="str">
            <v>SAFECURE</v>
          </cell>
          <cell r="E3509">
            <v>45.505913845999999</v>
          </cell>
          <cell r="F3509" t="str">
            <v>-</v>
          </cell>
          <cell r="G3509" t="str">
            <v>-</v>
          </cell>
          <cell r="H3509" t="str">
            <v>-</v>
          </cell>
          <cell r="I3509" t="str">
            <v>-</v>
          </cell>
          <cell r="J3509">
            <v>45.505913845999999</v>
          </cell>
          <cell r="K3509" t="str">
            <v>Small Cap</v>
          </cell>
        </row>
        <row r="3510">
          <cell r="C3510" t="str">
            <v>INE0S9501014</v>
          </cell>
          <cell r="D3510" t="str">
            <v>KGVL</v>
          </cell>
          <cell r="E3510">
            <v>45.414471671000001</v>
          </cell>
          <cell r="F3510" t="str">
            <v>-</v>
          </cell>
          <cell r="G3510" t="str">
            <v>-</v>
          </cell>
          <cell r="H3510" t="str">
            <v>-</v>
          </cell>
          <cell r="I3510" t="str">
            <v>-</v>
          </cell>
          <cell r="J3510">
            <v>45.414471671000001</v>
          </cell>
          <cell r="K3510" t="str">
            <v>Small Cap</v>
          </cell>
        </row>
        <row r="3511">
          <cell r="C3511" t="str">
            <v>INE792B01012</v>
          </cell>
          <cell r="D3511" t="str">
            <v>AMBICAAGAR</v>
          </cell>
          <cell r="E3511">
            <v>45.352153199999997</v>
          </cell>
          <cell r="F3511" t="str">
            <v>AMBICAAGAR</v>
          </cell>
          <cell r="G3511">
            <v>45.3155</v>
          </cell>
          <cell r="H3511" t="str">
            <v>-</v>
          </cell>
          <cell r="I3511" t="str">
            <v>-</v>
          </cell>
          <cell r="J3511">
            <v>45.333826599999995</v>
          </cell>
          <cell r="K3511" t="str">
            <v>Small Cap</v>
          </cell>
        </row>
        <row r="3512">
          <cell r="C3512" t="str">
            <v>INE339Z01011</v>
          </cell>
          <cell r="D3512" t="str">
            <v>ANGEL</v>
          </cell>
          <cell r="E3512">
            <v>45.234126984</v>
          </cell>
          <cell r="F3512" t="str">
            <v>-</v>
          </cell>
          <cell r="G3512" t="str">
            <v>-</v>
          </cell>
          <cell r="H3512" t="str">
            <v>-</v>
          </cell>
          <cell r="I3512" t="str">
            <v>-</v>
          </cell>
          <cell r="J3512">
            <v>45.234126984</v>
          </cell>
          <cell r="K3512" t="str">
            <v>Small Cap</v>
          </cell>
        </row>
        <row r="3513">
          <cell r="C3513" t="str">
            <v>INE957W01025</v>
          </cell>
          <cell r="D3513" t="str">
            <v>MISQUITA</v>
          </cell>
          <cell r="E3513">
            <v>45.126206742000001</v>
          </cell>
          <cell r="F3513" t="str">
            <v>-</v>
          </cell>
          <cell r="G3513" t="str">
            <v>-</v>
          </cell>
          <cell r="H3513" t="str">
            <v>-</v>
          </cell>
          <cell r="I3513" t="str">
            <v>-</v>
          </cell>
          <cell r="J3513">
            <v>45.126206742000001</v>
          </cell>
          <cell r="K3513" t="str">
            <v>Small Cap</v>
          </cell>
        </row>
        <row r="3514">
          <cell r="C3514" t="str">
            <v>INE012E01035</v>
          </cell>
          <cell r="D3514" t="str">
            <v>DIANATEA</v>
          </cell>
          <cell r="E3514">
            <v>45.118150952000001</v>
          </cell>
          <cell r="F3514" t="str">
            <v>-</v>
          </cell>
          <cell r="G3514" t="str">
            <v>-</v>
          </cell>
          <cell r="H3514" t="str">
            <v>-</v>
          </cell>
          <cell r="I3514" t="str">
            <v>-</v>
          </cell>
          <cell r="J3514">
            <v>45.118150952000001</v>
          </cell>
          <cell r="K3514" t="str">
            <v>Small Cap</v>
          </cell>
        </row>
        <row r="3515">
          <cell r="C3515" t="str">
            <v>INE954E01012</v>
          </cell>
          <cell r="D3515" t="str">
            <v>MOHITIND</v>
          </cell>
          <cell r="E3515">
            <v>45.304127637999997</v>
          </cell>
          <cell r="F3515" t="str">
            <v>MOHITIND</v>
          </cell>
          <cell r="G3515">
            <v>44.847700000000003</v>
          </cell>
          <cell r="H3515" t="str">
            <v>-</v>
          </cell>
          <cell r="I3515" t="str">
            <v>-</v>
          </cell>
          <cell r="J3515">
            <v>45.075913819</v>
          </cell>
          <cell r="K3515" t="str">
            <v>Small Cap</v>
          </cell>
        </row>
        <row r="3516">
          <cell r="C3516" t="str">
            <v>INE579N01018</v>
          </cell>
          <cell r="D3516" t="str">
            <v>SAMSRITA</v>
          </cell>
          <cell r="E3516">
            <v>42.521134342000003</v>
          </cell>
          <cell r="F3516" t="str">
            <v>-</v>
          </cell>
          <cell r="G3516" t="str">
            <v>-</v>
          </cell>
          <cell r="H3516" t="str">
            <v>SAMSRITA</v>
          </cell>
          <cell r="I3516">
            <v>47.548699432539671</v>
          </cell>
          <cell r="J3516">
            <v>45.034916887269837</v>
          </cell>
          <cell r="K3516" t="str">
            <v>Small Cap</v>
          </cell>
        </row>
        <row r="3517">
          <cell r="C3517" t="str">
            <v>INE366G01022</v>
          </cell>
          <cell r="D3517" t="str">
            <v>SUCROSA</v>
          </cell>
          <cell r="E3517">
            <v>45.033537582999998</v>
          </cell>
          <cell r="F3517" t="str">
            <v>-</v>
          </cell>
          <cell r="G3517" t="str">
            <v>-</v>
          </cell>
          <cell r="H3517" t="str">
            <v>-</v>
          </cell>
          <cell r="I3517" t="str">
            <v>-</v>
          </cell>
          <cell r="J3517">
            <v>45.033537582999998</v>
          </cell>
          <cell r="K3517" t="str">
            <v>Small Cap</v>
          </cell>
        </row>
        <row r="3518">
          <cell r="C3518" t="str">
            <v>INE320D01018</v>
          </cell>
          <cell r="D3518" t="str">
            <v>MANJEERA</v>
          </cell>
          <cell r="E3518">
            <v>45.030304800000003</v>
          </cell>
          <cell r="F3518" t="str">
            <v>-</v>
          </cell>
          <cell r="G3518" t="str">
            <v>-</v>
          </cell>
          <cell r="H3518" t="str">
            <v>-</v>
          </cell>
          <cell r="I3518" t="str">
            <v>-</v>
          </cell>
          <cell r="J3518">
            <v>45.030304800000003</v>
          </cell>
          <cell r="K3518" t="str">
            <v>Small Cap</v>
          </cell>
        </row>
        <row r="3519">
          <cell r="C3519" t="str">
            <v>INE950D01012</v>
          </cell>
          <cell r="D3519" t="str">
            <v>ACROW</v>
          </cell>
          <cell r="E3519">
            <v>44.888965079000002</v>
          </cell>
          <cell r="F3519" t="str">
            <v>-</v>
          </cell>
          <cell r="G3519" t="str">
            <v>-</v>
          </cell>
          <cell r="H3519" t="str">
            <v>-</v>
          </cell>
          <cell r="I3519" t="str">
            <v>-</v>
          </cell>
          <cell r="J3519">
            <v>44.888965079000002</v>
          </cell>
          <cell r="K3519" t="str">
            <v>Small Cap</v>
          </cell>
        </row>
        <row r="3520">
          <cell r="C3520" t="str">
            <v>INE812Q01016</v>
          </cell>
          <cell r="D3520" t="str">
            <v>TIRUPATIIN</v>
          </cell>
          <cell r="E3520">
            <v>69.045903642999988</v>
          </cell>
          <cell r="F3520" t="str">
            <v>-</v>
          </cell>
          <cell r="G3520" t="str">
            <v>-</v>
          </cell>
          <cell r="H3520" t="str">
            <v>TIRUPATIIN</v>
          </cell>
          <cell r="I3520">
            <v>20.486708437500003</v>
          </cell>
          <cell r="J3520">
            <v>44.766306040249994</v>
          </cell>
          <cell r="K3520" t="str">
            <v>Small Cap</v>
          </cell>
        </row>
        <row r="3521">
          <cell r="C3521" t="str">
            <v>INE367A01015</v>
          </cell>
          <cell r="D3521" t="str">
            <v>MORARKFI</v>
          </cell>
          <cell r="E3521">
            <v>44.706210310000003</v>
          </cell>
          <cell r="F3521" t="str">
            <v>-</v>
          </cell>
          <cell r="G3521" t="str">
            <v>-</v>
          </cell>
          <cell r="H3521" t="str">
            <v>-</v>
          </cell>
          <cell r="I3521" t="str">
            <v>-</v>
          </cell>
          <cell r="J3521">
            <v>44.706210310000003</v>
          </cell>
          <cell r="K3521" t="str">
            <v>Small Cap</v>
          </cell>
        </row>
        <row r="3522">
          <cell r="C3522" t="str">
            <v>INE159N01027</v>
          </cell>
          <cell r="D3522" t="str">
            <v>VIJIFIN</v>
          </cell>
          <cell r="E3522">
            <v>44.854702381000003</v>
          </cell>
          <cell r="F3522" t="str">
            <v>VIJIFIN</v>
          </cell>
          <cell r="G3522">
            <v>44.442999999999998</v>
          </cell>
          <cell r="H3522" t="str">
            <v>-</v>
          </cell>
          <cell r="I3522" t="str">
            <v>-</v>
          </cell>
          <cell r="J3522">
            <v>44.648851190499997</v>
          </cell>
          <cell r="K3522" t="str">
            <v>Small Cap</v>
          </cell>
        </row>
        <row r="3523">
          <cell r="C3523" t="str">
            <v>INE125D01011</v>
          </cell>
          <cell r="D3523" t="str">
            <v>ABCINDQ</v>
          </cell>
          <cell r="E3523">
            <v>44.623588722000001</v>
          </cell>
          <cell r="F3523" t="str">
            <v>-</v>
          </cell>
          <cell r="G3523" t="str">
            <v>-</v>
          </cell>
          <cell r="H3523" t="str">
            <v>-</v>
          </cell>
          <cell r="I3523" t="str">
            <v>-</v>
          </cell>
          <cell r="J3523">
            <v>44.623588722000001</v>
          </cell>
          <cell r="K3523" t="str">
            <v>Small Cap</v>
          </cell>
        </row>
        <row r="3524">
          <cell r="C3524" t="str">
            <v>INE935D01013</v>
          </cell>
          <cell r="D3524" t="str">
            <v>INDUSFINL</v>
          </cell>
          <cell r="E3524">
            <v>44.516184236000001</v>
          </cell>
          <cell r="F3524" t="str">
            <v>-</v>
          </cell>
          <cell r="G3524" t="str">
            <v>-</v>
          </cell>
          <cell r="H3524" t="str">
            <v>-</v>
          </cell>
          <cell r="I3524" t="str">
            <v>-</v>
          </cell>
          <cell r="J3524">
            <v>44.516184236000001</v>
          </cell>
          <cell r="K3524" t="str">
            <v>Small Cap</v>
          </cell>
        </row>
        <row r="3525">
          <cell r="C3525" t="str">
            <v>INE245H01018</v>
          </cell>
          <cell r="D3525" t="str">
            <v>MTPL</v>
          </cell>
          <cell r="E3525">
            <v>44.503015873000003</v>
          </cell>
          <cell r="F3525" t="str">
            <v>-</v>
          </cell>
          <cell r="G3525" t="str">
            <v>-</v>
          </cell>
          <cell r="H3525" t="str">
            <v>MTPL</v>
          </cell>
          <cell r="I3525">
            <v>44.503571428571412</v>
          </cell>
          <cell r="J3525">
            <v>44.503293650785707</v>
          </cell>
          <cell r="K3525" t="str">
            <v>Small Cap</v>
          </cell>
        </row>
        <row r="3526">
          <cell r="C3526" t="str">
            <v>INE769B01028</v>
          </cell>
          <cell r="D3526" t="str">
            <v>CLENON</v>
          </cell>
          <cell r="E3526">
            <v>44.410996723000004</v>
          </cell>
          <cell r="F3526" t="str">
            <v>-</v>
          </cell>
          <cell r="G3526" t="str">
            <v>-</v>
          </cell>
          <cell r="H3526" t="str">
            <v>-</v>
          </cell>
          <cell r="I3526" t="str">
            <v>-</v>
          </cell>
          <cell r="J3526">
            <v>44.410996723000004</v>
          </cell>
          <cell r="K3526" t="str">
            <v>Small Cap</v>
          </cell>
        </row>
        <row r="3527">
          <cell r="C3527" t="str">
            <v>INE564C01013</v>
          </cell>
          <cell r="D3527" t="str">
            <v>YARNSYN</v>
          </cell>
          <cell r="E3527">
            <v>44.373630951999999</v>
          </cell>
          <cell r="F3527" t="str">
            <v>-</v>
          </cell>
          <cell r="G3527" t="str">
            <v>-</v>
          </cell>
          <cell r="H3527" t="str">
            <v>-</v>
          </cell>
          <cell r="I3527" t="str">
            <v>-</v>
          </cell>
          <cell r="J3527">
            <v>44.373630951999999</v>
          </cell>
          <cell r="K3527" t="str">
            <v>Small Cap</v>
          </cell>
        </row>
        <row r="3528">
          <cell r="C3528" t="str">
            <v>INE388C01017</v>
          </cell>
          <cell r="D3528" t="str">
            <v>MOHITPPR</v>
          </cell>
          <cell r="E3528">
            <v>44.351111111000002</v>
          </cell>
          <cell r="F3528" t="str">
            <v>-</v>
          </cell>
          <cell r="G3528" t="str">
            <v>-</v>
          </cell>
          <cell r="H3528" t="str">
            <v>-</v>
          </cell>
          <cell r="I3528" t="str">
            <v>-</v>
          </cell>
          <cell r="J3528">
            <v>44.351111111000002</v>
          </cell>
          <cell r="K3528" t="str">
            <v>Small Cap</v>
          </cell>
        </row>
        <row r="3529">
          <cell r="C3529" t="str">
            <v>INE580D01017</v>
          </cell>
          <cell r="D3529" t="str">
            <v>GLANCE</v>
          </cell>
          <cell r="E3529">
            <v>44.328524520000002</v>
          </cell>
          <cell r="F3529" t="str">
            <v>-</v>
          </cell>
          <cell r="G3529" t="str">
            <v>-</v>
          </cell>
          <cell r="H3529" t="str">
            <v>-</v>
          </cell>
          <cell r="I3529" t="str">
            <v>-</v>
          </cell>
          <cell r="J3529">
            <v>44.328524520000002</v>
          </cell>
          <cell r="K3529" t="str">
            <v>Small Cap</v>
          </cell>
        </row>
        <row r="3530">
          <cell r="C3530" t="str">
            <v>INE256Z01025</v>
          </cell>
          <cell r="D3530" t="str">
            <v>AKSHAR</v>
          </cell>
          <cell r="E3530">
            <v>44.498220000000003</v>
          </cell>
          <cell r="F3530" t="str">
            <v>AKSHAR</v>
          </cell>
          <cell r="G3530">
            <v>44.054499999999997</v>
          </cell>
          <cell r="H3530" t="str">
            <v>-</v>
          </cell>
          <cell r="I3530" t="str">
            <v>-</v>
          </cell>
          <cell r="J3530">
            <v>44.276359999999997</v>
          </cell>
          <cell r="K3530" t="str">
            <v>Small Cap</v>
          </cell>
        </row>
        <row r="3531">
          <cell r="C3531" t="str">
            <v>INE16QA01011</v>
          </cell>
          <cell r="D3531" t="str">
            <v>STANBIK</v>
          </cell>
          <cell r="E3531">
            <v>44.263476128000001</v>
          </cell>
          <cell r="F3531" t="str">
            <v>-</v>
          </cell>
          <cell r="G3531" t="str">
            <v>-</v>
          </cell>
          <cell r="H3531" t="str">
            <v>-</v>
          </cell>
          <cell r="I3531" t="str">
            <v>-</v>
          </cell>
          <cell r="J3531">
            <v>44.263476128000001</v>
          </cell>
          <cell r="K3531" t="str">
            <v>Small Cap</v>
          </cell>
        </row>
        <row r="3532">
          <cell r="C3532" t="str">
            <v>INE0MFT01014</v>
          </cell>
          <cell r="D3532" t="str">
            <v>REXSEAL</v>
          </cell>
          <cell r="E3532">
            <v>44.25772619</v>
          </cell>
          <cell r="F3532" t="str">
            <v>-</v>
          </cell>
          <cell r="G3532" t="str">
            <v>-</v>
          </cell>
          <cell r="H3532" t="str">
            <v>-</v>
          </cell>
          <cell r="I3532" t="str">
            <v>-</v>
          </cell>
          <cell r="J3532">
            <v>44.25772619</v>
          </cell>
          <cell r="K3532" t="str">
            <v>Small Cap</v>
          </cell>
        </row>
        <row r="3533">
          <cell r="C3533" t="str">
            <v>INE777O01016</v>
          </cell>
          <cell r="D3533" t="str">
            <v>CHENFERRO</v>
          </cell>
          <cell r="E3533">
            <v>44.172685651000002</v>
          </cell>
          <cell r="F3533" t="str">
            <v>-</v>
          </cell>
          <cell r="G3533" t="str">
            <v>-</v>
          </cell>
          <cell r="H3533" t="str">
            <v>-</v>
          </cell>
          <cell r="I3533" t="str">
            <v>-</v>
          </cell>
          <cell r="J3533">
            <v>44.172685651000002</v>
          </cell>
          <cell r="K3533" t="str">
            <v>Small Cap</v>
          </cell>
        </row>
        <row r="3534">
          <cell r="C3534" t="str">
            <v>INE055C01020</v>
          </cell>
          <cell r="D3534" t="str">
            <v>KEEPLEARN</v>
          </cell>
          <cell r="E3534">
            <v>44.238297104000004</v>
          </cell>
          <cell r="F3534" t="str">
            <v>KEEPLEARN</v>
          </cell>
          <cell r="G3534">
            <v>43.8354</v>
          </cell>
          <cell r="H3534" t="str">
            <v>-</v>
          </cell>
          <cell r="I3534" t="str">
            <v>-</v>
          </cell>
          <cell r="J3534">
            <v>44.036848552000002</v>
          </cell>
          <cell r="K3534" t="str">
            <v>Small Cap</v>
          </cell>
        </row>
        <row r="3535">
          <cell r="C3535" t="str">
            <v>INE886B01012</v>
          </cell>
          <cell r="D3535" t="str">
            <v>SUMEDHA</v>
          </cell>
          <cell r="E3535">
            <v>43.97301118</v>
          </cell>
          <cell r="F3535" t="str">
            <v>-</v>
          </cell>
          <cell r="G3535" t="str">
            <v>-</v>
          </cell>
          <cell r="H3535" t="str">
            <v>-</v>
          </cell>
          <cell r="I3535" t="str">
            <v>-</v>
          </cell>
          <cell r="J3535">
            <v>43.97301118</v>
          </cell>
          <cell r="K3535" t="str">
            <v>Small Cap</v>
          </cell>
        </row>
        <row r="3536">
          <cell r="C3536" t="str">
            <v>INE0RXS01018</v>
          </cell>
          <cell r="D3536" t="str">
            <v>SHREENATH</v>
          </cell>
          <cell r="E3536">
            <v>43.932908470999998</v>
          </cell>
          <cell r="F3536" t="str">
            <v>-</v>
          </cell>
          <cell r="G3536" t="str">
            <v>-</v>
          </cell>
          <cell r="H3536" t="str">
            <v>-</v>
          </cell>
          <cell r="I3536" t="str">
            <v>-</v>
          </cell>
          <cell r="J3536">
            <v>43.932908470999998</v>
          </cell>
          <cell r="K3536" t="str">
            <v>Small Cap</v>
          </cell>
        </row>
        <row r="3537">
          <cell r="C3537" t="str">
            <v>INE776O01018</v>
          </cell>
          <cell r="D3537" t="str">
            <v>GITARENEW</v>
          </cell>
          <cell r="E3537">
            <v>43.890013011999997</v>
          </cell>
          <cell r="F3537" t="str">
            <v>-</v>
          </cell>
          <cell r="G3537" t="str">
            <v>-</v>
          </cell>
          <cell r="H3537" t="str">
            <v>-</v>
          </cell>
          <cell r="I3537" t="str">
            <v>-</v>
          </cell>
          <cell r="J3537">
            <v>43.890013011999997</v>
          </cell>
          <cell r="K3537" t="str">
            <v>Small Cap</v>
          </cell>
        </row>
        <row r="3538">
          <cell r="C3538" t="str">
            <v>INE108B01029</v>
          </cell>
          <cell r="D3538" t="str">
            <v>KASHYAP</v>
          </cell>
          <cell r="E3538">
            <v>43.877727778000001</v>
          </cell>
          <cell r="F3538" t="str">
            <v>-</v>
          </cell>
          <cell r="G3538" t="str">
            <v>-</v>
          </cell>
          <cell r="H3538" t="str">
            <v>-</v>
          </cell>
          <cell r="I3538" t="str">
            <v>-</v>
          </cell>
          <cell r="J3538">
            <v>43.877727778000001</v>
          </cell>
          <cell r="K3538" t="str">
            <v>Small Cap</v>
          </cell>
        </row>
        <row r="3539">
          <cell r="C3539" t="str">
            <v>INE1FJE01010</v>
          </cell>
          <cell r="D3539" t="str">
            <v>HELLOJI</v>
          </cell>
          <cell r="E3539">
            <v>43.845046875000001</v>
          </cell>
          <cell r="F3539" t="str">
            <v>-</v>
          </cell>
          <cell r="G3539" t="str">
            <v>-</v>
          </cell>
          <cell r="H3539" t="str">
            <v>-</v>
          </cell>
          <cell r="I3539" t="str">
            <v>-</v>
          </cell>
          <cell r="J3539">
            <v>43.845046875000001</v>
          </cell>
          <cell r="K3539" t="str">
            <v>Small Cap</v>
          </cell>
        </row>
        <row r="3540">
          <cell r="C3540" t="str">
            <v>INE405H01018</v>
          </cell>
          <cell r="D3540" t="str">
            <v>CSURGSU</v>
          </cell>
          <cell r="E3540">
            <v>43.773374726</v>
          </cell>
          <cell r="F3540" t="str">
            <v>-</v>
          </cell>
          <cell r="G3540" t="str">
            <v>-</v>
          </cell>
          <cell r="H3540" t="str">
            <v>-</v>
          </cell>
          <cell r="I3540" t="str">
            <v>-</v>
          </cell>
          <cell r="J3540">
            <v>43.773374726</v>
          </cell>
          <cell r="K3540" t="str">
            <v>Small Cap</v>
          </cell>
        </row>
        <row r="3541">
          <cell r="C3541" t="str">
            <v>INE958C01025</v>
          </cell>
          <cell r="D3541" t="str">
            <v>BRIDGESE</v>
          </cell>
          <cell r="E3541">
            <v>43.762179936999999</v>
          </cell>
          <cell r="F3541" t="str">
            <v>-</v>
          </cell>
          <cell r="G3541" t="str">
            <v>-</v>
          </cell>
          <cell r="H3541" t="str">
            <v>-</v>
          </cell>
          <cell r="I3541" t="str">
            <v>-</v>
          </cell>
          <cell r="J3541">
            <v>43.762179936999999</v>
          </cell>
          <cell r="K3541" t="str">
            <v>Small Cap</v>
          </cell>
        </row>
        <row r="3542">
          <cell r="C3542" t="str">
            <v>INE751D01014</v>
          </cell>
          <cell r="D3542" t="str">
            <v>SANDUPHQ</v>
          </cell>
          <cell r="E3542">
            <v>43.679329327999994</v>
          </cell>
          <cell r="F3542" t="str">
            <v>-</v>
          </cell>
          <cell r="G3542" t="str">
            <v>-</v>
          </cell>
          <cell r="H3542" t="str">
            <v>-</v>
          </cell>
          <cell r="I3542" t="str">
            <v>-</v>
          </cell>
          <cell r="J3542">
            <v>43.679329327999994</v>
          </cell>
          <cell r="K3542" t="str">
            <v>Small Cap</v>
          </cell>
        </row>
        <row r="3543">
          <cell r="C3543" t="str">
            <v>INE0KWJ01014</v>
          </cell>
          <cell r="D3543" t="str">
            <v>RETAGGIO</v>
          </cell>
          <cell r="E3543">
            <v>43.659496111999999</v>
          </cell>
          <cell r="F3543" t="str">
            <v>-</v>
          </cell>
          <cell r="G3543" t="str">
            <v>-</v>
          </cell>
          <cell r="H3543" t="str">
            <v>-</v>
          </cell>
          <cell r="I3543" t="str">
            <v>-</v>
          </cell>
          <cell r="J3543">
            <v>43.659496111999999</v>
          </cell>
          <cell r="K3543" t="str">
            <v>Small Cap</v>
          </cell>
        </row>
        <row r="3544">
          <cell r="C3544" t="str">
            <v>INE0RDJ01019</v>
          </cell>
          <cell r="D3544" t="str">
            <v>VANDAN</v>
          </cell>
          <cell r="E3544">
            <v>43.644602197000005</v>
          </cell>
          <cell r="F3544" t="str">
            <v>-</v>
          </cell>
          <cell r="G3544" t="str">
            <v>-</v>
          </cell>
          <cell r="H3544" t="str">
            <v>-</v>
          </cell>
          <cell r="I3544" t="str">
            <v>-</v>
          </cell>
          <cell r="J3544">
            <v>43.644602197000005</v>
          </cell>
          <cell r="K3544" t="str">
            <v>Small Cap</v>
          </cell>
        </row>
        <row r="3545">
          <cell r="C3545" t="str">
            <v>INE428B01021</v>
          </cell>
          <cell r="D3545" t="str">
            <v>PVVINFRA</v>
          </cell>
          <cell r="E3545">
            <v>43.627428164999998</v>
          </cell>
          <cell r="F3545" t="str">
            <v>-</v>
          </cell>
          <cell r="G3545" t="str">
            <v>-</v>
          </cell>
          <cell r="H3545" t="str">
            <v>-</v>
          </cell>
          <cell r="I3545" t="str">
            <v>-</v>
          </cell>
          <cell r="J3545">
            <v>43.627428164999998</v>
          </cell>
          <cell r="K3545" t="str">
            <v>Small Cap</v>
          </cell>
        </row>
        <row r="3546">
          <cell r="C3546" t="str">
            <v>INE115G01015</v>
          </cell>
          <cell r="D3546" t="str">
            <v>TIRUFOAM</v>
          </cell>
          <cell r="E3546">
            <v>43.572708523999999</v>
          </cell>
          <cell r="F3546" t="str">
            <v>-</v>
          </cell>
          <cell r="G3546" t="str">
            <v>-</v>
          </cell>
          <cell r="H3546" t="str">
            <v>-</v>
          </cell>
          <cell r="I3546" t="str">
            <v>-</v>
          </cell>
          <cell r="J3546">
            <v>43.572708523999999</v>
          </cell>
          <cell r="K3546" t="str">
            <v>Small Cap</v>
          </cell>
        </row>
        <row r="3547">
          <cell r="C3547" t="str">
            <v>INE265N01030</v>
          </cell>
          <cell r="D3547" t="str">
            <v>MKEL</v>
          </cell>
          <cell r="E3547">
            <v>43.571055600000001</v>
          </cell>
          <cell r="F3547" t="str">
            <v>-</v>
          </cell>
          <cell r="G3547" t="str">
            <v>-</v>
          </cell>
          <cell r="H3547" t="str">
            <v>-</v>
          </cell>
          <cell r="I3547" t="str">
            <v>-</v>
          </cell>
          <cell r="J3547">
            <v>43.571055600000001</v>
          </cell>
          <cell r="K3547" t="str">
            <v>Small Cap</v>
          </cell>
        </row>
        <row r="3548">
          <cell r="C3548" t="str">
            <v>INE427E01027</v>
          </cell>
          <cell r="D3548" t="str">
            <v>RALEGRA</v>
          </cell>
          <cell r="E3548">
            <v>43.527111523999999</v>
          </cell>
          <cell r="F3548" t="str">
            <v>-</v>
          </cell>
          <cell r="G3548" t="str">
            <v>-</v>
          </cell>
          <cell r="H3548" t="str">
            <v>-</v>
          </cell>
          <cell r="I3548" t="str">
            <v>-</v>
          </cell>
          <cell r="J3548">
            <v>43.527111523999999</v>
          </cell>
          <cell r="K3548" t="str">
            <v>Small Cap</v>
          </cell>
        </row>
        <row r="3549">
          <cell r="C3549" t="str">
            <v>INE538G01018</v>
          </cell>
          <cell r="D3549" t="str">
            <v>GOTHIPL</v>
          </cell>
          <cell r="E3549">
            <v>43.430385713999996</v>
          </cell>
          <cell r="F3549" t="str">
            <v>-</v>
          </cell>
          <cell r="G3549" t="str">
            <v>-</v>
          </cell>
          <cell r="H3549" t="str">
            <v>-</v>
          </cell>
          <cell r="I3549" t="str">
            <v>-</v>
          </cell>
          <cell r="J3549">
            <v>43.430385713999996</v>
          </cell>
          <cell r="K3549" t="str">
            <v>Small Cap</v>
          </cell>
        </row>
        <row r="3550">
          <cell r="C3550" t="str">
            <v>INE611C01020</v>
          </cell>
          <cell r="D3550" t="str">
            <v>IMEC</v>
          </cell>
          <cell r="E3550">
            <v>43.402785713999997</v>
          </cell>
          <cell r="F3550" t="str">
            <v>-</v>
          </cell>
          <cell r="G3550" t="str">
            <v>-</v>
          </cell>
          <cell r="H3550" t="str">
            <v>-</v>
          </cell>
          <cell r="I3550" t="str">
            <v>-</v>
          </cell>
          <cell r="J3550">
            <v>43.402785713999997</v>
          </cell>
          <cell r="K3550" t="str">
            <v>Small Cap</v>
          </cell>
        </row>
        <row r="3551">
          <cell r="C3551" t="str">
            <v>INE537A01013</v>
          </cell>
          <cell r="D3551" t="str">
            <v>GTNINDS</v>
          </cell>
          <cell r="E3551">
            <v>43.314710587</v>
          </cell>
          <cell r="F3551" t="str">
            <v>-</v>
          </cell>
          <cell r="G3551" t="str">
            <v>-</v>
          </cell>
          <cell r="H3551" t="str">
            <v>-</v>
          </cell>
          <cell r="I3551" t="str">
            <v>-</v>
          </cell>
          <cell r="J3551">
            <v>43.314710587</v>
          </cell>
          <cell r="K3551" t="str">
            <v>Small Cap</v>
          </cell>
        </row>
        <row r="3552">
          <cell r="C3552" t="str">
            <v>INE10XX01012</v>
          </cell>
          <cell r="D3552" t="str">
            <v>SPINAROO</v>
          </cell>
          <cell r="E3552">
            <v>43.271766983999996</v>
          </cell>
          <cell r="F3552" t="str">
            <v>-</v>
          </cell>
          <cell r="G3552" t="str">
            <v>-</v>
          </cell>
          <cell r="H3552" t="str">
            <v>-</v>
          </cell>
          <cell r="I3552" t="str">
            <v>-</v>
          </cell>
          <cell r="J3552">
            <v>43.271766983999996</v>
          </cell>
          <cell r="K3552" t="str">
            <v>Small Cap</v>
          </cell>
        </row>
        <row r="3553">
          <cell r="C3553" t="str">
            <v>INE960E01019</v>
          </cell>
          <cell r="D3553" t="str">
            <v>SHIVAAGRO</v>
          </cell>
          <cell r="E3553">
            <v>43.223214618999997</v>
          </cell>
          <cell r="F3553" t="str">
            <v>-</v>
          </cell>
          <cell r="G3553" t="str">
            <v>-</v>
          </cell>
          <cell r="H3553" t="str">
            <v>-</v>
          </cell>
          <cell r="I3553" t="str">
            <v>-</v>
          </cell>
          <cell r="J3553">
            <v>43.223214618999997</v>
          </cell>
          <cell r="K3553" t="str">
            <v>Small Cap</v>
          </cell>
        </row>
        <row r="3554">
          <cell r="C3554" t="str">
            <v>INE069B01023</v>
          </cell>
          <cell r="D3554" t="str">
            <v>ANUPAM</v>
          </cell>
          <cell r="E3554">
            <v>43.134510794000001</v>
          </cell>
          <cell r="F3554" t="str">
            <v>-</v>
          </cell>
          <cell r="G3554" t="str">
            <v>-</v>
          </cell>
          <cell r="H3554" t="str">
            <v>-</v>
          </cell>
          <cell r="I3554" t="str">
            <v>-</v>
          </cell>
          <cell r="J3554">
            <v>43.134510794000001</v>
          </cell>
          <cell r="K3554" t="str">
            <v>Small Cap</v>
          </cell>
        </row>
        <row r="3555">
          <cell r="C3555" t="str">
            <v>INE676G01024</v>
          </cell>
          <cell r="D3555" t="str">
            <v>MKPMOB</v>
          </cell>
          <cell r="E3555">
            <v>43.132068275000002</v>
          </cell>
          <cell r="F3555" t="str">
            <v>-</v>
          </cell>
          <cell r="G3555" t="str">
            <v>-</v>
          </cell>
          <cell r="H3555" t="str">
            <v>-</v>
          </cell>
          <cell r="I3555" t="str">
            <v>-</v>
          </cell>
          <cell r="J3555">
            <v>43.132068275000002</v>
          </cell>
          <cell r="K3555" t="str">
            <v>Small Cap</v>
          </cell>
        </row>
        <row r="3556">
          <cell r="C3556" t="str">
            <v>INE681D01039</v>
          </cell>
          <cell r="D3556" t="str">
            <v>ORIENTTR</v>
          </cell>
          <cell r="E3556">
            <v>43.048974602999998</v>
          </cell>
          <cell r="F3556" t="str">
            <v>-</v>
          </cell>
          <cell r="G3556" t="str">
            <v>-</v>
          </cell>
          <cell r="H3556" t="str">
            <v>-</v>
          </cell>
          <cell r="I3556" t="str">
            <v>-</v>
          </cell>
          <cell r="J3556">
            <v>43.048974602999998</v>
          </cell>
          <cell r="K3556" t="str">
            <v>Small Cap</v>
          </cell>
        </row>
        <row r="3557">
          <cell r="C3557" t="str">
            <v>INE747B01016</v>
          </cell>
          <cell r="D3557" t="str">
            <v>NEXTMEDIA</v>
          </cell>
          <cell r="E3557">
            <v>43.249981294999998</v>
          </cell>
          <cell r="F3557" t="str">
            <v>NEXTMEDIA</v>
          </cell>
          <cell r="G3557">
            <v>42.835900000000002</v>
          </cell>
          <cell r="H3557" t="str">
            <v>-</v>
          </cell>
          <cell r="I3557" t="str">
            <v>-</v>
          </cell>
          <cell r="J3557">
            <v>43.042940647500004</v>
          </cell>
          <cell r="K3557" t="str">
            <v>Small Cap</v>
          </cell>
        </row>
        <row r="3558">
          <cell r="C3558" t="str">
            <v>INE437C01012</v>
          </cell>
          <cell r="D3558" t="str">
            <v>INCAP</v>
          </cell>
          <cell r="E3558">
            <v>43.034455457</v>
          </cell>
          <cell r="F3558" t="str">
            <v>-</v>
          </cell>
          <cell r="G3558" t="str">
            <v>-</v>
          </cell>
          <cell r="H3558" t="str">
            <v>-</v>
          </cell>
          <cell r="I3558" t="str">
            <v>-</v>
          </cell>
          <cell r="J3558">
            <v>43.034455457</v>
          </cell>
          <cell r="K3558" t="str">
            <v>Small Cap</v>
          </cell>
        </row>
        <row r="3559">
          <cell r="C3559" t="str">
            <v>INE392B01011</v>
          </cell>
          <cell r="D3559" t="str">
            <v>PNC</v>
          </cell>
          <cell r="E3559">
            <v>43.109708102999996</v>
          </cell>
          <cell r="F3559" t="str">
            <v>PNC</v>
          </cell>
          <cell r="G3559">
            <v>42.8444</v>
          </cell>
          <cell r="H3559" t="str">
            <v>-</v>
          </cell>
          <cell r="I3559" t="str">
            <v>-</v>
          </cell>
          <cell r="J3559">
            <v>42.977054051499998</v>
          </cell>
          <cell r="K3559" t="str">
            <v>Small Cap</v>
          </cell>
        </row>
        <row r="3560">
          <cell r="C3560" t="str">
            <v>INE083G01031</v>
          </cell>
          <cell r="D3560" t="str">
            <v>TATIAGLOB</v>
          </cell>
          <cell r="E3560">
            <v>42.875970000000002</v>
          </cell>
          <cell r="F3560" t="str">
            <v>-</v>
          </cell>
          <cell r="G3560" t="str">
            <v>-</v>
          </cell>
          <cell r="H3560" t="str">
            <v>-</v>
          </cell>
          <cell r="I3560" t="str">
            <v>-</v>
          </cell>
          <cell r="J3560">
            <v>42.875970000000002</v>
          </cell>
          <cell r="K3560" t="str">
            <v>Small Cap</v>
          </cell>
        </row>
        <row r="3561">
          <cell r="C3561" t="str">
            <v>INE548B01018</v>
          </cell>
          <cell r="D3561" t="str">
            <v>GINISILK</v>
          </cell>
          <cell r="E3561">
            <v>42.853652586000003</v>
          </cell>
          <cell r="F3561" t="str">
            <v>-</v>
          </cell>
          <cell r="G3561" t="str">
            <v>-</v>
          </cell>
          <cell r="H3561" t="str">
            <v>-</v>
          </cell>
          <cell r="I3561" t="str">
            <v>-</v>
          </cell>
          <cell r="J3561">
            <v>42.853652586000003</v>
          </cell>
          <cell r="K3561" t="str">
            <v>Small Cap</v>
          </cell>
        </row>
        <row r="3562">
          <cell r="C3562" t="str">
            <v>INE0SG001011</v>
          </cell>
          <cell r="D3562" t="str">
            <v>TRAVELS</v>
          </cell>
          <cell r="E3562">
            <v>42.853470892000004</v>
          </cell>
          <cell r="F3562" t="str">
            <v>-</v>
          </cell>
          <cell r="G3562" t="str">
            <v>-</v>
          </cell>
          <cell r="H3562" t="str">
            <v>-</v>
          </cell>
          <cell r="I3562" t="str">
            <v>-</v>
          </cell>
          <cell r="J3562">
            <v>42.853470892000004</v>
          </cell>
          <cell r="K3562" t="str">
            <v>Small Cap</v>
          </cell>
        </row>
        <row r="3563">
          <cell r="C3563" t="str">
            <v>INE319M01011</v>
          </cell>
          <cell r="D3563" t="str">
            <v>TUSALDAH</v>
          </cell>
          <cell r="E3563">
            <v>42.811025350000001</v>
          </cell>
          <cell r="F3563" t="str">
            <v>-</v>
          </cell>
          <cell r="G3563" t="str">
            <v>-</v>
          </cell>
          <cell r="H3563" t="str">
            <v>-</v>
          </cell>
          <cell r="I3563" t="str">
            <v>-</v>
          </cell>
          <cell r="J3563">
            <v>42.811025350000001</v>
          </cell>
          <cell r="K3563" t="str">
            <v>Small Cap</v>
          </cell>
        </row>
        <row r="3564">
          <cell r="C3564" t="str">
            <v>INE624C01015</v>
          </cell>
          <cell r="D3564" t="str">
            <v>VALECHAENG</v>
          </cell>
          <cell r="E3564">
            <v>42.807047500000003</v>
          </cell>
          <cell r="F3564" t="str">
            <v>-</v>
          </cell>
          <cell r="G3564" t="str">
            <v>-</v>
          </cell>
          <cell r="H3564" t="str">
            <v>-</v>
          </cell>
          <cell r="I3564" t="str">
            <v>-</v>
          </cell>
          <cell r="J3564">
            <v>42.807047500000003</v>
          </cell>
          <cell r="K3564" t="str">
            <v>Small Cap</v>
          </cell>
        </row>
        <row r="3565">
          <cell r="C3565" t="str">
            <v>INE183Q01020</v>
          </cell>
          <cell r="D3565" t="str">
            <v>CSL</v>
          </cell>
          <cell r="E3565">
            <v>42.795440833000001</v>
          </cell>
          <cell r="F3565" t="str">
            <v>-</v>
          </cell>
          <cell r="G3565" t="str">
            <v>-</v>
          </cell>
          <cell r="H3565" t="str">
            <v>-</v>
          </cell>
          <cell r="I3565" t="str">
            <v>-</v>
          </cell>
          <cell r="J3565">
            <v>42.795440833000001</v>
          </cell>
          <cell r="K3565" t="str">
            <v>Small Cap</v>
          </cell>
        </row>
        <row r="3566">
          <cell r="C3566" t="str">
            <v>INE295B01016</v>
          </cell>
          <cell r="D3566" t="str">
            <v>SWOJAS</v>
          </cell>
          <cell r="E3566">
            <v>42.794337143</v>
          </cell>
          <cell r="F3566" t="str">
            <v>-</v>
          </cell>
          <cell r="G3566" t="str">
            <v>-</v>
          </cell>
          <cell r="H3566" t="str">
            <v>-</v>
          </cell>
          <cell r="I3566" t="str">
            <v>-</v>
          </cell>
          <cell r="J3566">
            <v>42.794337143</v>
          </cell>
          <cell r="K3566" t="str">
            <v>Small Cap</v>
          </cell>
        </row>
        <row r="3567">
          <cell r="C3567" t="str">
            <v>INE297J01023</v>
          </cell>
          <cell r="D3567" t="str">
            <v>TIRSARJ</v>
          </cell>
          <cell r="E3567">
            <v>42.742656049000004</v>
          </cell>
          <cell r="F3567" t="str">
            <v>-</v>
          </cell>
          <cell r="G3567" t="str">
            <v>-</v>
          </cell>
          <cell r="H3567" t="str">
            <v>-</v>
          </cell>
          <cell r="I3567" t="str">
            <v>-</v>
          </cell>
          <cell r="J3567">
            <v>42.742656049000004</v>
          </cell>
          <cell r="K3567" t="str">
            <v>Small Cap</v>
          </cell>
        </row>
        <row r="3568">
          <cell r="C3568" t="str">
            <v>INE631B01038</v>
          </cell>
          <cell r="D3568" t="str">
            <v>CENTPROV</v>
          </cell>
          <cell r="E3568">
            <v>42.697200000000002</v>
          </cell>
          <cell r="F3568" t="str">
            <v>-</v>
          </cell>
          <cell r="G3568" t="str">
            <v>-</v>
          </cell>
          <cell r="H3568" t="str">
            <v>-</v>
          </cell>
          <cell r="I3568" t="str">
            <v>-</v>
          </cell>
          <cell r="J3568">
            <v>42.697200000000002</v>
          </cell>
          <cell r="K3568" t="str">
            <v>Small Cap</v>
          </cell>
        </row>
        <row r="3569">
          <cell r="C3569" t="str">
            <v>INE004Z01011</v>
          </cell>
          <cell r="D3569" t="str">
            <v>MACH</v>
          </cell>
          <cell r="E3569">
            <v>42.421296974000001</v>
          </cell>
          <cell r="F3569" t="str">
            <v>-</v>
          </cell>
          <cell r="G3569" t="str">
            <v>-</v>
          </cell>
          <cell r="H3569" t="str">
            <v>-</v>
          </cell>
          <cell r="I3569" t="str">
            <v>-</v>
          </cell>
          <cell r="J3569">
            <v>42.421296974000001</v>
          </cell>
          <cell r="K3569" t="str">
            <v>Small Cap</v>
          </cell>
        </row>
        <row r="3570">
          <cell r="C3570" t="str">
            <v>INE1IBY01019</v>
          </cell>
          <cell r="D3570" t="str">
            <v>ESSEX</v>
          </cell>
          <cell r="E3570">
            <v>42.414356722000001</v>
          </cell>
          <cell r="F3570" t="str">
            <v>-</v>
          </cell>
          <cell r="G3570" t="str">
            <v>-</v>
          </cell>
          <cell r="H3570" t="str">
            <v>-</v>
          </cell>
          <cell r="I3570" t="str">
            <v>-</v>
          </cell>
          <cell r="J3570">
            <v>42.414356722000001</v>
          </cell>
          <cell r="K3570" t="str">
            <v>Small Cap</v>
          </cell>
        </row>
        <row r="3571">
          <cell r="C3571" t="str">
            <v>INE0Y0E01012</v>
          </cell>
          <cell r="D3571" t="str">
            <v>ICON</v>
          </cell>
          <cell r="E3571">
            <v>42.377590888999997</v>
          </cell>
          <cell r="F3571" t="str">
            <v>-</v>
          </cell>
          <cell r="G3571" t="str">
            <v>-</v>
          </cell>
          <cell r="H3571" t="str">
            <v>-</v>
          </cell>
          <cell r="I3571" t="str">
            <v>-</v>
          </cell>
          <cell r="J3571">
            <v>42.377590888999997</v>
          </cell>
          <cell r="K3571" t="str">
            <v>Small Cap</v>
          </cell>
        </row>
        <row r="3572">
          <cell r="C3572" t="str">
            <v>INE618F01010</v>
          </cell>
          <cell r="D3572" t="str">
            <v>SPARKLEGR</v>
          </cell>
          <cell r="E3572">
            <v>42.336511846000001</v>
          </cell>
          <cell r="F3572" t="str">
            <v>-</v>
          </cell>
          <cell r="G3572" t="str">
            <v>-</v>
          </cell>
          <cell r="H3572" t="str">
            <v>-</v>
          </cell>
          <cell r="I3572" t="str">
            <v>-</v>
          </cell>
          <cell r="J3572">
            <v>42.336511846000001</v>
          </cell>
          <cell r="K3572" t="str">
            <v>Small Cap</v>
          </cell>
        </row>
        <row r="3573">
          <cell r="C3573" t="str">
            <v>INE501D01013</v>
          </cell>
          <cell r="D3573" t="str">
            <v>FORINTL</v>
          </cell>
          <cell r="E3573">
            <v>42.304477460000001</v>
          </cell>
          <cell r="F3573" t="str">
            <v>-</v>
          </cell>
          <cell r="G3573" t="str">
            <v>-</v>
          </cell>
          <cell r="H3573" t="str">
            <v>-</v>
          </cell>
          <cell r="I3573" t="str">
            <v>-</v>
          </cell>
          <cell r="J3573">
            <v>42.304477460000001</v>
          </cell>
          <cell r="K3573" t="str">
            <v>Small Cap</v>
          </cell>
        </row>
        <row r="3574">
          <cell r="C3574" t="str">
            <v>INE452W01019</v>
          </cell>
          <cell r="D3574" t="str">
            <v>DECCAN</v>
          </cell>
          <cell r="E3574">
            <v>42.302386308999999</v>
          </cell>
          <cell r="F3574" t="str">
            <v>-</v>
          </cell>
          <cell r="G3574" t="str">
            <v>-</v>
          </cell>
          <cell r="H3574" t="str">
            <v>-</v>
          </cell>
          <cell r="I3574" t="str">
            <v>-</v>
          </cell>
          <cell r="J3574">
            <v>42.302386308999999</v>
          </cell>
          <cell r="K3574" t="str">
            <v>Small Cap</v>
          </cell>
        </row>
        <row r="3575">
          <cell r="C3575" t="str">
            <v>INE197C01012</v>
          </cell>
          <cell r="D3575" t="str">
            <v>AXELPOLY</v>
          </cell>
          <cell r="E3575">
            <v>42.247802252</v>
          </cell>
          <cell r="F3575" t="str">
            <v>-</v>
          </cell>
          <cell r="G3575" t="str">
            <v>-</v>
          </cell>
          <cell r="H3575" t="str">
            <v>-</v>
          </cell>
          <cell r="I3575" t="str">
            <v>-</v>
          </cell>
          <cell r="J3575">
            <v>42.247802252</v>
          </cell>
          <cell r="K3575" t="str">
            <v>Small Cap</v>
          </cell>
        </row>
        <row r="3576">
          <cell r="C3576" t="str">
            <v>INE0OKG01017</v>
          </cell>
          <cell r="D3576" t="str">
            <v>PCL</v>
          </cell>
          <cell r="E3576">
            <v>42.110600876999996</v>
          </cell>
          <cell r="F3576" t="str">
            <v>-</v>
          </cell>
          <cell r="G3576" t="str">
            <v>-</v>
          </cell>
          <cell r="H3576" t="str">
            <v>-</v>
          </cell>
          <cell r="I3576" t="str">
            <v>-</v>
          </cell>
          <cell r="J3576">
            <v>42.110600876999996</v>
          </cell>
          <cell r="K3576" t="str">
            <v>Small Cap</v>
          </cell>
        </row>
        <row r="3577">
          <cell r="C3577" t="str">
            <v>INE080G01029</v>
          </cell>
          <cell r="D3577" t="str">
            <v>CONTILI</v>
          </cell>
          <cell r="E3577">
            <v>42.069841523999997</v>
          </cell>
          <cell r="F3577" t="str">
            <v>-</v>
          </cell>
          <cell r="G3577" t="str">
            <v>-</v>
          </cell>
          <cell r="H3577" t="str">
            <v>-</v>
          </cell>
          <cell r="I3577" t="str">
            <v>-</v>
          </cell>
          <cell r="J3577">
            <v>42.069841523999997</v>
          </cell>
          <cell r="K3577" t="str">
            <v>Small Cap</v>
          </cell>
        </row>
        <row r="3578">
          <cell r="C3578" t="str">
            <v>INE230I01018</v>
          </cell>
          <cell r="D3578" t="str">
            <v>HAWAENG</v>
          </cell>
          <cell r="E3578">
            <v>41.985710222000002</v>
          </cell>
          <cell r="F3578" t="str">
            <v>-</v>
          </cell>
          <cell r="G3578" t="str">
            <v>-</v>
          </cell>
          <cell r="H3578" t="str">
            <v>-</v>
          </cell>
          <cell r="I3578" t="str">
            <v>-</v>
          </cell>
          <cell r="J3578">
            <v>41.985710222000002</v>
          </cell>
          <cell r="K3578" t="str">
            <v>Small Cap</v>
          </cell>
        </row>
        <row r="3579">
          <cell r="C3579" t="str">
            <v>INE893A01036</v>
          </cell>
          <cell r="D3579" t="str">
            <v>BABA</v>
          </cell>
          <cell r="E3579">
            <v>41.926666666999999</v>
          </cell>
          <cell r="F3579" t="str">
            <v>-</v>
          </cell>
          <cell r="G3579" t="str">
            <v>-</v>
          </cell>
          <cell r="H3579" t="str">
            <v>-</v>
          </cell>
          <cell r="I3579" t="str">
            <v>-</v>
          </cell>
          <cell r="J3579">
            <v>41.926666666999999</v>
          </cell>
          <cell r="K3579" t="str">
            <v>Small Cap</v>
          </cell>
        </row>
        <row r="3580">
          <cell r="C3580" t="str">
            <v>INE534D01014</v>
          </cell>
          <cell r="D3580" t="str">
            <v>RITESHIN</v>
          </cell>
          <cell r="E3580">
            <v>41.926069202999997</v>
          </cell>
          <cell r="F3580" t="str">
            <v>-</v>
          </cell>
          <cell r="G3580" t="str">
            <v>-</v>
          </cell>
          <cell r="H3580" t="str">
            <v>-</v>
          </cell>
          <cell r="I3580" t="str">
            <v>-</v>
          </cell>
          <cell r="J3580">
            <v>41.926069202999997</v>
          </cell>
          <cell r="K3580" t="str">
            <v>Small Cap</v>
          </cell>
        </row>
        <row r="3581">
          <cell r="C3581" t="str">
            <v>INE0D8001018</v>
          </cell>
          <cell r="D3581" t="str">
            <v>SHTL</v>
          </cell>
          <cell r="E3581">
            <v>41.912111732999996</v>
          </cell>
          <cell r="F3581" t="str">
            <v>-</v>
          </cell>
          <cell r="G3581" t="str">
            <v>-</v>
          </cell>
          <cell r="H3581" t="str">
            <v>-</v>
          </cell>
          <cell r="I3581" t="str">
            <v>-</v>
          </cell>
          <cell r="J3581">
            <v>41.912111732999996</v>
          </cell>
          <cell r="K3581" t="str">
            <v>Small Cap</v>
          </cell>
        </row>
        <row r="3582">
          <cell r="C3582" t="str">
            <v>INE0TBQ01014</v>
          </cell>
          <cell r="D3582" t="str">
            <v>MARCLOIRE</v>
          </cell>
          <cell r="E3582">
            <v>41.841463933999997</v>
          </cell>
          <cell r="F3582" t="str">
            <v>-</v>
          </cell>
          <cell r="G3582" t="str">
            <v>-</v>
          </cell>
          <cell r="H3582" t="str">
            <v>-</v>
          </cell>
          <cell r="I3582" t="str">
            <v>-</v>
          </cell>
          <cell r="J3582">
            <v>41.841463933999997</v>
          </cell>
          <cell r="K3582" t="str">
            <v>Small Cap</v>
          </cell>
        </row>
        <row r="3583">
          <cell r="C3583" t="str">
            <v>INE965H01011</v>
          </cell>
          <cell r="D3583" t="str">
            <v>SITINET</v>
          </cell>
          <cell r="E3583">
            <v>43.609573756000003</v>
          </cell>
          <cell r="F3583" t="str">
            <v>SITINET</v>
          </cell>
          <cell r="G3583">
            <v>40.0383</v>
          </cell>
          <cell r="H3583" t="str">
            <v>-</v>
          </cell>
          <cell r="I3583" t="str">
            <v>-</v>
          </cell>
          <cell r="J3583">
            <v>41.823936877999998</v>
          </cell>
          <cell r="K3583" t="str">
            <v>Small Cap</v>
          </cell>
        </row>
        <row r="3584">
          <cell r="C3584" t="str">
            <v>INE760Y01011</v>
          </cell>
          <cell r="D3584" t="str">
            <v>ASHOKAMET</v>
          </cell>
          <cell r="E3584">
            <v>41.808785713999995</v>
          </cell>
          <cell r="F3584" t="str">
            <v>ASHOKAMET</v>
          </cell>
          <cell r="G3584">
            <v>41.766300000000001</v>
          </cell>
          <cell r="H3584" t="str">
            <v>-</v>
          </cell>
          <cell r="I3584" t="str">
            <v>-</v>
          </cell>
          <cell r="J3584">
            <v>41.787542856999998</v>
          </cell>
          <cell r="K3584" t="str">
            <v>Small Cap</v>
          </cell>
        </row>
        <row r="3585">
          <cell r="C3585" t="str">
            <v>INE047C01019</v>
          </cell>
          <cell r="D3585" t="str">
            <v>MEDINOV</v>
          </cell>
          <cell r="E3585">
            <v>41.698221881000002</v>
          </cell>
          <cell r="F3585" t="str">
            <v>-</v>
          </cell>
          <cell r="G3585" t="str">
            <v>-</v>
          </cell>
          <cell r="H3585" t="str">
            <v>-</v>
          </cell>
          <cell r="I3585" t="str">
            <v>-</v>
          </cell>
          <cell r="J3585">
            <v>41.698221881000002</v>
          </cell>
          <cell r="K3585" t="str">
            <v>Small Cap</v>
          </cell>
        </row>
        <row r="3586">
          <cell r="C3586" t="str">
            <v>INE870V01014</v>
          </cell>
          <cell r="D3586" t="str">
            <v>KMSMEDI</v>
          </cell>
          <cell r="E3586">
            <v>41.695761904999998</v>
          </cell>
          <cell r="F3586" t="str">
            <v>-</v>
          </cell>
          <cell r="G3586" t="str">
            <v>-</v>
          </cell>
          <cell r="H3586" t="str">
            <v>-</v>
          </cell>
          <cell r="I3586" t="str">
            <v>-</v>
          </cell>
          <cell r="J3586">
            <v>41.695761904999998</v>
          </cell>
          <cell r="K3586" t="str">
            <v>Small Cap</v>
          </cell>
        </row>
        <row r="3587">
          <cell r="C3587" t="str">
            <v>INE0S0I01011</v>
          </cell>
          <cell r="D3587" t="str">
            <v>COTFAB</v>
          </cell>
          <cell r="E3587">
            <v>41.649596428999999</v>
          </cell>
          <cell r="F3587" t="str">
            <v>-</v>
          </cell>
          <cell r="G3587" t="str">
            <v>-</v>
          </cell>
          <cell r="H3587" t="str">
            <v>-</v>
          </cell>
          <cell r="I3587" t="str">
            <v>-</v>
          </cell>
          <cell r="J3587">
            <v>41.649596428999999</v>
          </cell>
          <cell r="K3587" t="str">
            <v>Small Cap</v>
          </cell>
        </row>
        <row r="3588">
          <cell r="C3588" t="str">
            <v>INE443C01010</v>
          </cell>
          <cell r="D3588" t="str">
            <v>ROOPAIND</v>
          </cell>
          <cell r="E3588">
            <v>41.597489192000005</v>
          </cell>
          <cell r="F3588" t="str">
            <v>-</v>
          </cell>
          <cell r="G3588" t="str">
            <v>-</v>
          </cell>
          <cell r="H3588" t="str">
            <v>-</v>
          </cell>
          <cell r="I3588" t="str">
            <v>-</v>
          </cell>
          <cell r="J3588">
            <v>41.597489192000005</v>
          </cell>
          <cell r="K3588" t="str">
            <v>Small Cap</v>
          </cell>
        </row>
        <row r="3589">
          <cell r="C3589" t="str">
            <v>INE03WT01017</v>
          </cell>
          <cell r="D3589" t="str">
            <v>ROOPSHRI</v>
          </cell>
          <cell r="E3589">
            <v>41.55027278</v>
          </cell>
          <cell r="F3589" t="str">
            <v>-</v>
          </cell>
          <cell r="G3589" t="str">
            <v>-</v>
          </cell>
          <cell r="H3589" t="str">
            <v>-</v>
          </cell>
          <cell r="I3589" t="str">
            <v>-</v>
          </cell>
          <cell r="J3589">
            <v>41.55027278</v>
          </cell>
          <cell r="K3589" t="str">
            <v>Small Cap</v>
          </cell>
        </row>
        <row r="3590">
          <cell r="C3590" t="str">
            <v>INE718B01017</v>
          </cell>
          <cell r="D3590" t="str">
            <v>USGTECH</v>
          </cell>
          <cell r="E3590">
            <v>41.518178067000001</v>
          </cell>
          <cell r="F3590" t="str">
            <v>-</v>
          </cell>
          <cell r="G3590" t="str">
            <v>-</v>
          </cell>
          <cell r="H3590" t="str">
            <v>-</v>
          </cell>
          <cell r="I3590" t="str">
            <v>-</v>
          </cell>
          <cell r="J3590">
            <v>41.518178067000001</v>
          </cell>
          <cell r="K3590" t="str">
            <v>Small Cap</v>
          </cell>
        </row>
        <row r="3591">
          <cell r="C3591" t="str">
            <v>INE227B01019</v>
          </cell>
          <cell r="D3591" t="str">
            <v>HINDALUMI</v>
          </cell>
          <cell r="E3591">
            <v>41.474566611</v>
          </cell>
          <cell r="F3591" t="str">
            <v>-</v>
          </cell>
          <cell r="G3591" t="str">
            <v>-</v>
          </cell>
          <cell r="H3591" t="str">
            <v>-</v>
          </cell>
          <cell r="I3591" t="str">
            <v>-</v>
          </cell>
          <cell r="J3591">
            <v>41.474566611</v>
          </cell>
          <cell r="K3591" t="str">
            <v>Small Cap</v>
          </cell>
        </row>
        <row r="3592">
          <cell r="C3592" t="str">
            <v>INE802W01023</v>
          </cell>
          <cell r="D3592" t="str">
            <v>-</v>
          </cell>
          <cell r="E3592" t="str">
            <v>-</v>
          </cell>
          <cell r="F3592" t="str">
            <v>BOHRAIND</v>
          </cell>
          <cell r="G3592">
            <v>41.447499999999998</v>
          </cell>
          <cell r="H3592" t="str">
            <v>-</v>
          </cell>
          <cell r="I3592" t="str">
            <v>-</v>
          </cell>
          <cell r="J3592">
            <v>41.447499999999998</v>
          </cell>
          <cell r="K3592" t="str">
            <v>Small Cap</v>
          </cell>
        </row>
        <row r="3593">
          <cell r="C3593" t="str">
            <v>INE542C01019</v>
          </cell>
          <cell r="D3593" t="str">
            <v>NKIND</v>
          </cell>
          <cell r="E3593">
            <v>41.758979289999999</v>
          </cell>
          <cell r="F3593" t="str">
            <v>NKIND</v>
          </cell>
          <cell r="G3593">
            <v>40.963299999999997</v>
          </cell>
          <cell r="H3593" t="str">
            <v>-</v>
          </cell>
          <cell r="I3593" t="str">
            <v>-</v>
          </cell>
          <cell r="J3593">
            <v>41.361139644999994</v>
          </cell>
          <cell r="K3593" t="str">
            <v>Small Cap</v>
          </cell>
        </row>
        <row r="3594">
          <cell r="C3594" t="str">
            <v>INE876A01023</v>
          </cell>
          <cell r="D3594" t="str">
            <v>OASISEC</v>
          </cell>
          <cell r="E3594">
            <v>41.309912698000005</v>
          </cell>
          <cell r="F3594" t="str">
            <v>-</v>
          </cell>
          <cell r="G3594" t="str">
            <v>-</v>
          </cell>
          <cell r="H3594" t="str">
            <v>-</v>
          </cell>
          <cell r="I3594" t="str">
            <v>-</v>
          </cell>
          <cell r="J3594">
            <v>41.309912698000005</v>
          </cell>
          <cell r="K3594" t="str">
            <v>Small Cap</v>
          </cell>
        </row>
        <row r="3595">
          <cell r="C3595" t="str">
            <v>INE807A01010</v>
          </cell>
          <cell r="D3595" t="str">
            <v>CHALLANI</v>
          </cell>
          <cell r="E3595">
            <v>41.266071429</v>
          </cell>
          <cell r="F3595" t="str">
            <v>-</v>
          </cell>
          <cell r="G3595" t="str">
            <v>-</v>
          </cell>
          <cell r="H3595" t="str">
            <v>-</v>
          </cell>
          <cell r="I3595" t="str">
            <v>-</v>
          </cell>
          <cell r="J3595">
            <v>41.266071429</v>
          </cell>
          <cell r="K3595" t="str">
            <v>Small Cap</v>
          </cell>
        </row>
        <row r="3596">
          <cell r="C3596" t="str">
            <v>INE452B01013</v>
          </cell>
          <cell r="D3596" t="str">
            <v>RELICTEC</v>
          </cell>
          <cell r="E3596">
            <v>41.217861507999999</v>
          </cell>
          <cell r="F3596" t="str">
            <v>-</v>
          </cell>
          <cell r="G3596" t="str">
            <v>-</v>
          </cell>
          <cell r="H3596" t="str">
            <v>-</v>
          </cell>
          <cell r="I3596" t="str">
            <v>-</v>
          </cell>
          <cell r="J3596">
            <v>41.217861507999999</v>
          </cell>
          <cell r="K3596" t="str">
            <v>Small Cap</v>
          </cell>
        </row>
        <row r="3597">
          <cell r="C3597" t="str">
            <v>INE040F01033</v>
          </cell>
          <cell r="D3597" t="str">
            <v>NETLINK</v>
          </cell>
          <cell r="E3597">
            <v>41.172069454999999</v>
          </cell>
          <cell r="F3597" t="str">
            <v>-</v>
          </cell>
          <cell r="G3597" t="str">
            <v>-</v>
          </cell>
          <cell r="H3597" t="str">
            <v>-</v>
          </cell>
          <cell r="I3597" t="str">
            <v>-</v>
          </cell>
          <cell r="J3597">
            <v>41.172069454999999</v>
          </cell>
          <cell r="K3597" t="str">
            <v>Small Cap</v>
          </cell>
        </row>
        <row r="3598">
          <cell r="C3598" t="str">
            <v>INE809E01018</v>
          </cell>
          <cell r="D3598" t="str">
            <v>POONADAL</v>
          </cell>
          <cell r="E3598">
            <v>41.150331048000005</v>
          </cell>
          <cell r="F3598" t="str">
            <v>-</v>
          </cell>
          <cell r="G3598" t="str">
            <v>-</v>
          </cell>
          <cell r="H3598" t="str">
            <v>-</v>
          </cell>
          <cell r="I3598" t="str">
            <v>-</v>
          </cell>
          <cell r="J3598">
            <v>41.150331048000005</v>
          </cell>
          <cell r="K3598" t="str">
            <v>Small Cap</v>
          </cell>
        </row>
        <row r="3599">
          <cell r="C3599" t="str">
            <v>INE950C01014</v>
          </cell>
          <cell r="D3599" t="str">
            <v>HPCOTTON</v>
          </cell>
          <cell r="E3599">
            <v>41.042142523999999</v>
          </cell>
          <cell r="F3599" t="str">
            <v>-</v>
          </cell>
          <cell r="G3599" t="str">
            <v>-</v>
          </cell>
          <cell r="H3599" t="str">
            <v>-</v>
          </cell>
          <cell r="I3599" t="str">
            <v>-</v>
          </cell>
          <cell r="J3599">
            <v>41.042142523999999</v>
          </cell>
          <cell r="K3599" t="str">
            <v>Small Cap</v>
          </cell>
        </row>
        <row r="3600">
          <cell r="C3600" t="str">
            <v>INE695D01021</v>
          </cell>
          <cell r="D3600" t="str">
            <v>WALCHPF</v>
          </cell>
          <cell r="E3600">
            <v>41.034961776999999</v>
          </cell>
          <cell r="F3600" t="str">
            <v>-</v>
          </cell>
          <cell r="G3600" t="str">
            <v>-</v>
          </cell>
          <cell r="H3600" t="str">
            <v>-</v>
          </cell>
          <cell r="I3600" t="str">
            <v>-</v>
          </cell>
          <cell r="J3600">
            <v>41.034961776999999</v>
          </cell>
          <cell r="K3600" t="str">
            <v>Small Cap</v>
          </cell>
        </row>
        <row r="3601">
          <cell r="C3601" t="str">
            <v>INE448B01029</v>
          </cell>
          <cell r="D3601" t="str">
            <v>PICTUREHS</v>
          </cell>
          <cell r="E3601">
            <v>40.921702381000003</v>
          </cell>
          <cell r="F3601" t="str">
            <v>-</v>
          </cell>
          <cell r="G3601" t="str">
            <v>-</v>
          </cell>
          <cell r="H3601" t="str">
            <v>-</v>
          </cell>
          <cell r="I3601" t="str">
            <v>-</v>
          </cell>
          <cell r="J3601">
            <v>40.921702381000003</v>
          </cell>
          <cell r="K3601" t="str">
            <v>Small Cap</v>
          </cell>
        </row>
        <row r="3602">
          <cell r="C3602" t="str">
            <v>INE00Y801016</v>
          </cell>
          <cell r="D3602" t="str">
            <v>-</v>
          </cell>
          <cell r="E3602" t="str">
            <v>-</v>
          </cell>
          <cell r="F3602" t="str">
            <v>AKG</v>
          </cell>
          <cell r="G3602">
            <v>40.791499999999999</v>
          </cell>
          <cell r="H3602" t="str">
            <v>-</v>
          </cell>
          <cell r="I3602" t="str">
            <v>-</v>
          </cell>
          <cell r="J3602">
            <v>40.791499999999999</v>
          </cell>
          <cell r="K3602" t="str">
            <v>Small Cap</v>
          </cell>
        </row>
        <row r="3603">
          <cell r="C3603" t="str">
            <v>INE0QXT01018</v>
          </cell>
          <cell r="D3603" t="str">
            <v>DKUAL</v>
          </cell>
          <cell r="E3603">
            <v>40.745147998</v>
          </cell>
          <cell r="F3603" t="str">
            <v>-</v>
          </cell>
          <cell r="G3603" t="str">
            <v>-</v>
          </cell>
          <cell r="H3603" t="str">
            <v>-</v>
          </cell>
          <cell r="I3603" t="str">
            <v>-</v>
          </cell>
          <cell r="J3603">
            <v>40.745147998</v>
          </cell>
          <cell r="K3603" t="str">
            <v>Small Cap</v>
          </cell>
        </row>
        <row r="3604">
          <cell r="C3604" t="str">
            <v>INE308B01017</v>
          </cell>
          <cell r="D3604" t="str">
            <v>ERPSOFT</v>
          </cell>
          <cell r="E3604">
            <v>40.726274285999999</v>
          </cell>
          <cell r="F3604" t="str">
            <v>-</v>
          </cell>
          <cell r="G3604" t="str">
            <v>-</v>
          </cell>
          <cell r="H3604" t="str">
            <v>-</v>
          </cell>
          <cell r="I3604" t="str">
            <v>-</v>
          </cell>
          <cell r="J3604">
            <v>40.726274285999999</v>
          </cell>
          <cell r="K3604" t="str">
            <v>Small Cap</v>
          </cell>
        </row>
        <row r="3605">
          <cell r="C3605" t="str">
            <v>INE436N01029</v>
          </cell>
          <cell r="D3605" t="str">
            <v>AMTL</v>
          </cell>
          <cell r="E3605">
            <v>40.684011474999998</v>
          </cell>
          <cell r="F3605" t="str">
            <v>-</v>
          </cell>
          <cell r="G3605" t="str">
            <v>-</v>
          </cell>
          <cell r="H3605" t="str">
            <v>-</v>
          </cell>
          <cell r="I3605" t="str">
            <v>-</v>
          </cell>
          <cell r="J3605">
            <v>40.684011474999998</v>
          </cell>
          <cell r="K3605" t="str">
            <v>Small Cap</v>
          </cell>
        </row>
        <row r="3606">
          <cell r="C3606" t="str">
            <v>INE428P01013</v>
          </cell>
          <cell r="D3606" t="str">
            <v>PRABHHANS</v>
          </cell>
          <cell r="E3606">
            <v>40.651247797000003</v>
          </cell>
          <cell r="F3606" t="str">
            <v>-</v>
          </cell>
          <cell r="G3606" t="str">
            <v>-</v>
          </cell>
          <cell r="H3606" t="str">
            <v>-</v>
          </cell>
          <cell r="I3606" t="str">
            <v>-</v>
          </cell>
          <cell r="J3606">
            <v>40.651247797000003</v>
          </cell>
          <cell r="K3606" t="str">
            <v>Small Cap</v>
          </cell>
        </row>
        <row r="3607">
          <cell r="C3607" t="str">
            <v>INE172B01017</v>
          </cell>
          <cell r="D3607" t="str">
            <v>IECEDU</v>
          </cell>
          <cell r="E3607">
            <v>40.596202222000002</v>
          </cell>
          <cell r="F3607" t="str">
            <v>-</v>
          </cell>
          <cell r="G3607" t="str">
            <v>-</v>
          </cell>
          <cell r="H3607" t="str">
            <v>-</v>
          </cell>
          <cell r="I3607" t="str">
            <v>-</v>
          </cell>
          <cell r="J3607">
            <v>40.596202222000002</v>
          </cell>
          <cell r="K3607" t="str">
            <v>Small Cap</v>
          </cell>
        </row>
        <row r="3608">
          <cell r="C3608" t="str">
            <v>INE875N01036</v>
          </cell>
          <cell r="D3608" t="str">
            <v>BANDARAM</v>
          </cell>
          <cell r="E3608">
            <v>40.593241038000002</v>
          </cell>
          <cell r="F3608" t="str">
            <v>-</v>
          </cell>
          <cell r="G3608" t="str">
            <v>-</v>
          </cell>
          <cell r="H3608" t="str">
            <v>-</v>
          </cell>
          <cell r="I3608" t="str">
            <v>-</v>
          </cell>
          <cell r="J3608">
            <v>40.593241038000002</v>
          </cell>
          <cell r="K3608" t="str">
            <v>Small Cap</v>
          </cell>
        </row>
        <row r="3609">
          <cell r="C3609" t="str">
            <v>INE811D01024</v>
          </cell>
          <cell r="D3609" t="str">
            <v>MONOT</v>
          </cell>
          <cell r="E3609">
            <v>40.580177593999998</v>
          </cell>
          <cell r="F3609" t="str">
            <v>-</v>
          </cell>
          <cell r="G3609" t="str">
            <v>-</v>
          </cell>
          <cell r="H3609" t="str">
            <v>MONOT</v>
          </cell>
          <cell r="I3609">
            <v>40.569016928809532</v>
          </cell>
          <cell r="J3609">
            <v>40.574597261404762</v>
          </cell>
          <cell r="K3609" t="str">
            <v>Small Cap</v>
          </cell>
        </row>
        <row r="3610">
          <cell r="C3610" t="str">
            <v>INE452Z01012</v>
          </cell>
          <cell r="D3610" t="str">
            <v>SHREESHAY</v>
          </cell>
          <cell r="E3610">
            <v>40.571311397999999</v>
          </cell>
          <cell r="F3610" t="str">
            <v>-</v>
          </cell>
          <cell r="G3610" t="str">
            <v>-</v>
          </cell>
          <cell r="H3610" t="str">
            <v>-</v>
          </cell>
          <cell r="I3610" t="str">
            <v>-</v>
          </cell>
          <cell r="J3610">
            <v>40.571311397999999</v>
          </cell>
          <cell r="K3610" t="str">
            <v>Small Cap</v>
          </cell>
        </row>
        <row r="3611">
          <cell r="C3611" t="str">
            <v>INE649C01012</v>
          </cell>
          <cell r="D3611" t="str">
            <v>ROSEMER</v>
          </cell>
          <cell r="E3611">
            <v>40.561918368000001</v>
          </cell>
          <cell r="F3611" t="str">
            <v>-</v>
          </cell>
          <cell r="G3611" t="str">
            <v>-</v>
          </cell>
          <cell r="H3611" t="str">
            <v>-</v>
          </cell>
          <cell r="I3611" t="str">
            <v>-</v>
          </cell>
          <cell r="J3611">
            <v>40.561918368000001</v>
          </cell>
          <cell r="K3611" t="str">
            <v>Small Cap</v>
          </cell>
        </row>
        <row r="3612">
          <cell r="C3612" t="str">
            <v>INE778N01016</v>
          </cell>
          <cell r="D3612" t="str">
            <v>TRILIANCE</v>
          </cell>
          <cell r="E3612">
            <v>40.553365556000003</v>
          </cell>
          <cell r="F3612" t="str">
            <v>-</v>
          </cell>
          <cell r="G3612" t="str">
            <v>-</v>
          </cell>
          <cell r="H3612" t="str">
            <v>-</v>
          </cell>
          <cell r="I3612" t="str">
            <v>-</v>
          </cell>
          <cell r="J3612">
            <v>40.553365556000003</v>
          </cell>
          <cell r="K3612" t="str">
            <v>Small Cap</v>
          </cell>
        </row>
        <row r="3613">
          <cell r="C3613" t="str">
            <v>INE0RWU01016</v>
          </cell>
          <cell r="D3613" t="str">
            <v>GBLOGISTIC</v>
          </cell>
          <cell r="E3613">
            <v>40.529934914000002</v>
          </cell>
          <cell r="F3613" t="str">
            <v>-</v>
          </cell>
          <cell r="G3613" t="str">
            <v>-</v>
          </cell>
          <cell r="H3613" t="str">
            <v>-</v>
          </cell>
          <cell r="I3613" t="str">
            <v>-</v>
          </cell>
          <cell r="J3613">
            <v>40.529934914000002</v>
          </cell>
          <cell r="K3613" t="str">
            <v>Small Cap</v>
          </cell>
        </row>
        <row r="3614">
          <cell r="C3614" t="str">
            <v>INE344X01016</v>
          </cell>
          <cell r="D3614" t="str">
            <v>CHOTHANI</v>
          </cell>
          <cell r="E3614">
            <v>40.478246667000001</v>
          </cell>
          <cell r="F3614" t="str">
            <v>-</v>
          </cell>
          <cell r="G3614" t="str">
            <v>-</v>
          </cell>
          <cell r="H3614" t="str">
            <v>-</v>
          </cell>
          <cell r="I3614" t="str">
            <v>-</v>
          </cell>
          <cell r="J3614">
            <v>40.478246667000001</v>
          </cell>
          <cell r="K3614" t="str">
            <v>Small Cap</v>
          </cell>
        </row>
        <row r="3615">
          <cell r="C3615" t="str">
            <v>INE130701019</v>
          </cell>
          <cell r="D3615" t="str">
            <v>VALINDIA</v>
          </cell>
          <cell r="E3615">
            <v>40.358306554999999</v>
          </cell>
          <cell r="F3615" t="str">
            <v>-</v>
          </cell>
          <cell r="G3615" t="str">
            <v>-</v>
          </cell>
          <cell r="H3615" t="str">
            <v>-</v>
          </cell>
          <cell r="I3615" t="str">
            <v>-</v>
          </cell>
          <cell r="J3615">
            <v>40.358306554999999</v>
          </cell>
          <cell r="K3615" t="str">
            <v>Small Cap</v>
          </cell>
        </row>
        <row r="3616">
          <cell r="C3616" t="str">
            <v>INE293N01016</v>
          </cell>
          <cell r="D3616" t="str">
            <v>CRSTCHM</v>
          </cell>
          <cell r="E3616">
            <v>40.341309524000003</v>
          </cell>
          <cell r="F3616" t="str">
            <v>-</v>
          </cell>
          <cell r="G3616" t="str">
            <v>-</v>
          </cell>
          <cell r="H3616" t="str">
            <v>-</v>
          </cell>
          <cell r="I3616" t="str">
            <v>-</v>
          </cell>
          <cell r="J3616">
            <v>40.341309524000003</v>
          </cell>
          <cell r="K3616" t="str">
            <v>Small Cap</v>
          </cell>
        </row>
        <row r="3617">
          <cell r="C3617" t="str">
            <v>INE138B01018</v>
          </cell>
          <cell r="D3617" t="str">
            <v>DUROPACK</v>
          </cell>
          <cell r="E3617">
            <v>40.310195129</v>
          </cell>
          <cell r="F3617" t="str">
            <v>-</v>
          </cell>
          <cell r="G3617" t="str">
            <v>-</v>
          </cell>
          <cell r="H3617" t="str">
            <v>-</v>
          </cell>
          <cell r="I3617" t="str">
            <v>-</v>
          </cell>
          <cell r="J3617">
            <v>40.310195129</v>
          </cell>
          <cell r="K3617" t="str">
            <v>Small Cap</v>
          </cell>
        </row>
        <row r="3618">
          <cell r="C3618" t="str">
            <v>INE087E01011</v>
          </cell>
          <cell r="D3618" t="str">
            <v>FINELINE</v>
          </cell>
          <cell r="E3618">
            <v>40.289857193000003</v>
          </cell>
          <cell r="F3618" t="str">
            <v>-</v>
          </cell>
          <cell r="G3618" t="str">
            <v>-</v>
          </cell>
          <cell r="H3618" t="str">
            <v>-</v>
          </cell>
          <cell r="I3618" t="str">
            <v>-</v>
          </cell>
          <cell r="J3618">
            <v>40.289857193000003</v>
          </cell>
          <cell r="K3618" t="str">
            <v>Small Cap</v>
          </cell>
        </row>
        <row r="3619">
          <cell r="C3619" t="str">
            <v>INE801V01019</v>
          </cell>
          <cell r="D3619" t="str">
            <v>-</v>
          </cell>
          <cell r="E3619" t="str">
            <v>-</v>
          </cell>
          <cell r="F3619" t="str">
            <v>LAXMICOT</v>
          </cell>
          <cell r="G3619">
            <v>40.144100000000002</v>
          </cell>
          <cell r="H3619" t="str">
            <v>-</v>
          </cell>
          <cell r="I3619" t="str">
            <v>-</v>
          </cell>
          <cell r="J3619">
            <v>40.144100000000002</v>
          </cell>
          <cell r="K3619" t="str">
            <v>Small Cap</v>
          </cell>
        </row>
        <row r="3620">
          <cell r="C3620" t="str">
            <v>INE01A501027</v>
          </cell>
          <cell r="D3620" t="str">
            <v>RANJEET</v>
          </cell>
          <cell r="E3620">
            <v>40.122539682999999</v>
          </cell>
          <cell r="F3620" t="str">
            <v>-</v>
          </cell>
          <cell r="G3620" t="str">
            <v>-</v>
          </cell>
          <cell r="H3620" t="str">
            <v>-</v>
          </cell>
          <cell r="I3620" t="str">
            <v>-</v>
          </cell>
          <cell r="J3620">
            <v>40.122539682999999</v>
          </cell>
          <cell r="K3620" t="str">
            <v>Small Cap</v>
          </cell>
        </row>
        <row r="3621">
          <cell r="C3621" t="str">
            <v>INE360J01011</v>
          </cell>
          <cell r="D3621" t="str">
            <v>SURYAAMBA</v>
          </cell>
          <cell r="E3621">
            <v>40.088982238999996</v>
          </cell>
          <cell r="F3621" t="str">
            <v>-</v>
          </cell>
          <cell r="G3621" t="str">
            <v>-</v>
          </cell>
          <cell r="H3621" t="str">
            <v>-</v>
          </cell>
          <cell r="I3621" t="str">
            <v>-</v>
          </cell>
          <cell r="J3621">
            <v>40.088982238999996</v>
          </cell>
          <cell r="K3621" t="str">
            <v>Small Cap</v>
          </cell>
        </row>
        <row r="3622">
          <cell r="C3622" t="str">
            <v>INE236W01016</v>
          </cell>
          <cell r="D3622" t="str">
            <v>ANG</v>
          </cell>
          <cell r="E3622">
            <v>40.031111533000001</v>
          </cell>
          <cell r="F3622" t="str">
            <v>-</v>
          </cell>
          <cell r="G3622" t="str">
            <v>-</v>
          </cell>
          <cell r="H3622" t="str">
            <v>-</v>
          </cell>
          <cell r="I3622" t="str">
            <v>-</v>
          </cell>
          <cell r="J3622">
            <v>40.031111533000001</v>
          </cell>
          <cell r="K3622" t="str">
            <v>Small Cap</v>
          </cell>
        </row>
        <row r="3623">
          <cell r="C3623" t="str">
            <v>INE347D01011</v>
          </cell>
          <cell r="D3623" t="str">
            <v>LERTHAI</v>
          </cell>
          <cell r="E3623">
            <v>40.027500000000003</v>
          </cell>
          <cell r="F3623" t="str">
            <v>-</v>
          </cell>
          <cell r="G3623" t="str">
            <v>-</v>
          </cell>
          <cell r="H3623" t="str">
            <v>-</v>
          </cell>
          <cell r="I3623" t="str">
            <v>-</v>
          </cell>
          <cell r="J3623">
            <v>40.027500000000003</v>
          </cell>
          <cell r="K3623" t="str">
            <v>Small Cap</v>
          </cell>
        </row>
        <row r="3624">
          <cell r="C3624" t="str">
            <v>INE266P01017</v>
          </cell>
          <cell r="D3624" t="str">
            <v>WESTLEIRES</v>
          </cell>
          <cell r="E3624">
            <v>39.809238176000001</v>
          </cell>
          <cell r="F3624" t="str">
            <v>-</v>
          </cell>
          <cell r="G3624" t="str">
            <v>-</v>
          </cell>
          <cell r="H3624" t="str">
            <v>-</v>
          </cell>
          <cell r="I3624" t="str">
            <v>-</v>
          </cell>
          <cell r="J3624">
            <v>39.809238176000001</v>
          </cell>
          <cell r="K3624" t="str">
            <v>Small Cap</v>
          </cell>
        </row>
        <row r="3625">
          <cell r="C3625" t="str">
            <v>INE12IB01015</v>
          </cell>
          <cell r="D3625" t="str">
            <v>INFONATIVE</v>
          </cell>
          <cell r="E3625">
            <v>39.752942145999995</v>
          </cell>
          <cell r="F3625" t="str">
            <v>-</v>
          </cell>
          <cell r="G3625" t="str">
            <v>-</v>
          </cell>
          <cell r="H3625" t="str">
            <v>-</v>
          </cell>
          <cell r="I3625" t="str">
            <v>-</v>
          </cell>
          <cell r="J3625">
            <v>39.752942145999995</v>
          </cell>
          <cell r="K3625" t="str">
            <v>Small Cap</v>
          </cell>
        </row>
        <row r="3626">
          <cell r="C3626" t="str">
            <v>INE796C01011</v>
          </cell>
          <cell r="D3626" t="str">
            <v>SHRAJSYNQ</v>
          </cell>
          <cell r="E3626">
            <v>39.654302223999998</v>
          </cell>
          <cell r="F3626" t="str">
            <v>-</v>
          </cell>
          <cell r="G3626" t="str">
            <v>-</v>
          </cell>
          <cell r="H3626" t="str">
            <v>-</v>
          </cell>
          <cell r="I3626" t="str">
            <v>-</v>
          </cell>
          <cell r="J3626">
            <v>39.654302223999998</v>
          </cell>
          <cell r="K3626" t="str">
            <v>Small Cap</v>
          </cell>
        </row>
        <row r="3627">
          <cell r="C3627" t="str">
            <v>INE560F01022</v>
          </cell>
          <cell r="D3627" t="str">
            <v>JOHNPHARMA</v>
          </cell>
          <cell r="E3627">
            <v>39.634920635</v>
          </cell>
          <cell r="F3627" t="str">
            <v>-</v>
          </cell>
          <cell r="G3627" t="str">
            <v>-</v>
          </cell>
          <cell r="H3627" t="str">
            <v>-</v>
          </cell>
          <cell r="I3627" t="str">
            <v>-</v>
          </cell>
          <cell r="J3627">
            <v>39.634920635</v>
          </cell>
          <cell r="K3627" t="str">
            <v>Small Cap</v>
          </cell>
        </row>
        <row r="3628">
          <cell r="C3628" t="str">
            <v>INE969D01012</v>
          </cell>
          <cell r="D3628" t="str">
            <v>INDBNK</v>
          </cell>
          <cell r="E3628">
            <v>39.510555556</v>
          </cell>
          <cell r="F3628" t="str">
            <v>-</v>
          </cell>
          <cell r="G3628" t="str">
            <v>-</v>
          </cell>
          <cell r="H3628" t="str">
            <v>-</v>
          </cell>
          <cell r="I3628" t="str">
            <v>-</v>
          </cell>
          <cell r="J3628">
            <v>39.510555556</v>
          </cell>
          <cell r="K3628" t="str">
            <v>Small Cap</v>
          </cell>
        </row>
        <row r="3629">
          <cell r="C3629" t="str">
            <v>INE216D01026</v>
          </cell>
          <cell r="D3629" t="str">
            <v>KSERASERA</v>
          </cell>
          <cell r="E3629">
            <v>39.508340459999999</v>
          </cell>
          <cell r="F3629" t="str">
            <v>-</v>
          </cell>
          <cell r="G3629" t="str">
            <v>-</v>
          </cell>
          <cell r="H3629" t="str">
            <v>-</v>
          </cell>
          <cell r="I3629" t="str">
            <v>-</v>
          </cell>
          <cell r="J3629">
            <v>39.508340459999999</v>
          </cell>
          <cell r="K3629" t="str">
            <v>Small Cap</v>
          </cell>
        </row>
        <row r="3630">
          <cell r="C3630" t="str">
            <v>INE0GTX01019</v>
          </cell>
          <cell r="D3630" t="str">
            <v>PGCRL</v>
          </cell>
          <cell r="E3630">
            <v>39.462238733</v>
          </cell>
          <cell r="F3630" t="str">
            <v>-</v>
          </cell>
          <cell r="G3630" t="str">
            <v>-</v>
          </cell>
          <cell r="H3630" t="str">
            <v>-</v>
          </cell>
          <cell r="I3630" t="str">
            <v>-</v>
          </cell>
          <cell r="J3630">
            <v>39.462238733</v>
          </cell>
          <cell r="K3630" t="str">
            <v>Small Cap</v>
          </cell>
        </row>
        <row r="3631">
          <cell r="C3631" t="str">
            <v>INE055O01033</v>
          </cell>
          <cell r="D3631" t="str">
            <v>INLANPR</v>
          </cell>
          <cell r="E3631">
            <v>39.433156151999995</v>
          </cell>
          <cell r="F3631" t="str">
            <v>-</v>
          </cell>
          <cell r="G3631" t="str">
            <v>-</v>
          </cell>
          <cell r="H3631" t="str">
            <v>-</v>
          </cell>
          <cell r="I3631" t="str">
            <v>-</v>
          </cell>
          <cell r="J3631">
            <v>39.433156151999995</v>
          </cell>
          <cell r="K3631" t="str">
            <v>Small Cap</v>
          </cell>
        </row>
        <row r="3632">
          <cell r="C3632" t="str">
            <v>INE778I01024</v>
          </cell>
          <cell r="D3632" t="str">
            <v>TELOGICA</v>
          </cell>
          <cell r="E3632">
            <v>39.390881028999999</v>
          </cell>
          <cell r="F3632" t="str">
            <v>-</v>
          </cell>
          <cell r="G3632" t="str">
            <v>-</v>
          </cell>
          <cell r="H3632" t="str">
            <v>-</v>
          </cell>
          <cell r="I3632" t="str">
            <v>-</v>
          </cell>
          <cell r="J3632">
            <v>39.390881028999999</v>
          </cell>
          <cell r="K3632" t="str">
            <v>Small Cap</v>
          </cell>
        </row>
        <row r="3633">
          <cell r="C3633" t="str">
            <v>INE860Y01019</v>
          </cell>
          <cell r="D3633" t="str">
            <v>LEX</v>
          </cell>
          <cell r="E3633">
            <v>39.306090714</v>
          </cell>
          <cell r="F3633" t="str">
            <v>-</v>
          </cell>
          <cell r="G3633" t="str">
            <v>-</v>
          </cell>
          <cell r="H3633" t="str">
            <v>-</v>
          </cell>
          <cell r="I3633" t="str">
            <v>-</v>
          </cell>
          <cell r="J3633">
            <v>39.306090714</v>
          </cell>
          <cell r="K3633" t="str">
            <v>Small Cap</v>
          </cell>
        </row>
        <row r="3634">
          <cell r="C3634" t="str">
            <v>INE139E01028</v>
          </cell>
          <cell r="D3634" t="str">
            <v>NIVAKA</v>
          </cell>
          <cell r="E3634">
            <v>39.252029999999998</v>
          </cell>
          <cell r="F3634" t="str">
            <v>-</v>
          </cell>
          <cell r="G3634" t="str">
            <v>-</v>
          </cell>
          <cell r="H3634" t="str">
            <v>NIVAKA</v>
          </cell>
          <cell r="I3634">
            <v>39.229210000000002</v>
          </cell>
          <cell r="J3634">
            <v>39.24062</v>
          </cell>
          <cell r="K3634" t="str">
            <v>Small Cap</v>
          </cell>
        </row>
        <row r="3635">
          <cell r="C3635" t="str">
            <v>INE631D01026</v>
          </cell>
          <cell r="D3635" t="str">
            <v>GGDPROP</v>
          </cell>
          <cell r="E3635">
            <v>39.207225575000002</v>
          </cell>
          <cell r="F3635" t="str">
            <v>-</v>
          </cell>
          <cell r="G3635" t="str">
            <v>-</v>
          </cell>
          <cell r="H3635" t="str">
            <v>-</v>
          </cell>
          <cell r="I3635" t="str">
            <v>-</v>
          </cell>
          <cell r="J3635">
            <v>39.207225575000002</v>
          </cell>
          <cell r="K3635" t="str">
            <v>Small Cap</v>
          </cell>
        </row>
        <row r="3636">
          <cell r="C3636" t="str">
            <v>INE925C01016</v>
          </cell>
          <cell r="D3636" t="str">
            <v>MADHAV</v>
          </cell>
          <cell r="E3636">
            <v>39.161445048000004</v>
          </cell>
          <cell r="F3636" t="str">
            <v>MADHAV</v>
          </cell>
          <cell r="G3636">
            <v>39.1</v>
          </cell>
          <cell r="H3636" t="str">
            <v>-</v>
          </cell>
          <cell r="I3636" t="str">
            <v>-</v>
          </cell>
          <cell r="J3636">
            <v>39.130722524000007</v>
          </cell>
          <cell r="K3636" t="str">
            <v>Small Cap</v>
          </cell>
        </row>
        <row r="3637">
          <cell r="C3637" t="str">
            <v>INE516P01015</v>
          </cell>
          <cell r="D3637" t="str">
            <v>RLFL</v>
          </cell>
          <cell r="E3637">
            <v>39.117043905000003</v>
          </cell>
          <cell r="F3637" t="str">
            <v>-</v>
          </cell>
          <cell r="G3637" t="str">
            <v>-</v>
          </cell>
          <cell r="H3637" t="str">
            <v>-</v>
          </cell>
          <cell r="I3637" t="str">
            <v>-</v>
          </cell>
          <cell r="J3637">
            <v>39.117043905000003</v>
          </cell>
          <cell r="K3637" t="str">
            <v>Small Cap</v>
          </cell>
        </row>
        <row r="3638">
          <cell r="C3638" t="str">
            <v>INE0C4I01011</v>
          </cell>
          <cell r="D3638" t="str">
            <v>SMAUTO</v>
          </cell>
          <cell r="E3638">
            <v>39.069526504999999</v>
          </cell>
          <cell r="F3638" t="str">
            <v>-</v>
          </cell>
          <cell r="G3638" t="str">
            <v>-</v>
          </cell>
          <cell r="H3638" t="str">
            <v>-</v>
          </cell>
          <cell r="I3638" t="str">
            <v>-</v>
          </cell>
          <cell r="J3638">
            <v>39.069526504999999</v>
          </cell>
          <cell r="K3638" t="str">
            <v>Small Cap</v>
          </cell>
        </row>
        <row r="3639">
          <cell r="C3639" t="str">
            <v>INE457C01010</v>
          </cell>
          <cell r="D3639" t="str">
            <v>DYNAMIND</v>
          </cell>
          <cell r="E3639">
            <v>39.030995535999999</v>
          </cell>
          <cell r="F3639" t="str">
            <v>-</v>
          </cell>
          <cell r="G3639" t="str">
            <v>-</v>
          </cell>
          <cell r="H3639" t="str">
            <v>-</v>
          </cell>
          <cell r="I3639" t="str">
            <v>-</v>
          </cell>
          <cell r="J3639">
            <v>39.030995535999999</v>
          </cell>
          <cell r="K3639" t="str">
            <v>Small Cap</v>
          </cell>
        </row>
        <row r="3640">
          <cell r="C3640" t="str">
            <v>INE0CPQ01010</v>
          </cell>
          <cell r="D3640" t="str">
            <v>NIRMITEE</v>
          </cell>
          <cell r="E3640">
            <v>38.875024525999997</v>
          </cell>
          <cell r="F3640" t="str">
            <v>-</v>
          </cell>
          <cell r="G3640" t="str">
            <v>-</v>
          </cell>
          <cell r="H3640" t="str">
            <v>-</v>
          </cell>
          <cell r="I3640" t="str">
            <v>-</v>
          </cell>
          <cell r="J3640">
            <v>38.875024525999997</v>
          </cell>
          <cell r="K3640" t="str">
            <v>Small Cap</v>
          </cell>
        </row>
        <row r="3641">
          <cell r="C3641" t="str">
            <v>INE533C01018</v>
          </cell>
          <cell r="D3641" t="str">
            <v>KJMCFIN</v>
          </cell>
          <cell r="E3641">
            <v>38.775090995999996</v>
          </cell>
          <cell r="F3641" t="str">
            <v>-</v>
          </cell>
          <cell r="G3641" t="str">
            <v>-</v>
          </cell>
          <cell r="H3641" t="str">
            <v>-</v>
          </cell>
          <cell r="I3641" t="str">
            <v>-</v>
          </cell>
          <cell r="J3641">
            <v>38.775090995999996</v>
          </cell>
          <cell r="K3641" t="str">
            <v>Small Cap</v>
          </cell>
        </row>
        <row r="3642">
          <cell r="C3642" t="str">
            <v>INE882C01035</v>
          </cell>
          <cell r="D3642" t="str">
            <v>VEERHEALTH</v>
          </cell>
          <cell r="E3642">
            <v>38.759109823000003</v>
          </cell>
          <cell r="F3642" t="str">
            <v>-</v>
          </cell>
          <cell r="G3642" t="str">
            <v>-</v>
          </cell>
          <cell r="H3642" t="str">
            <v>-</v>
          </cell>
          <cell r="I3642" t="str">
            <v>-</v>
          </cell>
          <cell r="J3642">
            <v>38.759109823000003</v>
          </cell>
          <cell r="K3642" t="str">
            <v>Small Cap</v>
          </cell>
        </row>
        <row r="3643">
          <cell r="C3643" t="str">
            <v>INE353H01010</v>
          </cell>
          <cell r="D3643" t="str">
            <v>SGL</v>
          </cell>
          <cell r="E3643">
            <v>38.923760549999997</v>
          </cell>
          <cell r="F3643" t="str">
            <v>SGL</v>
          </cell>
          <cell r="G3643">
            <v>38.245899999999999</v>
          </cell>
          <cell r="H3643" t="str">
            <v>-</v>
          </cell>
          <cell r="I3643" t="str">
            <v>-</v>
          </cell>
          <cell r="J3643">
            <v>38.584830275000002</v>
          </cell>
          <cell r="K3643" t="str">
            <v>Small Cap</v>
          </cell>
        </row>
        <row r="3644">
          <cell r="C3644" t="str">
            <v>INE0LB101011</v>
          </cell>
          <cell r="D3644" t="str">
            <v>NACDAC</v>
          </cell>
          <cell r="E3644">
            <v>38.552403708</v>
          </cell>
          <cell r="F3644" t="str">
            <v>-</v>
          </cell>
          <cell r="G3644" t="str">
            <v>-</v>
          </cell>
          <cell r="H3644" t="str">
            <v>-</v>
          </cell>
          <cell r="I3644" t="str">
            <v>-</v>
          </cell>
          <cell r="J3644">
            <v>38.552403708</v>
          </cell>
          <cell r="K3644" t="str">
            <v>Small Cap</v>
          </cell>
        </row>
        <row r="3645">
          <cell r="C3645" t="str">
            <v>INE792J01015</v>
          </cell>
          <cell r="D3645" t="str">
            <v>GORANIN</v>
          </cell>
          <cell r="E3645">
            <v>38.531302448000005</v>
          </cell>
          <cell r="F3645" t="str">
            <v>-</v>
          </cell>
          <cell r="G3645" t="str">
            <v>-</v>
          </cell>
          <cell r="H3645" t="str">
            <v>-</v>
          </cell>
          <cell r="I3645" t="str">
            <v>-</v>
          </cell>
          <cell r="J3645">
            <v>38.531302448000005</v>
          </cell>
          <cell r="K3645" t="str">
            <v>Small Cap</v>
          </cell>
        </row>
        <row r="3646">
          <cell r="C3646" t="str">
            <v>INE578B01015</v>
          </cell>
          <cell r="D3646" t="str">
            <v>ACCEDERE</v>
          </cell>
          <cell r="E3646">
            <v>38.456836229000004</v>
          </cell>
          <cell r="F3646" t="str">
            <v>-</v>
          </cell>
          <cell r="G3646" t="str">
            <v>-</v>
          </cell>
          <cell r="H3646" t="str">
            <v>-</v>
          </cell>
          <cell r="I3646" t="str">
            <v>-</v>
          </cell>
          <cell r="J3646">
            <v>38.456836229000004</v>
          </cell>
          <cell r="K3646" t="str">
            <v>Small Cap</v>
          </cell>
        </row>
        <row r="3647">
          <cell r="C3647" t="str">
            <v>INE338C01012</v>
          </cell>
          <cell r="D3647" t="str">
            <v>ASHSI</v>
          </cell>
          <cell r="E3647">
            <v>38.316369047999999</v>
          </cell>
          <cell r="F3647" t="str">
            <v>-</v>
          </cell>
          <cell r="G3647" t="str">
            <v>-</v>
          </cell>
          <cell r="H3647" t="str">
            <v>-</v>
          </cell>
          <cell r="I3647" t="str">
            <v>-</v>
          </cell>
          <cell r="J3647">
            <v>38.316369047999999</v>
          </cell>
          <cell r="K3647" t="str">
            <v>Small Cap</v>
          </cell>
        </row>
        <row r="3648">
          <cell r="C3648" t="str">
            <v>INE198C01010</v>
          </cell>
          <cell r="D3648" t="str">
            <v>CAMEXLTD</v>
          </cell>
          <cell r="E3648">
            <v>38.227287363999999</v>
          </cell>
          <cell r="F3648" t="str">
            <v>-</v>
          </cell>
          <cell r="G3648" t="str">
            <v>-</v>
          </cell>
          <cell r="H3648" t="str">
            <v>-</v>
          </cell>
          <cell r="I3648" t="str">
            <v>-</v>
          </cell>
          <cell r="J3648">
            <v>38.227287363999999</v>
          </cell>
          <cell r="K3648" t="str">
            <v>Small Cap</v>
          </cell>
        </row>
        <row r="3649">
          <cell r="C3649" t="str">
            <v>INE524L01026</v>
          </cell>
          <cell r="D3649" t="str">
            <v>KRIDHANINF</v>
          </cell>
          <cell r="E3649">
            <v>38.233630411</v>
          </cell>
          <cell r="F3649" t="str">
            <v>KRIDHANINF</v>
          </cell>
          <cell r="G3649">
            <v>38.072699999999998</v>
          </cell>
          <cell r="H3649" t="str">
            <v>-</v>
          </cell>
          <cell r="I3649" t="str">
            <v>-</v>
          </cell>
          <cell r="J3649">
            <v>38.153165205500002</v>
          </cell>
          <cell r="K3649" t="str">
            <v>Small Cap</v>
          </cell>
        </row>
        <row r="3650">
          <cell r="C3650" t="str">
            <v>INE623B01027</v>
          </cell>
          <cell r="D3650" t="str">
            <v>FEL</v>
          </cell>
          <cell r="E3650">
            <v>38.860189816999998</v>
          </cell>
          <cell r="F3650" t="str">
            <v>FEL</v>
          </cell>
          <cell r="G3650">
            <v>37.318799999999996</v>
          </cell>
          <cell r="H3650" t="str">
            <v>-</v>
          </cell>
          <cell r="I3650" t="str">
            <v>-</v>
          </cell>
          <cell r="J3650">
            <v>38.089494908500001</v>
          </cell>
          <cell r="K3650" t="str">
            <v>Small Cap</v>
          </cell>
        </row>
        <row r="3651">
          <cell r="C3651" t="str">
            <v>INE951Z01013</v>
          </cell>
          <cell r="D3651" t="str">
            <v>SKIFL</v>
          </cell>
          <cell r="E3651">
            <v>37.991380952</v>
          </cell>
          <cell r="F3651" t="str">
            <v>-</v>
          </cell>
          <cell r="G3651" t="str">
            <v>-</v>
          </cell>
          <cell r="H3651" t="str">
            <v>-</v>
          </cell>
          <cell r="I3651" t="str">
            <v>-</v>
          </cell>
          <cell r="J3651">
            <v>37.991380952</v>
          </cell>
          <cell r="K3651" t="str">
            <v>Small Cap</v>
          </cell>
        </row>
        <row r="3652">
          <cell r="C3652" t="str">
            <v>INE879E01037</v>
          </cell>
          <cell r="D3652" t="str">
            <v>KANANIIND</v>
          </cell>
          <cell r="E3652">
            <v>38.036197048000005</v>
          </cell>
          <cell r="F3652" t="str">
            <v>KANANIIND</v>
          </cell>
          <cell r="G3652">
            <v>37.8996</v>
          </cell>
          <cell r="H3652" t="str">
            <v>-</v>
          </cell>
          <cell r="I3652" t="str">
            <v>-</v>
          </cell>
          <cell r="J3652">
            <v>37.967898524000006</v>
          </cell>
          <cell r="K3652" t="str">
            <v>Small Cap</v>
          </cell>
        </row>
        <row r="3653">
          <cell r="C3653" t="str">
            <v>INE365S01045</v>
          </cell>
          <cell r="D3653" t="str">
            <v>THINKINK</v>
          </cell>
          <cell r="E3653">
            <v>37.957700570999997</v>
          </cell>
          <cell r="F3653" t="str">
            <v>-</v>
          </cell>
          <cell r="G3653" t="str">
            <v>-</v>
          </cell>
          <cell r="H3653" t="str">
            <v>-</v>
          </cell>
          <cell r="I3653" t="str">
            <v>-</v>
          </cell>
          <cell r="J3653">
            <v>37.957700570999997</v>
          </cell>
          <cell r="K3653" t="str">
            <v>Small Cap</v>
          </cell>
        </row>
        <row r="3654">
          <cell r="C3654" t="str">
            <v>INE158F01017</v>
          </cell>
          <cell r="D3654" t="str">
            <v>ELFORGE</v>
          </cell>
          <cell r="E3654">
            <v>37.908053039999999</v>
          </cell>
          <cell r="F3654" t="str">
            <v>-</v>
          </cell>
          <cell r="G3654" t="str">
            <v>-</v>
          </cell>
          <cell r="H3654" t="str">
            <v>-</v>
          </cell>
          <cell r="I3654" t="str">
            <v>-</v>
          </cell>
          <cell r="J3654">
            <v>37.908053039999999</v>
          </cell>
          <cell r="K3654" t="str">
            <v>Small Cap</v>
          </cell>
        </row>
        <row r="3655">
          <cell r="C3655" t="str">
            <v>INE945J01027</v>
          </cell>
          <cell r="D3655" t="str">
            <v>ZODIACVEN</v>
          </cell>
          <cell r="E3655">
            <v>37.848356667000004</v>
          </cell>
          <cell r="F3655" t="str">
            <v>-</v>
          </cell>
          <cell r="G3655" t="str">
            <v>-</v>
          </cell>
          <cell r="H3655" t="str">
            <v>-</v>
          </cell>
          <cell r="I3655" t="str">
            <v>-</v>
          </cell>
          <cell r="J3655">
            <v>37.848356667000004</v>
          </cell>
          <cell r="K3655" t="str">
            <v>Small Cap</v>
          </cell>
        </row>
        <row r="3656">
          <cell r="C3656" t="str">
            <v>INE0WRP01016</v>
          </cell>
          <cell r="D3656" t="str">
            <v>VASHISHTHA</v>
          </cell>
          <cell r="E3656">
            <v>37.812430466000002</v>
          </cell>
          <cell r="F3656" t="str">
            <v>-</v>
          </cell>
          <cell r="G3656" t="str">
            <v>-</v>
          </cell>
          <cell r="H3656" t="str">
            <v>-</v>
          </cell>
          <cell r="I3656" t="str">
            <v>-</v>
          </cell>
          <cell r="J3656">
            <v>37.812430466000002</v>
          </cell>
          <cell r="K3656" t="str">
            <v>Small Cap</v>
          </cell>
        </row>
        <row r="3657">
          <cell r="C3657" t="str">
            <v>INE930E01012</v>
          </cell>
          <cell r="D3657" t="str">
            <v>-</v>
          </cell>
          <cell r="E3657" t="str">
            <v>-</v>
          </cell>
          <cell r="F3657" t="str">
            <v>-</v>
          </cell>
          <cell r="G3657" t="str">
            <v>-</v>
          </cell>
          <cell r="H3657" t="str">
            <v>NEPACL</v>
          </cell>
          <cell r="I3657">
            <v>37.67057999999998</v>
          </cell>
          <cell r="J3657">
            <v>37.67057999999998</v>
          </cell>
          <cell r="K3657" t="str">
            <v>Small Cap</v>
          </cell>
        </row>
        <row r="3658">
          <cell r="C3658" t="str">
            <v>INE034F01010</v>
          </cell>
          <cell r="D3658" t="str">
            <v>TCMLMTD</v>
          </cell>
          <cell r="E3658">
            <v>37.667846896</v>
          </cell>
          <cell r="F3658" t="str">
            <v>-</v>
          </cell>
          <cell r="G3658" t="str">
            <v>-</v>
          </cell>
          <cell r="H3658" t="str">
            <v>-</v>
          </cell>
          <cell r="I3658" t="str">
            <v>-</v>
          </cell>
          <cell r="J3658">
            <v>37.667846896</v>
          </cell>
          <cell r="K3658" t="str">
            <v>Small Cap</v>
          </cell>
        </row>
        <row r="3659">
          <cell r="C3659" t="str">
            <v>INE393H01016</v>
          </cell>
          <cell r="D3659" t="str">
            <v>KAPILCO</v>
          </cell>
          <cell r="E3659">
            <v>37.632333729999999</v>
          </cell>
          <cell r="F3659" t="str">
            <v>-</v>
          </cell>
          <cell r="G3659" t="str">
            <v>-</v>
          </cell>
          <cell r="H3659" t="str">
            <v>-</v>
          </cell>
          <cell r="I3659" t="str">
            <v>-</v>
          </cell>
          <cell r="J3659">
            <v>37.632333729999999</v>
          </cell>
          <cell r="K3659" t="str">
            <v>Small Cap</v>
          </cell>
        </row>
        <row r="3660">
          <cell r="C3660" t="str">
            <v>INE1SPP01016</v>
          </cell>
          <cell r="D3660" t="str">
            <v>KSR</v>
          </cell>
          <cell r="E3660">
            <v>37.674917334</v>
          </cell>
          <cell r="F3660" t="str">
            <v>KSR</v>
          </cell>
          <cell r="G3660">
            <v>37.489600000000003</v>
          </cell>
          <cell r="H3660" t="str">
            <v>-</v>
          </cell>
          <cell r="I3660" t="str">
            <v>-</v>
          </cell>
          <cell r="J3660">
            <v>37.582258667000005</v>
          </cell>
          <cell r="K3660" t="str">
            <v>Small Cap</v>
          </cell>
        </row>
        <row r="3661">
          <cell r="C3661" t="str">
            <v>INE410O01022</v>
          </cell>
          <cell r="D3661" t="str">
            <v>KAILASH</v>
          </cell>
          <cell r="E3661">
            <v>37.571845312000001</v>
          </cell>
          <cell r="F3661" t="str">
            <v>-</v>
          </cell>
          <cell r="G3661" t="str">
            <v>-</v>
          </cell>
          <cell r="H3661" t="str">
            <v>-</v>
          </cell>
          <cell r="I3661" t="str">
            <v>-</v>
          </cell>
          <cell r="J3661">
            <v>37.571845312000001</v>
          </cell>
          <cell r="K3661" t="str">
            <v>Small Cap</v>
          </cell>
        </row>
        <row r="3662">
          <cell r="C3662" t="str">
            <v>INE484S01010</v>
          </cell>
          <cell r="D3662" t="str">
            <v>PECOS</v>
          </cell>
          <cell r="E3662">
            <v>37.570801562999996</v>
          </cell>
          <cell r="F3662" t="str">
            <v>-</v>
          </cell>
          <cell r="G3662" t="str">
            <v>-</v>
          </cell>
          <cell r="H3662" t="str">
            <v>-</v>
          </cell>
          <cell r="I3662" t="str">
            <v>-</v>
          </cell>
          <cell r="J3662">
            <v>37.570801562999996</v>
          </cell>
          <cell r="K3662" t="str">
            <v>Small Cap</v>
          </cell>
        </row>
        <row r="3663">
          <cell r="C3663" t="str">
            <v>INE848R01018</v>
          </cell>
          <cell r="D3663" t="str">
            <v>SML</v>
          </cell>
          <cell r="E3663">
            <v>37.524587256000004</v>
          </cell>
          <cell r="F3663" t="str">
            <v>-</v>
          </cell>
          <cell r="G3663" t="str">
            <v>-</v>
          </cell>
          <cell r="H3663" t="str">
            <v>-</v>
          </cell>
          <cell r="I3663" t="str">
            <v>-</v>
          </cell>
          <cell r="J3663">
            <v>37.524587256000004</v>
          </cell>
          <cell r="K3663" t="str">
            <v>Small Cap</v>
          </cell>
        </row>
        <row r="3664">
          <cell r="C3664" t="str">
            <v>INE700V01021</v>
          </cell>
          <cell r="D3664" t="str">
            <v>SHASHIJIT</v>
          </cell>
          <cell r="E3664">
            <v>37.517208381000003</v>
          </cell>
          <cell r="F3664" t="str">
            <v>-</v>
          </cell>
          <cell r="G3664" t="str">
            <v>-</v>
          </cell>
          <cell r="H3664" t="str">
            <v>-</v>
          </cell>
          <cell r="I3664" t="str">
            <v>-</v>
          </cell>
          <cell r="J3664">
            <v>37.517208381000003</v>
          </cell>
          <cell r="K3664" t="str">
            <v>Small Cap</v>
          </cell>
        </row>
        <row r="3665">
          <cell r="C3665" t="str">
            <v>INE347I01010</v>
          </cell>
          <cell r="D3665" t="str">
            <v>STARCOM</v>
          </cell>
          <cell r="E3665">
            <v>37.462788646</v>
          </cell>
          <cell r="F3665" t="str">
            <v>-</v>
          </cell>
          <cell r="G3665" t="str">
            <v>-</v>
          </cell>
          <cell r="H3665" t="str">
            <v>-</v>
          </cell>
          <cell r="I3665" t="str">
            <v>-</v>
          </cell>
          <cell r="J3665">
            <v>37.462788646</v>
          </cell>
          <cell r="K3665" t="str">
            <v>Small Cap</v>
          </cell>
        </row>
        <row r="3666">
          <cell r="C3666" t="str">
            <v>INE305D01019</v>
          </cell>
          <cell r="D3666" t="str">
            <v>SARUPINDUS</v>
          </cell>
          <cell r="E3666">
            <v>37.326891355999997</v>
          </cell>
          <cell r="F3666" t="str">
            <v>-</v>
          </cell>
          <cell r="G3666" t="str">
            <v>-</v>
          </cell>
          <cell r="H3666" t="str">
            <v>-</v>
          </cell>
          <cell r="I3666" t="str">
            <v>-</v>
          </cell>
          <cell r="J3666">
            <v>37.326891355999997</v>
          </cell>
          <cell r="K3666" t="str">
            <v>Small Cap</v>
          </cell>
        </row>
        <row r="3667">
          <cell r="C3667" t="str">
            <v>INE636P01011</v>
          </cell>
          <cell r="D3667" t="str">
            <v>GUJPETR</v>
          </cell>
          <cell r="E3667">
            <v>37.267350937000003</v>
          </cell>
          <cell r="F3667" t="str">
            <v>-</v>
          </cell>
          <cell r="G3667" t="str">
            <v>-</v>
          </cell>
          <cell r="H3667" t="str">
            <v>-</v>
          </cell>
          <cell r="I3667" t="str">
            <v>-</v>
          </cell>
          <cell r="J3667">
            <v>37.267350937000003</v>
          </cell>
          <cell r="K3667" t="str">
            <v>Small Cap</v>
          </cell>
        </row>
        <row r="3668">
          <cell r="C3668" t="str">
            <v>INE029H01016</v>
          </cell>
          <cell r="D3668" t="str">
            <v>SUJALA</v>
          </cell>
          <cell r="E3668">
            <v>37.264758713999996</v>
          </cell>
          <cell r="F3668" t="str">
            <v>-</v>
          </cell>
          <cell r="G3668" t="str">
            <v>-</v>
          </cell>
          <cell r="H3668" t="str">
            <v>-</v>
          </cell>
          <cell r="I3668" t="str">
            <v>-</v>
          </cell>
          <cell r="J3668">
            <v>37.264758713999996</v>
          </cell>
          <cell r="K3668" t="str">
            <v>Small Cap</v>
          </cell>
        </row>
        <row r="3669">
          <cell r="C3669" t="str">
            <v>INE923Y01023</v>
          </cell>
          <cell r="D3669" t="str">
            <v>KENVI</v>
          </cell>
          <cell r="E3669">
            <v>37.085559948000004</v>
          </cell>
          <cell r="F3669" t="str">
            <v>-</v>
          </cell>
          <cell r="G3669" t="str">
            <v>-</v>
          </cell>
          <cell r="H3669" t="str">
            <v>-</v>
          </cell>
          <cell r="I3669" t="str">
            <v>-</v>
          </cell>
          <cell r="J3669">
            <v>37.085559948000004</v>
          </cell>
          <cell r="K3669" t="str">
            <v>Small Cap</v>
          </cell>
        </row>
        <row r="3670">
          <cell r="C3670" t="str">
            <v>INE014B01011</v>
          </cell>
          <cell r="D3670" t="str">
            <v>TECILCHEM</v>
          </cell>
          <cell r="E3670">
            <v>37.897449393999999</v>
          </cell>
          <cell r="F3670" t="str">
            <v>TECILCHEM</v>
          </cell>
          <cell r="G3670">
            <v>36.207000000000001</v>
          </cell>
          <cell r="H3670" t="str">
            <v>-</v>
          </cell>
          <cell r="I3670" t="str">
            <v>-</v>
          </cell>
          <cell r="J3670">
            <v>37.052224697</v>
          </cell>
          <cell r="K3670" t="str">
            <v>Small Cap</v>
          </cell>
        </row>
        <row r="3671">
          <cell r="C3671" t="str">
            <v>INE924A01013</v>
          </cell>
          <cell r="D3671" t="str">
            <v>SALORAINTL</v>
          </cell>
          <cell r="E3671">
            <v>37.027496882000001</v>
          </cell>
          <cell r="F3671" t="str">
            <v>-</v>
          </cell>
          <cell r="G3671" t="str">
            <v>-</v>
          </cell>
          <cell r="H3671" t="str">
            <v>-</v>
          </cell>
          <cell r="I3671" t="str">
            <v>-</v>
          </cell>
          <cell r="J3671">
            <v>37.027496882000001</v>
          </cell>
          <cell r="K3671" t="str">
            <v>Small Cap</v>
          </cell>
        </row>
        <row r="3672">
          <cell r="C3672" t="str">
            <v>INE1IIQ01028</v>
          </cell>
          <cell r="D3672" t="str">
            <v>SOLVEX</v>
          </cell>
          <cell r="E3672">
            <v>36.990117586000004</v>
          </cell>
          <cell r="F3672" t="str">
            <v>-</v>
          </cell>
          <cell r="G3672" t="str">
            <v>-</v>
          </cell>
          <cell r="H3672" t="str">
            <v>-</v>
          </cell>
          <cell r="I3672" t="str">
            <v>-</v>
          </cell>
          <cell r="J3672">
            <v>36.990117586000004</v>
          </cell>
          <cell r="K3672" t="str">
            <v>Small Cap</v>
          </cell>
        </row>
        <row r="3673">
          <cell r="C3673" t="str">
            <v>INE498G01015</v>
          </cell>
          <cell r="D3673" t="str">
            <v>KATRSPG</v>
          </cell>
          <cell r="E3673">
            <v>36.839077381000003</v>
          </cell>
          <cell r="F3673" t="str">
            <v>-</v>
          </cell>
          <cell r="G3673" t="str">
            <v>-</v>
          </cell>
          <cell r="H3673" t="str">
            <v>-</v>
          </cell>
          <cell r="I3673" t="str">
            <v>-</v>
          </cell>
          <cell r="J3673">
            <v>36.839077381000003</v>
          </cell>
          <cell r="K3673" t="str">
            <v>Small Cap</v>
          </cell>
        </row>
        <row r="3674">
          <cell r="C3674" t="str">
            <v>INE505Y01010</v>
          </cell>
          <cell r="D3674" t="str">
            <v>VINEETLAB</v>
          </cell>
          <cell r="E3674">
            <v>36.702742576999995</v>
          </cell>
          <cell r="F3674" t="str">
            <v>VINEETLAB</v>
          </cell>
          <cell r="G3674">
            <v>36.689399999999999</v>
          </cell>
          <cell r="H3674" t="str">
            <v>-</v>
          </cell>
          <cell r="I3674" t="str">
            <v>-</v>
          </cell>
          <cell r="J3674">
            <v>36.696071288499994</v>
          </cell>
          <cell r="K3674" t="str">
            <v>Small Cap</v>
          </cell>
        </row>
        <row r="3675">
          <cell r="C3675" t="str">
            <v>INE776I01010</v>
          </cell>
          <cell r="D3675" t="str">
            <v>MEP</v>
          </cell>
          <cell r="E3675">
            <v>37.089588486000004</v>
          </cell>
          <cell r="F3675" t="str">
            <v>MEP</v>
          </cell>
          <cell r="G3675">
            <v>36.127200000000002</v>
          </cell>
          <cell r="H3675" t="str">
            <v>-</v>
          </cell>
          <cell r="I3675" t="str">
            <v>-</v>
          </cell>
          <cell r="J3675">
            <v>36.608394243000006</v>
          </cell>
          <cell r="K3675" t="str">
            <v>Small Cap</v>
          </cell>
        </row>
        <row r="3676">
          <cell r="C3676" t="str">
            <v>INE601C01013</v>
          </cell>
          <cell r="D3676" t="str">
            <v>ENVAIREL</v>
          </cell>
          <cell r="E3676">
            <v>36.542651429000003</v>
          </cell>
          <cell r="F3676" t="str">
            <v>-</v>
          </cell>
          <cell r="G3676" t="str">
            <v>-</v>
          </cell>
          <cell r="H3676" t="str">
            <v>-</v>
          </cell>
          <cell r="I3676" t="str">
            <v>-</v>
          </cell>
          <cell r="J3676">
            <v>36.542651429000003</v>
          </cell>
          <cell r="K3676" t="str">
            <v>Small Cap</v>
          </cell>
        </row>
        <row r="3677">
          <cell r="C3677" t="str">
            <v>INE210A01017</v>
          </cell>
          <cell r="D3677" t="str">
            <v>WILLAMAGOR</v>
          </cell>
          <cell r="E3677">
            <v>36.584764279000005</v>
          </cell>
          <cell r="F3677" t="str">
            <v>WILLAMAGOR</v>
          </cell>
          <cell r="G3677">
            <v>36.341900000000003</v>
          </cell>
          <cell r="H3677" t="str">
            <v>-</v>
          </cell>
          <cell r="I3677" t="str">
            <v>-</v>
          </cell>
          <cell r="J3677">
            <v>36.463332139500004</v>
          </cell>
          <cell r="K3677" t="str">
            <v>Small Cap</v>
          </cell>
        </row>
        <row r="3678">
          <cell r="C3678" t="str">
            <v>INE669A01022</v>
          </cell>
          <cell r="D3678" t="str">
            <v>INFOMEDIA</v>
          </cell>
          <cell r="E3678">
            <v>38.339583345999998</v>
          </cell>
          <cell r="F3678" t="str">
            <v>INFOMEDIA</v>
          </cell>
          <cell r="G3678">
            <v>34.461100000000002</v>
          </cell>
          <cell r="H3678" t="str">
            <v>-</v>
          </cell>
          <cell r="I3678" t="str">
            <v>-</v>
          </cell>
          <cell r="J3678">
            <v>36.400341673</v>
          </cell>
          <cell r="K3678" t="str">
            <v>Small Cap</v>
          </cell>
        </row>
        <row r="3679">
          <cell r="C3679" t="str">
            <v>INE680B01019</v>
          </cell>
          <cell r="D3679" t="str">
            <v>MARGOFIN</v>
          </cell>
          <cell r="E3679">
            <v>36.356888888999997</v>
          </cell>
          <cell r="F3679" t="str">
            <v>-</v>
          </cell>
          <cell r="G3679" t="str">
            <v>-</v>
          </cell>
          <cell r="H3679" t="str">
            <v>-</v>
          </cell>
          <cell r="I3679" t="str">
            <v>-</v>
          </cell>
          <cell r="J3679">
            <v>36.356888888999997</v>
          </cell>
          <cell r="K3679" t="str">
            <v>Small Cap</v>
          </cell>
        </row>
        <row r="3680">
          <cell r="C3680" t="str">
            <v>INE187A01017</v>
          </cell>
          <cell r="D3680" t="str">
            <v>JBFIND</v>
          </cell>
          <cell r="E3680">
            <v>36.187357257999999</v>
          </cell>
          <cell r="F3680" t="str">
            <v>-</v>
          </cell>
          <cell r="G3680" t="str">
            <v>-</v>
          </cell>
          <cell r="H3680" t="str">
            <v>-</v>
          </cell>
          <cell r="I3680" t="str">
            <v>-</v>
          </cell>
          <cell r="J3680">
            <v>36.187357257999999</v>
          </cell>
          <cell r="K3680" t="str">
            <v>Small Cap</v>
          </cell>
        </row>
        <row r="3681">
          <cell r="C3681" t="str">
            <v>INE030T01027</v>
          </cell>
          <cell r="D3681" t="str">
            <v>TEJNAKSH</v>
          </cell>
          <cell r="E3681">
            <v>36.147083886000004</v>
          </cell>
          <cell r="F3681" t="str">
            <v>-</v>
          </cell>
          <cell r="G3681" t="str">
            <v>-</v>
          </cell>
          <cell r="H3681" t="str">
            <v>-</v>
          </cell>
          <cell r="I3681" t="str">
            <v>-</v>
          </cell>
          <cell r="J3681">
            <v>36.147083886000004</v>
          </cell>
          <cell r="K3681" t="str">
            <v>Small Cap</v>
          </cell>
        </row>
        <row r="3682">
          <cell r="C3682" t="str">
            <v>INE250G01010</v>
          </cell>
          <cell r="D3682" t="str">
            <v>UNICK</v>
          </cell>
          <cell r="E3682">
            <v>35.995138373000003</v>
          </cell>
          <cell r="F3682" t="str">
            <v>-</v>
          </cell>
          <cell r="G3682" t="str">
            <v>-</v>
          </cell>
          <cell r="H3682" t="str">
            <v>-</v>
          </cell>
          <cell r="I3682" t="str">
            <v>-</v>
          </cell>
          <cell r="J3682">
            <v>35.995138373000003</v>
          </cell>
          <cell r="K3682" t="str">
            <v>Small Cap</v>
          </cell>
        </row>
        <row r="3683">
          <cell r="C3683" t="str">
            <v>INE336Q01016</v>
          </cell>
          <cell r="D3683" t="str">
            <v>BHANDERI</v>
          </cell>
          <cell r="E3683">
            <v>35.784754389</v>
          </cell>
          <cell r="F3683" t="str">
            <v>-</v>
          </cell>
          <cell r="G3683" t="str">
            <v>-</v>
          </cell>
          <cell r="H3683" t="str">
            <v>-</v>
          </cell>
          <cell r="I3683" t="str">
            <v>-</v>
          </cell>
          <cell r="J3683">
            <v>35.784754389</v>
          </cell>
          <cell r="K3683" t="str">
            <v>Small Cap</v>
          </cell>
        </row>
        <row r="3684">
          <cell r="C3684" t="str">
            <v>INE882D01017</v>
          </cell>
          <cell r="D3684" t="str">
            <v>SPICEISLIN</v>
          </cell>
          <cell r="E3684">
            <v>35.752930158999995</v>
          </cell>
          <cell r="F3684" t="str">
            <v>-</v>
          </cell>
          <cell r="G3684" t="str">
            <v>-</v>
          </cell>
          <cell r="H3684" t="str">
            <v>-</v>
          </cell>
          <cell r="I3684" t="str">
            <v>-</v>
          </cell>
          <cell r="J3684">
            <v>35.752930158999995</v>
          </cell>
          <cell r="K3684" t="str">
            <v>Small Cap</v>
          </cell>
        </row>
        <row r="3685">
          <cell r="C3685" t="str">
            <v>INE989D01010</v>
          </cell>
          <cell r="D3685" t="str">
            <v>RISHITECH</v>
          </cell>
          <cell r="E3685">
            <v>35.735602317000001</v>
          </cell>
          <cell r="F3685" t="str">
            <v>-</v>
          </cell>
          <cell r="G3685" t="str">
            <v>-</v>
          </cell>
          <cell r="H3685" t="str">
            <v>-</v>
          </cell>
          <cell r="I3685" t="str">
            <v>-</v>
          </cell>
          <cell r="J3685">
            <v>35.735602317000001</v>
          </cell>
          <cell r="K3685" t="str">
            <v>Small Cap</v>
          </cell>
        </row>
        <row r="3686">
          <cell r="C3686" t="str">
            <v>INE358F01013</v>
          </cell>
          <cell r="D3686" t="str">
            <v>SERIND</v>
          </cell>
          <cell r="E3686">
            <v>35.722392606</v>
          </cell>
          <cell r="F3686" t="str">
            <v>-</v>
          </cell>
          <cell r="G3686" t="str">
            <v>-</v>
          </cell>
          <cell r="H3686" t="str">
            <v>-</v>
          </cell>
          <cell r="I3686" t="str">
            <v>-</v>
          </cell>
          <cell r="J3686">
            <v>35.722392606</v>
          </cell>
          <cell r="K3686" t="str">
            <v>Small Cap</v>
          </cell>
        </row>
        <row r="3687">
          <cell r="C3687" t="str">
            <v>INE635D01027</v>
          </cell>
          <cell r="D3687" t="str">
            <v>INANI</v>
          </cell>
          <cell r="E3687">
            <v>35.680114285999998</v>
          </cell>
          <cell r="F3687" t="str">
            <v>-</v>
          </cell>
          <cell r="G3687" t="str">
            <v>-</v>
          </cell>
          <cell r="H3687" t="str">
            <v>-</v>
          </cell>
          <cell r="I3687" t="str">
            <v>-</v>
          </cell>
          <cell r="J3687">
            <v>35.680114285999998</v>
          </cell>
          <cell r="K3687" t="str">
            <v>Small Cap</v>
          </cell>
        </row>
        <row r="3688">
          <cell r="C3688" t="str">
            <v>INE410M01018</v>
          </cell>
          <cell r="D3688" t="str">
            <v>SOUTLAT</v>
          </cell>
          <cell r="E3688">
            <v>35.642357789999998</v>
          </cell>
          <cell r="F3688" t="str">
            <v>-</v>
          </cell>
          <cell r="G3688" t="str">
            <v>-</v>
          </cell>
          <cell r="H3688" t="str">
            <v>-</v>
          </cell>
          <cell r="I3688" t="str">
            <v>-</v>
          </cell>
          <cell r="J3688">
            <v>35.642357789999998</v>
          </cell>
          <cell r="K3688" t="str">
            <v>Small Cap</v>
          </cell>
        </row>
        <row r="3689">
          <cell r="C3689" t="str">
            <v>INE124M01015</v>
          </cell>
          <cell r="D3689" t="str">
            <v>SUNILTX</v>
          </cell>
          <cell r="E3689">
            <v>35.641266667000004</v>
          </cell>
          <cell r="F3689" t="str">
            <v>-</v>
          </cell>
          <cell r="G3689" t="str">
            <v>-</v>
          </cell>
          <cell r="H3689" t="str">
            <v>-</v>
          </cell>
          <cell r="I3689" t="str">
            <v>-</v>
          </cell>
          <cell r="J3689">
            <v>35.641266667000004</v>
          </cell>
          <cell r="K3689" t="str">
            <v>Small Cap</v>
          </cell>
        </row>
        <row r="3690">
          <cell r="C3690" t="str">
            <v>INE07QQ01016</v>
          </cell>
          <cell r="D3690" t="str">
            <v>CBPL</v>
          </cell>
          <cell r="E3690">
            <v>35.614281118000001</v>
          </cell>
          <cell r="F3690" t="str">
            <v>-</v>
          </cell>
          <cell r="G3690" t="str">
            <v>-</v>
          </cell>
          <cell r="H3690" t="str">
            <v>-</v>
          </cell>
          <cell r="I3690" t="str">
            <v>-</v>
          </cell>
          <cell r="J3690">
            <v>35.614281118000001</v>
          </cell>
          <cell r="K3690" t="str">
            <v>Small Cap</v>
          </cell>
        </row>
        <row r="3691">
          <cell r="C3691" t="str">
            <v>INE896E01023</v>
          </cell>
          <cell r="D3691" t="str">
            <v>SINNAR</v>
          </cell>
          <cell r="E3691">
            <v>35.613555556000001</v>
          </cell>
          <cell r="F3691" t="str">
            <v>-</v>
          </cell>
          <cell r="G3691" t="str">
            <v>-</v>
          </cell>
          <cell r="H3691" t="str">
            <v>-</v>
          </cell>
          <cell r="I3691" t="str">
            <v>-</v>
          </cell>
          <cell r="J3691">
            <v>35.613555556000001</v>
          </cell>
          <cell r="K3691" t="str">
            <v>Small Cap</v>
          </cell>
        </row>
        <row r="3692">
          <cell r="C3692" t="str">
            <v>INE060B01014</v>
          </cell>
          <cell r="D3692" t="str">
            <v>KHANDSE</v>
          </cell>
          <cell r="E3692">
            <v>35.605649542999998</v>
          </cell>
          <cell r="F3692" t="str">
            <v>KHANDSE</v>
          </cell>
          <cell r="G3692">
            <v>35.604700000000001</v>
          </cell>
          <cell r="H3692" t="str">
            <v>-</v>
          </cell>
          <cell r="I3692" t="str">
            <v>-</v>
          </cell>
          <cell r="J3692">
            <v>35.605174771500003</v>
          </cell>
          <cell r="K3692" t="str">
            <v>Small Cap</v>
          </cell>
        </row>
        <row r="3693">
          <cell r="C3693" t="str">
            <v>INE306D01017</v>
          </cell>
          <cell r="D3693" t="str">
            <v>SRMCL</v>
          </cell>
          <cell r="E3693">
            <v>35.587638878</v>
          </cell>
          <cell r="F3693" t="str">
            <v>-</v>
          </cell>
          <cell r="G3693" t="str">
            <v>-</v>
          </cell>
          <cell r="H3693" t="str">
            <v>-</v>
          </cell>
          <cell r="I3693" t="str">
            <v>-</v>
          </cell>
          <cell r="J3693">
            <v>35.587638878</v>
          </cell>
          <cell r="K3693" t="str">
            <v>Small Cap</v>
          </cell>
        </row>
        <row r="3694">
          <cell r="C3694" t="str">
            <v>INE042C01010</v>
          </cell>
          <cell r="D3694" t="str">
            <v>ALFAICA</v>
          </cell>
          <cell r="E3694">
            <v>35.573771110999999</v>
          </cell>
          <cell r="F3694" t="str">
            <v>-</v>
          </cell>
          <cell r="G3694" t="str">
            <v>-</v>
          </cell>
          <cell r="H3694" t="str">
            <v>-</v>
          </cell>
          <cell r="I3694" t="str">
            <v>-</v>
          </cell>
          <cell r="J3694">
            <v>35.573771110999999</v>
          </cell>
          <cell r="K3694" t="str">
            <v>Small Cap</v>
          </cell>
        </row>
        <row r="3695">
          <cell r="C3695" t="str">
            <v>INE265C01025</v>
          </cell>
          <cell r="D3695" t="str">
            <v>BJDUP</v>
          </cell>
          <cell r="E3695">
            <v>35.570156273999999</v>
          </cell>
          <cell r="F3695" t="str">
            <v>-</v>
          </cell>
          <cell r="G3695" t="str">
            <v>-</v>
          </cell>
          <cell r="H3695" t="str">
            <v>-</v>
          </cell>
          <cell r="I3695" t="str">
            <v>-</v>
          </cell>
          <cell r="J3695">
            <v>35.570156273999999</v>
          </cell>
          <cell r="K3695" t="str">
            <v>Small Cap</v>
          </cell>
        </row>
        <row r="3696">
          <cell r="C3696" t="str">
            <v>INE355H01015</v>
          </cell>
          <cell r="D3696" t="str">
            <v>TAVERNIER</v>
          </cell>
          <cell r="E3696">
            <v>35.55132381</v>
          </cell>
          <cell r="F3696" t="str">
            <v>-</v>
          </cell>
          <cell r="G3696" t="str">
            <v>-</v>
          </cell>
          <cell r="H3696" t="str">
            <v>-</v>
          </cell>
          <cell r="I3696" t="str">
            <v>-</v>
          </cell>
          <cell r="J3696">
            <v>35.55132381</v>
          </cell>
          <cell r="K3696" t="str">
            <v>Small Cap</v>
          </cell>
        </row>
        <row r="3697">
          <cell r="C3697" t="str">
            <v>INE245I01016</v>
          </cell>
          <cell r="D3697" t="str">
            <v>NAGREEKCAP</v>
          </cell>
          <cell r="E3697">
            <v>35.655443386000002</v>
          </cell>
          <cell r="F3697" t="str">
            <v>NAGREEKCAP</v>
          </cell>
          <cell r="G3697">
            <v>35.392200000000003</v>
          </cell>
          <cell r="H3697" t="str">
            <v>-</v>
          </cell>
          <cell r="I3697" t="str">
            <v>-</v>
          </cell>
          <cell r="J3697">
            <v>35.523821693000002</v>
          </cell>
          <cell r="K3697" t="str">
            <v>Small Cap</v>
          </cell>
        </row>
        <row r="3698">
          <cell r="C3698" t="str">
            <v>INE027F01014</v>
          </cell>
          <cell r="D3698" t="str">
            <v>CMXLTD</v>
          </cell>
          <cell r="E3698">
            <v>35.476504023000004</v>
          </cell>
          <cell r="F3698" t="str">
            <v>-</v>
          </cell>
          <cell r="G3698" t="str">
            <v>-</v>
          </cell>
          <cell r="H3698" t="str">
            <v>-</v>
          </cell>
          <cell r="I3698" t="str">
            <v>-</v>
          </cell>
          <cell r="J3698">
            <v>35.476504023000004</v>
          </cell>
          <cell r="K3698" t="str">
            <v>Small Cap</v>
          </cell>
        </row>
        <row r="3699">
          <cell r="C3699" t="str">
            <v>INE414L01012</v>
          </cell>
          <cell r="D3699" t="str">
            <v>NUWAY</v>
          </cell>
          <cell r="E3699">
            <v>35.464500000000001</v>
          </cell>
          <cell r="F3699" t="str">
            <v>-</v>
          </cell>
          <cell r="G3699" t="str">
            <v>-</v>
          </cell>
          <cell r="H3699" t="str">
            <v>-</v>
          </cell>
          <cell r="I3699" t="str">
            <v>-</v>
          </cell>
          <cell r="J3699">
            <v>35.464500000000001</v>
          </cell>
          <cell r="K3699" t="str">
            <v>Small Cap</v>
          </cell>
        </row>
        <row r="3700">
          <cell r="C3700" t="str">
            <v>INE858Q01019</v>
          </cell>
          <cell r="D3700" t="str">
            <v>MIL</v>
          </cell>
          <cell r="E3700">
            <v>35.337857143000001</v>
          </cell>
          <cell r="F3700" t="str">
            <v>-</v>
          </cell>
          <cell r="G3700" t="str">
            <v>-</v>
          </cell>
          <cell r="H3700" t="str">
            <v>-</v>
          </cell>
          <cell r="I3700" t="str">
            <v>-</v>
          </cell>
          <cell r="J3700">
            <v>35.337857143000001</v>
          </cell>
          <cell r="K3700" t="str">
            <v>Small Cap</v>
          </cell>
        </row>
        <row r="3701">
          <cell r="C3701" t="str">
            <v>INE914G01029</v>
          </cell>
          <cell r="D3701" t="str">
            <v>POLYSPIN</v>
          </cell>
          <cell r="E3701">
            <v>35.272063492000001</v>
          </cell>
          <cell r="F3701" t="str">
            <v>-</v>
          </cell>
          <cell r="G3701" t="str">
            <v>-</v>
          </cell>
          <cell r="H3701" t="str">
            <v>-</v>
          </cell>
          <cell r="I3701" t="str">
            <v>-</v>
          </cell>
          <cell r="J3701">
            <v>35.272063492000001</v>
          </cell>
          <cell r="K3701" t="str">
            <v>Small Cap</v>
          </cell>
        </row>
        <row r="3702">
          <cell r="C3702" t="str">
            <v>INE659F01014</v>
          </cell>
          <cell r="D3702" t="str">
            <v>GUJINJEC</v>
          </cell>
          <cell r="E3702">
            <v>35.265956095</v>
          </cell>
          <cell r="F3702" t="str">
            <v>-</v>
          </cell>
          <cell r="G3702" t="str">
            <v>-</v>
          </cell>
          <cell r="H3702" t="str">
            <v>-</v>
          </cell>
          <cell r="I3702" t="str">
            <v>-</v>
          </cell>
          <cell r="J3702">
            <v>35.265956095</v>
          </cell>
          <cell r="K3702" t="str">
            <v>Small Cap</v>
          </cell>
        </row>
        <row r="3703">
          <cell r="C3703" t="str">
            <v>INE429D01017</v>
          </cell>
          <cell r="D3703" t="str">
            <v>INDCEMCAP</v>
          </cell>
          <cell r="E3703">
            <v>35.255520129000004</v>
          </cell>
          <cell r="F3703" t="str">
            <v>-</v>
          </cell>
          <cell r="G3703" t="str">
            <v>-</v>
          </cell>
          <cell r="H3703" t="str">
            <v>-</v>
          </cell>
          <cell r="I3703" t="str">
            <v>-</v>
          </cell>
          <cell r="J3703">
            <v>35.255520129000004</v>
          </cell>
          <cell r="K3703" t="str">
            <v>Small Cap</v>
          </cell>
        </row>
        <row r="3704">
          <cell r="C3704" t="str">
            <v>INE256D01014</v>
          </cell>
          <cell r="D3704" t="str">
            <v>GENUSPRIME</v>
          </cell>
          <cell r="E3704">
            <v>35.244760289999995</v>
          </cell>
          <cell r="F3704" t="str">
            <v>-</v>
          </cell>
          <cell r="G3704" t="str">
            <v>-</v>
          </cell>
          <cell r="H3704" t="str">
            <v>-</v>
          </cell>
          <cell r="I3704" t="str">
            <v>-</v>
          </cell>
          <cell r="J3704">
            <v>35.244760289999995</v>
          </cell>
          <cell r="K3704" t="str">
            <v>Small Cap</v>
          </cell>
        </row>
        <row r="3705">
          <cell r="C3705" t="str">
            <v>INE074H01012</v>
          </cell>
          <cell r="D3705" t="str">
            <v>SARTHAKIND</v>
          </cell>
          <cell r="E3705">
            <v>35.221157855999998</v>
          </cell>
          <cell r="F3705" t="str">
            <v>-</v>
          </cell>
          <cell r="G3705" t="str">
            <v>-</v>
          </cell>
          <cell r="H3705" t="str">
            <v>-</v>
          </cell>
          <cell r="I3705" t="str">
            <v>-</v>
          </cell>
          <cell r="J3705">
            <v>35.221157855999998</v>
          </cell>
          <cell r="K3705" t="str">
            <v>Small Cap</v>
          </cell>
        </row>
        <row r="3706">
          <cell r="C3706" t="str">
            <v>INE234I01028</v>
          </cell>
          <cell r="D3706" t="str">
            <v>KAUSHALYA</v>
          </cell>
          <cell r="E3706">
            <v>35.303120755000002</v>
          </cell>
          <cell r="F3706" t="str">
            <v>KAUSHALYA</v>
          </cell>
          <cell r="G3706">
            <v>35.114800000000002</v>
          </cell>
          <cell r="H3706" t="str">
            <v>-</v>
          </cell>
          <cell r="I3706" t="str">
            <v>-</v>
          </cell>
          <cell r="J3706">
            <v>35.208960377500006</v>
          </cell>
          <cell r="K3706" t="str">
            <v>Small Cap</v>
          </cell>
        </row>
        <row r="3707">
          <cell r="C3707" t="str">
            <v>INE615A01025</v>
          </cell>
          <cell r="D3707" t="str">
            <v>RAVALSUGAR</v>
          </cell>
          <cell r="E3707">
            <v>35.202507142999998</v>
          </cell>
          <cell r="F3707" t="str">
            <v>-</v>
          </cell>
          <cell r="G3707" t="str">
            <v>-</v>
          </cell>
          <cell r="H3707" t="str">
            <v>-</v>
          </cell>
          <cell r="I3707" t="str">
            <v>-</v>
          </cell>
          <cell r="J3707">
            <v>35.202507142999998</v>
          </cell>
          <cell r="K3707" t="str">
            <v>Small Cap</v>
          </cell>
        </row>
        <row r="3708">
          <cell r="C3708" t="str">
            <v>INE945B01016</v>
          </cell>
          <cell r="D3708" t="str">
            <v>TYROON</v>
          </cell>
          <cell r="E3708">
            <v>35.189459344999996</v>
          </cell>
          <cell r="F3708" t="str">
            <v>-</v>
          </cell>
          <cell r="G3708" t="str">
            <v>-</v>
          </cell>
          <cell r="H3708" t="str">
            <v>-</v>
          </cell>
          <cell r="I3708" t="str">
            <v>-</v>
          </cell>
          <cell r="J3708">
            <v>35.189459344999996</v>
          </cell>
          <cell r="K3708" t="str">
            <v>Small Cap</v>
          </cell>
        </row>
        <row r="3709">
          <cell r="C3709" t="str">
            <v>INE681F01018</v>
          </cell>
          <cell r="D3709" t="str">
            <v>HARLETH</v>
          </cell>
          <cell r="E3709">
            <v>35.171252224</v>
          </cell>
          <cell r="F3709" t="str">
            <v>-</v>
          </cell>
          <cell r="G3709" t="str">
            <v>-</v>
          </cell>
          <cell r="H3709" t="str">
            <v>-</v>
          </cell>
          <cell r="I3709" t="str">
            <v>-</v>
          </cell>
          <cell r="J3709">
            <v>35.171252224</v>
          </cell>
          <cell r="K3709" t="str">
            <v>Small Cap</v>
          </cell>
        </row>
        <row r="3710">
          <cell r="C3710" t="str">
            <v>INE15MX01014</v>
          </cell>
          <cell r="D3710" t="str">
            <v>ABRIL</v>
          </cell>
          <cell r="E3710">
            <v>35.128277386000001</v>
          </cell>
          <cell r="F3710" t="str">
            <v>-</v>
          </cell>
          <cell r="G3710" t="str">
            <v>-</v>
          </cell>
          <cell r="H3710" t="str">
            <v>-</v>
          </cell>
          <cell r="I3710" t="str">
            <v>-</v>
          </cell>
          <cell r="J3710">
            <v>35.128277386000001</v>
          </cell>
          <cell r="K3710" t="str">
            <v>Small Cap</v>
          </cell>
        </row>
        <row r="3711">
          <cell r="C3711" t="str">
            <v>INE0QFT01015</v>
          </cell>
          <cell r="D3711" t="str">
            <v>AIKPIPES</v>
          </cell>
          <cell r="E3711">
            <v>35.1168415</v>
          </cell>
          <cell r="F3711" t="str">
            <v>-</v>
          </cell>
          <cell r="G3711" t="str">
            <v>-</v>
          </cell>
          <cell r="H3711" t="str">
            <v>-</v>
          </cell>
          <cell r="I3711" t="str">
            <v>-</v>
          </cell>
          <cell r="J3711">
            <v>35.1168415</v>
          </cell>
          <cell r="K3711" t="str">
            <v>Small Cap</v>
          </cell>
        </row>
        <row r="3712">
          <cell r="C3712" t="str">
            <v>INE552N01023</v>
          </cell>
          <cell r="D3712" t="str">
            <v>RKDAGRRTL</v>
          </cell>
          <cell r="E3712">
            <v>35.109430556</v>
          </cell>
          <cell r="F3712" t="str">
            <v>-</v>
          </cell>
          <cell r="G3712" t="str">
            <v>-</v>
          </cell>
          <cell r="H3712" t="str">
            <v>-</v>
          </cell>
          <cell r="I3712" t="str">
            <v>-</v>
          </cell>
          <cell r="J3712">
            <v>35.109430556</v>
          </cell>
          <cell r="K3712" t="str">
            <v>Small Cap</v>
          </cell>
        </row>
        <row r="3713">
          <cell r="C3713" t="str">
            <v>INE891A01022</v>
          </cell>
          <cell r="D3713" t="str">
            <v>DSKULKARNI</v>
          </cell>
          <cell r="E3713">
            <v>35.089370880000004</v>
          </cell>
          <cell r="F3713" t="str">
            <v>-</v>
          </cell>
          <cell r="G3713" t="str">
            <v>-</v>
          </cell>
          <cell r="H3713" t="str">
            <v>-</v>
          </cell>
          <cell r="I3713" t="str">
            <v>-</v>
          </cell>
          <cell r="J3713">
            <v>35.089370880000004</v>
          </cell>
          <cell r="K3713" t="str">
            <v>Small Cap</v>
          </cell>
        </row>
        <row r="3714">
          <cell r="C3714" t="str">
            <v>INE895A01023</v>
          </cell>
          <cell r="D3714" t="str">
            <v>SVARTCORP</v>
          </cell>
          <cell r="E3714">
            <v>35.07</v>
          </cell>
          <cell r="F3714" t="str">
            <v>-</v>
          </cell>
          <cell r="G3714" t="str">
            <v>-</v>
          </cell>
          <cell r="H3714" t="str">
            <v>-</v>
          </cell>
          <cell r="I3714" t="str">
            <v>-</v>
          </cell>
          <cell r="J3714">
            <v>35.07</v>
          </cell>
          <cell r="K3714" t="str">
            <v>Small Cap</v>
          </cell>
        </row>
        <row r="3715">
          <cell r="C3715" t="str">
            <v>INE554H01021</v>
          </cell>
          <cell r="D3715" t="str">
            <v>VAGHANI</v>
          </cell>
          <cell r="E3715">
            <v>35.032290000000003</v>
          </cell>
          <cell r="F3715" t="str">
            <v>-</v>
          </cell>
          <cell r="G3715" t="str">
            <v>-</v>
          </cell>
          <cell r="H3715" t="str">
            <v>-</v>
          </cell>
          <cell r="I3715" t="str">
            <v>-</v>
          </cell>
          <cell r="J3715">
            <v>35.032290000000003</v>
          </cell>
          <cell r="K3715" t="str">
            <v>Small Cap</v>
          </cell>
        </row>
        <row r="3716">
          <cell r="C3716" t="str">
            <v>INE071A01013</v>
          </cell>
          <cell r="D3716" t="str">
            <v>BILVYAPAR</v>
          </cell>
          <cell r="E3716">
            <v>35.116175477999995</v>
          </cell>
          <cell r="F3716" t="str">
            <v>BILVYAPAR</v>
          </cell>
          <cell r="G3716">
            <v>34.861800000000002</v>
          </cell>
          <cell r="H3716" t="str">
            <v>-</v>
          </cell>
          <cell r="I3716" t="str">
            <v>-</v>
          </cell>
          <cell r="J3716">
            <v>34.988987738999995</v>
          </cell>
          <cell r="K3716" t="str">
            <v>Small Cap</v>
          </cell>
        </row>
        <row r="3717">
          <cell r="C3717" t="str">
            <v>INE655I01024</v>
          </cell>
          <cell r="D3717" t="str">
            <v>BIRLACOT</v>
          </cell>
          <cell r="E3717">
            <v>34.92541585</v>
          </cell>
          <cell r="F3717" t="str">
            <v>-</v>
          </cell>
          <cell r="G3717" t="str">
            <v>-</v>
          </cell>
          <cell r="H3717" t="str">
            <v>-</v>
          </cell>
          <cell r="I3717" t="str">
            <v>-</v>
          </cell>
          <cell r="J3717">
            <v>34.92541585</v>
          </cell>
          <cell r="K3717" t="str">
            <v>Small Cap</v>
          </cell>
        </row>
        <row r="3718">
          <cell r="C3718" t="str">
            <v>INE122D01026</v>
          </cell>
          <cell r="D3718" t="str">
            <v>ADITYASP</v>
          </cell>
          <cell r="E3718">
            <v>34.916974986</v>
          </cell>
          <cell r="F3718" t="str">
            <v>-</v>
          </cell>
          <cell r="G3718" t="str">
            <v>-</v>
          </cell>
          <cell r="H3718" t="str">
            <v>-</v>
          </cell>
          <cell r="I3718" t="str">
            <v>-</v>
          </cell>
          <cell r="J3718">
            <v>34.916974986</v>
          </cell>
          <cell r="K3718" t="str">
            <v>Small Cap</v>
          </cell>
        </row>
        <row r="3719">
          <cell r="C3719" t="str">
            <v>INE429F01012</v>
          </cell>
          <cell r="D3719" t="str">
            <v>SKIL</v>
          </cell>
          <cell r="E3719">
            <v>35.015786812000002</v>
          </cell>
          <cell r="F3719" t="str">
            <v>SKIL</v>
          </cell>
          <cell r="G3719">
            <v>34.780299999999997</v>
          </cell>
          <cell r="H3719" t="str">
            <v>-</v>
          </cell>
          <cell r="I3719" t="str">
            <v>-</v>
          </cell>
          <cell r="J3719">
            <v>34.898043405999999</v>
          </cell>
          <cell r="K3719" t="str">
            <v>Small Cap</v>
          </cell>
        </row>
        <row r="3720">
          <cell r="C3720" t="str">
            <v>INE0QIS01011</v>
          </cell>
          <cell r="D3720" t="str">
            <v>SHREE</v>
          </cell>
          <cell r="E3720">
            <v>34.891820793999997</v>
          </cell>
          <cell r="F3720" t="str">
            <v>-</v>
          </cell>
          <cell r="G3720" t="str">
            <v>-</v>
          </cell>
          <cell r="H3720" t="str">
            <v>-</v>
          </cell>
          <cell r="I3720" t="str">
            <v>-</v>
          </cell>
          <cell r="J3720">
            <v>34.891820793999997</v>
          </cell>
          <cell r="K3720" t="str">
            <v>Small Cap</v>
          </cell>
        </row>
        <row r="3721">
          <cell r="C3721" t="str">
            <v>INE308N01012</v>
          </cell>
          <cell r="D3721" t="str">
            <v>SOUTHMG</v>
          </cell>
          <cell r="E3721">
            <v>34.873880952</v>
          </cell>
          <cell r="F3721" t="str">
            <v>-</v>
          </cell>
          <cell r="G3721" t="str">
            <v>-</v>
          </cell>
          <cell r="H3721" t="str">
            <v>-</v>
          </cell>
          <cell r="I3721" t="str">
            <v>-</v>
          </cell>
          <cell r="J3721">
            <v>34.873880952</v>
          </cell>
          <cell r="K3721" t="str">
            <v>Small Cap</v>
          </cell>
        </row>
        <row r="3722">
          <cell r="C3722" t="str">
            <v>INE981D01025</v>
          </cell>
          <cell r="D3722" t="str">
            <v>USHDI</v>
          </cell>
          <cell r="E3722">
            <v>34.864882000000001</v>
          </cell>
          <cell r="F3722" t="str">
            <v>-</v>
          </cell>
          <cell r="G3722" t="str">
            <v>-</v>
          </cell>
          <cell r="H3722" t="str">
            <v>-</v>
          </cell>
          <cell r="I3722" t="str">
            <v>-</v>
          </cell>
          <cell r="J3722">
            <v>34.864882000000001</v>
          </cell>
          <cell r="K3722" t="str">
            <v>Small Cap</v>
          </cell>
        </row>
        <row r="3723">
          <cell r="C3723" t="str">
            <v>INE493H01014</v>
          </cell>
          <cell r="D3723" t="str">
            <v>MPDL</v>
          </cell>
          <cell r="E3723">
            <v>34.720791882</v>
          </cell>
          <cell r="F3723" t="str">
            <v>-</v>
          </cell>
          <cell r="G3723" t="str">
            <v>-</v>
          </cell>
          <cell r="H3723" t="str">
            <v>-</v>
          </cell>
          <cell r="I3723" t="str">
            <v>-</v>
          </cell>
          <cell r="J3723">
            <v>34.720791882</v>
          </cell>
          <cell r="K3723" t="str">
            <v>Small Cap</v>
          </cell>
        </row>
        <row r="3724">
          <cell r="C3724" t="str">
            <v>INE932F01015</v>
          </cell>
          <cell r="D3724" t="str">
            <v>EPIC</v>
          </cell>
          <cell r="E3724">
            <v>34.665451562999998</v>
          </cell>
          <cell r="F3724" t="str">
            <v>-</v>
          </cell>
          <cell r="G3724" t="str">
            <v>-</v>
          </cell>
          <cell r="H3724" t="str">
            <v>-</v>
          </cell>
          <cell r="I3724" t="str">
            <v>-</v>
          </cell>
          <cell r="J3724">
            <v>34.665451562999998</v>
          </cell>
          <cell r="K3724" t="str">
            <v>Small Cap</v>
          </cell>
        </row>
        <row r="3725">
          <cell r="C3725" t="str">
            <v>INE438F01013</v>
          </cell>
          <cell r="D3725" t="str">
            <v>GCCLINP</v>
          </cell>
          <cell r="E3725">
            <v>34.651735000000002</v>
          </cell>
          <cell r="F3725" t="str">
            <v>-</v>
          </cell>
          <cell r="G3725" t="str">
            <v>-</v>
          </cell>
          <cell r="H3725" t="str">
            <v>-</v>
          </cell>
          <cell r="I3725" t="str">
            <v>-</v>
          </cell>
          <cell r="J3725">
            <v>34.651735000000002</v>
          </cell>
          <cell r="K3725" t="str">
            <v>Small Cap</v>
          </cell>
        </row>
        <row r="3726">
          <cell r="C3726" t="str">
            <v>INE931E01010</v>
          </cell>
          <cell r="D3726" t="str">
            <v>-</v>
          </cell>
          <cell r="E3726" t="str">
            <v>-</v>
          </cell>
          <cell r="F3726" t="str">
            <v>-</v>
          </cell>
          <cell r="G3726" t="str">
            <v>-</v>
          </cell>
          <cell r="H3726" t="str">
            <v>PURBANCHAL</v>
          </cell>
          <cell r="I3726">
            <v>34.572752500000099</v>
          </cell>
          <cell r="J3726">
            <v>34.572752500000099</v>
          </cell>
          <cell r="K3726" t="str">
            <v>Small Cap</v>
          </cell>
        </row>
        <row r="3727">
          <cell r="C3727" t="str">
            <v>INE890N01027</v>
          </cell>
          <cell r="D3727" t="str">
            <v>JULIEN</v>
          </cell>
          <cell r="E3727">
            <v>34.546596937000004</v>
          </cell>
          <cell r="F3727" t="str">
            <v>-</v>
          </cell>
          <cell r="G3727" t="str">
            <v>-</v>
          </cell>
          <cell r="H3727" t="str">
            <v>-</v>
          </cell>
          <cell r="I3727" t="str">
            <v>-</v>
          </cell>
          <cell r="J3727">
            <v>34.546596937000004</v>
          </cell>
          <cell r="K3727" t="str">
            <v>Small Cap</v>
          </cell>
        </row>
        <row r="3728">
          <cell r="C3728" t="str">
            <v>INE476K01013</v>
          </cell>
          <cell r="D3728" t="str">
            <v>-</v>
          </cell>
          <cell r="E3728" t="str">
            <v>-</v>
          </cell>
          <cell r="F3728" t="str">
            <v>-</v>
          </cell>
          <cell r="G3728" t="str">
            <v>-</v>
          </cell>
          <cell r="H3728" t="str">
            <v>MARBLE</v>
          </cell>
          <cell r="I3728">
            <v>34.525665000000032</v>
          </cell>
          <cell r="J3728">
            <v>34.525665000000032</v>
          </cell>
          <cell r="K3728" t="str">
            <v>Small Cap</v>
          </cell>
        </row>
        <row r="3729">
          <cell r="C3729" t="str">
            <v>INE151B01011</v>
          </cell>
          <cell r="D3729" t="str">
            <v>B2BSOFT</v>
          </cell>
          <cell r="E3729">
            <v>34.510895656999999</v>
          </cell>
          <cell r="F3729" t="str">
            <v>-</v>
          </cell>
          <cell r="G3729" t="str">
            <v>-</v>
          </cell>
          <cell r="H3729" t="str">
            <v>-</v>
          </cell>
          <cell r="I3729" t="str">
            <v>-</v>
          </cell>
          <cell r="J3729">
            <v>34.510895656999999</v>
          </cell>
          <cell r="K3729" t="str">
            <v>Small Cap</v>
          </cell>
        </row>
        <row r="3730">
          <cell r="C3730" t="str">
            <v>INE165F01020</v>
          </cell>
          <cell r="D3730" t="str">
            <v>GEMSPIN</v>
          </cell>
          <cell r="E3730">
            <v>34.446247086</v>
          </cell>
          <cell r="F3730" t="str">
            <v>-</v>
          </cell>
          <cell r="G3730" t="str">
            <v>-</v>
          </cell>
          <cell r="H3730" t="str">
            <v>-</v>
          </cell>
          <cell r="I3730" t="str">
            <v>-</v>
          </cell>
          <cell r="J3730">
            <v>34.446247086</v>
          </cell>
          <cell r="K3730" t="str">
            <v>Small Cap</v>
          </cell>
        </row>
        <row r="3731">
          <cell r="C3731" t="str">
            <v>INE906Y01028</v>
          </cell>
          <cell r="D3731" t="str">
            <v>GALACTICO</v>
          </cell>
          <cell r="E3731">
            <v>34.434626156</v>
          </cell>
          <cell r="F3731" t="str">
            <v>-</v>
          </cell>
          <cell r="G3731" t="str">
            <v>-</v>
          </cell>
          <cell r="H3731" t="str">
            <v>-</v>
          </cell>
          <cell r="I3731" t="str">
            <v>-</v>
          </cell>
          <cell r="J3731">
            <v>34.434626156</v>
          </cell>
          <cell r="K3731" t="str">
            <v>Small Cap</v>
          </cell>
        </row>
        <row r="3732">
          <cell r="C3732" t="str">
            <v>INE986W01016</v>
          </cell>
          <cell r="D3732" t="str">
            <v>BGJL</v>
          </cell>
          <cell r="E3732">
            <v>34.379025173999999</v>
          </cell>
          <cell r="F3732" t="str">
            <v>-</v>
          </cell>
          <cell r="G3732" t="str">
            <v>-</v>
          </cell>
          <cell r="H3732" t="str">
            <v>-</v>
          </cell>
          <cell r="I3732" t="str">
            <v>-</v>
          </cell>
          <cell r="J3732">
            <v>34.379025173999999</v>
          </cell>
          <cell r="K3732" t="str">
            <v>Small Cap</v>
          </cell>
        </row>
        <row r="3733">
          <cell r="C3733" t="str">
            <v>INE156E01014</v>
          </cell>
          <cell r="D3733" t="str">
            <v>JAIHINDS</v>
          </cell>
          <cell r="E3733">
            <v>34.264682539999995</v>
          </cell>
          <cell r="F3733" t="str">
            <v>-</v>
          </cell>
          <cell r="G3733" t="str">
            <v>-</v>
          </cell>
          <cell r="H3733" t="str">
            <v>-</v>
          </cell>
          <cell r="I3733" t="str">
            <v>-</v>
          </cell>
          <cell r="J3733">
            <v>34.264682539999995</v>
          </cell>
          <cell r="K3733" t="str">
            <v>Small Cap</v>
          </cell>
        </row>
        <row r="3734">
          <cell r="C3734" t="str">
            <v>INE533B01028</v>
          </cell>
          <cell r="D3734" t="str">
            <v>SUPRATRE</v>
          </cell>
          <cell r="E3734">
            <v>34.260393325999999</v>
          </cell>
          <cell r="F3734" t="str">
            <v>-</v>
          </cell>
          <cell r="G3734" t="str">
            <v>-</v>
          </cell>
          <cell r="H3734" t="str">
            <v>-</v>
          </cell>
          <cell r="I3734" t="str">
            <v>-</v>
          </cell>
          <cell r="J3734">
            <v>34.260393325999999</v>
          </cell>
          <cell r="K3734" t="str">
            <v>Small Cap</v>
          </cell>
        </row>
        <row r="3735">
          <cell r="C3735" t="str">
            <v>INE0LYO01018</v>
          </cell>
          <cell r="D3735" t="str">
            <v>INNOVATUS</v>
          </cell>
          <cell r="E3735">
            <v>34.251739039999997</v>
          </cell>
          <cell r="F3735" t="str">
            <v>-</v>
          </cell>
          <cell r="G3735" t="str">
            <v>-</v>
          </cell>
          <cell r="H3735" t="str">
            <v>-</v>
          </cell>
          <cell r="I3735" t="str">
            <v>-</v>
          </cell>
          <cell r="J3735">
            <v>34.251739039999997</v>
          </cell>
          <cell r="K3735" t="str">
            <v>Small Cap</v>
          </cell>
        </row>
        <row r="3736">
          <cell r="C3736" t="str">
            <v>INE398L01017</v>
          </cell>
          <cell r="D3736" t="str">
            <v>KANCOTEA</v>
          </cell>
          <cell r="E3736">
            <v>34.139738849000004</v>
          </cell>
          <cell r="F3736" t="str">
            <v>-</v>
          </cell>
          <cell r="G3736" t="str">
            <v>-</v>
          </cell>
          <cell r="H3736" t="str">
            <v>-</v>
          </cell>
          <cell r="I3736" t="str">
            <v>-</v>
          </cell>
          <cell r="J3736">
            <v>34.139738849000004</v>
          </cell>
          <cell r="K3736" t="str">
            <v>Small Cap</v>
          </cell>
        </row>
        <row r="3737">
          <cell r="C3737" t="str">
            <v>INE0KAF01018</v>
          </cell>
          <cell r="D3737" t="str">
            <v>QRIL</v>
          </cell>
          <cell r="E3737">
            <v>34.065976190000001</v>
          </cell>
          <cell r="F3737" t="str">
            <v>-</v>
          </cell>
          <cell r="G3737" t="str">
            <v>-</v>
          </cell>
          <cell r="H3737" t="str">
            <v>-</v>
          </cell>
          <cell r="I3737" t="str">
            <v>-</v>
          </cell>
          <cell r="J3737">
            <v>34.065976190000001</v>
          </cell>
          <cell r="K3737" t="str">
            <v>Small Cap</v>
          </cell>
        </row>
        <row r="3738">
          <cell r="C3738" t="str">
            <v>INE924B01011</v>
          </cell>
          <cell r="D3738" t="str">
            <v>AMCOIND</v>
          </cell>
          <cell r="E3738">
            <v>34.059243810000005</v>
          </cell>
          <cell r="F3738" t="str">
            <v>-</v>
          </cell>
          <cell r="G3738" t="str">
            <v>-</v>
          </cell>
          <cell r="H3738" t="str">
            <v>-</v>
          </cell>
          <cell r="I3738" t="str">
            <v>-</v>
          </cell>
          <cell r="J3738">
            <v>34.059243810000005</v>
          </cell>
          <cell r="K3738" t="str">
            <v>Small Cap</v>
          </cell>
        </row>
        <row r="3739">
          <cell r="C3739" t="str">
            <v>INE265D01015</v>
          </cell>
          <cell r="D3739" t="str">
            <v>GKB</v>
          </cell>
          <cell r="E3739">
            <v>34.032636003</v>
          </cell>
          <cell r="F3739" t="str">
            <v>-</v>
          </cell>
          <cell r="G3739" t="str">
            <v>-</v>
          </cell>
          <cell r="H3739" t="str">
            <v>-</v>
          </cell>
          <cell r="I3739" t="str">
            <v>-</v>
          </cell>
          <cell r="J3739">
            <v>34.032636003</v>
          </cell>
          <cell r="K3739" t="str">
            <v>Small Cap</v>
          </cell>
        </row>
        <row r="3740">
          <cell r="C3740" t="str">
            <v>INE997Y01027</v>
          </cell>
          <cell r="D3740" t="str">
            <v>-</v>
          </cell>
          <cell r="E3740" t="str">
            <v>-</v>
          </cell>
          <cell r="F3740" t="str">
            <v>MITTAL</v>
          </cell>
          <cell r="G3740">
            <v>34.013199999999998</v>
          </cell>
          <cell r="H3740" t="str">
            <v>-</v>
          </cell>
          <cell r="I3740" t="str">
            <v>-</v>
          </cell>
          <cell r="J3740">
            <v>34.013199999999998</v>
          </cell>
          <cell r="K3740" t="str">
            <v>Small Cap</v>
          </cell>
        </row>
        <row r="3741">
          <cell r="C3741" t="str">
            <v>INE499G01013</v>
          </cell>
          <cell r="D3741" t="str">
            <v>GUJTERC</v>
          </cell>
          <cell r="E3741">
            <v>33.993159886999997</v>
          </cell>
          <cell r="F3741" t="str">
            <v>-</v>
          </cell>
          <cell r="G3741" t="str">
            <v>-</v>
          </cell>
          <cell r="H3741" t="str">
            <v>-</v>
          </cell>
          <cell r="I3741" t="str">
            <v>-</v>
          </cell>
          <cell r="J3741">
            <v>33.993159886999997</v>
          </cell>
          <cell r="K3741" t="str">
            <v>Small Cap</v>
          </cell>
        </row>
        <row r="3742">
          <cell r="C3742" t="str">
            <v>INE368D01025</v>
          </cell>
          <cell r="D3742" t="str">
            <v>CHANDRAP</v>
          </cell>
          <cell r="E3742">
            <v>33.923280159000001</v>
          </cell>
          <cell r="F3742" t="str">
            <v>-</v>
          </cell>
          <cell r="G3742" t="str">
            <v>-</v>
          </cell>
          <cell r="H3742" t="str">
            <v>-</v>
          </cell>
          <cell r="I3742" t="str">
            <v>-</v>
          </cell>
          <cell r="J3742">
            <v>33.923280159000001</v>
          </cell>
          <cell r="K3742" t="str">
            <v>Small Cap</v>
          </cell>
        </row>
        <row r="3743">
          <cell r="C3743" t="str">
            <v>INE02PC01027</v>
          </cell>
          <cell r="D3743" t="str">
            <v>HBEL</v>
          </cell>
          <cell r="E3743">
            <v>33.900310873000002</v>
          </cell>
          <cell r="F3743" t="str">
            <v>-</v>
          </cell>
          <cell r="G3743" t="str">
            <v>-</v>
          </cell>
          <cell r="H3743" t="str">
            <v>-</v>
          </cell>
          <cell r="I3743" t="str">
            <v>-</v>
          </cell>
          <cell r="J3743">
            <v>33.900310873000002</v>
          </cell>
          <cell r="K3743" t="str">
            <v>Small Cap</v>
          </cell>
        </row>
        <row r="3744">
          <cell r="C3744" t="str">
            <v>INE766D01020</v>
          </cell>
          <cell r="D3744" t="str">
            <v>SMARTFIN</v>
          </cell>
          <cell r="E3744">
            <v>33.864761905000002</v>
          </cell>
          <cell r="F3744" t="str">
            <v>-</v>
          </cell>
          <cell r="G3744" t="str">
            <v>-</v>
          </cell>
          <cell r="H3744" t="str">
            <v>-</v>
          </cell>
          <cell r="I3744" t="str">
            <v>-</v>
          </cell>
          <cell r="J3744">
            <v>33.864761905000002</v>
          </cell>
          <cell r="K3744" t="str">
            <v>Small Cap</v>
          </cell>
        </row>
        <row r="3745">
          <cell r="C3745" t="str">
            <v>INE745I01015</v>
          </cell>
          <cell r="D3745" t="str">
            <v>ASAHIIND</v>
          </cell>
          <cell r="E3745">
            <v>33.819258968</v>
          </cell>
          <cell r="F3745" t="str">
            <v>-</v>
          </cell>
          <cell r="G3745" t="str">
            <v>-</v>
          </cell>
          <cell r="H3745" t="str">
            <v>-</v>
          </cell>
          <cell r="I3745" t="str">
            <v>-</v>
          </cell>
          <cell r="J3745">
            <v>33.819258968</v>
          </cell>
          <cell r="K3745" t="str">
            <v>Small Cap</v>
          </cell>
        </row>
        <row r="3746">
          <cell r="C3746" t="str">
            <v>INE0KSN01014</v>
          </cell>
          <cell r="D3746" t="str">
            <v>EIGHTY</v>
          </cell>
          <cell r="E3746">
            <v>33.784904866000005</v>
          </cell>
          <cell r="F3746" t="str">
            <v>-</v>
          </cell>
          <cell r="G3746" t="str">
            <v>-</v>
          </cell>
          <cell r="H3746" t="str">
            <v>-</v>
          </cell>
          <cell r="I3746" t="str">
            <v>-</v>
          </cell>
          <cell r="J3746">
            <v>33.784904866000005</v>
          </cell>
          <cell r="K3746" t="str">
            <v>Small Cap</v>
          </cell>
        </row>
        <row r="3747">
          <cell r="C3747" t="str">
            <v>INE645C01010</v>
          </cell>
          <cell r="D3747" t="str">
            <v>KABSON</v>
          </cell>
          <cell r="E3747">
            <v>33.726874000000002</v>
          </cell>
          <cell r="F3747" t="str">
            <v>-</v>
          </cell>
          <cell r="G3747" t="str">
            <v>-</v>
          </cell>
          <cell r="H3747" t="str">
            <v>-</v>
          </cell>
          <cell r="I3747" t="str">
            <v>-</v>
          </cell>
          <cell r="J3747">
            <v>33.726874000000002</v>
          </cell>
          <cell r="K3747" t="str">
            <v>Small Cap</v>
          </cell>
        </row>
        <row r="3748">
          <cell r="C3748" t="str">
            <v>INE479B01016</v>
          </cell>
          <cell r="D3748" t="str">
            <v>SAHARA</v>
          </cell>
          <cell r="E3748">
            <v>33.686624999999999</v>
          </cell>
          <cell r="F3748" t="str">
            <v>-</v>
          </cell>
          <cell r="G3748" t="str">
            <v>-</v>
          </cell>
          <cell r="H3748" t="str">
            <v>-</v>
          </cell>
          <cell r="I3748" t="str">
            <v>-</v>
          </cell>
          <cell r="J3748">
            <v>33.686624999999999</v>
          </cell>
          <cell r="K3748" t="str">
            <v>Small Cap</v>
          </cell>
        </row>
        <row r="3749">
          <cell r="C3749" t="str">
            <v>INE927A01040</v>
          </cell>
          <cell r="D3749" t="str">
            <v>ROLLT</v>
          </cell>
          <cell r="E3749">
            <v>33.713950713999999</v>
          </cell>
          <cell r="F3749" t="str">
            <v>ROLLT</v>
          </cell>
          <cell r="G3749">
            <v>33.5015</v>
          </cell>
          <cell r="H3749" t="str">
            <v>-</v>
          </cell>
          <cell r="I3749" t="str">
            <v>-</v>
          </cell>
          <cell r="J3749">
            <v>33.607725357</v>
          </cell>
          <cell r="K3749" t="str">
            <v>Small Cap</v>
          </cell>
        </row>
        <row r="3750">
          <cell r="C3750" t="str">
            <v>INE242Q01016</v>
          </cell>
          <cell r="D3750" t="str">
            <v>JMJFIN</v>
          </cell>
          <cell r="E3750">
            <v>33.528990475999997</v>
          </cell>
          <cell r="F3750" t="str">
            <v>-</v>
          </cell>
          <cell r="G3750" t="str">
            <v>-</v>
          </cell>
          <cell r="H3750" t="str">
            <v>-</v>
          </cell>
          <cell r="I3750" t="str">
            <v>-</v>
          </cell>
          <cell r="J3750">
            <v>33.528990475999997</v>
          </cell>
          <cell r="K3750" t="str">
            <v>Small Cap</v>
          </cell>
        </row>
        <row r="3751">
          <cell r="C3751" t="str">
            <v>INE239V01012</v>
          </cell>
          <cell r="D3751" t="str">
            <v>-</v>
          </cell>
          <cell r="E3751" t="str">
            <v>-</v>
          </cell>
          <cell r="F3751" t="str">
            <v>-</v>
          </cell>
          <cell r="G3751" t="str">
            <v>-</v>
          </cell>
          <cell r="H3751" t="str">
            <v>OEGIL</v>
          </cell>
          <cell r="I3751">
            <v>33.517425999999929</v>
          </cell>
          <cell r="J3751">
            <v>33.517425999999929</v>
          </cell>
          <cell r="K3751" t="str">
            <v>Small Cap</v>
          </cell>
        </row>
        <row r="3752">
          <cell r="C3752" t="str">
            <v>INE797H01018</v>
          </cell>
          <cell r="D3752" t="str">
            <v>TGBHOTELS</v>
          </cell>
          <cell r="E3752">
            <v>33.542690133000001</v>
          </cell>
          <cell r="F3752" t="str">
            <v>TGBHOTELS</v>
          </cell>
          <cell r="G3752">
            <v>33.472700000000003</v>
          </cell>
          <cell r="H3752" t="str">
            <v>-</v>
          </cell>
          <cell r="I3752" t="str">
            <v>-</v>
          </cell>
          <cell r="J3752">
            <v>33.507695066500006</v>
          </cell>
          <cell r="K3752" t="str">
            <v>Small Cap</v>
          </cell>
        </row>
        <row r="3753">
          <cell r="C3753" t="str">
            <v>INE632X01030</v>
          </cell>
          <cell r="D3753" t="str">
            <v>-</v>
          </cell>
          <cell r="E3753" t="str">
            <v>-</v>
          </cell>
          <cell r="F3753" t="str">
            <v>SHRENIK</v>
          </cell>
          <cell r="G3753">
            <v>33.3491</v>
          </cell>
          <cell r="H3753" t="str">
            <v>-</v>
          </cell>
          <cell r="I3753" t="str">
            <v>-</v>
          </cell>
          <cell r="J3753">
            <v>33.3491</v>
          </cell>
          <cell r="K3753" t="str">
            <v>Small Cap</v>
          </cell>
        </row>
        <row r="3754">
          <cell r="C3754" t="str">
            <v>INE734D01010</v>
          </cell>
          <cell r="D3754" t="str">
            <v>LAKESHORE</v>
          </cell>
          <cell r="E3754">
            <v>33.325274833000002</v>
          </cell>
          <cell r="F3754" t="str">
            <v>-</v>
          </cell>
          <cell r="G3754" t="str">
            <v>-</v>
          </cell>
          <cell r="H3754" t="str">
            <v>-</v>
          </cell>
          <cell r="I3754" t="str">
            <v>-</v>
          </cell>
          <cell r="J3754">
            <v>33.325274833000002</v>
          </cell>
          <cell r="K3754" t="str">
            <v>Small Cap</v>
          </cell>
        </row>
        <row r="3755">
          <cell r="C3755" t="str">
            <v>INE293A01013</v>
          </cell>
          <cell r="D3755" t="str">
            <v>ROLTA</v>
          </cell>
          <cell r="E3755">
            <v>33.305981011</v>
          </cell>
          <cell r="F3755" t="str">
            <v>-</v>
          </cell>
          <cell r="G3755" t="str">
            <v>-</v>
          </cell>
          <cell r="H3755" t="str">
            <v>-</v>
          </cell>
          <cell r="I3755" t="str">
            <v>-</v>
          </cell>
          <cell r="J3755">
            <v>33.305981011</v>
          </cell>
          <cell r="K3755" t="str">
            <v>Small Cap</v>
          </cell>
        </row>
        <row r="3756">
          <cell r="C3756" t="str">
            <v>INE578V01013</v>
          </cell>
          <cell r="D3756" t="str">
            <v>GUJHYSPIN</v>
          </cell>
          <cell r="E3756">
            <v>33.257125000000002</v>
          </cell>
          <cell r="F3756" t="str">
            <v>-</v>
          </cell>
          <cell r="G3756" t="str">
            <v>-</v>
          </cell>
          <cell r="H3756" t="str">
            <v>-</v>
          </cell>
          <cell r="I3756" t="str">
            <v>-</v>
          </cell>
          <cell r="J3756">
            <v>33.257125000000002</v>
          </cell>
          <cell r="K3756" t="str">
            <v>Small Cap</v>
          </cell>
        </row>
        <row r="3757">
          <cell r="C3757" t="str">
            <v>INE961B01013</v>
          </cell>
          <cell r="D3757" t="str">
            <v>KAYPOWR</v>
          </cell>
          <cell r="E3757">
            <v>33.20279</v>
          </cell>
          <cell r="F3757" t="str">
            <v>-</v>
          </cell>
          <cell r="G3757" t="str">
            <v>-</v>
          </cell>
          <cell r="H3757" t="str">
            <v>-</v>
          </cell>
          <cell r="I3757" t="str">
            <v>-</v>
          </cell>
          <cell r="J3757">
            <v>33.20279</v>
          </cell>
          <cell r="K3757" t="str">
            <v>Small Cap</v>
          </cell>
        </row>
        <row r="3758">
          <cell r="C3758" t="str">
            <v>INE452O01016</v>
          </cell>
          <cell r="D3758" t="str">
            <v>FLFL</v>
          </cell>
          <cell r="E3758">
            <v>33.504237410999998</v>
          </cell>
          <cell r="F3758" t="str">
            <v>FLFL</v>
          </cell>
          <cell r="G3758">
            <v>32.865299999999998</v>
          </cell>
          <cell r="H3758" t="str">
            <v>-</v>
          </cell>
          <cell r="I3758" t="str">
            <v>-</v>
          </cell>
          <cell r="J3758">
            <v>33.184768705499998</v>
          </cell>
          <cell r="K3758" t="str">
            <v>Small Cap</v>
          </cell>
        </row>
        <row r="3759">
          <cell r="C3759" t="str">
            <v>INE396H01019</v>
          </cell>
          <cell r="D3759" t="str">
            <v>CHECKPOINT</v>
          </cell>
          <cell r="E3759">
            <v>33.048799428999999</v>
          </cell>
          <cell r="F3759" t="str">
            <v>-</v>
          </cell>
          <cell r="G3759" t="str">
            <v>-</v>
          </cell>
          <cell r="H3759" t="str">
            <v>-</v>
          </cell>
          <cell r="I3759" t="str">
            <v>-</v>
          </cell>
          <cell r="J3759">
            <v>33.048799428999999</v>
          </cell>
          <cell r="K3759" t="str">
            <v>Small Cap</v>
          </cell>
        </row>
        <row r="3760">
          <cell r="C3760" t="str">
            <v>INE333I01044</v>
          </cell>
          <cell r="D3760" t="str">
            <v>NEUEON</v>
          </cell>
          <cell r="E3760">
            <v>29.218724097000003</v>
          </cell>
          <cell r="F3760" t="str">
            <v>NEUEON</v>
          </cell>
          <cell r="G3760">
            <v>36.838799999999999</v>
          </cell>
          <cell r="H3760" t="str">
            <v>-</v>
          </cell>
          <cell r="I3760" t="str">
            <v>-</v>
          </cell>
          <cell r="J3760">
            <v>33.028762048499999</v>
          </cell>
          <cell r="K3760" t="str">
            <v>Small Cap</v>
          </cell>
        </row>
        <row r="3761">
          <cell r="C3761" t="str">
            <v>INE348I01018</v>
          </cell>
          <cell r="D3761" t="str">
            <v>BERVINL</v>
          </cell>
          <cell r="E3761">
            <v>32.898665594000001</v>
          </cell>
          <cell r="F3761" t="str">
            <v>-</v>
          </cell>
          <cell r="G3761" t="str">
            <v>-</v>
          </cell>
          <cell r="H3761" t="str">
            <v>-</v>
          </cell>
          <cell r="I3761" t="str">
            <v>-</v>
          </cell>
          <cell r="J3761">
            <v>32.898665594000001</v>
          </cell>
          <cell r="K3761" t="str">
            <v>Small Cap</v>
          </cell>
        </row>
        <row r="3762">
          <cell r="C3762" t="str">
            <v>INE606C01012</v>
          </cell>
          <cell r="D3762" t="str">
            <v>NLFL</v>
          </cell>
          <cell r="E3762">
            <v>32.858251467999999</v>
          </cell>
          <cell r="F3762" t="str">
            <v>-</v>
          </cell>
          <cell r="G3762" t="str">
            <v>-</v>
          </cell>
          <cell r="H3762" t="str">
            <v>-</v>
          </cell>
          <cell r="I3762" t="str">
            <v>-</v>
          </cell>
          <cell r="J3762">
            <v>32.858251467999999</v>
          </cell>
          <cell r="K3762" t="str">
            <v>Small Cap</v>
          </cell>
        </row>
        <row r="3763">
          <cell r="C3763" t="str">
            <v>INE0N5O01013</v>
          </cell>
          <cell r="D3763" t="str">
            <v>SONALIS</v>
          </cell>
          <cell r="E3763">
            <v>32.75381531</v>
          </cell>
          <cell r="F3763" t="str">
            <v>-</v>
          </cell>
          <cell r="G3763" t="str">
            <v>-</v>
          </cell>
          <cell r="H3763" t="str">
            <v>-</v>
          </cell>
          <cell r="I3763" t="str">
            <v>-</v>
          </cell>
          <cell r="J3763">
            <v>32.75381531</v>
          </cell>
          <cell r="K3763" t="str">
            <v>Small Cap</v>
          </cell>
        </row>
        <row r="3764">
          <cell r="C3764" t="str">
            <v>INE756R01013</v>
          </cell>
          <cell r="D3764" t="str">
            <v>MEGRISOFT</v>
          </cell>
          <cell r="E3764">
            <v>32.643363974000003</v>
          </cell>
          <cell r="F3764" t="str">
            <v>-</v>
          </cell>
          <cell r="G3764" t="str">
            <v>-</v>
          </cell>
          <cell r="H3764" t="str">
            <v>MEGRISOFT</v>
          </cell>
          <cell r="I3764">
            <v>32.639475488095243</v>
          </cell>
          <cell r="J3764">
            <v>32.64141973104762</v>
          </cell>
          <cell r="K3764" t="str">
            <v>Small Cap</v>
          </cell>
        </row>
        <row r="3765">
          <cell r="C3765" t="str">
            <v>INE560D01027</v>
          </cell>
          <cell r="D3765" t="str">
            <v>TUNITEX</v>
          </cell>
          <cell r="E3765">
            <v>32.63073764</v>
          </cell>
          <cell r="F3765" t="str">
            <v>-</v>
          </cell>
          <cell r="G3765" t="str">
            <v>-</v>
          </cell>
          <cell r="H3765" t="str">
            <v>-</v>
          </cell>
          <cell r="I3765" t="str">
            <v>-</v>
          </cell>
          <cell r="J3765">
            <v>32.63073764</v>
          </cell>
          <cell r="K3765" t="str">
            <v>Small Cap</v>
          </cell>
        </row>
        <row r="3766">
          <cell r="C3766" t="str">
            <v>INE040M01013</v>
          </cell>
          <cell r="D3766" t="str">
            <v>TREEHOUSE</v>
          </cell>
          <cell r="E3766">
            <v>32.630298988</v>
          </cell>
          <cell r="F3766" t="str">
            <v>TREEHOUSE</v>
          </cell>
          <cell r="G3766">
            <v>32.5749</v>
          </cell>
          <cell r="H3766" t="str">
            <v>TREEHOUSE</v>
          </cell>
          <cell r="I3766">
            <v>32.570862495079361</v>
          </cell>
          <cell r="J3766">
            <v>32.592020494359787</v>
          </cell>
          <cell r="K3766" t="str">
            <v>Small Cap</v>
          </cell>
        </row>
        <row r="3767">
          <cell r="C3767" t="str">
            <v>INE06AE01018</v>
          </cell>
          <cell r="D3767" t="str">
            <v>BOMBPOT</v>
          </cell>
          <cell r="E3767">
            <v>32.568899999999999</v>
          </cell>
          <cell r="F3767" t="str">
            <v>-</v>
          </cell>
          <cell r="G3767" t="str">
            <v>-</v>
          </cell>
          <cell r="H3767" t="str">
            <v>-</v>
          </cell>
          <cell r="I3767" t="str">
            <v>-</v>
          </cell>
          <cell r="J3767">
            <v>32.568899999999999</v>
          </cell>
          <cell r="K3767" t="str">
            <v>Small Cap</v>
          </cell>
        </row>
        <row r="3768">
          <cell r="C3768" t="str">
            <v>INE419E01024</v>
          </cell>
          <cell r="D3768" t="str">
            <v>PRIMEURB</v>
          </cell>
          <cell r="E3768">
            <v>32.483411914000001</v>
          </cell>
          <cell r="F3768" t="str">
            <v>-</v>
          </cell>
          <cell r="G3768" t="str">
            <v>-</v>
          </cell>
          <cell r="H3768" t="str">
            <v>-</v>
          </cell>
          <cell r="I3768" t="str">
            <v>-</v>
          </cell>
          <cell r="J3768">
            <v>32.483411914000001</v>
          </cell>
          <cell r="K3768" t="str">
            <v>Small Cap</v>
          </cell>
        </row>
        <row r="3769">
          <cell r="C3769" t="str">
            <v>INE102F01015</v>
          </cell>
          <cell r="D3769" t="str">
            <v>SPCAPIT</v>
          </cell>
          <cell r="E3769">
            <v>32.467884067</v>
          </cell>
          <cell r="F3769" t="str">
            <v>-</v>
          </cell>
          <cell r="G3769" t="str">
            <v>-</v>
          </cell>
          <cell r="H3769" t="str">
            <v>-</v>
          </cell>
          <cell r="I3769" t="str">
            <v>-</v>
          </cell>
          <cell r="J3769">
            <v>32.467884067</v>
          </cell>
          <cell r="K3769" t="str">
            <v>Small Cap</v>
          </cell>
        </row>
        <row r="3770">
          <cell r="C3770" t="str">
            <v>INE278G01037</v>
          </cell>
          <cell r="D3770" t="str">
            <v>CYBERMEDIA</v>
          </cell>
          <cell r="E3770">
            <v>33.783671906999999</v>
          </cell>
          <cell r="F3770" t="str">
            <v>CYBERMEDIA</v>
          </cell>
          <cell r="G3770">
            <v>31.134899999999998</v>
          </cell>
          <cell r="H3770" t="str">
            <v>-</v>
          </cell>
          <cell r="I3770" t="str">
            <v>-</v>
          </cell>
          <cell r="J3770">
            <v>32.4592859535</v>
          </cell>
          <cell r="K3770" t="str">
            <v>Small Cap</v>
          </cell>
        </row>
        <row r="3771">
          <cell r="C3771" t="str">
            <v>INE516K01024</v>
          </cell>
          <cell r="D3771" t="str">
            <v>GOENKA</v>
          </cell>
          <cell r="E3771">
            <v>32.449730158999998</v>
          </cell>
          <cell r="F3771" t="str">
            <v>-</v>
          </cell>
          <cell r="G3771" t="str">
            <v>-</v>
          </cell>
          <cell r="H3771" t="str">
            <v>-</v>
          </cell>
          <cell r="I3771" t="str">
            <v>-</v>
          </cell>
          <cell r="J3771">
            <v>32.449730158999998</v>
          </cell>
          <cell r="K3771" t="str">
            <v>Small Cap</v>
          </cell>
        </row>
        <row r="3772">
          <cell r="C3772" t="str">
            <v>INE834C01028</v>
          </cell>
          <cell r="D3772" t="str">
            <v>MODMA</v>
          </cell>
          <cell r="E3772">
            <v>32.442964484000001</v>
          </cell>
          <cell r="F3772" t="str">
            <v>-</v>
          </cell>
          <cell r="G3772" t="str">
            <v>-</v>
          </cell>
          <cell r="H3772" t="str">
            <v>-</v>
          </cell>
          <cell r="I3772" t="str">
            <v>-</v>
          </cell>
          <cell r="J3772">
            <v>32.442964484000001</v>
          </cell>
          <cell r="K3772" t="str">
            <v>Small Cap</v>
          </cell>
        </row>
        <row r="3773">
          <cell r="C3773" t="str">
            <v>INE909B01020</v>
          </cell>
          <cell r="D3773" t="str">
            <v>PASUSPG</v>
          </cell>
          <cell r="E3773">
            <v>32.435121639000002</v>
          </cell>
          <cell r="F3773" t="str">
            <v>-</v>
          </cell>
          <cell r="G3773" t="str">
            <v>-</v>
          </cell>
          <cell r="H3773" t="str">
            <v>-</v>
          </cell>
          <cell r="I3773" t="str">
            <v>-</v>
          </cell>
          <cell r="J3773">
            <v>32.435121639000002</v>
          </cell>
          <cell r="K3773" t="str">
            <v>Small Cap</v>
          </cell>
        </row>
        <row r="3774">
          <cell r="C3774" t="str">
            <v>INE123E01014</v>
          </cell>
          <cell r="D3774" t="str">
            <v>INFORTEC</v>
          </cell>
          <cell r="E3774">
            <v>32.413065007</v>
          </cell>
          <cell r="F3774" t="str">
            <v>-</v>
          </cell>
          <cell r="G3774" t="str">
            <v>-</v>
          </cell>
          <cell r="H3774" t="str">
            <v>-</v>
          </cell>
          <cell r="I3774" t="str">
            <v>-</v>
          </cell>
          <cell r="J3774">
            <v>32.413065007</v>
          </cell>
          <cell r="K3774" t="str">
            <v>Small Cap</v>
          </cell>
        </row>
        <row r="3775">
          <cell r="C3775" t="str">
            <v>INE118C01018</v>
          </cell>
          <cell r="D3775" t="str">
            <v>DYNAMICP</v>
          </cell>
          <cell r="E3775">
            <v>32.408370511000001</v>
          </cell>
          <cell r="F3775" t="str">
            <v>-</v>
          </cell>
          <cell r="G3775" t="str">
            <v>-</v>
          </cell>
          <cell r="H3775" t="str">
            <v>-</v>
          </cell>
          <cell r="I3775" t="str">
            <v>-</v>
          </cell>
          <cell r="J3775">
            <v>32.408370511000001</v>
          </cell>
          <cell r="K3775" t="str">
            <v>Small Cap</v>
          </cell>
        </row>
        <row r="3776">
          <cell r="C3776" t="str">
            <v>INE156M01017</v>
          </cell>
          <cell r="D3776" t="str">
            <v>YURANUS</v>
          </cell>
          <cell r="E3776">
            <v>32.368083333000001</v>
          </cell>
          <cell r="F3776" t="str">
            <v>-</v>
          </cell>
          <cell r="G3776" t="str">
            <v>-</v>
          </cell>
          <cell r="H3776" t="str">
            <v>-</v>
          </cell>
          <cell r="I3776" t="str">
            <v>-</v>
          </cell>
          <cell r="J3776">
            <v>32.368083333000001</v>
          </cell>
          <cell r="K3776" t="str">
            <v>Small Cap</v>
          </cell>
        </row>
        <row r="3777">
          <cell r="C3777" t="str">
            <v>INE856D01011</v>
          </cell>
          <cell r="D3777" t="str">
            <v>MADHUSE</v>
          </cell>
          <cell r="E3777">
            <v>32.325988955</v>
          </cell>
          <cell r="F3777" t="str">
            <v>-</v>
          </cell>
          <cell r="G3777" t="str">
            <v>-</v>
          </cell>
          <cell r="H3777" t="str">
            <v>-</v>
          </cell>
          <cell r="I3777" t="str">
            <v>-</v>
          </cell>
          <cell r="J3777">
            <v>32.325988955</v>
          </cell>
          <cell r="K3777" t="str">
            <v>Small Cap</v>
          </cell>
        </row>
        <row r="3778">
          <cell r="C3778" t="str">
            <v>INE304E01010</v>
          </cell>
          <cell r="D3778" t="str">
            <v>SAVFI</v>
          </cell>
          <cell r="E3778">
            <v>32.260247898999999</v>
          </cell>
          <cell r="F3778" t="str">
            <v>-</v>
          </cell>
          <cell r="G3778" t="str">
            <v>-</v>
          </cell>
          <cell r="H3778" t="str">
            <v>-</v>
          </cell>
          <cell r="I3778" t="str">
            <v>-</v>
          </cell>
          <cell r="J3778">
            <v>32.260247898999999</v>
          </cell>
          <cell r="K3778" t="str">
            <v>Small Cap</v>
          </cell>
        </row>
        <row r="3779">
          <cell r="C3779" t="str">
            <v>INE891E01024</v>
          </cell>
          <cell r="D3779" t="str">
            <v>PRESSURS</v>
          </cell>
          <cell r="E3779">
            <v>32.235765667000003</v>
          </cell>
          <cell r="F3779" t="str">
            <v>-</v>
          </cell>
          <cell r="G3779" t="str">
            <v>-</v>
          </cell>
          <cell r="H3779" t="str">
            <v>-</v>
          </cell>
          <cell r="I3779" t="str">
            <v>-</v>
          </cell>
          <cell r="J3779">
            <v>32.235765667000003</v>
          </cell>
          <cell r="K3779" t="str">
            <v>Small Cap</v>
          </cell>
        </row>
        <row r="3780">
          <cell r="C3780" t="str">
            <v>INE210F01016</v>
          </cell>
          <cell r="D3780" t="str">
            <v>SWATIPRO</v>
          </cell>
          <cell r="E3780">
            <v>32.211144443999999</v>
          </cell>
          <cell r="F3780" t="str">
            <v>-</v>
          </cell>
          <cell r="G3780" t="str">
            <v>-</v>
          </cell>
          <cell r="H3780" t="str">
            <v>SWATI</v>
          </cell>
          <cell r="I3780">
            <v>32.209861904761894</v>
          </cell>
          <cell r="J3780">
            <v>32.210503174380946</v>
          </cell>
          <cell r="K3780" t="str">
            <v>Small Cap</v>
          </cell>
        </row>
        <row r="3781">
          <cell r="C3781" t="str">
            <v>INE0SFA01011</v>
          </cell>
          <cell r="D3781" t="str">
            <v>SIHORA</v>
          </cell>
          <cell r="E3781">
            <v>32.198492223999999</v>
          </cell>
          <cell r="F3781" t="str">
            <v>-</v>
          </cell>
          <cell r="G3781" t="str">
            <v>-</v>
          </cell>
          <cell r="H3781" t="str">
            <v>-</v>
          </cell>
          <cell r="I3781" t="str">
            <v>-</v>
          </cell>
          <cell r="J3781">
            <v>32.198492223999999</v>
          </cell>
          <cell r="K3781" t="str">
            <v>Small Cap</v>
          </cell>
        </row>
        <row r="3782">
          <cell r="C3782" t="str">
            <v>INE837C01013</v>
          </cell>
          <cell r="D3782" t="str">
            <v>QGO</v>
          </cell>
          <cell r="E3782">
            <v>32.196595829000003</v>
          </cell>
          <cell r="F3782" t="str">
            <v>-</v>
          </cell>
          <cell r="G3782" t="str">
            <v>-</v>
          </cell>
          <cell r="H3782" t="str">
            <v>-</v>
          </cell>
          <cell r="I3782" t="str">
            <v>-</v>
          </cell>
          <cell r="J3782">
            <v>32.196595829000003</v>
          </cell>
          <cell r="K3782" t="str">
            <v>Small Cap</v>
          </cell>
        </row>
        <row r="3783">
          <cell r="C3783" t="str">
            <v>INE675G01018</v>
          </cell>
          <cell r="D3783" t="str">
            <v>PINCON</v>
          </cell>
          <cell r="E3783">
            <v>32.182780000000001</v>
          </cell>
          <cell r="F3783" t="str">
            <v>-</v>
          </cell>
          <cell r="G3783" t="str">
            <v>-</v>
          </cell>
          <cell r="H3783" t="str">
            <v>-</v>
          </cell>
          <cell r="I3783" t="str">
            <v>-</v>
          </cell>
          <cell r="J3783">
            <v>32.182780000000001</v>
          </cell>
          <cell r="K3783" t="str">
            <v>Small Cap</v>
          </cell>
        </row>
        <row r="3784">
          <cell r="C3784" t="str">
            <v>INE060N01019</v>
          </cell>
          <cell r="D3784" t="str">
            <v>EQUILATERA</v>
          </cell>
          <cell r="E3784">
            <v>32.137095293999998</v>
          </cell>
          <cell r="F3784" t="str">
            <v>-</v>
          </cell>
          <cell r="G3784" t="str">
            <v>-</v>
          </cell>
          <cell r="H3784" t="str">
            <v>-</v>
          </cell>
          <cell r="I3784" t="str">
            <v>-</v>
          </cell>
          <cell r="J3784">
            <v>32.137095293999998</v>
          </cell>
          <cell r="K3784" t="str">
            <v>Small Cap</v>
          </cell>
        </row>
        <row r="3785">
          <cell r="C3785" t="str">
            <v>INE908V01012</v>
          </cell>
          <cell r="D3785" t="str">
            <v>-</v>
          </cell>
          <cell r="E3785" t="str">
            <v>-</v>
          </cell>
          <cell r="F3785" t="str">
            <v>LIBAS</v>
          </cell>
          <cell r="G3785">
            <v>32.039000000000001</v>
          </cell>
          <cell r="H3785" t="str">
            <v>-</v>
          </cell>
          <cell r="I3785" t="str">
            <v>-</v>
          </cell>
          <cell r="J3785">
            <v>32.039000000000001</v>
          </cell>
          <cell r="K3785" t="str">
            <v>Small Cap</v>
          </cell>
        </row>
        <row r="3786">
          <cell r="C3786" t="str">
            <v>INE809B01014</v>
          </cell>
          <cell r="D3786" t="str">
            <v>POLYCHMP</v>
          </cell>
          <cell r="E3786">
            <v>32.015373138999998</v>
          </cell>
          <cell r="F3786" t="str">
            <v>-</v>
          </cell>
          <cell r="G3786" t="str">
            <v>-</v>
          </cell>
          <cell r="H3786" t="str">
            <v>-</v>
          </cell>
          <cell r="I3786" t="str">
            <v>-</v>
          </cell>
          <cell r="J3786">
            <v>32.015373138999998</v>
          </cell>
          <cell r="K3786" t="str">
            <v>Small Cap</v>
          </cell>
        </row>
        <row r="3787">
          <cell r="C3787" t="str">
            <v>INE411Y01011</v>
          </cell>
          <cell r="D3787" t="str">
            <v>-</v>
          </cell>
          <cell r="E3787" t="str">
            <v>-</v>
          </cell>
          <cell r="F3787" t="str">
            <v>DIL</v>
          </cell>
          <cell r="G3787">
            <v>32.006100000000004</v>
          </cell>
          <cell r="H3787" t="str">
            <v>-</v>
          </cell>
          <cell r="I3787" t="str">
            <v>-</v>
          </cell>
          <cell r="J3787">
            <v>32.006100000000004</v>
          </cell>
          <cell r="K3787" t="str">
            <v>Small Cap</v>
          </cell>
        </row>
        <row r="3788">
          <cell r="C3788" t="str">
            <v>INE791C01012</v>
          </cell>
          <cell r="D3788" t="str">
            <v>PAOS</v>
          </cell>
          <cell r="E3788">
            <v>31.895524389999999</v>
          </cell>
          <cell r="F3788" t="str">
            <v>-</v>
          </cell>
          <cell r="G3788" t="str">
            <v>-</v>
          </cell>
          <cell r="H3788" t="str">
            <v>-</v>
          </cell>
          <cell r="I3788" t="str">
            <v>-</v>
          </cell>
          <cell r="J3788">
            <v>31.895524389999999</v>
          </cell>
          <cell r="K3788" t="str">
            <v>Small Cap</v>
          </cell>
        </row>
        <row r="3789">
          <cell r="C3789" t="str">
            <v>INE946K01023</v>
          </cell>
          <cell r="D3789" t="str">
            <v>PREMCAP</v>
          </cell>
          <cell r="E3789">
            <v>31.854154874000002</v>
          </cell>
          <cell r="F3789" t="str">
            <v>-</v>
          </cell>
          <cell r="G3789" t="str">
            <v>-</v>
          </cell>
          <cell r="H3789" t="str">
            <v>-</v>
          </cell>
          <cell r="I3789" t="str">
            <v>-</v>
          </cell>
          <cell r="J3789">
            <v>31.854154874000002</v>
          </cell>
          <cell r="K3789" t="str">
            <v>Small Cap</v>
          </cell>
        </row>
        <row r="3790">
          <cell r="C3790" t="str">
            <v>INE0R4W01015</v>
          </cell>
          <cell r="D3790" t="str">
            <v>PIOTEX</v>
          </cell>
          <cell r="E3790">
            <v>31.841765448</v>
          </cell>
          <cell r="F3790" t="str">
            <v>-</v>
          </cell>
          <cell r="G3790" t="str">
            <v>-</v>
          </cell>
          <cell r="H3790" t="str">
            <v>-</v>
          </cell>
          <cell r="I3790" t="str">
            <v>-</v>
          </cell>
          <cell r="J3790">
            <v>31.841765448</v>
          </cell>
          <cell r="K3790" t="str">
            <v>Small Cap</v>
          </cell>
        </row>
        <row r="3791">
          <cell r="C3791" t="str">
            <v>INE299W01022</v>
          </cell>
          <cell r="D3791" t="str">
            <v>VIVANTA</v>
          </cell>
          <cell r="E3791">
            <v>31.769676388999997</v>
          </cell>
          <cell r="F3791" t="str">
            <v>-</v>
          </cell>
          <cell r="G3791" t="str">
            <v>-</v>
          </cell>
          <cell r="H3791" t="str">
            <v>-</v>
          </cell>
          <cell r="I3791" t="str">
            <v>-</v>
          </cell>
          <cell r="J3791">
            <v>31.769676388999997</v>
          </cell>
          <cell r="K3791" t="str">
            <v>Small Cap</v>
          </cell>
        </row>
        <row r="3792">
          <cell r="C3792" t="str">
            <v>INE050L01048</v>
          </cell>
          <cell r="D3792" t="str">
            <v>LESHAIND</v>
          </cell>
          <cell r="E3792">
            <v>31.682973343</v>
          </cell>
          <cell r="F3792" t="str">
            <v>-</v>
          </cell>
          <cell r="G3792" t="str">
            <v>-</v>
          </cell>
          <cell r="H3792" t="str">
            <v>-</v>
          </cell>
          <cell r="I3792" t="str">
            <v>-</v>
          </cell>
          <cell r="J3792">
            <v>31.682973343</v>
          </cell>
          <cell r="K3792" t="str">
            <v>Small Cap</v>
          </cell>
        </row>
        <row r="3793">
          <cell r="C3793" t="str">
            <v>INE280E01038</v>
          </cell>
          <cell r="D3793" t="str">
            <v>SATTVASUKU</v>
          </cell>
          <cell r="E3793">
            <v>31.617308739999999</v>
          </cell>
          <cell r="F3793" t="str">
            <v>-</v>
          </cell>
          <cell r="G3793" t="str">
            <v>-</v>
          </cell>
          <cell r="H3793" t="str">
            <v>-</v>
          </cell>
          <cell r="I3793" t="str">
            <v>-</v>
          </cell>
          <cell r="J3793">
            <v>31.617308739999999</v>
          </cell>
          <cell r="K3793" t="str">
            <v>Small Cap</v>
          </cell>
        </row>
        <row r="3794">
          <cell r="C3794" t="str">
            <v>INE199D01016</v>
          </cell>
          <cell r="D3794" t="str">
            <v>MARBU</v>
          </cell>
          <cell r="E3794">
            <v>31.454696838999997</v>
          </cell>
          <cell r="F3794" t="str">
            <v>-</v>
          </cell>
          <cell r="G3794" t="str">
            <v>-</v>
          </cell>
          <cell r="H3794" t="str">
            <v>-</v>
          </cell>
          <cell r="I3794" t="str">
            <v>-</v>
          </cell>
          <cell r="J3794">
            <v>31.454696838999997</v>
          </cell>
          <cell r="K3794" t="str">
            <v>Small Cap</v>
          </cell>
        </row>
        <row r="3795">
          <cell r="C3795" t="str">
            <v>INE975C01011</v>
          </cell>
          <cell r="D3795" t="str">
            <v>CHORDIA</v>
          </cell>
          <cell r="E3795">
            <v>31.450833251999999</v>
          </cell>
          <cell r="F3795" t="str">
            <v>-</v>
          </cell>
          <cell r="G3795" t="str">
            <v>-</v>
          </cell>
          <cell r="H3795" t="str">
            <v>-</v>
          </cell>
          <cell r="I3795" t="str">
            <v>-</v>
          </cell>
          <cell r="J3795">
            <v>31.450833251999999</v>
          </cell>
          <cell r="K3795" t="str">
            <v>Small Cap</v>
          </cell>
        </row>
        <row r="3796">
          <cell r="C3796" t="str">
            <v>INE889F01017</v>
          </cell>
          <cell r="D3796" t="str">
            <v>CMMHOSP</v>
          </cell>
          <cell r="E3796">
            <v>31.437277050999999</v>
          </cell>
          <cell r="F3796" t="str">
            <v>-</v>
          </cell>
          <cell r="G3796" t="str">
            <v>-</v>
          </cell>
          <cell r="H3796" t="str">
            <v>-</v>
          </cell>
          <cell r="I3796" t="str">
            <v>-</v>
          </cell>
          <cell r="J3796">
            <v>31.437277050999999</v>
          </cell>
          <cell r="K3796" t="str">
            <v>Small Cap</v>
          </cell>
        </row>
        <row r="3797">
          <cell r="C3797" t="str">
            <v>INE907E01010</v>
          </cell>
          <cell r="D3797" t="str">
            <v>DECOMIC</v>
          </cell>
          <cell r="E3797">
            <v>31.425466667000002</v>
          </cell>
          <cell r="F3797" t="str">
            <v>-</v>
          </cell>
          <cell r="G3797" t="str">
            <v>-</v>
          </cell>
          <cell r="H3797" t="str">
            <v>-</v>
          </cell>
          <cell r="I3797" t="str">
            <v>-</v>
          </cell>
          <cell r="J3797">
            <v>31.425466667000002</v>
          </cell>
          <cell r="K3797" t="str">
            <v>Small Cap</v>
          </cell>
        </row>
        <row r="3798">
          <cell r="C3798" t="str">
            <v>INE673M01029</v>
          </cell>
          <cell r="D3798" t="str">
            <v>SULABEN</v>
          </cell>
          <cell r="E3798">
            <v>31.418373016000004</v>
          </cell>
          <cell r="F3798" t="str">
            <v>-</v>
          </cell>
          <cell r="G3798" t="str">
            <v>-</v>
          </cell>
          <cell r="H3798" t="str">
            <v>-</v>
          </cell>
          <cell r="I3798" t="str">
            <v>-</v>
          </cell>
          <cell r="J3798">
            <v>31.418373016000004</v>
          </cell>
          <cell r="K3798" t="str">
            <v>Small Cap</v>
          </cell>
        </row>
        <row r="3799">
          <cell r="C3799" t="str">
            <v>INE0XCV01014</v>
          </cell>
          <cell r="D3799" t="str">
            <v>ATENPAPERS</v>
          </cell>
          <cell r="E3799">
            <v>31.335624602999996</v>
          </cell>
          <cell r="F3799" t="str">
            <v>-</v>
          </cell>
          <cell r="G3799" t="str">
            <v>-</v>
          </cell>
          <cell r="H3799" t="str">
            <v>-</v>
          </cell>
          <cell r="I3799" t="str">
            <v>-</v>
          </cell>
          <cell r="J3799">
            <v>31.335624602999996</v>
          </cell>
          <cell r="K3799" t="str">
            <v>Small Cap</v>
          </cell>
        </row>
        <row r="3800">
          <cell r="C3800" t="str">
            <v>INE0M7501019</v>
          </cell>
          <cell r="D3800" t="str">
            <v>CCAL</v>
          </cell>
          <cell r="E3800">
            <v>31.298394637999998</v>
          </cell>
          <cell r="F3800" t="str">
            <v>-</v>
          </cell>
          <cell r="G3800" t="str">
            <v>-</v>
          </cell>
          <cell r="H3800" t="str">
            <v>-</v>
          </cell>
          <cell r="I3800" t="str">
            <v>-</v>
          </cell>
          <cell r="J3800">
            <v>31.298394637999998</v>
          </cell>
          <cell r="K3800" t="str">
            <v>Small Cap</v>
          </cell>
        </row>
        <row r="3801">
          <cell r="C3801" t="str">
            <v>INE131H01028</v>
          </cell>
          <cell r="D3801" t="str">
            <v>INDIANVSH</v>
          </cell>
          <cell r="E3801">
            <v>31.253404761999999</v>
          </cell>
          <cell r="F3801" t="str">
            <v>-</v>
          </cell>
          <cell r="G3801" t="str">
            <v>-</v>
          </cell>
          <cell r="H3801" t="str">
            <v>-</v>
          </cell>
          <cell r="I3801" t="str">
            <v>-</v>
          </cell>
          <cell r="J3801">
            <v>31.253404761999999</v>
          </cell>
          <cell r="K3801" t="str">
            <v>Small Cap</v>
          </cell>
        </row>
        <row r="3802">
          <cell r="C3802" t="str">
            <v>INE654B01014</v>
          </cell>
          <cell r="D3802" t="str">
            <v>BALTE</v>
          </cell>
          <cell r="E3802">
            <v>31.199422222000003</v>
          </cell>
          <cell r="F3802" t="str">
            <v>-</v>
          </cell>
          <cell r="G3802" t="str">
            <v>-</v>
          </cell>
          <cell r="H3802" t="str">
            <v>-</v>
          </cell>
          <cell r="I3802" t="str">
            <v>-</v>
          </cell>
          <cell r="J3802">
            <v>31.199422222000003</v>
          </cell>
          <cell r="K3802" t="str">
            <v>Small Cap</v>
          </cell>
        </row>
        <row r="3803">
          <cell r="C3803" t="str">
            <v>INE117K01013</v>
          </cell>
          <cell r="D3803" t="str">
            <v>RRMETAL</v>
          </cell>
          <cell r="E3803">
            <v>31.171174526999998</v>
          </cell>
          <cell r="F3803" t="str">
            <v>-</v>
          </cell>
          <cell r="G3803" t="str">
            <v>-</v>
          </cell>
          <cell r="H3803" t="str">
            <v>-</v>
          </cell>
          <cell r="I3803" t="str">
            <v>-</v>
          </cell>
          <cell r="J3803">
            <v>31.171174526999998</v>
          </cell>
          <cell r="K3803" t="str">
            <v>Small Cap</v>
          </cell>
        </row>
        <row r="3804">
          <cell r="C3804" t="str">
            <v>INE744D01019</v>
          </cell>
          <cell r="D3804" t="str">
            <v>PANJON</v>
          </cell>
          <cell r="E3804">
            <v>31.148438086999999</v>
          </cell>
          <cell r="F3804" t="str">
            <v>-</v>
          </cell>
          <cell r="G3804" t="str">
            <v>-</v>
          </cell>
          <cell r="H3804" t="str">
            <v>-</v>
          </cell>
          <cell r="I3804" t="str">
            <v>-</v>
          </cell>
          <cell r="J3804">
            <v>31.148438086999999</v>
          </cell>
          <cell r="K3804" t="str">
            <v>Small Cap</v>
          </cell>
        </row>
        <row r="3805">
          <cell r="C3805" t="str">
            <v>INE293B01029</v>
          </cell>
          <cell r="D3805" t="str">
            <v>HAVISHA</v>
          </cell>
          <cell r="E3805">
            <v>31.129992719000001</v>
          </cell>
          <cell r="F3805" t="str">
            <v>HAVISHA</v>
          </cell>
          <cell r="G3805">
            <v>31.0776</v>
          </cell>
          <cell r="H3805" t="str">
            <v>-</v>
          </cell>
          <cell r="I3805" t="str">
            <v>-</v>
          </cell>
          <cell r="J3805">
            <v>31.103796359500002</v>
          </cell>
          <cell r="K3805" t="str">
            <v>Small Cap</v>
          </cell>
        </row>
        <row r="3806">
          <cell r="C3806" t="str">
            <v>INE204D01022</v>
          </cell>
          <cell r="D3806" t="str">
            <v>VENLONENT</v>
          </cell>
          <cell r="E3806">
            <v>31.085942422000002</v>
          </cell>
          <cell r="F3806" t="str">
            <v>-</v>
          </cell>
          <cell r="G3806" t="str">
            <v>-</v>
          </cell>
          <cell r="H3806" t="str">
            <v>-</v>
          </cell>
          <cell r="I3806" t="str">
            <v>-</v>
          </cell>
          <cell r="J3806">
            <v>31.085942422000002</v>
          </cell>
          <cell r="K3806" t="str">
            <v>Small Cap</v>
          </cell>
        </row>
        <row r="3807">
          <cell r="C3807" t="str">
            <v>INE888B01018</v>
          </cell>
          <cell r="D3807" t="str">
            <v>PODDARHOUS</v>
          </cell>
          <cell r="E3807">
            <v>31.078083400000001</v>
          </cell>
          <cell r="F3807" t="str">
            <v>-</v>
          </cell>
          <cell r="G3807" t="str">
            <v>-</v>
          </cell>
          <cell r="H3807" t="str">
            <v>-</v>
          </cell>
          <cell r="I3807" t="str">
            <v>-</v>
          </cell>
          <cell r="J3807">
            <v>31.078083400000001</v>
          </cell>
          <cell r="K3807" t="str">
            <v>Small Cap</v>
          </cell>
        </row>
        <row r="3808">
          <cell r="C3808" t="str">
            <v>INE0NEV01011</v>
          </cell>
          <cell r="D3808" t="str">
            <v>AHASOLAR</v>
          </cell>
          <cell r="E3808">
            <v>31.038493383999999</v>
          </cell>
          <cell r="F3808" t="str">
            <v>-</v>
          </cell>
          <cell r="G3808" t="str">
            <v>-</v>
          </cell>
          <cell r="H3808" t="str">
            <v>-</v>
          </cell>
          <cell r="I3808" t="str">
            <v>-</v>
          </cell>
          <cell r="J3808">
            <v>31.038493383999999</v>
          </cell>
          <cell r="K3808" t="str">
            <v>Small Cap</v>
          </cell>
        </row>
        <row r="3809">
          <cell r="C3809" t="str">
            <v>INE656B01027</v>
          </cell>
          <cell r="D3809" t="str">
            <v>PRADHIN</v>
          </cell>
          <cell r="E3809">
            <v>31.000432514</v>
          </cell>
          <cell r="F3809" t="str">
            <v>-</v>
          </cell>
          <cell r="G3809" t="str">
            <v>-</v>
          </cell>
          <cell r="H3809" t="str">
            <v>-</v>
          </cell>
          <cell r="I3809" t="str">
            <v>-</v>
          </cell>
          <cell r="J3809">
            <v>31.000432514</v>
          </cell>
          <cell r="K3809" t="str">
            <v>Small Cap</v>
          </cell>
        </row>
        <row r="3810">
          <cell r="C3810" t="str">
            <v>INE796W01019</v>
          </cell>
          <cell r="D3810" t="str">
            <v>YUG</v>
          </cell>
          <cell r="E3810">
            <v>30.966186819999997</v>
          </cell>
          <cell r="F3810" t="str">
            <v>-</v>
          </cell>
          <cell r="G3810" t="str">
            <v>-</v>
          </cell>
          <cell r="H3810" t="str">
            <v>-</v>
          </cell>
          <cell r="I3810" t="str">
            <v>-</v>
          </cell>
          <cell r="J3810">
            <v>30.966186819999997</v>
          </cell>
          <cell r="K3810" t="str">
            <v>Small Cap</v>
          </cell>
        </row>
        <row r="3811">
          <cell r="C3811" t="str">
            <v>INE973X01012</v>
          </cell>
          <cell r="D3811" t="str">
            <v>POOJA</v>
          </cell>
          <cell r="E3811">
            <v>30.950486286</v>
          </cell>
          <cell r="F3811" t="str">
            <v>-</v>
          </cell>
          <cell r="G3811" t="str">
            <v>-</v>
          </cell>
          <cell r="H3811" t="str">
            <v>-</v>
          </cell>
          <cell r="I3811" t="str">
            <v>-</v>
          </cell>
          <cell r="J3811">
            <v>30.950486286</v>
          </cell>
          <cell r="K3811" t="str">
            <v>Small Cap</v>
          </cell>
        </row>
        <row r="3812">
          <cell r="C3812" t="str">
            <v>INE0K6L01010</v>
          </cell>
          <cell r="D3812" t="str">
            <v>GOEL</v>
          </cell>
          <cell r="E3812">
            <v>30.944061810000001</v>
          </cell>
          <cell r="F3812" t="str">
            <v>-</v>
          </cell>
          <cell r="G3812" t="str">
            <v>-</v>
          </cell>
          <cell r="H3812" t="str">
            <v>-</v>
          </cell>
          <cell r="I3812" t="str">
            <v>-</v>
          </cell>
          <cell r="J3812">
            <v>30.944061810000001</v>
          </cell>
          <cell r="K3812" t="str">
            <v>Small Cap</v>
          </cell>
        </row>
        <row r="3813">
          <cell r="C3813" t="str">
            <v>INE883D01023</v>
          </cell>
          <cell r="D3813" t="str">
            <v>KBSINDIA</v>
          </cell>
          <cell r="E3813">
            <v>30.933997664</v>
          </cell>
          <cell r="F3813" t="str">
            <v>-</v>
          </cell>
          <cell r="G3813" t="str">
            <v>-</v>
          </cell>
          <cell r="H3813" t="str">
            <v>-</v>
          </cell>
          <cell r="I3813" t="str">
            <v>-</v>
          </cell>
          <cell r="J3813">
            <v>30.933997664</v>
          </cell>
          <cell r="K3813" t="str">
            <v>Small Cap</v>
          </cell>
        </row>
        <row r="3814">
          <cell r="C3814" t="str">
            <v>INE894A01026</v>
          </cell>
          <cell r="D3814" t="str">
            <v>ASHCAP</v>
          </cell>
          <cell r="E3814">
            <v>30.922857143000002</v>
          </cell>
          <cell r="F3814" t="str">
            <v>-</v>
          </cell>
          <cell r="G3814" t="str">
            <v>-</v>
          </cell>
          <cell r="H3814" t="str">
            <v>-</v>
          </cell>
          <cell r="I3814" t="str">
            <v>-</v>
          </cell>
          <cell r="J3814">
            <v>30.922857143000002</v>
          </cell>
          <cell r="K3814" t="str">
            <v>Small Cap</v>
          </cell>
        </row>
        <row r="3815">
          <cell r="C3815" t="str">
            <v>INE286N01028</v>
          </cell>
          <cell r="D3815" t="str">
            <v>PRISMX</v>
          </cell>
          <cell r="E3815">
            <v>30.869202792000003</v>
          </cell>
          <cell r="F3815" t="str">
            <v>-</v>
          </cell>
          <cell r="G3815" t="str">
            <v>-</v>
          </cell>
          <cell r="H3815" t="str">
            <v>-</v>
          </cell>
          <cell r="I3815" t="str">
            <v>-</v>
          </cell>
          <cell r="J3815">
            <v>30.869202792000003</v>
          </cell>
          <cell r="K3815" t="str">
            <v>Small Cap</v>
          </cell>
        </row>
        <row r="3816">
          <cell r="C3816" t="str">
            <v>INE486I01016</v>
          </cell>
          <cell r="D3816" t="str">
            <v>PHRMASI</v>
          </cell>
          <cell r="E3816">
            <v>30.848864950999999</v>
          </cell>
          <cell r="F3816" t="str">
            <v>-</v>
          </cell>
          <cell r="G3816" t="str">
            <v>-</v>
          </cell>
          <cell r="H3816" t="str">
            <v>-</v>
          </cell>
          <cell r="I3816" t="str">
            <v>-</v>
          </cell>
          <cell r="J3816">
            <v>30.848864950999999</v>
          </cell>
          <cell r="K3816" t="str">
            <v>Small Cap</v>
          </cell>
        </row>
        <row r="3817">
          <cell r="C3817" t="str">
            <v>INE0US801024</v>
          </cell>
          <cell r="D3817" t="str">
            <v>MFML</v>
          </cell>
          <cell r="E3817">
            <v>30.749320505</v>
          </cell>
          <cell r="F3817" t="str">
            <v>MFML</v>
          </cell>
          <cell r="G3817">
            <v>30.517900000000001</v>
          </cell>
          <cell r="H3817" t="str">
            <v>-</v>
          </cell>
          <cell r="I3817" t="str">
            <v>-</v>
          </cell>
          <cell r="J3817">
            <v>30.633610252499999</v>
          </cell>
          <cell r="K3817" t="str">
            <v>Small Cap</v>
          </cell>
        </row>
        <row r="3818">
          <cell r="C3818" t="str">
            <v>INE837E01019</v>
          </cell>
          <cell r="D3818" t="str">
            <v>WINROC</v>
          </cell>
          <cell r="E3818">
            <v>30.618242519999999</v>
          </cell>
          <cell r="F3818" t="str">
            <v>-</v>
          </cell>
          <cell r="G3818" t="str">
            <v>-</v>
          </cell>
          <cell r="H3818" t="str">
            <v>-</v>
          </cell>
          <cell r="I3818" t="str">
            <v>-</v>
          </cell>
          <cell r="J3818">
            <v>30.618242519999999</v>
          </cell>
          <cell r="K3818" t="str">
            <v>Small Cap</v>
          </cell>
        </row>
        <row r="3819">
          <cell r="C3819" t="str">
            <v>INE425C01017</v>
          </cell>
          <cell r="D3819" t="str">
            <v>SRUSTEELS</v>
          </cell>
          <cell r="E3819">
            <v>30.596608582999998</v>
          </cell>
          <cell r="F3819" t="str">
            <v>-</v>
          </cell>
          <cell r="G3819" t="str">
            <v>-</v>
          </cell>
          <cell r="H3819" t="str">
            <v>-</v>
          </cell>
          <cell r="I3819" t="str">
            <v>-</v>
          </cell>
          <cell r="J3819">
            <v>30.596608582999998</v>
          </cell>
          <cell r="K3819" t="str">
            <v>Small Cap</v>
          </cell>
        </row>
        <row r="3820">
          <cell r="C3820" t="str">
            <v>INE685D01022</v>
          </cell>
          <cell r="D3820" t="str">
            <v>VAMA</v>
          </cell>
          <cell r="E3820">
            <v>30.593291429000001</v>
          </cell>
          <cell r="F3820" t="str">
            <v>-</v>
          </cell>
          <cell r="G3820" t="str">
            <v>-</v>
          </cell>
          <cell r="H3820" t="str">
            <v>-</v>
          </cell>
          <cell r="I3820" t="str">
            <v>-</v>
          </cell>
          <cell r="J3820">
            <v>30.593291429000001</v>
          </cell>
          <cell r="K3820" t="str">
            <v>Small Cap</v>
          </cell>
        </row>
        <row r="3821">
          <cell r="C3821" t="str">
            <v>INE07BK01011</v>
          </cell>
          <cell r="D3821" t="str">
            <v>HEMACEM</v>
          </cell>
          <cell r="E3821">
            <v>30.579075</v>
          </cell>
          <cell r="F3821" t="str">
            <v>-</v>
          </cell>
          <cell r="G3821" t="str">
            <v>-</v>
          </cell>
          <cell r="H3821" t="str">
            <v>-</v>
          </cell>
          <cell r="I3821" t="str">
            <v>-</v>
          </cell>
          <cell r="J3821">
            <v>30.579075</v>
          </cell>
          <cell r="K3821" t="str">
            <v>Small Cap</v>
          </cell>
        </row>
        <row r="3822">
          <cell r="C3822" t="str">
            <v>INE135C01012</v>
          </cell>
          <cell r="D3822" t="str">
            <v>SAHARAHOUS</v>
          </cell>
          <cell r="E3822">
            <v>30.562944443999999</v>
          </cell>
          <cell r="F3822" t="str">
            <v>-</v>
          </cell>
          <cell r="G3822" t="str">
            <v>-</v>
          </cell>
          <cell r="H3822" t="str">
            <v>-</v>
          </cell>
          <cell r="I3822" t="str">
            <v>-</v>
          </cell>
          <cell r="J3822">
            <v>30.562944443999999</v>
          </cell>
          <cell r="K3822" t="str">
            <v>Small Cap</v>
          </cell>
        </row>
        <row r="3823">
          <cell r="C3823" t="str">
            <v>INE875A01025</v>
          </cell>
          <cell r="D3823" t="str">
            <v>IVRCLINFRA</v>
          </cell>
          <cell r="E3823">
            <v>30.533009988</v>
          </cell>
          <cell r="F3823" t="str">
            <v>-</v>
          </cell>
          <cell r="G3823" t="str">
            <v>-</v>
          </cell>
          <cell r="H3823" t="str">
            <v>-</v>
          </cell>
          <cell r="I3823" t="str">
            <v>-</v>
          </cell>
          <cell r="J3823">
            <v>30.533009988</v>
          </cell>
          <cell r="K3823" t="str">
            <v>Small Cap</v>
          </cell>
        </row>
        <row r="3824">
          <cell r="C3824" t="str">
            <v>INE806J01013</v>
          </cell>
          <cell r="D3824" t="str">
            <v>HINFLUR</v>
          </cell>
          <cell r="E3824">
            <v>30.474111725</v>
          </cell>
          <cell r="F3824" t="str">
            <v>-</v>
          </cell>
          <cell r="G3824" t="str">
            <v>-</v>
          </cell>
          <cell r="H3824" t="str">
            <v>-</v>
          </cell>
          <cell r="I3824" t="str">
            <v>-</v>
          </cell>
          <cell r="J3824">
            <v>30.474111725</v>
          </cell>
          <cell r="K3824" t="str">
            <v>Small Cap</v>
          </cell>
        </row>
        <row r="3825">
          <cell r="C3825" t="str">
            <v>INE240F01013</v>
          </cell>
          <cell r="D3825" t="str">
            <v>-</v>
          </cell>
          <cell r="E3825" t="str">
            <v>-</v>
          </cell>
          <cell r="F3825" t="str">
            <v>-</v>
          </cell>
          <cell r="G3825" t="str">
            <v>-</v>
          </cell>
          <cell r="H3825" t="str">
            <v>FFL</v>
          </cell>
          <cell r="I3825">
            <v>30.429719999999996</v>
          </cell>
          <cell r="J3825">
            <v>30.429719999999996</v>
          </cell>
          <cell r="K3825" t="str">
            <v>Small Cap</v>
          </cell>
        </row>
        <row r="3826">
          <cell r="C3826" t="str">
            <v>INE360S01012</v>
          </cell>
          <cell r="D3826" t="str">
            <v>ARYAVAN</v>
          </cell>
          <cell r="E3826">
            <v>30.409949467000001</v>
          </cell>
          <cell r="F3826" t="str">
            <v>-</v>
          </cell>
          <cell r="G3826" t="str">
            <v>-</v>
          </cell>
          <cell r="H3826" t="str">
            <v>-</v>
          </cell>
          <cell r="I3826" t="str">
            <v>-</v>
          </cell>
          <cell r="J3826">
            <v>30.409949467000001</v>
          </cell>
          <cell r="K3826" t="str">
            <v>Small Cap</v>
          </cell>
        </row>
        <row r="3827">
          <cell r="C3827" t="str">
            <v>INE790C01014</v>
          </cell>
          <cell r="D3827" t="str">
            <v>PATSPINLTD</v>
          </cell>
          <cell r="E3827">
            <v>30.180373968000001</v>
          </cell>
          <cell r="F3827" t="str">
            <v>-</v>
          </cell>
          <cell r="G3827" t="str">
            <v>-</v>
          </cell>
          <cell r="H3827" t="str">
            <v>-</v>
          </cell>
          <cell r="I3827" t="str">
            <v>-</v>
          </cell>
          <cell r="J3827">
            <v>30.180373968000001</v>
          </cell>
          <cell r="K3827" t="str">
            <v>Small Cap</v>
          </cell>
        </row>
        <row r="3828">
          <cell r="C3828" t="str">
            <v>INE832D01020</v>
          </cell>
          <cell r="D3828" t="str">
            <v>HINDMILL</v>
          </cell>
          <cell r="E3828">
            <v>30.158042870999999</v>
          </cell>
          <cell r="F3828" t="str">
            <v>-</v>
          </cell>
          <cell r="G3828" t="str">
            <v>-</v>
          </cell>
          <cell r="H3828" t="str">
            <v>-</v>
          </cell>
          <cell r="I3828" t="str">
            <v>-</v>
          </cell>
          <cell r="J3828">
            <v>30.158042870999999</v>
          </cell>
          <cell r="K3828" t="str">
            <v>Small Cap</v>
          </cell>
        </row>
        <row r="3829">
          <cell r="C3829" t="str">
            <v>INE0Q9W01015</v>
          </cell>
          <cell r="D3829" t="str">
            <v>FAALCON</v>
          </cell>
          <cell r="E3829">
            <v>30.140831693999999</v>
          </cell>
          <cell r="F3829" t="str">
            <v>-</v>
          </cell>
          <cell r="G3829" t="str">
            <v>-</v>
          </cell>
          <cell r="H3829" t="str">
            <v>-</v>
          </cell>
          <cell r="I3829" t="str">
            <v>-</v>
          </cell>
          <cell r="J3829">
            <v>30.140831693999999</v>
          </cell>
          <cell r="K3829" t="str">
            <v>Small Cap</v>
          </cell>
        </row>
        <row r="3830">
          <cell r="C3830" t="str">
            <v>INE359A01012</v>
          </cell>
          <cell r="D3830" t="str">
            <v>INVIGO</v>
          </cell>
          <cell r="E3830">
            <v>30.106680556000001</v>
          </cell>
          <cell r="F3830" t="str">
            <v>-</v>
          </cell>
          <cell r="G3830" t="str">
            <v>-</v>
          </cell>
          <cell r="H3830" t="str">
            <v>-</v>
          </cell>
          <cell r="I3830" t="str">
            <v>-</v>
          </cell>
          <cell r="J3830">
            <v>30.106680556000001</v>
          </cell>
          <cell r="K3830" t="str">
            <v>Small Cap</v>
          </cell>
        </row>
        <row r="3831">
          <cell r="C3831" t="str">
            <v>INE0R8Q01018</v>
          </cell>
          <cell r="D3831" t="str">
            <v>OML</v>
          </cell>
          <cell r="E3831">
            <v>30.053894625000002</v>
          </cell>
          <cell r="F3831" t="str">
            <v>-</v>
          </cell>
          <cell r="G3831" t="str">
            <v>-</v>
          </cell>
          <cell r="H3831" t="str">
            <v>-</v>
          </cell>
          <cell r="I3831" t="str">
            <v>-</v>
          </cell>
          <cell r="J3831">
            <v>30.053894625000002</v>
          </cell>
          <cell r="K3831" t="str">
            <v>Small Cap</v>
          </cell>
        </row>
        <row r="3832">
          <cell r="C3832" t="str">
            <v>INE370C01015</v>
          </cell>
          <cell r="D3832" t="str">
            <v>POPULARES</v>
          </cell>
          <cell r="E3832">
            <v>30.026984506000002</v>
          </cell>
          <cell r="F3832" t="str">
            <v>-</v>
          </cell>
          <cell r="G3832" t="str">
            <v>-</v>
          </cell>
          <cell r="H3832" t="str">
            <v>-</v>
          </cell>
          <cell r="I3832" t="str">
            <v>-</v>
          </cell>
          <cell r="J3832">
            <v>30.026984506000002</v>
          </cell>
          <cell r="K3832" t="str">
            <v>Small Cap</v>
          </cell>
        </row>
        <row r="3833">
          <cell r="C3833" t="str">
            <v>INE344I01017</v>
          </cell>
          <cell r="D3833" t="str">
            <v>SONALAD</v>
          </cell>
          <cell r="E3833">
            <v>29.979918745999999</v>
          </cell>
          <cell r="F3833" t="str">
            <v>-</v>
          </cell>
          <cell r="G3833" t="str">
            <v>-</v>
          </cell>
          <cell r="H3833" t="str">
            <v>-</v>
          </cell>
          <cell r="I3833" t="str">
            <v>-</v>
          </cell>
          <cell r="J3833">
            <v>29.979918745999999</v>
          </cell>
          <cell r="K3833" t="str">
            <v>Small Cap</v>
          </cell>
        </row>
        <row r="3834">
          <cell r="C3834" t="str">
            <v>INE491C01027</v>
          </cell>
          <cell r="D3834" t="str">
            <v>MUDUNURU</v>
          </cell>
          <cell r="E3834">
            <v>29.978571429000002</v>
          </cell>
          <cell r="F3834" t="str">
            <v>-</v>
          </cell>
          <cell r="G3834" t="str">
            <v>-</v>
          </cell>
          <cell r="H3834" t="str">
            <v>-</v>
          </cell>
          <cell r="I3834" t="str">
            <v>-</v>
          </cell>
          <cell r="J3834">
            <v>29.978571429000002</v>
          </cell>
          <cell r="K3834" t="str">
            <v>Small Cap</v>
          </cell>
        </row>
        <row r="3835">
          <cell r="C3835" t="str">
            <v>INE996E01021</v>
          </cell>
          <cell r="D3835" t="str">
            <v>LINKSONI</v>
          </cell>
          <cell r="E3835">
            <v>29.967102000000001</v>
          </cell>
          <cell r="F3835" t="str">
            <v>-</v>
          </cell>
          <cell r="G3835" t="str">
            <v>-</v>
          </cell>
          <cell r="H3835" t="str">
            <v>-</v>
          </cell>
          <cell r="I3835" t="str">
            <v>-</v>
          </cell>
          <cell r="J3835">
            <v>29.967102000000001</v>
          </cell>
          <cell r="K3835" t="str">
            <v>Small Cap</v>
          </cell>
        </row>
        <row r="3836">
          <cell r="C3836" t="str">
            <v>INE015F01019</v>
          </cell>
          <cell r="D3836" t="str">
            <v>RSCINT</v>
          </cell>
          <cell r="E3836">
            <v>29.939600550999998</v>
          </cell>
          <cell r="F3836" t="str">
            <v>-</v>
          </cell>
          <cell r="G3836" t="str">
            <v>-</v>
          </cell>
          <cell r="H3836" t="str">
            <v>-</v>
          </cell>
          <cell r="I3836" t="str">
            <v>-</v>
          </cell>
          <cell r="J3836">
            <v>29.939600550999998</v>
          </cell>
          <cell r="K3836" t="str">
            <v>Small Cap</v>
          </cell>
        </row>
        <row r="3837">
          <cell r="C3837" t="str">
            <v>INE957C01019</v>
          </cell>
          <cell r="D3837" t="str">
            <v>ARUNAHTEL</v>
          </cell>
          <cell r="E3837">
            <v>29.863747619000002</v>
          </cell>
          <cell r="F3837" t="str">
            <v>-</v>
          </cell>
          <cell r="G3837" t="str">
            <v>-</v>
          </cell>
          <cell r="H3837" t="str">
            <v>-</v>
          </cell>
          <cell r="I3837" t="str">
            <v>-</v>
          </cell>
          <cell r="J3837">
            <v>29.863747619000002</v>
          </cell>
          <cell r="K3837" t="str">
            <v>Small Cap</v>
          </cell>
        </row>
        <row r="3838">
          <cell r="C3838" t="str">
            <v>INE161G01027</v>
          </cell>
          <cell r="D3838" t="str">
            <v>MORARJEE</v>
          </cell>
          <cell r="E3838">
            <v>29.913922362000001</v>
          </cell>
          <cell r="F3838" t="str">
            <v>MORARJEE</v>
          </cell>
          <cell r="G3838">
            <v>29.756799999999998</v>
          </cell>
          <cell r="H3838" t="str">
            <v>-</v>
          </cell>
          <cell r="I3838" t="str">
            <v>-</v>
          </cell>
          <cell r="J3838">
            <v>29.835361181</v>
          </cell>
          <cell r="K3838" t="str">
            <v>Small Cap</v>
          </cell>
        </row>
        <row r="3839">
          <cell r="C3839" t="str">
            <v>INE212B01011</v>
          </cell>
          <cell r="D3839" t="str">
            <v>LIBORDFIN</v>
          </cell>
          <cell r="E3839">
            <v>29.828504762000001</v>
          </cell>
          <cell r="F3839" t="str">
            <v>-</v>
          </cell>
          <cell r="G3839" t="str">
            <v>-</v>
          </cell>
          <cell r="H3839" t="str">
            <v>-</v>
          </cell>
          <cell r="I3839" t="str">
            <v>-</v>
          </cell>
          <cell r="J3839">
            <v>29.828504762000001</v>
          </cell>
          <cell r="K3839" t="str">
            <v>Small Cap</v>
          </cell>
        </row>
        <row r="3840">
          <cell r="C3840" t="str">
            <v>INE890C01046</v>
          </cell>
          <cell r="D3840" t="str">
            <v>SANWARIA</v>
          </cell>
          <cell r="E3840">
            <v>36.068899999999999</v>
          </cell>
          <cell r="F3840" t="str">
            <v>SANWARIA</v>
          </cell>
          <cell r="G3840">
            <v>23.520099999999999</v>
          </cell>
          <cell r="H3840" t="str">
            <v>-</v>
          </cell>
          <cell r="I3840" t="str">
            <v>-</v>
          </cell>
          <cell r="J3840">
            <v>29.794499999999999</v>
          </cell>
          <cell r="K3840" t="str">
            <v>Small Cap</v>
          </cell>
        </row>
        <row r="3841">
          <cell r="C3841" t="str">
            <v>INE786E01018</v>
          </cell>
          <cell r="D3841" t="str">
            <v>IITLPROJ</v>
          </cell>
          <cell r="E3841">
            <v>29.788226260000002</v>
          </cell>
          <cell r="F3841" t="str">
            <v>-</v>
          </cell>
          <cell r="G3841" t="str">
            <v>-</v>
          </cell>
          <cell r="H3841" t="str">
            <v>-</v>
          </cell>
          <cell r="I3841" t="str">
            <v>-</v>
          </cell>
          <cell r="J3841">
            <v>29.788226260000002</v>
          </cell>
          <cell r="K3841" t="str">
            <v>Small Cap</v>
          </cell>
        </row>
        <row r="3842">
          <cell r="C3842" t="str">
            <v>INE974C01022</v>
          </cell>
          <cell r="D3842" t="str">
            <v>WINPRO</v>
          </cell>
          <cell r="E3842">
            <v>29.714133873000002</v>
          </cell>
          <cell r="F3842" t="str">
            <v>-</v>
          </cell>
          <cell r="G3842" t="str">
            <v>-</v>
          </cell>
          <cell r="H3842" t="str">
            <v>-</v>
          </cell>
          <cell r="I3842" t="str">
            <v>-</v>
          </cell>
          <cell r="J3842">
            <v>29.714133873000002</v>
          </cell>
          <cell r="K3842" t="str">
            <v>Small Cap</v>
          </cell>
        </row>
        <row r="3843">
          <cell r="C3843" t="str">
            <v>INE832F01017</v>
          </cell>
          <cell r="D3843" t="str">
            <v>-</v>
          </cell>
          <cell r="E3843" t="str">
            <v>-</v>
          </cell>
          <cell r="F3843" t="str">
            <v>-</v>
          </cell>
          <cell r="G3843" t="str">
            <v>-</v>
          </cell>
          <cell r="H3843" t="str">
            <v>JPWL</v>
          </cell>
          <cell r="I3843">
            <v>29.700190000000017</v>
          </cell>
          <cell r="J3843">
            <v>29.700190000000017</v>
          </cell>
          <cell r="K3843" t="str">
            <v>Small Cap</v>
          </cell>
        </row>
        <row r="3844">
          <cell r="C3844" t="str">
            <v>INE0POP01017</v>
          </cell>
          <cell r="D3844" t="str">
            <v>ACCELERATE</v>
          </cell>
          <cell r="E3844">
            <v>29.644626508999998</v>
          </cell>
          <cell r="F3844" t="str">
            <v>-</v>
          </cell>
          <cell r="G3844" t="str">
            <v>-</v>
          </cell>
          <cell r="H3844" t="str">
            <v>-</v>
          </cell>
          <cell r="I3844" t="str">
            <v>-</v>
          </cell>
          <cell r="J3844">
            <v>29.644626508999998</v>
          </cell>
          <cell r="K3844" t="str">
            <v>Small Cap</v>
          </cell>
        </row>
        <row r="3845">
          <cell r="C3845" t="str">
            <v>INE316D01024</v>
          </cell>
          <cell r="D3845" t="str">
            <v>VERTEX</v>
          </cell>
          <cell r="E3845">
            <v>29.640119500000001</v>
          </cell>
          <cell r="F3845" t="str">
            <v>-</v>
          </cell>
          <cell r="G3845" t="str">
            <v>-</v>
          </cell>
          <cell r="H3845" t="str">
            <v>-</v>
          </cell>
          <cell r="I3845" t="str">
            <v>-</v>
          </cell>
          <cell r="J3845">
            <v>29.640119500000001</v>
          </cell>
          <cell r="K3845" t="str">
            <v>Small Cap</v>
          </cell>
        </row>
        <row r="3846">
          <cell r="C3846" t="str">
            <v>INE866D01010</v>
          </cell>
          <cell r="D3846" t="str">
            <v>MARIS</v>
          </cell>
          <cell r="E3846">
            <v>29.601195960000002</v>
          </cell>
          <cell r="F3846" t="str">
            <v>-</v>
          </cell>
          <cell r="G3846" t="str">
            <v>-</v>
          </cell>
          <cell r="H3846" t="str">
            <v>-</v>
          </cell>
          <cell r="I3846" t="str">
            <v>-</v>
          </cell>
          <cell r="J3846">
            <v>29.601195960000002</v>
          </cell>
          <cell r="K3846" t="str">
            <v>Small Cap</v>
          </cell>
        </row>
        <row r="3847">
          <cell r="C3847" t="str">
            <v>INE051N01026</v>
          </cell>
          <cell r="D3847" t="str">
            <v>SHREEGANES</v>
          </cell>
          <cell r="E3847">
            <v>29.548794920999999</v>
          </cell>
          <cell r="F3847" t="str">
            <v>-</v>
          </cell>
          <cell r="G3847" t="str">
            <v>-</v>
          </cell>
          <cell r="H3847" t="str">
            <v>SHREEGANES</v>
          </cell>
          <cell r="I3847">
            <v>29.627886984126988</v>
          </cell>
          <cell r="J3847">
            <v>29.588340952563492</v>
          </cell>
          <cell r="K3847" t="str">
            <v>Small Cap</v>
          </cell>
        </row>
        <row r="3848">
          <cell r="C3848" t="str">
            <v>INE319U01022</v>
          </cell>
          <cell r="D3848" t="str">
            <v xml:space="preserve">CONTAINER </v>
          </cell>
          <cell r="E3848">
            <v>29.528396999999998</v>
          </cell>
          <cell r="F3848" t="str">
            <v>-</v>
          </cell>
          <cell r="G3848" t="str">
            <v>-</v>
          </cell>
          <cell r="H3848" t="str">
            <v>-</v>
          </cell>
          <cell r="I3848" t="str">
            <v>-</v>
          </cell>
          <cell r="J3848">
            <v>29.528396999999998</v>
          </cell>
          <cell r="K3848" t="str">
            <v>Small Cap</v>
          </cell>
        </row>
        <row r="3849">
          <cell r="C3849" t="str">
            <v>INE523I01016</v>
          </cell>
          <cell r="D3849" t="str">
            <v>PWASML</v>
          </cell>
          <cell r="E3849">
            <v>29.524547716000004</v>
          </cell>
          <cell r="F3849" t="str">
            <v>-</v>
          </cell>
          <cell r="G3849" t="str">
            <v>-</v>
          </cell>
          <cell r="H3849" t="str">
            <v>-</v>
          </cell>
          <cell r="I3849" t="str">
            <v>-</v>
          </cell>
          <cell r="J3849">
            <v>29.524547716000004</v>
          </cell>
          <cell r="K3849" t="str">
            <v>Small Cap</v>
          </cell>
        </row>
        <row r="3850">
          <cell r="C3850" t="str">
            <v>INE807D01030</v>
          </cell>
          <cell r="D3850" t="str">
            <v>EPUJA</v>
          </cell>
          <cell r="E3850">
            <v>29.509088107</v>
          </cell>
          <cell r="F3850" t="str">
            <v>-</v>
          </cell>
          <cell r="G3850" t="str">
            <v>-</v>
          </cell>
          <cell r="H3850" t="str">
            <v>-</v>
          </cell>
          <cell r="I3850" t="str">
            <v>-</v>
          </cell>
          <cell r="J3850">
            <v>29.509088107</v>
          </cell>
          <cell r="K3850" t="str">
            <v>Small Cap</v>
          </cell>
        </row>
        <row r="3851">
          <cell r="C3851" t="str">
            <v>INE534A01028</v>
          </cell>
          <cell r="D3851" t="str">
            <v>GFSTEELS</v>
          </cell>
          <cell r="E3851">
            <v>27.984007619</v>
          </cell>
          <cell r="F3851" t="str">
            <v>GFSTEELS</v>
          </cell>
          <cell r="G3851">
            <v>30.9176</v>
          </cell>
          <cell r="H3851" t="str">
            <v>-</v>
          </cell>
          <cell r="I3851" t="str">
            <v>-</v>
          </cell>
          <cell r="J3851">
            <v>29.450803809500002</v>
          </cell>
          <cell r="K3851" t="str">
            <v>Small Cap</v>
          </cell>
        </row>
        <row r="3852">
          <cell r="C3852" t="str">
            <v>INE266H01014</v>
          </cell>
          <cell r="D3852" t="str">
            <v>CELLA</v>
          </cell>
          <cell r="E3852">
            <v>29.442367410000003</v>
          </cell>
          <cell r="F3852" t="str">
            <v>-</v>
          </cell>
          <cell r="G3852" t="str">
            <v>-</v>
          </cell>
          <cell r="H3852" t="str">
            <v>-</v>
          </cell>
          <cell r="I3852" t="str">
            <v>-</v>
          </cell>
          <cell r="J3852">
            <v>29.442367410000003</v>
          </cell>
          <cell r="K3852" t="str">
            <v>Small Cap</v>
          </cell>
        </row>
        <row r="3853">
          <cell r="C3853" t="str">
            <v>INE0XZB01017</v>
          </cell>
          <cell r="D3853" t="str">
            <v>KRUPALU</v>
          </cell>
          <cell r="E3853">
            <v>29.428694356000001</v>
          </cell>
          <cell r="F3853" t="str">
            <v>-</v>
          </cell>
          <cell r="G3853" t="str">
            <v>-</v>
          </cell>
          <cell r="H3853" t="str">
            <v>-</v>
          </cell>
          <cell r="I3853" t="str">
            <v>-</v>
          </cell>
          <cell r="J3853">
            <v>29.428694356000001</v>
          </cell>
          <cell r="K3853" t="str">
            <v>Small Cap</v>
          </cell>
        </row>
        <row r="3854">
          <cell r="C3854" t="str">
            <v>INE731G01027</v>
          </cell>
          <cell r="D3854" t="str">
            <v>KHOOBSURAT</v>
          </cell>
          <cell r="E3854">
            <v>29.351022524000001</v>
          </cell>
          <cell r="F3854" t="str">
            <v>-</v>
          </cell>
          <cell r="G3854" t="str">
            <v>-</v>
          </cell>
          <cell r="H3854" t="str">
            <v>-</v>
          </cell>
          <cell r="I3854" t="str">
            <v>-</v>
          </cell>
          <cell r="J3854">
            <v>29.351022524000001</v>
          </cell>
          <cell r="K3854" t="str">
            <v>Small Cap</v>
          </cell>
        </row>
        <row r="3855">
          <cell r="C3855" t="str">
            <v>INE344D01018</v>
          </cell>
          <cell r="D3855" t="str">
            <v>KAMANWALA</v>
          </cell>
          <cell r="E3855">
            <v>29.337261399999999</v>
          </cell>
          <cell r="F3855" t="str">
            <v>-</v>
          </cell>
          <cell r="G3855" t="str">
            <v>-</v>
          </cell>
          <cell r="H3855" t="str">
            <v>-</v>
          </cell>
          <cell r="I3855" t="str">
            <v>-</v>
          </cell>
          <cell r="J3855">
            <v>29.337261399999999</v>
          </cell>
          <cell r="K3855" t="str">
            <v>Small Cap</v>
          </cell>
        </row>
        <row r="3856">
          <cell r="C3856" t="str">
            <v>INE0LKQ01012</v>
          </cell>
          <cell r="D3856" t="str">
            <v>COMMAND</v>
          </cell>
          <cell r="E3856">
            <v>29.312085127999996</v>
          </cell>
          <cell r="F3856" t="str">
            <v>-</v>
          </cell>
          <cell r="G3856" t="str">
            <v>-</v>
          </cell>
          <cell r="H3856" t="str">
            <v>-</v>
          </cell>
          <cell r="I3856" t="str">
            <v>-</v>
          </cell>
          <cell r="J3856">
            <v>29.312085127999996</v>
          </cell>
          <cell r="K3856" t="str">
            <v>Small Cap</v>
          </cell>
        </row>
        <row r="3857">
          <cell r="C3857" t="str">
            <v>INE280F01019</v>
          </cell>
          <cell r="D3857" t="str">
            <v>JAINEX</v>
          </cell>
          <cell r="E3857">
            <v>29.309669020999998</v>
          </cell>
          <cell r="F3857" t="str">
            <v>-</v>
          </cell>
          <cell r="G3857" t="str">
            <v>-</v>
          </cell>
          <cell r="H3857" t="str">
            <v>-</v>
          </cell>
          <cell r="I3857" t="str">
            <v>-</v>
          </cell>
          <cell r="J3857">
            <v>29.309669020999998</v>
          </cell>
          <cell r="K3857" t="str">
            <v>Small Cap</v>
          </cell>
        </row>
        <row r="3858">
          <cell r="C3858" t="str">
            <v>INE502C01039</v>
          </cell>
          <cell r="D3858" t="str">
            <v>STDBAT</v>
          </cell>
          <cell r="E3858">
            <v>29.299758412999999</v>
          </cell>
          <cell r="F3858" t="str">
            <v>-</v>
          </cell>
          <cell r="G3858" t="str">
            <v>-</v>
          </cell>
          <cell r="H3858" t="str">
            <v>-</v>
          </cell>
          <cell r="I3858" t="str">
            <v>-</v>
          </cell>
          <cell r="J3858">
            <v>29.299758412999999</v>
          </cell>
          <cell r="K3858" t="str">
            <v>Small Cap</v>
          </cell>
        </row>
        <row r="3859">
          <cell r="C3859" t="str">
            <v>INE0MPU01011</v>
          </cell>
          <cell r="D3859" t="str">
            <v>TRANSVOY</v>
          </cell>
          <cell r="E3859">
            <v>29.276066833999998</v>
          </cell>
          <cell r="F3859" t="str">
            <v>-</v>
          </cell>
          <cell r="G3859" t="str">
            <v>-</v>
          </cell>
          <cell r="H3859" t="str">
            <v>-</v>
          </cell>
          <cell r="I3859" t="str">
            <v>-</v>
          </cell>
          <cell r="J3859">
            <v>29.276066833999998</v>
          </cell>
          <cell r="K3859" t="str">
            <v>Small Cap</v>
          </cell>
        </row>
        <row r="3860">
          <cell r="C3860" t="str">
            <v>INE328F01016</v>
          </cell>
          <cell r="D3860" t="str">
            <v>ESHAMEDIA</v>
          </cell>
          <cell r="E3860">
            <v>29.207274124000001</v>
          </cell>
          <cell r="F3860" t="str">
            <v>-</v>
          </cell>
          <cell r="G3860" t="str">
            <v>-</v>
          </cell>
          <cell r="H3860" t="str">
            <v>-</v>
          </cell>
          <cell r="I3860" t="str">
            <v>-</v>
          </cell>
          <cell r="J3860">
            <v>29.207274124000001</v>
          </cell>
          <cell r="K3860" t="str">
            <v>Small Cap</v>
          </cell>
        </row>
        <row r="3861">
          <cell r="C3861" t="str">
            <v>INE089T01023</v>
          </cell>
          <cell r="D3861" t="str">
            <v>BOMBWIR</v>
          </cell>
          <cell r="E3861">
            <v>29.156890650999998</v>
          </cell>
          <cell r="F3861" t="str">
            <v>-</v>
          </cell>
          <cell r="G3861" t="str">
            <v>-</v>
          </cell>
          <cell r="H3861" t="str">
            <v>-</v>
          </cell>
          <cell r="I3861" t="str">
            <v>-</v>
          </cell>
          <cell r="J3861">
            <v>29.156890650999998</v>
          </cell>
          <cell r="K3861" t="str">
            <v>Small Cap</v>
          </cell>
        </row>
        <row r="3862">
          <cell r="C3862" t="str">
            <v>INE013801027</v>
          </cell>
          <cell r="D3862" t="str">
            <v>-</v>
          </cell>
          <cell r="E3862" t="str">
            <v>-</v>
          </cell>
          <cell r="F3862" t="str">
            <v>KSHITIJPOL</v>
          </cell>
          <cell r="G3862">
            <v>29.142099999999999</v>
          </cell>
          <cell r="H3862" t="str">
            <v>-</v>
          </cell>
          <cell r="I3862" t="str">
            <v>-</v>
          </cell>
          <cell r="J3862">
            <v>29.142099999999999</v>
          </cell>
          <cell r="K3862" t="str">
            <v>Small Cap</v>
          </cell>
        </row>
        <row r="3863">
          <cell r="C3863" t="str">
            <v>INE0QA901010</v>
          </cell>
          <cell r="D3863" t="str">
            <v>RAPID</v>
          </cell>
          <cell r="E3863">
            <v>29.114966705000001</v>
          </cell>
          <cell r="F3863" t="str">
            <v>-</v>
          </cell>
          <cell r="G3863" t="str">
            <v>-</v>
          </cell>
          <cell r="H3863" t="str">
            <v>-</v>
          </cell>
          <cell r="I3863" t="str">
            <v>-</v>
          </cell>
          <cell r="J3863">
            <v>29.114966705000001</v>
          </cell>
          <cell r="K3863" t="str">
            <v>Small Cap</v>
          </cell>
        </row>
        <row r="3864">
          <cell r="C3864" t="str">
            <v>INE635I01018</v>
          </cell>
          <cell r="D3864" t="str">
            <v>PARSHWANA</v>
          </cell>
          <cell r="E3864">
            <v>29.114501274000002</v>
          </cell>
          <cell r="F3864" t="str">
            <v>-</v>
          </cell>
          <cell r="G3864" t="str">
            <v>-</v>
          </cell>
          <cell r="H3864" t="str">
            <v>-</v>
          </cell>
          <cell r="I3864" t="str">
            <v>-</v>
          </cell>
          <cell r="J3864">
            <v>29.114501274000002</v>
          </cell>
          <cell r="K3864" t="str">
            <v>Small Cap</v>
          </cell>
        </row>
        <row r="3865">
          <cell r="C3865" t="str">
            <v>INE844C01027</v>
          </cell>
          <cell r="D3865" t="str">
            <v>MPILCORPL</v>
          </cell>
          <cell r="E3865">
            <v>29.107989675999999</v>
          </cell>
          <cell r="F3865" t="str">
            <v>-</v>
          </cell>
          <cell r="G3865" t="str">
            <v>-</v>
          </cell>
          <cell r="H3865" t="str">
            <v>-</v>
          </cell>
          <cell r="I3865" t="str">
            <v>-</v>
          </cell>
          <cell r="J3865">
            <v>29.107989675999999</v>
          </cell>
          <cell r="K3865" t="str">
            <v>Small Cap</v>
          </cell>
        </row>
        <row r="3866">
          <cell r="C3866" t="str">
            <v>INE125F01032</v>
          </cell>
          <cell r="D3866" t="str">
            <v>OIVL</v>
          </cell>
          <cell r="E3866">
            <v>29.078322619000001</v>
          </cell>
          <cell r="F3866" t="str">
            <v>-</v>
          </cell>
          <cell r="G3866" t="str">
            <v>-</v>
          </cell>
          <cell r="H3866" t="str">
            <v>-</v>
          </cell>
          <cell r="I3866" t="str">
            <v>-</v>
          </cell>
          <cell r="J3866">
            <v>29.078322619000001</v>
          </cell>
          <cell r="K3866" t="str">
            <v>Small Cap</v>
          </cell>
        </row>
        <row r="3867">
          <cell r="C3867" t="str">
            <v>INE175C01018</v>
          </cell>
          <cell r="D3867" t="str">
            <v>SPENTA</v>
          </cell>
          <cell r="E3867">
            <v>29.034176699</v>
          </cell>
          <cell r="F3867" t="str">
            <v>-</v>
          </cell>
          <cell r="G3867" t="str">
            <v>-</v>
          </cell>
          <cell r="H3867" t="str">
            <v>-</v>
          </cell>
          <cell r="I3867" t="str">
            <v>-</v>
          </cell>
          <cell r="J3867">
            <v>29.034176699</v>
          </cell>
          <cell r="K3867" t="str">
            <v>Small Cap</v>
          </cell>
        </row>
        <row r="3868">
          <cell r="C3868" t="str">
            <v>INE096A01010</v>
          </cell>
          <cell r="D3868" t="str">
            <v>UTIQUE</v>
          </cell>
          <cell r="E3868">
            <v>28.943395686999999</v>
          </cell>
          <cell r="F3868" t="str">
            <v>-</v>
          </cell>
          <cell r="G3868" t="str">
            <v>-</v>
          </cell>
          <cell r="H3868" t="str">
            <v>-</v>
          </cell>
          <cell r="I3868" t="str">
            <v>-</v>
          </cell>
          <cell r="J3868">
            <v>28.943395686999999</v>
          </cell>
          <cell r="K3868" t="str">
            <v>Small Cap</v>
          </cell>
        </row>
        <row r="3869">
          <cell r="C3869" t="str">
            <v>INE741B01027</v>
          </cell>
          <cell r="D3869" t="str">
            <v>GLITTEKG</v>
          </cell>
          <cell r="E3869">
            <v>28.929485002999996</v>
          </cell>
          <cell r="F3869" t="str">
            <v>-</v>
          </cell>
          <cell r="G3869" t="str">
            <v>-</v>
          </cell>
          <cell r="H3869" t="str">
            <v>-</v>
          </cell>
          <cell r="I3869" t="str">
            <v>-</v>
          </cell>
          <cell r="J3869">
            <v>28.929485002999996</v>
          </cell>
          <cell r="K3869" t="str">
            <v>Small Cap</v>
          </cell>
        </row>
        <row r="3870">
          <cell r="C3870" t="str">
            <v>INE0OH401016</v>
          </cell>
          <cell r="D3870" t="str">
            <v>KKSHL</v>
          </cell>
          <cell r="E3870">
            <v>28.920254793999998</v>
          </cell>
          <cell r="F3870" t="str">
            <v>-</v>
          </cell>
          <cell r="G3870" t="str">
            <v>-</v>
          </cell>
          <cell r="H3870" t="str">
            <v>-</v>
          </cell>
          <cell r="I3870" t="str">
            <v>-</v>
          </cell>
          <cell r="J3870">
            <v>28.920254793999998</v>
          </cell>
          <cell r="K3870" t="str">
            <v>Small Cap</v>
          </cell>
        </row>
        <row r="3871">
          <cell r="C3871" t="str">
            <v>INE690D01014</v>
          </cell>
          <cell r="D3871" t="str">
            <v>SUBSM</v>
          </cell>
          <cell r="E3871">
            <v>28.914488689999999</v>
          </cell>
          <cell r="F3871" t="str">
            <v>-</v>
          </cell>
          <cell r="G3871" t="str">
            <v>-</v>
          </cell>
          <cell r="H3871" t="str">
            <v>-</v>
          </cell>
          <cell r="I3871" t="str">
            <v>-</v>
          </cell>
          <cell r="J3871">
            <v>28.914488689999999</v>
          </cell>
          <cell r="K3871" t="str">
            <v>Small Cap</v>
          </cell>
        </row>
        <row r="3872">
          <cell r="C3872" t="str">
            <v>INE910D01024</v>
          </cell>
          <cell r="D3872" t="str">
            <v>BOMTALKIES</v>
          </cell>
          <cell r="E3872">
            <v>28.911000000000001</v>
          </cell>
          <cell r="F3872" t="str">
            <v>-</v>
          </cell>
          <cell r="G3872" t="str">
            <v>-</v>
          </cell>
          <cell r="H3872" t="str">
            <v>-</v>
          </cell>
          <cell r="I3872" t="str">
            <v>-</v>
          </cell>
          <cell r="J3872">
            <v>28.911000000000001</v>
          </cell>
          <cell r="K3872" t="str">
            <v>Small Cap</v>
          </cell>
        </row>
        <row r="3873">
          <cell r="C3873" t="str">
            <v>INE930A01010</v>
          </cell>
          <cell r="D3873" t="str">
            <v>HEMANG</v>
          </cell>
          <cell r="E3873">
            <v>28.733047619000001</v>
          </cell>
          <cell r="F3873" t="str">
            <v>-</v>
          </cell>
          <cell r="G3873" t="str">
            <v>-</v>
          </cell>
          <cell r="H3873" t="str">
            <v>-</v>
          </cell>
          <cell r="I3873" t="str">
            <v>-</v>
          </cell>
          <cell r="J3873">
            <v>28.733047619000001</v>
          </cell>
          <cell r="K3873" t="str">
            <v>Small Cap</v>
          </cell>
        </row>
        <row r="3874">
          <cell r="C3874" t="str">
            <v>INE272E01027</v>
          </cell>
          <cell r="D3874" t="str">
            <v>MAHACORP</v>
          </cell>
          <cell r="E3874">
            <v>28.722665170999999</v>
          </cell>
          <cell r="F3874" t="str">
            <v>-</v>
          </cell>
          <cell r="G3874" t="str">
            <v>-</v>
          </cell>
          <cell r="H3874" t="str">
            <v>-</v>
          </cell>
          <cell r="I3874" t="str">
            <v>-</v>
          </cell>
          <cell r="J3874">
            <v>28.722665170999999</v>
          </cell>
          <cell r="K3874" t="str">
            <v>Small Cap</v>
          </cell>
        </row>
        <row r="3875">
          <cell r="C3875" t="str">
            <v>INE404L01039</v>
          </cell>
          <cell r="D3875" t="str">
            <v>ESARIND</v>
          </cell>
          <cell r="E3875">
            <v>28.674500060000003</v>
          </cell>
          <cell r="F3875" t="str">
            <v>-</v>
          </cell>
          <cell r="G3875" t="str">
            <v>-</v>
          </cell>
          <cell r="H3875" t="str">
            <v>-</v>
          </cell>
          <cell r="I3875" t="str">
            <v>-</v>
          </cell>
          <cell r="J3875">
            <v>28.674500060000003</v>
          </cell>
          <cell r="K3875" t="str">
            <v>Small Cap</v>
          </cell>
        </row>
        <row r="3876">
          <cell r="C3876" t="str">
            <v>INE988C01014</v>
          </cell>
          <cell r="D3876" t="str">
            <v>DHARSUGAR</v>
          </cell>
          <cell r="E3876">
            <v>28.651599999999998</v>
          </cell>
          <cell r="F3876" t="str">
            <v>-</v>
          </cell>
          <cell r="G3876" t="str">
            <v>-</v>
          </cell>
          <cell r="H3876" t="str">
            <v>-</v>
          </cell>
          <cell r="I3876" t="str">
            <v>-</v>
          </cell>
          <cell r="J3876">
            <v>28.651599999999998</v>
          </cell>
          <cell r="K3876" t="str">
            <v>Small Cap</v>
          </cell>
        </row>
        <row r="3877">
          <cell r="C3877" t="str">
            <v>INE008Z01020</v>
          </cell>
          <cell r="D3877" t="str">
            <v>-</v>
          </cell>
          <cell r="E3877" t="str">
            <v>-</v>
          </cell>
          <cell r="F3877" t="str">
            <v>SRPL</v>
          </cell>
          <cell r="G3877">
            <v>28.628</v>
          </cell>
          <cell r="H3877" t="str">
            <v>-</v>
          </cell>
          <cell r="I3877" t="str">
            <v>-</v>
          </cell>
          <cell r="J3877">
            <v>28.628</v>
          </cell>
          <cell r="K3877" t="str">
            <v>Small Cap</v>
          </cell>
        </row>
        <row r="3878">
          <cell r="C3878" t="str">
            <v>INE961E01017</v>
          </cell>
          <cell r="D3878" t="str">
            <v>TRADWIN</v>
          </cell>
          <cell r="E3878">
            <v>28.613309524000002</v>
          </cell>
          <cell r="F3878" t="str">
            <v>-</v>
          </cell>
          <cell r="G3878" t="str">
            <v>-</v>
          </cell>
          <cell r="H3878" t="str">
            <v>-</v>
          </cell>
          <cell r="I3878" t="str">
            <v>-</v>
          </cell>
          <cell r="J3878">
            <v>28.613309524000002</v>
          </cell>
          <cell r="K3878" t="str">
            <v>Small Cap</v>
          </cell>
        </row>
        <row r="3879">
          <cell r="C3879" t="str">
            <v>INE0NR501012</v>
          </cell>
          <cell r="D3879" t="str">
            <v>VIKRAMAR</v>
          </cell>
          <cell r="E3879">
            <v>28.610329935000003</v>
          </cell>
          <cell r="F3879" t="str">
            <v>-</v>
          </cell>
          <cell r="G3879" t="str">
            <v>-</v>
          </cell>
          <cell r="H3879" t="str">
            <v>-</v>
          </cell>
          <cell r="I3879" t="str">
            <v>-</v>
          </cell>
          <cell r="J3879">
            <v>28.610329935000003</v>
          </cell>
          <cell r="K3879" t="str">
            <v>Small Cap</v>
          </cell>
        </row>
        <row r="3880">
          <cell r="C3880" t="str">
            <v>INE021N01011</v>
          </cell>
          <cell r="D3880" t="str">
            <v>ARIGATO</v>
          </cell>
          <cell r="E3880">
            <v>28.56050347</v>
          </cell>
          <cell r="F3880" t="str">
            <v>-</v>
          </cell>
          <cell r="G3880" t="str">
            <v>-</v>
          </cell>
          <cell r="H3880" t="str">
            <v>-</v>
          </cell>
          <cell r="I3880" t="str">
            <v>-</v>
          </cell>
          <cell r="J3880">
            <v>28.56050347</v>
          </cell>
          <cell r="K3880" t="str">
            <v>Small Cap</v>
          </cell>
        </row>
        <row r="3881">
          <cell r="C3881" t="str">
            <v>INE017E01018</v>
          </cell>
          <cell r="D3881" t="str">
            <v>INTECCAP</v>
          </cell>
          <cell r="E3881">
            <v>28.557040764</v>
          </cell>
          <cell r="F3881" t="str">
            <v>-</v>
          </cell>
          <cell r="G3881" t="str">
            <v>-</v>
          </cell>
          <cell r="H3881" t="str">
            <v>-</v>
          </cell>
          <cell r="I3881" t="str">
            <v>-</v>
          </cell>
          <cell r="J3881">
            <v>28.557040764</v>
          </cell>
          <cell r="K3881" t="str">
            <v>Small Cap</v>
          </cell>
        </row>
        <row r="3882">
          <cell r="C3882" t="str">
            <v>INE822B01017</v>
          </cell>
          <cell r="D3882" t="str">
            <v>ASIANTNE</v>
          </cell>
          <cell r="E3882">
            <v>28.469210724</v>
          </cell>
          <cell r="F3882" t="str">
            <v>-</v>
          </cell>
          <cell r="G3882" t="str">
            <v>-</v>
          </cell>
          <cell r="H3882" t="str">
            <v>-</v>
          </cell>
          <cell r="I3882" t="str">
            <v>-</v>
          </cell>
          <cell r="J3882">
            <v>28.469210724</v>
          </cell>
          <cell r="K3882" t="str">
            <v>Small Cap</v>
          </cell>
        </row>
        <row r="3883">
          <cell r="C3883" t="str">
            <v>INE729C01020</v>
          </cell>
          <cell r="D3883" t="str">
            <v>PURSHOTTAM</v>
          </cell>
          <cell r="E3883">
            <v>28.362242626</v>
          </cell>
          <cell r="F3883" t="str">
            <v>-</v>
          </cell>
          <cell r="G3883" t="str">
            <v>-</v>
          </cell>
          <cell r="H3883" t="str">
            <v>-</v>
          </cell>
          <cell r="I3883" t="str">
            <v>-</v>
          </cell>
          <cell r="J3883">
            <v>28.362242626</v>
          </cell>
          <cell r="K3883" t="str">
            <v>Small Cap</v>
          </cell>
        </row>
        <row r="3884">
          <cell r="C3884" t="str">
            <v>INE702E01015</v>
          </cell>
          <cell r="D3884" t="str">
            <v>PNTKYOR</v>
          </cell>
          <cell r="E3884">
            <v>28.360845716000004</v>
          </cell>
          <cell r="F3884" t="str">
            <v>-</v>
          </cell>
          <cell r="G3884" t="str">
            <v>-</v>
          </cell>
          <cell r="H3884" t="str">
            <v>-</v>
          </cell>
          <cell r="I3884" t="str">
            <v>-</v>
          </cell>
          <cell r="J3884">
            <v>28.360845716000004</v>
          </cell>
          <cell r="K3884" t="str">
            <v>Small Cap</v>
          </cell>
        </row>
        <row r="3885">
          <cell r="C3885" t="str">
            <v>INE229G01022</v>
          </cell>
          <cell r="D3885" t="str">
            <v>KACL</v>
          </cell>
          <cell r="E3885">
            <v>28.351453847000002</v>
          </cell>
          <cell r="F3885" t="str">
            <v>-</v>
          </cell>
          <cell r="G3885" t="str">
            <v>-</v>
          </cell>
          <cell r="H3885" t="str">
            <v>-</v>
          </cell>
          <cell r="I3885" t="str">
            <v>-</v>
          </cell>
          <cell r="J3885">
            <v>28.351453847000002</v>
          </cell>
          <cell r="K3885" t="str">
            <v>Small Cap</v>
          </cell>
        </row>
        <row r="3886">
          <cell r="C3886" t="str">
            <v>INE356F01017</v>
          </cell>
          <cell r="D3886" t="str">
            <v>JINDCAP</v>
          </cell>
          <cell r="E3886">
            <v>28.350258199999999</v>
          </cell>
          <cell r="F3886" t="str">
            <v>-</v>
          </cell>
          <cell r="G3886" t="str">
            <v>-</v>
          </cell>
          <cell r="H3886" t="str">
            <v>-</v>
          </cell>
          <cell r="I3886" t="str">
            <v>-</v>
          </cell>
          <cell r="J3886">
            <v>28.350258199999999</v>
          </cell>
          <cell r="K3886" t="str">
            <v>Small Cap</v>
          </cell>
        </row>
        <row r="3887">
          <cell r="C3887" t="str">
            <v>INE805R01018</v>
          </cell>
          <cell r="D3887" t="str">
            <v>JEL</v>
          </cell>
          <cell r="E3887">
            <v>28.328369841000004</v>
          </cell>
          <cell r="F3887" t="str">
            <v>-</v>
          </cell>
          <cell r="G3887" t="str">
            <v>-</v>
          </cell>
          <cell r="H3887" t="str">
            <v>-</v>
          </cell>
          <cell r="I3887" t="str">
            <v>-</v>
          </cell>
          <cell r="J3887">
            <v>28.328369841000004</v>
          </cell>
          <cell r="K3887" t="str">
            <v>Small Cap</v>
          </cell>
        </row>
        <row r="3888">
          <cell r="C3888" t="str">
            <v>INE183D01010</v>
          </cell>
          <cell r="D3888" t="str">
            <v>CYBELEIND</v>
          </cell>
          <cell r="E3888">
            <v>28.240731929000003</v>
          </cell>
          <cell r="F3888" t="str">
            <v>-</v>
          </cell>
          <cell r="G3888" t="str">
            <v>-</v>
          </cell>
          <cell r="H3888" t="str">
            <v>-</v>
          </cell>
          <cell r="I3888" t="str">
            <v>-</v>
          </cell>
          <cell r="J3888">
            <v>28.240731929000003</v>
          </cell>
          <cell r="K3888" t="str">
            <v>Small Cap</v>
          </cell>
        </row>
        <row r="3889">
          <cell r="C3889" t="str">
            <v>INE556Z01010</v>
          </cell>
          <cell r="D3889" t="str">
            <v>UHZAVERI</v>
          </cell>
          <cell r="E3889">
            <v>28.225891524000001</v>
          </cell>
          <cell r="F3889" t="str">
            <v>-</v>
          </cell>
          <cell r="G3889" t="str">
            <v>-</v>
          </cell>
          <cell r="H3889" t="str">
            <v>-</v>
          </cell>
          <cell r="I3889" t="str">
            <v>-</v>
          </cell>
          <cell r="J3889">
            <v>28.225891524000001</v>
          </cell>
          <cell r="K3889" t="str">
            <v>Small Cap</v>
          </cell>
        </row>
        <row r="3890">
          <cell r="C3890" t="str">
            <v>INE441L01015</v>
          </cell>
          <cell r="D3890" t="str">
            <v>STANROS</v>
          </cell>
          <cell r="E3890">
            <v>28.223279606000002</v>
          </cell>
          <cell r="F3890" t="str">
            <v>-</v>
          </cell>
          <cell r="G3890" t="str">
            <v>-</v>
          </cell>
          <cell r="H3890" t="str">
            <v>-</v>
          </cell>
          <cell r="I3890" t="str">
            <v>-</v>
          </cell>
          <cell r="J3890">
            <v>28.223279606000002</v>
          </cell>
          <cell r="K3890" t="str">
            <v>Small Cap</v>
          </cell>
        </row>
        <row r="3891">
          <cell r="C3891" t="str">
            <v>INE137E01014</v>
          </cell>
          <cell r="D3891" t="str">
            <v>AMITSEC</v>
          </cell>
          <cell r="E3891">
            <v>28.204186507999999</v>
          </cell>
          <cell r="F3891" t="str">
            <v>-</v>
          </cell>
          <cell r="G3891" t="str">
            <v>-</v>
          </cell>
          <cell r="H3891" t="str">
            <v>-</v>
          </cell>
          <cell r="I3891" t="str">
            <v>-</v>
          </cell>
          <cell r="J3891">
            <v>28.204186507999999</v>
          </cell>
          <cell r="K3891" t="str">
            <v>Small Cap</v>
          </cell>
        </row>
        <row r="3892">
          <cell r="C3892" t="str">
            <v>INE440E01012</v>
          </cell>
          <cell r="D3892" t="str">
            <v>SMCREDT</v>
          </cell>
          <cell r="E3892">
            <v>28.187437500000001</v>
          </cell>
          <cell r="F3892" t="str">
            <v>-</v>
          </cell>
          <cell r="G3892" t="str">
            <v>-</v>
          </cell>
          <cell r="H3892" t="str">
            <v>-</v>
          </cell>
          <cell r="I3892" t="str">
            <v>-</v>
          </cell>
          <cell r="J3892">
            <v>28.187437500000001</v>
          </cell>
          <cell r="K3892" t="str">
            <v>Small Cap</v>
          </cell>
        </row>
        <row r="3893">
          <cell r="C3893" t="str">
            <v>INE348D01019</v>
          </cell>
          <cell r="D3893" t="str">
            <v>MUNOTHFI</v>
          </cell>
          <cell r="E3893">
            <v>28.179809292000002</v>
          </cell>
          <cell r="F3893" t="str">
            <v>-</v>
          </cell>
          <cell r="G3893" t="str">
            <v>-</v>
          </cell>
          <cell r="H3893" t="str">
            <v>-</v>
          </cell>
          <cell r="I3893" t="str">
            <v>-</v>
          </cell>
          <cell r="J3893">
            <v>28.179809292000002</v>
          </cell>
          <cell r="K3893" t="str">
            <v>Small Cap</v>
          </cell>
        </row>
        <row r="3894">
          <cell r="C3894" t="str">
            <v>INE376A01032</v>
          </cell>
          <cell r="D3894" t="str">
            <v>PANINDIAC</v>
          </cell>
          <cell r="E3894">
            <v>28.179599106999998</v>
          </cell>
          <cell r="F3894" t="str">
            <v>-</v>
          </cell>
          <cell r="G3894" t="str">
            <v>-</v>
          </cell>
          <cell r="H3894" t="str">
            <v>-</v>
          </cell>
          <cell r="I3894" t="str">
            <v>-</v>
          </cell>
          <cell r="J3894">
            <v>28.179599106999998</v>
          </cell>
          <cell r="K3894" t="str">
            <v>Small Cap</v>
          </cell>
        </row>
        <row r="3895">
          <cell r="C3895" t="str">
            <v>INE0O4V01010</v>
          </cell>
          <cell r="D3895" t="str">
            <v>EARTH</v>
          </cell>
          <cell r="E3895">
            <v>28.159188570999998</v>
          </cell>
          <cell r="F3895" t="str">
            <v>-</v>
          </cell>
          <cell r="G3895" t="str">
            <v>-</v>
          </cell>
          <cell r="H3895" t="str">
            <v>-</v>
          </cell>
          <cell r="I3895" t="str">
            <v>-</v>
          </cell>
          <cell r="J3895">
            <v>28.159188570999998</v>
          </cell>
          <cell r="K3895" t="str">
            <v>Small Cap</v>
          </cell>
        </row>
        <row r="3896">
          <cell r="C3896" t="str">
            <v>INE376L01013</v>
          </cell>
          <cell r="D3896" t="str">
            <v>RAJKSYN</v>
          </cell>
          <cell r="E3896">
            <v>28.151032793999999</v>
          </cell>
          <cell r="F3896" t="str">
            <v>-</v>
          </cell>
          <cell r="G3896" t="str">
            <v>-</v>
          </cell>
          <cell r="H3896" t="str">
            <v>-</v>
          </cell>
          <cell r="I3896" t="str">
            <v>-</v>
          </cell>
          <cell r="J3896">
            <v>28.151032793999999</v>
          </cell>
          <cell r="K3896" t="str">
            <v>Small Cap</v>
          </cell>
        </row>
        <row r="3897">
          <cell r="C3897" t="str">
            <v>INE464D01014</v>
          </cell>
          <cell r="D3897" t="str">
            <v>VAPIENTER</v>
          </cell>
          <cell r="E3897">
            <v>28.135076787999999</v>
          </cell>
          <cell r="F3897" t="str">
            <v>-</v>
          </cell>
          <cell r="G3897" t="str">
            <v>-</v>
          </cell>
          <cell r="H3897" t="str">
            <v>-</v>
          </cell>
          <cell r="I3897" t="str">
            <v>-</v>
          </cell>
          <cell r="J3897">
            <v>28.135076787999999</v>
          </cell>
          <cell r="K3897" t="str">
            <v>Small Cap</v>
          </cell>
        </row>
        <row r="3898">
          <cell r="C3898" t="str">
            <v>INE603F01012</v>
          </cell>
          <cell r="D3898" t="str">
            <v>NARPROP</v>
          </cell>
          <cell r="E3898">
            <v>28.129894799999999</v>
          </cell>
          <cell r="F3898" t="str">
            <v>-</v>
          </cell>
          <cell r="G3898" t="str">
            <v>-</v>
          </cell>
          <cell r="H3898" t="str">
            <v>-</v>
          </cell>
          <cell r="I3898" t="str">
            <v>-</v>
          </cell>
          <cell r="J3898">
            <v>28.129894799999999</v>
          </cell>
          <cell r="K3898" t="str">
            <v>Small Cap</v>
          </cell>
        </row>
        <row r="3899">
          <cell r="C3899" t="str">
            <v>INE948I01015</v>
          </cell>
          <cell r="D3899" t="str">
            <v>MANRAJH</v>
          </cell>
          <cell r="E3899">
            <v>28.125952381000001</v>
          </cell>
          <cell r="F3899" t="str">
            <v>-</v>
          </cell>
          <cell r="G3899" t="str">
            <v>-</v>
          </cell>
          <cell r="H3899" t="str">
            <v>-</v>
          </cell>
          <cell r="I3899" t="str">
            <v>-</v>
          </cell>
          <cell r="J3899">
            <v>28.125952381000001</v>
          </cell>
          <cell r="K3899" t="str">
            <v>Small Cap</v>
          </cell>
        </row>
        <row r="3900">
          <cell r="C3900" t="str">
            <v>INE092301014</v>
          </cell>
          <cell r="D3900" t="str">
            <v>HINDUST</v>
          </cell>
          <cell r="E3900">
            <v>28.096514286000001</v>
          </cell>
          <cell r="F3900" t="str">
            <v>-</v>
          </cell>
          <cell r="G3900" t="str">
            <v>-</v>
          </cell>
          <cell r="H3900" t="str">
            <v>-</v>
          </cell>
          <cell r="I3900" t="str">
            <v>-</v>
          </cell>
          <cell r="J3900">
            <v>28.096514286000001</v>
          </cell>
          <cell r="K3900" t="str">
            <v>Small Cap</v>
          </cell>
        </row>
        <row r="3901">
          <cell r="C3901" t="str">
            <v>INE474D01013</v>
          </cell>
          <cell r="D3901" t="str">
            <v>SAFFRON</v>
          </cell>
          <cell r="E3901">
            <v>28.027925514</v>
          </cell>
          <cell r="F3901" t="str">
            <v>-</v>
          </cell>
          <cell r="G3901" t="str">
            <v>-</v>
          </cell>
          <cell r="H3901" t="str">
            <v>-</v>
          </cell>
          <cell r="I3901" t="str">
            <v>-</v>
          </cell>
          <cell r="J3901">
            <v>28.027925514</v>
          </cell>
          <cell r="K3901" t="str">
            <v>Small Cap</v>
          </cell>
        </row>
        <row r="3902">
          <cell r="C3902" t="str">
            <v>INE201C01012</v>
          </cell>
          <cell r="D3902" t="str">
            <v>RFSL</v>
          </cell>
          <cell r="E3902">
            <v>27.895327189</v>
          </cell>
          <cell r="F3902" t="str">
            <v>-</v>
          </cell>
          <cell r="G3902" t="str">
            <v>-</v>
          </cell>
          <cell r="H3902" t="str">
            <v>-</v>
          </cell>
          <cell r="I3902" t="str">
            <v>-</v>
          </cell>
          <cell r="J3902">
            <v>27.895327189</v>
          </cell>
          <cell r="K3902" t="str">
            <v>Small Cap</v>
          </cell>
        </row>
        <row r="3903">
          <cell r="C3903" t="str">
            <v>INE466D01019</v>
          </cell>
          <cell r="D3903" t="str">
            <v>VJLAXMIE</v>
          </cell>
          <cell r="E3903">
            <v>27.885306199999999</v>
          </cell>
          <cell r="F3903" t="str">
            <v>-</v>
          </cell>
          <cell r="G3903" t="str">
            <v>-</v>
          </cell>
          <cell r="H3903" t="str">
            <v>-</v>
          </cell>
          <cell r="I3903" t="str">
            <v>-</v>
          </cell>
          <cell r="J3903">
            <v>27.885306199999999</v>
          </cell>
          <cell r="K3903" t="str">
            <v>Small Cap</v>
          </cell>
        </row>
        <row r="3904">
          <cell r="C3904" t="str">
            <v>INE627D01016</v>
          </cell>
          <cell r="D3904" t="str">
            <v>ADARSHPL</v>
          </cell>
          <cell r="E3904">
            <v>27.875149798000002</v>
          </cell>
          <cell r="F3904" t="str">
            <v>-</v>
          </cell>
          <cell r="G3904" t="str">
            <v>-</v>
          </cell>
          <cell r="H3904" t="str">
            <v>-</v>
          </cell>
          <cell r="I3904" t="str">
            <v>-</v>
          </cell>
          <cell r="J3904">
            <v>27.875149798000002</v>
          </cell>
          <cell r="K3904" t="str">
            <v>Small Cap</v>
          </cell>
        </row>
        <row r="3905">
          <cell r="C3905" t="str">
            <v>INE319Z01021</v>
          </cell>
          <cell r="D3905" t="str">
            <v>-</v>
          </cell>
          <cell r="E3905" t="str">
            <v>-</v>
          </cell>
          <cell r="F3905" t="str">
            <v>SUPREMEENG</v>
          </cell>
          <cell r="G3905">
            <v>27.869399999999999</v>
          </cell>
          <cell r="H3905" t="str">
            <v>-</v>
          </cell>
          <cell r="I3905" t="str">
            <v>-</v>
          </cell>
          <cell r="J3905">
            <v>27.869399999999999</v>
          </cell>
          <cell r="K3905" t="str">
            <v>Small Cap</v>
          </cell>
        </row>
        <row r="3906">
          <cell r="C3906" t="str">
            <v>INE621I01042</v>
          </cell>
          <cell r="D3906" t="str">
            <v>COLORCHIPS</v>
          </cell>
          <cell r="E3906">
            <v>27.852631255999999</v>
          </cell>
          <cell r="F3906" t="str">
            <v>-</v>
          </cell>
          <cell r="G3906" t="str">
            <v>-</v>
          </cell>
          <cell r="H3906" t="str">
            <v>-</v>
          </cell>
          <cell r="I3906" t="str">
            <v>-</v>
          </cell>
          <cell r="J3906">
            <v>27.852631255999999</v>
          </cell>
          <cell r="K3906" t="str">
            <v>Small Cap</v>
          </cell>
        </row>
        <row r="3907">
          <cell r="C3907" t="str">
            <v>INE224D01012</v>
          </cell>
          <cell r="D3907" t="str">
            <v>SUNILAGR</v>
          </cell>
          <cell r="E3907">
            <v>27.846309524000002</v>
          </cell>
          <cell r="F3907" t="str">
            <v>-</v>
          </cell>
          <cell r="G3907" t="str">
            <v>-</v>
          </cell>
          <cell r="H3907" t="str">
            <v>-</v>
          </cell>
          <cell r="I3907" t="str">
            <v>-</v>
          </cell>
          <cell r="J3907">
            <v>27.846309524000002</v>
          </cell>
          <cell r="K3907" t="str">
            <v>Small Cap</v>
          </cell>
        </row>
        <row r="3908">
          <cell r="C3908" t="str">
            <v>INE863E01015</v>
          </cell>
          <cell r="D3908" t="str">
            <v>AJWAFUN</v>
          </cell>
          <cell r="E3908">
            <v>27.787067143000002</v>
          </cell>
          <cell r="F3908" t="str">
            <v>-</v>
          </cell>
          <cell r="G3908" t="str">
            <v>-</v>
          </cell>
          <cell r="H3908" t="str">
            <v>-</v>
          </cell>
          <cell r="I3908" t="str">
            <v>-</v>
          </cell>
          <cell r="J3908">
            <v>27.787067143000002</v>
          </cell>
          <cell r="K3908" t="str">
            <v>Small Cap</v>
          </cell>
        </row>
        <row r="3909">
          <cell r="C3909" t="str">
            <v>INE472D01017</v>
          </cell>
          <cell r="D3909" t="str">
            <v>BLUECHIPT</v>
          </cell>
          <cell r="E3909">
            <v>27.783502638999998</v>
          </cell>
          <cell r="F3909" t="str">
            <v>-</v>
          </cell>
          <cell r="G3909" t="str">
            <v>-</v>
          </cell>
          <cell r="H3909" t="str">
            <v>-</v>
          </cell>
          <cell r="I3909" t="str">
            <v>-</v>
          </cell>
          <cell r="J3909">
            <v>27.783502638999998</v>
          </cell>
          <cell r="K3909" t="str">
            <v>Small Cap</v>
          </cell>
        </row>
        <row r="3910">
          <cell r="C3910" t="str">
            <v>INE413X01035</v>
          </cell>
          <cell r="D3910" t="str">
            <v>7NR</v>
          </cell>
          <cell r="E3910">
            <v>27.781856495</v>
          </cell>
          <cell r="F3910" t="str">
            <v>-</v>
          </cell>
          <cell r="G3910" t="str">
            <v>-</v>
          </cell>
          <cell r="H3910" t="str">
            <v>-</v>
          </cell>
          <cell r="I3910" t="str">
            <v>-</v>
          </cell>
          <cell r="J3910">
            <v>27.781856495</v>
          </cell>
          <cell r="K3910" t="str">
            <v>Small Cap</v>
          </cell>
        </row>
        <row r="3911">
          <cell r="C3911" t="str">
            <v>INE309H01038</v>
          </cell>
          <cell r="D3911" t="str">
            <v>VISAGAR</v>
          </cell>
          <cell r="E3911">
            <v>27.759164392999999</v>
          </cell>
          <cell r="F3911" t="str">
            <v>-</v>
          </cell>
          <cell r="G3911" t="str">
            <v>-</v>
          </cell>
          <cell r="H3911" t="str">
            <v>-</v>
          </cell>
          <cell r="I3911" t="str">
            <v>-</v>
          </cell>
          <cell r="J3911">
            <v>27.759164392999999</v>
          </cell>
          <cell r="K3911" t="str">
            <v>Small Cap</v>
          </cell>
        </row>
        <row r="3912">
          <cell r="C3912" t="str">
            <v>INE678B01021</v>
          </cell>
          <cell r="D3912" t="str">
            <v>IBINFO</v>
          </cell>
          <cell r="E3912">
            <v>27.739857814999997</v>
          </cell>
          <cell r="F3912" t="str">
            <v>-</v>
          </cell>
          <cell r="G3912" t="str">
            <v>-</v>
          </cell>
          <cell r="H3912" t="str">
            <v>-</v>
          </cell>
          <cell r="I3912" t="str">
            <v>-</v>
          </cell>
          <cell r="J3912">
            <v>27.739857814999997</v>
          </cell>
          <cell r="K3912" t="str">
            <v>Small Cap</v>
          </cell>
        </row>
        <row r="3913">
          <cell r="C3913" t="str">
            <v>INE475C01012</v>
          </cell>
          <cell r="D3913" t="str">
            <v>ROSELABS</v>
          </cell>
          <cell r="E3913">
            <v>27.64015873</v>
          </cell>
          <cell r="F3913" t="str">
            <v>-</v>
          </cell>
          <cell r="G3913" t="str">
            <v>-</v>
          </cell>
          <cell r="H3913" t="str">
            <v>-</v>
          </cell>
          <cell r="I3913" t="str">
            <v>-</v>
          </cell>
          <cell r="J3913">
            <v>27.64015873</v>
          </cell>
          <cell r="K3913" t="str">
            <v>Small Cap</v>
          </cell>
        </row>
        <row r="3914">
          <cell r="C3914" t="str">
            <v>INE0RUY01012</v>
          </cell>
          <cell r="D3914" t="str">
            <v>ASTRONMULT</v>
          </cell>
          <cell r="E3914">
            <v>27.635341176000001</v>
          </cell>
          <cell r="F3914" t="str">
            <v>-</v>
          </cell>
          <cell r="G3914" t="str">
            <v>-</v>
          </cell>
          <cell r="H3914" t="str">
            <v>-</v>
          </cell>
          <cell r="I3914" t="str">
            <v>-</v>
          </cell>
          <cell r="J3914">
            <v>27.635341176000001</v>
          </cell>
          <cell r="K3914" t="str">
            <v>Small Cap</v>
          </cell>
        </row>
        <row r="3915">
          <cell r="C3915" t="str">
            <v>INE524U01019</v>
          </cell>
          <cell r="D3915" t="str">
            <v>KARTKIN</v>
          </cell>
          <cell r="E3915">
            <v>27.632080158999997</v>
          </cell>
          <cell r="F3915" t="str">
            <v>-</v>
          </cell>
          <cell r="G3915" t="str">
            <v>-</v>
          </cell>
          <cell r="H3915" t="str">
            <v>-</v>
          </cell>
          <cell r="I3915" t="str">
            <v>-</v>
          </cell>
          <cell r="J3915">
            <v>27.632080158999997</v>
          </cell>
          <cell r="K3915" t="str">
            <v>Small Cap</v>
          </cell>
        </row>
        <row r="3916">
          <cell r="C3916" t="str">
            <v>INE981C01019</v>
          </cell>
          <cell r="D3916" t="str">
            <v>SHVFL</v>
          </cell>
          <cell r="E3916">
            <v>27.625023016000004</v>
          </cell>
          <cell r="F3916" t="str">
            <v>-</v>
          </cell>
          <cell r="G3916" t="str">
            <v>-</v>
          </cell>
          <cell r="H3916" t="str">
            <v>-</v>
          </cell>
          <cell r="I3916" t="str">
            <v>-</v>
          </cell>
          <cell r="J3916">
            <v>27.625023016000004</v>
          </cell>
          <cell r="K3916" t="str">
            <v>Small Cap</v>
          </cell>
        </row>
        <row r="3917">
          <cell r="C3917" t="str">
            <v>INE546I01025</v>
          </cell>
          <cell r="D3917" t="str">
            <v>LADDU</v>
          </cell>
          <cell r="E3917">
            <v>27.623920641000002</v>
          </cell>
          <cell r="F3917" t="str">
            <v>-</v>
          </cell>
          <cell r="G3917" t="str">
            <v>-</v>
          </cell>
          <cell r="H3917" t="str">
            <v>-</v>
          </cell>
          <cell r="I3917" t="str">
            <v>-</v>
          </cell>
          <cell r="J3917">
            <v>27.623920641000002</v>
          </cell>
          <cell r="K3917" t="str">
            <v>Small Cap</v>
          </cell>
        </row>
        <row r="3918">
          <cell r="C3918" t="str">
            <v>INE368C01019</v>
          </cell>
          <cell r="D3918" t="str">
            <v>MARUTISE</v>
          </cell>
          <cell r="E3918">
            <v>27.529786608999999</v>
          </cell>
          <cell r="F3918" t="str">
            <v>-</v>
          </cell>
          <cell r="G3918" t="str">
            <v>-</v>
          </cell>
          <cell r="H3918" t="str">
            <v>-</v>
          </cell>
          <cell r="I3918" t="str">
            <v>-</v>
          </cell>
          <cell r="J3918">
            <v>27.529786608999999</v>
          </cell>
          <cell r="K3918" t="str">
            <v>Small Cap</v>
          </cell>
        </row>
        <row r="3919">
          <cell r="C3919" t="str">
            <v>INE654H01011</v>
          </cell>
          <cell r="D3919" t="str">
            <v>NATGENI</v>
          </cell>
          <cell r="E3919">
            <v>27.474897293999998</v>
          </cell>
          <cell r="F3919" t="str">
            <v>-</v>
          </cell>
          <cell r="G3919" t="str">
            <v>-</v>
          </cell>
          <cell r="H3919" t="str">
            <v>-</v>
          </cell>
          <cell r="I3919" t="str">
            <v>-</v>
          </cell>
          <cell r="J3919">
            <v>27.474897293999998</v>
          </cell>
          <cell r="K3919" t="str">
            <v>Small Cap</v>
          </cell>
        </row>
        <row r="3920">
          <cell r="C3920" t="str">
            <v>INE957U01011</v>
          </cell>
          <cell r="D3920" t="str">
            <v>MHEL</v>
          </cell>
          <cell r="E3920">
            <v>27.436080829000002</v>
          </cell>
          <cell r="F3920" t="str">
            <v>-</v>
          </cell>
          <cell r="G3920" t="str">
            <v>-</v>
          </cell>
          <cell r="H3920" t="str">
            <v>-</v>
          </cell>
          <cell r="I3920" t="str">
            <v>-</v>
          </cell>
          <cell r="J3920">
            <v>27.436080829000002</v>
          </cell>
          <cell r="K3920" t="str">
            <v>Small Cap</v>
          </cell>
        </row>
        <row r="3921">
          <cell r="C3921" t="str">
            <v>INE706A01022</v>
          </cell>
          <cell r="D3921" t="str">
            <v>VIKASWSP</v>
          </cell>
          <cell r="E3921">
            <v>27.433847275999998</v>
          </cell>
          <cell r="F3921" t="str">
            <v>-</v>
          </cell>
          <cell r="G3921" t="str">
            <v>-</v>
          </cell>
          <cell r="H3921" t="str">
            <v>-</v>
          </cell>
          <cell r="I3921" t="str">
            <v>-</v>
          </cell>
          <cell r="J3921">
            <v>27.433847275999998</v>
          </cell>
          <cell r="K3921" t="str">
            <v>Small Cap</v>
          </cell>
        </row>
        <row r="3922">
          <cell r="C3922" t="str">
            <v>INE602D01027</v>
          </cell>
          <cell r="D3922" t="str">
            <v>SANBLUE</v>
          </cell>
          <cell r="E3922">
            <v>27.387473454000002</v>
          </cell>
          <cell r="F3922" t="str">
            <v>-</v>
          </cell>
          <cell r="G3922" t="str">
            <v>-</v>
          </cell>
          <cell r="H3922" t="str">
            <v>-</v>
          </cell>
          <cell r="I3922" t="str">
            <v>-</v>
          </cell>
          <cell r="J3922">
            <v>27.387473454000002</v>
          </cell>
          <cell r="K3922" t="str">
            <v>Small Cap</v>
          </cell>
        </row>
        <row r="3923">
          <cell r="C3923" t="str">
            <v>INE242B01018</v>
          </cell>
          <cell r="D3923" t="str">
            <v>NIRAVCOM</v>
          </cell>
          <cell r="E3923">
            <v>27.367168888999998</v>
          </cell>
          <cell r="F3923" t="str">
            <v>-</v>
          </cell>
          <cell r="G3923" t="str">
            <v>-</v>
          </cell>
          <cell r="H3923" t="str">
            <v>-</v>
          </cell>
          <cell r="I3923" t="str">
            <v>-</v>
          </cell>
          <cell r="J3923">
            <v>27.367168888999998</v>
          </cell>
          <cell r="K3923" t="str">
            <v>Small Cap</v>
          </cell>
        </row>
        <row r="3924">
          <cell r="C3924" t="str">
            <v>INE1MF401019</v>
          </cell>
          <cell r="D3924" t="str">
            <v>WOSAL</v>
          </cell>
          <cell r="E3924">
            <v>27.346870286000001</v>
          </cell>
          <cell r="F3924" t="str">
            <v>-</v>
          </cell>
          <cell r="G3924" t="str">
            <v>-</v>
          </cell>
          <cell r="H3924" t="str">
            <v>-</v>
          </cell>
          <cell r="I3924" t="str">
            <v>-</v>
          </cell>
          <cell r="J3924">
            <v>27.346870286000001</v>
          </cell>
          <cell r="K3924" t="str">
            <v>Small Cap</v>
          </cell>
        </row>
        <row r="3925">
          <cell r="C3925" t="str">
            <v>INE919B01011</v>
          </cell>
          <cell r="D3925" t="str">
            <v>LAFFANSQ</v>
          </cell>
          <cell r="E3925">
            <v>27.275301587000001</v>
          </cell>
          <cell r="F3925" t="str">
            <v>-</v>
          </cell>
          <cell r="G3925" t="str">
            <v>-</v>
          </cell>
          <cell r="H3925" t="str">
            <v>-</v>
          </cell>
          <cell r="I3925" t="str">
            <v>-</v>
          </cell>
          <cell r="J3925">
            <v>27.275301587000001</v>
          </cell>
          <cell r="K3925" t="str">
            <v>Small Cap</v>
          </cell>
        </row>
        <row r="3926">
          <cell r="C3926" t="str">
            <v>INE788M01017</v>
          </cell>
          <cell r="D3926" t="str">
            <v>COCHMAL</v>
          </cell>
          <cell r="E3926">
            <v>27.272757927999997</v>
          </cell>
          <cell r="F3926" t="str">
            <v>-</v>
          </cell>
          <cell r="G3926" t="str">
            <v>-</v>
          </cell>
          <cell r="H3926" t="str">
            <v>-</v>
          </cell>
          <cell r="I3926" t="str">
            <v>-</v>
          </cell>
          <cell r="J3926">
            <v>27.272757927999997</v>
          </cell>
          <cell r="K3926" t="str">
            <v>Small Cap</v>
          </cell>
        </row>
        <row r="3927">
          <cell r="C3927" t="str">
            <v>INE501C01015</v>
          </cell>
          <cell r="D3927" t="str">
            <v>OMKARPH</v>
          </cell>
          <cell r="E3927">
            <v>27.22456</v>
          </cell>
          <cell r="F3927" t="str">
            <v>-</v>
          </cell>
          <cell r="G3927" t="str">
            <v>-</v>
          </cell>
          <cell r="H3927" t="str">
            <v>-</v>
          </cell>
          <cell r="I3927" t="str">
            <v>-</v>
          </cell>
          <cell r="J3927">
            <v>27.22456</v>
          </cell>
          <cell r="K3927" t="str">
            <v>Small Cap</v>
          </cell>
        </row>
        <row r="3928">
          <cell r="C3928" t="str">
            <v>INE219A01026</v>
          </cell>
          <cell r="D3928" t="str">
            <v>KSLIND</v>
          </cell>
          <cell r="E3928">
            <v>27.180447749999999</v>
          </cell>
          <cell r="F3928" t="str">
            <v>-</v>
          </cell>
          <cell r="G3928" t="str">
            <v>-</v>
          </cell>
          <cell r="H3928" t="str">
            <v>-</v>
          </cell>
          <cell r="I3928" t="str">
            <v>-</v>
          </cell>
          <cell r="J3928">
            <v>27.180447749999999</v>
          </cell>
          <cell r="K3928" t="str">
            <v>Small Cap</v>
          </cell>
        </row>
        <row r="3929">
          <cell r="C3929" t="str">
            <v>INE871L01013</v>
          </cell>
          <cell r="D3929" t="str">
            <v>TVVISION</v>
          </cell>
          <cell r="E3929">
            <v>27.285660376999999</v>
          </cell>
          <cell r="F3929" t="str">
            <v>TVVISION</v>
          </cell>
          <cell r="G3929">
            <v>27.039400000000001</v>
          </cell>
          <cell r="H3929" t="str">
            <v>-</v>
          </cell>
          <cell r="I3929" t="str">
            <v>-</v>
          </cell>
          <cell r="J3929">
            <v>27.1625301885</v>
          </cell>
          <cell r="K3929" t="str">
            <v>Small Cap</v>
          </cell>
        </row>
        <row r="3930">
          <cell r="C3930" t="str">
            <v>INE01B501018</v>
          </cell>
          <cell r="D3930" t="str">
            <v>ASRL</v>
          </cell>
          <cell r="E3930">
            <v>27.138642443999998</v>
          </cell>
          <cell r="F3930" t="str">
            <v>-</v>
          </cell>
          <cell r="G3930" t="str">
            <v>-</v>
          </cell>
          <cell r="H3930" t="str">
            <v>-</v>
          </cell>
          <cell r="I3930" t="str">
            <v>-</v>
          </cell>
          <cell r="J3930">
            <v>27.138642443999998</v>
          </cell>
          <cell r="K3930" t="str">
            <v>Small Cap</v>
          </cell>
        </row>
        <row r="3931">
          <cell r="C3931" t="str">
            <v>INE971E01016</v>
          </cell>
          <cell r="D3931" t="str">
            <v>DESHRAK</v>
          </cell>
          <cell r="E3931">
            <v>27.135219585000002</v>
          </cell>
          <cell r="F3931" t="str">
            <v>-</v>
          </cell>
          <cell r="G3931" t="str">
            <v>-</v>
          </cell>
          <cell r="H3931" t="str">
            <v>-</v>
          </cell>
          <cell r="I3931" t="str">
            <v>-</v>
          </cell>
          <cell r="J3931">
            <v>27.135219585000002</v>
          </cell>
          <cell r="K3931" t="str">
            <v>Small Cap</v>
          </cell>
        </row>
        <row r="3932">
          <cell r="C3932" t="str">
            <v>INE828I01019</v>
          </cell>
          <cell r="D3932" t="str">
            <v>MEDIAONE</v>
          </cell>
          <cell r="E3932">
            <v>27.010148570999998</v>
          </cell>
          <cell r="F3932" t="str">
            <v>-</v>
          </cell>
          <cell r="G3932" t="str">
            <v>-</v>
          </cell>
          <cell r="H3932" t="str">
            <v>-</v>
          </cell>
          <cell r="I3932" t="str">
            <v>-</v>
          </cell>
          <cell r="J3932">
            <v>27.010148570999998</v>
          </cell>
          <cell r="K3932" t="str">
            <v>Small Cap</v>
          </cell>
        </row>
        <row r="3933">
          <cell r="C3933" t="str">
            <v>INE758W01019</v>
          </cell>
          <cell r="D3933" t="str">
            <v>ACFL</v>
          </cell>
          <cell r="E3933">
            <v>26.995099680000003</v>
          </cell>
          <cell r="F3933" t="str">
            <v>-</v>
          </cell>
          <cell r="G3933" t="str">
            <v>-</v>
          </cell>
          <cell r="H3933" t="str">
            <v>-</v>
          </cell>
          <cell r="I3933" t="str">
            <v>-</v>
          </cell>
          <cell r="J3933">
            <v>26.995099680000003</v>
          </cell>
          <cell r="K3933" t="str">
            <v>Small Cap</v>
          </cell>
        </row>
        <row r="3934">
          <cell r="C3934" t="str">
            <v>INE969E01010</v>
          </cell>
          <cell r="D3934" t="str">
            <v>YAANENT</v>
          </cell>
          <cell r="E3934">
            <v>26.830647619000001</v>
          </cell>
          <cell r="F3934" t="str">
            <v>-</v>
          </cell>
          <cell r="G3934" t="str">
            <v>-</v>
          </cell>
          <cell r="H3934" t="str">
            <v>-</v>
          </cell>
          <cell r="I3934" t="str">
            <v>-</v>
          </cell>
          <cell r="J3934">
            <v>26.830647619000001</v>
          </cell>
          <cell r="K3934" t="str">
            <v>Small Cap</v>
          </cell>
        </row>
        <row r="3935">
          <cell r="C3935" t="str">
            <v>INE173U01015</v>
          </cell>
          <cell r="D3935" t="str">
            <v>UMIYA</v>
          </cell>
          <cell r="E3935">
            <v>26.761401368000001</v>
          </cell>
          <cell r="F3935" t="str">
            <v>-</v>
          </cell>
          <cell r="G3935" t="str">
            <v>-</v>
          </cell>
          <cell r="H3935" t="str">
            <v>-</v>
          </cell>
          <cell r="I3935" t="str">
            <v>-</v>
          </cell>
          <cell r="J3935">
            <v>26.761401368000001</v>
          </cell>
          <cell r="K3935" t="str">
            <v>Small Cap</v>
          </cell>
        </row>
        <row r="3936">
          <cell r="C3936" t="str">
            <v>INE419H01019</v>
          </cell>
          <cell r="D3936" t="str">
            <v>RELIABVEN</v>
          </cell>
          <cell r="E3936">
            <v>26.725598777000002</v>
          </cell>
          <cell r="F3936" t="str">
            <v>-</v>
          </cell>
          <cell r="G3936" t="str">
            <v>-</v>
          </cell>
          <cell r="H3936" t="str">
            <v>-</v>
          </cell>
          <cell r="I3936" t="str">
            <v>-</v>
          </cell>
          <cell r="J3936">
            <v>26.725598777000002</v>
          </cell>
          <cell r="K3936" t="str">
            <v>Small Cap</v>
          </cell>
        </row>
        <row r="3937">
          <cell r="C3937" t="str">
            <v>INE384D01022</v>
          </cell>
          <cell r="D3937" t="str">
            <v>SANPA</v>
          </cell>
          <cell r="E3937">
            <v>26.703846148</v>
          </cell>
          <cell r="F3937" t="str">
            <v>-</v>
          </cell>
          <cell r="G3937" t="str">
            <v>-</v>
          </cell>
          <cell r="H3937" t="str">
            <v>-</v>
          </cell>
          <cell r="I3937" t="str">
            <v>-</v>
          </cell>
          <cell r="J3937">
            <v>26.703846148</v>
          </cell>
          <cell r="K3937" t="str">
            <v>Small Cap</v>
          </cell>
        </row>
        <row r="3938">
          <cell r="C3938" t="str">
            <v>INE106I01010</v>
          </cell>
          <cell r="D3938" t="str">
            <v>ANKITMETAL</v>
          </cell>
          <cell r="E3938">
            <v>26.802035603</v>
          </cell>
          <cell r="F3938" t="str">
            <v>ANKITMETAL</v>
          </cell>
          <cell r="G3938">
            <v>26.344000000000001</v>
          </cell>
          <cell r="H3938" t="str">
            <v>-</v>
          </cell>
          <cell r="I3938" t="str">
            <v>-</v>
          </cell>
          <cell r="J3938">
            <v>26.573017801500001</v>
          </cell>
          <cell r="K3938" t="str">
            <v>Small Cap</v>
          </cell>
        </row>
        <row r="3939">
          <cell r="C3939" t="str">
            <v>INE192C01013</v>
          </cell>
          <cell r="D3939" t="str">
            <v>VASINFRA</v>
          </cell>
          <cell r="E3939">
            <v>26.536967600000001</v>
          </cell>
          <cell r="F3939" t="str">
            <v>-</v>
          </cell>
          <cell r="G3939" t="str">
            <v>-</v>
          </cell>
          <cell r="H3939" t="str">
            <v>-</v>
          </cell>
          <cell r="I3939" t="str">
            <v>-</v>
          </cell>
          <cell r="J3939">
            <v>26.536967600000001</v>
          </cell>
          <cell r="K3939" t="str">
            <v>Small Cap</v>
          </cell>
        </row>
        <row r="3940">
          <cell r="C3940" t="str">
            <v>INE106C01013</v>
          </cell>
          <cell r="D3940" t="str">
            <v>ZENIFIB</v>
          </cell>
          <cell r="E3940">
            <v>26.504218288000001</v>
          </cell>
          <cell r="F3940" t="str">
            <v>-</v>
          </cell>
          <cell r="G3940" t="str">
            <v>-</v>
          </cell>
          <cell r="H3940" t="str">
            <v>-</v>
          </cell>
          <cell r="I3940" t="str">
            <v>-</v>
          </cell>
          <cell r="J3940">
            <v>26.504218288000001</v>
          </cell>
          <cell r="K3940" t="str">
            <v>Small Cap</v>
          </cell>
        </row>
        <row r="3941">
          <cell r="C3941" t="str">
            <v>INE079L01013</v>
          </cell>
          <cell r="D3941" t="str">
            <v>IYKOTHITE</v>
          </cell>
          <cell r="E3941">
            <v>26.459444762</v>
          </cell>
          <cell r="F3941" t="str">
            <v>-</v>
          </cell>
          <cell r="G3941" t="str">
            <v>-</v>
          </cell>
          <cell r="H3941" t="str">
            <v>-</v>
          </cell>
          <cell r="I3941" t="str">
            <v>-</v>
          </cell>
          <cell r="J3941">
            <v>26.459444762</v>
          </cell>
          <cell r="K3941" t="str">
            <v>Small Cap</v>
          </cell>
        </row>
        <row r="3942">
          <cell r="C3942" t="str">
            <v>INE526H01011</v>
          </cell>
          <cell r="D3942" t="str">
            <v>VINYOFL</v>
          </cell>
          <cell r="E3942">
            <v>26.396391166999997</v>
          </cell>
          <cell r="F3942" t="str">
            <v>-</v>
          </cell>
          <cell r="G3942" t="str">
            <v>-</v>
          </cell>
          <cell r="H3942" t="str">
            <v>-</v>
          </cell>
          <cell r="I3942" t="str">
            <v>-</v>
          </cell>
          <cell r="J3942">
            <v>26.396391166999997</v>
          </cell>
          <cell r="K3942" t="str">
            <v>Small Cap</v>
          </cell>
        </row>
        <row r="3943">
          <cell r="C3943" t="str">
            <v>INE566F01011</v>
          </cell>
          <cell r="D3943" t="str">
            <v>-</v>
          </cell>
          <cell r="E3943" t="str">
            <v>-</v>
          </cell>
          <cell r="F3943" t="str">
            <v>-</v>
          </cell>
          <cell r="G3943" t="str">
            <v>-</v>
          </cell>
          <cell r="H3943" t="str">
            <v>LOGICINFO</v>
          </cell>
          <cell r="I3943">
            <v>26.395074999999938</v>
          </cell>
          <cell r="J3943">
            <v>26.395074999999938</v>
          </cell>
          <cell r="K3943" t="str">
            <v>Small Cap</v>
          </cell>
        </row>
        <row r="3944">
          <cell r="C3944" t="str">
            <v>INE401B01010</v>
          </cell>
          <cell r="D3944" t="str">
            <v>RESPONSINF</v>
          </cell>
          <cell r="E3944">
            <v>26.389565262000001</v>
          </cell>
          <cell r="F3944" t="str">
            <v>-</v>
          </cell>
          <cell r="G3944" t="str">
            <v>-</v>
          </cell>
          <cell r="H3944" t="str">
            <v>-</v>
          </cell>
          <cell r="I3944" t="str">
            <v>-</v>
          </cell>
          <cell r="J3944">
            <v>26.389565262000001</v>
          </cell>
          <cell r="K3944" t="str">
            <v>Small Cap</v>
          </cell>
        </row>
        <row r="3945">
          <cell r="C3945" t="str">
            <v>INE773D01018</v>
          </cell>
          <cell r="D3945" t="str">
            <v>TRABI</v>
          </cell>
          <cell r="E3945">
            <v>26.357588491999998</v>
          </cell>
          <cell r="F3945" t="str">
            <v>-</v>
          </cell>
          <cell r="G3945" t="str">
            <v>-</v>
          </cell>
          <cell r="H3945" t="str">
            <v>-</v>
          </cell>
          <cell r="I3945" t="str">
            <v>-</v>
          </cell>
          <cell r="J3945">
            <v>26.357588491999998</v>
          </cell>
          <cell r="K3945" t="str">
            <v>Small Cap</v>
          </cell>
        </row>
        <row r="3946">
          <cell r="C3946" t="str">
            <v>INE0Q6901013</v>
          </cell>
          <cell r="D3946" t="str">
            <v>VPL</v>
          </cell>
          <cell r="E3946">
            <v>26.341506027000001</v>
          </cell>
          <cell r="F3946" t="str">
            <v>-</v>
          </cell>
          <cell r="G3946" t="str">
            <v>-</v>
          </cell>
          <cell r="H3946" t="str">
            <v>-</v>
          </cell>
          <cell r="I3946" t="str">
            <v>-</v>
          </cell>
          <cell r="J3946">
            <v>26.341506027000001</v>
          </cell>
          <cell r="K3946" t="str">
            <v>Small Cap</v>
          </cell>
        </row>
        <row r="3947">
          <cell r="C3947" t="str">
            <v>INE753W01010</v>
          </cell>
          <cell r="D3947" t="str">
            <v>-</v>
          </cell>
          <cell r="E3947" t="str">
            <v>-</v>
          </cell>
          <cell r="F3947" t="str">
            <v>SANGINITA</v>
          </cell>
          <cell r="G3947">
            <v>26.339600000000001</v>
          </cell>
          <cell r="H3947" t="str">
            <v>-</v>
          </cell>
          <cell r="I3947" t="str">
            <v>-</v>
          </cell>
          <cell r="J3947">
            <v>26.339600000000001</v>
          </cell>
          <cell r="K3947" t="str">
            <v>Small Cap</v>
          </cell>
        </row>
        <row r="3948">
          <cell r="C3948" t="str">
            <v>INE373E01015</v>
          </cell>
          <cell r="D3948" t="str">
            <v>BLOIN</v>
          </cell>
          <cell r="E3948">
            <v>26.323700317</v>
          </cell>
          <cell r="F3948" t="str">
            <v>-</v>
          </cell>
          <cell r="G3948" t="str">
            <v>-</v>
          </cell>
          <cell r="H3948" t="str">
            <v>-</v>
          </cell>
          <cell r="I3948" t="str">
            <v>-</v>
          </cell>
          <cell r="J3948">
            <v>26.323700317</v>
          </cell>
          <cell r="K3948" t="str">
            <v>Small Cap</v>
          </cell>
        </row>
        <row r="3949">
          <cell r="C3949" t="str">
            <v>INE364T01012</v>
          </cell>
          <cell r="D3949" t="str">
            <v>NAVIGANT</v>
          </cell>
          <cell r="E3949">
            <v>26.27611946</v>
          </cell>
          <cell r="F3949" t="str">
            <v>-</v>
          </cell>
          <cell r="G3949" t="str">
            <v>-</v>
          </cell>
          <cell r="H3949" t="str">
            <v>-</v>
          </cell>
          <cell r="I3949" t="str">
            <v>-</v>
          </cell>
          <cell r="J3949">
            <v>26.27611946</v>
          </cell>
          <cell r="K3949" t="str">
            <v>Small Cap</v>
          </cell>
        </row>
        <row r="3950">
          <cell r="C3950" t="str">
            <v>INE279D01016</v>
          </cell>
          <cell r="D3950" t="str">
            <v>EMAINDIA</v>
          </cell>
          <cell r="E3950">
            <v>26.272135713999997</v>
          </cell>
          <cell r="F3950" t="str">
            <v>-</v>
          </cell>
          <cell r="G3950" t="str">
            <v>-</v>
          </cell>
          <cell r="H3950" t="str">
            <v>-</v>
          </cell>
          <cell r="I3950" t="str">
            <v>-</v>
          </cell>
          <cell r="J3950">
            <v>26.272135713999997</v>
          </cell>
          <cell r="K3950" t="str">
            <v>Small Cap</v>
          </cell>
        </row>
        <row r="3951">
          <cell r="C3951" t="str">
            <v>INE0C5901022</v>
          </cell>
          <cell r="D3951" t="str">
            <v>AAPLUSTRAD</v>
          </cell>
          <cell r="E3951">
            <v>26.259200761999999</v>
          </cell>
          <cell r="F3951" t="str">
            <v>-</v>
          </cell>
          <cell r="G3951" t="str">
            <v>-</v>
          </cell>
          <cell r="H3951" t="str">
            <v>-</v>
          </cell>
          <cell r="I3951" t="str">
            <v>-</v>
          </cell>
          <cell r="J3951">
            <v>26.259200761999999</v>
          </cell>
          <cell r="K3951" t="str">
            <v>Small Cap</v>
          </cell>
        </row>
        <row r="3952">
          <cell r="C3952" t="str">
            <v>INE0KN201016</v>
          </cell>
          <cell r="D3952" t="str">
            <v>INDONG</v>
          </cell>
          <cell r="E3952">
            <v>26.252786971999999</v>
          </cell>
          <cell r="F3952" t="str">
            <v>-</v>
          </cell>
          <cell r="G3952" t="str">
            <v>-</v>
          </cell>
          <cell r="H3952" t="str">
            <v>-</v>
          </cell>
          <cell r="I3952" t="str">
            <v>-</v>
          </cell>
          <cell r="J3952">
            <v>26.252786971999999</v>
          </cell>
          <cell r="K3952" t="str">
            <v>Small Cap</v>
          </cell>
        </row>
        <row r="3953">
          <cell r="C3953" t="str">
            <v>INE023R01018</v>
          </cell>
          <cell r="D3953" t="str">
            <v>ACEMEN</v>
          </cell>
          <cell r="E3953">
            <v>26.125986400999999</v>
          </cell>
          <cell r="F3953" t="str">
            <v>-</v>
          </cell>
          <cell r="G3953" t="str">
            <v>-</v>
          </cell>
          <cell r="H3953" t="str">
            <v>-</v>
          </cell>
          <cell r="I3953" t="str">
            <v>-</v>
          </cell>
          <cell r="J3953">
            <v>26.125986400999999</v>
          </cell>
          <cell r="K3953" t="str">
            <v>Small Cap</v>
          </cell>
        </row>
        <row r="3954">
          <cell r="C3954" t="str">
            <v>INE281M01013</v>
          </cell>
          <cell r="D3954" t="str">
            <v>LWSKNIT</v>
          </cell>
          <cell r="E3954">
            <v>26.115513671000002</v>
          </cell>
          <cell r="F3954" t="str">
            <v>-</v>
          </cell>
          <cell r="G3954" t="str">
            <v>-</v>
          </cell>
          <cell r="H3954" t="str">
            <v>-</v>
          </cell>
          <cell r="I3954" t="str">
            <v>-</v>
          </cell>
          <cell r="J3954">
            <v>26.115513671000002</v>
          </cell>
          <cell r="K3954" t="str">
            <v>Small Cap</v>
          </cell>
        </row>
        <row r="3955">
          <cell r="C3955" t="str">
            <v>INE216Q01010</v>
          </cell>
          <cell r="D3955" t="str">
            <v>MNIL</v>
          </cell>
          <cell r="E3955">
            <v>26.042700543999999</v>
          </cell>
          <cell r="F3955" t="str">
            <v>-</v>
          </cell>
          <cell r="G3955" t="str">
            <v>-</v>
          </cell>
          <cell r="H3955" t="str">
            <v>-</v>
          </cell>
          <cell r="I3955" t="str">
            <v>-</v>
          </cell>
          <cell r="J3955">
            <v>26.042700543999999</v>
          </cell>
          <cell r="K3955" t="str">
            <v>Small Cap</v>
          </cell>
        </row>
        <row r="3956">
          <cell r="C3956" t="str">
            <v>INE564B01015</v>
          </cell>
          <cell r="D3956" t="str">
            <v>SENINFO</v>
          </cell>
          <cell r="E3956">
            <v>25.999564286000002</v>
          </cell>
          <cell r="F3956" t="str">
            <v>-</v>
          </cell>
          <cell r="G3956" t="str">
            <v>-</v>
          </cell>
          <cell r="H3956" t="str">
            <v>-</v>
          </cell>
          <cell r="I3956" t="str">
            <v>-</v>
          </cell>
          <cell r="J3956">
            <v>25.999564286000002</v>
          </cell>
          <cell r="K3956" t="str">
            <v>Small Cap</v>
          </cell>
        </row>
        <row r="3957">
          <cell r="C3957" t="str">
            <v>INE898E01011</v>
          </cell>
          <cell r="D3957" t="str">
            <v>MAGNUS</v>
          </cell>
          <cell r="E3957">
            <v>25.965586655999999</v>
          </cell>
          <cell r="F3957" t="str">
            <v>-</v>
          </cell>
          <cell r="G3957" t="str">
            <v>-</v>
          </cell>
          <cell r="H3957" t="str">
            <v>-</v>
          </cell>
          <cell r="I3957" t="str">
            <v>-</v>
          </cell>
          <cell r="J3957">
            <v>25.965586655999999</v>
          </cell>
          <cell r="K3957" t="str">
            <v>Small Cap</v>
          </cell>
        </row>
        <row r="3958">
          <cell r="C3958" t="str">
            <v>INE904R01027</v>
          </cell>
          <cell r="D3958" t="str">
            <v>URSUGAR</v>
          </cell>
          <cell r="E3958">
            <v>25.958749999999998</v>
          </cell>
          <cell r="F3958" t="str">
            <v>-</v>
          </cell>
          <cell r="G3958" t="str">
            <v>-</v>
          </cell>
          <cell r="H3958" t="str">
            <v>-</v>
          </cell>
          <cell r="I3958" t="str">
            <v>-</v>
          </cell>
          <cell r="J3958">
            <v>25.958749999999998</v>
          </cell>
          <cell r="K3958" t="str">
            <v>Small Cap</v>
          </cell>
        </row>
        <row r="3959">
          <cell r="C3959" t="str">
            <v>INE602C01011</v>
          </cell>
          <cell r="D3959" t="str">
            <v>KJMCCORP</v>
          </cell>
          <cell r="E3959">
            <v>25.934229687000002</v>
          </cell>
          <cell r="F3959" t="str">
            <v>-</v>
          </cell>
          <cell r="G3959" t="str">
            <v>-</v>
          </cell>
          <cell r="H3959" t="str">
            <v>-</v>
          </cell>
          <cell r="I3959" t="str">
            <v>-</v>
          </cell>
          <cell r="J3959">
            <v>25.934229687000002</v>
          </cell>
          <cell r="K3959" t="str">
            <v>Small Cap</v>
          </cell>
        </row>
        <row r="3960">
          <cell r="C3960" t="str">
            <v>INE456N01019</v>
          </cell>
          <cell r="D3960" t="str">
            <v>COMCL</v>
          </cell>
          <cell r="E3960">
            <v>25.892793333</v>
          </cell>
          <cell r="F3960" t="str">
            <v>-</v>
          </cell>
          <cell r="G3960" t="str">
            <v>-</v>
          </cell>
          <cell r="H3960" t="str">
            <v>-</v>
          </cell>
          <cell r="I3960" t="str">
            <v>-</v>
          </cell>
          <cell r="J3960">
            <v>25.892793333</v>
          </cell>
          <cell r="K3960" t="str">
            <v>Small Cap</v>
          </cell>
        </row>
        <row r="3961">
          <cell r="C3961" t="str">
            <v>INE094E01017</v>
          </cell>
          <cell r="D3961" t="str">
            <v>MANSIFIN</v>
          </cell>
          <cell r="E3961">
            <v>25.858859581000001</v>
          </cell>
          <cell r="F3961" t="str">
            <v>-</v>
          </cell>
          <cell r="G3961" t="str">
            <v>-</v>
          </cell>
          <cell r="H3961" t="str">
            <v>-</v>
          </cell>
          <cell r="I3961" t="str">
            <v>-</v>
          </cell>
          <cell r="J3961">
            <v>25.858859581000001</v>
          </cell>
          <cell r="K3961" t="str">
            <v>Small Cap</v>
          </cell>
        </row>
        <row r="3962">
          <cell r="C3962" t="str">
            <v>INE363D01018</v>
          </cell>
          <cell r="D3962" t="str">
            <v>SBFL</v>
          </cell>
          <cell r="E3962">
            <v>25.844976190000001</v>
          </cell>
          <cell r="F3962" t="str">
            <v>-</v>
          </cell>
          <cell r="G3962" t="str">
            <v>-</v>
          </cell>
          <cell r="H3962" t="str">
            <v>-</v>
          </cell>
          <cell r="I3962" t="str">
            <v>-</v>
          </cell>
          <cell r="J3962">
            <v>25.844976190000001</v>
          </cell>
          <cell r="K3962" t="str">
            <v>Small Cap</v>
          </cell>
        </row>
        <row r="3963">
          <cell r="C3963" t="str">
            <v>INE993I01029</v>
          </cell>
          <cell r="D3963" t="str">
            <v>ENBETRD</v>
          </cell>
          <cell r="E3963">
            <v>25.734074224</v>
          </cell>
          <cell r="F3963" t="str">
            <v>-</v>
          </cell>
          <cell r="G3963" t="str">
            <v>-</v>
          </cell>
          <cell r="H3963" t="str">
            <v>-</v>
          </cell>
          <cell r="I3963" t="str">
            <v>-</v>
          </cell>
          <cell r="J3963">
            <v>25.734074224</v>
          </cell>
          <cell r="K3963" t="str">
            <v>Small Cap</v>
          </cell>
        </row>
        <row r="3964">
          <cell r="C3964" t="str">
            <v>INE723N01012</v>
          </cell>
          <cell r="D3964" t="str">
            <v>PRIMAIN</v>
          </cell>
          <cell r="E3964">
            <v>25.714356899999999</v>
          </cell>
          <cell r="F3964" t="str">
            <v>-</v>
          </cell>
          <cell r="G3964" t="str">
            <v>-</v>
          </cell>
          <cell r="H3964" t="str">
            <v>-</v>
          </cell>
          <cell r="I3964" t="str">
            <v>-</v>
          </cell>
          <cell r="J3964">
            <v>25.714356899999999</v>
          </cell>
          <cell r="K3964" t="str">
            <v>Small Cap</v>
          </cell>
        </row>
        <row r="3965">
          <cell r="C3965" t="str">
            <v>INE0H8J01015</v>
          </cell>
          <cell r="D3965" t="str">
            <v>ADESHWAR</v>
          </cell>
          <cell r="E3965">
            <v>25.693779571</v>
          </cell>
          <cell r="F3965" t="str">
            <v>-</v>
          </cell>
          <cell r="G3965" t="str">
            <v>-</v>
          </cell>
          <cell r="H3965" t="str">
            <v>-</v>
          </cell>
          <cell r="I3965" t="str">
            <v>-</v>
          </cell>
          <cell r="J3965">
            <v>25.693779571</v>
          </cell>
          <cell r="K3965" t="str">
            <v>Small Cap</v>
          </cell>
        </row>
        <row r="3966">
          <cell r="C3966" t="str">
            <v>INE610B01024</v>
          </cell>
          <cell r="D3966" t="str">
            <v>GUJRAFFIA</v>
          </cell>
          <cell r="E3966">
            <v>25.776977213999999</v>
          </cell>
          <cell r="F3966" t="str">
            <v>GUJRAFFIA</v>
          </cell>
          <cell r="G3966">
            <v>25.5488</v>
          </cell>
          <cell r="H3966" t="str">
            <v>-</v>
          </cell>
          <cell r="I3966" t="str">
            <v>-</v>
          </cell>
          <cell r="J3966">
            <v>25.662888606999999</v>
          </cell>
          <cell r="K3966" t="str">
            <v>Small Cap</v>
          </cell>
        </row>
        <row r="3967">
          <cell r="C3967" t="str">
            <v>INE0OJZ01019</v>
          </cell>
          <cell r="D3967" t="str">
            <v>SHOORA</v>
          </cell>
          <cell r="E3967">
            <v>25.644444063999998</v>
          </cell>
          <cell r="F3967" t="str">
            <v>-</v>
          </cell>
          <cell r="G3967" t="str">
            <v>-</v>
          </cell>
          <cell r="H3967" t="str">
            <v>-</v>
          </cell>
          <cell r="I3967" t="str">
            <v>-</v>
          </cell>
          <cell r="J3967">
            <v>25.644444063999998</v>
          </cell>
          <cell r="K3967" t="str">
            <v>Small Cap</v>
          </cell>
        </row>
        <row r="3968">
          <cell r="C3968" t="str">
            <v>INE524D01015</v>
          </cell>
          <cell r="D3968" t="str">
            <v>MEGFI</v>
          </cell>
          <cell r="E3968">
            <v>25.584643286000002</v>
          </cell>
          <cell r="F3968" t="str">
            <v>-</v>
          </cell>
          <cell r="G3968" t="str">
            <v>-</v>
          </cell>
          <cell r="H3968" t="str">
            <v>-</v>
          </cell>
          <cell r="I3968" t="str">
            <v>-</v>
          </cell>
          <cell r="J3968">
            <v>25.584643286000002</v>
          </cell>
          <cell r="K3968" t="str">
            <v>Small Cap</v>
          </cell>
        </row>
        <row r="3969">
          <cell r="C3969" t="str">
            <v>INE0W4K01013</v>
          </cell>
          <cell r="D3969" t="str">
            <v>BLT</v>
          </cell>
          <cell r="E3969">
            <v>25.582259546</v>
          </cell>
          <cell r="F3969" t="str">
            <v>-</v>
          </cell>
          <cell r="G3969" t="str">
            <v>-</v>
          </cell>
          <cell r="H3969" t="str">
            <v>-</v>
          </cell>
          <cell r="I3969" t="str">
            <v>-</v>
          </cell>
          <cell r="J3969">
            <v>25.582259546</v>
          </cell>
          <cell r="K3969" t="str">
            <v>Small Cap</v>
          </cell>
        </row>
        <row r="3970">
          <cell r="C3970" t="str">
            <v>INE963A01011</v>
          </cell>
          <cell r="D3970" t="str">
            <v>HIPOLIN</v>
          </cell>
          <cell r="E3970">
            <v>25.570320058</v>
          </cell>
          <cell r="F3970" t="str">
            <v>-</v>
          </cell>
          <cell r="G3970" t="str">
            <v>-</v>
          </cell>
          <cell r="H3970" t="str">
            <v>-</v>
          </cell>
          <cell r="I3970" t="str">
            <v>-</v>
          </cell>
          <cell r="J3970">
            <v>25.570320058</v>
          </cell>
          <cell r="K3970" t="str">
            <v>Small Cap</v>
          </cell>
        </row>
        <row r="3971">
          <cell r="C3971" t="str">
            <v>INE062C01042</v>
          </cell>
          <cell r="D3971" t="str">
            <v>GLOBALCA</v>
          </cell>
          <cell r="E3971">
            <v>25.535199111000001</v>
          </cell>
          <cell r="F3971" t="str">
            <v>-</v>
          </cell>
          <cell r="G3971" t="str">
            <v>-</v>
          </cell>
          <cell r="H3971" t="str">
            <v>-</v>
          </cell>
          <cell r="I3971" t="str">
            <v>-</v>
          </cell>
          <cell r="J3971">
            <v>25.535199111000001</v>
          </cell>
          <cell r="K3971" t="str">
            <v>Small Cap</v>
          </cell>
        </row>
        <row r="3972">
          <cell r="C3972" t="str">
            <v>INE639Y01017</v>
          </cell>
          <cell r="D3972" t="str">
            <v>-</v>
          </cell>
          <cell r="E3972" t="str">
            <v>-</v>
          </cell>
          <cell r="F3972" t="str">
            <v>-</v>
          </cell>
          <cell r="G3972" t="str">
            <v>-</v>
          </cell>
          <cell r="H3972" t="str">
            <v>DELHISAFE</v>
          </cell>
          <cell r="I3972">
            <v>25.488240000000022</v>
          </cell>
          <cell r="J3972">
            <v>25.488240000000022</v>
          </cell>
          <cell r="K3972" t="str">
            <v>Small Cap</v>
          </cell>
        </row>
        <row r="3973">
          <cell r="C3973" t="str">
            <v>INE917C01013</v>
          </cell>
          <cell r="D3973" t="str">
            <v>-</v>
          </cell>
          <cell r="E3973" t="str">
            <v>-</v>
          </cell>
          <cell r="F3973" t="str">
            <v>-</v>
          </cell>
          <cell r="G3973" t="str">
            <v>-</v>
          </cell>
          <cell r="H3973" t="str">
            <v>GANODAYA</v>
          </cell>
          <cell r="I3973">
            <v>25.447500000000073</v>
          </cell>
          <cell r="J3973">
            <v>25.447500000000073</v>
          </cell>
          <cell r="K3973" t="str">
            <v>Small Cap</v>
          </cell>
        </row>
        <row r="3974">
          <cell r="C3974" t="str">
            <v>INE873N01015</v>
          </cell>
          <cell r="D3974" t="str">
            <v>KMGMILK</v>
          </cell>
          <cell r="E3974">
            <v>25.435767500000001</v>
          </cell>
          <cell r="F3974" t="str">
            <v>-</v>
          </cell>
          <cell r="G3974" t="str">
            <v>-</v>
          </cell>
          <cell r="H3974" t="str">
            <v>-</v>
          </cell>
          <cell r="I3974" t="str">
            <v>-</v>
          </cell>
          <cell r="J3974">
            <v>25.435767500000001</v>
          </cell>
          <cell r="K3974" t="str">
            <v>Small Cap</v>
          </cell>
        </row>
        <row r="3975">
          <cell r="C3975" t="str">
            <v>INE934B01028</v>
          </cell>
          <cell r="D3975" t="str">
            <v>MERCATOR</v>
          </cell>
          <cell r="E3975">
            <v>25.40658414</v>
          </cell>
          <cell r="F3975" t="str">
            <v>-</v>
          </cell>
          <cell r="G3975" t="str">
            <v>-</v>
          </cell>
          <cell r="H3975" t="str">
            <v>-</v>
          </cell>
          <cell r="I3975" t="str">
            <v>-</v>
          </cell>
          <cell r="J3975">
            <v>25.40658414</v>
          </cell>
          <cell r="K3975" t="str">
            <v>Small Cap</v>
          </cell>
        </row>
        <row r="3976">
          <cell r="C3976" t="str">
            <v>INE578R01011</v>
          </cell>
          <cell r="D3976" t="str">
            <v>GRAMEVA</v>
          </cell>
          <cell r="E3976">
            <v>25.353478037999999</v>
          </cell>
          <cell r="F3976" t="str">
            <v>-</v>
          </cell>
          <cell r="G3976" t="str">
            <v>-</v>
          </cell>
          <cell r="H3976" t="str">
            <v>-</v>
          </cell>
          <cell r="I3976" t="str">
            <v>-</v>
          </cell>
          <cell r="J3976">
            <v>25.353478037999999</v>
          </cell>
          <cell r="K3976" t="str">
            <v>Small Cap</v>
          </cell>
        </row>
        <row r="3977">
          <cell r="C3977" t="str">
            <v>INE382B01012</v>
          </cell>
          <cell r="D3977" t="str">
            <v>TRIUMPIN</v>
          </cell>
          <cell r="E3977">
            <v>25.220119047999997</v>
          </cell>
          <cell r="F3977" t="str">
            <v>-</v>
          </cell>
          <cell r="G3977" t="str">
            <v>-</v>
          </cell>
          <cell r="H3977" t="str">
            <v>-</v>
          </cell>
          <cell r="I3977" t="str">
            <v>-</v>
          </cell>
          <cell r="J3977">
            <v>25.220119047999997</v>
          </cell>
          <cell r="K3977" t="str">
            <v>Small Cap</v>
          </cell>
        </row>
        <row r="3978">
          <cell r="C3978" t="str">
            <v>INE771C01014</v>
          </cell>
          <cell r="D3978" t="str">
            <v>EASUN</v>
          </cell>
          <cell r="E3978">
            <v>25.171420046000001</v>
          </cell>
          <cell r="F3978" t="str">
            <v>-</v>
          </cell>
          <cell r="G3978" t="str">
            <v>-</v>
          </cell>
          <cell r="H3978" t="str">
            <v>-</v>
          </cell>
          <cell r="I3978" t="str">
            <v>-</v>
          </cell>
          <cell r="J3978">
            <v>25.171420046000001</v>
          </cell>
          <cell r="K3978" t="str">
            <v>Small Cap</v>
          </cell>
        </row>
        <row r="3979">
          <cell r="C3979" t="str">
            <v>INE586X01012</v>
          </cell>
          <cell r="D3979" t="str">
            <v>-</v>
          </cell>
          <cell r="E3979" t="str">
            <v>-</v>
          </cell>
          <cell r="F3979" t="str">
            <v>GTECJAINX</v>
          </cell>
          <cell r="G3979">
            <v>25.159199999999998</v>
          </cell>
          <cell r="H3979" t="str">
            <v>-</v>
          </cell>
          <cell r="I3979" t="str">
            <v>-</v>
          </cell>
          <cell r="J3979">
            <v>25.159199999999998</v>
          </cell>
          <cell r="K3979" t="str">
            <v>Small Cap</v>
          </cell>
        </row>
        <row r="3980">
          <cell r="C3980" t="str">
            <v>INE874E01012</v>
          </cell>
          <cell r="D3980" t="str">
            <v>DAL</v>
          </cell>
          <cell r="E3980">
            <v>24.989879999999999</v>
          </cell>
          <cell r="F3980" t="str">
            <v>-</v>
          </cell>
          <cell r="G3980" t="str">
            <v>-</v>
          </cell>
          <cell r="H3980" t="str">
            <v>-</v>
          </cell>
          <cell r="I3980" t="str">
            <v>-</v>
          </cell>
          <cell r="J3980">
            <v>24.989879999999999</v>
          </cell>
          <cell r="K3980" t="str">
            <v>Small Cap</v>
          </cell>
        </row>
        <row r="3981">
          <cell r="C3981" t="str">
            <v>INE0N4701016</v>
          </cell>
          <cell r="D3981" t="str">
            <v>NHL</v>
          </cell>
          <cell r="E3981">
            <v>24.891009409999999</v>
          </cell>
          <cell r="F3981" t="str">
            <v>-</v>
          </cell>
          <cell r="G3981" t="str">
            <v>-</v>
          </cell>
          <cell r="H3981" t="str">
            <v>-</v>
          </cell>
          <cell r="I3981" t="str">
            <v>-</v>
          </cell>
          <cell r="J3981">
            <v>24.891009409999999</v>
          </cell>
          <cell r="K3981" t="str">
            <v>Small Cap</v>
          </cell>
        </row>
        <row r="3982">
          <cell r="C3982" t="str">
            <v>INE338P01014</v>
          </cell>
          <cell r="D3982" t="str">
            <v>MIVENMACH</v>
          </cell>
          <cell r="E3982">
            <v>24.873604437000001</v>
          </cell>
          <cell r="F3982" t="str">
            <v>-</v>
          </cell>
          <cell r="G3982" t="str">
            <v>-</v>
          </cell>
          <cell r="H3982" t="str">
            <v>-</v>
          </cell>
          <cell r="I3982" t="str">
            <v>-</v>
          </cell>
          <cell r="J3982">
            <v>24.873604437000001</v>
          </cell>
          <cell r="K3982" t="str">
            <v>Small Cap</v>
          </cell>
        </row>
        <row r="3983">
          <cell r="C3983" t="str">
            <v>INE527B01020</v>
          </cell>
          <cell r="D3983" t="str">
            <v>QUADRANT</v>
          </cell>
          <cell r="E3983">
            <v>24.806259271000002</v>
          </cell>
          <cell r="F3983" t="str">
            <v>-</v>
          </cell>
          <cell r="G3983" t="str">
            <v>-</v>
          </cell>
          <cell r="H3983" t="str">
            <v>-</v>
          </cell>
          <cell r="I3983" t="str">
            <v>-</v>
          </cell>
          <cell r="J3983">
            <v>24.806259271000002</v>
          </cell>
          <cell r="K3983" t="str">
            <v>Small Cap</v>
          </cell>
        </row>
        <row r="3984">
          <cell r="C3984" t="str">
            <v>INE960Z01014</v>
          </cell>
          <cell r="D3984" t="str">
            <v>RAWEDGE</v>
          </cell>
          <cell r="E3984">
            <v>24.802737143000002</v>
          </cell>
          <cell r="F3984" t="str">
            <v>-</v>
          </cell>
          <cell r="G3984" t="str">
            <v>-</v>
          </cell>
          <cell r="H3984" t="str">
            <v>-</v>
          </cell>
          <cell r="I3984" t="str">
            <v>-</v>
          </cell>
          <cell r="J3984">
            <v>24.802737143000002</v>
          </cell>
          <cell r="K3984" t="str">
            <v>Small Cap</v>
          </cell>
        </row>
        <row r="3985">
          <cell r="C3985" t="str">
            <v>INE982C01033</v>
          </cell>
          <cell r="D3985" t="str">
            <v>TRITON</v>
          </cell>
          <cell r="E3985">
            <v>24.787903025999999</v>
          </cell>
          <cell r="F3985" t="str">
            <v>-</v>
          </cell>
          <cell r="G3985" t="str">
            <v>-</v>
          </cell>
          <cell r="H3985" t="str">
            <v>-</v>
          </cell>
          <cell r="I3985" t="str">
            <v>-</v>
          </cell>
          <cell r="J3985">
            <v>24.787903025999999</v>
          </cell>
          <cell r="K3985" t="str">
            <v>Small Cap</v>
          </cell>
        </row>
        <row r="3986">
          <cell r="C3986" t="str">
            <v>INE218A01028</v>
          </cell>
          <cell r="D3986" t="str">
            <v>KLIFESTYL</v>
          </cell>
          <cell r="E3986">
            <v>24.715702350000001</v>
          </cell>
          <cell r="F3986" t="str">
            <v>-</v>
          </cell>
          <cell r="G3986" t="str">
            <v>-</v>
          </cell>
          <cell r="H3986" t="str">
            <v>-</v>
          </cell>
          <cell r="I3986" t="str">
            <v>-</v>
          </cell>
          <cell r="J3986">
            <v>24.715702350000001</v>
          </cell>
          <cell r="K3986" t="str">
            <v>Small Cap</v>
          </cell>
        </row>
        <row r="3987">
          <cell r="C3987" t="str">
            <v>INE412A01019</v>
          </cell>
          <cell r="D3987" t="str">
            <v>-</v>
          </cell>
          <cell r="E3987" t="str">
            <v>-</v>
          </cell>
          <cell r="F3987" t="str">
            <v>-</v>
          </cell>
          <cell r="G3987" t="str">
            <v>-</v>
          </cell>
          <cell r="H3987" t="str">
            <v>DRFRESH</v>
          </cell>
          <cell r="I3987">
            <v>24.68415274000003</v>
          </cell>
          <cell r="J3987">
            <v>24.68415274000003</v>
          </cell>
          <cell r="K3987" t="str">
            <v>Small Cap</v>
          </cell>
        </row>
        <row r="3988">
          <cell r="C3988" t="str">
            <v>INE689V01018</v>
          </cell>
          <cell r="D3988" t="str">
            <v>SBECSYS</v>
          </cell>
          <cell r="E3988">
            <v>24.663730159</v>
          </cell>
          <cell r="F3988" t="str">
            <v>-</v>
          </cell>
          <cell r="G3988" t="str">
            <v>-</v>
          </cell>
          <cell r="H3988" t="str">
            <v>-</v>
          </cell>
          <cell r="I3988" t="str">
            <v>-</v>
          </cell>
          <cell r="J3988">
            <v>24.663730159</v>
          </cell>
          <cell r="K3988" t="str">
            <v>Small Cap</v>
          </cell>
        </row>
        <row r="3989">
          <cell r="C3989" t="str">
            <v>INE146H01018</v>
          </cell>
          <cell r="D3989" t="str">
            <v>INDCTST</v>
          </cell>
          <cell r="E3989">
            <v>24.654684872000001</v>
          </cell>
          <cell r="F3989" t="str">
            <v>-</v>
          </cell>
          <cell r="G3989" t="str">
            <v>-</v>
          </cell>
          <cell r="H3989" t="str">
            <v>-</v>
          </cell>
          <cell r="I3989" t="str">
            <v>-</v>
          </cell>
          <cell r="J3989">
            <v>24.654684872000001</v>
          </cell>
          <cell r="K3989" t="str">
            <v>Small Cap</v>
          </cell>
        </row>
        <row r="3990">
          <cell r="C3990" t="str">
            <v>INE560T01015</v>
          </cell>
          <cell r="D3990" t="str">
            <v>VEL</v>
          </cell>
          <cell r="E3990">
            <v>24.609533333000002</v>
          </cell>
          <cell r="F3990" t="str">
            <v>-</v>
          </cell>
          <cell r="G3990" t="str">
            <v>-</v>
          </cell>
          <cell r="H3990" t="str">
            <v>-</v>
          </cell>
          <cell r="I3990" t="str">
            <v>-</v>
          </cell>
          <cell r="J3990">
            <v>24.609533333000002</v>
          </cell>
          <cell r="K3990" t="str">
            <v>Small Cap</v>
          </cell>
        </row>
        <row r="3991">
          <cell r="C3991" t="str">
            <v>INE543V01017</v>
          </cell>
          <cell r="D3991" t="str">
            <v>-</v>
          </cell>
          <cell r="E3991" t="str">
            <v>-</v>
          </cell>
          <cell r="F3991" t="str">
            <v>ACEINTEG</v>
          </cell>
          <cell r="G3991">
            <v>24.574100000000001</v>
          </cell>
          <cell r="H3991" t="str">
            <v>-</v>
          </cell>
          <cell r="I3991" t="str">
            <v>-</v>
          </cell>
          <cell r="J3991">
            <v>24.574100000000001</v>
          </cell>
          <cell r="K3991" t="str">
            <v>Small Cap</v>
          </cell>
        </row>
        <row r="3992">
          <cell r="C3992" t="str">
            <v>INE574I01035</v>
          </cell>
          <cell r="D3992" t="str">
            <v>ARCOTECH</v>
          </cell>
          <cell r="E3992">
            <v>24.57</v>
          </cell>
          <cell r="F3992" t="str">
            <v>-</v>
          </cell>
          <cell r="G3992" t="str">
            <v>-</v>
          </cell>
          <cell r="H3992" t="str">
            <v>-</v>
          </cell>
          <cell r="I3992" t="str">
            <v>-</v>
          </cell>
          <cell r="J3992">
            <v>24.57</v>
          </cell>
          <cell r="K3992" t="str">
            <v>Small Cap</v>
          </cell>
        </row>
        <row r="3993">
          <cell r="C3993" t="str">
            <v>INE248B01023</v>
          </cell>
          <cell r="D3993" t="str">
            <v>SAWACA</v>
          </cell>
          <cell r="E3993">
            <v>24.539107519999998</v>
          </cell>
          <cell r="F3993" t="str">
            <v>-</v>
          </cell>
          <cell r="G3993" t="str">
            <v>-</v>
          </cell>
          <cell r="H3993" t="str">
            <v>-</v>
          </cell>
          <cell r="I3993" t="str">
            <v>-</v>
          </cell>
          <cell r="J3993">
            <v>24.539107519999998</v>
          </cell>
          <cell r="K3993" t="str">
            <v>Small Cap</v>
          </cell>
        </row>
        <row r="3994">
          <cell r="C3994" t="str">
            <v>INE545E01018</v>
          </cell>
          <cell r="D3994" t="str">
            <v>GDLLEAS</v>
          </cell>
          <cell r="E3994">
            <v>24.475173516999998</v>
          </cell>
          <cell r="F3994" t="str">
            <v>-</v>
          </cell>
          <cell r="G3994" t="str">
            <v>-</v>
          </cell>
          <cell r="H3994" t="str">
            <v>-</v>
          </cell>
          <cell r="I3994" t="str">
            <v>-</v>
          </cell>
          <cell r="J3994">
            <v>24.475173516999998</v>
          </cell>
          <cell r="K3994" t="str">
            <v>Small Cap</v>
          </cell>
        </row>
        <row r="3995">
          <cell r="C3995" t="str">
            <v>INE299C01024</v>
          </cell>
          <cell r="D3995" t="str">
            <v>KGL</v>
          </cell>
          <cell r="E3995">
            <v>24.473439552000002</v>
          </cell>
          <cell r="F3995" t="str">
            <v>-</v>
          </cell>
          <cell r="G3995" t="str">
            <v>-</v>
          </cell>
          <cell r="H3995" t="str">
            <v>-</v>
          </cell>
          <cell r="I3995" t="str">
            <v>-</v>
          </cell>
          <cell r="J3995">
            <v>24.473439552000002</v>
          </cell>
          <cell r="K3995" t="str">
            <v>Small Cap</v>
          </cell>
        </row>
        <row r="3996">
          <cell r="C3996" t="str">
            <v>INE03DD01011</v>
          </cell>
          <cell r="D3996" t="str">
            <v>RETAIL</v>
          </cell>
          <cell r="E3996">
            <v>24.709568043000001</v>
          </cell>
          <cell r="F3996" t="str">
            <v>RETAIL</v>
          </cell>
          <cell r="G3996">
            <v>24.161100000000001</v>
          </cell>
          <cell r="H3996" t="str">
            <v>-</v>
          </cell>
          <cell r="I3996" t="str">
            <v>-</v>
          </cell>
          <cell r="J3996">
            <v>24.435334021500001</v>
          </cell>
          <cell r="K3996" t="str">
            <v>Small Cap</v>
          </cell>
        </row>
        <row r="3997">
          <cell r="C3997" t="str">
            <v>INE0J2K01014</v>
          </cell>
          <cell r="D3997" t="str">
            <v>GLHRL</v>
          </cell>
          <cell r="E3997">
            <v>24.402833333</v>
          </cell>
          <cell r="F3997" t="str">
            <v>-</v>
          </cell>
          <cell r="G3997" t="str">
            <v>-</v>
          </cell>
          <cell r="H3997" t="str">
            <v>-</v>
          </cell>
          <cell r="I3997" t="str">
            <v>-</v>
          </cell>
          <cell r="J3997">
            <v>24.402833333</v>
          </cell>
          <cell r="K3997" t="str">
            <v>Small Cap</v>
          </cell>
        </row>
        <row r="3998">
          <cell r="C3998" t="str">
            <v>INE407F01018</v>
          </cell>
          <cell r="D3998" t="str">
            <v>EASYFIN</v>
          </cell>
          <cell r="E3998">
            <v>24.254999999999999</v>
          </cell>
          <cell r="F3998" t="str">
            <v>-</v>
          </cell>
          <cell r="G3998" t="str">
            <v>-</v>
          </cell>
          <cell r="H3998" t="str">
            <v>-</v>
          </cell>
          <cell r="I3998" t="str">
            <v>-</v>
          </cell>
          <cell r="J3998">
            <v>24.254999999999999</v>
          </cell>
          <cell r="K3998" t="str">
            <v>Small Cap</v>
          </cell>
        </row>
        <row r="3999">
          <cell r="C3999" t="str">
            <v>INE02ZJ01013</v>
          </cell>
          <cell r="D3999" t="str">
            <v>-</v>
          </cell>
          <cell r="E3999" t="str">
            <v>-</v>
          </cell>
          <cell r="F3999" t="str">
            <v>-</v>
          </cell>
          <cell r="G3999" t="str">
            <v>-</v>
          </cell>
          <cell r="H3999" t="str">
            <v>MILIAIND</v>
          </cell>
          <cell r="I3999">
            <v>24.176249999999985</v>
          </cell>
          <cell r="J3999">
            <v>24.176249999999985</v>
          </cell>
          <cell r="K3999" t="str">
            <v>Small Cap</v>
          </cell>
        </row>
        <row r="4000">
          <cell r="C4000" t="str">
            <v>INE143H01015</v>
          </cell>
          <cell r="D4000" t="str">
            <v>KSK</v>
          </cell>
          <cell r="E4000">
            <v>24.167189118</v>
          </cell>
          <cell r="F4000" t="str">
            <v>-</v>
          </cell>
          <cell r="G4000" t="str">
            <v>-</v>
          </cell>
          <cell r="H4000" t="str">
            <v>-</v>
          </cell>
          <cell r="I4000" t="str">
            <v>-</v>
          </cell>
          <cell r="J4000">
            <v>24.167189118</v>
          </cell>
          <cell r="K4000" t="str">
            <v>Small Cap</v>
          </cell>
        </row>
        <row r="4001">
          <cell r="C4001" t="str">
            <v>INE255E01030</v>
          </cell>
          <cell r="D4001" t="str">
            <v>VEERENRGY</v>
          </cell>
          <cell r="E4001">
            <v>24.164071243999999</v>
          </cell>
          <cell r="F4001" t="str">
            <v>-</v>
          </cell>
          <cell r="G4001" t="str">
            <v>-</v>
          </cell>
          <cell r="H4001" t="str">
            <v>-</v>
          </cell>
          <cell r="I4001" t="str">
            <v>-</v>
          </cell>
          <cell r="J4001">
            <v>24.164071243999999</v>
          </cell>
          <cell r="K4001" t="str">
            <v>Small Cap</v>
          </cell>
        </row>
        <row r="4002">
          <cell r="C4002" t="str">
            <v>INE393D01015</v>
          </cell>
          <cell r="D4002" t="str">
            <v>SCANPRO</v>
          </cell>
          <cell r="E4002">
            <v>24.091206654</v>
          </cell>
          <cell r="F4002" t="str">
            <v>-</v>
          </cell>
          <cell r="G4002" t="str">
            <v>-</v>
          </cell>
          <cell r="H4002" t="str">
            <v>-</v>
          </cell>
          <cell r="I4002" t="str">
            <v>-</v>
          </cell>
          <cell r="J4002">
            <v>24.091206654</v>
          </cell>
          <cell r="K4002" t="str">
            <v>Small Cap</v>
          </cell>
        </row>
        <row r="4003">
          <cell r="C4003" t="str">
            <v>INE825D01016</v>
          </cell>
          <cell r="D4003" t="str">
            <v>SHAHISHIP</v>
          </cell>
          <cell r="E4003">
            <v>24.057464486000001</v>
          </cell>
          <cell r="F4003" t="str">
            <v>-</v>
          </cell>
          <cell r="G4003" t="str">
            <v>-</v>
          </cell>
          <cell r="H4003" t="str">
            <v>-</v>
          </cell>
          <cell r="I4003" t="str">
            <v>-</v>
          </cell>
          <cell r="J4003">
            <v>24.057464486000001</v>
          </cell>
          <cell r="K4003" t="str">
            <v>Small Cap</v>
          </cell>
        </row>
        <row r="4004">
          <cell r="C4004" t="str">
            <v>INE195I01013</v>
          </cell>
          <cell r="D4004" t="str">
            <v>ABIRAFN</v>
          </cell>
          <cell r="E4004">
            <v>23.999614286</v>
          </cell>
          <cell r="F4004" t="str">
            <v>-</v>
          </cell>
          <cell r="G4004" t="str">
            <v>-</v>
          </cell>
          <cell r="H4004" t="str">
            <v>-</v>
          </cell>
          <cell r="I4004" t="str">
            <v>-</v>
          </cell>
          <cell r="J4004">
            <v>23.999614286</v>
          </cell>
          <cell r="K4004" t="str">
            <v>Small Cap</v>
          </cell>
        </row>
        <row r="4005">
          <cell r="C4005" t="str">
            <v>INE908C01012</v>
          </cell>
          <cell r="D4005" t="str">
            <v>CINDHO</v>
          </cell>
          <cell r="E4005">
            <v>23.907599999999999</v>
          </cell>
          <cell r="F4005" t="str">
            <v>-</v>
          </cell>
          <cell r="G4005" t="str">
            <v>-</v>
          </cell>
          <cell r="H4005" t="str">
            <v>-</v>
          </cell>
          <cell r="I4005" t="str">
            <v>-</v>
          </cell>
          <cell r="J4005">
            <v>23.907599999999999</v>
          </cell>
          <cell r="K4005" t="str">
            <v>Small Cap</v>
          </cell>
        </row>
        <row r="4006">
          <cell r="C4006" t="str">
            <v>INE001F01019</v>
          </cell>
          <cell r="D4006" t="str">
            <v>MDRNSTL</v>
          </cell>
          <cell r="E4006">
            <v>23.864913531999999</v>
          </cell>
          <cell r="F4006" t="str">
            <v>-</v>
          </cell>
          <cell r="G4006" t="str">
            <v>-</v>
          </cell>
          <cell r="H4006" t="str">
            <v>-</v>
          </cell>
          <cell r="I4006" t="str">
            <v>-</v>
          </cell>
          <cell r="J4006">
            <v>23.864913531999999</v>
          </cell>
          <cell r="K4006" t="str">
            <v>Small Cap</v>
          </cell>
        </row>
        <row r="4007">
          <cell r="C4007" t="str">
            <v>INE0MID01012</v>
          </cell>
          <cell r="D4007" t="str">
            <v>SVS</v>
          </cell>
          <cell r="E4007">
            <v>23.846846657</v>
          </cell>
          <cell r="F4007" t="str">
            <v>-</v>
          </cell>
          <cell r="G4007" t="str">
            <v>-</v>
          </cell>
          <cell r="H4007" t="str">
            <v>-</v>
          </cell>
          <cell r="I4007" t="str">
            <v>-</v>
          </cell>
          <cell r="J4007">
            <v>23.846846657</v>
          </cell>
          <cell r="K4007" t="str">
            <v>Small Cap</v>
          </cell>
        </row>
        <row r="4008">
          <cell r="C4008" t="str">
            <v>INE026C01013</v>
          </cell>
          <cell r="D4008" t="str">
            <v>NDASEC</v>
          </cell>
          <cell r="E4008">
            <v>23.797610413000001</v>
          </cell>
          <cell r="F4008" t="str">
            <v>-</v>
          </cell>
          <cell r="G4008" t="str">
            <v>-</v>
          </cell>
          <cell r="H4008" t="str">
            <v>-</v>
          </cell>
          <cell r="I4008" t="str">
            <v>-</v>
          </cell>
          <cell r="J4008">
            <v>23.797610413000001</v>
          </cell>
          <cell r="K4008" t="str">
            <v>Small Cap</v>
          </cell>
        </row>
        <row r="4009">
          <cell r="C4009" t="str">
            <v>INE495Z01011</v>
          </cell>
          <cell r="D4009" t="str">
            <v>BENARA</v>
          </cell>
          <cell r="E4009">
            <v>23.771472004</v>
          </cell>
          <cell r="F4009" t="str">
            <v>-</v>
          </cell>
          <cell r="G4009" t="str">
            <v>-</v>
          </cell>
          <cell r="H4009" t="str">
            <v>-</v>
          </cell>
          <cell r="I4009" t="str">
            <v>-</v>
          </cell>
          <cell r="J4009">
            <v>23.771472004</v>
          </cell>
          <cell r="K4009" t="str">
            <v>Small Cap</v>
          </cell>
        </row>
        <row r="4010">
          <cell r="C4010" t="str">
            <v>INE469F01026</v>
          </cell>
          <cell r="D4010" t="str">
            <v>KCLINFRA</v>
          </cell>
          <cell r="E4010">
            <v>23.705305344999999</v>
          </cell>
          <cell r="F4010" t="str">
            <v>-</v>
          </cell>
          <cell r="G4010" t="str">
            <v>-</v>
          </cell>
          <cell r="H4010" t="str">
            <v>-</v>
          </cell>
          <cell r="I4010" t="str">
            <v>-</v>
          </cell>
          <cell r="J4010">
            <v>23.705305344999999</v>
          </cell>
          <cell r="K4010" t="str">
            <v>Small Cap</v>
          </cell>
        </row>
        <row r="4011">
          <cell r="C4011" t="str">
            <v>INE137B01010</v>
          </cell>
          <cell r="D4011" t="str">
            <v>-</v>
          </cell>
          <cell r="E4011" t="str">
            <v>-</v>
          </cell>
          <cell r="F4011" t="str">
            <v>-</v>
          </cell>
          <cell r="G4011" t="str">
            <v>-</v>
          </cell>
          <cell r="H4011" t="str">
            <v>INTERTEC</v>
          </cell>
          <cell r="I4011">
            <v>23.702904225000072</v>
          </cell>
          <cell r="J4011">
            <v>23.702904225000072</v>
          </cell>
          <cell r="K4011" t="str">
            <v>Small Cap</v>
          </cell>
        </row>
        <row r="4012">
          <cell r="C4012" t="str">
            <v>INE838Z01012</v>
          </cell>
          <cell r="D4012" t="str">
            <v>PALMJEWELS</v>
          </cell>
          <cell r="E4012">
            <v>23.649489025999998</v>
          </cell>
          <cell r="F4012" t="str">
            <v>-</v>
          </cell>
          <cell r="G4012" t="str">
            <v>-</v>
          </cell>
          <cell r="H4012" t="str">
            <v>-</v>
          </cell>
          <cell r="I4012" t="str">
            <v>-</v>
          </cell>
          <cell r="J4012">
            <v>23.649489025999998</v>
          </cell>
          <cell r="K4012" t="str">
            <v>Small Cap</v>
          </cell>
        </row>
        <row r="4013">
          <cell r="C4013" t="str">
            <v>INE657B01025</v>
          </cell>
          <cell r="D4013" t="str">
            <v>BLUECHIP</v>
          </cell>
          <cell r="E4013">
            <v>24.579267742999999</v>
          </cell>
          <cell r="F4013" t="str">
            <v>BLUECHIP</v>
          </cell>
          <cell r="G4013">
            <v>22.638300000000001</v>
          </cell>
          <cell r="H4013" t="str">
            <v>-</v>
          </cell>
          <cell r="I4013" t="str">
            <v>-</v>
          </cell>
          <cell r="J4013">
            <v>23.608783871500002</v>
          </cell>
          <cell r="K4013" t="str">
            <v>Small Cap</v>
          </cell>
        </row>
        <row r="4014">
          <cell r="C4014" t="str">
            <v>INE414C01045</v>
          </cell>
          <cell r="D4014" t="str">
            <v>GREENCREST</v>
          </cell>
          <cell r="E4014">
            <v>23.589770286</v>
          </cell>
          <cell r="F4014" t="str">
            <v>-</v>
          </cell>
          <cell r="G4014" t="str">
            <v>-</v>
          </cell>
          <cell r="H4014" t="str">
            <v>-</v>
          </cell>
          <cell r="I4014" t="str">
            <v>-</v>
          </cell>
          <cell r="J4014">
            <v>23.589770286</v>
          </cell>
          <cell r="K4014" t="str">
            <v>Small Cap</v>
          </cell>
        </row>
        <row r="4015">
          <cell r="C4015" t="str">
            <v>INE376C01020</v>
          </cell>
          <cell r="D4015" t="str">
            <v>SPENTEX</v>
          </cell>
          <cell r="E4015">
            <v>23.430501135</v>
          </cell>
          <cell r="F4015" t="str">
            <v>-</v>
          </cell>
          <cell r="G4015" t="str">
            <v>-</v>
          </cell>
          <cell r="H4015" t="str">
            <v>-</v>
          </cell>
          <cell r="I4015" t="str">
            <v>-</v>
          </cell>
          <cell r="J4015">
            <v>23.430501135</v>
          </cell>
          <cell r="K4015" t="str">
            <v>Small Cap</v>
          </cell>
        </row>
        <row r="4016">
          <cell r="C4016" t="str">
            <v>INE830A01012</v>
          </cell>
          <cell r="D4016" t="str">
            <v>CILSEC</v>
          </cell>
          <cell r="E4016">
            <v>23.426269841</v>
          </cell>
          <cell r="F4016" t="str">
            <v>-</v>
          </cell>
          <cell r="G4016" t="str">
            <v>-</v>
          </cell>
          <cell r="H4016" t="str">
            <v>-</v>
          </cell>
          <cell r="I4016" t="str">
            <v>-</v>
          </cell>
          <cell r="J4016">
            <v>23.426269841</v>
          </cell>
          <cell r="K4016" t="str">
            <v>Small Cap</v>
          </cell>
        </row>
        <row r="4017">
          <cell r="C4017" t="str">
            <v>INE185U01035</v>
          </cell>
          <cell r="D4017" t="str">
            <v>KCDGROUP</v>
          </cell>
          <cell r="E4017">
            <v>23.368630924000001</v>
          </cell>
          <cell r="F4017" t="str">
            <v>-</v>
          </cell>
          <cell r="G4017" t="str">
            <v>-</v>
          </cell>
          <cell r="H4017" t="str">
            <v>-</v>
          </cell>
          <cell r="I4017" t="str">
            <v>-</v>
          </cell>
          <cell r="J4017">
            <v>23.368630924000001</v>
          </cell>
          <cell r="K4017" t="str">
            <v>Small Cap</v>
          </cell>
        </row>
        <row r="4018">
          <cell r="C4018" t="str">
            <v>INE754B01012</v>
          </cell>
          <cell r="D4018" t="str">
            <v>RAGHUTOB</v>
          </cell>
          <cell r="E4018">
            <v>23.291428571000001</v>
          </cell>
          <cell r="F4018" t="str">
            <v>-</v>
          </cell>
          <cell r="G4018" t="str">
            <v>-</v>
          </cell>
          <cell r="H4018" t="str">
            <v>-</v>
          </cell>
          <cell r="I4018" t="str">
            <v>-</v>
          </cell>
          <cell r="J4018">
            <v>23.291428571000001</v>
          </cell>
          <cell r="K4018" t="str">
            <v>Small Cap</v>
          </cell>
        </row>
        <row r="4019">
          <cell r="C4019" t="str">
            <v>INE553F01035</v>
          </cell>
          <cell r="D4019" t="str">
            <v>BESTEAST</v>
          </cell>
          <cell r="E4019">
            <v>23.285496428999998</v>
          </cell>
          <cell r="F4019" t="str">
            <v>-</v>
          </cell>
          <cell r="G4019" t="str">
            <v>-</v>
          </cell>
          <cell r="H4019" t="str">
            <v>-</v>
          </cell>
          <cell r="I4019" t="str">
            <v>-</v>
          </cell>
          <cell r="J4019">
            <v>23.285496428999998</v>
          </cell>
          <cell r="K4019" t="str">
            <v>Small Cap</v>
          </cell>
        </row>
        <row r="4020">
          <cell r="C4020" t="str">
            <v>INE817D01013</v>
          </cell>
          <cell r="D4020" t="str">
            <v>AAGAMCAP</v>
          </cell>
          <cell r="E4020">
            <v>23.25</v>
          </cell>
          <cell r="F4020" t="str">
            <v>-</v>
          </cell>
          <cell r="G4020" t="str">
            <v>-</v>
          </cell>
          <cell r="H4020" t="str">
            <v>-</v>
          </cell>
          <cell r="I4020" t="str">
            <v>-</v>
          </cell>
          <cell r="J4020">
            <v>23.25</v>
          </cell>
          <cell r="K4020" t="str">
            <v>Small Cap</v>
          </cell>
        </row>
        <row r="4021">
          <cell r="C4021" t="str">
            <v>INE491D01017</v>
          </cell>
          <cell r="D4021" t="str">
            <v>BIJHANS</v>
          </cell>
          <cell r="E4021">
            <v>23.020695043</v>
          </cell>
          <cell r="F4021" t="str">
            <v>-</v>
          </cell>
          <cell r="G4021" t="str">
            <v>-</v>
          </cell>
          <cell r="H4021" t="str">
            <v>-</v>
          </cell>
          <cell r="I4021" t="str">
            <v>-</v>
          </cell>
          <cell r="J4021">
            <v>23.020695043</v>
          </cell>
          <cell r="K4021" t="str">
            <v>Small Cap</v>
          </cell>
        </row>
        <row r="4022">
          <cell r="C4022" t="str">
            <v>INE0M8901010</v>
          </cell>
          <cell r="D4022" t="str">
            <v>CONTAINE</v>
          </cell>
          <cell r="E4022">
            <v>22.999476667</v>
          </cell>
          <cell r="F4022" t="str">
            <v>-</v>
          </cell>
          <cell r="G4022" t="str">
            <v>-</v>
          </cell>
          <cell r="H4022" t="str">
            <v>-</v>
          </cell>
          <cell r="I4022" t="str">
            <v>-</v>
          </cell>
          <cell r="J4022">
            <v>22.999476667</v>
          </cell>
          <cell r="K4022" t="str">
            <v>Small Cap</v>
          </cell>
        </row>
        <row r="4023">
          <cell r="C4023" t="str">
            <v>INE146N01016</v>
          </cell>
          <cell r="D4023" t="str">
            <v>FAMILYCARE</v>
          </cell>
          <cell r="E4023">
            <v>22.964852724</v>
          </cell>
          <cell r="F4023" t="str">
            <v>-</v>
          </cell>
          <cell r="G4023" t="str">
            <v>-</v>
          </cell>
          <cell r="H4023" t="str">
            <v>-</v>
          </cell>
          <cell r="I4023" t="str">
            <v>-</v>
          </cell>
          <cell r="J4023">
            <v>22.964852724</v>
          </cell>
          <cell r="K4023" t="str">
            <v>Small Cap</v>
          </cell>
        </row>
        <row r="4024">
          <cell r="C4024" t="str">
            <v>INE079C01012</v>
          </cell>
          <cell r="D4024" t="str">
            <v>KEL</v>
          </cell>
          <cell r="E4024">
            <v>22.949680190000002</v>
          </cell>
          <cell r="F4024" t="str">
            <v>-</v>
          </cell>
          <cell r="G4024" t="str">
            <v>-</v>
          </cell>
          <cell r="H4024" t="str">
            <v>KEL</v>
          </cell>
          <cell r="I4024">
            <v>22.951128865079372</v>
          </cell>
          <cell r="J4024">
            <v>22.950404527539689</v>
          </cell>
          <cell r="K4024" t="str">
            <v>Small Cap</v>
          </cell>
        </row>
        <row r="4025">
          <cell r="C4025" t="str">
            <v>INE0KZM01011</v>
          </cell>
          <cell r="D4025" t="str">
            <v>CARGOSOL</v>
          </cell>
          <cell r="E4025">
            <v>22.932352381000001</v>
          </cell>
          <cell r="F4025" t="str">
            <v>-</v>
          </cell>
          <cell r="G4025" t="str">
            <v>-</v>
          </cell>
          <cell r="H4025" t="str">
            <v>-</v>
          </cell>
          <cell r="I4025" t="str">
            <v>-</v>
          </cell>
          <cell r="J4025">
            <v>22.932352381000001</v>
          </cell>
          <cell r="K4025" t="str">
            <v>Small Cap</v>
          </cell>
        </row>
        <row r="4026">
          <cell r="C4026" t="str">
            <v>INE098201036</v>
          </cell>
          <cell r="D4026" t="str">
            <v>-</v>
          </cell>
          <cell r="E4026" t="str">
            <v>-</v>
          </cell>
          <cell r="F4026" t="str">
            <v>VCL</v>
          </cell>
          <cell r="G4026">
            <v>22.9267</v>
          </cell>
          <cell r="H4026" t="str">
            <v>-</v>
          </cell>
          <cell r="I4026" t="str">
            <v>-</v>
          </cell>
          <cell r="J4026">
            <v>22.9267</v>
          </cell>
          <cell r="K4026" t="str">
            <v>Small Cap</v>
          </cell>
        </row>
        <row r="4027">
          <cell r="C4027" t="str">
            <v>INE015E01012</v>
          </cell>
          <cell r="D4027" t="str">
            <v>PARAGONF</v>
          </cell>
          <cell r="E4027">
            <v>22.897886905</v>
          </cell>
          <cell r="F4027" t="str">
            <v>-</v>
          </cell>
          <cell r="G4027" t="str">
            <v>-</v>
          </cell>
          <cell r="H4027" t="str">
            <v>-</v>
          </cell>
          <cell r="I4027" t="str">
            <v>-</v>
          </cell>
          <cell r="J4027">
            <v>22.897886905</v>
          </cell>
          <cell r="K4027" t="str">
            <v>Small Cap</v>
          </cell>
        </row>
        <row r="4028">
          <cell r="C4028" t="str">
            <v>INE523K01012</v>
          </cell>
          <cell r="D4028" t="str">
            <v>RAUNAQ</v>
          </cell>
          <cell r="E4028">
            <v>22.888531453999999</v>
          </cell>
          <cell r="F4028" t="str">
            <v>-</v>
          </cell>
          <cell r="G4028" t="str">
            <v>-</v>
          </cell>
          <cell r="H4028" t="str">
            <v>-</v>
          </cell>
          <cell r="I4028" t="str">
            <v>-</v>
          </cell>
          <cell r="J4028">
            <v>22.888531453999999</v>
          </cell>
          <cell r="K4028" t="str">
            <v>Small Cap</v>
          </cell>
        </row>
        <row r="4029">
          <cell r="C4029" t="str">
            <v>INE463B01036</v>
          </cell>
          <cell r="D4029" t="str">
            <v>INFRONICS</v>
          </cell>
          <cell r="E4029">
            <v>22.865263624000001</v>
          </cell>
          <cell r="F4029" t="str">
            <v>-</v>
          </cell>
          <cell r="G4029" t="str">
            <v>-</v>
          </cell>
          <cell r="H4029" t="str">
            <v>-</v>
          </cell>
          <cell r="I4029" t="str">
            <v>-</v>
          </cell>
          <cell r="J4029">
            <v>22.865263624000001</v>
          </cell>
          <cell r="K4029" t="str">
            <v>Small Cap</v>
          </cell>
        </row>
        <row r="4030">
          <cell r="C4030" t="str">
            <v>INE404F01031</v>
          </cell>
          <cell r="D4030" t="str">
            <v>TTIENT</v>
          </cell>
          <cell r="E4030">
            <v>22.759337775999999</v>
          </cell>
          <cell r="F4030" t="str">
            <v>-</v>
          </cell>
          <cell r="G4030" t="str">
            <v>-</v>
          </cell>
          <cell r="H4030" t="str">
            <v>-</v>
          </cell>
          <cell r="I4030" t="str">
            <v>-</v>
          </cell>
          <cell r="J4030">
            <v>22.759337775999999</v>
          </cell>
          <cell r="K4030" t="str">
            <v>Small Cap</v>
          </cell>
        </row>
        <row r="4031">
          <cell r="C4031" t="str">
            <v>INE370E01029</v>
          </cell>
          <cell r="D4031" t="str">
            <v>VIVIDHA</v>
          </cell>
          <cell r="E4031">
            <v>22.798119369999998</v>
          </cell>
          <cell r="F4031" t="str">
            <v>VIVIDHA</v>
          </cell>
          <cell r="G4031">
            <v>22.665700000000001</v>
          </cell>
          <cell r="H4031" t="str">
            <v>-</v>
          </cell>
          <cell r="I4031" t="str">
            <v>-</v>
          </cell>
          <cell r="J4031">
            <v>22.731909684999998</v>
          </cell>
          <cell r="K4031" t="str">
            <v>Small Cap</v>
          </cell>
        </row>
        <row r="4032">
          <cell r="C4032" t="str">
            <v>INE492N01022</v>
          </cell>
          <cell r="D4032" t="str">
            <v>AMALGAM</v>
          </cell>
          <cell r="E4032">
            <v>22.721674094999997</v>
          </cell>
          <cell r="F4032" t="str">
            <v>-</v>
          </cell>
          <cell r="G4032" t="str">
            <v>-</v>
          </cell>
          <cell r="H4032" t="str">
            <v>-</v>
          </cell>
          <cell r="I4032" t="str">
            <v>-</v>
          </cell>
          <cell r="J4032">
            <v>22.721674094999997</v>
          </cell>
          <cell r="K4032" t="str">
            <v>Small Cap</v>
          </cell>
        </row>
        <row r="4033">
          <cell r="C4033" t="str">
            <v>INE931B01016</v>
          </cell>
          <cell r="D4033" t="str">
            <v>HOWARHO</v>
          </cell>
          <cell r="E4033">
            <v>22.657729662999998</v>
          </cell>
          <cell r="F4033" t="str">
            <v>-</v>
          </cell>
          <cell r="G4033" t="str">
            <v>-</v>
          </cell>
          <cell r="H4033" t="str">
            <v>-</v>
          </cell>
          <cell r="I4033" t="str">
            <v>-</v>
          </cell>
          <cell r="J4033">
            <v>22.657729662999998</v>
          </cell>
          <cell r="K4033" t="str">
            <v>Small Cap</v>
          </cell>
        </row>
        <row r="4034">
          <cell r="C4034" t="str">
            <v>INE084C01012</v>
          </cell>
          <cell r="D4034" t="str">
            <v>POLOHOT</v>
          </cell>
          <cell r="E4034">
            <v>22.655706896999998</v>
          </cell>
          <cell r="F4034" t="str">
            <v>-</v>
          </cell>
          <cell r="G4034" t="str">
            <v>-</v>
          </cell>
          <cell r="H4034" t="str">
            <v>-</v>
          </cell>
          <cell r="I4034" t="str">
            <v>-</v>
          </cell>
          <cell r="J4034">
            <v>22.655706896999998</v>
          </cell>
          <cell r="K4034" t="str">
            <v>Small Cap</v>
          </cell>
        </row>
        <row r="4035">
          <cell r="C4035" t="str">
            <v>INE614R01014</v>
          </cell>
          <cell r="D4035" t="str">
            <v>TAPARIA</v>
          </cell>
          <cell r="E4035">
            <v>22.646695000000001</v>
          </cell>
          <cell r="F4035" t="str">
            <v>-</v>
          </cell>
          <cell r="G4035" t="str">
            <v>-</v>
          </cell>
          <cell r="H4035" t="str">
            <v>-</v>
          </cell>
          <cell r="I4035" t="str">
            <v>-</v>
          </cell>
          <cell r="J4035">
            <v>22.646695000000001</v>
          </cell>
          <cell r="K4035" t="str">
            <v>Small Cap</v>
          </cell>
        </row>
        <row r="4036">
          <cell r="C4036" t="str">
            <v>INE746V01016</v>
          </cell>
          <cell r="D4036" t="str">
            <v>DRA</v>
          </cell>
          <cell r="E4036">
            <v>22.627105079</v>
          </cell>
          <cell r="F4036" t="str">
            <v>-</v>
          </cell>
          <cell r="G4036" t="str">
            <v>-</v>
          </cell>
          <cell r="H4036" t="str">
            <v>-</v>
          </cell>
          <cell r="I4036" t="str">
            <v>-</v>
          </cell>
          <cell r="J4036">
            <v>22.627105079</v>
          </cell>
          <cell r="K4036" t="str">
            <v>Small Cap</v>
          </cell>
        </row>
        <row r="4037">
          <cell r="C4037" t="str">
            <v>INE01BT01015</v>
          </cell>
          <cell r="D4037" t="str">
            <v>MACIND</v>
          </cell>
          <cell r="E4037">
            <v>22.624489469</v>
          </cell>
          <cell r="F4037" t="str">
            <v>-</v>
          </cell>
          <cell r="G4037" t="str">
            <v>-</v>
          </cell>
          <cell r="H4037" t="str">
            <v>-</v>
          </cell>
          <cell r="I4037" t="str">
            <v>-</v>
          </cell>
          <cell r="J4037">
            <v>22.624489469</v>
          </cell>
          <cell r="K4037" t="str">
            <v>Small Cap</v>
          </cell>
        </row>
        <row r="4038">
          <cell r="C4038" t="str">
            <v>INE806D01016</v>
          </cell>
          <cell r="D4038" t="str">
            <v>ISHITADR</v>
          </cell>
          <cell r="E4038">
            <v>22.592689534000002</v>
          </cell>
          <cell r="F4038" t="str">
            <v>-</v>
          </cell>
          <cell r="G4038" t="str">
            <v>-</v>
          </cell>
          <cell r="H4038" t="str">
            <v>-</v>
          </cell>
          <cell r="I4038" t="str">
            <v>-</v>
          </cell>
          <cell r="J4038">
            <v>22.592689534000002</v>
          </cell>
          <cell r="K4038" t="str">
            <v>Small Cap</v>
          </cell>
        </row>
        <row r="4039">
          <cell r="C4039" t="str">
            <v>INE738P01015</v>
          </cell>
          <cell r="D4039" t="str">
            <v>HELPAGE</v>
          </cell>
          <cell r="E4039">
            <v>22.581061844999997</v>
          </cell>
          <cell r="F4039" t="str">
            <v>-</v>
          </cell>
          <cell r="G4039" t="str">
            <v>-</v>
          </cell>
          <cell r="H4039" t="str">
            <v>-</v>
          </cell>
          <cell r="I4039" t="str">
            <v>-</v>
          </cell>
          <cell r="J4039">
            <v>22.581061844999997</v>
          </cell>
          <cell r="K4039" t="str">
            <v>Small Cap</v>
          </cell>
        </row>
        <row r="4040">
          <cell r="C4040" t="str">
            <v>INE247C01023</v>
          </cell>
          <cell r="D4040" t="str">
            <v>VIRTUALG</v>
          </cell>
          <cell r="E4040">
            <v>22.571860355000002</v>
          </cell>
          <cell r="F4040" t="str">
            <v>-</v>
          </cell>
          <cell r="G4040" t="str">
            <v>-</v>
          </cell>
          <cell r="H4040" t="str">
            <v>-</v>
          </cell>
          <cell r="I4040" t="str">
            <v>-</v>
          </cell>
          <cell r="J4040">
            <v>22.571860355000002</v>
          </cell>
          <cell r="K4040" t="str">
            <v>Small Cap</v>
          </cell>
        </row>
        <row r="4041">
          <cell r="C4041" t="str">
            <v>INE276N01011</v>
          </cell>
          <cell r="D4041" t="str">
            <v>TULASEEBIOE</v>
          </cell>
          <cell r="E4041">
            <v>22.563323552</v>
          </cell>
          <cell r="F4041" t="str">
            <v>-</v>
          </cell>
          <cell r="G4041" t="str">
            <v>-</v>
          </cell>
          <cell r="H4041" t="str">
            <v>-</v>
          </cell>
          <cell r="I4041" t="str">
            <v>-</v>
          </cell>
          <cell r="J4041">
            <v>22.563323552</v>
          </cell>
          <cell r="K4041" t="str">
            <v>Small Cap</v>
          </cell>
        </row>
        <row r="4042">
          <cell r="C4042" t="str">
            <v>INE183U01022</v>
          </cell>
          <cell r="D4042" t="str">
            <v>PULSRIN</v>
          </cell>
          <cell r="E4042">
            <v>22.549041428999999</v>
          </cell>
          <cell r="F4042" t="str">
            <v>-</v>
          </cell>
          <cell r="G4042" t="str">
            <v>-</v>
          </cell>
          <cell r="H4042" t="str">
            <v>-</v>
          </cell>
          <cell r="I4042" t="str">
            <v>-</v>
          </cell>
          <cell r="J4042">
            <v>22.549041428999999</v>
          </cell>
          <cell r="K4042" t="str">
            <v>Small Cap</v>
          </cell>
        </row>
        <row r="4043">
          <cell r="C4043" t="str">
            <v>INE0MSS01019</v>
          </cell>
          <cell r="D4043" t="str">
            <v>JAYKAILASH</v>
          </cell>
          <cell r="E4043">
            <v>22.547430758000001</v>
          </cell>
          <cell r="F4043" t="str">
            <v>-</v>
          </cell>
          <cell r="G4043" t="str">
            <v>-</v>
          </cell>
          <cell r="H4043" t="str">
            <v>-</v>
          </cell>
          <cell r="I4043" t="str">
            <v>-</v>
          </cell>
          <cell r="J4043">
            <v>22.547430758000001</v>
          </cell>
          <cell r="K4043" t="str">
            <v>Small Cap</v>
          </cell>
        </row>
        <row r="4044">
          <cell r="C4044" t="str">
            <v>INE962C01035</v>
          </cell>
          <cell r="D4044" t="str">
            <v>EASTSILK</v>
          </cell>
          <cell r="E4044">
            <v>14.604150524000001</v>
          </cell>
          <cell r="F4044" t="str">
            <v>EASTSILK</v>
          </cell>
          <cell r="G4044">
            <v>30.479600000000001</v>
          </cell>
          <cell r="H4044" t="str">
            <v>-</v>
          </cell>
          <cell r="I4044" t="str">
            <v>-</v>
          </cell>
          <cell r="J4044">
            <v>22.541875262000001</v>
          </cell>
          <cell r="K4044" t="str">
            <v>Small Cap</v>
          </cell>
        </row>
        <row r="4045">
          <cell r="C4045" t="str">
            <v>INE0SMU01015</v>
          </cell>
          <cell r="D4045" t="str">
            <v>TGIF</v>
          </cell>
          <cell r="E4045">
            <v>22.540152333000002</v>
          </cell>
          <cell r="F4045" t="str">
            <v>-</v>
          </cell>
          <cell r="G4045" t="str">
            <v>-</v>
          </cell>
          <cell r="H4045" t="str">
            <v>-</v>
          </cell>
          <cell r="I4045" t="str">
            <v>-</v>
          </cell>
          <cell r="J4045">
            <v>22.540152333000002</v>
          </cell>
          <cell r="K4045" t="str">
            <v>Small Cap</v>
          </cell>
        </row>
        <row r="4046">
          <cell r="C4046" t="str">
            <v>INE492Y01011</v>
          </cell>
          <cell r="D4046" t="str">
            <v>INNOVATIVE</v>
          </cell>
          <cell r="E4046">
            <v>22.508348544</v>
          </cell>
          <cell r="F4046" t="str">
            <v>-</v>
          </cell>
          <cell r="G4046" t="str">
            <v>-</v>
          </cell>
          <cell r="H4046" t="str">
            <v>-</v>
          </cell>
          <cell r="I4046" t="str">
            <v>-</v>
          </cell>
          <cell r="J4046">
            <v>22.508348544</v>
          </cell>
          <cell r="K4046" t="str">
            <v>Small Cap</v>
          </cell>
        </row>
        <row r="4047">
          <cell r="C4047" t="str">
            <v>INE759V01019</v>
          </cell>
          <cell r="D4047" t="str">
            <v>HEADSUP</v>
          </cell>
          <cell r="E4047">
            <v>22.402982088999998</v>
          </cell>
          <cell r="F4047" t="str">
            <v>HEADSUP</v>
          </cell>
          <cell r="G4047">
            <v>22.354600000000001</v>
          </cell>
          <cell r="H4047" t="str">
            <v>-</v>
          </cell>
          <cell r="I4047" t="str">
            <v>-</v>
          </cell>
          <cell r="J4047">
            <v>22.378791044499998</v>
          </cell>
          <cell r="K4047" t="str">
            <v>Small Cap</v>
          </cell>
        </row>
        <row r="4048">
          <cell r="C4048" t="str">
            <v>INE397C01026</v>
          </cell>
          <cell r="D4048" t="str">
            <v>SHREESEC</v>
          </cell>
          <cell r="E4048">
            <v>22.369333333</v>
          </cell>
          <cell r="F4048" t="str">
            <v>-</v>
          </cell>
          <cell r="G4048" t="str">
            <v>-</v>
          </cell>
          <cell r="H4048" t="str">
            <v>-</v>
          </cell>
          <cell r="I4048" t="str">
            <v>-</v>
          </cell>
          <cell r="J4048">
            <v>22.369333333</v>
          </cell>
          <cell r="K4048" t="str">
            <v>Small Cap</v>
          </cell>
        </row>
        <row r="4049">
          <cell r="C4049" t="str">
            <v>INE723C01015</v>
          </cell>
          <cell r="D4049" t="str">
            <v>ABHIFIN</v>
          </cell>
          <cell r="E4049">
            <v>22.362674341999998</v>
          </cell>
          <cell r="F4049" t="str">
            <v>-</v>
          </cell>
          <cell r="G4049" t="str">
            <v>-</v>
          </cell>
          <cell r="H4049" t="str">
            <v>-</v>
          </cell>
          <cell r="I4049" t="str">
            <v>-</v>
          </cell>
          <cell r="J4049">
            <v>22.362674341999998</v>
          </cell>
          <cell r="K4049" t="str">
            <v>Small Cap</v>
          </cell>
        </row>
        <row r="4050">
          <cell r="C4050" t="str">
            <v>INE049E01011</v>
          </cell>
          <cell r="D4050" t="str">
            <v>-</v>
          </cell>
          <cell r="E4050" t="str">
            <v>-</v>
          </cell>
          <cell r="F4050" t="str">
            <v>-</v>
          </cell>
          <cell r="G4050" t="str">
            <v>-</v>
          </cell>
          <cell r="H4050" t="str">
            <v>BALAJIAGRO</v>
          </cell>
          <cell r="I4050">
            <v>22.317670450000016</v>
          </cell>
          <cell r="J4050">
            <v>22.317670450000016</v>
          </cell>
          <cell r="K4050" t="str">
            <v>Small Cap</v>
          </cell>
        </row>
        <row r="4051">
          <cell r="C4051" t="str">
            <v>INE0DTJ01015</v>
          </cell>
          <cell r="D4051" t="str">
            <v xml:space="preserve">POBS </v>
          </cell>
          <cell r="E4051">
            <v>22.278496571000002</v>
          </cell>
          <cell r="F4051" t="str">
            <v>-</v>
          </cell>
          <cell r="G4051" t="str">
            <v>-</v>
          </cell>
          <cell r="H4051" t="str">
            <v>-</v>
          </cell>
          <cell r="I4051" t="str">
            <v>-</v>
          </cell>
          <cell r="J4051">
            <v>22.278496571000002</v>
          </cell>
          <cell r="K4051" t="str">
            <v>Small Cap</v>
          </cell>
        </row>
        <row r="4052">
          <cell r="C4052" t="str">
            <v>INE994R01028</v>
          </cell>
          <cell r="D4052" t="str">
            <v>CRYSTAL</v>
          </cell>
          <cell r="E4052">
            <v>22.272453334999998</v>
          </cell>
          <cell r="F4052" t="str">
            <v>-</v>
          </cell>
          <cell r="G4052" t="str">
            <v>-</v>
          </cell>
          <cell r="H4052" t="str">
            <v>CRYSTAL</v>
          </cell>
          <cell r="I4052">
            <v>22.266087276428578</v>
          </cell>
          <cell r="J4052">
            <v>22.269270305714286</v>
          </cell>
          <cell r="K4052" t="str">
            <v>Small Cap</v>
          </cell>
        </row>
        <row r="4053">
          <cell r="C4053" t="str">
            <v>INE228E01011</v>
          </cell>
          <cell r="D4053" t="str">
            <v>-</v>
          </cell>
          <cell r="E4053" t="str">
            <v>-</v>
          </cell>
          <cell r="F4053" t="str">
            <v>-</v>
          </cell>
          <cell r="G4053" t="str">
            <v>-</v>
          </cell>
          <cell r="H4053" t="str">
            <v>CHITRAKUT</v>
          </cell>
          <cell r="I4053">
            <v>22.252793919999963</v>
          </cell>
          <cell r="J4053">
            <v>22.252793919999963</v>
          </cell>
          <cell r="K4053" t="str">
            <v>Small Cap</v>
          </cell>
        </row>
        <row r="4054">
          <cell r="C4054" t="str">
            <v>INE026E01019</v>
          </cell>
          <cell r="D4054" t="str">
            <v>-</v>
          </cell>
          <cell r="E4054" t="str">
            <v>-</v>
          </cell>
          <cell r="F4054" t="str">
            <v>-</v>
          </cell>
          <cell r="G4054" t="str">
            <v>-</v>
          </cell>
          <cell r="H4054" t="str">
            <v>ACESTONE</v>
          </cell>
          <cell r="I4054">
            <v>22.200034500000001</v>
          </cell>
          <cell r="J4054">
            <v>22.200034500000001</v>
          </cell>
          <cell r="K4054" t="str">
            <v>Small Cap</v>
          </cell>
        </row>
        <row r="4055">
          <cell r="C4055" t="str">
            <v>INE651L01019</v>
          </cell>
          <cell r="D4055" t="str">
            <v>-</v>
          </cell>
          <cell r="E4055" t="str">
            <v>-</v>
          </cell>
          <cell r="F4055" t="str">
            <v>-</v>
          </cell>
          <cell r="G4055" t="str">
            <v>-</v>
          </cell>
          <cell r="H4055" t="str">
            <v>MILIND</v>
          </cell>
          <cell r="I4055">
            <v>22.034250000000021</v>
          </cell>
          <cell r="J4055">
            <v>22.034250000000021</v>
          </cell>
          <cell r="K4055" t="str">
            <v>Small Cap</v>
          </cell>
        </row>
        <row r="4056">
          <cell r="C4056" t="str">
            <v>INE581D01015</v>
          </cell>
          <cell r="D4056" t="str">
            <v>NEELKANTH</v>
          </cell>
          <cell r="E4056">
            <v>22.023155594999999</v>
          </cell>
          <cell r="F4056" t="str">
            <v>-</v>
          </cell>
          <cell r="G4056" t="str">
            <v>-</v>
          </cell>
          <cell r="H4056" t="str">
            <v>-</v>
          </cell>
          <cell r="I4056" t="str">
            <v>-</v>
          </cell>
          <cell r="J4056">
            <v>22.023155594999999</v>
          </cell>
          <cell r="K4056" t="str">
            <v>Small Cap</v>
          </cell>
        </row>
        <row r="4057">
          <cell r="C4057" t="str">
            <v>INE102C01020</v>
          </cell>
          <cell r="D4057" t="str">
            <v>KISAAN</v>
          </cell>
          <cell r="E4057">
            <v>21.990152381000001</v>
          </cell>
          <cell r="F4057" t="str">
            <v>-</v>
          </cell>
          <cell r="G4057" t="str">
            <v>-</v>
          </cell>
          <cell r="H4057" t="str">
            <v>-</v>
          </cell>
          <cell r="I4057" t="str">
            <v>-</v>
          </cell>
          <cell r="J4057">
            <v>21.990152381000001</v>
          </cell>
          <cell r="K4057" t="str">
            <v>Small Cap</v>
          </cell>
        </row>
        <row r="4058">
          <cell r="C4058" t="str">
            <v>INE380C01014</v>
          </cell>
          <cell r="D4058" t="str">
            <v>VAMSHIRU</v>
          </cell>
          <cell r="E4058">
            <v>21.979561768</v>
          </cell>
          <cell r="F4058" t="str">
            <v>-</v>
          </cell>
          <cell r="G4058" t="str">
            <v>-</v>
          </cell>
          <cell r="H4058" t="str">
            <v>-</v>
          </cell>
          <cell r="I4058" t="str">
            <v>-</v>
          </cell>
          <cell r="J4058">
            <v>21.979561768</v>
          </cell>
          <cell r="K4058" t="str">
            <v>Small Cap</v>
          </cell>
        </row>
        <row r="4059">
          <cell r="C4059" t="str">
            <v>INE838C01011</v>
          </cell>
          <cell r="D4059" t="str">
            <v>SSPDL</v>
          </cell>
          <cell r="E4059">
            <v>21.924313929</v>
          </cell>
          <cell r="F4059" t="str">
            <v>-</v>
          </cell>
          <cell r="G4059" t="str">
            <v>-</v>
          </cell>
          <cell r="H4059" t="str">
            <v>-</v>
          </cell>
          <cell r="I4059" t="str">
            <v>-</v>
          </cell>
          <cell r="J4059">
            <v>21.924313929</v>
          </cell>
          <cell r="K4059" t="str">
            <v>Small Cap</v>
          </cell>
        </row>
        <row r="4060">
          <cell r="C4060" t="str">
            <v>INE482O01021</v>
          </cell>
          <cell r="D4060" t="str">
            <v>OLYMPTX</v>
          </cell>
          <cell r="E4060">
            <v>21.908823631000001</v>
          </cell>
          <cell r="F4060" t="str">
            <v>-</v>
          </cell>
          <cell r="G4060" t="str">
            <v>-</v>
          </cell>
          <cell r="H4060" t="str">
            <v>-</v>
          </cell>
          <cell r="I4060" t="str">
            <v>-</v>
          </cell>
          <cell r="J4060">
            <v>21.908823631000001</v>
          </cell>
          <cell r="K4060" t="str">
            <v>Small Cap</v>
          </cell>
        </row>
        <row r="4061">
          <cell r="C4061" t="str">
            <v>INE643D01013</v>
          </cell>
          <cell r="D4061" t="str">
            <v>NDMETAL</v>
          </cell>
          <cell r="E4061">
            <v>21.906410793999999</v>
          </cell>
          <cell r="F4061" t="str">
            <v>-</v>
          </cell>
          <cell r="G4061" t="str">
            <v>-</v>
          </cell>
          <cell r="H4061" t="str">
            <v>-</v>
          </cell>
          <cell r="I4061" t="str">
            <v>-</v>
          </cell>
          <cell r="J4061">
            <v>21.906410793999999</v>
          </cell>
          <cell r="K4061" t="str">
            <v>Small Cap</v>
          </cell>
        </row>
        <row r="4062">
          <cell r="C4062" t="str">
            <v>INE06CG01019</v>
          </cell>
          <cell r="D4062" t="str">
            <v>WORL</v>
          </cell>
          <cell r="E4062">
            <v>21.853139143</v>
          </cell>
          <cell r="F4062" t="str">
            <v>-</v>
          </cell>
          <cell r="G4062" t="str">
            <v>-</v>
          </cell>
          <cell r="H4062" t="str">
            <v>-</v>
          </cell>
          <cell r="I4062" t="str">
            <v>-</v>
          </cell>
          <cell r="J4062">
            <v>21.853139143</v>
          </cell>
          <cell r="K4062" t="str">
            <v>Small Cap</v>
          </cell>
        </row>
        <row r="4063">
          <cell r="C4063" t="str">
            <v>INE469B01017</v>
          </cell>
          <cell r="D4063" t="str">
            <v>-</v>
          </cell>
          <cell r="E4063" t="str">
            <v>-</v>
          </cell>
          <cell r="F4063" t="str">
            <v>-</v>
          </cell>
          <cell r="G4063" t="str">
            <v>-</v>
          </cell>
          <cell r="H4063" t="str">
            <v>OSWALMIN</v>
          </cell>
          <cell r="I4063">
            <v>21.820656</v>
          </cell>
          <cell r="J4063">
            <v>21.820656</v>
          </cell>
          <cell r="K4063" t="str">
            <v>Small Cap</v>
          </cell>
        </row>
        <row r="4064">
          <cell r="C4064" t="str">
            <v>INE731B01010</v>
          </cell>
          <cell r="D4064" t="str">
            <v>HOTLSILV</v>
          </cell>
          <cell r="E4064">
            <v>21.815259390000001</v>
          </cell>
          <cell r="F4064" t="str">
            <v>-</v>
          </cell>
          <cell r="G4064" t="str">
            <v>-</v>
          </cell>
          <cell r="H4064" t="str">
            <v>-</v>
          </cell>
          <cell r="I4064" t="str">
            <v>-</v>
          </cell>
          <cell r="J4064">
            <v>21.815259390000001</v>
          </cell>
          <cell r="K4064" t="str">
            <v>Small Cap</v>
          </cell>
        </row>
        <row r="4065">
          <cell r="C4065" t="str">
            <v>INE883B01027</v>
          </cell>
          <cell r="D4065" t="str">
            <v>ALFAVIO</v>
          </cell>
          <cell r="E4065">
            <v>21.801229825</v>
          </cell>
          <cell r="F4065" t="str">
            <v>-</v>
          </cell>
          <cell r="G4065" t="str">
            <v>-</v>
          </cell>
          <cell r="H4065" t="str">
            <v>-</v>
          </cell>
          <cell r="I4065" t="str">
            <v>-</v>
          </cell>
          <cell r="J4065">
            <v>21.801229825</v>
          </cell>
          <cell r="K4065" t="str">
            <v>Small Cap</v>
          </cell>
        </row>
        <row r="4066">
          <cell r="C4066" t="str">
            <v>INE0MXP01015</v>
          </cell>
          <cell r="D4066" t="str">
            <v>TECHNOPACK</v>
          </cell>
          <cell r="E4066">
            <v>21.774000000000001</v>
          </cell>
          <cell r="F4066" t="str">
            <v>-</v>
          </cell>
          <cell r="G4066" t="str">
            <v>-</v>
          </cell>
          <cell r="H4066" t="str">
            <v>-</v>
          </cell>
          <cell r="I4066" t="str">
            <v>-</v>
          </cell>
          <cell r="J4066">
            <v>21.774000000000001</v>
          </cell>
          <cell r="K4066" t="str">
            <v>Small Cap</v>
          </cell>
        </row>
        <row r="4067">
          <cell r="C4067" t="str">
            <v>INE104S01022</v>
          </cell>
          <cell r="D4067" t="str">
            <v>SIPTL</v>
          </cell>
          <cell r="E4067">
            <v>21.748228705999999</v>
          </cell>
          <cell r="F4067" t="str">
            <v>-</v>
          </cell>
          <cell r="G4067" t="str">
            <v>-</v>
          </cell>
          <cell r="H4067" t="str">
            <v>-</v>
          </cell>
          <cell r="I4067" t="str">
            <v>-</v>
          </cell>
          <cell r="J4067">
            <v>21.748228705999999</v>
          </cell>
          <cell r="K4067" t="str">
            <v>Small Cap</v>
          </cell>
        </row>
        <row r="4068">
          <cell r="C4068" t="str">
            <v>INE778A01021</v>
          </cell>
          <cell r="D4068" t="str">
            <v>TECHIN</v>
          </cell>
          <cell r="E4068">
            <v>21.732541999999999</v>
          </cell>
          <cell r="F4068" t="str">
            <v>-</v>
          </cell>
          <cell r="G4068" t="str">
            <v>-</v>
          </cell>
          <cell r="H4068" t="str">
            <v>-</v>
          </cell>
          <cell r="I4068" t="str">
            <v>-</v>
          </cell>
          <cell r="J4068">
            <v>21.732541999999999</v>
          </cell>
          <cell r="K4068" t="str">
            <v>Small Cap</v>
          </cell>
        </row>
        <row r="4069">
          <cell r="C4069" t="str">
            <v>INE0QBD01018</v>
          </cell>
          <cell r="D4069" t="str">
            <v>HAMPS</v>
          </cell>
          <cell r="E4069">
            <v>21.716457713999997</v>
          </cell>
          <cell r="F4069" t="str">
            <v>-</v>
          </cell>
          <cell r="G4069" t="str">
            <v>-</v>
          </cell>
          <cell r="H4069" t="str">
            <v>-</v>
          </cell>
          <cell r="I4069" t="str">
            <v>-</v>
          </cell>
          <cell r="J4069">
            <v>21.716457713999997</v>
          </cell>
          <cell r="K4069" t="str">
            <v>Small Cap</v>
          </cell>
        </row>
        <row r="4070">
          <cell r="C4070" t="str">
            <v>INE483D01014</v>
          </cell>
          <cell r="D4070" t="str">
            <v>RAP</v>
          </cell>
          <cell r="E4070">
            <v>21.676899253999999</v>
          </cell>
          <cell r="F4070" t="str">
            <v>-</v>
          </cell>
          <cell r="G4070" t="str">
            <v>-</v>
          </cell>
          <cell r="H4070" t="str">
            <v>-</v>
          </cell>
          <cell r="I4070" t="str">
            <v>-</v>
          </cell>
          <cell r="J4070">
            <v>21.676899253999999</v>
          </cell>
          <cell r="K4070" t="str">
            <v>Small Cap</v>
          </cell>
        </row>
        <row r="4071">
          <cell r="C4071" t="str">
            <v>INE470N01010</v>
          </cell>
          <cell r="D4071" t="str">
            <v>CAPRO</v>
          </cell>
          <cell r="E4071">
            <v>21.652638095</v>
          </cell>
          <cell r="F4071" t="str">
            <v>-</v>
          </cell>
          <cell r="G4071" t="str">
            <v>-</v>
          </cell>
          <cell r="H4071" t="str">
            <v>-</v>
          </cell>
          <cell r="I4071" t="str">
            <v>-</v>
          </cell>
          <cell r="J4071">
            <v>21.652638095</v>
          </cell>
          <cell r="K4071" t="str">
            <v>Small Cap</v>
          </cell>
        </row>
        <row r="4072">
          <cell r="C4072" t="str">
            <v>INE0Q2L01013</v>
          </cell>
          <cell r="D4072" t="str">
            <v>DAVIN</v>
          </cell>
          <cell r="E4072">
            <v>21.58805632</v>
          </cell>
          <cell r="F4072" t="str">
            <v>-</v>
          </cell>
          <cell r="G4072" t="str">
            <v>-</v>
          </cell>
          <cell r="H4072" t="str">
            <v>-</v>
          </cell>
          <cell r="I4072" t="str">
            <v>-</v>
          </cell>
          <cell r="J4072">
            <v>21.58805632</v>
          </cell>
          <cell r="K4072" t="str">
            <v>Small Cap</v>
          </cell>
        </row>
        <row r="4073">
          <cell r="C4073" t="str">
            <v>INE572Z01017</v>
          </cell>
          <cell r="D4073" t="str">
            <v>AMINTAN</v>
          </cell>
          <cell r="E4073">
            <v>21.564679399999999</v>
          </cell>
          <cell r="F4073" t="str">
            <v>-</v>
          </cell>
          <cell r="G4073" t="str">
            <v>-</v>
          </cell>
          <cell r="H4073" t="str">
            <v>-</v>
          </cell>
          <cell r="I4073" t="str">
            <v>-</v>
          </cell>
          <cell r="J4073">
            <v>21.564679399999999</v>
          </cell>
          <cell r="K4073" t="str">
            <v>Small Cap</v>
          </cell>
        </row>
        <row r="4074">
          <cell r="C4074" t="str">
            <v>INE0GX601011</v>
          </cell>
          <cell r="D4074" t="str">
            <v>NIKSTECH</v>
          </cell>
          <cell r="E4074">
            <v>21.478549603000001</v>
          </cell>
          <cell r="F4074" t="str">
            <v>-</v>
          </cell>
          <cell r="G4074" t="str">
            <v>-</v>
          </cell>
          <cell r="H4074" t="str">
            <v>-</v>
          </cell>
          <cell r="I4074" t="str">
            <v>-</v>
          </cell>
          <cell r="J4074">
            <v>21.478549603000001</v>
          </cell>
          <cell r="K4074" t="str">
            <v>Small Cap</v>
          </cell>
        </row>
        <row r="4075">
          <cell r="C4075" t="str">
            <v>INE0VNH01014</v>
          </cell>
          <cell r="D4075" t="str">
            <v>NAPSGLOBAL</v>
          </cell>
          <cell r="E4075">
            <v>21.447106667</v>
          </cell>
          <cell r="F4075" t="str">
            <v>-</v>
          </cell>
          <cell r="G4075" t="str">
            <v>-</v>
          </cell>
          <cell r="H4075" t="str">
            <v>-</v>
          </cell>
          <cell r="I4075" t="str">
            <v>-</v>
          </cell>
          <cell r="J4075">
            <v>21.447106667</v>
          </cell>
          <cell r="K4075" t="str">
            <v>Small Cap</v>
          </cell>
        </row>
        <row r="4076">
          <cell r="C4076" t="str">
            <v>INE452S01025</v>
          </cell>
          <cell r="D4076" t="str">
            <v>SCTL</v>
          </cell>
          <cell r="E4076">
            <v>21.395714286</v>
          </cell>
          <cell r="F4076" t="str">
            <v>-</v>
          </cell>
          <cell r="G4076" t="str">
            <v>-</v>
          </cell>
          <cell r="H4076" t="str">
            <v>-</v>
          </cell>
          <cell r="I4076" t="str">
            <v>-</v>
          </cell>
          <cell r="J4076">
            <v>21.395714286</v>
          </cell>
          <cell r="K4076" t="str">
            <v>Small Cap</v>
          </cell>
        </row>
        <row r="4077">
          <cell r="C4077" t="str">
            <v>INE812B01026</v>
          </cell>
          <cell r="D4077" t="str">
            <v>ZENITHHE</v>
          </cell>
          <cell r="E4077">
            <v>21.389828000000001</v>
          </cell>
          <cell r="F4077" t="str">
            <v>-</v>
          </cell>
          <cell r="G4077" t="str">
            <v>-</v>
          </cell>
          <cell r="H4077" t="str">
            <v>-</v>
          </cell>
          <cell r="I4077" t="str">
            <v>-</v>
          </cell>
          <cell r="J4077">
            <v>21.389828000000001</v>
          </cell>
          <cell r="K4077" t="str">
            <v>Small Cap</v>
          </cell>
        </row>
        <row r="4078">
          <cell r="C4078" t="str">
            <v>INE205F01016</v>
          </cell>
          <cell r="D4078" t="str">
            <v>STLSTRINF</v>
          </cell>
          <cell r="E4078">
            <v>21.374070405000001</v>
          </cell>
          <cell r="F4078" t="str">
            <v>-</v>
          </cell>
          <cell r="G4078" t="str">
            <v>-</v>
          </cell>
          <cell r="H4078" t="str">
            <v>-</v>
          </cell>
          <cell r="I4078" t="str">
            <v>-</v>
          </cell>
          <cell r="J4078">
            <v>21.374070405000001</v>
          </cell>
          <cell r="K4078" t="str">
            <v>Small Cap</v>
          </cell>
        </row>
        <row r="4079">
          <cell r="C4079" t="str">
            <v>INE0IXR01019</v>
          </cell>
          <cell r="D4079" t="str">
            <v>SCARNOSE</v>
          </cell>
          <cell r="E4079">
            <v>21.352166721</v>
          </cell>
          <cell r="F4079" t="str">
            <v>-</v>
          </cell>
          <cell r="G4079" t="str">
            <v>-</v>
          </cell>
          <cell r="H4079" t="str">
            <v>-</v>
          </cell>
          <cell r="I4079" t="str">
            <v>-</v>
          </cell>
          <cell r="J4079">
            <v>21.352166721</v>
          </cell>
          <cell r="K4079" t="str">
            <v>Small Cap</v>
          </cell>
        </row>
        <row r="4080">
          <cell r="C4080" t="str">
            <v>INE103F01013</v>
          </cell>
          <cell r="D4080" t="str">
            <v>-</v>
          </cell>
          <cell r="E4080" t="str">
            <v>-</v>
          </cell>
          <cell r="F4080" t="str">
            <v>-</v>
          </cell>
          <cell r="G4080" t="str">
            <v>-</v>
          </cell>
          <cell r="H4080" t="str">
            <v>SPMLINDIA</v>
          </cell>
          <cell r="I4080">
            <v>21.346454380000036</v>
          </cell>
          <cell r="J4080">
            <v>21.346454380000036</v>
          </cell>
          <cell r="K4080" t="str">
            <v>Small Cap</v>
          </cell>
        </row>
        <row r="4081">
          <cell r="C4081" t="str">
            <v>INE057Q01018</v>
          </cell>
          <cell r="D4081" t="str">
            <v>YORKEXP</v>
          </cell>
          <cell r="E4081">
            <v>21.299679999999999</v>
          </cell>
          <cell r="F4081" t="str">
            <v>-</v>
          </cell>
          <cell r="G4081" t="str">
            <v>-</v>
          </cell>
          <cell r="H4081" t="str">
            <v>-</v>
          </cell>
          <cell r="I4081" t="str">
            <v>-</v>
          </cell>
          <cell r="J4081">
            <v>21.299679999999999</v>
          </cell>
          <cell r="K4081" t="str">
            <v>Small Cap</v>
          </cell>
        </row>
        <row r="4082">
          <cell r="C4082" t="str">
            <v>INE059E01010</v>
          </cell>
          <cell r="D4082" t="str">
            <v>KACHCHH</v>
          </cell>
          <cell r="E4082">
            <v>21.258670461000001</v>
          </cell>
          <cell r="F4082" t="str">
            <v>-</v>
          </cell>
          <cell r="G4082" t="str">
            <v>-</v>
          </cell>
          <cell r="H4082" t="str">
            <v>-</v>
          </cell>
          <cell r="I4082" t="str">
            <v>-</v>
          </cell>
          <cell r="J4082">
            <v>21.258670461000001</v>
          </cell>
          <cell r="K4082" t="str">
            <v>Small Cap</v>
          </cell>
        </row>
        <row r="4083">
          <cell r="C4083" t="str">
            <v>INE118Q01018</v>
          </cell>
          <cell r="D4083" t="str">
            <v>OPCHAINS</v>
          </cell>
          <cell r="E4083">
            <v>21.241849999999999</v>
          </cell>
          <cell r="F4083" t="str">
            <v>-</v>
          </cell>
          <cell r="G4083" t="str">
            <v>-</v>
          </cell>
          <cell r="H4083" t="str">
            <v>-</v>
          </cell>
          <cell r="I4083" t="str">
            <v>-</v>
          </cell>
          <cell r="J4083">
            <v>21.241849999999999</v>
          </cell>
          <cell r="K4083" t="str">
            <v>Small Cap</v>
          </cell>
        </row>
        <row r="4084">
          <cell r="C4084" t="str">
            <v>INE810M01019</v>
          </cell>
          <cell r="D4084" t="str">
            <v>ASINPET</v>
          </cell>
          <cell r="E4084">
            <v>21.218039424000001</v>
          </cell>
          <cell r="F4084" t="str">
            <v>-</v>
          </cell>
          <cell r="G4084" t="str">
            <v>-</v>
          </cell>
          <cell r="H4084" t="str">
            <v>-</v>
          </cell>
          <cell r="I4084" t="str">
            <v>-</v>
          </cell>
          <cell r="J4084">
            <v>21.218039424000001</v>
          </cell>
          <cell r="K4084" t="str">
            <v>Small Cap</v>
          </cell>
        </row>
        <row r="4085">
          <cell r="C4085" t="str">
            <v>INE469C01023</v>
          </cell>
          <cell r="D4085" t="str">
            <v>MADHUDIN</v>
          </cell>
          <cell r="E4085">
            <v>21.209835317</v>
          </cell>
          <cell r="F4085" t="str">
            <v>-</v>
          </cell>
          <cell r="G4085" t="str">
            <v>-</v>
          </cell>
          <cell r="H4085" t="str">
            <v>-</v>
          </cell>
          <cell r="I4085" t="str">
            <v>-</v>
          </cell>
          <cell r="J4085">
            <v>21.209835317</v>
          </cell>
          <cell r="K4085" t="str">
            <v>Small Cap</v>
          </cell>
        </row>
        <row r="4086">
          <cell r="C4086" t="str">
            <v>INE793Z01027</v>
          </cell>
          <cell r="D4086" t="str">
            <v>JONJUA</v>
          </cell>
          <cell r="E4086">
            <v>21.186466436</v>
          </cell>
          <cell r="F4086" t="str">
            <v>-</v>
          </cell>
          <cell r="G4086" t="str">
            <v>-</v>
          </cell>
          <cell r="H4086" t="str">
            <v>-</v>
          </cell>
          <cell r="I4086" t="str">
            <v>-</v>
          </cell>
          <cell r="J4086">
            <v>21.186466436</v>
          </cell>
          <cell r="K4086" t="str">
            <v>Small Cap</v>
          </cell>
        </row>
        <row r="4087">
          <cell r="C4087" t="str">
            <v>INE492Z01018</v>
          </cell>
          <cell r="D4087" t="str">
            <v>GOBLIN</v>
          </cell>
          <cell r="E4087">
            <v>21.182801477000002</v>
          </cell>
          <cell r="F4087" t="str">
            <v>-</v>
          </cell>
          <cell r="G4087" t="str">
            <v>-</v>
          </cell>
          <cell r="H4087" t="str">
            <v>-</v>
          </cell>
          <cell r="I4087" t="str">
            <v>-</v>
          </cell>
          <cell r="J4087">
            <v>21.182801477000002</v>
          </cell>
          <cell r="K4087" t="str">
            <v>Small Cap</v>
          </cell>
        </row>
        <row r="4088">
          <cell r="C4088" t="str">
            <v>INE169F01014</v>
          </cell>
          <cell r="D4088" t="str">
            <v>NMSRESRC</v>
          </cell>
          <cell r="E4088">
            <v>21.175286888999999</v>
          </cell>
          <cell r="F4088" t="str">
            <v>-</v>
          </cell>
          <cell r="G4088" t="str">
            <v>-</v>
          </cell>
          <cell r="H4088" t="str">
            <v>NMSRESRC</v>
          </cell>
          <cell r="I4088">
            <v>21.172710660317453</v>
          </cell>
          <cell r="J4088">
            <v>21.173998774658727</v>
          </cell>
          <cell r="K4088" t="str">
            <v>Small Cap</v>
          </cell>
        </row>
        <row r="4089">
          <cell r="C4089" t="str">
            <v>INE730R01042</v>
          </cell>
          <cell r="D4089" t="str">
            <v>SNIM</v>
          </cell>
          <cell r="E4089">
            <v>38.493925595</v>
          </cell>
          <cell r="F4089" t="str">
            <v>-</v>
          </cell>
          <cell r="G4089" t="str">
            <v>-</v>
          </cell>
          <cell r="H4089" t="str">
            <v>SVARNIM</v>
          </cell>
          <cell r="I4089">
            <v>3.8498750000000017</v>
          </cell>
          <cell r="J4089">
            <v>21.171900297500002</v>
          </cell>
          <cell r="K4089" t="str">
            <v>Small Cap</v>
          </cell>
        </row>
        <row r="4090">
          <cell r="C4090" t="str">
            <v>INE517D01019</v>
          </cell>
          <cell r="D4090" t="str">
            <v>KONARKSY</v>
          </cell>
          <cell r="E4090">
            <v>21.164259810000001</v>
          </cell>
          <cell r="F4090" t="str">
            <v>-</v>
          </cell>
          <cell r="G4090" t="str">
            <v>-</v>
          </cell>
          <cell r="H4090" t="str">
            <v>-</v>
          </cell>
          <cell r="I4090" t="str">
            <v>-</v>
          </cell>
          <cell r="J4090">
            <v>21.164259810000001</v>
          </cell>
          <cell r="K4090" t="str">
            <v>Small Cap</v>
          </cell>
        </row>
        <row r="4091">
          <cell r="C4091" t="str">
            <v>INE623D01015</v>
          </cell>
          <cell r="D4091" t="str">
            <v>STEP2COR</v>
          </cell>
          <cell r="E4091">
            <v>21.153601733999999</v>
          </cell>
          <cell r="F4091" t="str">
            <v>-</v>
          </cell>
          <cell r="G4091" t="str">
            <v>-</v>
          </cell>
          <cell r="H4091" t="str">
            <v>-</v>
          </cell>
          <cell r="I4091" t="str">
            <v>-</v>
          </cell>
          <cell r="J4091">
            <v>21.153601733999999</v>
          </cell>
          <cell r="K4091" t="str">
            <v>Small Cap</v>
          </cell>
        </row>
        <row r="4092">
          <cell r="C4092" t="str">
            <v>INE564A01017</v>
          </cell>
          <cell r="D4092" t="str">
            <v>FUTURAPOLY</v>
          </cell>
          <cell r="E4092">
            <v>21.125596415</v>
          </cell>
          <cell r="F4092" t="str">
            <v>-</v>
          </cell>
          <cell r="G4092" t="str">
            <v>-</v>
          </cell>
          <cell r="H4092" t="str">
            <v>-</v>
          </cell>
          <cell r="I4092" t="str">
            <v>-</v>
          </cell>
          <cell r="J4092">
            <v>21.125596415</v>
          </cell>
          <cell r="K4092" t="str">
            <v>Small Cap</v>
          </cell>
        </row>
        <row r="4093">
          <cell r="C4093" t="str">
            <v>INE018S01016</v>
          </cell>
          <cell r="D4093" t="str">
            <v>RFLL</v>
          </cell>
          <cell r="E4093">
            <v>21.083888888999997</v>
          </cell>
          <cell r="F4093" t="str">
            <v>-</v>
          </cell>
          <cell r="G4093" t="str">
            <v>-</v>
          </cell>
          <cell r="H4093" t="str">
            <v>RFLL</v>
          </cell>
          <cell r="I4093">
            <v>21.082380952380955</v>
          </cell>
          <cell r="J4093">
            <v>21.083134920690476</v>
          </cell>
          <cell r="K4093" t="str">
            <v>Small Cap</v>
          </cell>
        </row>
        <row r="4094">
          <cell r="C4094" t="str">
            <v>INE647W01014</v>
          </cell>
          <cell r="D4094" t="str">
            <v>SHARPLINE</v>
          </cell>
          <cell r="E4094">
            <v>21.072753499000001</v>
          </cell>
          <cell r="F4094" t="str">
            <v>-</v>
          </cell>
          <cell r="G4094" t="str">
            <v>-</v>
          </cell>
          <cell r="H4094" t="str">
            <v>SHARPLINE</v>
          </cell>
          <cell r="I4094">
            <v>21.070356673904772</v>
          </cell>
          <cell r="J4094">
            <v>21.071555086452385</v>
          </cell>
          <cell r="K4094" t="str">
            <v>Small Cap</v>
          </cell>
        </row>
        <row r="4095">
          <cell r="C4095" t="str">
            <v>INE092D01013</v>
          </cell>
          <cell r="D4095" t="str">
            <v>FRONTCORP</v>
          </cell>
          <cell r="E4095">
            <v>21.039246031999998</v>
          </cell>
          <cell r="F4095" t="str">
            <v>-</v>
          </cell>
          <cell r="G4095" t="str">
            <v>-</v>
          </cell>
          <cell r="H4095" t="str">
            <v>-</v>
          </cell>
          <cell r="I4095" t="str">
            <v>-</v>
          </cell>
          <cell r="J4095">
            <v>21.039246031999998</v>
          </cell>
          <cell r="K4095" t="str">
            <v>Small Cap</v>
          </cell>
        </row>
        <row r="4096">
          <cell r="C4096" t="str">
            <v>INE471R01019</v>
          </cell>
          <cell r="D4096" t="str">
            <v>NPFL</v>
          </cell>
          <cell r="E4096">
            <v>21.016857142999999</v>
          </cell>
          <cell r="F4096" t="str">
            <v>-</v>
          </cell>
          <cell r="G4096" t="str">
            <v>-</v>
          </cell>
          <cell r="H4096" t="str">
            <v>-</v>
          </cell>
          <cell r="I4096" t="str">
            <v>-</v>
          </cell>
          <cell r="J4096">
            <v>21.016857142999999</v>
          </cell>
          <cell r="K4096" t="str">
            <v>Small Cap</v>
          </cell>
        </row>
        <row r="4097">
          <cell r="C4097" t="str">
            <v>INE0ABU01016</v>
          </cell>
          <cell r="D4097" t="str">
            <v>PSPL</v>
          </cell>
          <cell r="E4097">
            <v>21.000991471999999</v>
          </cell>
          <cell r="F4097" t="str">
            <v>-</v>
          </cell>
          <cell r="G4097" t="str">
            <v>-</v>
          </cell>
          <cell r="H4097" t="str">
            <v>-</v>
          </cell>
          <cell r="I4097" t="str">
            <v>-</v>
          </cell>
          <cell r="J4097">
            <v>21.000991471999999</v>
          </cell>
          <cell r="K4097" t="str">
            <v>Small Cap</v>
          </cell>
        </row>
        <row r="4098">
          <cell r="C4098" t="str">
            <v>INE902L01016</v>
          </cell>
          <cell r="D4098" t="str">
            <v>STEPHANOTIS</v>
          </cell>
          <cell r="E4098">
            <v>20.954035619999999</v>
          </cell>
          <cell r="F4098" t="str">
            <v>-</v>
          </cell>
          <cell r="G4098" t="str">
            <v>-</v>
          </cell>
          <cell r="H4098" t="str">
            <v>-</v>
          </cell>
          <cell r="I4098" t="str">
            <v>-</v>
          </cell>
          <cell r="J4098">
            <v>20.954035619999999</v>
          </cell>
          <cell r="K4098" t="str">
            <v>Small Cap</v>
          </cell>
        </row>
        <row r="4099">
          <cell r="C4099" t="str">
            <v>INE894J01019</v>
          </cell>
          <cell r="D4099" t="str">
            <v>NEERAJ</v>
          </cell>
          <cell r="E4099">
            <v>20.940246032000001</v>
          </cell>
          <cell r="F4099" t="str">
            <v>-</v>
          </cell>
          <cell r="G4099" t="str">
            <v>-</v>
          </cell>
          <cell r="H4099" t="str">
            <v>-</v>
          </cell>
          <cell r="I4099" t="str">
            <v>-</v>
          </cell>
          <cell r="J4099">
            <v>20.940246032000001</v>
          </cell>
          <cell r="K4099" t="str">
            <v>Small Cap</v>
          </cell>
        </row>
        <row r="4100">
          <cell r="C4100" t="str">
            <v>INE393F01010</v>
          </cell>
          <cell r="D4100" t="str">
            <v>MAXHEIGHTS</v>
          </cell>
          <cell r="E4100">
            <v>20.909052418000002</v>
          </cell>
          <cell r="F4100" t="str">
            <v>-</v>
          </cell>
          <cell r="G4100" t="str">
            <v>-</v>
          </cell>
          <cell r="H4100" t="str">
            <v>-</v>
          </cell>
          <cell r="I4100" t="str">
            <v>-</v>
          </cell>
          <cell r="J4100">
            <v>20.909052418000002</v>
          </cell>
          <cell r="K4100" t="str">
            <v>Small Cap</v>
          </cell>
        </row>
        <row r="4101">
          <cell r="C4101" t="str">
            <v>INE648E01010</v>
          </cell>
          <cell r="D4101" t="str">
            <v>PANELEC</v>
          </cell>
          <cell r="E4101">
            <v>20.907968254</v>
          </cell>
          <cell r="F4101" t="str">
            <v>-</v>
          </cell>
          <cell r="G4101" t="str">
            <v>-</v>
          </cell>
          <cell r="H4101" t="str">
            <v>-</v>
          </cell>
          <cell r="I4101" t="str">
            <v>-</v>
          </cell>
          <cell r="J4101">
            <v>20.907968254</v>
          </cell>
          <cell r="K4101" t="str">
            <v>Small Cap</v>
          </cell>
        </row>
        <row r="4102">
          <cell r="C4102" t="str">
            <v>INE808A01018</v>
          </cell>
          <cell r="D4102" t="str">
            <v>VALSONQ</v>
          </cell>
          <cell r="E4102">
            <v>20.893433600000002</v>
          </cell>
          <cell r="F4102" t="str">
            <v>-</v>
          </cell>
          <cell r="G4102" t="str">
            <v>-</v>
          </cell>
          <cell r="H4102" t="str">
            <v>-</v>
          </cell>
          <cell r="I4102" t="str">
            <v>-</v>
          </cell>
          <cell r="J4102">
            <v>20.893433600000002</v>
          </cell>
          <cell r="K4102" t="str">
            <v>Small Cap</v>
          </cell>
        </row>
        <row r="4103">
          <cell r="C4103" t="str">
            <v>INE595G01018</v>
          </cell>
          <cell r="D4103" t="str">
            <v>SWRNASE</v>
          </cell>
          <cell r="E4103">
            <v>20.873357143</v>
          </cell>
          <cell r="F4103" t="str">
            <v>-</v>
          </cell>
          <cell r="G4103" t="str">
            <v>-</v>
          </cell>
          <cell r="H4103" t="str">
            <v>-</v>
          </cell>
          <cell r="I4103" t="str">
            <v>-</v>
          </cell>
          <cell r="J4103">
            <v>20.873357143</v>
          </cell>
          <cell r="K4103" t="str">
            <v>Small Cap</v>
          </cell>
        </row>
        <row r="4104">
          <cell r="C4104" t="str">
            <v>INE407P01017</v>
          </cell>
          <cell r="D4104" t="str">
            <v>ICL</v>
          </cell>
          <cell r="E4104">
            <v>20.734364750000001</v>
          </cell>
          <cell r="F4104" t="str">
            <v>-</v>
          </cell>
          <cell r="G4104" t="str">
            <v>-</v>
          </cell>
          <cell r="H4104" t="str">
            <v>-</v>
          </cell>
          <cell r="I4104" t="str">
            <v>-</v>
          </cell>
          <cell r="J4104">
            <v>20.734364750000001</v>
          </cell>
          <cell r="K4104" t="str">
            <v>Small Cap</v>
          </cell>
        </row>
        <row r="4105">
          <cell r="C4105" t="str">
            <v>INE693E01016</v>
          </cell>
          <cell r="D4105" t="str">
            <v>JAYCH</v>
          </cell>
          <cell r="E4105">
            <v>20.714719627000001</v>
          </cell>
          <cell r="F4105" t="str">
            <v>-</v>
          </cell>
          <cell r="G4105" t="str">
            <v>-</v>
          </cell>
          <cell r="H4105" t="str">
            <v>-</v>
          </cell>
          <cell r="I4105" t="str">
            <v>-</v>
          </cell>
          <cell r="J4105">
            <v>20.714719627000001</v>
          </cell>
          <cell r="K4105" t="str">
            <v>Small Cap</v>
          </cell>
        </row>
        <row r="4106">
          <cell r="C4106" t="str">
            <v>INE513G01011</v>
          </cell>
          <cell r="D4106" t="str">
            <v>-</v>
          </cell>
          <cell r="E4106" t="str">
            <v>-</v>
          </cell>
          <cell r="F4106" t="str">
            <v>-</v>
          </cell>
          <cell r="G4106" t="str">
            <v>-</v>
          </cell>
          <cell r="H4106" t="str">
            <v>AKASHAGRO</v>
          </cell>
          <cell r="I4106">
            <v>20.698941999999992</v>
          </cell>
          <cell r="J4106">
            <v>20.698941999999992</v>
          </cell>
          <cell r="K4106" t="str">
            <v>Small Cap</v>
          </cell>
        </row>
        <row r="4107">
          <cell r="C4107" t="str">
            <v>INE629F01025</v>
          </cell>
          <cell r="D4107" t="str">
            <v>KALLAM</v>
          </cell>
          <cell r="E4107">
            <v>20.679107206000001</v>
          </cell>
          <cell r="F4107" t="str">
            <v>-</v>
          </cell>
          <cell r="G4107" t="str">
            <v>-</v>
          </cell>
          <cell r="H4107" t="str">
            <v>-</v>
          </cell>
          <cell r="I4107" t="str">
            <v>-</v>
          </cell>
          <cell r="J4107">
            <v>20.679107206000001</v>
          </cell>
          <cell r="K4107" t="str">
            <v>Small Cap</v>
          </cell>
        </row>
        <row r="4108">
          <cell r="C4108" t="str">
            <v>INE302R01024</v>
          </cell>
          <cell r="D4108" t="str">
            <v>HIKLASS</v>
          </cell>
          <cell r="E4108">
            <v>20.635728018999998</v>
          </cell>
          <cell r="F4108" t="str">
            <v>-</v>
          </cell>
          <cell r="G4108" t="str">
            <v>-</v>
          </cell>
          <cell r="H4108" t="str">
            <v>-</v>
          </cell>
          <cell r="I4108" t="str">
            <v>-</v>
          </cell>
          <cell r="J4108">
            <v>20.635728018999998</v>
          </cell>
          <cell r="K4108" t="str">
            <v>Small Cap</v>
          </cell>
        </row>
        <row r="4109">
          <cell r="C4109" t="str">
            <v>INE945O01019</v>
          </cell>
          <cell r="D4109" t="str">
            <v>PANTH</v>
          </cell>
          <cell r="E4109">
            <v>20.588572428999999</v>
          </cell>
          <cell r="F4109" t="str">
            <v>-</v>
          </cell>
          <cell r="G4109" t="str">
            <v>-</v>
          </cell>
          <cell r="H4109" t="str">
            <v>-</v>
          </cell>
          <cell r="I4109" t="str">
            <v>-</v>
          </cell>
          <cell r="J4109">
            <v>20.588572428999999</v>
          </cell>
          <cell r="K4109" t="str">
            <v>Small Cap</v>
          </cell>
        </row>
        <row r="4110">
          <cell r="C4110" t="str">
            <v>INE114E01013</v>
          </cell>
          <cell r="D4110" t="str">
            <v>CHROME</v>
          </cell>
          <cell r="E4110">
            <v>20.585855712000001</v>
          </cell>
          <cell r="F4110" t="str">
            <v>-</v>
          </cell>
          <cell r="G4110" t="str">
            <v>-</v>
          </cell>
          <cell r="H4110" t="str">
            <v>-</v>
          </cell>
          <cell r="I4110" t="str">
            <v>-</v>
          </cell>
          <cell r="J4110">
            <v>20.585855712000001</v>
          </cell>
          <cell r="K4110" t="str">
            <v>Small Cap</v>
          </cell>
        </row>
        <row r="4111">
          <cell r="C4111" t="str">
            <v>INE587J01027</v>
          </cell>
          <cell r="D4111" t="str">
            <v>CROISSANCE</v>
          </cell>
          <cell r="E4111">
            <v>20.555151460000001</v>
          </cell>
          <cell r="F4111" t="str">
            <v>-</v>
          </cell>
          <cell r="G4111" t="str">
            <v>-</v>
          </cell>
          <cell r="H4111" t="str">
            <v>-</v>
          </cell>
          <cell r="I4111" t="str">
            <v>-</v>
          </cell>
          <cell r="J4111">
            <v>20.555151460000001</v>
          </cell>
          <cell r="K4111" t="str">
            <v>Small Cap</v>
          </cell>
        </row>
        <row r="4112">
          <cell r="C4112" t="str">
            <v>INE326T01011</v>
          </cell>
          <cell r="D4112" t="str">
            <v>-</v>
          </cell>
          <cell r="E4112" t="str">
            <v>-</v>
          </cell>
          <cell r="F4112" t="str">
            <v>NIRAJISPAT</v>
          </cell>
          <cell r="G4112">
            <v>20.485399999999998</v>
          </cell>
          <cell r="H4112" t="str">
            <v>-</v>
          </cell>
          <cell r="I4112" t="str">
            <v>-</v>
          </cell>
          <cell r="J4112">
            <v>20.485399999999998</v>
          </cell>
          <cell r="K4112" t="str">
            <v>Small Cap</v>
          </cell>
        </row>
        <row r="4113">
          <cell r="C4113" t="str">
            <v>INE777C01011</v>
          </cell>
          <cell r="D4113" t="str">
            <v>GSBFIN</v>
          </cell>
          <cell r="E4113">
            <v>20.468476190000001</v>
          </cell>
          <cell r="F4113" t="str">
            <v>-</v>
          </cell>
          <cell r="G4113" t="str">
            <v>-</v>
          </cell>
          <cell r="H4113" t="str">
            <v>-</v>
          </cell>
          <cell r="I4113" t="str">
            <v>-</v>
          </cell>
          <cell r="J4113">
            <v>20.468476190000001</v>
          </cell>
          <cell r="K4113" t="str">
            <v>Small Cap</v>
          </cell>
        </row>
        <row r="4114">
          <cell r="C4114" t="str">
            <v>INE583M01012</v>
          </cell>
          <cell r="D4114" t="str">
            <v>BMAL</v>
          </cell>
          <cell r="E4114">
            <v>20.427380898999999</v>
          </cell>
          <cell r="F4114" t="str">
            <v>-</v>
          </cell>
          <cell r="G4114" t="str">
            <v>-</v>
          </cell>
          <cell r="H4114" t="str">
            <v>-</v>
          </cell>
          <cell r="I4114" t="str">
            <v>-</v>
          </cell>
          <cell r="J4114">
            <v>20.427380898999999</v>
          </cell>
          <cell r="K4114" t="str">
            <v>Small Cap</v>
          </cell>
        </row>
        <row r="4115">
          <cell r="C4115" t="str">
            <v>INE864D01015</v>
          </cell>
          <cell r="D4115" t="str">
            <v>RISHDIGA</v>
          </cell>
          <cell r="E4115">
            <v>20.385285257</v>
          </cell>
          <cell r="F4115" t="str">
            <v>-</v>
          </cell>
          <cell r="G4115" t="str">
            <v>-</v>
          </cell>
          <cell r="H4115" t="str">
            <v>-</v>
          </cell>
          <cell r="I4115" t="str">
            <v>-</v>
          </cell>
          <cell r="J4115">
            <v>20.385285257</v>
          </cell>
          <cell r="K4115" t="str">
            <v>Small Cap</v>
          </cell>
        </row>
        <row r="4116">
          <cell r="C4116" t="str">
            <v>INE0Q2Z01013</v>
          </cell>
          <cell r="D4116" t="str">
            <v>BENCHMARK</v>
          </cell>
          <cell r="E4116">
            <v>20.349962286</v>
          </cell>
          <cell r="F4116" t="str">
            <v>-</v>
          </cell>
          <cell r="G4116" t="str">
            <v>-</v>
          </cell>
          <cell r="H4116" t="str">
            <v>-</v>
          </cell>
          <cell r="I4116" t="str">
            <v>-</v>
          </cell>
          <cell r="J4116">
            <v>20.349962286</v>
          </cell>
          <cell r="K4116" t="str">
            <v>Small Cap</v>
          </cell>
        </row>
        <row r="4117">
          <cell r="C4117" t="str">
            <v>INE01K301012</v>
          </cell>
          <cell r="D4117" t="str">
            <v>HARISH</v>
          </cell>
          <cell r="E4117">
            <v>20.255159428999999</v>
          </cell>
          <cell r="F4117" t="str">
            <v>-</v>
          </cell>
          <cell r="G4117" t="str">
            <v>-</v>
          </cell>
          <cell r="H4117" t="str">
            <v>-</v>
          </cell>
          <cell r="I4117" t="str">
            <v>-</v>
          </cell>
          <cell r="J4117">
            <v>20.255159428999999</v>
          </cell>
          <cell r="K4117" t="str">
            <v>Small Cap</v>
          </cell>
        </row>
        <row r="4118">
          <cell r="C4118" t="str">
            <v>INE250C01027</v>
          </cell>
          <cell r="D4118" t="str">
            <v>JAIMATAG</v>
          </cell>
          <cell r="E4118">
            <v>20.234920634999998</v>
          </cell>
          <cell r="F4118" t="str">
            <v>-</v>
          </cell>
          <cell r="G4118" t="str">
            <v>-</v>
          </cell>
          <cell r="H4118" t="str">
            <v>-</v>
          </cell>
          <cell r="I4118" t="str">
            <v>-</v>
          </cell>
          <cell r="J4118">
            <v>20.234920634999998</v>
          </cell>
          <cell r="K4118" t="str">
            <v>Small Cap</v>
          </cell>
        </row>
        <row r="4119">
          <cell r="C4119" t="str">
            <v>INE727D01022</v>
          </cell>
          <cell r="D4119" t="str">
            <v>KSOILS</v>
          </cell>
          <cell r="E4119">
            <v>20.203921628</v>
          </cell>
          <cell r="F4119" t="str">
            <v>-</v>
          </cell>
          <cell r="G4119" t="str">
            <v>-</v>
          </cell>
          <cell r="H4119" t="str">
            <v>-</v>
          </cell>
          <cell r="I4119" t="str">
            <v>-</v>
          </cell>
          <cell r="J4119">
            <v>20.203921628</v>
          </cell>
          <cell r="K4119" t="str">
            <v>Small Cap</v>
          </cell>
        </row>
        <row r="4120">
          <cell r="C4120" t="str">
            <v>INE868G01019</v>
          </cell>
          <cell r="D4120" t="str">
            <v>GAJANANSEC</v>
          </cell>
          <cell r="E4120">
            <v>20.203055190000001</v>
          </cell>
          <cell r="F4120" t="str">
            <v>-</v>
          </cell>
          <cell r="G4120" t="str">
            <v>-</v>
          </cell>
          <cell r="H4120" t="str">
            <v>-</v>
          </cell>
          <cell r="I4120" t="str">
            <v>-</v>
          </cell>
          <cell r="J4120">
            <v>20.203055190000001</v>
          </cell>
          <cell r="K4120" t="str">
            <v>Small Cap</v>
          </cell>
        </row>
        <row r="4121">
          <cell r="C4121" t="str">
            <v>INE154M01012</v>
          </cell>
          <cell r="D4121" t="str">
            <v>RAPIDIN</v>
          </cell>
          <cell r="E4121">
            <v>20.143613124000002</v>
          </cell>
          <cell r="F4121" t="str">
            <v>-</v>
          </cell>
          <cell r="G4121" t="str">
            <v>-</v>
          </cell>
          <cell r="H4121" t="str">
            <v>-</v>
          </cell>
          <cell r="I4121" t="str">
            <v>-</v>
          </cell>
          <cell r="J4121">
            <v>20.143613124000002</v>
          </cell>
          <cell r="K4121" t="str">
            <v>Small Cap</v>
          </cell>
        </row>
        <row r="4122">
          <cell r="C4122" t="str">
            <v>INE0H1201020</v>
          </cell>
          <cell r="D4122" t="str">
            <v>GETALONG</v>
          </cell>
          <cell r="E4122">
            <v>20.130381269999997</v>
          </cell>
          <cell r="F4122" t="str">
            <v>-</v>
          </cell>
          <cell r="G4122" t="str">
            <v>-</v>
          </cell>
          <cell r="H4122" t="str">
            <v>-</v>
          </cell>
          <cell r="I4122" t="str">
            <v>-</v>
          </cell>
          <cell r="J4122">
            <v>20.130381269999997</v>
          </cell>
          <cell r="K4122" t="str">
            <v>Small Cap</v>
          </cell>
        </row>
        <row r="4123">
          <cell r="C4123" t="str">
            <v>INE351D01013</v>
          </cell>
          <cell r="D4123" t="str">
            <v>RISHYRN</v>
          </cell>
          <cell r="E4123">
            <v>20.128524062</v>
          </cell>
          <cell r="F4123" t="str">
            <v>-</v>
          </cell>
          <cell r="G4123" t="str">
            <v>-</v>
          </cell>
          <cell r="H4123" t="str">
            <v>-</v>
          </cell>
          <cell r="I4123" t="str">
            <v>-</v>
          </cell>
          <cell r="J4123">
            <v>20.128524062</v>
          </cell>
          <cell r="K4123" t="str">
            <v>Small Cap</v>
          </cell>
        </row>
        <row r="4124">
          <cell r="C4124" t="str">
            <v>INE438C01010</v>
          </cell>
          <cell r="D4124" t="str">
            <v>PROCLB</v>
          </cell>
          <cell r="E4124">
            <v>20.072690999999999</v>
          </cell>
          <cell r="F4124" t="str">
            <v>-</v>
          </cell>
          <cell r="G4124" t="str">
            <v>-</v>
          </cell>
          <cell r="H4124" t="str">
            <v>-</v>
          </cell>
          <cell r="I4124" t="str">
            <v>-</v>
          </cell>
          <cell r="J4124">
            <v>20.072690999999999</v>
          </cell>
          <cell r="K4124" t="str">
            <v>Small Cap</v>
          </cell>
        </row>
        <row r="4125">
          <cell r="C4125" t="str">
            <v>INE769D01016</v>
          </cell>
          <cell r="D4125" t="str">
            <v>REGENTRP</v>
          </cell>
          <cell r="E4125">
            <v>20.039555872000001</v>
          </cell>
          <cell r="F4125" t="str">
            <v>-</v>
          </cell>
          <cell r="G4125" t="str">
            <v>-</v>
          </cell>
          <cell r="H4125" t="str">
            <v>-</v>
          </cell>
          <cell r="I4125" t="str">
            <v>-</v>
          </cell>
          <cell r="J4125">
            <v>20.039555872000001</v>
          </cell>
          <cell r="K4125" t="str">
            <v>Small Cap</v>
          </cell>
        </row>
        <row r="4126">
          <cell r="C4126" t="str">
            <v>INE810C01044</v>
          </cell>
          <cell r="D4126" t="str">
            <v>VENTURA</v>
          </cell>
          <cell r="E4126">
            <v>20.009406040000002</v>
          </cell>
          <cell r="F4126" t="str">
            <v>-</v>
          </cell>
          <cell r="G4126" t="str">
            <v>-</v>
          </cell>
          <cell r="H4126" t="str">
            <v>-</v>
          </cell>
          <cell r="I4126" t="str">
            <v>-</v>
          </cell>
          <cell r="J4126">
            <v>20.009406040000002</v>
          </cell>
          <cell r="K4126" t="str">
            <v>Small Cap</v>
          </cell>
        </row>
        <row r="4127">
          <cell r="C4127" t="str">
            <v>INE358D01018</v>
          </cell>
          <cell r="D4127" t="str">
            <v>TAIIND</v>
          </cell>
          <cell r="E4127">
            <v>20.005809524</v>
          </cell>
          <cell r="F4127" t="str">
            <v>-</v>
          </cell>
          <cell r="G4127" t="str">
            <v>-</v>
          </cell>
          <cell r="H4127" t="str">
            <v>-</v>
          </cell>
          <cell r="I4127" t="str">
            <v>-</v>
          </cell>
          <cell r="J4127">
            <v>20.005809524</v>
          </cell>
          <cell r="K4127" t="str">
            <v>Small Cap</v>
          </cell>
        </row>
        <row r="4128">
          <cell r="C4128" t="str">
            <v>INE089E01025</v>
          </cell>
          <cell r="D4128" t="str">
            <v>KDJHRL</v>
          </cell>
          <cell r="E4128">
            <v>19.949439999999999</v>
          </cell>
          <cell r="F4128" t="str">
            <v>-</v>
          </cell>
          <cell r="G4128" t="str">
            <v>-</v>
          </cell>
          <cell r="H4128" t="str">
            <v>-</v>
          </cell>
          <cell r="I4128" t="str">
            <v>-</v>
          </cell>
          <cell r="J4128">
            <v>19.949439999999999</v>
          </cell>
          <cell r="K4128" t="str">
            <v>Small Cap</v>
          </cell>
        </row>
        <row r="4129">
          <cell r="C4129" t="str">
            <v>INE516E01019</v>
          </cell>
          <cell r="D4129" t="str">
            <v>PANABYTE</v>
          </cell>
          <cell r="E4129">
            <v>19.942272380999999</v>
          </cell>
          <cell r="F4129" t="str">
            <v>-</v>
          </cell>
          <cell r="G4129" t="str">
            <v>-</v>
          </cell>
          <cell r="H4129" t="str">
            <v>-</v>
          </cell>
          <cell r="I4129" t="str">
            <v>-</v>
          </cell>
          <cell r="J4129">
            <v>19.942272380999999</v>
          </cell>
          <cell r="K4129" t="str">
            <v>Small Cap</v>
          </cell>
        </row>
        <row r="4130">
          <cell r="C4130" t="str">
            <v>INE181U01018</v>
          </cell>
          <cell r="D4130" t="str">
            <v>CFL</v>
          </cell>
          <cell r="E4130">
            <v>19.933062862</v>
          </cell>
          <cell r="F4130" t="str">
            <v>-</v>
          </cell>
          <cell r="G4130" t="str">
            <v>-</v>
          </cell>
          <cell r="H4130" t="str">
            <v>-</v>
          </cell>
          <cell r="I4130" t="str">
            <v>-</v>
          </cell>
          <cell r="J4130">
            <v>19.933062862</v>
          </cell>
          <cell r="K4130" t="str">
            <v>Small Cap</v>
          </cell>
        </row>
        <row r="4131">
          <cell r="C4131" t="str">
            <v>INE429B01011</v>
          </cell>
          <cell r="D4131" t="str">
            <v>YOGISUNG</v>
          </cell>
          <cell r="E4131">
            <v>19.841945856999999</v>
          </cell>
          <cell r="F4131" t="str">
            <v>-</v>
          </cell>
          <cell r="G4131" t="str">
            <v>-</v>
          </cell>
          <cell r="H4131" t="str">
            <v>-</v>
          </cell>
          <cell r="I4131" t="str">
            <v>-</v>
          </cell>
          <cell r="J4131">
            <v>19.841945856999999</v>
          </cell>
          <cell r="K4131" t="str">
            <v>Small Cap</v>
          </cell>
        </row>
        <row r="4132">
          <cell r="C4132" t="str">
            <v>INE762D01011</v>
          </cell>
          <cell r="D4132" t="str">
            <v>VISVEN</v>
          </cell>
          <cell r="E4132">
            <v>19.822703681</v>
          </cell>
          <cell r="F4132" t="str">
            <v>-</v>
          </cell>
          <cell r="G4132" t="str">
            <v>-</v>
          </cell>
          <cell r="H4132" t="str">
            <v>-</v>
          </cell>
          <cell r="I4132" t="str">
            <v>-</v>
          </cell>
          <cell r="J4132">
            <v>19.822703681</v>
          </cell>
          <cell r="K4132" t="str">
            <v>Small Cap</v>
          </cell>
        </row>
        <row r="4133">
          <cell r="C4133" t="str">
            <v>INE925E01012</v>
          </cell>
          <cell r="D4133" t="str">
            <v>-</v>
          </cell>
          <cell r="E4133" t="str">
            <v>-</v>
          </cell>
          <cell r="F4133" t="str">
            <v>-</v>
          </cell>
          <cell r="G4133" t="str">
            <v>-</v>
          </cell>
          <cell r="H4133" t="str">
            <v>HOTAHOTI</v>
          </cell>
          <cell r="I4133">
            <v>19.799960399999996</v>
          </cell>
          <cell r="J4133">
            <v>19.799960399999996</v>
          </cell>
          <cell r="K4133" t="str">
            <v>Small Cap</v>
          </cell>
        </row>
        <row r="4134">
          <cell r="C4134" t="str">
            <v>INE412E01011</v>
          </cell>
          <cell r="D4134" t="str">
            <v>ORGCOAT</v>
          </cell>
          <cell r="E4134">
            <v>19.792218795</v>
          </cell>
          <cell r="F4134" t="str">
            <v>-</v>
          </cell>
          <cell r="G4134" t="str">
            <v>-</v>
          </cell>
          <cell r="H4134" t="str">
            <v>-</v>
          </cell>
          <cell r="I4134" t="str">
            <v>-</v>
          </cell>
          <cell r="J4134">
            <v>19.792218795</v>
          </cell>
          <cell r="K4134" t="str">
            <v>Small Cap</v>
          </cell>
        </row>
        <row r="4135">
          <cell r="C4135" t="str">
            <v>INE578L01014</v>
          </cell>
          <cell r="D4135" t="str">
            <v>ADHBHUTIN</v>
          </cell>
          <cell r="E4135">
            <v>19.777214286000003</v>
          </cell>
          <cell r="F4135" t="str">
            <v>-</v>
          </cell>
          <cell r="G4135" t="str">
            <v>-</v>
          </cell>
          <cell r="H4135" t="str">
            <v>-</v>
          </cell>
          <cell r="I4135" t="str">
            <v>-</v>
          </cell>
          <cell r="J4135">
            <v>19.777214286000003</v>
          </cell>
          <cell r="K4135" t="str">
            <v>Small Cap</v>
          </cell>
        </row>
        <row r="4136">
          <cell r="C4136" t="str">
            <v>INE264N01017</v>
          </cell>
          <cell r="D4136" t="str">
            <v>HRMNYCP</v>
          </cell>
          <cell r="E4136">
            <v>19.768714549999999</v>
          </cell>
          <cell r="F4136" t="str">
            <v>-</v>
          </cell>
          <cell r="G4136" t="str">
            <v>-</v>
          </cell>
          <cell r="H4136" t="str">
            <v>-</v>
          </cell>
          <cell r="I4136" t="str">
            <v>-</v>
          </cell>
          <cell r="J4136">
            <v>19.768714549999999</v>
          </cell>
          <cell r="K4136" t="str">
            <v>Small Cap</v>
          </cell>
        </row>
        <row r="4137">
          <cell r="C4137" t="str">
            <v>INE440L01017</v>
          </cell>
          <cell r="D4137" t="str">
            <v>TIJARIA</v>
          </cell>
          <cell r="E4137">
            <v>19.708036471</v>
          </cell>
          <cell r="F4137" t="str">
            <v>TIJARIA</v>
          </cell>
          <cell r="G4137">
            <v>19.650099999999998</v>
          </cell>
          <cell r="H4137" t="str">
            <v>-</v>
          </cell>
          <cell r="I4137" t="str">
            <v>-</v>
          </cell>
          <cell r="J4137">
            <v>19.679068235499997</v>
          </cell>
          <cell r="K4137" t="str">
            <v>Small Cap</v>
          </cell>
        </row>
        <row r="4138">
          <cell r="C4138" t="str">
            <v>INE546F01013</v>
          </cell>
          <cell r="D4138" t="str">
            <v>ZENLABS</v>
          </cell>
          <cell r="E4138">
            <v>19.677553672999998</v>
          </cell>
          <cell r="F4138" t="str">
            <v>-</v>
          </cell>
          <cell r="G4138" t="str">
            <v>-</v>
          </cell>
          <cell r="H4138" t="str">
            <v>-</v>
          </cell>
          <cell r="I4138" t="str">
            <v>-</v>
          </cell>
          <cell r="J4138">
            <v>19.677553672999998</v>
          </cell>
          <cell r="K4138" t="str">
            <v>Small Cap</v>
          </cell>
        </row>
        <row r="4139">
          <cell r="C4139" t="str">
            <v>INE689E01014</v>
          </cell>
          <cell r="D4139" t="str">
            <v>HISARSP</v>
          </cell>
          <cell r="E4139">
            <v>19.652384286</v>
          </cell>
          <cell r="F4139" t="str">
            <v>-</v>
          </cell>
          <cell r="G4139" t="str">
            <v>-</v>
          </cell>
          <cell r="H4139" t="str">
            <v>-</v>
          </cell>
          <cell r="I4139" t="str">
            <v>-</v>
          </cell>
          <cell r="J4139">
            <v>19.652384286</v>
          </cell>
          <cell r="K4139" t="str">
            <v>Small Cap</v>
          </cell>
        </row>
        <row r="4140">
          <cell r="C4140" t="str">
            <v>INE995U01011</v>
          </cell>
          <cell r="D4140" t="str">
            <v>SRDAPRT</v>
          </cell>
          <cell r="E4140">
            <v>19.608264944999998</v>
          </cell>
          <cell r="F4140" t="str">
            <v>-</v>
          </cell>
          <cell r="G4140" t="str">
            <v>-</v>
          </cell>
          <cell r="H4140" t="str">
            <v>-</v>
          </cell>
          <cell r="I4140" t="str">
            <v>-</v>
          </cell>
          <cell r="J4140">
            <v>19.608264944999998</v>
          </cell>
          <cell r="K4140" t="str">
            <v>Small Cap</v>
          </cell>
        </row>
        <row r="4141">
          <cell r="C4141" t="str">
            <v>INE0D2I01014</v>
          </cell>
          <cell r="D4141" t="str">
            <v>EPBIO</v>
          </cell>
          <cell r="E4141">
            <v>19.600484821000002</v>
          </cell>
          <cell r="F4141" t="str">
            <v>-</v>
          </cell>
          <cell r="G4141" t="str">
            <v>-</v>
          </cell>
          <cell r="H4141" t="str">
            <v>-</v>
          </cell>
          <cell r="I4141" t="str">
            <v>-</v>
          </cell>
          <cell r="J4141">
            <v>19.600484821000002</v>
          </cell>
          <cell r="K4141" t="str">
            <v>Small Cap</v>
          </cell>
        </row>
        <row r="4142">
          <cell r="C4142" t="str">
            <v>INE218P01018</v>
          </cell>
          <cell r="D4142" t="str">
            <v>ACFSL</v>
          </cell>
          <cell r="E4142">
            <v>19.596314400000001</v>
          </cell>
          <cell r="F4142" t="str">
            <v>-</v>
          </cell>
          <cell r="G4142" t="str">
            <v>-</v>
          </cell>
          <cell r="H4142" t="str">
            <v>-</v>
          </cell>
          <cell r="I4142" t="str">
            <v>-</v>
          </cell>
          <cell r="J4142">
            <v>19.596314400000001</v>
          </cell>
          <cell r="K4142" t="str">
            <v>Small Cap</v>
          </cell>
        </row>
        <row r="4143">
          <cell r="C4143" t="str">
            <v>INE203Y01012</v>
          </cell>
          <cell r="D4143" t="str">
            <v>-</v>
          </cell>
          <cell r="E4143" t="str">
            <v>-</v>
          </cell>
          <cell r="F4143" t="str">
            <v>SILLYMONKS</v>
          </cell>
          <cell r="G4143">
            <v>19.546700000000001</v>
          </cell>
          <cell r="H4143" t="str">
            <v>-</v>
          </cell>
          <cell r="I4143" t="str">
            <v>-</v>
          </cell>
          <cell r="J4143">
            <v>19.546700000000001</v>
          </cell>
          <cell r="K4143" t="str">
            <v>Small Cap</v>
          </cell>
        </row>
        <row r="4144">
          <cell r="C4144" t="str">
            <v>INE925Q01024</v>
          </cell>
          <cell r="D4144" t="str">
            <v>ECS</v>
          </cell>
          <cell r="E4144">
            <v>19.530231085</v>
          </cell>
          <cell r="F4144" t="str">
            <v>-</v>
          </cell>
          <cell r="G4144" t="str">
            <v>-</v>
          </cell>
          <cell r="H4144" t="str">
            <v>-</v>
          </cell>
          <cell r="I4144" t="str">
            <v>-</v>
          </cell>
          <cell r="J4144">
            <v>19.530231085</v>
          </cell>
          <cell r="K4144" t="str">
            <v>Small Cap</v>
          </cell>
        </row>
        <row r="4145">
          <cell r="C4145" t="str">
            <v>INE914B01012</v>
          </cell>
          <cell r="D4145" t="str">
            <v>SHREMETAL</v>
          </cell>
          <cell r="E4145">
            <v>19.525235533</v>
          </cell>
          <cell r="F4145" t="str">
            <v>-</v>
          </cell>
          <cell r="G4145" t="str">
            <v>-</v>
          </cell>
          <cell r="H4145" t="str">
            <v>-</v>
          </cell>
          <cell r="I4145" t="str">
            <v>-</v>
          </cell>
          <cell r="J4145">
            <v>19.525235533</v>
          </cell>
          <cell r="K4145" t="str">
            <v>Small Cap</v>
          </cell>
        </row>
        <row r="4146">
          <cell r="C4146" t="str">
            <v>INE00Q901014</v>
          </cell>
          <cell r="D4146" t="str">
            <v>SMGOLD</v>
          </cell>
          <cell r="E4146">
            <v>19.521963868</v>
          </cell>
          <cell r="F4146" t="str">
            <v>-</v>
          </cell>
          <cell r="G4146" t="str">
            <v>-</v>
          </cell>
          <cell r="H4146" t="str">
            <v>-</v>
          </cell>
          <cell r="I4146" t="str">
            <v>-</v>
          </cell>
          <cell r="J4146">
            <v>19.521963868</v>
          </cell>
          <cell r="K4146" t="str">
            <v>Small Cap</v>
          </cell>
        </row>
        <row r="4147">
          <cell r="C4147" t="str">
            <v>INE900A01013</v>
          </cell>
          <cell r="D4147" t="str">
            <v>BHARAT</v>
          </cell>
          <cell r="E4147">
            <v>19.482157371</v>
          </cell>
          <cell r="F4147" t="str">
            <v>-</v>
          </cell>
          <cell r="G4147" t="str">
            <v>-</v>
          </cell>
          <cell r="H4147" t="str">
            <v>-</v>
          </cell>
          <cell r="I4147" t="str">
            <v>-</v>
          </cell>
          <cell r="J4147">
            <v>19.482157371</v>
          </cell>
          <cell r="K4147" t="str">
            <v>Small Cap</v>
          </cell>
        </row>
        <row r="4148">
          <cell r="C4148" t="str">
            <v>INE0Q6L01014</v>
          </cell>
          <cell r="D4148" t="str">
            <v>BRISK</v>
          </cell>
          <cell r="E4148">
            <v>19.462857143000001</v>
          </cell>
          <cell r="F4148" t="str">
            <v>-</v>
          </cell>
          <cell r="G4148" t="str">
            <v>-</v>
          </cell>
          <cell r="H4148" t="str">
            <v>-</v>
          </cell>
          <cell r="I4148" t="str">
            <v>-</v>
          </cell>
          <cell r="J4148">
            <v>19.462857143000001</v>
          </cell>
          <cell r="K4148" t="str">
            <v>Small Cap</v>
          </cell>
        </row>
        <row r="4149">
          <cell r="C4149" t="str">
            <v>INE216I01017</v>
          </cell>
          <cell r="D4149" t="str">
            <v>NEOINFRA</v>
          </cell>
          <cell r="E4149">
            <v>19.455865971000001</v>
          </cell>
          <cell r="F4149" t="str">
            <v>-</v>
          </cell>
          <cell r="G4149" t="str">
            <v>-</v>
          </cell>
          <cell r="H4149" t="str">
            <v>-</v>
          </cell>
          <cell r="I4149" t="str">
            <v>-</v>
          </cell>
          <cell r="J4149">
            <v>19.455865971000001</v>
          </cell>
          <cell r="K4149" t="str">
            <v>Small Cap</v>
          </cell>
        </row>
        <row r="4150">
          <cell r="C4150" t="str">
            <v>INE0R6801013</v>
          </cell>
          <cell r="D4150" t="str">
            <v>VARYAA</v>
          </cell>
          <cell r="E4150">
            <v>19.422537619</v>
          </cell>
          <cell r="F4150" t="str">
            <v>-</v>
          </cell>
          <cell r="G4150" t="str">
            <v>-</v>
          </cell>
          <cell r="H4150" t="str">
            <v>-</v>
          </cell>
          <cell r="I4150" t="str">
            <v>-</v>
          </cell>
          <cell r="J4150">
            <v>19.422537619</v>
          </cell>
          <cell r="K4150" t="str">
            <v>Small Cap</v>
          </cell>
        </row>
        <row r="4151">
          <cell r="C4151" t="str">
            <v>INE508A01022</v>
          </cell>
          <cell r="D4151" t="str">
            <v>DUNCANSLTD</v>
          </cell>
          <cell r="E4151">
            <v>19.373022759999998</v>
          </cell>
          <cell r="F4151" t="str">
            <v>-</v>
          </cell>
          <cell r="G4151" t="str">
            <v>-</v>
          </cell>
          <cell r="H4151" t="str">
            <v>-</v>
          </cell>
          <cell r="I4151" t="str">
            <v>-</v>
          </cell>
          <cell r="J4151">
            <v>19.373022759999998</v>
          </cell>
          <cell r="K4151" t="str">
            <v>Small Cap</v>
          </cell>
        </row>
        <row r="4152">
          <cell r="C4152" t="str">
            <v>INE331L01026</v>
          </cell>
          <cell r="D4152" t="str">
            <v>MSRINDIA</v>
          </cell>
          <cell r="E4152">
            <v>19.354563809999998</v>
          </cell>
          <cell r="F4152" t="str">
            <v>-</v>
          </cell>
          <cell r="G4152" t="str">
            <v>-</v>
          </cell>
          <cell r="H4152" t="str">
            <v>-</v>
          </cell>
          <cell r="I4152" t="str">
            <v>-</v>
          </cell>
          <cell r="J4152">
            <v>19.354563809999998</v>
          </cell>
          <cell r="K4152" t="str">
            <v>Small Cap</v>
          </cell>
        </row>
        <row r="4153">
          <cell r="C4153" t="str">
            <v>INE282Y01016</v>
          </cell>
          <cell r="D4153" t="str">
            <v>KAARYAFSL</v>
          </cell>
          <cell r="E4153">
            <v>19.315480984000001</v>
          </cell>
          <cell r="F4153" t="str">
            <v>-</v>
          </cell>
          <cell r="G4153" t="str">
            <v>-</v>
          </cell>
          <cell r="H4153" t="str">
            <v>-</v>
          </cell>
          <cell r="I4153" t="str">
            <v>-</v>
          </cell>
          <cell r="J4153">
            <v>19.315480984000001</v>
          </cell>
          <cell r="K4153" t="str">
            <v>Small Cap</v>
          </cell>
        </row>
        <row r="4154">
          <cell r="C4154" t="str">
            <v>INE607G01011</v>
          </cell>
          <cell r="D4154" t="str">
            <v>SAMYAKINT</v>
          </cell>
          <cell r="E4154">
            <v>19.299084225000001</v>
          </cell>
          <cell r="F4154" t="str">
            <v>-</v>
          </cell>
          <cell r="G4154" t="str">
            <v>-</v>
          </cell>
          <cell r="H4154" t="str">
            <v>-</v>
          </cell>
          <cell r="I4154" t="str">
            <v>-</v>
          </cell>
          <cell r="J4154">
            <v>19.299084225000001</v>
          </cell>
          <cell r="K4154" t="str">
            <v>Small Cap</v>
          </cell>
        </row>
        <row r="4155">
          <cell r="C4155" t="str">
            <v>INE481Z01011</v>
          </cell>
          <cell r="D4155" t="str">
            <v>-</v>
          </cell>
          <cell r="E4155" t="str">
            <v>-</v>
          </cell>
          <cell r="F4155" t="str">
            <v>UNIINFO</v>
          </cell>
          <cell r="G4155">
            <v>19.297799999999999</v>
          </cell>
          <cell r="H4155" t="str">
            <v>-</v>
          </cell>
          <cell r="I4155" t="str">
            <v>-</v>
          </cell>
          <cell r="J4155">
            <v>19.297799999999999</v>
          </cell>
          <cell r="K4155" t="str">
            <v>Small Cap</v>
          </cell>
        </row>
        <row r="4156">
          <cell r="C4156" t="str">
            <v>INE155R01018</v>
          </cell>
          <cell r="D4156" t="str">
            <v>JETSOLAR</v>
          </cell>
          <cell r="E4156">
            <v>19.227474286000003</v>
          </cell>
          <cell r="F4156" t="str">
            <v>-</v>
          </cell>
          <cell r="G4156" t="str">
            <v>-</v>
          </cell>
          <cell r="H4156" t="str">
            <v>-</v>
          </cell>
          <cell r="I4156" t="str">
            <v>-</v>
          </cell>
          <cell r="J4156">
            <v>19.227474286000003</v>
          </cell>
          <cell r="K4156" t="str">
            <v>Small Cap</v>
          </cell>
        </row>
        <row r="4157">
          <cell r="C4157" t="str">
            <v>INE360D01014</v>
          </cell>
          <cell r="D4157" t="str">
            <v>TRANSFRE</v>
          </cell>
          <cell r="E4157">
            <v>19.210905962000002</v>
          </cell>
          <cell r="F4157" t="str">
            <v>-</v>
          </cell>
          <cell r="G4157" t="str">
            <v>-</v>
          </cell>
          <cell r="H4157" t="str">
            <v>-</v>
          </cell>
          <cell r="I4157" t="str">
            <v>-</v>
          </cell>
          <cell r="J4157">
            <v>19.210905962000002</v>
          </cell>
          <cell r="K4157" t="str">
            <v>Small Cap</v>
          </cell>
        </row>
        <row r="4158">
          <cell r="C4158" t="str">
            <v>INE244C01020</v>
          </cell>
          <cell r="D4158" t="str">
            <v>MFLINDIA</v>
          </cell>
          <cell r="E4158">
            <v>19.209854412999999</v>
          </cell>
          <cell r="F4158" t="str">
            <v>-</v>
          </cell>
          <cell r="G4158" t="str">
            <v>-</v>
          </cell>
          <cell r="H4158" t="str">
            <v>-</v>
          </cell>
          <cell r="I4158" t="str">
            <v>-</v>
          </cell>
          <cell r="J4158">
            <v>19.209854412999999</v>
          </cell>
          <cell r="K4158" t="str">
            <v>Small Cap</v>
          </cell>
        </row>
        <row r="4159">
          <cell r="C4159" t="str">
            <v>INE187R01029</v>
          </cell>
          <cell r="D4159" t="str">
            <v>CITL</v>
          </cell>
          <cell r="E4159">
            <v>19.197663492</v>
          </cell>
          <cell r="F4159" t="str">
            <v>-</v>
          </cell>
          <cell r="G4159" t="str">
            <v>-</v>
          </cell>
          <cell r="H4159" t="str">
            <v>-</v>
          </cell>
          <cell r="I4159" t="str">
            <v>-</v>
          </cell>
          <cell r="J4159">
            <v>19.197663492</v>
          </cell>
          <cell r="K4159" t="str">
            <v>Small Cap</v>
          </cell>
        </row>
        <row r="4160">
          <cell r="C4160" t="str">
            <v>INE753D01010</v>
          </cell>
          <cell r="D4160" t="str">
            <v>SHRICON</v>
          </cell>
          <cell r="E4160">
            <v>19.109138094999999</v>
          </cell>
          <cell r="F4160" t="str">
            <v>-</v>
          </cell>
          <cell r="G4160" t="str">
            <v>-</v>
          </cell>
          <cell r="H4160" t="str">
            <v>-</v>
          </cell>
          <cell r="I4160" t="str">
            <v>-</v>
          </cell>
          <cell r="J4160">
            <v>19.109138094999999</v>
          </cell>
          <cell r="K4160" t="str">
            <v>Small Cap</v>
          </cell>
        </row>
        <row r="4161">
          <cell r="C4161" t="str">
            <v>INE058D01030</v>
          </cell>
          <cell r="D4161" t="str">
            <v>JAIPAN</v>
          </cell>
          <cell r="E4161">
            <v>19.078992411000002</v>
          </cell>
          <cell r="F4161" t="str">
            <v>-</v>
          </cell>
          <cell r="G4161" t="str">
            <v>-</v>
          </cell>
          <cell r="H4161" t="str">
            <v>-</v>
          </cell>
          <cell r="I4161" t="str">
            <v>-</v>
          </cell>
          <cell r="J4161">
            <v>19.078992411000002</v>
          </cell>
          <cell r="K4161" t="str">
            <v>Small Cap</v>
          </cell>
        </row>
        <row r="4162">
          <cell r="C4162" t="str">
            <v>INE143I01013</v>
          </cell>
          <cell r="D4162" t="str">
            <v>PARMCOS-B</v>
          </cell>
          <cell r="E4162">
            <v>18.964516230000001</v>
          </cell>
          <cell r="F4162" t="str">
            <v>-</v>
          </cell>
          <cell r="G4162" t="str">
            <v>-</v>
          </cell>
          <cell r="H4162" t="str">
            <v>-</v>
          </cell>
          <cell r="I4162" t="str">
            <v>-</v>
          </cell>
          <cell r="J4162">
            <v>18.964516230000001</v>
          </cell>
          <cell r="K4162" t="str">
            <v>Small Cap</v>
          </cell>
        </row>
        <row r="4163">
          <cell r="C4163" t="str">
            <v>INE586D01014</v>
          </cell>
          <cell r="D4163" t="str">
            <v>ADHHATA</v>
          </cell>
          <cell r="E4163">
            <v>18.96199854</v>
          </cell>
          <cell r="F4163" t="str">
            <v>-</v>
          </cell>
          <cell r="G4163" t="str">
            <v>-</v>
          </cell>
          <cell r="H4163" t="str">
            <v>-</v>
          </cell>
          <cell r="I4163" t="str">
            <v>-</v>
          </cell>
          <cell r="J4163">
            <v>18.96199854</v>
          </cell>
          <cell r="K4163" t="str">
            <v>Small Cap</v>
          </cell>
        </row>
        <row r="4164">
          <cell r="C4164" t="str">
            <v>INE0B6101012</v>
          </cell>
          <cell r="D4164" t="str">
            <v>TIMESGREEN</v>
          </cell>
          <cell r="E4164">
            <v>18.915637866999997</v>
          </cell>
          <cell r="F4164" t="str">
            <v>-</v>
          </cell>
          <cell r="G4164" t="str">
            <v>-</v>
          </cell>
          <cell r="H4164" t="str">
            <v>-</v>
          </cell>
          <cell r="I4164" t="str">
            <v>-</v>
          </cell>
          <cell r="J4164">
            <v>18.915637866999997</v>
          </cell>
          <cell r="K4164" t="str">
            <v>Small Cap</v>
          </cell>
        </row>
        <row r="4165">
          <cell r="C4165" t="str">
            <v>INE992B01026</v>
          </cell>
          <cell r="D4165" t="str">
            <v>LAKSHMIO</v>
          </cell>
          <cell r="E4165">
            <v>18.8919</v>
          </cell>
          <cell r="F4165" t="str">
            <v>-</v>
          </cell>
          <cell r="G4165" t="str">
            <v>-</v>
          </cell>
          <cell r="H4165" t="str">
            <v>-</v>
          </cell>
          <cell r="I4165" t="str">
            <v>-</v>
          </cell>
          <cell r="J4165">
            <v>18.8919</v>
          </cell>
          <cell r="K4165" t="str">
            <v>Small Cap</v>
          </cell>
        </row>
        <row r="4166">
          <cell r="C4166" t="str">
            <v>INE0FFF01017</v>
          </cell>
          <cell r="D4166" t="str">
            <v>LKMEHTA</v>
          </cell>
          <cell r="E4166">
            <v>18.798049524</v>
          </cell>
          <cell r="F4166" t="str">
            <v>-</v>
          </cell>
          <cell r="G4166" t="str">
            <v>-</v>
          </cell>
          <cell r="H4166" t="str">
            <v>-</v>
          </cell>
          <cell r="I4166" t="str">
            <v>-</v>
          </cell>
          <cell r="J4166">
            <v>18.798049524</v>
          </cell>
          <cell r="K4166" t="str">
            <v>Small Cap</v>
          </cell>
        </row>
        <row r="4167">
          <cell r="C4167" t="str">
            <v>INE04ST01013</v>
          </cell>
          <cell r="D4167" t="str">
            <v>SKIEL</v>
          </cell>
          <cell r="E4167">
            <v>18.767940156000002</v>
          </cell>
          <cell r="F4167" t="str">
            <v>-</v>
          </cell>
          <cell r="G4167" t="str">
            <v>-</v>
          </cell>
          <cell r="H4167" t="str">
            <v>-</v>
          </cell>
          <cell r="I4167" t="str">
            <v>-</v>
          </cell>
          <cell r="J4167">
            <v>18.767940156000002</v>
          </cell>
          <cell r="K4167" t="str">
            <v>Small Cap</v>
          </cell>
        </row>
        <row r="4168">
          <cell r="C4168" t="str">
            <v>INE06MM01016</v>
          </cell>
          <cell r="D4168" t="str">
            <v xml:space="preserve">NATURAL </v>
          </cell>
          <cell r="E4168">
            <v>18.765581266999998</v>
          </cell>
          <cell r="F4168" t="str">
            <v>-</v>
          </cell>
          <cell r="G4168" t="str">
            <v>-</v>
          </cell>
          <cell r="H4168" t="str">
            <v>-</v>
          </cell>
          <cell r="I4168" t="str">
            <v>-</v>
          </cell>
          <cell r="J4168">
            <v>18.765581266999998</v>
          </cell>
          <cell r="K4168" t="str">
            <v>Small Cap</v>
          </cell>
        </row>
        <row r="4169">
          <cell r="C4169" t="str">
            <v>INE118R01032</v>
          </cell>
          <cell r="D4169" t="str">
            <v>SHANGAR</v>
          </cell>
          <cell r="E4169">
            <v>18.764727491999999</v>
          </cell>
          <cell r="F4169" t="str">
            <v>-</v>
          </cell>
          <cell r="G4169" t="str">
            <v>-</v>
          </cell>
          <cell r="H4169" t="str">
            <v>-</v>
          </cell>
          <cell r="I4169" t="str">
            <v>-</v>
          </cell>
          <cell r="J4169">
            <v>18.764727491999999</v>
          </cell>
          <cell r="K4169" t="str">
            <v>Small Cap</v>
          </cell>
        </row>
        <row r="4170">
          <cell r="C4170" t="str">
            <v>INE100C01024</v>
          </cell>
          <cell r="D4170" t="str">
            <v>MAL</v>
          </cell>
          <cell r="E4170">
            <v>18.679322829</v>
          </cell>
          <cell r="F4170" t="str">
            <v>-</v>
          </cell>
          <cell r="G4170" t="str">
            <v>-</v>
          </cell>
          <cell r="H4170" t="str">
            <v>-</v>
          </cell>
          <cell r="I4170" t="str">
            <v>-</v>
          </cell>
          <cell r="J4170">
            <v>18.679322829</v>
          </cell>
          <cell r="K4170" t="str">
            <v>Small Cap</v>
          </cell>
        </row>
        <row r="4171">
          <cell r="C4171" t="str">
            <v>INE671T01028</v>
          </cell>
          <cell r="D4171" t="str">
            <v>DARSHANORNA</v>
          </cell>
          <cell r="E4171">
            <v>18.656177255999999</v>
          </cell>
          <cell r="F4171" t="str">
            <v>-</v>
          </cell>
          <cell r="G4171" t="str">
            <v>-</v>
          </cell>
          <cell r="H4171" t="str">
            <v>-</v>
          </cell>
          <cell r="I4171" t="str">
            <v>-</v>
          </cell>
          <cell r="J4171">
            <v>18.656177255999999</v>
          </cell>
          <cell r="K4171" t="str">
            <v>Small Cap</v>
          </cell>
        </row>
        <row r="4172">
          <cell r="C4172" t="str">
            <v>INE138O01029</v>
          </cell>
          <cell r="D4172" t="str">
            <v>INDRENEW</v>
          </cell>
          <cell r="E4172">
            <v>18.603838389</v>
          </cell>
          <cell r="F4172" t="str">
            <v>-</v>
          </cell>
          <cell r="G4172" t="str">
            <v>-</v>
          </cell>
          <cell r="H4172" t="str">
            <v>-</v>
          </cell>
          <cell r="I4172" t="str">
            <v>-</v>
          </cell>
          <cell r="J4172">
            <v>18.603838389</v>
          </cell>
          <cell r="K4172" t="str">
            <v>Small Cap</v>
          </cell>
        </row>
        <row r="4173">
          <cell r="C4173" t="str">
            <v>INE399S01010</v>
          </cell>
          <cell r="D4173" t="str">
            <v>FRANKLIN</v>
          </cell>
          <cell r="E4173">
            <v>18.579517256999999</v>
          </cell>
          <cell r="F4173" t="str">
            <v>-</v>
          </cell>
          <cell r="G4173" t="str">
            <v>-</v>
          </cell>
          <cell r="H4173" t="str">
            <v>-</v>
          </cell>
          <cell r="I4173" t="str">
            <v>-</v>
          </cell>
          <cell r="J4173">
            <v>18.579517256999999</v>
          </cell>
          <cell r="K4173" t="str">
            <v>Small Cap</v>
          </cell>
        </row>
        <row r="4174">
          <cell r="C4174" t="str">
            <v>INE142K01011</v>
          </cell>
          <cell r="D4174" t="str">
            <v>LYPSAGEMS</v>
          </cell>
          <cell r="E4174">
            <v>18.612828</v>
          </cell>
          <cell r="F4174" t="str">
            <v>LYPSAGEMS</v>
          </cell>
          <cell r="G4174">
            <v>18.528400000000001</v>
          </cell>
          <cell r="H4174" t="str">
            <v>-</v>
          </cell>
          <cell r="I4174" t="str">
            <v>-</v>
          </cell>
          <cell r="J4174">
            <v>18.570613999999999</v>
          </cell>
          <cell r="K4174" t="str">
            <v>Small Cap</v>
          </cell>
        </row>
        <row r="4175">
          <cell r="C4175" t="str">
            <v>INE216H01027</v>
          </cell>
          <cell r="D4175" t="str">
            <v>EDUCOMP</v>
          </cell>
          <cell r="E4175">
            <v>18.552803990000001</v>
          </cell>
          <cell r="F4175" t="str">
            <v>EDUCOMP</v>
          </cell>
          <cell r="G4175">
            <v>18.561599999999999</v>
          </cell>
          <cell r="H4175" t="str">
            <v>-</v>
          </cell>
          <cell r="I4175" t="str">
            <v>-</v>
          </cell>
          <cell r="J4175">
            <v>18.557201995</v>
          </cell>
          <cell r="K4175" t="str">
            <v>Small Cap</v>
          </cell>
        </row>
        <row r="4176">
          <cell r="C4176" t="str">
            <v>INE932E01018</v>
          </cell>
          <cell r="D4176" t="str">
            <v>-</v>
          </cell>
          <cell r="E4176" t="str">
            <v>-</v>
          </cell>
          <cell r="F4176" t="str">
            <v>-</v>
          </cell>
          <cell r="G4176" t="str">
            <v>-</v>
          </cell>
          <cell r="H4176" t="str">
            <v>STCL</v>
          </cell>
          <cell r="I4176">
            <v>18.509250000000026</v>
          </cell>
          <cell r="J4176">
            <v>18.509250000000026</v>
          </cell>
          <cell r="K4176" t="str">
            <v>Small Cap</v>
          </cell>
        </row>
        <row r="4177">
          <cell r="C4177" t="str">
            <v>INE003B01014</v>
          </cell>
          <cell r="D4177" t="str">
            <v>INTSTOIL</v>
          </cell>
          <cell r="E4177">
            <v>18.481692707000001</v>
          </cell>
          <cell r="F4177" t="str">
            <v>-</v>
          </cell>
          <cell r="G4177" t="str">
            <v>-</v>
          </cell>
          <cell r="H4177" t="str">
            <v>-</v>
          </cell>
          <cell r="I4177" t="str">
            <v>-</v>
          </cell>
          <cell r="J4177">
            <v>18.481692707000001</v>
          </cell>
          <cell r="K4177" t="str">
            <v>Small Cap</v>
          </cell>
        </row>
        <row r="4178">
          <cell r="C4178" t="str">
            <v>INE540A01017</v>
          </cell>
          <cell r="D4178" t="str">
            <v>GLFL</v>
          </cell>
          <cell r="E4178">
            <v>19.021190615000002</v>
          </cell>
          <cell r="F4178" t="str">
            <v>GLFL</v>
          </cell>
          <cell r="G4178">
            <v>17.934200000000001</v>
          </cell>
          <cell r="H4178" t="str">
            <v>-</v>
          </cell>
          <cell r="I4178" t="str">
            <v>-</v>
          </cell>
          <cell r="J4178">
            <v>18.477695307499999</v>
          </cell>
          <cell r="K4178" t="str">
            <v>Small Cap</v>
          </cell>
        </row>
        <row r="4179">
          <cell r="C4179" t="str">
            <v>INE901E01021</v>
          </cell>
          <cell r="D4179" t="str">
            <v>-</v>
          </cell>
          <cell r="E4179" t="str">
            <v>-</v>
          </cell>
          <cell r="F4179" t="str">
            <v>-</v>
          </cell>
          <cell r="G4179" t="str">
            <v>-</v>
          </cell>
          <cell r="H4179" t="str">
            <v>PATNAELECT</v>
          </cell>
          <cell r="I4179">
            <v>18.467650000000035</v>
          </cell>
          <cell r="J4179">
            <v>18.467650000000035</v>
          </cell>
          <cell r="K4179" t="str">
            <v>Small Cap</v>
          </cell>
        </row>
        <row r="4180">
          <cell r="C4180" t="str">
            <v>INE159C01012</v>
          </cell>
          <cell r="D4180" t="str">
            <v>SALGUTI</v>
          </cell>
          <cell r="E4180">
            <v>18.399716562999998</v>
          </cell>
          <cell r="F4180" t="str">
            <v>-</v>
          </cell>
          <cell r="G4180" t="str">
            <v>-</v>
          </cell>
          <cell r="H4180" t="str">
            <v>-</v>
          </cell>
          <cell r="I4180" t="str">
            <v>-</v>
          </cell>
          <cell r="J4180">
            <v>18.399716562999998</v>
          </cell>
          <cell r="K4180" t="str">
            <v>Small Cap</v>
          </cell>
        </row>
        <row r="4181">
          <cell r="C4181" t="str">
            <v>INE0A8401016</v>
          </cell>
          <cell r="D4181" t="str">
            <v>CITICHEM</v>
          </cell>
          <cell r="E4181">
            <v>18.387469840999998</v>
          </cell>
          <cell r="F4181" t="str">
            <v>-</v>
          </cell>
          <cell r="G4181" t="str">
            <v>-</v>
          </cell>
          <cell r="H4181" t="str">
            <v>-</v>
          </cell>
          <cell r="I4181" t="str">
            <v>-</v>
          </cell>
          <cell r="J4181">
            <v>18.387469840999998</v>
          </cell>
          <cell r="K4181" t="str">
            <v>Small Cap</v>
          </cell>
        </row>
        <row r="4182">
          <cell r="C4182" t="str">
            <v>INE167B01025</v>
          </cell>
          <cell r="D4182" t="str">
            <v>ACIIN</v>
          </cell>
          <cell r="E4182">
            <v>18.381827347999998</v>
          </cell>
          <cell r="F4182" t="str">
            <v>-</v>
          </cell>
          <cell r="G4182" t="str">
            <v>-</v>
          </cell>
          <cell r="H4182" t="str">
            <v>-</v>
          </cell>
          <cell r="I4182" t="str">
            <v>-</v>
          </cell>
          <cell r="J4182">
            <v>18.381827347999998</v>
          </cell>
          <cell r="K4182" t="str">
            <v>Small Cap</v>
          </cell>
        </row>
        <row r="4183">
          <cell r="C4183" t="str">
            <v>INE628B01034</v>
          </cell>
          <cell r="D4183" t="str">
            <v>OROSMITHS</v>
          </cell>
          <cell r="E4183">
            <v>18.377094476</v>
          </cell>
          <cell r="F4183" t="str">
            <v>-</v>
          </cell>
          <cell r="G4183" t="str">
            <v>-</v>
          </cell>
          <cell r="H4183" t="str">
            <v>-</v>
          </cell>
          <cell r="I4183" t="str">
            <v>-</v>
          </cell>
          <cell r="J4183">
            <v>18.377094476</v>
          </cell>
          <cell r="K4183" t="str">
            <v>Small Cap</v>
          </cell>
        </row>
        <row r="4184">
          <cell r="C4184" t="str">
            <v>INE941E01019</v>
          </cell>
          <cell r="D4184" t="str">
            <v>MARG</v>
          </cell>
          <cell r="E4184">
            <v>18.345463699</v>
          </cell>
          <cell r="F4184" t="str">
            <v>-</v>
          </cell>
          <cell r="G4184" t="str">
            <v>-</v>
          </cell>
          <cell r="H4184" t="str">
            <v>-</v>
          </cell>
          <cell r="I4184" t="str">
            <v>-</v>
          </cell>
          <cell r="J4184">
            <v>18.345463699</v>
          </cell>
          <cell r="K4184" t="str">
            <v>Small Cap</v>
          </cell>
        </row>
        <row r="4185">
          <cell r="C4185" t="str">
            <v>INE862C01029</v>
          </cell>
          <cell r="D4185" t="str">
            <v>MUKATPIP</v>
          </cell>
          <cell r="E4185">
            <v>18.344856111000002</v>
          </cell>
          <cell r="F4185" t="str">
            <v>-</v>
          </cell>
          <cell r="G4185" t="str">
            <v>-</v>
          </cell>
          <cell r="H4185" t="str">
            <v>-</v>
          </cell>
          <cell r="I4185" t="str">
            <v>-</v>
          </cell>
          <cell r="J4185">
            <v>18.344856111000002</v>
          </cell>
          <cell r="K4185" t="str">
            <v>Small Cap</v>
          </cell>
        </row>
        <row r="4186">
          <cell r="C4186" t="str">
            <v>INE977E01013</v>
          </cell>
          <cell r="D4186" t="str">
            <v>FRONTCAP</v>
          </cell>
          <cell r="E4186">
            <v>18.327030646000001</v>
          </cell>
          <cell r="F4186" t="str">
            <v>-</v>
          </cell>
          <cell r="G4186" t="str">
            <v>-</v>
          </cell>
          <cell r="H4186" t="str">
            <v>-</v>
          </cell>
          <cell r="I4186" t="str">
            <v>-</v>
          </cell>
          <cell r="J4186">
            <v>18.327030646000001</v>
          </cell>
          <cell r="K4186" t="str">
            <v>Small Cap</v>
          </cell>
        </row>
        <row r="4187">
          <cell r="C4187" t="str">
            <v>INE429Q01019</v>
          </cell>
          <cell r="D4187" t="str">
            <v>PRISMFN</v>
          </cell>
          <cell r="E4187">
            <v>18.325429083000003</v>
          </cell>
          <cell r="F4187" t="str">
            <v>-</v>
          </cell>
          <cell r="G4187" t="str">
            <v>-</v>
          </cell>
          <cell r="H4187" t="str">
            <v>-</v>
          </cell>
          <cell r="I4187" t="str">
            <v>-</v>
          </cell>
          <cell r="J4187">
            <v>18.325429083000003</v>
          </cell>
          <cell r="K4187" t="str">
            <v>Small Cap</v>
          </cell>
        </row>
        <row r="4188">
          <cell r="C4188" t="str">
            <v>INE548D01014</v>
          </cell>
          <cell r="D4188" t="str">
            <v>VELHO</v>
          </cell>
          <cell r="E4188">
            <v>18.320260172999998</v>
          </cell>
          <cell r="F4188" t="str">
            <v>-</v>
          </cell>
          <cell r="G4188" t="str">
            <v>-</v>
          </cell>
          <cell r="H4188" t="str">
            <v>-</v>
          </cell>
          <cell r="I4188" t="str">
            <v>-</v>
          </cell>
          <cell r="J4188">
            <v>18.320260172999998</v>
          </cell>
          <cell r="K4188" t="str">
            <v>Small Cap</v>
          </cell>
        </row>
        <row r="4189">
          <cell r="C4189" t="str">
            <v>INE160H01019</v>
          </cell>
          <cell r="D4189" t="str">
            <v>PBAINFRA</v>
          </cell>
          <cell r="E4189">
            <v>18.315012415000002</v>
          </cell>
          <cell r="F4189" t="str">
            <v>-</v>
          </cell>
          <cell r="G4189" t="str">
            <v>-</v>
          </cell>
          <cell r="H4189" t="str">
            <v>-</v>
          </cell>
          <cell r="I4189" t="str">
            <v>-</v>
          </cell>
          <cell r="J4189">
            <v>18.315012415000002</v>
          </cell>
          <cell r="K4189" t="str">
            <v>Small Cap</v>
          </cell>
        </row>
        <row r="4190">
          <cell r="C4190" t="str">
            <v>INE716K01020</v>
          </cell>
          <cell r="D4190" t="str">
            <v>SFPIL</v>
          </cell>
          <cell r="E4190">
            <v>18.263704709999999</v>
          </cell>
          <cell r="F4190" t="str">
            <v>-</v>
          </cell>
          <cell r="G4190" t="str">
            <v>-</v>
          </cell>
          <cell r="H4190" t="str">
            <v>-</v>
          </cell>
          <cell r="I4190" t="str">
            <v>-</v>
          </cell>
          <cell r="J4190">
            <v>18.263704709999999</v>
          </cell>
          <cell r="K4190" t="str">
            <v>Small Cap</v>
          </cell>
        </row>
        <row r="4191">
          <cell r="C4191" t="str">
            <v>INE0TIR01017</v>
          </cell>
          <cell r="D4191" t="str">
            <v>SWASTH</v>
          </cell>
          <cell r="E4191">
            <v>18.239808580000002</v>
          </cell>
          <cell r="F4191" t="str">
            <v>-</v>
          </cell>
          <cell r="G4191" t="str">
            <v>-</v>
          </cell>
          <cell r="H4191" t="str">
            <v>-</v>
          </cell>
          <cell r="I4191" t="str">
            <v>-</v>
          </cell>
          <cell r="J4191">
            <v>18.239808580000002</v>
          </cell>
          <cell r="K4191" t="str">
            <v>Small Cap</v>
          </cell>
        </row>
        <row r="4192">
          <cell r="C4192" t="str">
            <v>INE537L01010</v>
          </cell>
          <cell r="D4192" t="str">
            <v>KRISHNA</v>
          </cell>
          <cell r="E4192">
            <v>18.223371429</v>
          </cell>
          <cell r="F4192" t="str">
            <v>-</v>
          </cell>
          <cell r="G4192" t="str">
            <v>-</v>
          </cell>
          <cell r="H4192" t="str">
            <v>-</v>
          </cell>
          <cell r="I4192" t="str">
            <v>-</v>
          </cell>
          <cell r="J4192">
            <v>18.223371429</v>
          </cell>
          <cell r="K4192" t="str">
            <v>Small Cap</v>
          </cell>
        </row>
        <row r="4193">
          <cell r="C4193" t="str">
            <v>INE08JY01013</v>
          </cell>
          <cell r="D4193" t="str">
            <v>NOVATEOR</v>
          </cell>
          <cell r="E4193">
            <v>18.217663321</v>
          </cell>
          <cell r="F4193" t="str">
            <v>-</v>
          </cell>
          <cell r="G4193" t="str">
            <v>-</v>
          </cell>
          <cell r="H4193" t="str">
            <v>-</v>
          </cell>
          <cell r="I4193" t="str">
            <v>-</v>
          </cell>
          <cell r="J4193">
            <v>18.217663321</v>
          </cell>
          <cell r="K4193" t="str">
            <v>Small Cap</v>
          </cell>
        </row>
        <row r="4194">
          <cell r="C4194" t="str">
            <v>INE207C01019</v>
          </cell>
          <cell r="D4194" t="str">
            <v>ADINATH</v>
          </cell>
          <cell r="E4194">
            <v>18.213297332</v>
          </cell>
          <cell r="F4194" t="str">
            <v>-</v>
          </cell>
          <cell r="G4194" t="str">
            <v>-</v>
          </cell>
          <cell r="H4194" t="str">
            <v>-</v>
          </cell>
          <cell r="I4194" t="str">
            <v>-</v>
          </cell>
          <cell r="J4194">
            <v>18.213297332</v>
          </cell>
          <cell r="K4194" t="str">
            <v>Small Cap</v>
          </cell>
        </row>
        <row r="4195">
          <cell r="C4195" t="str">
            <v>INE131D01019</v>
          </cell>
          <cell r="D4195" t="str">
            <v>GKCONS</v>
          </cell>
          <cell r="E4195">
            <v>18.195299629000001</v>
          </cell>
          <cell r="F4195" t="str">
            <v>-</v>
          </cell>
          <cell r="G4195" t="str">
            <v>-</v>
          </cell>
          <cell r="H4195" t="str">
            <v>-</v>
          </cell>
          <cell r="I4195" t="str">
            <v>-</v>
          </cell>
          <cell r="J4195">
            <v>18.195299629000001</v>
          </cell>
          <cell r="K4195" t="str">
            <v>Small Cap</v>
          </cell>
        </row>
        <row r="4196">
          <cell r="C4196" t="str">
            <v>INE029B01019</v>
          </cell>
          <cell r="D4196" t="str">
            <v>COSYN</v>
          </cell>
          <cell r="E4196">
            <v>18.186964286000002</v>
          </cell>
          <cell r="F4196" t="str">
            <v>-</v>
          </cell>
          <cell r="G4196" t="str">
            <v>-</v>
          </cell>
          <cell r="H4196" t="str">
            <v>-</v>
          </cell>
          <cell r="I4196" t="str">
            <v>-</v>
          </cell>
          <cell r="J4196">
            <v>18.186964286000002</v>
          </cell>
          <cell r="K4196" t="str">
            <v>Small Cap</v>
          </cell>
        </row>
        <row r="4197">
          <cell r="C4197" t="str">
            <v>INE117C01010</v>
          </cell>
          <cell r="D4197" t="str">
            <v>CITYMAN</v>
          </cell>
          <cell r="E4197">
            <v>18.173572752000002</v>
          </cell>
          <cell r="F4197" t="str">
            <v>-</v>
          </cell>
          <cell r="G4197" t="str">
            <v>-</v>
          </cell>
          <cell r="H4197" t="str">
            <v>-</v>
          </cell>
          <cell r="I4197" t="str">
            <v>-</v>
          </cell>
          <cell r="J4197">
            <v>18.173572752000002</v>
          </cell>
          <cell r="K4197" t="str">
            <v>Small Cap</v>
          </cell>
        </row>
        <row r="4198">
          <cell r="C4198" t="str">
            <v>INE912L01015</v>
          </cell>
          <cell r="D4198" t="str">
            <v>ONELIFECAP</v>
          </cell>
          <cell r="E4198">
            <v>18.209043810000001</v>
          </cell>
          <cell r="F4198" t="str">
            <v>ONELIFECAP</v>
          </cell>
          <cell r="G4198">
            <v>18.090299999999999</v>
          </cell>
          <cell r="H4198" t="str">
            <v>-</v>
          </cell>
          <cell r="I4198" t="str">
            <v>-</v>
          </cell>
          <cell r="J4198">
            <v>18.149671904999998</v>
          </cell>
          <cell r="K4198" t="str">
            <v>Small Cap</v>
          </cell>
        </row>
        <row r="4199">
          <cell r="C4199" t="str">
            <v>INE191V01015</v>
          </cell>
          <cell r="D4199" t="str">
            <v>SHIVAEXPO</v>
          </cell>
          <cell r="E4199">
            <v>18.14583687</v>
          </cell>
          <cell r="F4199" t="str">
            <v>-</v>
          </cell>
          <cell r="G4199" t="str">
            <v>-</v>
          </cell>
          <cell r="H4199" t="str">
            <v>-</v>
          </cell>
          <cell r="I4199" t="str">
            <v>-</v>
          </cell>
          <cell r="J4199">
            <v>18.14583687</v>
          </cell>
          <cell r="K4199" t="str">
            <v>Small Cap</v>
          </cell>
        </row>
        <row r="4200">
          <cell r="C4200" t="str">
            <v>INE918C01029</v>
          </cell>
          <cell r="D4200" t="str">
            <v>GILADAFINS</v>
          </cell>
          <cell r="E4200">
            <v>18.116331897999999</v>
          </cell>
          <cell r="F4200" t="str">
            <v>-</v>
          </cell>
          <cell r="G4200" t="str">
            <v>-</v>
          </cell>
          <cell r="H4200" t="str">
            <v>-</v>
          </cell>
          <cell r="I4200" t="str">
            <v>-</v>
          </cell>
          <cell r="J4200">
            <v>18.116331897999999</v>
          </cell>
          <cell r="K4200" t="str">
            <v>Small Cap</v>
          </cell>
        </row>
        <row r="4201">
          <cell r="C4201" t="str">
            <v>INE320M01019</v>
          </cell>
          <cell r="D4201" t="str">
            <v>STARSOURCE</v>
          </cell>
          <cell r="E4201">
            <v>18.112916667</v>
          </cell>
          <cell r="F4201" t="str">
            <v>-</v>
          </cell>
          <cell r="G4201" t="str">
            <v>-</v>
          </cell>
          <cell r="H4201" t="str">
            <v>-</v>
          </cell>
          <cell r="I4201" t="str">
            <v>-</v>
          </cell>
          <cell r="J4201">
            <v>18.112916667</v>
          </cell>
          <cell r="K4201" t="str">
            <v>Small Cap</v>
          </cell>
        </row>
        <row r="4202">
          <cell r="C4202" t="str">
            <v>INE01GZ01011</v>
          </cell>
          <cell r="D4202" t="str">
            <v>CHANDNIMACH</v>
          </cell>
          <cell r="E4202">
            <v>18.091990430999999</v>
          </cell>
          <cell r="F4202" t="str">
            <v>-</v>
          </cell>
          <cell r="G4202" t="str">
            <v>-</v>
          </cell>
          <cell r="H4202" t="str">
            <v>-</v>
          </cell>
          <cell r="I4202" t="str">
            <v>-</v>
          </cell>
          <cell r="J4202">
            <v>18.091990430999999</v>
          </cell>
          <cell r="K4202" t="str">
            <v>Small Cap</v>
          </cell>
        </row>
        <row r="4203">
          <cell r="C4203" t="str">
            <v>INE767B01022</v>
          </cell>
          <cell r="D4203" t="str">
            <v>VIKASPROP</v>
          </cell>
          <cell r="E4203">
            <v>18.062641666999998</v>
          </cell>
          <cell r="F4203" t="str">
            <v>-</v>
          </cell>
          <cell r="G4203" t="str">
            <v>-</v>
          </cell>
          <cell r="H4203" t="str">
            <v>-</v>
          </cell>
          <cell r="I4203" t="str">
            <v>-</v>
          </cell>
          <cell r="J4203">
            <v>18.062641666999998</v>
          </cell>
          <cell r="K4203" t="str">
            <v>Small Cap</v>
          </cell>
        </row>
        <row r="4204">
          <cell r="C4204" t="str">
            <v>INE177M01013</v>
          </cell>
          <cell r="D4204" t="str">
            <v>INTEGFD</v>
          </cell>
          <cell r="E4204">
            <v>18.044890694999999</v>
          </cell>
          <cell r="F4204" t="str">
            <v>-</v>
          </cell>
          <cell r="G4204" t="str">
            <v>-</v>
          </cell>
          <cell r="H4204" t="str">
            <v>-</v>
          </cell>
          <cell r="I4204" t="str">
            <v>-</v>
          </cell>
          <cell r="J4204">
            <v>18.044890694999999</v>
          </cell>
          <cell r="K4204" t="str">
            <v>Small Cap</v>
          </cell>
        </row>
        <row r="4205">
          <cell r="C4205" t="str">
            <v>INE234E01027</v>
          </cell>
          <cell r="D4205" t="str">
            <v>DJSSS</v>
          </cell>
          <cell r="E4205">
            <v>18.042966857</v>
          </cell>
          <cell r="F4205" t="str">
            <v>-</v>
          </cell>
          <cell r="G4205" t="str">
            <v>-</v>
          </cell>
          <cell r="H4205" t="str">
            <v>-</v>
          </cell>
          <cell r="I4205" t="str">
            <v>-</v>
          </cell>
          <cell r="J4205">
            <v>18.042966857</v>
          </cell>
          <cell r="K4205" t="str">
            <v>Small Cap</v>
          </cell>
        </row>
        <row r="4206">
          <cell r="C4206" t="str">
            <v>INE070C01037</v>
          </cell>
          <cell r="D4206" t="str">
            <v>COMPINFO</v>
          </cell>
          <cell r="E4206">
            <v>18.176022578999998</v>
          </cell>
          <cell r="F4206" t="str">
            <v>COMPINFO</v>
          </cell>
          <cell r="G4206">
            <v>17.892199999999999</v>
          </cell>
          <cell r="H4206" t="str">
            <v>-</v>
          </cell>
          <cell r="I4206" t="str">
            <v>-</v>
          </cell>
          <cell r="J4206">
            <v>18.034111289499997</v>
          </cell>
          <cell r="K4206" t="str">
            <v>Small Cap</v>
          </cell>
        </row>
        <row r="4207">
          <cell r="C4207" t="str">
            <v>INE584G01012</v>
          </cell>
          <cell r="D4207" t="str">
            <v>SOLIDSTON</v>
          </cell>
          <cell r="E4207">
            <v>18.01924254</v>
          </cell>
          <cell r="F4207" t="str">
            <v>-</v>
          </cell>
          <cell r="G4207" t="str">
            <v>-</v>
          </cell>
          <cell r="H4207" t="str">
            <v>-</v>
          </cell>
          <cell r="I4207" t="str">
            <v>-</v>
          </cell>
          <cell r="J4207">
            <v>18.01924254</v>
          </cell>
          <cell r="K4207" t="str">
            <v>Small Cap</v>
          </cell>
        </row>
        <row r="4208">
          <cell r="C4208" t="str">
            <v>INE0D9X01018</v>
          </cell>
          <cell r="D4208" t="str">
            <v>JETMALL</v>
          </cell>
          <cell r="E4208">
            <v>18.011470699</v>
          </cell>
          <cell r="F4208" t="str">
            <v>-</v>
          </cell>
          <cell r="G4208" t="str">
            <v>-</v>
          </cell>
          <cell r="H4208" t="str">
            <v>-</v>
          </cell>
          <cell r="I4208" t="str">
            <v>-</v>
          </cell>
          <cell r="J4208">
            <v>18.011470699</v>
          </cell>
          <cell r="K4208" t="str">
            <v>Small Cap</v>
          </cell>
        </row>
        <row r="4209">
          <cell r="C4209" t="str">
            <v>INE417N01011</v>
          </cell>
          <cell r="D4209" t="str">
            <v>CHMBBRW</v>
          </cell>
          <cell r="E4209">
            <v>18.007936802</v>
          </cell>
          <cell r="F4209" t="str">
            <v>-</v>
          </cell>
          <cell r="G4209" t="str">
            <v>-</v>
          </cell>
          <cell r="H4209" t="str">
            <v>-</v>
          </cell>
          <cell r="I4209" t="str">
            <v>-</v>
          </cell>
          <cell r="J4209">
            <v>18.007936802</v>
          </cell>
          <cell r="K4209" t="str">
            <v>Small Cap</v>
          </cell>
        </row>
        <row r="4210">
          <cell r="C4210" t="str">
            <v>INE630N01019</v>
          </cell>
          <cell r="D4210" t="str">
            <v>NCCBLUE</v>
          </cell>
          <cell r="E4210">
            <v>17.976186508000001</v>
          </cell>
          <cell r="F4210" t="str">
            <v>-</v>
          </cell>
          <cell r="G4210" t="str">
            <v>-</v>
          </cell>
          <cell r="H4210" t="str">
            <v>-</v>
          </cell>
          <cell r="I4210" t="str">
            <v>-</v>
          </cell>
          <cell r="J4210">
            <v>17.976186508000001</v>
          </cell>
          <cell r="K4210" t="str">
            <v>Small Cap</v>
          </cell>
        </row>
        <row r="4211">
          <cell r="C4211" t="str">
            <v>INE845B01018</v>
          </cell>
          <cell r="D4211" t="str">
            <v>LIPPISYS</v>
          </cell>
          <cell r="E4211">
            <v>17.936166666999998</v>
          </cell>
          <cell r="F4211" t="str">
            <v>-</v>
          </cell>
          <cell r="G4211" t="str">
            <v>-</v>
          </cell>
          <cell r="H4211" t="str">
            <v>-</v>
          </cell>
          <cell r="I4211" t="str">
            <v>-</v>
          </cell>
          <cell r="J4211">
            <v>17.936166666999998</v>
          </cell>
          <cell r="K4211" t="str">
            <v>Small Cap</v>
          </cell>
        </row>
        <row r="4212">
          <cell r="C4212" t="str">
            <v>INE587D01012</v>
          </cell>
          <cell r="D4212" t="str">
            <v>ASHIS</v>
          </cell>
          <cell r="E4212">
            <v>17.935971047999999</v>
          </cell>
          <cell r="F4212" t="str">
            <v>-</v>
          </cell>
          <cell r="G4212" t="str">
            <v>-</v>
          </cell>
          <cell r="H4212" t="str">
            <v>-</v>
          </cell>
          <cell r="I4212" t="str">
            <v>-</v>
          </cell>
          <cell r="J4212">
            <v>17.935971047999999</v>
          </cell>
          <cell r="K4212" t="str">
            <v>Small Cap</v>
          </cell>
        </row>
        <row r="4213">
          <cell r="C4213" t="str">
            <v>INE848N01017</v>
          </cell>
          <cell r="D4213" t="str">
            <v>DFL</v>
          </cell>
          <cell r="E4213">
            <v>17.917666666999999</v>
          </cell>
          <cell r="F4213" t="str">
            <v>-</v>
          </cell>
          <cell r="G4213" t="str">
            <v>-</v>
          </cell>
          <cell r="H4213" t="str">
            <v>-</v>
          </cell>
          <cell r="I4213" t="str">
            <v>-</v>
          </cell>
          <cell r="J4213">
            <v>17.917666666999999</v>
          </cell>
          <cell r="K4213" t="str">
            <v>Small Cap</v>
          </cell>
        </row>
        <row r="4214">
          <cell r="C4214" t="str">
            <v>INE108C01019</v>
          </cell>
          <cell r="D4214" t="str">
            <v>DAULAT</v>
          </cell>
          <cell r="E4214">
            <v>17.916746031999999</v>
          </cell>
          <cell r="F4214" t="str">
            <v>-</v>
          </cell>
          <cell r="G4214" t="str">
            <v>-</v>
          </cell>
          <cell r="H4214" t="str">
            <v>-</v>
          </cell>
          <cell r="I4214" t="str">
            <v>-</v>
          </cell>
          <cell r="J4214">
            <v>17.916746031999999</v>
          </cell>
          <cell r="K4214" t="str">
            <v>Small Cap</v>
          </cell>
        </row>
        <row r="4215">
          <cell r="C4215" t="str">
            <v>INE0JMN01019</v>
          </cell>
          <cell r="D4215" t="str">
            <v>SFSL</v>
          </cell>
          <cell r="E4215">
            <v>17.897954856999998</v>
          </cell>
          <cell r="F4215" t="str">
            <v>-</v>
          </cell>
          <cell r="G4215" t="str">
            <v>-</v>
          </cell>
          <cell r="H4215" t="str">
            <v>-</v>
          </cell>
          <cell r="I4215" t="str">
            <v>-</v>
          </cell>
          <cell r="J4215">
            <v>17.897954856999998</v>
          </cell>
          <cell r="K4215" t="str">
            <v>Small Cap</v>
          </cell>
        </row>
        <row r="4216">
          <cell r="C4216" t="str">
            <v>INE549B01016</v>
          </cell>
          <cell r="D4216" t="str">
            <v>HBLEAS</v>
          </cell>
          <cell r="E4216">
            <v>17.868068807</v>
          </cell>
          <cell r="F4216" t="str">
            <v>-</v>
          </cell>
          <cell r="G4216" t="str">
            <v>-</v>
          </cell>
          <cell r="H4216" t="str">
            <v>-</v>
          </cell>
          <cell r="I4216" t="str">
            <v>-</v>
          </cell>
          <cell r="J4216">
            <v>17.868068807</v>
          </cell>
          <cell r="K4216" t="str">
            <v>Small Cap</v>
          </cell>
        </row>
        <row r="4217">
          <cell r="C4217" t="str">
            <v>INE088E01019</v>
          </cell>
          <cell r="D4217" t="str">
            <v>GOLDLEG</v>
          </cell>
          <cell r="E4217">
            <v>17.812017697999998</v>
          </cell>
          <cell r="F4217" t="str">
            <v>-</v>
          </cell>
          <cell r="G4217" t="str">
            <v>-</v>
          </cell>
          <cell r="H4217" t="str">
            <v>-</v>
          </cell>
          <cell r="I4217" t="str">
            <v>-</v>
          </cell>
          <cell r="J4217">
            <v>17.812017697999998</v>
          </cell>
          <cell r="K4217" t="str">
            <v>Small Cap</v>
          </cell>
        </row>
        <row r="4218">
          <cell r="C4218" t="str">
            <v>INE292D01019</v>
          </cell>
          <cell r="D4218" t="str">
            <v>KANDAGIRI</v>
          </cell>
          <cell r="E4218">
            <v>17.806752698</v>
          </cell>
          <cell r="F4218" t="str">
            <v>-</v>
          </cell>
          <cell r="G4218" t="str">
            <v>-</v>
          </cell>
          <cell r="H4218" t="str">
            <v>-</v>
          </cell>
          <cell r="I4218" t="str">
            <v>-</v>
          </cell>
          <cell r="J4218">
            <v>17.806752698</v>
          </cell>
          <cell r="K4218" t="str">
            <v>Small Cap</v>
          </cell>
        </row>
        <row r="4219">
          <cell r="C4219" t="str">
            <v>INE168U01015</v>
          </cell>
          <cell r="D4219" t="str">
            <v>-</v>
          </cell>
          <cell r="E4219" t="str">
            <v>-</v>
          </cell>
          <cell r="F4219" t="str">
            <v>-</v>
          </cell>
          <cell r="G4219" t="str">
            <v>-</v>
          </cell>
          <cell r="H4219" t="str">
            <v>KUMARAUTO</v>
          </cell>
          <cell r="I4219">
            <v>17.79141000000001</v>
          </cell>
          <cell r="J4219">
            <v>17.79141000000001</v>
          </cell>
          <cell r="K4219" t="str">
            <v>Small Cap</v>
          </cell>
        </row>
        <row r="4220">
          <cell r="C4220" t="str">
            <v>INE0NLJ01011</v>
          </cell>
          <cell r="D4220" t="str">
            <v>LABELKRAFT</v>
          </cell>
          <cell r="E4220">
            <v>17.788576983999999</v>
          </cell>
          <cell r="F4220" t="str">
            <v>-</v>
          </cell>
          <cell r="G4220" t="str">
            <v>-</v>
          </cell>
          <cell r="H4220" t="str">
            <v>-</v>
          </cell>
          <cell r="I4220" t="str">
            <v>-</v>
          </cell>
          <cell r="J4220">
            <v>17.788576983999999</v>
          </cell>
          <cell r="K4220" t="str">
            <v>Small Cap</v>
          </cell>
        </row>
        <row r="4221">
          <cell r="C4221" t="str">
            <v>INE546D01018</v>
          </cell>
          <cell r="D4221" t="str">
            <v>TOKYOFIN</v>
          </cell>
          <cell r="E4221">
            <v>17.786920744</v>
          </cell>
          <cell r="F4221" t="str">
            <v>-</v>
          </cell>
          <cell r="G4221" t="str">
            <v>-</v>
          </cell>
          <cell r="H4221" t="str">
            <v>-</v>
          </cell>
          <cell r="I4221" t="str">
            <v>-</v>
          </cell>
          <cell r="J4221">
            <v>17.786920744</v>
          </cell>
          <cell r="K4221" t="str">
            <v>Small Cap</v>
          </cell>
        </row>
        <row r="4222">
          <cell r="C4222" t="str">
            <v>INE896P01011</v>
          </cell>
          <cell r="D4222" t="str">
            <v>CML</v>
          </cell>
          <cell r="E4222">
            <v>17.75</v>
          </cell>
          <cell r="F4222" t="str">
            <v>-</v>
          </cell>
          <cell r="G4222" t="str">
            <v>-</v>
          </cell>
          <cell r="H4222" t="str">
            <v>-</v>
          </cell>
          <cell r="I4222" t="str">
            <v>-</v>
          </cell>
          <cell r="J4222">
            <v>17.75</v>
          </cell>
          <cell r="K4222" t="str">
            <v>Small Cap</v>
          </cell>
        </row>
        <row r="4223">
          <cell r="C4223" t="str">
            <v>INE0QI101019</v>
          </cell>
          <cell r="D4223" t="str">
            <v>MISHDESIGN</v>
          </cell>
          <cell r="E4223">
            <v>17.729004476</v>
          </cell>
          <cell r="F4223" t="str">
            <v>-</v>
          </cell>
          <cell r="G4223" t="str">
            <v>-</v>
          </cell>
          <cell r="H4223" t="str">
            <v>-</v>
          </cell>
          <cell r="I4223" t="str">
            <v>-</v>
          </cell>
          <cell r="J4223">
            <v>17.729004476</v>
          </cell>
          <cell r="K4223" t="str">
            <v>Small Cap</v>
          </cell>
        </row>
        <row r="4224">
          <cell r="C4224" t="str">
            <v>INE446D01011</v>
          </cell>
          <cell r="D4224" t="str">
            <v>NPRFIN</v>
          </cell>
          <cell r="E4224">
            <v>17.723559156</v>
          </cell>
          <cell r="F4224" t="str">
            <v>-</v>
          </cell>
          <cell r="G4224" t="str">
            <v>-</v>
          </cell>
          <cell r="H4224" t="str">
            <v>-</v>
          </cell>
          <cell r="I4224" t="str">
            <v>-</v>
          </cell>
          <cell r="J4224">
            <v>17.723559156</v>
          </cell>
          <cell r="K4224" t="str">
            <v>Small Cap</v>
          </cell>
        </row>
        <row r="4225">
          <cell r="C4225" t="str">
            <v>INE0PA601017</v>
          </cell>
          <cell r="D4225" t="str">
            <v>VIVAA</v>
          </cell>
          <cell r="E4225">
            <v>17.714593749999999</v>
          </cell>
          <cell r="F4225" t="str">
            <v>-</v>
          </cell>
          <cell r="G4225" t="str">
            <v>-</v>
          </cell>
          <cell r="H4225" t="str">
            <v>-</v>
          </cell>
          <cell r="I4225" t="str">
            <v>-</v>
          </cell>
          <cell r="J4225">
            <v>17.714593749999999</v>
          </cell>
          <cell r="K4225" t="str">
            <v>Small Cap</v>
          </cell>
        </row>
        <row r="4226">
          <cell r="C4226" t="str">
            <v>INE779Q01017</v>
          </cell>
          <cell r="D4226" t="str">
            <v>MIHIKA</v>
          </cell>
          <cell r="E4226">
            <v>17.703253968000002</v>
          </cell>
          <cell r="F4226" t="str">
            <v>-</v>
          </cell>
          <cell r="G4226" t="str">
            <v>-</v>
          </cell>
          <cell r="H4226" t="str">
            <v>-</v>
          </cell>
          <cell r="I4226" t="str">
            <v>-</v>
          </cell>
          <cell r="J4226">
            <v>17.703253968000002</v>
          </cell>
          <cell r="K4226" t="str">
            <v>Small Cap</v>
          </cell>
        </row>
        <row r="4227">
          <cell r="C4227" t="str">
            <v>INE067E01013</v>
          </cell>
          <cell r="D4227" t="str">
            <v>STERPOW</v>
          </cell>
          <cell r="E4227">
            <v>17.698899687000001</v>
          </cell>
          <cell r="F4227" t="str">
            <v>-</v>
          </cell>
          <cell r="G4227" t="str">
            <v>-</v>
          </cell>
          <cell r="H4227" t="str">
            <v>-</v>
          </cell>
          <cell r="I4227" t="str">
            <v>-</v>
          </cell>
          <cell r="J4227">
            <v>17.698899687000001</v>
          </cell>
          <cell r="K4227" t="str">
            <v>Small Cap</v>
          </cell>
        </row>
        <row r="4228">
          <cell r="C4228" t="str">
            <v>INE345Q01017</v>
          </cell>
          <cell r="D4228" t="str">
            <v>HCKKVENTURE</v>
          </cell>
          <cell r="E4228">
            <v>17.636015</v>
          </cell>
          <cell r="F4228" t="str">
            <v>-</v>
          </cell>
          <cell r="G4228" t="str">
            <v>-</v>
          </cell>
          <cell r="H4228" t="str">
            <v>-</v>
          </cell>
          <cell r="I4228" t="str">
            <v>-</v>
          </cell>
          <cell r="J4228">
            <v>17.636015</v>
          </cell>
          <cell r="K4228" t="str">
            <v>Small Cap</v>
          </cell>
        </row>
        <row r="4229">
          <cell r="C4229" t="str">
            <v>INE855P01041</v>
          </cell>
          <cell r="D4229" t="str">
            <v>QUASAR</v>
          </cell>
          <cell r="E4229">
            <v>17.496519770999999</v>
          </cell>
          <cell r="F4229" t="str">
            <v>-</v>
          </cell>
          <cell r="G4229" t="str">
            <v>-</v>
          </cell>
          <cell r="H4229" t="str">
            <v>-</v>
          </cell>
          <cell r="I4229" t="str">
            <v>-</v>
          </cell>
          <cell r="J4229">
            <v>17.496519770999999</v>
          </cell>
          <cell r="K4229" t="str">
            <v>Small Cap</v>
          </cell>
        </row>
        <row r="4230">
          <cell r="C4230" t="str">
            <v>INE06LG01010</v>
          </cell>
          <cell r="D4230" t="str">
            <v>VRFILMS</v>
          </cell>
          <cell r="E4230">
            <v>17.492782221999999</v>
          </cell>
          <cell r="F4230" t="str">
            <v>-</v>
          </cell>
          <cell r="G4230" t="str">
            <v>-</v>
          </cell>
          <cell r="H4230" t="str">
            <v>-</v>
          </cell>
          <cell r="I4230" t="str">
            <v>-</v>
          </cell>
          <cell r="J4230">
            <v>17.492782221999999</v>
          </cell>
          <cell r="K4230" t="str">
            <v>Small Cap</v>
          </cell>
        </row>
        <row r="4231">
          <cell r="C4231" t="str">
            <v>INE110Q01023</v>
          </cell>
          <cell r="D4231" t="str">
            <v>STCORP</v>
          </cell>
          <cell r="E4231">
            <v>17.439205653999998</v>
          </cell>
          <cell r="F4231" t="str">
            <v>-</v>
          </cell>
          <cell r="G4231" t="str">
            <v>-</v>
          </cell>
          <cell r="H4231" t="str">
            <v>-</v>
          </cell>
          <cell r="I4231" t="str">
            <v>-</v>
          </cell>
          <cell r="J4231">
            <v>17.439205653999998</v>
          </cell>
          <cell r="K4231" t="str">
            <v>Small Cap</v>
          </cell>
        </row>
        <row r="4232">
          <cell r="C4232" t="str">
            <v>INE146C01019</v>
          </cell>
          <cell r="D4232" t="str">
            <v>WHITEORG</v>
          </cell>
          <cell r="E4232">
            <v>17.398333333</v>
          </cell>
          <cell r="F4232" t="str">
            <v>-</v>
          </cell>
          <cell r="G4232" t="str">
            <v>-</v>
          </cell>
          <cell r="H4232" t="str">
            <v>-</v>
          </cell>
          <cell r="I4232" t="str">
            <v>-</v>
          </cell>
          <cell r="J4232">
            <v>17.398333333</v>
          </cell>
          <cell r="K4232" t="str">
            <v>Small Cap</v>
          </cell>
        </row>
        <row r="4233">
          <cell r="C4233" t="str">
            <v>INE0K5F01014</v>
          </cell>
          <cell r="D4233" t="str">
            <v>DHYAANITR</v>
          </cell>
          <cell r="E4233">
            <v>17.381774222000001</v>
          </cell>
          <cell r="F4233" t="str">
            <v>-</v>
          </cell>
          <cell r="G4233" t="str">
            <v>-</v>
          </cell>
          <cell r="H4233" t="str">
            <v>-</v>
          </cell>
          <cell r="I4233" t="str">
            <v>-</v>
          </cell>
          <cell r="J4233">
            <v>17.381774222000001</v>
          </cell>
          <cell r="K4233" t="str">
            <v>Small Cap</v>
          </cell>
        </row>
        <row r="4234">
          <cell r="C4234" t="str">
            <v>INE773Y01014</v>
          </cell>
          <cell r="D4234" t="str">
            <v>TDSL</v>
          </cell>
          <cell r="E4234">
            <v>17.357717143000002</v>
          </cell>
          <cell r="F4234" t="str">
            <v>-</v>
          </cell>
          <cell r="G4234" t="str">
            <v>-</v>
          </cell>
          <cell r="H4234" t="str">
            <v>-</v>
          </cell>
          <cell r="I4234" t="str">
            <v>-</v>
          </cell>
          <cell r="J4234">
            <v>17.357717143000002</v>
          </cell>
          <cell r="K4234" t="str">
            <v>Small Cap</v>
          </cell>
        </row>
        <row r="4235">
          <cell r="C4235" t="str">
            <v>INE980D01019</v>
          </cell>
          <cell r="D4235" t="str">
            <v>UNIROYAL</v>
          </cell>
          <cell r="E4235">
            <v>17.345477692999999</v>
          </cell>
          <cell r="F4235" t="str">
            <v>-</v>
          </cell>
          <cell r="G4235" t="str">
            <v>-</v>
          </cell>
          <cell r="H4235" t="str">
            <v>-</v>
          </cell>
          <cell r="I4235" t="str">
            <v>-</v>
          </cell>
          <cell r="J4235">
            <v>17.345477692999999</v>
          </cell>
          <cell r="K4235" t="str">
            <v>Small Cap</v>
          </cell>
        </row>
        <row r="4236">
          <cell r="C4236" t="str">
            <v>INE063Z01017</v>
          </cell>
          <cell r="D4236" t="str">
            <v>GGL</v>
          </cell>
          <cell r="E4236">
            <v>17.341177171000002</v>
          </cell>
          <cell r="F4236" t="str">
            <v>-</v>
          </cell>
          <cell r="G4236" t="str">
            <v>-</v>
          </cell>
          <cell r="H4236" t="str">
            <v>-</v>
          </cell>
          <cell r="I4236" t="str">
            <v>-</v>
          </cell>
          <cell r="J4236">
            <v>17.341177171000002</v>
          </cell>
          <cell r="K4236" t="str">
            <v>Small Cap</v>
          </cell>
        </row>
        <row r="4237">
          <cell r="C4237" t="str">
            <v>INE911B01018</v>
          </cell>
          <cell r="D4237" t="str">
            <v>TCIFINANCE</v>
          </cell>
          <cell r="E4237">
            <v>17.342006462000001</v>
          </cell>
          <cell r="F4237" t="str">
            <v>TCIFINANCE</v>
          </cell>
          <cell r="G4237">
            <v>17.3218</v>
          </cell>
          <cell r="H4237" t="str">
            <v>-</v>
          </cell>
          <cell r="I4237" t="str">
            <v>-</v>
          </cell>
          <cell r="J4237">
            <v>17.331903230999998</v>
          </cell>
          <cell r="K4237" t="str">
            <v>Small Cap</v>
          </cell>
        </row>
        <row r="4238">
          <cell r="C4238" t="str">
            <v>INE642P01019</v>
          </cell>
          <cell r="D4238" t="str">
            <v>DIDL</v>
          </cell>
          <cell r="E4238">
            <v>17.070410139</v>
          </cell>
          <cell r="F4238" t="str">
            <v>-</v>
          </cell>
          <cell r="G4238" t="str">
            <v>-</v>
          </cell>
          <cell r="H4238" t="str">
            <v>DIDL</v>
          </cell>
          <cell r="I4238">
            <v>17.50420479166667</v>
          </cell>
          <cell r="J4238">
            <v>17.287307465333335</v>
          </cell>
          <cell r="K4238" t="str">
            <v>Small Cap</v>
          </cell>
        </row>
        <row r="4239">
          <cell r="C4239" t="str">
            <v>INE583K01016</v>
          </cell>
          <cell r="D4239" t="str">
            <v>VASUDHAGAM</v>
          </cell>
          <cell r="E4239">
            <v>17.216810290999998</v>
          </cell>
          <cell r="F4239" t="str">
            <v>-</v>
          </cell>
          <cell r="G4239" t="str">
            <v>-</v>
          </cell>
          <cell r="H4239" t="str">
            <v>-</v>
          </cell>
          <cell r="I4239" t="str">
            <v>-</v>
          </cell>
          <cell r="J4239">
            <v>17.216810290999998</v>
          </cell>
          <cell r="K4239" t="str">
            <v>Small Cap</v>
          </cell>
        </row>
        <row r="4240">
          <cell r="C4240" t="str">
            <v>INE691G01015</v>
          </cell>
          <cell r="D4240" t="str">
            <v>IMPEXFERRO</v>
          </cell>
          <cell r="E4240">
            <v>17.245062432000001</v>
          </cell>
          <cell r="F4240" t="str">
            <v>IMPEXFERRO</v>
          </cell>
          <cell r="G4240">
            <v>17.187100000000001</v>
          </cell>
          <cell r="H4240" t="str">
            <v>-</v>
          </cell>
          <cell r="I4240" t="str">
            <v>-</v>
          </cell>
          <cell r="J4240">
            <v>17.216081215999999</v>
          </cell>
          <cell r="K4240" t="str">
            <v>Small Cap</v>
          </cell>
        </row>
        <row r="4241">
          <cell r="C4241" t="str">
            <v>INE554R01020</v>
          </cell>
          <cell r="D4241" t="str">
            <v>KARNAVATI</v>
          </cell>
          <cell r="E4241">
            <v>17.185500000000001</v>
          </cell>
          <cell r="F4241" t="str">
            <v>-</v>
          </cell>
          <cell r="G4241" t="str">
            <v>-</v>
          </cell>
          <cell r="H4241" t="str">
            <v>-</v>
          </cell>
          <cell r="I4241" t="str">
            <v>-</v>
          </cell>
          <cell r="J4241">
            <v>17.185500000000001</v>
          </cell>
          <cell r="K4241" t="str">
            <v>Small Cap</v>
          </cell>
        </row>
        <row r="4242">
          <cell r="C4242" t="str">
            <v>INE308H01022</v>
          </cell>
          <cell r="D4242" t="str">
            <v>PRATIBHA</v>
          </cell>
          <cell r="E4242">
            <v>17.179009056000002</v>
          </cell>
          <cell r="F4242" t="str">
            <v>-</v>
          </cell>
          <cell r="G4242" t="str">
            <v>-</v>
          </cell>
          <cell r="H4242" t="str">
            <v>-</v>
          </cell>
          <cell r="I4242" t="str">
            <v>-</v>
          </cell>
          <cell r="J4242">
            <v>17.179009056000002</v>
          </cell>
          <cell r="K4242" t="str">
            <v>Small Cap</v>
          </cell>
        </row>
        <row r="4243">
          <cell r="C4243" t="str">
            <v>INE874F01027</v>
          </cell>
          <cell r="D4243" t="str">
            <v>RADAAN</v>
          </cell>
          <cell r="E4243">
            <v>14.727514103000001</v>
          </cell>
          <cell r="F4243" t="str">
            <v>RADAAN</v>
          </cell>
          <cell r="G4243">
            <v>19.541599999999999</v>
          </cell>
          <cell r="H4243" t="str">
            <v>-</v>
          </cell>
          <cell r="I4243" t="str">
            <v>-</v>
          </cell>
          <cell r="J4243">
            <v>17.1345570515</v>
          </cell>
          <cell r="K4243" t="str">
            <v>Small Cap</v>
          </cell>
        </row>
        <row r="4244">
          <cell r="C4244" t="str">
            <v>INE217E01014</v>
          </cell>
          <cell r="D4244" t="str">
            <v>BAZELINTER</v>
          </cell>
          <cell r="E4244">
            <v>17.124605965000001</v>
          </cell>
          <cell r="F4244" t="str">
            <v>-</v>
          </cell>
          <cell r="G4244" t="str">
            <v>-</v>
          </cell>
          <cell r="H4244" t="str">
            <v>-</v>
          </cell>
          <cell r="I4244" t="str">
            <v>-</v>
          </cell>
          <cell r="J4244">
            <v>17.124605965000001</v>
          </cell>
          <cell r="K4244" t="str">
            <v>Small Cap</v>
          </cell>
        </row>
        <row r="4245">
          <cell r="C4245" t="str">
            <v>INE931D01020</v>
          </cell>
          <cell r="D4245" t="str">
            <v>SAMTEX</v>
          </cell>
          <cell r="E4245">
            <v>17.119035713999999</v>
          </cell>
          <cell r="F4245" t="str">
            <v>-</v>
          </cell>
          <cell r="G4245" t="str">
            <v>-</v>
          </cell>
          <cell r="H4245" t="str">
            <v>-</v>
          </cell>
          <cell r="I4245" t="str">
            <v>-</v>
          </cell>
          <cell r="J4245">
            <v>17.119035713999999</v>
          </cell>
          <cell r="K4245" t="str">
            <v>Small Cap</v>
          </cell>
        </row>
        <row r="4246">
          <cell r="C4246" t="str">
            <v>INE216B01012</v>
          </cell>
          <cell r="D4246" t="str">
            <v>YASHMGM</v>
          </cell>
          <cell r="E4246">
            <v>17.115626983999999</v>
          </cell>
          <cell r="F4246" t="str">
            <v>-</v>
          </cell>
          <cell r="G4246" t="str">
            <v>-</v>
          </cell>
          <cell r="H4246" t="str">
            <v>-</v>
          </cell>
          <cell r="I4246" t="str">
            <v>-</v>
          </cell>
          <cell r="J4246">
            <v>17.115626983999999</v>
          </cell>
          <cell r="K4246" t="str">
            <v>Small Cap</v>
          </cell>
        </row>
        <row r="4247">
          <cell r="C4247" t="str">
            <v>INE490Z01012</v>
          </cell>
          <cell r="D4247" t="str">
            <v>ANUROOP</v>
          </cell>
          <cell r="E4247">
            <v>17.099254166999998</v>
          </cell>
          <cell r="F4247" t="str">
            <v>-</v>
          </cell>
          <cell r="G4247" t="str">
            <v>-</v>
          </cell>
          <cell r="H4247" t="str">
            <v>-</v>
          </cell>
          <cell r="I4247" t="str">
            <v>-</v>
          </cell>
          <cell r="J4247">
            <v>17.099254166999998</v>
          </cell>
          <cell r="K4247" t="str">
            <v>Small Cap</v>
          </cell>
        </row>
        <row r="4248">
          <cell r="C4248" t="str">
            <v>INE203N01015</v>
          </cell>
          <cell r="D4248" t="str">
            <v>SHYMINV</v>
          </cell>
          <cell r="E4248">
            <v>17.096074015999999</v>
          </cell>
          <cell r="F4248" t="str">
            <v>-</v>
          </cell>
          <cell r="G4248" t="str">
            <v>-</v>
          </cell>
          <cell r="H4248" t="str">
            <v>-</v>
          </cell>
          <cell r="I4248" t="str">
            <v>-</v>
          </cell>
          <cell r="J4248">
            <v>17.096074015999999</v>
          </cell>
          <cell r="K4248" t="str">
            <v>Small Cap</v>
          </cell>
        </row>
        <row r="4249">
          <cell r="C4249" t="str">
            <v>INE990S01016</v>
          </cell>
          <cell r="D4249" t="str">
            <v>AMRAFIN</v>
          </cell>
          <cell r="E4249">
            <v>17.095680000000002</v>
          </cell>
          <cell r="F4249" t="str">
            <v>-</v>
          </cell>
          <cell r="G4249" t="str">
            <v>-</v>
          </cell>
          <cell r="H4249" t="str">
            <v>-</v>
          </cell>
          <cell r="I4249" t="str">
            <v>-</v>
          </cell>
          <cell r="J4249">
            <v>17.095680000000002</v>
          </cell>
          <cell r="K4249" t="str">
            <v>Small Cap</v>
          </cell>
        </row>
        <row r="4250">
          <cell r="C4250" t="str">
            <v>INE315N01017</v>
          </cell>
          <cell r="D4250" t="str">
            <v>SALSAIN</v>
          </cell>
          <cell r="E4250">
            <v>17.076862667</v>
          </cell>
          <cell r="F4250" t="str">
            <v>-</v>
          </cell>
          <cell r="G4250" t="str">
            <v>-</v>
          </cell>
          <cell r="H4250" t="str">
            <v>-</v>
          </cell>
          <cell r="I4250" t="str">
            <v>-</v>
          </cell>
          <cell r="J4250">
            <v>17.076862667</v>
          </cell>
          <cell r="K4250" t="str">
            <v>Small Cap</v>
          </cell>
        </row>
        <row r="4251">
          <cell r="C4251" t="str">
            <v>INE417F01017</v>
          </cell>
          <cell r="D4251" t="str">
            <v>SICAPIT</v>
          </cell>
          <cell r="E4251">
            <v>17.040459523999999</v>
          </cell>
          <cell r="F4251" t="str">
            <v>-</v>
          </cell>
          <cell r="G4251" t="str">
            <v>-</v>
          </cell>
          <cell r="H4251" t="str">
            <v>-</v>
          </cell>
          <cell r="I4251" t="str">
            <v>-</v>
          </cell>
          <cell r="J4251">
            <v>17.040459523999999</v>
          </cell>
          <cell r="K4251" t="str">
            <v>Small Cap</v>
          </cell>
        </row>
        <row r="4252">
          <cell r="C4252" t="str">
            <v>INE717D01023</v>
          </cell>
          <cell r="D4252" t="str">
            <v>CUBIFIN</v>
          </cell>
          <cell r="E4252">
            <v>17.029024444000001</v>
          </cell>
          <cell r="F4252" t="str">
            <v>-</v>
          </cell>
          <cell r="G4252" t="str">
            <v>-</v>
          </cell>
          <cell r="H4252" t="str">
            <v>-</v>
          </cell>
          <cell r="I4252" t="str">
            <v>-</v>
          </cell>
          <cell r="J4252">
            <v>17.029024444000001</v>
          </cell>
          <cell r="K4252" t="str">
            <v>Small Cap</v>
          </cell>
        </row>
        <row r="4253">
          <cell r="C4253" t="str">
            <v>INE849M01017</v>
          </cell>
          <cell r="D4253" t="str">
            <v>TARINI</v>
          </cell>
          <cell r="E4253">
            <v>17.009430381000001</v>
          </cell>
          <cell r="F4253" t="str">
            <v>-</v>
          </cell>
          <cell r="G4253" t="str">
            <v>-</v>
          </cell>
          <cell r="H4253" t="str">
            <v>-</v>
          </cell>
          <cell r="I4253" t="str">
            <v>-</v>
          </cell>
          <cell r="J4253">
            <v>17.009430381000001</v>
          </cell>
          <cell r="K4253" t="str">
            <v>Small Cap</v>
          </cell>
        </row>
        <row r="4254">
          <cell r="C4254" t="str">
            <v>INE819G01012</v>
          </cell>
          <cell r="D4254" t="str">
            <v>TRADEWELL</v>
          </cell>
          <cell r="E4254">
            <v>16.955641377999999</v>
          </cell>
          <cell r="F4254" t="str">
            <v>-</v>
          </cell>
          <cell r="G4254" t="str">
            <v>-</v>
          </cell>
          <cell r="H4254" t="str">
            <v>-</v>
          </cell>
          <cell r="I4254" t="str">
            <v>-</v>
          </cell>
          <cell r="J4254">
            <v>16.955641377999999</v>
          </cell>
          <cell r="K4254" t="str">
            <v>Small Cap</v>
          </cell>
        </row>
        <row r="4255">
          <cell r="C4255" t="str">
            <v>INE538D01015</v>
          </cell>
          <cell r="D4255" t="str">
            <v>SHKARTP</v>
          </cell>
          <cell r="E4255">
            <v>16.910985</v>
          </cell>
          <cell r="F4255" t="str">
            <v>-</v>
          </cell>
          <cell r="G4255" t="str">
            <v>-</v>
          </cell>
          <cell r="H4255" t="str">
            <v>-</v>
          </cell>
          <cell r="I4255" t="str">
            <v>-</v>
          </cell>
          <cell r="J4255">
            <v>16.910985</v>
          </cell>
          <cell r="K4255" t="str">
            <v>Small Cap</v>
          </cell>
        </row>
        <row r="4256">
          <cell r="C4256" t="str">
            <v>INE830S01014</v>
          </cell>
          <cell r="D4256" t="str">
            <v>DARJEELING</v>
          </cell>
          <cell r="E4256">
            <v>16.901741269999999</v>
          </cell>
          <cell r="F4256" t="str">
            <v>-</v>
          </cell>
          <cell r="G4256" t="str">
            <v>-</v>
          </cell>
          <cell r="H4256" t="str">
            <v>-</v>
          </cell>
          <cell r="I4256" t="str">
            <v>-</v>
          </cell>
          <cell r="J4256">
            <v>16.901741269999999</v>
          </cell>
          <cell r="K4256" t="str">
            <v>Small Cap</v>
          </cell>
        </row>
        <row r="4257">
          <cell r="C4257" t="str">
            <v>INE959D01013</v>
          </cell>
          <cell r="D4257" t="str">
            <v>SOVERDIA</v>
          </cell>
          <cell r="E4257">
            <v>16.854661824000001</v>
          </cell>
          <cell r="F4257" t="str">
            <v>-</v>
          </cell>
          <cell r="G4257" t="str">
            <v>-</v>
          </cell>
          <cell r="H4257" t="str">
            <v>-</v>
          </cell>
          <cell r="I4257" t="str">
            <v>-</v>
          </cell>
          <cell r="J4257">
            <v>16.854661824000001</v>
          </cell>
          <cell r="K4257" t="str">
            <v>Small Cap</v>
          </cell>
        </row>
        <row r="4258">
          <cell r="C4258" t="str">
            <v>INE822Q01015</v>
          </cell>
          <cell r="D4258" t="str">
            <v>SARVOTTAM</v>
          </cell>
          <cell r="E4258">
            <v>16.845119047999997</v>
          </cell>
          <cell r="F4258" t="str">
            <v>-</v>
          </cell>
          <cell r="G4258" t="str">
            <v>-</v>
          </cell>
          <cell r="H4258" t="str">
            <v>-</v>
          </cell>
          <cell r="I4258" t="str">
            <v>-</v>
          </cell>
          <cell r="J4258">
            <v>16.845119047999997</v>
          </cell>
          <cell r="K4258" t="str">
            <v>Small Cap</v>
          </cell>
        </row>
        <row r="4259">
          <cell r="C4259" t="str">
            <v>INE172H01014</v>
          </cell>
          <cell r="D4259" t="str">
            <v>RMCL</v>
          </cell>
          <cell r="E4259">
            <v>16.836743625</v>
          </cell>
          <cell r="F4259" t="str">
            <v>-</v>
          </cell>
          <cell r="G4259" t="str">
            <v>-</v>
          </cell>
          <cell r="H4259" t="str">
            <v>-</v>
          </cell>
          <cell r="I4259" t="str">
            <v>-</v>
          </cell>
          <cell r="J4259">
            <v>16.836743625</v>
          </cell>
          <cell r="K4259" t="str">
            <v>Small Cap</v>
          </cell>
        </row>
        <row r="4260">
          <cell r="C4260" t="str">
            <v>INE808R01012</v>
          </cell>
          <cell r="D4260" t="str">
            <v>PARMSILK</v>
          </cell>
          <cell r="E4260">
            <v>16.81066165</v>
          </cell>
          <cell r="F4260" t="str">
            <v>-</v>
          </cell>
          <cell r="G4260" t="str">
            <v>-</v>
          </cell>
          <cell r="H4260" t="str">
            <v>-</v>
          </cell>
          <cell r="I4260" t="str">
            <v>-</v>
          </cell>
          <cell r="J4260">
            <v>16.81066165</v>
          </cell>
          <cell r="K4260" t="str">
            <v>Small Cap</v>
          </cell>
        </row>
        <row r="4261">
          <cell r="C4261" t="str">
            <v>INE414B01021</v>
          </cell>
          <cell r="D4261" t="str">
            <v>-</v>
          </cell>
          <cell r="E4261" t="str">
            <v>-</v>
          </cell>
          <cell r="F4261" t="str">
            <v>ANTGRAPHIC</v>
          </cell>
          <cell r="G4261">
            <v>16.802499999999998</v>
          </cell>
          <cell r="H4261" t="str">
            <v>-</v>
          </cell>
          <cell r="I4261" t="str">
            <v>-</v>
          </cell>
          <cell r="J4261">
            <v>16.802499999999998</v>
          </cell>
          <cell r="K4261" t="str">
            <v>Small Cap</v>
          </cell>
        </row>
        <row r="4262">
          <cell r="C4262" t="str">
            <v>INE500D01015</v>
          </cell>
          <cell r="D4262" t="str">
            <v>EASTRED</v>
          </cell>
          <cell r="E4262">
            <v>16.774207237999999</v>
          </cell>
          <cell r="F4262" t="str">
            <v>-</v>
          </cell>
          <cell r="G4262" t="str">
            <v>-</v>
          </cell>
          <cell r="H4262" t="str">
            <v>-</v>
          </cell>
          <cell r="I4262" t="str">
            <v>-</v>
          </cell>
          <cell r="J4262">
            <v>16.774207237999999</v>
          </cell>
          <cell r="K4262" t="str">
            <v>Small Cap</v>
          </cell>
        </row>
        <row r="4263">
          <cell r="C4263" t="str">
            <v>INE0NQ401016</v>
          </cell>
          <cell r="D4263" t="str">
            <v>AVAX</v>
          </cell>
          <cell r="E4263">
            <v>16.716299705000001</v>
          </cell>
          <cell r="F4263" t="str">
            <v>-</v>
          </cell>
          <cell r="G4263" t="str">
            <v>-</v>
          </cell>
          <cell r="H4263" t="str">
            <v>-</v>
          </cell>
          <cell r="I4263" t="str">
            <v>-</v>
          </cell>
          <cell r="J4263">
            <v>16.716299705000001</v>
          </cell>
          <cell r="K4263" t="str">
            <v>Small Cap</v>
          </cell>
        </row>
        <row r="4264">
          <cell r="C4264" t="str">
            <v>INE0L3H01014</v>
          </cell>
          <cell r="D4264" t="str">
            <v>FONE4</v>
          </cell>
          <cell r="E4264">
            <v>16.716192063000001</v>
          </cell>
          <cell r="F4264" t="str">
            <v>-</v>
          </cell>
          <cell r="G4264" t="str">
            <v>-</v>
          </cell>
          <cell r="H4264" t="str">
            <v>-</v>
          </cell>
          <cell r="I4264" t="str">
            <v>-</v>
          </cell>
          <cell r="J4264">
            <v>16.716192063000001</v>
          </cell>
          <cell r="K4264" t="str">
            <v>Small Cap</v>
          </cell>
        </row>
        <row r="4265">
          <cell r="C4265" t="str">
            <v>INE334N01018</v>
          </cell>
          <cell r="D4265" t="str">
            <v>ADVPETR-B</v>
          </cell>
          <cell r="E4265">
            <v>16.687071429</v>
          </cell>
          <cell r="F4265" t="str">
            <v>-</v>
          </cell>
          <cell r="G4265" t="str">
            <v>-</v>
          </cell>
          <cell r="H4265" t="str">
            <v>-</v>
          </cell>
          <cell r="I4265" t="str">
            <v>-</v>
          </cell>
          <cell r="J4265">
            <v>16.687071429</v>
          </cell>
          <cell r="K4265" t="str">
            <v>Small Cap</v>
          </cell>
        </row>
        <row r="4266">
          <cell r="C4266" t="str">
            <v>INE925D01014</v>
          </cell>
          <cell r="D4266" t="str">
            <v>GARWAMAR</v>
          </cell>
          <cell r="E4266">
            <v>16.674339700000001</v>
          </cell>
          <cell r="F4266" t="str">
            <v>-</v>
          </cell>
          <cell r="G4266" t="str">
            <v>-</v>
          </cell>
          <cell r="H4266" t="str">
            <v>-</v>
          </cell>
          <cell r="I4266" t="str">
            <v>-</v>
          </cell>
          <cell r="J4266">
            <v>16.674339700000001</v>
          </cell>
          <cell r="K4266" t="str">
            <v>Small Cap</v>
          </cell>
        </row>
        <row r="4267">
          <cell r="C4267" t="str">
            <v>INE443D01018</v>
          </cell>
          <cell r="D4267" t="str">
            <v>BGIL</v>
          </cell>
          <cell r="E4267">
            <v>16.668158036000001</v>
          </cell>
          <cell r="F4267" t="str">
            <v>-</v>
          </cell>
          <cell r="G4267" t="str">
            <v>-</v>
          </cell>
          <cell r="H4267" t="str">
            <v>-</v>
          </cell>
          <cell r="I4267" t="str">
            <v>-</v>
          </cell>
          <cell r="J4267">
            <v>16.668158036000001</v>
          </cell>
          <cell r="K4267" t="str">
            <v>Small Cap</v>
          </cell>
        </row>
        <row r="4268">
          <cell r="C4268" t="str">
            <v>INE153K01018</v>
          </cell>
          <cell r="D4268" t="str">
            <v>MONGIPA</v>
          </cell>
          <cell r="E4268">
            <v>16.640441133000003</v>
          </cell>
          <cell r="F4268" t="str">
            <v>-</v>
          </cell>
          <cell r="G4268" t="str">
            <v>-</v>
          </cell>
          <cell r="H4268" t="str">
            <v>-</v>
          </cell>
          <cell r="I4268" t="str">
            <v>-</v>
          </cell>
          <cell r="J4268">
            <v>16.640441133000003</v>
          </cell>
          <cell r="K4268" t="str">
            <v>Small Cap</v>
          </cell>
        </row>
        <row r="4269">
          <cell r="C4269" t="str">
            <v>INE0SPJ01011</v>
          </cell>
          <cell r="D4269" t="str">
            <v>DHILLON</v>
          </cell>
          <cell r="E4269">
            <v>16.596748474999998</v>
          </cell>
          <cell r="F4269" t="str">
            <v>-</v>
          </cell>
          <cell r="G4269" t="str">
            <v>-</v>
          </cell>
          <cell r="H4269" t="str">
            <v>-</v>
          </cell>
          <cell r="I4269" t="str">
            <v>-</v>
          </cell>
          <cell r="J4269">
            <v>16.596748474999998</v>
          </cell>
          <cell r="K4269" t="str">
            <v>Small Cap</v>
          </cell>
        </row>
        <row r="4270">
          <cell r="C4270" t="str">
            <v>INE732D01014</v>
          </cell>
          <cell r="D4270" t="str">
            <v>LYNMC</v>
          </cell>
          <cell r="E4270">
            <v>16.596078547000001</v>
          </cell>
          <cell r="F4270" t="str">
            <v>-</v>
          </cell>
          <cell r="G4270" t="str">
            <v>-</v>
          </cell>
          <cell r="H4270" t="str">
            <v>-</v>
          </cell>
          <cell r="I4270" t="str">
            <v>-</v>
          </cell>
          <cell r="J4270">
            <v>16.596078547000001</v>
          </cell>
          <cell r="K4270" t="str">
            <v>Small Cap</v>
          </cell>
        </row>
        <row r="4271">
          <cell r="C4271" t="str">
            <v>INE356C01022</v>
          </cell>
          <cell r="D4271" t="str">
            <v>BKV</v>
          </cell>
          <cell r="E4271">
            <v>16.535992662999998</v>
          </cell>
          <cell r="F4271" t="str">
            <v>-</v>
          </cell>
          <cell r="G4271" t="str">
            <v>-</v>
          </cell>
          <cell r="H4271" t="str">
            <v>-</v>
          </cell>
          <cell r="I4271" t="str">
            <v>-</v>
          </cell>
          <cell r="J4271">
            <v>16.535992662999998</v>
          </cell>
          <cell r="K4271" t="str">
            <v>Small Cap</v>
          </cell>
        </row>
        <row r="4272">
          <cell r="C4272" t="str">
            <v>INE146Y01013</v>
          </cell>
          <cell r="D4272" t="str">
            <v>SAGAR</v>
          </cell>
          <cell r="E4272">
            <v>16.436914000000002</v>
          </cell>
          <cell r="F4272" t="str">
            <v>-</v>
          </cell>
          <cell r="G4272" t="str">
            <v>-</v>
          </cell>
          <cell r="H4272" t="str">
            <v>-</v>
          </cell>
          <cell r="I4272" t="str">
            <v>-</v>
          </cell>
          <cell r="J4272">
            <v>16.436914000000002</v>
          </cell>
          <cell r="K4272" t="str">
            <v>Small Cap</v>
          </cell>
        </row>
        <row r="4273">
          <cell r="C4273" t="str">
            <v>INE744C01029</v>
          </cell>
          <cell r="D4273" t="str">
            <v>NORRIS</v>
          </cell>
          <cell r="E4273">
            <v>16.412736113000001</v>
          </cell>
          <cell r="F4273" t="str">
            <v>-</v>
          </cell>
          <cell r="G4273" t="str">
            <v>-</v>
          </cell>
          <cell r="H4273" t="str">
            <v>-</v>
          </cell>
          <cell r="I4273" t="str">
            <v>-</v>
          </cell>
          <cell r="J4273">
            <v>16.412736113000001</v>
          </cell>
          <cell r="K4273" t="str">
            <v>Small Cap</v>
          </cell>
        </row>
        <row r="4274">
          <cell r="C4274" t="str">
            <v>INE784M01016</v>
          </cell>
          <cell r="D4274" t="str">
            <v>ASIAPAK</v>
          </cell>
          <cell r="E4274">
            <v>16.401884728999999</v>
          </cell>
          <cell r="F4274" t="str">
            <v>-</v>
          </cell>
          <cell r="G4274" t="str">
            <v>-</v>
          </cell>
          <cell r="H4274" t="str">
            <v>-</v>
          </cell>
          <cell r="I4274" t="str">
            <v>-</v>
          </cell>
          <cell r="J4274">
            <v>16.401884728999999</v>
          </cell>
          <cell r="K4274" t="str">
            <v>Small Cap</v>
          </cell>
        </row>
        <row r="4275">
          <cell r="C4275" t="str">
            <v>INE695X01011</v>
          </cell>
          <cell r="D4275" t="str">
            <v>VANTABIO</v>
          </cell>
          <cell r="E4275">
            <v>16.396168888999998</v>
          </cell>
          <cell r="F4275" t="str">
            <v>-</v>
          </cell>
          <cell r="G4275" t="str">
            <v>-</v>
          </cell>
          <cell r="H4275" t="str">
            <v>-</v>
          </cell>
          <cell r="I4275" t="str">
            <v>-</v>
          </cell>
          <cell r="J4275">
            <v>16.396168888999998</v>
          </cell>
          <cell r="K4275" t="str">
            <v>Small Cap</v>
          </cell>
        </row>
        <row r="4276">
          <cell r="C4276" t="str">
            <v>INE047E01031</v>
          </cell>
          <cell r="D4276" t="str">
            <v>JMDVL</v>
          </cell>
          <cell r="E4276">
            <v>16.355154647999999</v>
          </cell>
          <cell r="F4276" t="str">
            <v>-</v>
          </cell>
          <cell r="G4276" t="str">
            <v>-</v>
          </cell>
          <cell r="H4276" t="str">
            <v>-</v>
          </cell>
          <cell r="I4276" t="str">
            <v>-</v>
          </cell>
          <cell r="J4276">
            <v>16.355154647999999</v>
          </cell>
          <cell r="K4276" t="str">
            <v>Small Cap</v>
          </cell>
        </row>
        <row r="4277">
          <cell r="C4277" t="str">
            <v>INE431E01011</v>
          </cell>
          <cell r="D4277" t="str">
            <v>SANHP</v>
          </cell>
          <cell r="E4277">
            <v>16.346769999999999</v>
          </cell>
          <cell r="F4277" t="str">
            <v>-</v>
          </cell>
          <cell r="G4277" t="str">
            <v>-</v>
          </cell>
          <cell r="H4277" t="str">
            <v>-</v>
          </cell>
          <cell r="I4277" t="str">
            <v>-</v>
          </cell>
          <cell r="J4277">
            <v>16.346769999999999</v>
          </cell>
          <cell r="K4277" t="str">
            <v>Small Cap</v>
          </cell>
        </row>
        <row r="4278">
          <cell r="C4278" t="str">
            <v>INE638D01021</v>
          </cell>
          <cell r="D4278" t="str">
            <v>KUNSTOFF</v>
          </cell>
          <cell r="E4278">
            <v>16.308028491999998</v>
          </cell>
          <cell r="F4278" t="str">
            <v>-</v>
          </cell>
          <cell r="G4278" t="str">
            <v>-</v>
          </cell>
          <cell r="H4278" t="str">
            <v>-</v>
          </cell>
          <cell r="I4278" t="str">
            <v>-</v>
          </cell>
          <cell r="J4278">
            <v>16.308028491999998</v>
          </cell>
          <cell r="K4278" t="str">
            <v>Small Cap</v>
          </cell>
        </row>
        <row r="4279">
          <cell r="C4279" t="str">
            <v>INE858C01027</v>
          </cell>
          <cell r="D4279" t="str">
            <v>UNITDCR</v>
          </cell>
          <cell r="E4279">
            <v>16.305168027000001</v>
          </cell>
          <cell r="F4279" t="str">
            <v>-</v>
          </cell>
          <cell r="G4279" t="str">
            <v>-</v>
          </cell>
          <cell r="H4279" t="str">
            <v>-</v>
          </cell>
          <cell r="I4279" t="str">
            <v>-</v>
          </cell>
          <cell r="J4279">
            <v>16.305168027000001</v>
          </cell>
          <cell r="K4279" t="str">
            <v>Small Cap</v>
          </cell>
        </row>
        <row r="4280">
          <cell r="C4280" t="str">
            <v>INE042B01012</v>
          </cell>
          <cell r="D4280" t="str">
            <v>GROARC</v>
          </cell>
          <cell r="E4280">
            <v>16.295255469999997</v>
          </cell>
          <cell r="F4280" t="str">
            <v>-</v>
          </cell>
          <cell r="G4280" t="str">
            <v>-</v>
          </cell>
          <cell r="H4280" t="str">
            <v>-</v>
          </cell>
          <cell r="I4280" t="str">
            <v>-</v>
          </cell>
          <cell r="J4280">
            <v>16.295255469999997</v>
          </cell>
          <cell r="K4280" t="str">
            <v>Small Cap</v>
          </cell>
        </row>
        <row r="4281">
          <cell r="C4281" t="str">
            <v>INE003F01015</v>
          </cell>
          <cell r="D4281" t="str">
            <v>MULLER</v>
          </cell>
          <cell r="E4281">
            <v>16.232465277999999</v>
          </cell>
          <cell r="F4281" t="str">
            <v>-</v>
          </cell>
          <cell r="G4281" t="str">
            <v>-</v>
          </cell>
          <cell r="H4281" t="str">
            <v>-</v>
          </cell>
          <cell r="I4281" t="str">
            <v>-</v>
          </cell>
          <cell r="J4281">
            <v>16.232465277999999</v>
          </cell>
          <cell r="K4281" t="str">
            <v>Small Cap</v>
          </cell>
        </row>
        <row r="4282">
          <cell r="C4282" t="str">
            <v>INE397G01019</v>
          </cell>
          <cell r="D4282" t="str">
            <v>DUKEOFS</v>
          </cell>
          <cell r="E4282">
            <v>16.185287705</v>
          </cell>
          <cell r="F4282" t="str">
            <v>-</v>
          </cell>
          <cell r="G4282" t="str">
            <v>-</v>
          </cell>
          <cell r="H4282" t="str">
            <v>-</v>
          </cell>
          <cell r="I4282" t="str">
            <v>-</v>
          </cell>
          <cell r="J4282">
            <v>16.185287705</v>
          </cell>
          <cell r="K4282" t="str">
            <v>Small Cap</v>
          </cell>
        </row>
        <row r="4283">
          <cell r="C4283" t="str">
            <v>INE481D01018</v>
          </cell>
          <cell r="D4283" t="str">
            <v>WILLARD</v>
          </cell>
          <cell r="E4283">
            <v>16.184660000000001</v>
          </cell>
          <cell r="F4283" t="str">
            <v>-</v>
          </cell>
          <cell r="G4283" t="str">
            <v>-</v>
          </cell>
          <cell r="H4283" t="str">
            <v>-</v>
          </cell>
          <cell r="I4283" t="str">
            <v>-</v>
          </cell>
          <cell r="J4283">
            <v>16.184660000000001</v>
          </cell>
          <cell r="K4283" t="str">
            <v>Small Cap</v>
          </cell>
        </row>
        <row r="4284">
          <cell r="C4284" t="str">
            <v>INE0SK201011</v>
          </cell>
          <cell r="D4284" t="str">
            <v>RAL</v>
          </cell>
          <cell r="E4284">
            <v>16.122155281000001</v>
          </cell>
          <cell r="F4284" t="str">
            <v>-</v>
          </cell>
          <cell r="G4284" t="str">
            <v>-</v>
          </cell>
          <cell r="H4284" t="str">
            <v>-</v>
          </cell>
          <cell r="I4284" t="str">
            <v>-</v>
          </cell>
          <cell r="J4284">
            <v>16.122155281000001</v>
          </cell>
          <cell r="K4284" t="str">
            <v>Small Cap</v>
          </cell>
        </row>
        <row r="4285">
          <cell r="C4285" t="str">
            <v>INE311D01017</v>
          </cell>
          <cell r="D4285" t="str">
            <v>SWITCHTE</v>
          </cell>
          <cell r="E4285">
            <v>16.093622222</v>
          </cell>
          <cell r="F4285" t="str">
            <v>-</v>
          </cell>
          <cell r="G4285" t="str">
            <v>-</v>
          </cell>
          <cell r="H4285" t="str">
            <v>-</v>
          </cell>
          <cell r="I4285" t="str">
            <v>-</v>
          </cell>
          <cell r="J4285">
            <v>16.093622222</v>
          </cell>
          <cell r="K4285" t="str">
            <v>Small Cap</v>
          </cell>
        </row>
        <row r="4286">
          <cell r="C4286" t="str">
            <v>INE651D01016</v>
          </cell>
          <cell r="D4286" t="str">
            <v>RASRESOR</v>
          </cell>
          <cell r="E4286">
            <v>16.076513972999997</v>
          </cell>
          <cell r="F4286" t="str">
            <v>-</v>
          </cell>
          <cell r="G4286" t="str">
            <v>-</v>
          </cell>
          <cell r="H4286" t="str">
            <v>-</v>
          </cell>
          <cell r="I4286" t="str">
            <v>-</v>
          </cell>
          <cell r="J4286">
            <v>16.076513972999997</v>
          </cell>
          <cell r="K4286" t="str">
            <v>Small Cap</v>
          </cell>
        </row>
        <row r="4287">
          <cell r="C4287" t="str">
            <v>INE712Z01019</v>
          </cell>
          <cell r="D4287" t="str">
            <v>RJSHAH</v>
          </cell>
          <cell r="E4287">
            <v>16.048096083000001</v>
          </cell>
          <cell r="F4287" t="str">
            <v>-</v>
          </cell>
          <cell r="G4287" t="str">
            <v>-</v>
          </cell>
          <cell r="H4287" t="str">
            <v>-</v>
          </cell>
          <cell r="I4287" t="str">
            <v>-</v>
          </cell>
          <cell r="J4287">
            <v>16.048096083000001</v>
          </cell>
          <cell r="K4287" t="str">
            <v>Small Cap</v>
          </cell>
        </row>
        <row r="4288">
          <cell r="C4288" t="str">
            <v>INE900E01015</v>
          </cell>
          <cell r="D4288" t="str">
            <v>ADVLIFE</v>
          </cell>
          <cell r="E4288">
            <v>16.002648036</v>
          </cell>
          <cell r="F4288" t="str">
            <v>-</v>
          </cell>
          <cell r="G4288" t="str">
            <v>-</v>
          </cell>
          <cell r="H4288" t="str">
            <v>-</v>
          </cell>
          <cell r="I4288" t="str">
            <v>-</v>
          </cell>
          <cell r="J4288">
            <v>16.002648036</v>
          </cell>
          <cell r="K4288" t="str">
            <v>Small Cap</v>
          </cell>
        </row>
        <row r="4289">
          <cell r="C4289" t="str">
            <v>INE118B01010</v>
          </cell>
          <cell r="D4289" t="str">
            <v>SAENTER</v>
          </cell>
          <cell r="E4289">
            <v>15.983396825</v>
          </cell>
          <cell r="F4289" t="str">
            <v>-</v>
          </cell>
          <cell r="G4289" t="str">
            <v>-</v>
          </cell>
          <cell r="H4289" t="str">
            <v>-</v>
          </cell>
          <cell r="I4289" t="str">
            <v>-</v>
          </cell>
          <cell r="J4289">
            <v>15.983396825</v>
          </cell>
          <cell r="K4289" t="str">
            <v>Small Cap</v>
          </cell>
        </row>
        <row r="4290">
          <cell r="C4290" t="str">
            <v>INE706D01018</v>
          </cell>
          <cell r="D4290" t="str">
            <v>UNITEDINT</v>
          </cell>
          <cell r="E4290">
            <v>15.974690286000001</v>
          </cell>
          <cell r="F4290" t="str">
            <v>-</v>
          </cell>
          <cell r="G4290" t="str">
            <v>-</v>
          </cell>
          <cell r="H4290" t="str">
            <v>-</v>
          </cell>
          <cell r="I4290" t="str">
            <v>-</v>
          </cell>
          <cell r="J4290">
            <v>15.974690286000001</v>
          </cell>
          <cell r="K4290" t="str">
            <v>Small Cap</v>
          </cell>
        </row>
        <row r="4291">
          <cell r="C4291" t="str">
            <v>INE423K01015</v>
          </cell>
          <cell r="D4291" t="str">
            <v>CONTCHM</v>
          </cell>
          <cell r="E4291">
            <v>15.974593452000001</v>
          </cell>
          <cell r="F4291" t="str">
            <v>-</v>
          </cell>
          <cell r="G4291" t="str">
            <v>-</v>
          </cell>
          <cell r="H4291" t="str">
            <v>-</v>
          </cell>
          <cell r="I4291" t="str">
            <v>-</v>
          </cell>
          <cell r="J4291">
            <v>15.974593452000001</v>
          </cell>
          <cell r="K4291" t="str">
            <v>Small Cap</v>
          </cell>
        </row>
        <row r="4292">
          <cell r="C4292" t="str">
            <v>INE168O01026</v>
          </cell>
          <cell r="D4292" t="str">
            <v>GCMSECU</v>
          </cell>
          <cell r="E4292">
            <v>15.931010475999999</v>
          </cell>
          <cell r="F4292" t="str">
            <v>-</v>
          </cell>
          <cell r="G4292" t="str">
            <v>-</v>
          </cell>
          <cell r="H4292" t="str">
            <v>-</v>
          </cell>
          <cell r="I4292" t="str">
            <v>-</v>
          </cell>
          <cell r="J4292">
            <v>15.931010475999999</v>
          </cell>
          <cell r="K4292" t="str">
            <v>Small Cap</v>
          </cell>
        </row>
        <row r="4293">
          <cell r="C4293" t="str">
            <v>INE441C01014</v>
          </cell>
          <cell r="D4293" t="str">
            <v>SIBARAUT</v>
          </cell>
          <cell r="E4293">
            <v>15.839701805000001</v>
          </cell>
          <cell r="F4293" t="str">
            <v>-</v>
          </cell>
          <cell r="G4293" t="str">
            <v>-</v>
          </cell>
          <cell r="H4293" t="str">
            <v>-</v>
          </cell>
          <cell r="I4293" t="str">
            <v>-</v>
          </cell>
          <cell r="J4293">
            <v>15.839701805000001</v>
          </cell>
          <cell r="K4293" t="str">
            <v>Small Cap</v>
          </cell>
        </row>
        <row r="4294">
          <cell r="C4294" t="str">
            <v>INE326P01019</v>
          </cell>
          <cell r="D4294" t="str">
            <v>SRGFFL</v>
          </cell>
          <cell r="E4294">
            <v>15.836099047999999</v>
          </cell>
          <cell r="F4294" t="str">
            <v>-</v>
          </cell>
          <cell r="G4294" t="str">
            <v>-</v>
          </cell>
          <cell r="H4294" t="str">
            <v>-</v>
          </cell>
          <cell r="I4294" t="str">
            <v>-</v>
          </cell>
          <cell r="J4294">
            <v>15.836099047999999</v>
          </cell>
          <cell r="K4294" t="str">
            <v>Small Cap</v>
          </cell>
        </row>
        <row r="4295">
          <cell r="C4295" t="str">
            <v>INE094C01011</v>
          </cell>
          <cell r="D4295" t="str">
            <v>TRIVENIGQ</v>
          </cell>
          <cell r="E4295">
            <v>15.807243244</v>
          </cell>
          <cell r="F4295" t="str">
            <v>-</v>
          </cell>
          <cell r="G4295" t="str">
            <v>-</v>
          </cell>
          <cell r="H4295" t="str">
            <v>-</v>
          </cell>
          <cell r="I4295" t="str">
            <v>-</v>
          </cell>
          <cell r="J4295">
            <v>15.807243244</v>
          </cell>
          <cell r="K4295" t="str">
            <v>Small Cap</v>
          </cell>
        </row>
        <row r="4296">
          <cell r="C4296" t="str">
            <v>INE396C01010</v>
          </cell>
          <cell r="D4296" t="str">
            <v>NEIL</v>
          </cell>
          <cell r="E4296">
            <v>15.784553475999999</v>
          </cell>
          <cell r="F4296" t="str">
            <v>-</v>
          </cell>
          <cell r="G4296" t="str">
            <v>-</v>
          </cell>
          <cell r="H4296" t="str">
            <v>-</v>
          </cell>
          <cell r="I4296" t="str">
            <v>-</v>
          </cell>
          <cell r="J4296">
            <v>15.784553475999999</v>
          </cell>
          <cell r="K4296" t="str">
            <v>Small Cap</v>
          </cell>
        </row>
        <row r="4297">
          <cell r="C4297" t="str">
            <v>INE401L01019</v>
          </cell>
          <cell r="D4297" t="str">
            <v>-</v>
          </cell>
          <cell r="E4297" t="str">
            <v>-</v>
          </cell>
          <cell r="F4297" t="str">
            <v>-</v>
          </cell>
          <cell r="G4297" t="str">
            <v>-</v>
          </cell>
          <cell r="H4297" t="str">
            <v>PATBACK</v>
          </cell>
          <cell r="I4297">
            <v>15.781919999999959</v>
          </cell>
          <cell r="J4297">
            <v>15.781919999999959</v>
          </cell>
          <cell r="K4297" t="str">
            <v>Small Cap</v>
          </cell>
        </row>
        <row r="4298">
          <cell r="C4298" t="str">
            <v>INE107J01016</v>
          </cell>
          <cell r="D4298" t="str">
            <v>PHOTON</v>
          </cell>
          <cell r="E4298">
            <v>15.779815452999999</v>
          </cell>
          <cell r="F4298" t="str">
            <v>-</v>
          </cell>
          <cell r="G4298" t="str">
            <v>-</v>
          </cell>
          <cell r="H4298" t="str">
            <v>-</v>
          </cell>
          <cell r="I4298" t="str">
            <v>-</v>
          </cell>
          <cell r="J4298">
            <v>15.779815452999999</v>
          </cell>
          <cell r="K4298" t="str">
            <v>Small Cap</v>
          </cell>
        </row>
        <row r="4299">
          <cell r="C4299" t="str">
            <v>INE427D01011</v>
          </cell>
          <cell r="D4299" t="str">
            <v>GOLECHA</v>
          </cell>
          <cell r="E4299">
            <v>15.753003968000002</v>
          </cell>
          <cell r="F4299" t="str">
            <v>-</v>
          </cell>
          <cell r="G4299" t="str">
            <v>-</v>
          </cell>
          <cell r="H4299" t="str">
            <v>-</v>
          </cell>
          <cell r="I4299" t="str">
            <v>-</v>
          </cell>
          <cell r="J4299">
            <v>15.753003968000002</v>
          </cell>
          <cell r="K4299" t="str">
            <v>Small Cap</v>
          </cell>
        </row>
        <row r="4300">
          <cell r="C4300" t="str">
            <v>INE04T901017</v>
          </cell>
          <cell r="D4300" t="str">
            <v>KAHAN</v>
          </cell>
          <cell r="E4300">
            <v>15.738071111000002</v>
          </cell>
          <cell r="F4300" t="str">
            <v>-</v>
          </cell>
          <cell r="G4300" t="str">
            <v>-</v>
          </cell>
          <cell r="H4300" t="str">
            <v>-</v>
          </cell>
          <cell r="I4300" t="str">
            <v>-</v>
          </cell>
          <cell r="J4300">
            <v>15.738071111000002</v>
          </cell>
          <cell r="K4300" t="str">
            <v>Small Cap</v>
          </cell>
        </row>
        <row r="4301">
          <cell r="C4301" t="str">
            <v>INE073F01018</v>
          </cell>
          <cell r="D4301" t="str">
            <v>-</v>
          </cell>
          <cell r="E4301" t="str">
            <v>-</v>
          </cell>
          <cell r="F4301" t="str">
            <v>-</v>
          </cell>
          <cell r="G4301" t="str">
            <v>-</v>
          </cell>
          <cell r="H4301" t="str">
            <v>BIUL</v>
          </cell>
          <cell r="I4301">
            <v>15.704999999999973</v>
          </cell>
          <cell r="J4301">
            <v>15.704999999999973</v>
          </cell>
          <cell r="K4301" t="str">
            <v>Small Cap</v>
          </cell>
        </row>
        <row r="4302">
          <cell r="C4302" t="str">
            <v>INE241B01010</v>
          </cell>
          <cell r="D4302" t="str">
            <v>MEHSECU</v>
          </cell>
          <cell r="E4302">
            <v>15.70368991</v>
          </cell>
          <cell r="F4302" t="str">
            <v>-</v>
          </cell>
          <cell r="G4302" t="str">
            <v>-</v>
          </cell>
          <cell r="H4302" t="str">
            <v>-</v>
          </cell>
          <cell r="I4302" t="str">
            <v>-</v>
          </cell>
          <cell r="J4302">
            <v>15.70368991</v>
          </cell>
          <cell r="K4302" t="str">
            <v>Small Cap</v>
          </cell>
        </row>
        <row r="4303">
          <cell r="C4303" t="str">
            <v>INE0CWK01019</v>
          </cell>
          <cell r="D4303" t="str">
            <v>ADISHAKTI</v>
          </cell>
          <cell r="E4303">
            <v>15.698817730000002</v>
          </cell>
          <cell r="F4303" t="str">
            <v>-</v>
          </cell>
          <cell r="G4303" t="str">
            <v>-</v>
          </cell>
          <cell r="H4303" t="str">
            <v>-</v>
          </cell>
          <cell r="I4303" t="str">
            <v>-</v>
          </cell>
          <cell r="J4303">
            <v>15.698817730000002</v>
          </cell>
          <cell r="K4303" t="str">
            <v>Small Cap</v>
          </cell>
        </row>
        <row r="4304">
          <cell r="C4304" t="str">
            <v>INE0LDI01022</v>
          </cell>
          <cell r="D4304" t="str">
            <v>INNOKAIZ</v>
          </cell>
          <cell r="E4304">
            <v>15.669370933000002</v>
          </cell>
          <cell r="F4304" t="str">
            <v>-</v>
          </cell>
          <cell r="G4304" t="str">
            <v>-</v>
          </cell>
          <cell r="H4304" t="str">
            <v>-</v>
          </cell>
          <cell r="I4304" t="str">
            <v>-</v>
          </cell>
          <cell r="J4304">
            <v>15.669370933000002</v>
          </cell>
          <cell r="K4304" t="str">
            <v>Small Cap</v>
          </cell>
        </row>
        <row r="4305">
          <cell r="C4305" t="str">
            <v>INE249C01011</v>
          </cell>
          <cell r="D4305" t="str">
            <v>FEDDERELEC</v>
          </cell>
          <cell r="E4305">
            <v>15.626061999999999</v>
          </cell>
          <cell r="F4305" t="str">
            <v>-</v>
          </cell>
          <cell r="G4305" t="str">
            <v>-</v>
          </cell>
          <cell r="H4305" t="str">
            <v>-</v>
          </cell>
          <cell r="I4305" t="str">
            <v>-</v>
          </cell>
          <cell r="J4305">
            <v>15.626061999999999</v>
          </cell>
          <cell r="K4305" t="str">
            <v>Small Cap</v>
          </cell>
        </row>
        <row r="4306">
          <cell r="C4306" t="str">
            <v>INE173J01018</v>
          </cell>
          <cell r="D4306" t="str">
            <v>SRMENERGY</v>
          </cell>
          <cell r="E4306">
            <v>15.620374762000001</v>
          </cell>
          <cell r="F4306" t="str">
            <v>-</v>
          </cell>
          <cell r="G4306" t="str">
            <v>-</v>
          </cell>
          <cell r="H4306" t="str">
            <v>-</v>
          </cell>
          <cell r="I4306" t="str">
            <v>-</v>
          </cell>
          <cell r="J4306">
            <v>15.620374762000001</v>
          </cell>
          <cell r="K4306" t="str">
            <v>Small Cap</v>
          </cell>
        </row>
        <row r="4307">
          <cell r="C4307" t="str">
            <v>INE256G01033</v>
          </cell>
          <cell r="D4307" t="str">
            <v>VIJAYTX</v>
          </cell>
          <cell r="E4307">
            <v>15.601380556000001</v>
          </cell>
          <cell r="F4307" t="str">
            <v>-</v>
          </cell>
          <cell r="G4307" t="str">
            <v>-</v>
          </cell>
          <cell r="H4307" t="str">
            <v>-</v>
          </cell>
          <cell r="I4307" t="str">
            <v>-</v>
          </cell>
          <cell r="J4307">
            <v>15.601380556000001</v>
          </cell>
          <cell r="K4307" t="str">
            <v>Small Cap</v>
          </cell>
        </row>
        <row r="4308">
          <cell r="C4308" t="str">
            <v>INE962B01011</v>
          </cell>
          <cell r="D4308" t="str">
            <v>PRAGBOS</v>
          </cell>
          <cell r="E4308">
            <v>15.565519890999999</v>
          </cell>
          <cell r="F4308" t="str">
            <v>-</v>
          </cell>
          <cell r="G4308" t="str">
            <v>-</v>
          </cell>
          <cell r="H4308" t="str">
            <v>-</v>
          </cell>
          <cell r="I4308" t="str">
            <v>-</v>
          </cell>
          <cell r="J4308">
            <v>15.565519890999999</v>
          </cell>
          <cell r="K4308" t="str">
            <v>Small Cap</v>
          </cell>
        </row>
        <row r="4309">
          <cell r="C4309" t="str">
            <v>INE086E01021</v>
          </cell>
          <cell r="D4309" t="str">
            <v>SATRAPROP</v>
          </cell>
          <cell r="E4309">
            <v>15.517146</v>
          </cell>
          <cell r="F4309" t="str">
            <v>-</v>
          </cell>
          <cell r="G4309" t="str">
            <v>-</v>
          </cell>
          <cell r="H4309" t="str">
            <v>-</v>
          </cell>
          <cell r="I4309" t="str">
            <v>-</v>
          </cell>
          <cell r="J4309">
            <v>15.517146</v>
          </cell>
          <cell r="K4309" t="str">
            <v>Small Cap</v>
          </cell>
        </row>
        <row r="4310">
          <cell r="C4310" t="str">
            <v>INE639C01013</v>
          </cell>
          <cell r="D4310" t="str">
            <v>RAJPACK</v>
          </cell>
          <cell r="E4310">
            <v>15.490690875</v>
          </cell>
          <cell r="F4310" t="str">
            <v>-</v>
          </cell>
          <cell r="G4310" t="str">
            <v>-</v>
          </cell>
          <cell r="H4310" t="str">
            <v>-</v>
          </cell>
          <cell r="I4310" t="str">
            <v>-</v>
          </cell>
          <cell r="J4310">
            <v>15.490690875</v>
          </cell>
          <cell r="K4310" t="str">
            <v>Small Cap</v>
          </cell>
        </row>
        <row r="4311">
          <cell r="C4311" t="str">
            <v>INE302F01011</v>
          </cell>
          <cell r="D4311" t="str">
            <v>LINKPH</v>
          </cell>
          <cell r="E4311">
            <v>15.437810865000001</v>
          </cell>
          <cell r="F4311" t="str">
            <v>-</v>
          </cell>
          <cell r="G4311" t="str">
            <v>-</v>
          </cell>
          <cell r="H4311" t="str">
            <v>-</v>
          </cell>
          <cell r="I4311" t="str">
            <v>-</v>
          </cell>
          <cell r="J4311">
            <v>15.437810865000001</v>
          </cell>
          <cell r="K4311" t="str">
            <v>Small Cap</v>
          </cell>
        </row>
        <row r="4312">
          <cell r="C4312" t="str">
            <v>INE870X01010</v>
          </cell>
          <cell r="D4312" t="str">
            <v>-</v>
          </cell>
          <cell r="E4312" t="str">
            <v>-</v>
          </cell>
          <cell r="F4312" t="str">
            <v>-</v>
          </cell>
          <cell r="G4312" t="str">
            <v>-</v>
          </cell>
          <cell r="H4312" t="str">
            <v>SGEL</v>
          </cell>
          <cell r="I4312">
            <v>15.434421239999953</v>
          </cell>
          <cell r="J4312">
            <v>15.434421239999953</v>
          </cell>
          <cell r="K4312" t="str">
            <v>Small Cap</v>
          </cell>
        </row>
        <row r="4313">
          <cell r="C4313" t="str">
            <v>INE355C01016</v>
          </cell>
          <cell r="D4313" t="str">
            <v>BNRUDY</v>
          </cell>
          <cell r="E4313">
            <v>15.384142856999999</v>
          </cell>
          <cell r="F4313" t="str">
            <v>-</v>
          </cell>
          <cell r="G4313" t="str">
            <v>-</v>
          </cell>
          <cell r="H4313" t="str">
            <v>-</v>
          </cell>
          <cell r="I4313" t="str">
            <v>-</v>
          </cell>
          <cell r="J4313">
            <v>15.384142856999999</v>
          </cell>
          <cell r="K4313" t="str">
            <v>Small Cap</v>
          </cell>
        </row>
        <row r="4314">
          <cell r="C4314" t="str">
            <v>INE374C01017</v>
          </cell>
          <cell r="D4314" t="str">
            <v>RAJSPTR</v>
          </cell>
          <cell r="E4314">
            <v>15.381476822</v>
          </cell>
          <cell r="F4314" t="str">
            <v>-</v>
          </cell>
          <cell r="G4314" t="str">
            <v>-</v>
          </cell>
          <cell r="H4314" t="str">
            <v>-</v>
          </cell>
          <cell r="I4314" t="str">
            <v>-</v>
          </cell>
          <cell r="J4314">
            <v>15.381476822</v>
          </cell>
          <cell r="K4314" t="str">
            <v>Small Cap</v>
          </cell>
        </row>
        <row r="4315">
          <cell r="C4315" t="str">
            <v>INE737C01023</v>
          </cell>
          <cell r="D4315" t="str">
            <v>VIVIDIND</v>
          </cell>
          <cell r="E4315">
            <v>15.369829221000002</v>
          </cell>
          <cell r="F4315" t="str">
            <v>-</v>
          </cell>
          <cell r="G4315" t="str">
            <v>-</v>
          </cell>
          <cell r="H4315" t="str">
            <v>-</v>
          </cell>
          <cell r="I4315" t="str">
            <v>-</v>
          </cell>
          <cell r="J4315">
            <v>15.369829221000002</v>
          </cell>
          <cell r="K4315" t="str">
            <v>Small Cap</v>
          </cell>
        </row>
        <row r="4316">
          <cell r="C4316" t="str">
            <v>INE230B01021</v>
          </cell>
          <cell r="D4316" t="str">
            <v>CREATIVEYE</v>
          </cell>
          <cell r="E4316">
            <v>15.425749405000001</v>
          </cell>
          <cell r="F4316" t="str">
            <v>CREATIVEYE</v>
          </cell>
          <cell r="G4316">
            <v>15.26</v>
          </cell>
          <cell r="H4316" t="str">
            <v>-</v>
          </cell>
          <cell r="I4316" t="str">
            <v>-</v>
          </cell>
          <cell r="J4316">
            <v>15.342874702500001</v>
          </cell>
          <cell r="K4316" t="str">
            <v>Small Cap</v>
          </cell>
        </row>
        <row r="4317">
          <cell r="C4317" t="str">
            <v>INE635A01023</v>
          </cell>
          <cell r="D4317" t="str">
            <v>SHYAMTEL</v>
          </cell>
          <cell r="E4317">
            <v>15.357879444</v>
          </cell>
          <cell r="F4317" t="str">
            <v>SHYAMTEL</v>
          </cell>
          <cell r="G4317">
            <v>15.305999999999999</v>
          </cell>
          <cell r="H4317" t="str">
            <v>-</v>
          </cell>
          <cell r="I4317" t="str">
            <v>-</v>
          </cell>
          <cell r="J4317">
            <v>15.331939722</v>
          </cell>
          <cell r="K4317" t="str">
            <v>Small Cap</v>
          </cell>
        </row>
        <row r="4318">
          <cell r="C4318" t="str">
            <v>INE634B01016</v>
          </cell>
          <cell r="D4318" t="str">
            <v>EMMESSA</v>
          </cell>
          <cell r="E4318">
            <v>15.329898425</v>
          </cell>
          <cell r="F4318" t="str">
            <v>-</v>
          </cell>
          <cell r="G4318" t="str">
            <v>-</v>
          </cell>
          <cell r="H4318" t="str">
            <v>-</v>
          </cell>
          <cell r="I4318" t="str">
            <v>-</v>
          </cell>
          <cell r="J4318">
            <v>15.329898425</v>
          </cell>
          <cell r="K4318" t="str">
            <v>Small Cap</v>
          </cell>
        </row>
        <row r="4319">
          <cell r="C4319" t="str">
            <v>INE682B01023</v>
          </cell>
          <cell r="D4319" t="str">
            <v>ICSL</v>
          </cell>
          <cell r="E4319">
            <v>15.322583365</v>
          </cell>
          <cell r="F4319" t="str">
            <v>-</v>
          </cell>
          <cell r="G4319" t="str">
            <v>-</v>
          </cell>
          <cell r="H4319" t="str">
            <v>-</v>
          </cell>
          <cell r="I4319" t="str">
            <v>-</v>
          </cell>
          <cell r="J4319">
            <v>15.322583365</v>
          </cell>
          <cell r="K4319" t="str">
            <v>Small Cap</v>
          </cell>
        </row>
        <row r="4320">
          <cell r="C4320" t="str">
            <v>INE508N01025</v>
          </cell>
          <cell r="D4320" t="str">
            <v>JACKSON</v>
          </cell>
          <cell r="E4320">
            <v>15.32216</v>
          </cell>
          <cell r="F4320" t="str">
            <v>-</v>
          </cell>
          <cell r="G4320" t="str">
            <v>-</v>
          </cell>
          <cell r="H4320" t="str">
            <v>-</v>
          </cell>
          <cell r="I4320" t="str">
            <v>-</v>
          </cell>
          <cell r="J4320">
            <v>15.32216</v>
          </cell>
          <cell r="K4320" t="str">
            <v>Small Cap</v>
          </cell>
        </row>
        <row r="4321">
          <cell r="C4321" t="str">
            <v>INE864T01011</v>
          </cell>
          <cell r="D4321" t="str">
            <v>TIAANC</v>
          </cell>
          <cell r="E4321">
            <v>15.321039695</v>
          </cell>
          <cell r="F4321" t="str">
            <v>-</v>
          </cell>
          <cell r="G4321" t="str">
            <v>-</v>
          </cell>
          <cell r="H4321" t="str">
            <v>-</v>
          </cell>
          <cell r="I4321" t="str">
            <v>-</v>
          </cell>
          <cell r="J4321">
            <v>15.321039695</v>
          </cell>
          <cell r="K4321" t="str">
            <v>Small Cap</v>
          </cell>
        </row>
        <row r="4322">
          <cell r="C4322" t="str">
            <v>INE814L01013</v>
          </cell>
          <cell r="D4322" t="str">
            <v>OCTAVE</v>
          </cell>
          <cell r="E4322">
            <v>15.303570293</v>
          </cell>
          <cell r="F4322" t="str">
            <v>-</v>
          </cell>
          <cell r="G4322" t="str">
            <v>-</v>
          </cell>
          <cell r="H4322" t="str">
            <v>-</v>
          </cell>
          <cell r="I4322" t="str">
            <v>-</v>
          </cell>
          <cell r="J4322">
            <v>15.303570293</v>
          </cell>
          <cell r="K4322" t="str">
            <v>Small Cap</v>
          </cell>
        </row>
        <row r="4323">
          <cell r="C4323" t="str">
            <v>INE721D01017</v>
          </cell>
          <cell r="D4323" t="str">
            <v>GSLSEC</v>
          </cell>
          <cell r="E4323">
            <v>15.280494048</v>
          </cell>
          <cell r="F4323" t="str">
            <v>-</v>
          </cell>
          <cell r="G4323" t="str">
            <v>-</v>
          </cell>
          <cell r="H4323" t="str">
            <v>-</v>
          </cell>
          <cell r="I4323" t="str">
            <v>-</v>
          </cell>
          <cell r="J4323">
            <v>15.280494048</v>
          </cell>
          <cell r="K4323" t="str">
            <v>Small Cap</v>
          </cell>
        </row>
        <row r="4324">
          <cell r="C4324" t="str">
            <v>INE325P01011</v>
          </cell>
          <cell r="D4324" t="str">
            <v>STELLAR</v>
          </cell>
          <cell r="E4324">
            <v>15.261976178999999</v>
          </cell>
          <cell r="F4324" t="str">
            <v>-</v>
          </cell>
          <cell r="G4324" t="str">
            <v>-</v>
          </cell>
          <cell r="H4324" t="str">
            <v>-</v>
          </cell>
          <cell r="I4324" t="str">
            <v>-</v>
          </cell>
          <cell r="J4324">
            <v>15.261976178999999</v>
          </cell>
          <cell r="K4324" t="str">
            <v>Small Cap</v>
          </cell>
        </row>
        <row r="4325">
          <cell r="C4325" t="str">
            <v>INE465K01016</v>
          </cell>
          <cell r="D4325" t="str">
            <v>KKPLASTICK</v>
          </cell>
          <cell r="E4325">
            <v>15.234141456</v>
          </cell>
          <cell r="F4325" t="str">
            <v>-</v>
          </cell>
          <cell r="G4325" t="str">
            <v>-</v>
          </cell>
          <cell r="H4325" t="str">
            <v>-</v>
          </cell>
          <cell r="I4325" t="str">
            <v>-</v>
          </cell>
          <cell r="J4325">
            <v>15.234141456</v>
          </cell>
          <cell r="K4325" t="str">
            <v>Small Cap</v>
          </cell>
        </row>
        <row r="4326">
          <cell r="C4326" t="str">
            <v>INE0AOG01018</v>
          </cell>
          <cell r="D4326" t="str">
            <v>KENRIK</v>
          </cell>
          <cell r="E4326">
            <v>15.223930044999999</v>
          </cell>
          <cell r="F4326" t="str">
            <v>-</v>
          </cell>
          <cell r="G4326" t="str">
            <v>-</v>
          </cell>
          <cell r="H4326" t="str">
            <v>-</v>
          </cell>
          <cell r="I4326" t="str">
            <v>-</v>
          </cell>
          <cell r="J4326">
            <v>15.223930044999999</v>
          </cell>
          <cell r="K4326" t="str">
            <v>Small Cap</v>
          </cell>
        </row>
        <row r="4327">
          <cell r="C4327" t="str">
            <v>INE991F01011</v>
          </cell>
          <cell r="D4327" t="str">
            <v>-</v>
          </cell>
          <cell r="E4327" t="str">
            <v>-</v>
          </cell>
          <cell r="F4327" t="str">
            <v>-</v>
          </cell>
          <cell r="G4327" t="str">
            <v>-</v>
          </cell>
          <cell r="H4327" t="str">
            <v>LAFFANSOFT</v>
          </cell>
          <cell r="I4327">
            <v>15.221700000000041</v>
          </cell>
          <cell r="J4327">
            <v>15.221700000000041</v>
          </cell>
          <cell r="K4327" t="str">
            <v>Small Cap</v>
          </cell>
        </row>
        <row r="4328">
          <cell r="C4328" t="str">
            <v>INE229E01019</v>
          </cell>
          <cell r="D4328" t="str">
            <v>COARO</v>
          </cell>
          <cell r="E4328">
            <v>15.167114583000002</v>
          </cell>
          <cell r="F4328" t="str">
            <v>-</v>
          </cell>
          <cell r="G4328" t="str">
            <v>-</v>
          </cell>
          <cell r="H4328" t="str">
            <v>-</v>
          </cell>
          <cell r="I4328" t="str">
            <v>-</v>
          </cell>
          <cell r="J4328">
            <v>15.167114583000002</v>
          </cell>
          <cell r="K4328" t="str">
            <v>Small Cap</v>
          </cell>
        </row>
        <row r="4329">
          <cell r="C4329" t="str">
            <v>INE607B01012</v>
          </cell>
          <cell r="D4329" t="str">
            <v>COMPUPN</v>
          </cell>
          <cell r="E4329">
            <v>15.153751871999999</v>
          </cell>
          <cell r="F4329" t="str">
            <v>-</v>
          </cell>
          <cell r="G4329" t="str">
            <v>-</v>
          </cell>
          <cell r="H4329" t="str">
            <v>-</v>
          </cell>
          <cell r="I4329" t="str">
            <v>-</v>
          </cell>
          <cell r="J4329">
            <v>15.153751871999999</v>
          </cell>
          <cell r="K4329" t="str">
            <v>Small Cap</v>
          </cell>
        </row>
        <row r="4330">
          <cell r="C4330" t="str">
            <v>INE610C01014</v>
          </cell>
          <cell r="D4330" t="str">
            <v>ARENTERP</v>
          </cell>
          <cell r="E4330">
            <v>15.314002043</v>
          </cell>
          <cell r="F4330" t="str">
            <v>ARENTERP</v>
          </cell>
          <cell r="G4330">
            <v>14.9931</v>
          </cell>
          <cell r="H4330" t="str">
            <v>-</v>
          </cell>
          <cell r="I4330" t="str">
            <v>-</v>
          </cell>
          <cell r="J4330">
            <v>15.1535510215</v>
          </cell>
          <cell r="K4330" t="str">
            <v>Small Cap</v>
          </cell>
        </row>
        <row r="4331">
          <cell r="C4331" t="str">
            <v>INE405N01016</v>
          </cell>
          <cell r="D4331" t="str">
            <v>-</v>
          </cell>
          <cell r="E4331" t="str">
            <v>-</v>
          </cell>
          <cell r="F4331" t="str">
            <v>-</v>
          </cell>
          <cell r="G4331" t="str">
            <v>-</v>
          </cell>
          <cell r="H4331" t="str">
            <v>CRED</v>
          </cell>
          <cell r="I4331">
            <v>15.14289967499999</v>
          </cell>
          <cell r="J4331">
            <v>15.14289967499999</v>
          </cell>
          <cell r="K4331" t="str">
            <v>Small Cap</v>
          </cell>
        </row>
        <row r="4332">
          <cell r="C4332" t="str">
            <v>INE472M01018</v>
          </cell>
          <cell r="D4332" t="str">
            <v>MTEDUCARE</v>
          </cell>
          <cell r="E4332">
            <v>15.362792438</v>
          </cell>
          <cell r="F4332" t="str">
            <v>MTEDUCARE</v>
          </cell>
          <cell r="G4332">
            <v>14.8698</v>
          </cell>
          <cell r="H4332" t="str">
            <v>-</v>
          </cell>
          <cell r="I4332" t="str">
            <v>-</v>
          </cell>
          <cell r="J4332">
            <v>15.116296218999999</v>
          </cell>
          <cell r="K4332" t="str">
            <v>Small Cap</v>
          </cell>
        </row>
        <row r="4333">
          <cell r="C4333" t="str">
            <v>INE835U01027</v>
          </cell>
          <cell r="D4333" t="str">
            <v>NEWLIGHT</v>
          </cell>
          <cell r="E4333">
            <v>15.113111593000001</v>
          </cell>
          <cell r="F4333" t="str">
            <v>-</v>
          </cell>
          <cell r="G4333" t="str">
            <v>-</v>
          </cell>
          <cell r="H4333" t="str">
            <v>-</v>
          </cell>
          <cell r="I4333" t="str">
            <v>-</v>
          </cell>
          <cell r="J4333">
            <v>15.113111593000001</v>
          </cell>
          <cell r="K4333" t="str">
            <v>Small Cap</v>
          </cell>
        </row>
        <row r="4334">
          <cell r="C4334" t="str">
            <v>INE0PP401015</v>
          </cell>
          <cell r="D4334" t="str">
            <v>ARROWHEAD</v>
          </cell>
          <cell r="E4334">
            <v>15.110013712999999</v>
          </cell>
          <cell r="F4334" t="str">
            <v>-</v>
          </cell>
          <cell r="G4334" t="str">
            <v>-</v>
          </cell>
          <cell r="H4334" t="str">
            <v>-</v>
          </cell>
          <cell r="I4334" t="str">
            <v>-</v>
          </cell>
          <cell r="J4334">
            <v>15.110013712999999</v>
          </cell>
          <cell r="K4334" t="str">
            <v>Small Cap</v>
          </cell>
        </row>
        <row r="4335">
          <cell r="C4335" t="str">
            <v>INE117S01016</v>
          </cell>
          <cell r="D4335" t="str">
            <v>OCTAVIUSPL</v>
          </cell>
          <cell r="E4335">
            <v>15.105047619</v>
          </cell>
          <cell r="F4335" t="str">
            <v>-</v>
          </cell>
          <cell r="G4335" t="str">
            <v>-</v>
          </cell>
          <cell r="H4335" t="str">
            <v>-</v>
          </cell>
          <cell r="I4335" t="str">
            <v>-</v>
          </cell>
          <cell r="J4335">
            <v>15.105047619</v>
          </cell>
          <cell r="K4335" t="str">
            <v>Small Cap</v>
          </cell>
        </row>
        <row r="4336">
          <cell r="C4336" t="str">
            <v>INE457H01027</v>
          </cell>
          <cell r="D4336" t="str">
            <v>SIMPLXMIL</v>
          </cell>
          <cell r="E4336">
            <v>15.082355950999998</v>
          </cell>
          <cell r="F4336" t="str">
            <v>-</v>
          </cell>
          <cell r="G4336" t="str">
            <v>-</v>
          </cell>
          <cell r="H4336" t="str">
            <v>-</v>
          </cell>
          <cell r="I4336" t="str">
            <v>-</v>
          </cell>
          <cell r="J4336">
            <v>15.082355950999998</v>
          </cell>
          <cell r="K4336" t="str">
            <v>Small Cap</v>
          </cell>
        </row>
        <row r="4337">
          <cell r="C4337" t="str">
            <v>INE501L01024</v>
          </cell>
          <cell r="D4337" t="str">
            <v>MAITRI</v>
          </cell>
          <cell r="E4337">
            <v>15.062980952</v>
          </cell>
          <cell r="F4337" t="str">
            <v>-</v>
          </cell>
          <cell r="G4337" t="str">
            <v>-</v>
          </cell>
          <cell r="H4337" t="str">
            <v>-</v>
          </cell>
          <cell r="I4337" t="str">
            <v>-</v>
          </cell>
          <cell r="J4337">
            <v>15.062980952</v>
          </cell>
          <cell r="K4337" t="str">
            <v>Small Cap</v>
          </cell>
        </row>
        <row r="4338">
          <cell r="C4338" t="str">
            <v>INE190F01028</v>
          </cell>
          <cell r="D4338" t="str">
            <v>THAKRAL</v>
          </cell>
          <cell r="E4338">
            <v>15.034500190999999</v>
          </cell>
          <cell r="F4338" t="str">
            <v>-</v>
          </cell>
          <cell r="G4338" t="str">
            <v>-</v>
          </cell>
          <cell r="H4338" t="str">
            <v>-</v>
          </cell>
          <cell r="I4338" t="str">
            <v>-</v>
          </cell>
          <cell r="J4338">
            <v>15.034500190999999</v>
          </cell>
          <cell r="K4338" t="str">
            <v>Small Cap</v>
          </cell>
        </row>
        <row r="4339">
          <cell r="C4339" t="str">
            <v>INE487G01018</v>
          </cell>
          <cell r="D4339" t="str">
            <v>GYANDEV</v>
          </cell>
          <cell r="E4339">
            <v>15.023190476</v>
          </cell>
          <cell r="F4339" t="str">
            <v>-</v>
          </cell>
          <cell r="G4339" t="str">
            <v>-</v>
          </cell>
          <cell r="H4339" t="str">
            <v>-</v>
          </cell>
          <cell r="I4339" t="str">
            <v>-</v>
          </cell>
          <cell r="J4339">
            <v>15.023190476</v>
          </cell>
          <cell r="K4339" t="str">
            <v>Small Cap</v>
          </cell>
        </row>
        <row r="4340">
          <cell r="C4340" t="str">
            <v>INE937K01014</v>
          </cell>
          <cell r="D4340" t="str">
            <v>ETIL</v>
          </cell>
          <cell r="E4340">
            <v>15.022932855000001</v>
          </cell>
          <cell r="F4340" t="str">
            <v>-</v>
          </cell>
          <cell r="G4340" t="str">
            <v>-</v>
          </cell>
          <cell r="H4340" t="str">
            <v>-</v>
          </cell>
          <cell r="I4340" t="str">
            <v>-</v>
          </cell>
          <cell r="J4340">
            <v>15.022932855000001</v>
          </cell>
          <cell r="K4340" t="str">
            <v>Small Cap</v>
          </cell>
        </row>
        <row r="4341">
          <cell r="C4341" t="str">
            <v>INE213S01013</v>
          </cell>
          <cell r="D4341" t="str">
            <v>SAINDUS</v>
          </cell>
          <cell r="E4341">
            <v>15</v>
          </cell>
          <cell r="F4341" t="str">
            <v>-</v>
          </cell>
          <cell r="G4341" t="str">
            <v>-</v>
          </cell>
          <cell r="H4341" t="str">
            <v>-</v>
          </cell>
          <cell r="I4341" t="str">
            <v>-</v>
          </cell>
          <cell r="J4341">
            <v>15</v>
          </cell>
          <cell r="K4341" t="str">
            <v>Small Cap</v>
          </cell>
        </row>
        <row r="4342">
          <cell r="C4342" t="str">
            <v>INE488C01015</v>
          </cell>
          <cell r="D4342" t="str">
            <v>SHRYDUS</v>
          </cell>
          <cell r="E4342">
            <v>14.951853233000001</v>
          </cell>
          <cell r="F4342" t="str">
            <v>-</v>
          </cell>
          <cell r="G4342" t="str">
            <v>-</v>
          </cell>
          <cell r="H4342" t="str">
            <v>-</v>
          </cell>
          <cell r="I4342" t="str">
            <v>-</v>
          </cell>
          <cell r="J4342">
            <v>14.951853233000001</v>
          </cell>
          <cell r="K4342" t="str">
            <v>Small Cap</v>
          </cell>
        </row>
        <row r="4343">
          <cell r="C4343" t="str">
            <v>INE177D01020</v>
          </cell>
          <cell r="D4343" t="str">
            <v>INTERDIGI</v>
          </cell>
          <cell r="E4343">
            <v>14.917009786000001</v>
          </cell>
          <cell r="F4343" t="str">
            <v>-</v>
          </cell>
          <cell r="G4343" t="str">
            <v>-</v>
          </cell>
          <cell r="H4343" t="str">
            <v>-</v>
          </cell>
          <cell r="I4343" t="str">
            <v>-</v>
          </cell>
          <cell r="J4343">
            <v>14.917009786000001</v>
          </cell>
          <cell r="K4343" t="str">
            <v>Small Cap</v>
          </cell>
        </row>
        <row r="4344">
          <cell r="C4344" t="str">
            <v>INE764B01029</v>
          </cell>
          <cell r="D4344" t="str">
            <v>SUMERUIND</v>
          </cell>
          <cell r="E4344">
            <v>14.912000000000001</v>
          </cell>
          <cell r="F4344" t="str">
            <v>-</v>
          </cell>
          <cell r="G4344" t="str">
            <v>-</v>
          </cell>
          <cell r="H4344" t="str">
            <v>-</v>
          </cell>
          <cell r="I4344" t="str">
            <v>-</v>
          </cell>
          <cell r="J4344">
            <v>14.912000000000001</v>
          </cell>
          <cell r="K4344" t="str">
            <v>Small Cap</v>
          </cell>
        </row>
        <row r="4345">
          <cell r="C4345" t="str">
            <v>INE721C01019</v>
          </cell>
          <cell r="D4345" t="str">
            <v>GARBIFIN</v>
          </cell>
          <cell r="E4345">
            <v>14.910718387000001</v>
          </cell>
          <cell r="F4345" t="str">
            <v>-</v>
          </cell>
          <cell r="G4345" t="str">
            <v>-</v>
          </cell>
          <cell r="H4345" t="str">
            <v>-</v>
          </cell>
          <cell r="I4345" t="str">
            <v>-</v>
          </cell>
          <cell r="J4345">
            <v>14.910718387000001</v>
          </cell>
          <cell r="K4345" t="str">
            <v>Small Cap</v>
          </cell>
        </row>
        <row r="4346">
          <cell r="C4346" t="str">
            <v>INE821D01031</v>
          </cell>
          <cell r="D4346" t="str">
            <v>RANDER</v>
          </cell>
          <cell r="E4346">
            <v>14.889584048</v>
          </cell>
          <cell r="F4346" t="str">
            <v>-</v>
          </cell>
          <cell r="G4346" t="str">
            <v>-</v>
          </cell>
          <cell r="H4346" t="str">
            <v>-</v>
          </cell>
          <cell r="I4346" t="str">
            <v>-</v>
          </cell>
          <cell r="J4346">
            <v>14.889584048</v>
          </cell>
          <cell r="K4346" t="str">
            <v>Small Cap</v>
          </cell>
        </row>
        <row r="4347">
          <cell r="C4347" t="str">
            <v>INE022C01012</v>
          </cell>
          <cell r="D4347" t="str">
            <v>EUROTEXIND</v>
          </cell>
          <cell r="E4347">
            <v>15.433997983000001</v>
          </cell>
          <cell r="F4347" t="str">
            <v>EUROTEXIND</v>
          </cell>
          <cell r="G4347">
            <v>14.241899999999999</v>
          </cell>
          <cell r="H4347" t="str">
            <v>-</v>
          </cell>
          <cell r="I4347" t="str">
            <v>-</v>
          </cell>
          <cell r="J4347">
            <v>14.837948991499999</v>
          </cell>
          <cell r="K4347" t="str">
            <v>Small Cap</v>
          </cell>
        </row>
        <row r="4348">
          <cell r="C4348" t="str">
            <v>INE632A01012</v>
          </cell>
          <cell r="D4348" t="str">
            <v>SHRMFGC</v>
          </cell>
          <cell r="E4348">
            <v>14.831188152999999</v>
          </cell>
          <cell r="F4348" t="str">
            <v>-</v>
          </cell>
          <cell r="G4348" t="str">
            <v>-</v>
          </cell>
          <cell r="H4348" t="str">
            <v>-</v>
          </cell>
          <cell r="I4348" t="str">
            <v>-</v>
          </cell>
          <cell r="J4348">
            <v>14.831188152999999</v>
          </cell>
          <cell r="K4348" t="str">
            <v>Small Cap</v>
          </cell>
        </row>
        <row r="4349">
          <cell r="C4349" t="str">
            <v>INE0PYT01018</v>
          </cell>
          <cell r="D4349" t="str">
            <v>EUPHORIAIT</v>
          </cell>
          <cell r="E4349">
            <v>14.762406678</v>
          </cell>
          <cell r="F4349" t="str">
            <v>-</v>
          </cell>
          <cell r="G4349" t="str">
            <v>-</v>
          </cell>
          <cell r="H4349" t="str">
            <v>-</v>
          </cell>
          <cell r="I4349" t="str">
            <v>-</v>
          </cell>
          <cell r="J4349">
            <v>14.762406678</v>
          </cell>
          <cell r="K4349" t="str">
            <v>Small Cap</v>
          </cell>
        </row>
        <row r="4350">
          <cell r="C4350" t="str">
            <v>INE503D01027</v>
          </cell>
          <cell r="D4350" t="str">
            <v>GEMSI</v>
          </cell>
          <cell r="E4350">
            <v>14.758972222000001</v>
          </cell>
          <cell r="F4350" t="str">
            <v>-</v>
          </cell>
          <cell r="G4350" t="str">
            <v>-</v>
          </cell>
          <cell r="H4350" t="str">
            <v>-</v>
          </cell>
          <cell r="I4350" t="str">
            <v>-</v>
          </cell>
          <cell r="J4350">
            <v>14.758972222000001</v>
          </cell>
          <cell r="K4350" t="str">
            <v>Small Cap</v>
          </cell>
        </row>
        <row r="4351">
          <cell r="C4351" t="str">
            <v>INE240B01012</v>
          </cell>
          <cell r="D4351" t="str">
            <v>MEHIF</v>
          </cell>
          <cell r="E4351">
            <v>14.752738094999998</v>
          </cell>
          <cell r="F4351" t="str">
            <v>-</v>
          </cell>
          <cell r="G4351" t="str">
            <v>-</v>
          </cell>
          <cell r="H4351" t="str">
            <v>-</v>
          </cell>
          <cell r="I4351" t="str">
            <v>-</v>
          </cell>
          <cell r="J4351">
            <v>14.752738094999998</v>
          </cell>
          <cell r="K4351" t="str">
            <v>Small Cap</v>
          </cell>
        </row>
        <row r="4352">
          <cell r="C4352" t="str">
            <v>INE707B01010</v>
          </cell>
          <cell r="D4352" t="str">
            <v>SEASONST</v>
          </cell>
          <cell r="E4352">
            <v>14.748816828000001</v>
          </cell>
          <cell r="F4352" t="str">
            <v>-</v>
          </cell>
          <cell r="G4352" t="str">
            <v>-</v>
          </cell>
          <cell r="H4352" t="str">
            <v>-</v>
          </cell>
          <cell r="I4352" t="str">
            <v>-</v>
          </cell>
          <cell r="J4352">
            <v>14.748816828000001</v>
          </cell>
          <cell r="K4352" t="str">
            <v>Small Cap</v>
          </cell>
        </row>
        <row r="4353">
          <cell r="C4353" t="str">
            <v>INE759D01017</v>
          </cell>
          <cell r="D4353" t="str">
            <v>AVASARA</v>
          </cell>
          <cell r="E4353">
            <v>14.716418319999999</v>
          </cell>
          <cell r="F4353" t="str">
            <v>-</v>
          </cell>
          <cell r="G4353" t="str">
            <v>-</v>
          </cell>
          <cell r="H4353" t="str">
            <v>-</v>
          </cell>
          <cell r="I4353" t="str">
            <v>-</v>
          </cell>
          <cell r="J4353">
            <v>14.716418319999999</v>
          </cell>
          <cell r="K4353" t="str">
            <v>Small Cap</v>
          </cell>
        </row>
        <row r="4354">
          <cell r="C4354" t="str">
            <v>INE444D01016</v>
          </cell>
          <cell r="D4354" t="str">
            <v>NATRAJPR</v>
          </cell>
          <cell r="E4354">
            <v>14.707272381000001</v>
          </cell>
          <cell r="F4354" t="str">
            <v>-</v>
          </cell>
          <cell r="G4354" t="str">
            <v>-</v>
          </cell>
          <cell r="H4354" t="str">
            <v>-</v>
          </cell>
          <cell r="I4354" t="str">
            <v>-</v>
          </cell>
          <cell r="J4354">
            <v>14.707272381000001</v>
          </cell>
          <cell r="K4354" t="str">
            <v>Small Cap</v>
          </cell>
        </row>
        <row r="4355">
          <cell r="C4355" t="str">
            <v>INE00CX01017</v>
          </cell>
          <cell r="D4355" t="str">
            <v>MAHIP</v>
          </cell>
          <cell r="E4355">
            <v>14.702096344999999</v>
          </cell>
          <cell r="F4355" t="str">
            <v>-</v>
          </cell>
          <cell r="G4355" t="str">
            <v>-</v>
          </cell>
          <cell r="H4355" t="str">
            <v>-</v>
          </cell>
          <cell r="I4355" t="str">
            <v>-</v>
          </cell>
          <cell r="J4355">
            <v>14.702096344999999</v>
          </cell>
          <cell r="K4355" t="str">
            <v>Small Cap</v>
          </cell>
        </row>
        <row r="4356">
          <cell r="C4356" t="str">
            <v>INE333C01013</v>
          </cell>
          <cell r="D4356" t="str">
            <v>INDLEASE</v>
          </cell>
          <cell r="E4356">
            <v>14.691424158000002</v>
          </cell>
          <cell r="F4356" t="str">
            <v>-</v>
          </cell>
          <cell r="G4356" t="str">
            <v>-</v>
          </cell>
          <cell r="H4356" t="str">
            <v>-</v>
          </cell>
          <cell r="I4356" t="str">
            <v>-</v>
          </cell>
          <cell r="J4356">
            <v>14.691424158000002</v>
          </cell>
          <cell r="K4356" t="str">
            <v>Small Cap</v>
          </cell>
        </row>
        <row r="4357">
          <cell r="C4357" t="str">
            <v>INE149B01015</v>
          </cell>
          <cell r="D4357" t="str">
            <v>POPEES</v>
          </cell>
          <cell r="E4357">
            <v>14.683147343</v>
          </cell>
          <cell r="F4357" t="str">
            <v>-</v>
          </cell>
          <cell r="G4357" t="str">
            <v>-</v>
          </cell>
          <cell r="H4357" t="str">
            <v>-</v>
          </cell>
          <cell r="I4357" t="str">
            <v>-</v>
          </cell>
          <cell r="J4357">
            <v>14.683147343</v>
          </cell>
          <cell r="K4357" t="str">
            <v>Small Cap</v>
          </cell>
        </row>
        <row r="4358">
          <cell r="C4358" t="str">
            <v>INE04Z101016</v>
          </cell>
          <cell r="D4358" t="str">
            <v>ASIAN</v>
          </cell>
          <cell r="E4358">
            <v>14.674801829</v>
          </cell>
          <cell r="F4358" t="str">
            <v>-</v>
          </cell>
          <cell r="G4358" t="str">
            <v>-</v>
          </cell>
          <cell r="H4358" t="str">
            <v>-</v>
          </cell>
          <cell r="I4358" t="str">
            <v>-</v>
          </cell>
          <cell r="J4358">
            <v>14.674801829</v>
          </cell>
          <cell r="K4358" t="str">
            <v>Small Cap</v>
          </cell>
        </row>
        <row r="4359">
          <cell r="C4359" t="str">
            <v>INE0M8R01011</v>
          </cell>
          <cell r="D4359" t="str">
            <v>KOURA</v>
          </cell>
          <cell r="E4359">
            <v>14.637124833000001</v>
          </cell>
          <cell r="F4359" t="str">
            <v>-</v>
          </cell>
          <cell r="G4359" t="str">
            <v>-</v>
          </cell>
          <cell r="H4359" t="str">
            <v>-</v>
          </cell>
          <cell r="I4359" t="str">
            <v>-</v>
          </cell>
          <cell r="J4359">
            <v>14.637124833000001</v>
          </cell>
          <cell r="K4359" t="str">
            <v>Small Cap</v>
          </cell>
        </row>
        <row r="4360">
          <cell r="C4360" t="str">
            <v>INE196B01016</v>
          </cell>
          <cell r="D4360" t="str">
            <v>SHIRPUR-G</v>
          </cell>
          <cell r="E4360">
            <v>14.626875404</v>
          </cell>
          <cell r="F4360" t="str">
            <v>-</v>
          </cell>
          <cell r="G4360" t="str">
            <v>-</v>
          </cell>
          <cell r="H4360" t="str">
            <v>-</v>
          </cell>
          <cell r="I4360" t="str">
            <v>-</v>
          </cell>
          <cell r="J4360">
            <v>14.626875404</v>
          </cell>
          <cell r="K4360" t="str">
            <v>Small Cap</v>
          </cell>
        </row>
        <row r="4361">
          <cell r="C4361" t="str">
            <v>INE0KCM01010</v>
          </cell>
          <cell r="D4361" t="str">
            <v>EKENNIS</v>
          </cell>
          <cell r="E4361">
            <v>14.608599999999999</v>
          </cell>
          <cell r="F4361" t="str">
            <v>-</v>
          </cell>
          <cell r="G4361" t="str">
            <v>-</v>
          </cell>
          <cell r="H4361" t="str">
            <v>-</v>
          </cell>
          <cell r="I4361" t="str">
            <v>-</v>
          </cell>
          <cell r="J4361">
            <v>14.608599999999999</v>
          </cell>
          <cell r="K4361" t="str">
            <v>Small Cap</v>
          </cell>
        </row>
        <row r="4362">
          <cell r="C4362" t="str">
            <v>INE377C01010</v>
          </cell>
          <cell r="D4362" t="str">
            <v>SRECR</v>
          </cell>
          <cell r="E4362">
            <v>14.599833333000001</v>
          </cell>
          <cell r="F4362" t="str">
            <v>-</v>
          </cell>
          <cell r="G4362" t="str">
            <v>-</v>
          </cell>
          <cell r="H4362" t="str">
            <v>-</v>
          </cell>
          <cell r="I4362" t="str">
            <v>-</v>
          </cell>
          <cell r="J4362">
            <v>14.599833333000001</v>
          </cell>
          <cell r="K4362" t="str">
            <v>Small Cap</v>
          </cell>
        </row>
        <row r="4363">
          <cell r="C4363" t="str">
            <v>INE05QJ01015</v>
          </cell>
          <cell r="D4363" t="str">
            <v>GKP</v>
          </cell>
          <cell r="E4363">
            <v>14.585923991999998</v>
          </cell>
          <cell r="F4363" t="str">
            <v>-</v>
          </cell>
          <cell r="G4363" t="str">
            <v>-</v>
          </cell>
          <cell r="H4363" t="str">
            <v>-</v>
          </cell>
          <cell r="I4363" t="str">
            <v>-</v>
          </cell>
          <cell r="J4363">
            <v>14.585923991999998</v>
          </cell>
          <cell r="K4363" t="str">
            <v>Small Cap</v>
          </cell>
        </row>
        <row r="4364">
          <cell r="C4364" t="str">
            <v>INE158R01012</v>
          </cell>
          <cell r="D4364" t="str">
            <v>DML</v>
          </cell>
          <cell r="E4364">
            <v>14.578692916999998</v>
          </cell>
          <cell r="F4364" t="str">
            <v>-</v>
          </cell>
          <cell r="G4364" t="str">
            <v>-</v>
          </cell>
          <cell r="H4364" t="str">
            <v>-</v>
          </cell>
          <cell r="I4364" t="str">
            <v>-</v>
          </cell>
          <cell r="J4364">
            <v>14.578692916999998</v>
          </cell>
          <cell r="K4364" t="str">
            <v>Small Cap</v>
          </cell>
        </row>
        <row r="4365">
          <cell r="C4365" t="str">
            <v>INE240C01028</v>
          </cell>
          <cell r="D4365" t="str">
            <v>UMESLTD</v>
          </cell>
          <cell r="E4365">
            <v>14.578173283000002</v>
          </cell>
          <cell r="F4365" t="str">
            <v>UMESLTD</v>
          </cell>
          <cell r="G4365">
            <v>14.5524</v>
          </cell>
          <cell r="H4365" t="str">
            <v>-</v>
          </cell>
          <cell r="I4365" t="str">
            <v>-</v>
          </cell>
          <cell r="J4365">
            <v>14.565286641500002</v>
          </cell>
          <cell r="K4365" t="str">
            <v>Small Cap</v>
          </cell>
        </row>
        <row r="4366">
          <cell r="C4366" t="str">
            <v>INE275F01019</v>
          </cell>
          <cell r="D4366" t="str">
            <v>UNIVAFOODS</v>
          </cell>
          <cell r="E4366">
            <v>10.636156749</v>
          </cell>
          <cell r="F4366" t="str">
            <v>UNIVAFOODS</v>
          </cell>
          <cell r="G4366">
            <v>18.401199999999999</v>
          </cell>
          <cell r="H4366" t="str">
            <v>-</v>
          </cell>
          <cell r="I4366" t="str">
            <v>-</v>
          </cell>
          <cell r="J4366">
            <v>14.518678374499999</v>
          </cell>
          <cell r="K4366" t="str">
            <v>Small Cap</v>
          </cell>
        </row>
        <row r="4367">
          <cell r="C4367" t="str">
            <v>INE480S01026</v>
          </cell>
          <cell r="D4367" t="str">
            <v>GGPL</v>
          </cell>
          <cell r="E4367">
            <v>14.472340575999999</v>
          </cell>
          <cell r="F4367" t="str">
            <v>-</v>
          </cell>
          <cell r="G4367" t="str">
            <v>-</v>
          </cell>
          <cell r="H4367" t="str">
            <v>-</v>
          </cell>
          <cell r="I4367" t="str">
            <v>-</v>
          </cell>
          <cell r="J4367">
            <v>14.472340575999999</v>
          </cell>
          <cell r="K4367" t="str">
            <v>Small Cap</v>
          </cell>
        </row>
        <row r="4368">
          <cell r="C4368" t="str">
            <v>INE115E01010</v>
          </cell>
          <cell r="D4368" t="str">
            <v>INDAGIV</v>
          </cell>
          <cell r="E4368">
            <v>14.423745165000001</v>
          </cell>
          <cell r="F4368" t="str">
            <v>-</v>
          </cell>
          <cell r="G4368" t="str">
            <v>-</v>
          </cell>
          <cell r="H4368" t="str">
            <v>-</v>
          </cell>
          <cell r="I4368" t="str">
            <v>-</v>
          </cell>
          <cell r="J4368">
            <v>14.423745165000001</v>
          </cell>
          <cell r="K4368" t="str">
            <v>Small Cap</v>
          </cell>
        </row>
        <row r="4369">
          <cell r="C4369" t="str">
            <v>INE424Z01011</v>
          </cell>
          <cell r="D4369" t="str">
            <v>MILEFUR</v>
          </cell>
          <cell r="E4369">
            <v>14.398249143000001</v>
          </cell>
          <cell r="F4369" t="str">
            <v>-</v>
          </cell>
          <cell r="G4369" t="str">
            <v>-</v>
          </cell>
          <cell r="H4369" t="str">
            <v>-</v>
          </cell>
          <cell r="I4369" t="str">
            <v>-</v>
          </cell>
          <cell r="J4369">
            <v>14.398249143000001</v>
          </cell>
          <cell r="K4369" t="str">
            <v>Small Cap</v>
          </cell>
        </row>
        <row r="4370">
          <cell r="C4370" t="str">
            <v>INE474H01014</v>
          </cell>
          <cell r="D4370" t="str">
            <v>RRSECUR</v>
          </cell>
          <cell r="E4370">
            <v>14.388049202000001</v>
          </cell>
          <cell r="F4370" t="str">
            <v>-</v>
          </cell>
          <cell r="G4370" t="str">
            <v>-</v>
          </cell>
          <cell r="H4370" t="str">
            <v>-</v>
          </cell>
          <cell r="I4370" t="str">
            <v>-</v>
          </cell>
          <cell r="J4370">
            <v>14.388049202000001</v>
          </cell>
          <cell r="K4370" t="str">
            <v>Small Cap</v>
          </cell>
        </row>
        <row r="4371">
          <cell r="C4371" t="str">
            <v>INE804Q01013</v>
          </cell>
          <cell r="D4371" t="str">
            <v>GLCL</v>
          </cell>
          <cell r="E4371">
            <v>15.970988556</v>
          </cell>
          <cell r="F4371" t="str">
            <v>-</v>
          </cell>
          <cell r="G4371" t="str">
            <v>-</v>
          </cell>
          <cell r="H4371" t="str">
            <v>GLOBE</v>
          </cell>
          <cell r="I4371">
            <v>12.798550476190474</v>
          </cell>
          <cell r="J4371">
            <v>14.384769516095236</v>
          </cell>
          <cell r="K4371" t="str">
            <v>Small Cap</v>
          </cell>
        </row>
        <row r="4372">
          <cell r="C4372" t="str">
            <v>INE398F01019</v>
          </cell>
          <cell r="D4372" t="str">
            <v>STRGRENWO</v>
          </cell>
          <cell r="E4372">
            <v>14.376748359999999</v>
          </cell>
          <cell r="F4372" t="str">
            <v>-</v>
          </cell>
          <cell r="G4372" t="str">
            <v>-</v>
          </cell>
          <cell r="H4372" t="str">
            <v>-</v>
          </cell>
          <cell r="I4372" t="str">
            <v>-</v>
          </cell>
          <cell r="J4372">
            <v>14.376748359999999</v>
          </cell>
          <cell r="K4372" t="str">
            <v>Small Cap</v>
          </cell>
        </row>
        <row r="4373">
          <cell r="C4373" t="str">
            <v>INE204Y01010</v>
          </cell>
          <cell r="D4373" t="str">
            <v>SBRANDS</v>
          </cell>
          <cell r="E4373">
            <v>14.338450809000001</v>
          </cell>
          <cell r="F4373" t="str">
            <v>-</v>
          </cell>
          <cell r="G4373" t="str">
            <v>-</v>
          </cell>
          <cell r="H4373" t="str">
            <v>-</v>
          </cell>
          <cell r="I4373" t="str">
            <v>-</v>
          </cell>
          <cell r="J4373">
            <v>14.338450809000001</v>
          </cell>
          <cell r="K4373" t="str">
            <v>Small Cap</v>
          </cell>
        </row>
        <row r="4374">
          <cell r="C4374" t="str">
            <v>INE508J01015</v>
          </cell>
          <cell r="D4374" t="str">
            <v>BERYLSE</v>
          </cell>
          <cell r="E4374">
            <v>14.304767494999998</v>
          </cell>
          <cell r="F4374" t="str">
            <v>-</v>
          </cell>
          <cell r="G4374" t="str">
            <v>-</v>
          </cell>
          <cell r="H4374" t="str">
            <v>-</v>
          </cell>
          <cell r="I4374" t="str">
            <v>-</v>
          </cell>
          <cell r="J4374">
            <v>14.304767494999998</v>
          </cell>
          <cell r="K4374" t="str">
            <v>Small Cap</v>
          </cell>
        </row>
        <row r="4375">
          <cell r="C4375" t="str">
            <v>INE668Y01016</v>
          </cell>
          <cell r="D4375" t="str">
            <v>TRUSTWAVE</v>
          </cell>
          <cell r="E4375">
            <v>14.259283886000002</v>
          </cell>
          <cell r="F4375" t="str">
            <v>-</v>
          </cell>
          <cell r="G4375" t="str">
            <v>-</v>
          </cell>
          <cell r="H4375" t="str">
            <v>-</v>
          </cell>
          <cell r="I4375" t="str">
            <v>-</v>
          </cell>
          <cell r="J4375">
            <v>14.259283886000002</v>
          </cell>
          <cell r="K4375" t="str">
            <v>Small Cap</v>
          </cell>
        </row>
        <row r="4376">
          <cell r="C4376" t="str">
            <v>INE758B01013</v>
          </cell>
          <cell r="D4376" t="str">
            <v>VKGLOBAL</v>
          </cell>
          <cell r="E4376">
            <v>14.212907575999999</v>
          </cell>
          <cell r="F4376" t="str">
            <v>-</v>
          </cell>
          <cell r="G4376" t="str">
            <v>-</v>
          </cell>
          <cell r="H4376" t="str">
            <v>-</v>
          </cell>
          <cell r="I4376" t="str">
            <v>-</v>
          </cell>
          <cell r="J4376">
            <v>14.212907575999999</v>
          </cell>
          <cell r="K4376" t="str">
            <v>Small Cap</v>
          </cell>
        </row>
        <row r="4377">
          <cell r="C4377" t="str">
            <v>INE004E01016</v>
          </cell>
          <cell r="D4377" t="str">
            <v>SDL</v>
          </cell>
          <cell r="E4377">
            <v>14.209905194999999</v>
          </cell>
          <cell r="F4377" t="str">
            <v>-</v>
          </cell>
          <cell r="G4377" t="str">
            <v>-</v>
          </cell>
          <cell r="H4377" t="str">
            <v>-</v>
          </cell>
          <cell r="I4377" t="str">
            <v>-</v>
          </cell>
          <cell r="J4377">
            <v>14.209905194999999</v>
          </cell>
          <cell r="K4377" t="str">
            <v>Small Cap</v>
          </cell>
        </row>
        <row r="4378">
          <cell r="C4378" t="str">
            <v>INE00SZ01018</v>
          </cell>
          <cell r="D4378" t="str">
            <v>-</v>
          </cell>
          <cell r="E4378" t="str">
            <v>-</v>
          </cell>
          <cell r="F4378" t="str">
            <v>MARSHALL</v>
          </cell>
          <cell r="G4378">
            <v>14.193</v>
          </cell>
          <cell r="H4378" t="str">
            <v>-</v>
          </cell>
          <cell r="I4378" t="str">
            <v>-</v>
          </cell>
          <cell r="J4378">
            <v>14.193</v>
          </cell>
          <cell r="K4378" t="str">
            <v>Small Cap</v>
          </cell>
        </row>
        <row r="4379">
          <cell r="C4379" t="str">
            <v>INE381G01013</v>
          </cell>
          <cell r="D4379" t="str">
            <v>TELECANOR</v>
          </cell>
          <cell r="E4379">
            <v>14.191975561000001</v>
          </cell>
          <cell r="F4379" t="str">
            <v>-</v>
          </cell>
          <cell r="G4379" t="str">
            <v>-</v>
          </cell>
          <cell r="H4379" t="str">
            <v>-</v>
          </cell>
          <cell r="I4379" t="str">
            <v>-</v>
          </cell>
          <cell r="J4379">
            <v>14.191975561000001</v>
          </cell>
          <cell r="K4379" t="str">
            <v>Small Cap</v>
          </cell>
        </row>
        <row r="4380">
          <cell r="C4380" t="str">
            <v>INE846C01014</v>
          </cell>
          <cell r="D4380" t="str">
            <v>EASTERNGAS</v>
          </cell>
          <cell r="E4380">
            <v>14.145</v>
          </cell>
          <cell r="F4380" t="str">
            <v>-</v>
          </cell>
          <cell r="G4380" t="str">
            <v>-</v>
          </cell>
          <cell r="H4380" t="str">
            <v>-</v>
          </cell>
          <cell r="I4380" t="str">
            <v>-</v>
          </cell>
          <cell r="J4380">
            <v>14.145</v>
          </cell>
          <cell r="K4380" t="str">
            <v>Small Cap</v>
          </cell>
        </row>
        <row r="4381">
          <cell r="C4381" t="str">
            <v>INE570E01016</v>
          </cell>
          <cell r="D4381" t="str">
            <v>-</v>
          </cell>
          <cell r="E4381" t="str">
            <v>-</v>
          </cell>
          <cell r="F4381" t="str">
            <v>-</v>
          </cell>
          <cell r="G4381" t="str">
            <v>-</v>
          </cell>
          <cell r="H4381" t="str">
            <v>AFDIL</v>
          </cell>
          <cell r="I4381">
            <v>14.142369099999998</v>
          </cell>
          <cell r="J4381">
            <v>14.142369099999998</v>
          </cell>
          <cell r="K4381" t="str">
            <v>Small Cap</v>
          </cell>
        </row>
        <row r="4382">
          <cell r="C4382" t="str">
            <v>INE234J01018</v>
          </cell>
          <cell r="D4382" t="str">
            <v>ANSINDUS</v>
          </cell>
          <cell r="E4382">
            <v>14.130436371</v>
          </cell>
          <cell r="F4382" t="str">
            <v>-</v>
          </cell>
          <cell r="G4382" t="str">
            <v>-</v>
          </cell>
          <cell r="H4382" t="str">
            <v>-</v>
          </cell>
          <cell r="I4382" t="str">
            <v>-</v>
          </cell>
          <cell r="J4382">
            <v>14.130436371</v>
          </cell>
          <cell r="K4382" t="str">
            <v>Small Cap</v>
          </cell>
        </row>
        <row r="4383">
          <cell r="C4383" t="str">
            <v>INE154G01022</v>
          </cell>
          <cell r="D4383" t="str">
            <v>VENMAX</v>
          </cell>
          <cell r="E4383">
            <v>14.106508131</v>
          </cell>
          <cell r="F4383" t="str">
            <v>-</v>
          </cell>
          <cell r="G4383" t="str">
            <v>-</v>
          </cell>
          <cell r="H4383" t="str">
            <v>-</v>
          </cell>
          <cell r="I4383" t="str">
            <v>-</v>
          </cell>
          <cell r="J4383">
            <v>14.106508131</v>
          </cell>
          <cell r="K4383" t="str">
            <v>Small Cap</v>
          </cell>
        </row>
        <row r="4384">
          <cell r="C4384" t="str">
            <v>INE443E01016</v>
          </cell>
          <cell r="D4384" t="str">
            <v>SRINACHA</v>
          </cell>
          <cell r="E4384">
            <v>14.106252381000001</v>
          </cell>
          <cell r="F4384" t="str">
            <v>-</v>
          </cell>
          <cell r="G4384" t="str">
            <v>-</v>
          </cell>
          <cell r="H4384" t="str">
            <v>-</v>
          </cell>
          <cell r="I4384" t="str">
            <v>-</v>
          </cell>
          <cell r="J4384">
            <v>14.106252381000001</v>
          </cell>
          <cell r="K4384" t="str">
            <v>Small Cap</v>
          </cell>
        </row>
        <row r="4385">
          <cell r="C4385" t="str">
            <v>INE905P01028</v>
          </cell>
          <cell r="D4385" t="str">
            <v>BCP</v>
          </cell>
          <cell r="E4385">
            <v>14.083534921</v>
          </cell>
          <cell r="F4385" t="str">
            <v>-</v>
          </cell>
          <cell r="G4385" t="str">
            <v>-</v>
          </cell>
          <cell r="H4385" t="str">
            <v>-</v>
          </cell>
          <cell r="I4385" t="str">
            <v>-</v>
          </cell>
          <cell r="J4385">
            <v>14.083534921</v>
          </cell>
          <cell r="K4385" t="str">
            <v>Small Cap</v>
          </cell>
        </row>
        <row r="4386">
          <cell r="C4386" t="str">
            <v>INE035401020</v>
          </cell>
          <cell r="D4386" t="str">
            <v>ACEENGITEC</v>
          </cell>
          <cell r="E4386">
            <v>14.073121084</v>
          </cell>
          <cell r="F4386" t="str">
            <v>-</v>
          </cell>
          <cell r="G4386" t="str">
            <v>-</v>
          </cell>
          <cell r="H4386" t="str">
            <v>-</v>
          </cell>
          <cell r="I4386" t="str">
            <v>-</v>
          </cell>
          <cell r="J4386">
            <v>14.073121084</v>
          </cell>
          <cell r="K4386" t="str">
            <v>Small Cap</v>
          </cell>
        </row>
        <row r="4387">
          <cell r="C4387" t="str">
            <v>INE803L01016</v>
          </cell>
          <cell r="D4387" t="str">
            <v>GALAGEX</v>
          </cell>
          <cell r="E4387">
            <v>14.072157225</v>
          </cell>
          <cell r="F4387" t="str">
            <v>-</v>
          </cell>
          <cell r="G4387" t="str">
            <v>-</v>
          </cell>
          <cell r="H4387" t="str">
            <v>-</v>
          </cell>
          <cell r="I4387" t="str">
            <v>-</v>
          </cell>
          <cell r="J4387">
            <v>14.072157225</v>
          </cell>
          <cell r="K4387" t="str">
            <v>Small Cap</v>
          </cell>
        </row>
        <row r="4388">
          <cell r="C4388" t="str">
            <v>INE857P01021</v>
          </cell>
          <cell r="D4388" t="str">
            <v>SBL</v>
          </cell>
          <cell r="E4388">
            <v>14.055785316999998</v>
          </cell>
          <cell r="F4388" t="str">
            <v>-</v>
          </cell>
          <cell r="G4388" t="str">
            <v>-</v>
          </cell>
          <cell r="H4388" t="str">
            <v>-</v>
          </cell>
          <cell r="I4388" t="str">
            <v>-</v>
          </cell>
          <cell r="J4388">
            <v>14.055785316999998</v>
          </cell>
          <cell r="K4388" t="str">
            <v>Small Cap</v>
          </cell>
        </row>
        <row r="4389">
          <cell r="C4389" t="str">
            <v>INE714Q01014</v>
          </cell>
          <cell r="D4389" t="str">
            <v>CHPLIND</v>
          </cell>
          <cell r="E4389">
            <v>14.046269794999999</v>
          </cell>
          <cell r="F4389" t="str">
            <v>-</v>
          </cell>
          <cell r="G4389" t="str">
            <v>-</v>
          </cell>
          <cell r="H4389" t="str">
            <v>-</v>
          </cell>
          <cell r="I4389" t="str">
            <v>-</v>
          </cell>
          <cell r="J4389">
            <v>14.046269794999999</v>
          </cell>
          <cell r="K4389" t="str">
            <v>Small Cap</v>
          </cell>
        </row>
        <row r="4390">
          <cell r="C4390" t="str">
            <v>INE0URU01010</v>
          </cell>
          <cell r="D4390" t="str">
            <v>GLOBALE</v>
          </cell>
          <cell r="E4390">
            <v>14.055681099000001</v>
          </cell>
          <cell r="F4390" t="str">
            <v>GLOBALE</v>
          </cell>
          <cell r="G4390">
            <v>13.961399999999999</v>
          </cell>
          <cell r="H4390" t="str">
            <v>-</v>
          </cell>
          <cell r="I4390" t="str">
            <v>-</v>
          </cell>
          <cell r="J4390">
            <v>14.008540549500001</v>
          </cell>
          <cell r="K4390" t="str">
            <v>Small Cap</v>
          </cell>
        </row>
        <row r="4391">
          <cell r="C4391" t="str">
            <v>INE607L01029</v>
          </cell>
          <cell r="D4391" t="str">
            <v>BILENERGY</v>
          </cell>
          <cell r="E4391">
            <v>13.953455999999999</v>
          </cell>
          <cell r="F4391" t="str">
            <v>-</v>
          </cell>
          <cell r="G4391" t="str">
            <v>-</v>
          </cell>
          <cell r="H4391" t="str">
            <v>-</v>
          </cell>
          <cell r="I4391" t="str">
            <v>-</v>
          </cell>
          <cell r="J4391">
            <v>13.953455999999999</v>
          </cell>
          <cell r="K4391" t="str">
            <v>Small Cap</v>
          </cell>
        </row>
        <row r="4392">
          <cell r="C4392" t="str">
            <v>INE063601012</v>
          </cell>
          <cell r="D4392" t="str">
            <v>GIANLIFE</v>
          </cell>
          <cell r="E4392">
            <v>13.901142221000001</v>
          </cell>
          <cell r="F4392" t="str">
            <v>-</v>
          </cell>
          <cell r="G4392" t="str">
            <v>-</v>
          </cell>
          <cell r="H4392" t="str">
            <v>-</v>
          </cell>
          <cell r="I4392" t="str">
            <v>-</v>
          </cell>
          <cell r="J4392">
            <v>13.901142221000001</v>
          </cell>
          <cell r="K4392" t="str">
            <v>Small Cap</v>
          </cell>
        </row>
        <row r="4393">
          <cell r="C4393" t="str">
            <v>INE609B01018</v>
          </cell>
          <cell r="D4393" t="str">
            <v>1STCUS</v>
          </cell>
          <cell r="E4393">
            <v>13.887345238</v>
          </cell>
          <cell r="F4393" t="str">
            <v>-</v>
          </cell>
          <cell r="G4393" t="str">
            <v>-</v>
          </cell>
          <cell r="H4393" t="str">
            <v>-</v>
          </cell>
          <cell r="I4393" t="str">
            <v>-</v>
          </cell>
          <cell r="J4393">
            <v>13.887345238</v>
          </cell>
          <cell r="K4393" t="str">
            <v>Small Cap</v>
          </cell>
        </row>
        <row r="4394">
          <cell r="C4394" t="str">
            <v>INE784B01035</v>
          </cell>
          <cell r="D4394" t="str">
            <v>WINSOME</v>
          </cell>
          <cell r="E4394">
            <v>13.97477876</v>
          </cell>
          <cell r="F4394" t="str">
            <v>WINSOME</v>
          </cell>
          <cell r="G4394">
            <v>13.6891</v>
          </cell>
          <cell r="H4394" t="str">
            <v>-</v>
          </cell>
          <cell r="I4394" t="str">
            <v>-</v>
          </cell>
          <cell r="J4394">
            <v>13.83193938</v>
          </cell>
          <cell r="K4394" t="str">
            <v>Small Cap</v>
          </cell>
        </row>
        <row r="4395">
          <cell r="C4395" t="str">
            <v>INE906C01016</v>
          </cell>
          <cell r="D4395" t="str">
            <v>TARAI</v>
          </cell>
          <cell r="E4395">
            <v>13.811049676</v>
          </cell>
          <cell r="F4395" t="str">
            <v>-</v>
          </cell>
          <cell r="G4395" t="str">
            <v>-</v>
          </cell>
          <cell r="H4395" t="str">
            <v>-</v>
          </cell>
          <cell r="I4395" t="str">
            <v>-</v>
          </cell>
          <cell r="J4395">
            <v>13.811049676</v>
          </cell>
          <cell r="K4395" t="str">
            <v>Small Cap</v>
          </cell>
        </row>
        <row r="4396">
          <cell r="C4396" t="str">
            <v>INE143K01019</v>
          </cell>
          <cell r="D4396" t="str">
            <v>YUNIKM</v>
          </cell>
          <cell r="E4396">
            <v>13.810701769</v>
          </cell>
          <cell r="F4396" t="str">
            <v>-</v>
          </cell>
          <cell r="G4396" t="str">
            <v>-</v>
          </cell>
          <cell r="H4396" t="str">
            <v>-</v>
          </cell>
          <cell r="I4396" t="str">
            <v>-</v>
          </cell>
          <cell r="J4396">
            <v>13.810701769</v>
          </cell>
          <cell r="K4396" t="str">
            <v>Small Cap</v>
          </cell>
        </row>
        <row r="4397">
          <cell r="C4397" t="str">
            <v>INE610E01010</v>
          </cell>
          <cell r="D4397" t="str">
            <v>-</v>
          </cell>
          <cell r="E4397" t="str">
            <v>-</v>
          </cell>
          <cell r="F4397" t="str">
            <v>KALYANI</v>
          </cell>
          <cell r="G4397">
            <v>13.778700000000001</v>
          </cell>
          <cell r="H4397" t="str">
            <v>-</v>
          </cell>
          <cell r="I4397" t="str">
            <v>-</v>
          </cell>
          <cell r="J4397">
            <v>13.778700000000001</v>
          </cell>
          <cell r="K4397" t="str">
            <v>Small Cap</v>
          </cell>
        </row>
        <row r="4398">
          <cell r="C4398" t="str">
            <v>INE805Q01028</v>
          </cell>
          <cell r="D4398" t="str">
            <v>ADCON</v>
          </cell>
          <cell r="E4398">
            <v>13.777081661000002</v>
          </cell>
          <cell r="F4398" t="str">
            <v>-</v>
          </cell>
          <cell r="G4398" t="str">
            <v>-</v>
          </cell>
          <cell r="H4398" t="str">
            <v>-</v>
          </cell>
          <cell r="I4398" t="str">
            <v>-</v>
          </cell>
          <cell r="J4398">
            <v>13.777081661000002</v>
          </cell>
          <cell r="K4398" t="str">
            <v>Small Cap</v>
          </cell>
        </row>
        <row r="4399">
          <cell r="C4399" t="str">
            <v>INE909D01026</v>
          </cell>
          <cell r="D4399" t="str">
            <v>SHARPINV</v>
          </cell>
          <cell r="E4399">
            <v>13.690037202000001</v>
          </cell>
          <cell r="F4399" t="str">
            <v>-</v>
          </cell>
          <cell r="G4399" t="str">
            <v>-</v>
          </cell>
          <cell r="H4399" t="str">
            <v>-</v>
          </cell>
          <cell r="I4399" t="str">
            <v>-</v>
          </cell>
          <cell r="J4399">
            <v>13.690037202000001</v>
          </cell>
          <cell r="K4399" t="str">
            <v>Small Cap</v>
          </cell>
        </row>
        <row r="4400">
          <cell r="C4400" t="str">
            <v>INE193D01019</v>
          </cell>
          <cell r="D4400" t="str">
            <v>DRL</v>
          </cell>
          <cell r="E4400">
            <v>13.680855893</v>
          </cell>
          <cell r="F4400" t="str">
            <v>-</v>
          </cell>
          <cell r="G4400" t="str">
            <v>-</v>
          </cell>
          <cell r="H4400" t="str">
            <v>-</v>
          </cell>
          <cell r="I4400" t="str">
            <v>-</v>
          </cell>
          <cell r="J4400">
            <v>13.680855893</v>
          </cell>
          <cell r="K4400" t="str">
            <v>Small Cap</v>
          </cell>
        </row>
        <row r="4401">
          <cell r="C4401" t="str">
            <v>INE0RIQ01013</v>
          </cell>
          <cell r="D4401" t="str">
            <v xml:space="preserve">ASSOCIATED </v>
          </cell>
          <cell r="E4401">
            <v>13.673816824999999</v>
          </cell>
          <cell r="F4401" t="str">
            <v>-</v>
          </cell>
          <cell r="G4401" t="str">
            <v>-</v>
          </cell>
          <cell r="H4401" t="str">
            <v>-</v>
          </cell>
          <cell r="I4401" t="str">
            <v>-</v>
          </cell>
          <cell r="J4401">
            <v>13.673816824999999</v>
          </cell>
          <cell r="K4401" t="str">
            <v>Small Cap</v>
          </cell>
        </row>
        <row r="4402">
          <cell r="C4402" t="str">
            <v>INE371M01012</v>
          </cell>
          <cell r="D4402" t="str">
            <v>AROMAENT</v>
          </cell>
          <cell r="E4402">
            <v>13.66624</v>
          </cell>
          <cell r="F4402" t="str">
            <v>-</v>
          </cell>
          <cell r="G4402" t="str">
            <v>-</v>
          </cell>
          <cell r="H4402" t="str">
            <v>-</v>
          </cell>
          <cell r="I4402" t="str">
            <v>-</v>
          </cell>
          <cell r="J4402">
            <v>13.66624</v>
          </cell>
          <cell r="K4402" t="str">
            <v>Small Cap</v>
          </cell>
        </row>
        <row r="4403">
          <cell r="C4403" t="str">
            <v>INE173E01019</v>
          </cell>
          <cell r="D4403" t="str">
            <v>TEJASSVI</v>
          </cell>
          <cell r="E4403">
            <v>13.661222221999999</v>
          </cell>
          <cell r="F4403" t="str">
            <v>-</v>
          </cell>
          <cell r="G4403" t="str">
            <v>-</v>
          </cell>
          <cell r="H4403" t="str">
            <v>-</v>
          </cell>
          <cell r="I4403" t="str">
            <v>-</v>
          </cell>
          <cell r="J4403">
            <v>13.661222221999999</v>
          </cell>
          <cell r="K4403" t="str">
            <v>Small Cap</v>
          </cell>
        </row>
        <row r="4404">
          <cell r="C4404" t="str">
            <v>INE516D01011</v>
          </cell>
          <cell r="D4404" t="str">
            <v>KIRANPR</v>
          </cell>
          <cell r="E4404">
            <v>13.605664488999999</v>
          </cell>
          <cell r="F4404" t="str">
            <v>-</v>
          </cell>
          <cell r="G4404" t="str">
            <v>-</v>
          </cell>
          <cell r="H4404" t="str">
            <v>-</v>
          </cell>
          <cell r="I4404" t="str">
            <v>-</v>
          </cell>
          <cell r="J4404">
            <v>13.605664488999999</v>
          </cell>
          <cell r="K4404" t="str">
            <v>Small Cap</v>
          </cell>
        </row>
        <row r="4405">
          <cell r="C4405" t="str">
            <v>INE092P01017</v>
          </cell>
          <cell r="D4405" t="str">
            <v>VELOX</v>
          </cell>
          <cell r="E4405">
            <v>13.563774</v>
          </cell>
          <cell r="F4405" t="str">
            <v>-</v>
          </cell>
          <cell r="G4405" t="str">
            <v>-</v>
          </cell>
          <cell r="H4405" t="str">
            <v>-</v>
          </cell>
          <cell r="I4405" t="str">
            <v>-</v>
          </cell>
          <cell r="J4405">
            <v>13.563774</v>
          </cell>
          <cell r="K4405" t="str">
            <v>Small Cap</v>
          </cell>
        </row>
        <row r="4406">
          <cell r="C4406" t="str">
            <v>INE290T01027</v>
          </cell>
          <cell r="D4406" t="str">
            <v>-</v>
          </cell>
          <cell r="E4406" t="str">
            <v>-</v>
          </cell>
          <cell r="F4406" t="str">
            <v>-</v>
          </cell>
          <cell r="G4406" t="str">
            <v>-</v>
          </cell>
          <cell r="H4406" t="str">
            <v>ADBML</v>
          </cell>
          <cell r="I4406">
            <v>13.5</v>
          </cell>
          <cell r="J4406">
            <v>13.5</v>
          </cell>
          <cell r="K4406" t="str">
            <v>Small Cap</v>
          </cell>
        </row>
        <row r="4407">
          <cell r="C4407" t="str">
            <v>INE836C01015</v>
          </cell>
          <cell r="D4407" t="str">
            <v>FRUTION</v>
          </cell>
          <cell r="E4407">
            <v>13.494507937</v>
          </cell>
          <cell r="F4407" t="str">
            <v>-</v>
          </cell>
          <cell r="G4407" t="str">
            <v>-</v>
          </cell>
          <cell r="H4407" t="str">
            <v>-</v>
          </cell>
          <cell r="I4407" t="str">
            <v>-</v>
          </cell>
          <cell r="J4407">
            <v>13.494507937</v>
          </cell>
          <cell r="K4407" t="str">
            <v>Small Cap</v>
          </cell>
        </row>
        <row r="4408">
          <cell r="C4408" t="str">
            <v>INE373D01017</v>
          </cell>
          <cell r="D4408" t="str">
            <v>GUJINV</v>
          </cell>
          <cell r="E4408">
            <v>13.425972731</v>
          </cell>
          <cell r="F4408" t="str">
            <v>-</v>
          </cell>
          <cell r="G4408" t="str">
            <v>-</v>
          </cell>
          <cell r="H4408" t="str">
            <v>-</v>
          </cell>
          <cell r="I4408" t="str">
            <v>-</v>
          </cell>
          <cell r="J4408">
            <v>13.425972731</v>
          </cell>
          <cell r="K4408" t="str">
            <v>Small Cap</v>
          </cell>
        </row>
        <row r="4409">
          <cell r="C4409" t="str">
            <v>INE745F01011</v>
          </cell>
          <cell r="D4409" t="str">
            <v>JMGCORP</v>
          </cell>
          <cell r="E4409">
            <v>13.409156376</v>
          </cell>
          <cell r="F4409" t="str">
            <v>-</v>
          </cell>
          <cell r="G4409" t="str">
            <v>-</v>
          </cell>
          <cell r="H4409" t="str">
            <v>-</v>
          </cell>
          <cell r="I4409" t="str">
            <v>-</v>
          </cell>
          <cell r="J4409">
            <v>13.409156376</v>
          </cell>
          <cell r="K4409" t="str">
            <v>Small Cap</v>
          </cell>
        </row>
        <row r="4410">
          <cell r="C4410" t="str">
            <v>INE628F01019</v>
          </cell>
          <cell r="D4410" t="str">
            <v>INDERGR</v>
          </cell>
          <cell r="E4410">
            <v>13.393374167000001</v>
          </cell>
          <cell r="F4410" t="str">
            <v>-</v>
          </cell>
          <cell r="G4410" t="str">
            <v>-</v>
          </cell>
          <cell r="H4410" t="str">
            <v>-</v>
          </cell>
          <cell r="I4410" t="str">
            <v>-</v>
          </cell>
          <cell r="J4410">
            <v>13.393374167000001</v>
          </cell>
          <cell r="K4410" t="str">
            <v>Small Cap</v>
          </cell>
        </row>
        <row r="4411">
          <cell r="C4411" t="str">
            <v>INE919T01013</v>
          </cell>
          <cell r="D4411" t="str">
            <v>JLL</v>
          </cell>
          <cell r="E4411">
            <v>13.387097582999999</v>
          </cell>
          <cell r="F4411" t="str">
            <v>-</v>
          </cell>
          <cell r="G4411" t="str">
            <v>-</v>
          </cell>
          <cell r="H4411" t="str">
            <v>-</v>
          </cell>
          <cell r="I4411" t="str">
            <v>-</v>
          </cell>
          <cell r="J4411">
            <v>13.387097582999999</v>
          </cell>
          <cell r="K4411" t="str">
            <v>Small Cap</v>
          </cell>
        </row>
        <row r="4412">
          <cell r="C4412" t="str">
            <v>INE151H01018</v>
          </cell>
          <cell r="D4412" t="str">
            <v>MILESTONE</v>
          </cell>
          <cell r="E4412">
            <v>13.382110536000001</v>
          </cell>
          <cell r="F4412" t="str">
            <v>-</v>
          </cell>
          <cell r="G4412" t="str">
            <v>-</v>
          </cell>
          <cell r="H4412" t="str">
            <v>-</v>
          </cell>
          <cell r="I4412" t="str">
            <v>-</v>
          </cell>
          <cell r="J4412">
            <v>13.382110536000001</v>
          </cell>
          <cell r="K4412" t="str">
            <v>Small Cap</v>
          </cell>
        </row>
        <row r="4413">
          <cell r="C4413" t="str">
            <v>INE989S01042</v>
          </cell>
          <cell r="D4413" t="str">
            <v>ONTIC</v>
          </cell>
          <cell r="E4413">
            <v>13.326158476</v>
          </cell>
          <cell r="F4413" t="str">
            <v>-</v>
          </cell>
          <cell r="G4413" t="str">
            <v>-</v>
          </cell>
          <cell r="H4413" t="str">
            <v>-</v>
          </cell>
          <cell r="I4413" t="str">
            <v>-</v>
          </cell>
          <cell r="J4413">
            <v>13.326158476</v>
          </cell>
          <cell r="K4413" t="str">
            <v>Small Cap</v>
          </cell>
        </row>
        <row r="4414">
          <cell r="C4414" t="str">
            <v>INE340D01016</v>
          </cell>
          <cell r="D4414" t="str">
            <v>GARWSYN</v>
          </cell>
          <cell r="E4414">
            <v>13.291731349999999</v>
          </cell>
          <cell r="F4414" t="str">
            <v>-</v>
          </cell>
          <cell r="G4414" t="str">
            <v>-</v>
          </cell>
          <cell r="H4414" t="str">
            <v>-</v>
          </cell>
          <cell r="I4414" t="str">
            <v>-</v>
          </cell>
          <cell r="J4414">
            <v>13.291731349999999</v>
          </cell>
          <cell r="K4414" t="str">
            <v>Small Cap</v>
          </cell>
        </row>
        <row r="4415">
          <cell r="C4415" t="str">
            <v>INE0MKO01015</v>
          </cell>
          <cell r="D4415" t="str">
            <v>REETECH</v>
          </cell>
          <cell r="E4415">
            <v>13.279837231</v>
          </cell>
          <cell r="F4415" t="str">
            <v>-</v>
          </cell>
          <cell r="G4415" t="str">
            <v>-</v>
          </cell>
          <cell r="H4415" t="str">
            <v>-</v>
          </cell>
          <cell r="I4415" t="str">
            <v>-</v>
          </cell>
          <cell r="J4415">
            <v>13.279837231</v>
          </cell>
          <cell r="K4415" t="str">
            <v>Small Cap</v>
          </cell>
        </row>
        <row r="4416">
          <cell r="C4416" t="str">
            <v>INE092H01014</v>
          </cell>
          <cell r="D4416" t="str">
            <v>SHIVAGR</v>
          </cell>
          <cell r="E4416">
            <v>13.275813848</v>
          </cell>
          <cell r="F4416" t="str">
            <v>-</v>
          </cell>
          <cell r="G4416" t="str">
            <v>-</v>
          </cell>
          <cell r="H4416" t="str">
            <v>-</v>
          </cell>
          <cell r="I4416" t="str">
            <v>-</v>
          </cell>
          <cell r="J4416">
            <v>13.275813848</v>
          </cell>
          <cell r="K4416" t="str">
            <v>Small Cap</v>
          </cell>
        </row>
        <row r="4417">
          <cell r="C4417" t="str">
            <v>INE006F01018</v>
          </cell>
          <cell r="D4417" t="str">
            <v>NBFOOT</v>
          </cell>
          <cell r="E4417">
            <v>13.251535713999999</v>
          </cell>
          <cell r="F4417" t="str">
            <v>-</v>
          </cell>
          <cell r="G4417" t="str">
            <v>-</v>
          </cell>
          <cell r="H4417" t="str">
            <v>-</v>
          </cell>
          <cell r="I4417" t="str">
            <v>-</v>
          </cell>
          <cell r="J4417">
            <v>13.251535713999999</v>
          </cell>
          <cell r="K4417" t="str">
            <v>Small Cap</v>
          </cell>
        </row>
        <row r="4418">
          <cell r="C4418" t="str">
            <v>INE340O01021</v>
          </cell>
          <cell r="D4418" t="str">
            <v>MMLF</v>
          </cell>
          <cell r="E4418">
            <v>13.223374995</v>
          </cell>
          <cell r="F4418" t="str">
            <v>-</v>
          </cell>
          <cell r="G4418" t="str">
            <v>-</v>
          </cell>
          <cell r="H4418" t="str">
            <v>-</v>
          </cell>
          <cell r="I4418" t="str">
            <v>-</v>
          </cell>
          <cell r="J4418">
            <v>13.223374995</v>
          </cell>
          <cell r="K4418" t="str">
            <v>Small Cap</v>
          </cell>
        </row>
        <row r="4419">
          <cell r="C4419" t="str">
            <v>INE991A01020</v>
          </cell>
          <cell r="D4419" t="str">
            <v>AMFORG</v>
          </cell>
          <cell r="E4419">
            <v>13.217508828</v>
          </cell>
          <cell r="F4419" t="str">
            <v>-</v>
          </cell>
          <cell r="G4419" t="str">
            <v>-</v>
          </cell>
          <cell r="H4419" t="str">
            <v>-</v>
          </cell>
          <cell r="I4419" t="str">
            <v>-</v>
          </cell>
          <cell r="J4419">
            <v>13.217508828</v>
          </cell>
          <cell r="K4419" t="str">
            <v>Small Cap</v>
          </cell>
        </row>
        <row r="4420">
          <cell r="C4420" t="str">
            <v>INE591Q01016</v>
          </cell>
          <cell r="D4420" t="str">
            <v>-</v>
          </cell>
          <cell r="E4420" t="str">
            <v>-</v>
          </cell>
          <cell r="F4420" t="str">
            <v>SUULD</v>
          </cell>
          <cell r="G4420">
            <v>13.206799999999999</v>
          </cell>
          <cell r="H4420" t="str">
            <v>-</v>
          </cell>
          <cell r="I4420" t="str">
            <v>-</v>
          </cell>
          <cell r="J4420">
            <v>13.206799999999999</v>
          </cell>
          <cell r="K4420" t="str">
            <v>Small Cap</v>
          </cell>
        </row>
        <row r="4421">
          <cell r="C4421" t="str">
            <v>INE213U01019</v>
          </cell>
          <cell r="D4421" t="str">
            <v>LAHL</v>
          </cell>
          <cell r="E4421">
            <v>13.200086268000002</v>
          </cell>
          <cell r="F4421" t="str">
            <v>-</v>
          </cell>
          <cell r="G4421" t="str">
            <v>-</v>
          </cell>
          <cell r="H4421" t="str">
            <v>-</v>
          </cell>
          <cell r="I4421" t="str">
            <v>-</v>
          </cell>
          <cell r="J4421">
            <v>13.200086268000002</v>
          </cell>
          <cell r="K4421" t="str">
            <v>Small Cap</v>
          </cell>
        </row>
        <row r="4422">
          <cell r="C4422" t="str">
            <v>INE201N01019</v>
          </cell>
          <cell r="D4422" t="str">
            <v>BHATEXT</v>
          </cell>
          <cell r="E4422">
            <v>13.190372249999999</v>
          </cell>
          <cell r="F4422" t="str">
            <v>-</v>
          </cell>
          <cell r="G4422" t="str">
            <v>-</v>
          </cell>
          <cell r="H4422" t="str">
            <v>-</v>
          </cell>
          <cell r="I4422" t="str">
            <v>-</v>
          </cell>
          <cell r="J4422">
            <v>13.190372249999999</v>
          </cell>
          <cell r="K4422" t="str">
            <v>Small Cap</v>
          </cell>
        </row>
        <row r="4423">
          <cell r="C4423" t="str">
            <v>INE404N01019</v>
          </cell>
          <cell r="D4423" t="str">
            <v>ZSVTRADI</v>
          </cell>
          <cell r="E4423">
            <v>13.184100000000001</v>
          </cell>
          <cell r="F4423" t="str">
            <v>-</v>
          </cell>
          <cell r="G4423" t="str">
            <v>-</v>
          </cell>
          <cell r="H4423" t="str">
            <v>-</v>
          </cell>
          <cell r="I4423" t="str">
            <v>-</v>
          </cell>
          <cell r="J4423">
            <v>13.184100000000001</v>
          </cell>
          <cell r="K4423" t="str">
            <v>Small Cap</v>
          </cell>
        </row>
        <row r="4424">
          <cell r="C4424" t="str">
            <v>INE783A01013</v>
          </cell>
          <cell r="D4424" t="str">
            <v>RAMAPETRO</v>
          </cell>
          <cell r="E4424">
            <v>13.176487714</v>
          </cell>
          <cell r="F4424" t="str">
            <v>-</v>
          </cell>
          <cell r="G4424" t="str">
            <v>-</v>
          </cell>
          <cell r="H4424" t="str">
            <v>-</v>
          </cell>
          <cell r="I4424" t="str">
            <v>-</v>
          </cell>
          <cell r="J4424">
            <v>13.176487714</v>
          </cell>
          <cell r="K4424" t="str">
            <v>Small Cap</v>
          </cell>
        </row>
        <row r="4425">
          <cell r="C4425" t="str">
            <v>INE347H01012</v>
          </cell>
          <cell r="D4425" t="str">
            <v>INDICAP</v>
          </cell>
          <cell r="E4425">
            <v>13.171445064</v>
          </cell>
          <cell r="F4425" t="str">
            <v>-</v>
          </cell>
          <cell r="G4425" t="str">
            <v>-</v>
          </cell>
          <cell r="H4425" t="str">
            <v>-</v>
          </cell>
          <cell r="I4425" t="str">
            <v>-</v>
          </cell>
          <cell r="J4425">
            <v>13.171445064</v>
          </cell>
          <cell r="K4425" t="str">
            <v>Small Cap</v>
          </cell>
        </row>
        <row r="4426">
          <cell r="C4426" t="str">
            <v>INE844D01017</v>
          </cell>
          <cell r="D4426" t="str">
            <v>MITSHI</v>
          </cell>
          <cell r="E4426">
            <v>13.091396825</v>
          </cell>
          <cell r="F4426" t="str">
            <v>-</v>
          </cell>
          <cell r="G4426" t="str">
            <v>-</v>
          </cell>
          <cell r="H4426" t="str">
            <v>-</v>
          </cell>
          <cell r="I4426" t="str">
            <v>-</v>
          </cell>
          <cell r="J4426">
            <v>13.091396825</v>
          </cell>
          <cell r="K4426" t="str">
            <v>Small Cap</v>
          </cell>
        </row>
        <row r="4427">
          <cell r="C4427" t="str">
            <v>INE240T01014</v>
          </cell>
          <cell r="D4427" t="str">
            <v>PARMAX</v>
          </cell>
          <cell r="E4427">
            <v>13.050367029</v>
          </cell>
          <cell r="F4427" t="str">
            <v>-</v>
          </cell>
          <cell r="G4427" t="str">
            <v>-</v>
          </cell>
          <cell r="H4427" t="str">
            <v>-</v>
          </cell>
          <cell r="I4427" t="str">
            <v>-</v>
          </cell>
          <cell r="J4427">
            <v>13.050367029</v>
          </cell>
          <cell r="K4427" t="str">
            <v>Small Cap</v>
          </cell>
        </row>
        <row r="4428">
          <cell r="C4428" t="str">
            <v>INE661Q01017</v>
          </cell>
          <cell r="D4428" t="str">
            <v>VANICOM</v>
          </cell>
          <cell r="E4428">
            <v>12.989691517000001</v>
          </cell>
          <cell r="F4428" t="str">
            <v>-</v>
          </cell>
          <cell r="G4428" t="str">
            <v>-</v>
          </cell>
          <cell r="H4428" t="str">
            <v>-</v>
          </cell>
          <cell r="I4428" t="str">
            <v>-</v>
          </cell>
          <cell r="J4428">
            <v>12.989691517000001</v>
          </cell>
          <cell r="K4428" t="str">
            <v>Small Cap</v>
          </cell>
        </row>
        <row r="4429">
          <cell r="C4429" t="str">
            <v>INE601N01010</v>
          </cell>
          <cell r="D4429" t="str">
            <v>RGRL</v>
          </cell>
          <cell r="E4429">
            <v>12.979634286</v>
          </cell>
          <cell r="F4429" t="str">
            <v>-</v>
          </cell>
          <cell r="G4429" t="str">
            <v>-</v>
          </cell>
          <cell r="H4429" t="str">
            <v>-</v>
          </cell>
          <cell r="I4429" t="str">
            <v>-</v>
          </cell>
          <cell r="J4429">
            <v>12.979634286</v>
          </cell>
          <cell r="K4429" t="str">
            <v>Small Cap</v>
          </cell>
        </row>
        <row r="4430">
          <cell r="C4430" t="str">
            <v>INE948Q01018</v>
          </cell>
          <cell r="D4430" t="str">
            <v>BFLAFL</v>
          </cell>
          <cell r="E4430">
            <v>12.954476972</v>
          </cell>
          <cell r="F4430" t="str">
            <v>-</v>
          </cell>
          <cell r="G4430" t="str">
            <v>-</v>
          </cell>
          <cell r="H4430" t="str">
            <v>-</v>
          </cell>
          <cell r="I4430" t="str">
            <v>-</v>
          </cell>
          <cell r="J4430">
            <v>12.954476972</v>
          </cell>
          <cell r="K4430" t="str">
            <v>Small Cap</v>
          </cell>
        </row>
        <row r="4431">
          <cell r="C4431" t="str">
            <v>INE032M01010</v>
          </cell>
          <cell r="D4431" t="str">
            <v>SUNGRAN</v>
          </cell>
          <cell r="E4431">
            <v>12.942463200000001</v>
          </cell>
          <cell r="F4431" t="str">
            <v>-</v>
          </cell>
          <cell r="G4431" t="str">
            <v>-</v>
          </cell>
          <cell r="H4431" t="str">
            <v>-</v>
          </cell>
          <cell r="I4431" t="str">
            <v>-</v>
          </cell>
          <cell r="J4431">
            <v>12.942463200000001</v>
          </cell>
          <cell r="K4431" t="str">
            <v>Small Cap</v>
          </cell>
        </row>
        <row r="4432">
          <cell r="C4432" t="str">
            <v>INE929D01016</v>
          </cell>
          <cell r="D4432" t="str">
            <v>RCCL</v>
          </cell>
          <cell r="E4432">
            <v>12.937738660999999</v>
          </cell>
          <cell r="F4432" t="str">
            <v>-</v>
          </cell>
          <cell r="G4432" t="str">
            <v>-</v>
          </cell>
          <cell r="H4432" t="str">
            <v>-</v>
          </cell>
          <cell r="I4432" t="str">
            <v>-</v>
          </cell>
          <cell r="J4432">
            <v>12.937738660999999</v>
          </cell>
          <cell r="K4432" t="str">
            <v>Small Cap</v>
          </cell>
        </row>
        <row r="4433">
          <cell r="C4433" t="str">
            <v>INE406N01014</v>
          </cell>
          <cell r="D4433" t="str">
            <v>ZSVARAJT</v>
          </cell>
          <cell r="E4433">
            <v>12.934228174999999</v>
          </cell>
          <cell r="F4433" t="str">
            <v>-</v>
          </cell>
          <cell r="G4433" t="str">
            <v>-</v>
          </cell>
          <cell r="H4433" t="str">
            <v>-</v>
          </cell>
          <cell r="I4433" t="str">
            <v>-</v>
          </cell>
          <cell r="J4433">
            <v>12.934228174999999</v>
          </cell>
          <cell r="K4433" t="str">
            <v>Small Cap</v>
          </cell>
        </row>
        <row r="4434">
          <cell r="C4434" t="str">
            <v>INE162L01017</v>
          </cell>
          <cell r="D4434" t="str">
            <v>GANONPRO</v>
          </cell>
          <cell r="E4434">
            <v>12.933876832999999</v>
          </cell>
          <cell r="F4434" t="str">
            <v>-</v>
          </cell>
          <cell r="G4434" t="str">
            <v>-</v>
          </cell>
          <cell r="H4434" t="str">
            <v>-</v>
          </cell>
          <cell r="I4434" t="str">
            <v>-</v>
          </cell>
          <cell r="J4434">
            <v>12.933876832999999</v>
          </cell>
          <cell r="K4434" t="str">
            <v>Small Cap</v>
          </cell>
        </row>
        <row r="4435">
          <cell r="C4435" t="str">
            <v>INE422D01012</v>
          </cell>
          <cell r="D4435" t="str">
            <v>DSINVEST</v>
          </cell>
          <cell r="E4435">
            <v>12.924097924</v>
          </cell>
          <cell r="F4435" t="str">
            <v>-</v>
          </cell>
          <cell r="G4435" t="str">
            <v>-</v>
          </cell>
          <cell r="H4435" t="str">
            <v>-</v>
          </cell>
          <cell r="I4435" t="str">
            <v>-</v>
          </cell>
          <cell r="J4435">
            <v>12.924097924</v>
          </cell>
          <cell r="K4435" t="str">
            <v>Small Cap</v>
          </cell>
        </row>
        <row r="4436">
          <cell r="C4436" t="str">
            <v>INE564V01013</v>
          </cell>
          <cell r="D4436" t="str">
            <v>BINDALEXPO</v>
          </cell>
          <cell r="E4436">
            <v>12.890831956</v>
          </cell>
          <cell r="F4436" t="str">
            <v>-</v>
          </cell>
          <cell r="G4436" t="str">
            <v>-</v>
          </cell>
          <cell r="H4436" t="str">
            <v>-</v>
          </cell>
          <cell r="I4436" t="str">
            <v>-</v>
          </cell>
          <cell r="J4436">
            <v>12.890831956</v>
          </cell>
          <cell r="K4436" t="str">
            <v>Small Cap</v>
          </cell>
        </row>
        <row r="4437">
          <cell r="C4437" t="str">
            <v>INE821R01015</v>
          </cell>
          <cell r="D4437" t="str">
            <v>ZPRBHSTE</v>
          </cell>
          <cell r="E4437">
            <v>12.852225000000001</v>
          </cell>
          <cell r="F4437" t="str">
            <v>-</v>
          </cell>
          <cell r="G4437" t="str">
            <v>-</v>
          </cell>
          <cell r="H4437" t="str">
            <v>-</v>
          </cell>
          <cell r="I4437" t="str">
            <v>-</v>
          </cell>
          <cell r="J4437">
            <v>12.852225000000001</v>
          </cell>
          <cell r="K4437" t="str">
            <v>Small Cap</v>
          </cell>
        </row>
        <row r="4438">
          <cell r="C4438" t="str">
            <v>INE318P01016</v>
          </cell>
          <cell r="D4438" t="str">
            <v>CRIMSON</v>
          </cell>
          <cell r="E4438">
            <v>12.846650240999999</v>
          </cell>
          <cell r="F4438" t="str">
            <v>-</v>
          </cell>
          <cell r="G4438" t="str">
            <v>-</v>
          </cell>
          <cell r="H4438" t="str">
            <v>-</v>
          </cell>
          <cell r="I4438" t="str">
            <v>-</v>
          </cell>
          <cell r="J4438">
            <v>12.846650240999999</v>
          </cell>
          <cell r="K4438" t="str">
            <v>Small Cap</v>
          </cell>
        </row>
        <row r="4439">
          <cell r="C4439" t="str">
            <v>INE514C01026</v>
          </cell>
          <cell r="D4439" t="str">
            <v>MINOLTAF</v>
          </cell>
          <cell r="E4439">
            <v>12.815079365000001</v>
          </cell>
          <cell r="F4439" t="str">
            <v>-</v>
          </cell>
          <cell r="G4439" t="str">
            <v>-</v>
          </cell>
          <cell r="H4439" t="str">
            <v>-</v>
          </cell>
          <cell r="I4439" t="str">
            <v>-</v>
          </cell>
          <cell r="J4439">
            <v>12.815079365000001</v>
          </cell>
          <cell r="K4439" t="str">
            <v>Small Cap</v>
          </cell>
        </row>
        <row r="4440">
          <cell r="C4440" t="str">
            <v>INE262C01014</v>
          </cell>
          <cell r="D4440" t="str">
            <v>POLYCON</v>
          </cell>
          <cell r="E4440">
            <v>12.810334455</v>
          </cell>
          <cell r="F4440" t="str">
            <v>-</v>
          </cell>
          <cell r="G4440" t="str">
            <v>-</v>
          </cell>
          <cell r="H4440" t="str">
            <v>-</v>
          </cell>
          <cell r="I4440" t="str">
            <v>-</v>
          </cell>
          <cell r="J4440">
            <v>12.810334455</v>
          </cell>
          <cell r="K4440" t="str">
            <v>Small Cap</v>
          </cell>
        </row>
        <row r="4441">
          <cell r="C4441" t="str">
            <v>INE689J01013</v>
          </cell>
          <cell r="D4441" t="str">
            <v>LORDSHOTL</v>
          </cell>
          <cell r="E4441">
            <v>12.776960713999999</v>
          </cell>
          <cell r="F4441" t="str">
            <v>-</v>
          </cell>
          <cell r="G4441" t="str">
            <v>-</v>
          </cell>
          <cell r="H4441" t="str">
            <v>-</v>
          </cell>
          <cell r="I4441" t="str">
            <v>-</v>
          </cell>
          <cell r="J4441">
            <v>12.776960713999999</v>
          </cell>
          <cell r="K4441" t="str">
            <v>Small Cap</v>
          </cell>
        </row>
        <row r="4442">
          <cell r="C4442" t="str">
            <v>INE446E01019</v>
          </cell>
          <cell r="D4442" t="str">
            <v>SURYAINDIA</v>
          </cell>
          <cell r="E4442">
            <v>12.749143399999999</v>
          </cell>
          <cell r="F4442" t="str">
            <v>-</v>
          </cell>
          <cell r="G4442" t="str">
            <v>-</v>
          </cell>
          <cell r="H4442" t="str">
            <v>-</v>
          </cell>
          <cell r="I4442" t="str">
            <v>-</v>
          </cell>
          <cell r="J4442">
            <v>12.749143399999999</v>
          </cell>
          <cell r="K4442" t="str">
            <v>Small Cap</v>
          </cell>
        </row>
        <row r="4443">
          <cell r="C4443" t="str">
            <v>INE176E01012</v>
          </cell>
          <cell r="D4443" t="str">
            <v>TNSTLTU</v>
          </cell>
          <cell r="E4443">
            <v>12.747085867000001</v>
          </cell>
          <cell r="F4443" t="str">
            <v>-</v>
          </cell>
          <cell r="G4443" t="str">
            <v>-</v>
          </cell>
          <cell r="H4443" t="str">
            <v>-</v>
          </cell>
          <cell r="I4443" t="str">
            <v>-</v>
          </cell>
          <cell r="J4443">
            <v>12.747085867000001</v>
          </cell>
          <cell r="K4443" t="str">
            <v>Small Cap</v>
          </cell>
        </row>
        <row r="4444">
          <cell r="C4444" t="str">
            <v>INE561E01015</v>
          </cell>
          <cell r="D4444" t="str">
            <v>SKRABUL</v>
          </cell>
          <cell r="E4444">
            <v>12.727677085</v>
          </cell>
          <cell r="F4444" t="str">
            <v>-</v>
          </cell>
          <cell r="G4444" t="str">
            <v>-</v>
          </cell>
          <cell r="H4444" t="str">
            <v>-</v>
          </cell>
          <cell r="I4444" t="str">
            <v>-</v>
          </cell>
          <cell r="J4444">
            <v>12.727677085</v>
          </cell>
          <cell r="K4444" t="str">
            <v>Small Cap</v>
          </cell>
        </row>
        <row r="4445">
          <cell r="C4445" t="str">
            <v>INE176L01017</v>
          </cell>
          <cell r="D4445" t="str">
            <v>CRANEINFRA</v>
          </cell>
          <cell r="E4445">
            <v>12.705514237999999</v>
          </cell>
          <cell r="F4445" t="str">
            <v>-</v>
          </cell>
          <cell r="G4445" t="str">
            <v>-</v>
          </cell>
          <cell r="H4445" t="str">
            <v>-</v>
          </cell>
          <cell r="I4445" t="str">
            <v>-</v>
          </cell>
          <cell r="J4445">
            <v>12.705514237999999</v>
          </cell>
          <cell r="K4445" t="str">
            <v>Small Cap</v>
          </cell>
        </row>
        <row r="4446">
          <cell r="C4446" t="str">
            <v>INE525B01016</v>
          </cell>
          <cell r="D4446" t="str">
            <v>HATHWAYB</v>
          </cell>
          <cell r="E4446">
            <v>12.691735714</v>
          </cell>
          <cell r="F4446" t="str">
            <v>-</v>
          </cell>
          <cell r="G4446" t="str">
            <v>-</v>
          </cell>
          <cell r="H4446" t="str">
            <v>-</v>
          </cell>
          <cell r="I4446" t="str">
            <v>-</v>
          </cell>
          <cell r="J4446">
            <v>12.691735714</v>
          </cell>
          <cell r="K4446" t="str">
            <v>Small Cap</v>
          </cell>
        </row>
        <row r="4447">
          <cell r="C4447" t="str">
            <v>INE979D01011</v>
          </cell>
          <cell r="D4447" t="str">
            <v>KUSHIND</v>
          </cell>
          <cell r="E4447">
            <v>12.669240079000001</v>
          </cell>
          <cell r="F4447" t="str">
            <v>-</v>
          </cell>
          <cell r="G4447" t="str">
            <v>-</v>
          </cell>
          <cell r="H4447" t="str">
            <v>-</v>
          </cell>
          <cell r="I4447" t="str">
            <v>-</v>
          </cell>
          <cell r="J4447">
            <v>12.669240079000001</v>
          </cell>
          <cell r="K4447" t="str">
            <v>Small Cap</v>
          </cell>
        </row>
        <row r="4448">
          <cell r="C4448" t="str">
            <v>INE936N01010</v>
          </cell>
          <cell r="D4448" t="str">
            <v>SICL</v>
          </cell>
          <cell r="E4448">
            <v>12.661196698000001</v>
          </cell>
          <cell r="F4448" t="str">
            <v>-</v>
          </cell>
          <cell r="G4448" t="str">
            <v>-</v>
          </cell>
          <cell r="H4448" t="str">
            <v>-</v>
          </cell>
          <cell r="I4448" t="str">
            <v>-</v>
          </cell>
          <cell r="J4448">
            <v>12.661196698000001</v>
          </cell>
          <cell r="K4448" t="str">
            <v>Small Cap</v>
          </cell>
        </row>
        <row r="4449">
          <cell r="C4449" t="str">
            <v>INE401C01018</v>
          </cell>
          <cell r="D4449" t="str">
            <v>MIDINDIA</v>
          </cell>
          <cell r="E4449">
            <v>12.61645873</v>
          </cell>
          <cell r="F4449" t="str">
            <v>-</v>
          </cell>
          <cell r="G4449" t="str">
            <v>-</v>
          </cell>
          <cell r="H4449" t="str">
            <v>-</v>
          </cell>
          <cell r="I4449" t="str">
            <v>-</v>
          </cell>
          <cell r="J4449">
            <v>12.61645873</v>
          </cell>
          <cell r="K4449" t="str">
            <v>Small Cap</v>
          </cell>
        </row>
        <row r="4450">
          <cell r="C4450" t="str">
            <v>INE0NPA01011</v>
          </cell>
          <cell r="D4450" t="str">
            <v>PATRON</v>
          </cell>
          <cell r="E4450">
            <v>12.606608570999999</v>
          </cell>
          <cell r="F4450" t="str">
            <v>-</v>
          </cell>
          <cell r="G4450" t="str">
            <v>-</v>
          </cell>
          <cell r="H4450" t="str">
            <v>-</v>
          </cell>
          <cell r="I4450" t="str">
            <v>-</v>
          </cell>
          <cell r="J4450">
            <v>12.606608570999999</v>
          </cell>
          <cell r="K4450" t="str">
            <v>Small Cap</v>
          </cell>
        </row>
        <row r="4451">
          <cell r="C4451" t="str">
            <v>INE346H01014</v>
          </cell>
          <cell r="D4451" t="str">
            <v>GITANJALI</v>
          </cell>
          <cell r="E4451">
            <v>12.57329653</v>
          </cell>
          <cell r="F4451" t="str">
            <v>-</v>
          </cell>
          <cell r="G4451" t="str">
            <v>-</v>
          </cell>
          <cell r="H4451" t="str">
            <v>-</v>
          </cell>
          <cell r="I4451" t="str">
            <v>-</v>
          </cell>
          <cell r="J4451">
            <v>12.57329653</v>
          </cell>
          <cell r="K4451" t="str">
            <v>Small Cap</v>
          </cell>
        </row>
        <row r="4452">
          <cell r="C4452" t="str">
            <v>INE459U01018</v>
          </cell>
          <cell r="D4452" t="str">
            <v>SKL</v>
          </cell>
          <cell r="E4452">
            <v>12.571785938</v>
          </cell>
          <cell r="F4452" t="str">
            <v>-</v>
          </cell>
          <cell r="G4452" t="str">
            <v>-</v>
          </cell>
          <cell r="H4452" t="str">
            <v>-</v>
          </cell>
          <cell r="I4452" t="str">
            <v>-</v>
          </cell>
          <cell r="J4452">
            <v>12.571785938</v>
          </cell>
          <cell r="K4452" t="str">
            <v>Small Cap</v>
          </cell>
        </row>
        <row r="4453">
          <cell r="C4453" t="str">
            <v>INE298B01010</v>
          </cell>
          <cell r="D4453" t="str">
            <v>SOUTHERNIN</v>
          </cell>
          <cell r="E4453">
            <v>12.555139523999999</v>
          </cell>
          <cell r="F4453" t="str">
            <v>-</v>
          </cell>
          <cell r="G4453" t="str">
            <v>-</v>
          </cell>
          <cell r="H4453" t="str">
            <v>-</v>
          </cell>
          <cell r="I4453" t="str">
            <v>-</v>
          </cell>
          <cell r="J4453">
            <v>12.555139523999999</v>
          </cell>
          <cell r="K4453" t="str">
            <v>Small Cap</v>
          </cell>
        </row>
        <row r="4454">
          <cell r="C4454" t="str">
            <v>INE064T01018</v>
          </cell>
          <cell r="D4454" t="str">
            <v>IFINSER</v>
          </cell>
          <cell r="E4454">
            <v>12.519664852</v>
          </cell>
          <cell r="F4454" t="str">
            <v>-</v>
          </cell>
          <cell r="G4454" t="str">
            <v>-</v>
          </cell>
          <cell r="H4454" t="str">
            <v>-</v>
          </cell>
          <cell r="I4454" t="str">
            <v>-</v>
          </cell>
          <cell r="J4454">
            <v>12.519664852</v>
          </cell>
          <cell r="K4454" t="str">
            <v>Small Cap</v>
          </cell>
        </row>
        <row r="4455">
          <cell r="C4455" t="str">
            <v>INE0CRS01012</v>
          </cell>
          <cell r="D4455" t="str">
            <v>BILLWIN</v>
          </cell>
          <cell r="E4455">
            <v>12.512036966</v>
          </cell>
          <cell r="F4455" t="str">
            <v>-</v>
          </cell>
          <cell r="G4455" t="str">
            <v>-</v>
          </cell>
          <cell r="H4455" t="str">
            <v>-</v>
          </cell>
          <cell r="I4455" t="str">
            <v>-</v>
          </cell>
          <cell r="J4455">
            <v>12.512036966</v>
          </cell>
          <cell r="K4455" t="str">
            <v>Small Cap</v>
          </cell>
        </row>
        <row r="4456">
          <cell r="C4456" t="str">
            <v>INE456D01010</v>
          </cell>
          <cell r="D4456" t="str">
            <v>SLSTLQ</v>
          </cell>
          <cell r="E4456">
            <v>12.504028343</v>
          </cell>
          <cell r="F4456" t="str">
            <v>-</v>
          </cell>
          <cell r="G4456" t="str">
            <v>-</v>
          </cell>
          <cell r="H4456" t="str">
            <v>-</v>
          </cell>
          <cell r="I4456" t="str">
            <v>-</v>
          </cell>
          <cell r="J4456">
            <v>12.504028343</v>
          </cell>
          <cell r="K4456" t="str">
            <v>Small Cap</v>
          </cell>
        </row>
        <row r="4457">
          <cell r="C4457" t="str">
            <v>INE004C01028</v>
          </cell>
          <cell r="D4457" t="str">
            <v>GUJCOTEX</v>
          </cell>
          <cell r="E4457">
            <v>12.46779581</v>
          </cell>
          <cell r="F4457" t="str">
            <v>-</v>
          </cell>
          <cell r="G4457" t="str">
            <v>-</v>
          </cell>
          <cell r="H4457" t="str">
            <v>-</v>
          </cell>
          <cell r="I4457" t="str">
            <v>-</v>
          </cell>
          <cell r="J4457">
            <v>12.46779581</v>
          </cell>
          <cell r="K4457" t="str">
            <v>Small Cap</v>
          </cell>
        </row>
        <row r="4458">
          <cell r="C4458" t="str">
            <v>INE831C01016</v>
          </cell>
          <cell r="D4458" t="str">
            <v>ASHISHPO</v>
          </cell>
          <cell r="E4458">
            <v>12.438355356999999</v>
          </cell>
          <cell r="F4458" t="str">
            <v>-</v>
          </cell>
          <cell r="G4458" t="str">
            <v>-</v>
          </cell>
          <cell r="H4458" t="str">
            <v>-</v>
          </cell>
          <cell r="I4458" t="str">
            <v>-</v>
          </cell>
          <cell r="J4458">
            <v>12.438355356999999</v>
          </cell>
          <cell r="K4458" t="str">
            <v>Small Cap</v>
          </cell>
        </row>
        <row r="4459">
          <cell r="C4459" t="str">
            <v>INE858D01017</v>
          </cell>
          <cell r="D4459" t="str">
            <v>RASSIREF</v>
          </cell>
          <cell r="E4459">
            <v>12.438003309999999</v>
          </cell>
          <cell r="F4459" t="str">
            <v>-</v>
          </cell>
          <cell r="G4459" t="str">
            <v>-</v>
          </cell>
          <cell r="H4459" t="str">
            <v>-</v>
          </cell>
          <cell r="I4459" t="str">
            <v>-</v>
          </cell>
          <cell r="J4459">
            <v>12.438003309999999</v>
          </cell>
          <cell r="K4459" t="str">
            <v>Small Cap</v>
          </cell>
        </row>
        <row r="4460">
          <cell r="C4460" t="str">
            <v>INE149D01011</v>
          </cell>
          <cell r="D4460" t="str">
            <v>TACENT</v>
          </cell>
          <cell r="E4460">
            <v>12.419678375</v>
          </cell>
          <cell r="F4460" t="str">
            <v>-</v>
          </cell>
          <cell r="G4460" t="str">
            <v>-</v>
          </cell>
          <cell r="H4460" t="str">
            <v>-</v>
          </cell>
          <cell r="I4460" t="str">
            <v>-</v>
          </cell>
          <cell r="J4460">
            <v>12.419678375</v>
          </cell>
          <cell r="K4460" t="str">
            <v>Small Cap</v>
          </cell>
        </row>
        <row r="4461">
          <cell r="C4461" t="str">
            <v>INE086D01015</v>
          </cell>
          <cell r="D4461" t="str">
            <v>-</v>
          </cell>
          <cell r="E4461" t="str">
            <v>-</v>
          </cell>
          <cell r="F4461" t="str">
            <v>-</v>
          </cell>
          <cell r="G4461" t="str">
            <v>-</v>
          </cell>
          <cell r="H4461" t="str">
            <v>ISL</v>
          </cell>
          <cell r="I4461">
            <v>12.404999999999978</v>
          </cell>
          <cell r="J4461">
            <v>12.404999999999978</v>
          </cell>
          <cell r="K4461" t="str">
            <v>Small Cap</v>
          </cell>
        </row>
        <row r="4462">
          <cell r="C4462" t="str">
            <v>INE370A01019</v>
          </cell>
          <cell r="D4462" t="str">
            <v>MODRNSH</v>
          </cell>
          <cell r="E4462">
            <v>12.384398594</v>
          </cell>
          <cell r="F4462" t="str">
            <v>-</v>
          </cell>
          <cell r="G4462" t="str">
            <v>-</v>
          </cell>
          <cell r="H4462" t="str">
            <v>-</v>
          </cell>
          <cell r="I4462" t="str">
            <v>-</v>
          </cell>
          <cell r="J4462">
            <v>12.384398594</v>
          </cell>
          <cell r="K4462" t="str">
            <v>Small Cap</v>
          </cell>
        </row>
        <row r="4463">
          <cell r="C4463" t="str">
            <v>INE751R01014</v>
          </cell>
          <cell r="D4463" t="str">
            <v>RAJPUTANA</v>
          </cell>
          <cell r="E4463">
            <v>12.379473333</v>
          </cell>
          <cell r="F4463" t="str">
            <v>-</v>
          </cell>
          <cell r="G4463" t="str">
            <v>-</v>
          </cell>
          <cell r="H4463" t="str">
            <v>-</v>
          </cell>
          <cell r="I4463" t="str">
            <v>-</v>
          </cell>
          <cell r="J4463">
            <v>12.379473333</v>
          </cell>
          <cell r="K4463" t="str">
            <v>Small Cap</v>
          </cell>
        </row>
        <row r="4464">
          <cell r="C4464" t="str">
            <v>INE0R7D01018</v>
          </cell>
          <cell r="D4464" t="str">
            <v>3CIT</v>
          </cell>
          <cell r="E4464">
            <v>12.376451111</v>
          </cell>
          <cell r="F4464" t="str">
            <v>-</v>
          </cell>
          <cell r="G4464" t="str">
            <v>-</v>
          </cell>
          <cell r="H4464" t="str">
            <v>-</v>
          </cell>
          <cell r="I4464" t="str">
            <v>-</v>
          </cell>
          <cell r="J4464">
            <v>12.376451111</v>
          </cell>
          <cell r="K4464" t="str">
            <v>Small Cap</v>
          </cell>
        </row>
        <row r="4465">
          <cell r="C4465" t="str">
            <v>INE319T01016</v>
          </cell>
          <cell r="D4465" t="str">
            <v>MERCTRD</v>
          </cell>
          <cell r="E4465">
            <v>12.367604463999999</v>
          </cell>
          <cell r="F4465" t="str">
            <v>-</v>
          </cell>
          <cell r="G4465" t="str">
            <v>-</v>
          </cell>
          <cell r="H4465" t="str">
            <v>-</v>
          </cell>
          <cell r="I4465" t="str">
            <v>-</v>
          </cell>
          <cell r="J4465">
            <v>12.367604463999999</v>
          </cell>
          <cell r="K4465" t="str">
            <v>Small Cap</v>
          </cell>
        </row>
        <row r="4466">
          <cell r="C4466" t="str">
            <v>INE670H01017</v>
          </cell>
          <cell r="D4466" t="str">
            <v>OSWAYRN</v>
          </cell>
          <cell r="E4466">
            <v>12.329604286</v>
          </cell>
          <cell r="F4466" t="str">
            <v>-</v>
          </cell>
          <cell r="G4466" t="str">
            <v>-</v>
          </cell>
          <cell r="H4466" t="str">
            <v>-</v>
          </cell>
          <cell r="I4466" t="str">
            <v>-</v>
          </cell>
          <cell r="J4466">
            <v>12.329604286</v>
          </cell>
          <cell r="K4466" t="str">
            <v>Small Cap</v>
          </cell>
        </row>
        <row r="4467">
          <cell r="C4467" t="str">
            <v>INE119B01018</v>
          </cell>
          <cell r="D4467" t="str">
            <v>SVAMSOF</v>
          </cell>
          <cell r="E4467">
            <v>12.267445786</v>
          </cell>
          <cell r="F4467" t="str">
            <v>-</v>
          </cell>
          <cell r="G4467" t="str">
            <v>-</v>
          </cell>
          <cell r="H4467" t="str">
            <v>-</v>
          </cell>
          <cell r="I4467" t="str">
            <v>-</v>
          </cell>
          <cell r="J4467">
            <v>12.267445786</v>
          </cell>
          <cell r="K4467" t="str">
            <v>Small Cap</v>
          </cell>
        </row>
        <row r="4468">
          <cell r="C4468" t="str">
            <v>INE0NC801013</v>
          </cell>
          <cell r="D4468" t="str">
            <v>VEDANTASSET</v>
          </cell>
          <cell r="E4468">
            <v>12.259684851000001</v>
          </cell>
          <cell r="F4468" t="str">
            <v>-</v>
          </cell>
          <cell r="G4468" t="str">
            <v>-</v>
          </cell>
          <cell r="H4468" t="str">
            <v>-</v>
          </cell>
          <cell r="I4468" t="str">
            <v>-</v>
          </cell>
          <cell r="J4468">
            <v>12.259684851000001</v>
          </cell>
          <cell r="K4468" t="str">
            <v>Small Cap</v>
          </cell>
        </row>
        <row r="4469">
          <cell r="C4469" t="str">
            <v>INE037C01010</v>
          </cell>
          <cell r="D4469" t="str">
            <v>PHYTO</v>
          </cell>
          <cell r="E4469">
            <v>12.256057937000001</v>
          </cell>
          <cell r="F4469" t="str">
            <v>-</v>
          </cell>
          <cell r="G4469" t="str">
            <v>-</v>
          </cell>
          <cell r="H4469" t="str">
            <v>-</v>
          </cell>
          <cell r="I4469" t="str">
            <v>-</v>
          </cell>
          <cell r="J4469">
            <v>12.256057937000001</v>
          </cell>
          <cell r="K4469" t="str">
            <v>Small Cap</v>
          </cell>
        </row>
        <row r="4470">
          <cell r="C4470" t="str">
            <v>INE474L01016</v>
          </cell>
          <cell r="D4470" t="str">
            <v>OMKARCHEM</v>
          </cell>
          <cell r="E4470">
            <v>12.596351528</v>
          </cell>
          <cell r="F4470" t="str">
            <v>OMKARCHEM</v>
          </cell>
          <cell r="G4470">
            <v>11.879899999999999</v>
          </cell>
          <cell r="H4470" t="str">
            <v>-</v>
          </cell>
          <cell r="I4470" t="str">
            <v>-</v>
          </cell>
          <cell r="J4470">
            <v>12.238125763999999</v>
          </cell>
          <cell r="K4470" t="str">
            <v>Small Cap</v>
          </cell>
        </row>
        <row r="4471">
          <cell r="C4471" t="str">
            <v>INE418K01015</v>
          </cell>
          <cell r="D4471" t="str">
            <v>SHRAJOI</v>
          </cell>
          <cell r="E4471">
            <v>12.226050873</v>
          </cell>
          <cell r="F4471" t="str">
            <v>-</v>
          </cell>
          <cell r="G4471" t="str">
            <v>-</v>
          </cell>
          <cell r="H4471" t="str">
            <v>-</v>
          </cell>
          <cell r="I4471" t="str">
            <v>-</v>
          </cell>
          <cell r="J4471">
            <v>12.226050873</v>
          </cell>
          <cell r="K4471" t="str">
            <v>Small Cap</v>
          </cell>
        </row>
        <row r="4472">
          <cell r="C4472" t="str">
            <v>INE336D01014</v>
          </cell>
          <cell r="D4472" t="str">
            <v>ANNAINFRA</v>
          </cell>
          <cell r="E4472">
            <v>12.208947619</v>
          </cell>
          <cell r="F4472" t="str">
            <v>-</v>
          </cell>
          <cell r="G4472" t="str">
            <v>-</v>
          </cell>
          <cell r="H4472" t="str">
            <v>-</v>
          </cell>
          <cell r="I4472" t="str">
            <v>-</v>
          </cell>
          <cell r="J4472">
            <v>12.208947619</v>
          </cell>
          <cell r="K4472" t="str">
            <v>Small Cap</v>
          </cell>
        </row>
        <row r="4473">
          <cell r="C4473" t="str">
            <v>INE0RMR01013</v>
          </cell>
          <cell r="D4473" t="str">
            <v>KIZI</v>
          </cell>
          <cell r="E4473">
            <v>12.167295770999999</v>
          </cell>
          <cell r="F4473" t="str">
            <v>-</v>
          </cell>
          <cell r="G4473" t="str">
            <v>-</v>
          </cell>
          <cell r="H4473" t="str">
            <v>-</v>
          </cell>
          <cell r="I4473" t="str">
            <v>-</v>
          </cell>
          <cell r="J4473">
            <v>12.167295770999999</v>
          </cell>
          <cell r="K4473" t="str">
            <v>Small Cap</v>
          </cell>
        </row>
        <row r="4474">
          <cell r="C4474" t="str">
            <v>INE344E01016</v>
          </cell>
          <cell r="D4474" t="str">
            <v>SHUKJEW</v>
          </cell>
          <cell r="E4474">
            <v>12.147225117</v>
          </cell>
          <cell r="F4474" t="str">
            <v>-</v>
          </cell>
          <cell r="G4474" t="str">
            <v>-</v>
          </cell>
          <cell r="H4474" t="str">
            <v>-</v>
          </cell>
          <cell r="I4474" t="str">
            <v>-</v>
          </cell>
          <cell r="J4474">
            <v>12.147225117</v>
          </cell>
          <cell r="K4474" t="str">
            <v>Small Cap</v>
          </cell>
        </row>
        <row r="4475">
          <cell r="C4475" t="str">
            <v>INE790R01012</v>
          </cell>
          <cell r="D4475" t="str">
            <v>-</v>
          </cell>
          <cell r="E4475" t="str">
            <v>-</v>
          </cell>
          <cell r="F4475" t="str">
            <v>-</v>
          </cell>
          <cell r="G4475" t="str">
            <v>-</v>
          </cell>
          <cell r="H4475" t="str">
            <v>DEVRUPTRAD</v>
          </cell>
          <cell r="I4475">
            <v>12.146199999999981</v>
          </cell>
          <cell r="J4475">
            <v>12.146199999999981</v>
          </cell>
          <cell r="K4475" t="str">
            <v>Small Cap</v>
          </cell>
        </row>
        <row r="4476">
          <cell r="C4476" t="str">
            <v>INE222B01028</v>
          </cell>
          <cell r="D4476" t="str">
            <v>CEMAINFRA</v>
          </cell>
          <cell r="E4476">
            <v>12.137136126</v>
          </cell>
          <cell r="F4476" t="str">
            <v>-</v>
          </cell>
          <cell r="G4476" t="str">
            <v>-</v>
          </cell>
          <cell r="H4476" t="str">
            <v>-</v>
          </cell>
          <cell r="I4476" t="str">
            <v>-</v>
          </cell>
          <cell r="J4476">
            <v>12.137136126</v>
          </cell>
          <cell r="K4476" t="str">
            <v>Small Cap</v>
          </cell>
        </row>
        <row r="4477">
          <cell r="C4477" t="str">
            <v>INE219D01012</v>
          </cell>
          <cell r="D4477" t="str">
            <v>HVL</v>
          </cell>
          <cell r="E4477">
            <v>12.13245</v>
          </cell>
          <cell r="F4477" t="str">
            <v>-</v>
          </cell>
          <cell r="G4477" t="str">
            <v>-</v>
          </cell>
          <cell r="H4477" t="str">
            <v>-</v>
          </cell>
          <cell r="I4477" t="str">
            <v>-</v>
          </cell>
          <cell r="J4477">
            <v>12.13245</v>
          </cell>
          <cell r="K4477" t="str">
            <v>Small Cap</v>
          </cell>
        </row>
        <row r="4478">
          <cell r="C4478" t="str">
            <v>INE283D01018</v>
          </cell>
          <cell r="D4478" t="str">
            <v>ANJANIFIN</v>
          </cell>
          <cell r="E4478">
            <v>12.098146667</v>
          </cell>
          <cell r="F4478" t="str">
            <v>-</v>
          </cell>
          <cell r="G4478" t="str">
            <v>-</v>
          </cell>
          <cell r="H4478" t="str">
            <v>-</v>
          </cell>
          <cell r="I4478" t="str">
            <v>-</v>
          </cell>
          <cell r="J4478">
            <v>12.098146667</v>
          </cell>
          <cell r="K4478" t="str">
            <v>Small Cap</v>
          </cell>
        </row>
        <row r="4479">
          <cell r="C4479" t="str">
            <v>INE152E01013</v>
          </cell>
          <cell r="D4479" t="str">
            <v>ELEFLOR</v>
          </cell>
          <cell r="E4479">
            <v>12.094603175</v>
          </cell>
          <cell r="F4479" t="str">
            <v>-</v>
          </cell>
          <cell r="G4479" t="str">
            <v>-</v>
          </cell>
          <cell r="H4479" t="str">
            <v>-</v>
          </cell>
          <cell r="I4479" t="str">
            <v>-</v>
          </cell>
          <cell r="J4479">
            <v>12.094603175</v>
          </cell>
          <cell r="K4479" t="str">
            <v>Small Cap</v>
          </cell>
        </row>
        <row r="4480">
          <cell r="C4480" t="str">
            <v>INE0PSJ01011</v>
          </cell>
          <cell r="D4480" t="str">
            <v>SMARITIME</v>
          </cell>
          <cell r="E4480">
            <v>12.088807867</v>
          </cell>
          <cell r="F4480" t="str">
            <v>-</v>
          </cell>
          <cell r="G4480" t="str">
            <v>-</v>
          </cell>
          <cell r="H4480" t="str">
            <v>-</v>
          </cell>
          <cell r="I4480" t="str">
            <v>-</v>
          </cell>
          <cell r="J4480">
            <v>12.088807867</v>
          </cell>
          <cell r="K4480" t="str">
            <v>Small Cap</v>
          </cell>
        </row>
        <row r="4481">
          <cell r="C4481" t="str">
            <v>INE05BN01019</v>
          </cell>
          <cell r="D4481" t="str">
            <v>CHCL</v>
          </cell>
          <cell r="E4481">
            <v>12.059860993000001</v>
          </cell>
          <cell r="F4481" t="str">
            <v>-</v>
          </cell>
          <cell r="G4481" t="str">
            <v>-</v>
          </cell>
          <cell r="H4481" t="str">
            <v>-</v>
          </cell>
          <cell r="I4481" t="str">
            <v>-</v>
          </cell>
          <cell r="J4481">
            <v>12.059860993000001</v>
          </cell>
          <cell r="K4481" t="str">
            <v>Small Cap</v>
          </cell>
        </row>
        <row r="4482">
          <cell r="C4482" t="str">
            <v>INE456B01014</v>
          </cell>
          <cell r="D4482" t="str">
            <v>INDOCITY</v>
          </cell>
          <cell r="E4482">
            <v>12.033542856999999</v>
          </cell>
          <cell r="F4482" t="str">
            <v>-</v>
          </cell>
          <cell r="G4482" t="str">
            <v>-</v>
          </cell>
          <cell r="H4482" t="str">
            <v>-</v>
          </cell>
          <cell r="I4482" t="str">
            <v>-</v>
          </cell>
          <cell r="J4482">
            <v>12.033542856999999</v>
          </cell>
          <cell r="K4482" t="str">
            <v>Small Cap</v>
          </cell>
        </row>
        <row r="4483">
          <cell r="C4483" t="str">
            <v>INE795E01019</v>
          </cell>
          <cell r="D4483" t="str">
            <v>KUMPFIN</v>
          </cell>
          <cell r="E4483">
            <v>11.968421714</v>
          </cell>
          <cell r="F4483" t="str">
            <v>-</v>
          </cell>
          <cell r="G4483" t="str">
            <v>-</v>
          </cell>
          <cell r="H4483" t="str">
            <v>-</v>
          </cell>
          <cell r="I4483" t="str">
            <v>-</v>
          </cell>
          <cell r="J4483">
            <v>11.968421714</v>
          </cell>
          <cell r="K4483" t="str">
            <v>Small Cap</v>
          </cell>
        </row>
        <row r="4484">
          <cell r="C4484" t="str">
            <v>INE997C01015</v>
          </cell>
          <cell r="D4484" t="str">
            <v>GBFL</v>
          </cell>
          <cell r="E4484">
            <v>11.957306264</v>
          </cell>
          <cell r="F4484" t="str">
            <v>-</v>
          </cell>
          <cell r="G4484" t="str">
            <v>-</v>
          </cell>
          <cell r="H4484" t="str">
            <v>GBFL</v>
          </cell>
          <cell r="I4484">
            <v>11.957203088888891</v>
          </cell>
          <cell r="J4484">
            <v>11.957254676444446</v>
          </cell>
          <cell r="K4484" t="str">
            <v>Small Cap</v>
          </cell>
        </row>
        <row r="4485">
          <cell r="C4485" t="str">
            <v>INE831Q01016</v>
          </cell>
          <cell r="D4485" t="str">
            <v>BKMINDST</v>
          </cell>
          <cell r="E4485">
            <v>11.927197100000001</v>
          </cell>
          <cell r="F4485" t="str">
            <v>-</v>
          </cell>
          <cell r="G4485" t="str">
            <v>-</v>
          </cell>
          <cell r="H4485" t="str">
            <v>-</v>
          </cell>
          <cell r="I4485" t="str">
            <v>-</v>
          </cell>
          <cell r="J4485">
            <v>11.927197100000001</v>
          </cell>
          <cell r="K4485" t="str">
            <v>Small Cap</v>
          </cell>
        </row>
        <row r="4486">
          <cell r="C4486" t="str">
            <v>INE224C01014</v>
          </cell>
          <cell r="D4486" t="str">
            <v>INANISEC</v>
          </cell>
          <cell r="E4486">
            <v>11.911512778000001</v>
          </cell>
          <cell r="F4486" t="str">
            <v>-</v>
          </cell>
          <cell r="G4486" t="str">
            <v>-</v>
          </cell>
          <cell r="H4486" t="str">
            <v>-</v>
          </cell>
          <cell r="I4486" t="str">
            <v>-</v>
          </cell>
          <cell r="J4486">
            <v>11.911512778000001</v>
          </cell>
          <cell r="K4486" t="str">
            <v>Small Cap</v>
          </cell>
        </row>
        <row r="4487">
          <cell r="C4487" t="str">
            <v>INE334E01017</v>
          </cell>
          <cell r="D4487" t="str">
            <v>VBIND</v>
          </cell>
          <cell r="E4487">
            <v>11.907636293000001</v>
          </cell>
          <cell r="F4487" t="str">
            <v>-</v>
          </cell>
          <cell r="G4487" t="str">
            <v>-</v>
          </cell>
          <cell r="H4487" t="str">
            <v>-</v>
          </cell>
          <cell r="I4487" t="str">
            <v>-</v>
          </cell>
          <cell r="J4487">
            <v>11.907636293000001</v>
          </cell>
          <cell r="K4487" t="str">
            <v>Small Cap</v>
          </cell>
        </row>
        <row r="4488">
          <cell r="C4488" t="str">
            <v>INE672G01015</v>
          </cell>
          <cell r="D4488" t="str">
            <v>-</v>
          </cell>
          <cell r="E4488" t="str">
            <v>-</v>
          </cell>
          <cell r="F4488" t="str">
            <v>-</v>
          </cell>
          <cell r="G4488" t="str">
            <v>-</v>
          </cell>
          <cell r="H4488" t="str">
            <v>CENTRAL</v>
          </cell>
          <cell r="I4488">
            <v>11.894999999999985</v>
          </cell>
          <cell r="J4488">
            <v>11.894999999999985</v>
          </cell>
          <cell r="K4488" t="str">
            <v>Small Cap</v>
          </cell>
        </row>
        <row r="4489">
          <cell r="C4489" t="str">
            <v>INE848D01018</v>
          </cell>
          <cell r="D4489" t="str">
            <v>VBDESAI</v>
          </cell>
          <cell r="E4489">
            <v>11.887364289000001</v>
          </cell>
          <cell r="F4489" t="str">
            <v>-</v>
          </cell>
          <cell r="G4489" t="str">
            <v>-</v>
          </cell>
          <cell r="H4489" t="str">
            <v>-</v>
          </cell>
          <cell r="I4489" t="str">
            <v>-</v>
          </cell>
          <cell r="J4489">
            <v>11.887364289000001</v>
          </cell>
          <cell r="K4489" t="str">
            <v>Small Cap</v>
          </cell>
        </row>
        <row r="4490">
          <cell r="C4490" t="str">
            <v>INE001O01029</v>
          </cell>
          <cell r="D4490" t="str">
            <v>RISAINTL</v>
          </cell>
          <cell r="E4490">
            <v>11.86124875</v>
          </cell>
          <cell r="F4490" t="str">
            <v>-</v>
          </cell>
          <cell r="G4490" t="str">
            <v>-</v>
          </cell>
          <cell r="H4490" t="str">
            <v>-</v>
          </cell>
          <cell r="I4490" t="str">
            <v>-</v>
          </cell>
          <cell r="J4490">
            <v>11.86124875</v>
          </cell>
          <cell r="K4490" t="str">
            <v>Small Cap</v>
          </cell>
        </row>
        <row r="4491">
          <cell r="C4491" t="str">
            <v>INE660B01011</v>
          </cell>
          <cell r="D4491" t="str">
            <v>CATVISION</v>
          </cell>
          <cell r="E4491">
            <v>11.840587968000001</v>
          </cell>
          <cell r="F4491" t="str">
            <v>-</v>
          </cell>
          <cell r="G4491" t="str">
            <v>-</v>
          </cell>
          <cell r="H4491" t="str">
            <v>-</v>
          </cell>
          <cell r="I4491" t="str">
            <v>-</v>
          </cell>
          <cell r="J4491">
            <v>11.840587968000001</v>
          </cell>
          <cell r="K4491" t="str">
            <v>Small Cap</v>
          </cell>
        </row>
        <row r="4492">
          <cell r="C4492" t="str">
            <v>INE0SFZ01018</v>
          </cell>
          <cell r="D4492" t="str">
            <v>BROACH</v>
          </cell>
          <cell r="E4492">
            <v>11.840372545000001</v>
          </cell>
          <cell r="F4492" t="str">
            <v>-</v>
          </cell>
          <cell r="G4492" t="str">
            <v>-</v>
          </cell>
          <cell r="H4492" t="str">
            <v>-</v>
          </cell>
          <cell r="I4492" t="str">
            <v>-</v>
          </cell>
          <cell r="J4492">
            <v>11.840372545000001</v>
          </cell>
          <cell r="K4492" t="str">
            <v>Small Cap</v>
          </cell>
        </row>
        <row r="4493">
          <cell r="C4493" t="str">
            <v>INE431C01023</v>
          </cell>
          <cell r="D4493" t="str">
            <v>SURYVANSP</v>
          </cell>
          <cell r="E4493">
            <v>11.782335462999999</v>
          </cell>
          <cell r="F4493" t="str">
            <v>-</v>
          </cell>
          <cell r="G4493" t="str">
            <v>-</v>
          </cell>
          <cell r="H4493" t="str">
            <v>-</v>
          </cell>
          <cell r="I4493" t="str">
            <v>-</v>
          </cell>
          <cell r="J4493">
            <v>11.782335462999999</v>
          </cell>
          <cell r="K4493" t="str">
            <v>Small Cap</v>
          </cell>
        </row>
        <row r="4494">
          <cell r="C4494" t="str">
            <v>INE812K01027</v>
          </cell>
          <cell r="D4494" t="str">
            <v>NYSSACORP</v>
          </cell>
          <cell r="E4494">
            <v>11.781428570999999</v>
          </cell>
          <cell r="F4494" t="str">
            <v>-</v>
          </cell>
          <cell r="G4494" t="str">
            <v>-</v>
          </cell>
          <cell r="H4494" t="str">
            <v>-</v>
          </cell>
          <cell r="I4494" t="str">
            <v>-</v>
          </cell>
          <cell r="J4494">
            <v>11.781428570999999</v>
          </cell>
          <cell r="K4494" t="str">
            <v>Small Cap</v>
          </cell>
        </row>
        <row r="4495">
          <cell r="C4495" t="str">
            <v>INE076H01025</v>
          </cell>
          <cell r="D4495" t="str">
            <v>EON</v>
          </cell>
          <cell r="E4495">
            <v>11.781018802</v>
          </cell>
          <cell r="F4495" t="str">
            <v>-</v>
          </cell>
          <cell r="G4495" t="str">
            <v>-</v>
          </cell>
          <cell r="H4495" t="str">
            <v>-</v>
          </cell>
          <cell r="I4495" t="str">
            <v>-</v>
          </cell>
          <cell r="J4495">
            <v>11.781018802</v>
          </cell>
          <cell r="K4495" t="str">
            <v>Small Cap</v>
          </cell>
        </row>
        <row r="4496">
          <cell r="C4496" t="str">
            <v>INE0ID001024</v>
          </cell>
          <cell r="D4496" t="str">
            <v>VEERKRUPA</v>
          </cell>
          <cell r="E4496">
            <v>11.761444787</v>
          </cell>
          <cell r="F4496" t="str">
            <v>-</v>
          </cell>
          <cell r="G4496" t="str">
            <v>-</v>
          </cell>
          <cell r="H4496" t="str">
            <v>-</v>
          </cell>
          <cell r="I4496" t="str">
            <v>-</v>
          </cell>
          <cell r="J4496">
            <v>11.761444787</v>
          </cell>
          <cell r="K4496" t="str">
            <v>Small Cap</v>
          </cell>
        </row>
        <row r="4497">
          <cell r="C4497" t="str">
            <v>INE04OV01018</v>
          </cell>
          <cell r="D4497" t="str">
            <v>JANUSCORP</v>
          </cell>
          <cell r="E4497">
            <v>11.757992</v>
          </cell>
          <cell r="F4497" t="str">
            <v>-</v>
          </cell>
          <cell r="G4497" t="str">
            <v>-</v>
          </cell>
          <cell r="H4497" t="str">
            <v>-</v>
          </cell>
          <cell r="I4497" t="str">
            <v>-</v>
          </cell>
          <cell r="J4497">
            <v>11.757992</v>
          </cell>
          <cell r="K4497" t="str">
            <v>Small Cap</v>
          </cell>
        </row>
        <row r="4498">
          <cell r="C4498" t="str">
            <v>INE190D01015</v>
          </cell>
          <cell r="D4498" t="str">
            <v>ARISE</v>
          </cell>
          <cell r="E4498">
            <v>11.728412698</v>
          </cell>
          <cell r="F4498" t="str">
            <v>-</v>
          </cell>
          <cell r="G4498" t="str">
            <v>-</v>
          </cell>
          <cell r="H4498" t="str">
            <v>-</v>
          </cell>
          <cell r="I4498" t="str">
            <v>-</v>
          </cell>
          <cell r="J4498">
            <v>11.728412698</v>
          </cell>
          <cell r="K4498" t="str">
            <v>Small Cap</v>
          </cell>
        </row>
        <row r="4499">
          <cell r="C4499" t="str">
            <v>INE935Q01015</v>
          </cell>
          <cell r="D4499" t="str">
            <v>FSC</v>
          </cell>
          <cell r="E4499">
            <v>11.726324293999999</v>
          </cell>
          <cell r="F4499" t="str">
            <v>-</v>
          </cell>
          <cell r="G4499" t="str">
            <v>-</v>
          </cell>
          <cell r="H4499" t="str">
            <v>-</v>
          </cell>
          <cell r="I4499" t="str">
            <v>-</v>
          </cell>
          <cell r="J4499">
            <v>11.726324293999999</v>
          </cell>
          <cell r="K4499" t="str">
            <v>Small Cap</v>
          </cell>
        </row>
        <row r="4500">
          <cell r="C4500" t="str">
            <v>INE662D01013</v>
          </cell>
          <cell r="D4500" t="str">
            <v>WELTI</v>
          </cell>
          <cell r="E4500">
            <v>11.704482175000001</v>
          </cell>
          <cell r="F4500" t="str">
            <v>-</v>
          </cell>
          <cell r="G4500" t="str">
            <v>-</v>
          </cell>
          <cell r="H4500" t="str">
            <v>-</v>
          </cell>
          <cell r="I4500" t="str">
            <v>-</v>
          </cell>
          <cell r="J4500">
            <v>11.704482175000001</v>
          </cell>
          <cell r="K4500" t="str">
            <v>Small Cap</v>
          </cell>
        </row>
        <row r="4501">
          <cell r="C4501" t="str">
            <v>INE057D01016</v>
          </cell>
          <cell r="D4501" t="str">
            <v>ALCHCORP</v>
          </cell>
          <cell r="E4501">
            <v>11.666704547</v>
          </cell>
          <cell r="F4501" t="str">
            <v>-</v>
          </cell>
          <cell r="G4501" t="str">
            <v>-</v>
          </cell>
          <cell r="H4501" t="str">
            <v>-</v>
          </cell>
          <cell r="I4501" t="str">
            <v>-</v>
          </cell>
          <cell r="J4501">
            <v>11.666704547</v>
          </cell>
          <cell r="K4501" t="str">
            <v>Small Cap</v>
          </cell>
        </row>
        <row r="4502">
          <cell r="C4502" t="str">
            <v>INE736P01019</v>
          </cell>
          <cell r="D4502" t="str">
            <v>NORTHLINK</v>
          </cell>
          <cell r="E4502">
            <v>10.494702381</v>
          </cell>
          <cell r="F4502" t="str">
            <v>-</v>
          </cell>
          <cell r="G4502" t="str">
            <v>-</v>
          </cell>
          <cell r="H4502" t="str">
            <v>NFCSL</v>
          </cell>
          <cell r="I4502">
            <v>12.817781250000001</v>
          </cell>
          <cell r="J4502">
            <v>11.6562418155</v>
          </cell>
          <cell r="K4502" t="str">
            <v>Small Cap</v>
          </cell>
        </row>
        <row r="4503">
          <cell r="C4503" t="str">
            <v>INE933X01016</v>
          </cell>
          <cell r="D4503" t="str">
            <v>-</v>
          </cell>
          <cell r="E4503" t="str">
            <v>-</v>
          </cell>
          <cell r="F4503" t="str">
            <v>SHANTI</v>
          </cell>
          <cell r="G4503">
            <v>11.644299999999999</v>
          </cell>
          <cell r="H4503" t="str">
            <v>-</v>
          </cell>
          <cell r="I4503" t="str">
            <v>-</v>
          </cell>
          <cell r="J4503">
            <v>11.644299999999999</v>
          </cell>
          <cell r="K4503" t="str">
            <v>Small Cap</v>
          </cell>
        </row>
        <row r="4504">
          <cell r="C4504" t="str">
            <v>INE698B01011</v>
          </cell>
          <cell r="D4504" t="str">
            <v>PANKAJPO</v>
          </cell>
          <cell r="E4504">
            <v>11.584683037000001</v>
          </cell>
          <cell r="F4504" t="str">
            <v>-</v>
          </cell>
          <cell r="G4504" t="str">
            <v>-</v>
          </cell>
          <cell r="H4504" t="str">
            <v>-</v>
          </cell>
          <cell r="I4504" t="str">
            <v>-</v>
          </cell>
          <cell r="J4504">
            <v>11.584683037000001</v>
          </cell>
          <cell r="K4504" t="str">
            <v>Small Cap</v>
          </cell>
        </row>
        <row r="4505">
          <cell r="C4505" t="str">
            <v>INE975Z01012</v>
          </cell>
          <cell r="D4505" t="str">
            <v>DAPS</v>
          </cell>
          <cell r="E4505">
            <v>11.503104498999999</v>
          </cell>
          <cell r="F4505" t="str">
            <v>-</v>
          </cell>
          <cell r="G4505" t="str">
            <v>-</v>
          </cell>
          <cell r="H4505" t="str">
            <v>-</v>
          </cell>
          <cell r="I4505" t="str">
            <v>-</v>
          </cell>
          <cell r="J4505">
            <v>11.503104498999999</v>
          </cell>
          <cell r="K4505" t="str">
            <v>Small Cap</v>
          </cell>
        </row>
        <row r="4506">
          <cell r="C4506" t="str">
            <v>INE604F01010</v>
          </cell>
          <cell r="D4506" t="str">
            <v>PASARI</v>
          </cell>
          <cell r="E4506">
            <v>11.49167619</v>
          </cell>
          <cell r="F4506" t="str">
            <v>-</v>
          </cell>
          <cell r="G4506" t="str">
            <v>-</v>
          </cell>
          <cell r="H4506" t="str">
            <v>-</v>
          </cell>
          <cell r="I4506" t="str">
            <v>-</v>
          </cell>
          <cell r="J4506">
            <v>11.49167619</v>
          </cell>
          <cell r="K4506" t="str">
            <v>Small Cap</v>
          </cell>
        </row>
        <row r="4507">
          <cell r="C4507" t="str">
            <v>INE415H01017</v>
          </cell>
          <cell r="D4507" t="str">
            <v>BERLDRG</v>
          </cell>
          <cell r="E4507">
            <v>11.477096094</v>
          </cell>
          <cell r="F4507" t="str">
            <v>-</v>
          </cell>
          <cell r="G4507" t="str">
            <v>-</v>
          </cell>
          <cell r="H4507" t="str">
            <v>-</v>
          </cell>
          <cell r="I4507" t="str">
            <v>-</v>
          </cell>
          <cell r="J4507">
            <v>11.477096094</v>
          </cell>
          <cell r="K4507" t="str">
            <v>Small Cap</v>
          </cell>
        </row>
        <row r="4508">
          <cell r="C4508" t="str">
            <v>INE892L01019</v>
          </cell>
          <cell r="D4508" t="str">
            <v>SHANTIGURU</v>
          </cell>
          <cell r="E4508">
            <v>11.420065159</v>
          </cell>
          <cell r="F4508" t="str">
            <v>-</v>
          </cell>
          <cell r="G4508" t="str">
            <v>-</v>
          </cell>
          <cell r="H4508" t="str">
            <v>-</v>
          </cell>
          <cell r="I4508" t="str">
            <v>-</v>
          </cell>
          <cell r="J4508">
            <v>11.420065159</v>
          </cell>
          <cell r="K4508" t="str">
            <v>Small Cap</v>
          </cell>
        </row>
        <row r="4509">
          <cell r="C4509" t="str">
            <v>INE297D01018</v>
          </cell>
          <cell r="D4509" t="str">
            <v>PRIMAGR</v>
          </cell>
          <cell r="E4509">
            <v>11.404495904000001</v>
          </cell>
          <cell r="F4509" t="str">
            <v>-</v>
          </cell>
          <cell r="G4509" t="str">
            <v>-</v>
          </cell>
          <cell r="H4509" t="str">
            <v>-</v>
          </cell>
          <cell r="I4509" t="str">
            <v>-</v>
          </cell>
          <cell r="J4509">
            <v>11.404495904000001</v>
          </cell>
          <cell r="K4509" t="str">
            <v>Small Cap</v>
          </cell>
        </row>
        <row r="4510">
          <cell r="C4510" t="str">
            <v>INE696C01021</v>
          </cell>
          <cell r="D4510" t="str">
            <v>STEERINTER</v>
          </cell>
          <cell r="E4510">
            <v>11.398928855999999</v>
          </cell>
          <cell r="F4510" t="str">
            <v>-</v>
          </cell>
          <cell r="G4510" t="str">
            <v>-</v>
          </cell>
          <cell r="H4510" t="str">
            <v>-</v>
          </cell>
          <cell r="I4510" t="str">
            <v>-</v>
          </cell>
          <cell r="J4510">
            <v>11.398928855999999</v>
          </cell>
          <cell r="K4510" t="str">
            <v>Small Cap</v>
          </cell>
        </row>
        <row r="4511">
          <cell r="C4511" t="str">
            <v>INE0ILD01014</v>
          </cell>
          <cell r="D4511" t="str">
            <v>BRANDBUCKT</v>
          </cell>
          <cell r="E4511">
            <v>11.38820368</v>
          </cell>
          <cell r="F4511" t="str">
            <v>-</v>
          </cell>
          <cell r="G4511" t="str">
            <v>-</v>
          </cell>
          <cell r="H4511" t="str">
            <v>-</v>
          </cell>
          <cell r="I4511" t="str">
            <v>-</v>
          </cell>
          <cell r="J4511">
            <v>11.38820368</v>
          </cell>
          <cell r="K4511" t="str">
            <v>Small Cap</v>
          </cell>
        </row>
        <row r="4512">
          <cell r="C4512" t="str">
            <v>INE552Q01018</v>
          </cell>
          <cell r="D4512" t="str">
            <v>ENCASH</v>
          </cell>
          <cell r="E4512">
            <v>11.299838400000001</v>
          </cell>
          <cell r="F4512" t="str">
            <v>-</v>
          </cell>
          <cell r="G4512" t="str">
            <v>-</v>
          </cell>
          <cell r="H4512" t="str">
            <v>-</v>
          </cell>
          <cell r="I4512" t="str">
            <v>-</v>
          </cell>
          <cell r="J4512">
            <v>11.299838400000001</v>
          </cell>
          <cell r="K4512" t="str">
            <v>Small Cap</v>
          </cell>
        </row>
        <row r="4513">
          <cell r="C4513" t="str">
            <v>INE999P01013</v>
          </cell>
          <cell r="D4513" t="str">
            <v>-</v>
          </cell>
          <cell r="E4513" t="str">
            <v>-</v>
          </cell>
          <cell r="F4513" t="str">
            <v>-</v>
          </cell>
          <cell r="G4513" t="str">
            <v>-</v>
          </cell>
          <cell r="H4513" t="str">
            <v>TARINIENT</v>
          </cell>
          <cell r="I4513">
            <v>11.299466250000018</v>
          </cell>
          <cell r="J4513">
            <v>11.299466250000018</v>
          </cell>
          <cell r="K4513" t="str">
            <v>Small Cap</v>
          </cell>
        </row>
        <row r="4514">
          <cell r="C4514" t="str">
            <v>INE468F01010</v>
          </cell>
          <cell r="D4514" t="str">
            <v>iPOWER</v>
          </cell>
          <cell r="E4514">
            <v>11.289923873000001</v>
          </cell>
          <cell r="F4514" t="str">
            <v>-</v>
          </cell>
          <cell r="G4514" t="str">
            <v>-</v>
          </cell>
          <cell r="H4514" t="str">
            <v>-</v>
          </cell>
          <cell r="I4514" t="str">
            <v>-</v>
          </cell>
          <cell r="J4514">
            <v>11.289923873000001</v>
          </cell>
          <cell r="K4514" t="str">
            <v>Small Cap</v>
          </cell>
        </row>
        <row r="4515">
          <cell r="C4515" t="str">
            <v>INE832E01010</v>
          </cell>
          <cell r="D4515" t="str">
            <v>UFMINDL</v>
          </cell>
          <cell r="E4515">
            <v>11.266999999999999</v>
          </cell>
          <cell r="F4515" t="str">
            <v>-</v>
          </cell>
          <cell r="G4515" t="str">
            <v>-</v>
          </cell>
          <cell r="H4515" t="str">
            <v>-</v>
          </cell>
          <cell r="I4515" t="str">
            <v>-</v>
          </cell>
          <cell r="J4515">
            <v>11.266999999999999</v>
          </cell>
          <cell r="K4515" t="str">
            <v>Small Cap</v>
          </cell>
        </row>
        <row r="4516">
          <cell r="C4516" t="str">
            <v>INE763C01011</v>
          </cell>
          <cell r="D4516" t="str">
            <v>-</v>
          </cell>
          <cell r="E4516" t="str">
            <v>-</v>
          </cell>
          <cell r="F4516" t="str">
            <v>-</v>
          </cell>
          <cell r="G4516" t="str">
            <v>-</v>
          </cell>
          <cell r="H4516" t="str">
            <v>ARIHANTCFL</v>
          </cell>
          <cell r="I4516">
            <v>11.264379899999996</v>
          </cell>
          <cell r="J4516">
            <v>11.264379899999996</v>
          </cell>
          <cell r="K4516" t="str">
            <v>Small Cap</v>
          </cell>
        </row>
        <row r="4517">
          <cell r="C4517" t="str">
            <v>INE319N01019</v>
          </cell>
          <cell r="D4517" t="str">
            <v>INDOEURO</v>
          </cell>
          <cell r="E4517">
            <v>11.261067278000001</v>
          </cell>
          <cell r="F4517" t="str">
            <v>-</v>
          </cell>
          <cell r="G4517" t="str">
            <v>-</v>
          </cell>
          <cell r="H4517" t="str">
            <v>-</v>
          </cell>
          <cell r="I4517" t="str">
            <v>-</v>
          </cell>
          <cell r="J4517">
            <v>11.261067278000001</v>
          </cell>
          <cell r="K4517" t="str">
            <v>Small Cap</v>
          </cell>
        </row>
        <row r="4518">
          <cell r="C4518" t="str">
            <v>INE512A01016</v>
          </cell>
          <cell r="D4518" t="str">
            <v>FGP</v>
          </cell>
          <cell r="E4518">
            <v>11.238085445000001</v>
          </cell>
          <cell r="F4518" t="str">
            <v>-</v>
          </cell>
          <cell r="G4518" t="str">
            <v>-</v>
          </cell>
          <cell r="H4518" t="str">
            <v>-</v>
          </cell>
          <cell r="I4518" t="str">
            <v>-</v>
          </cell>
          <cell r="J4518">
            <v>11.238085445000001</v>
          </cell>
          <cell r="K4518" t="str">
            <v>Small Cap</v>
          </cell>
        </row>
        <row r="4519">
          <cell r="C4519" t="str">
            <v>INE883L01018</v>
          </cell>
          <cell r="D4519" t="str">
            <v>PYXISFIN</v>
          </cell>
          <cell r="E4519">
            <v>11.226522959999999</v>
          </cell>
          <cell r="F4519" t="str">
            <v>-</v>
          </cell>
          <cell r="G4519" t="str">
            <v>-</v>
          </cell>
          <cell r="H4519" t="str">
            <v>-</v>
          </cell>
          <cell r="I4519" t="str">
            <v>-</v>
          </cell>
          <cell r="J4519">
            <v>11.226522959999999</v>
          </cell>
          <cell r="K4519" t="str">
            <v>Small Cap</v>
          </cell>
        </row>
        <row r="4520">
          <cell r="C4520" t="str">
            <v>INE335C01018</v>
          </cell>
          <cell r="D4520" t="str">
            <v>JKPHARMA</v>
          </cell>
          <cell r="E4520">
            <v>11.220600501</v>
          </cell>
          <cell r="F4520" t="str">
            <v>-</v>
          </cell>
          <cell r="G4520" t="str">
            <v>-</v>
          </cell>
          <cell r="H4520" t="str">
            <v>-</v>
          </cell>
          <cell r="I4520" t="str">
            <v>-</v>
          </cell>
          <cell r="J4520">
            <v>11.220600501</v>
          </cell>
          <cell r="K4520" t="str">
            <v>Small Cap</v>
          </cell>
        </row>
        <row r="4521">
          <cell r="C4521" t="str">
            <v>INE829R01018</v>
          </cell>
          <cell r="D4521" t="str">
            <v>CHEMIESYNT</v>
          </cell>
          <cell r="E4521">
            <v>11.216586111</v>
          </cell>
          <cell r="F4521" t="str">
            <v>-</v>
          </cell>
          <cell r="G4521" t="str">
            <v>-</v>
          </cell>
          <cell r="H4521" t="str">
            <v>-</v>
          </cell>
          <cell r="I4521" t="str">
            <v>-</v>
          </cell>
          <cell r="J4521">
            <v>11.216586111</v>
          </cell>
          <cell r="K4521" t="str">
            <v>Small Cap</v>
          </cell>
        </row>
        <row r="4522">
          <cell r="C4522" t="str">
            <v>INE180M01033</v>
          </cell>
          <cell r="D4522" t="str">
            <v>LONGSPUR</v>
          </cell>
          <cell r="E4522">
            <v>11.205349999999999</v>
          </cell>
          <cell r="F4522" t="str">
            <v>-</v>
          </cell>
          <cell r="G4522" t="str">
            <v>-</v>
          </cell>
          <cell r="H4522" t="str">
            <v>-</v>
          </cell>
          <cell r="I4522" t="str">
            <v>-</v>
          </cell>
          <cell r="J4522">
            <v>11.205349999999999</v>
          </cell>
          <cell r="K4522" t="str">
            <v>Small Cap</v>
          </cell>
        </row>
        <row r="4523">
          <cell r="C4523" t="str">
            <v>INE315F01013</v>
          </cell>
          <cell r="D4523" t="str">
            <v>ECSTSTL</v>
          </cell>
          <cell r="E4523">
            <v>11.182081304</v>
          </cell>
          <cell r="F4523" t="str">
            <v>-</v>
          </cell>
          <cell r="G4523" t="str">
            <v>-</v>
          </cell>
          <cell r="H4523" t="str">
            <v>-</v>
          </cell>
          <cell r="I4523" t="str">
            <v>-</v>
          </cell>
          <cell r="J4523">
            <v>11.182081304</v>
          </cell>
          <cell r="K4523" t="str">
            <v>Small Cap</v>
          </cell>
        </row>
        <row r="4524">
          <cell r="C4524" t="str">
            <v>INE430F01010</v>
          </cell>
          <cell r="D4524" t="str">
            <v>KUWERIN</v>
          </cell>
          <cell r="E4524">
            <v>11.176174216</v>
          </cell>
          <cell r="F4524" t="str">
            <v>-</v>
          </cell>
          <cell r="G4524" t="str">
            <v>-</v>
          </cell>
          <cell r="H4524" t="str">
            <v>-</v>
          </cell>
          <cell r="I4524" t="str">
            <v>-</v>
          </cell>
          <cell r="J4524">
            <v>11.176174216</v>
          </cell>
          <cell r="K4524" t="str">
            <v>Small Cap</v>
          </cell>
        </row>
        <row r="4525">
          <cell r="C4525" t="str">
            <v>INE698E01023</v>
          </cell>
          <cell r="D4525" t="str">
            <v>MRMGAST</v>
          </cell>
          <cell r="E4525">
            <v>11.152569</v>
          </cell>
          <cell r="F4525" t="str">
            <v>-</v>
          </cell>
          <cell r="G4525" t="str">
            <v>-</v>
          </cell>
          <cell r="H4525" t="str">
            <v>-</v>
          </cell>
          <cell r="I4525" t="str">
            <v>-</v>
          </cell>
          <cell r="J4525">
            <v>11.152569</v>
          </cell>
          <cell r="K4525" t="str">
            <v>Small Cap</v>
          </cell>
        </row>
        <row r="4526">
          <cell r="C4526" t="str">
            <v>INE099S01016</v>
          </cell>
          <cell r="D4526" t="str">
            <v>IGCIL</v>
          </cell>
          <cell r="E4526">
            <v>11.148151111000001</v>
          </cell>
          <cell r="F4526" t="str">
            <v>-</v>
          </cell>
          <cell r="G4526" t="str">
            <v>-</v>
          </cell>
          <cell r="H4526" t="str">
            <v>-</v>
          </cell>
          <cell r="I4526" t="str">
            <v>-</v>
          </cell>
          <cell r="J4526">
            <v>11.148151111000001</v>
          </cell>
          <cell r="K4526" t="str">
            <v>Small Cap</v>
          </cell>
        </row>
        <row r="4527">
          <cell r="C4527" t="str">
            <v>INE245C01019</v>
          </cell>
          <cell r="D4527" t="str">
            <v>LEEL</v>
          </cell>
          <cell r="E4527">
            <v>11.131703759999999</v>
          </cell>
          <cell r="F4527" t="str">
            <v>-</v>
          </cell>
          <cell r="G4527" t="str">
            <v>-</v>
          </cell>
          <cell r="H4527" t="str">
            <v>-</v>
          </cell>
          <cell r="I4527" t="str">
            <v>-</v>
          </cell>
          <cell r="J4527">
            <v>11.131703759999999</v>
          </cell>
          <cell r="K4527" t="str">
            <v>Small Cap</v>
          </cell>
        </row>
        <row r="4528">
          <cell r="C4528" t="str">
            <v>INE574D01010</v>
          </cell>
          <cell r="D4528" t="str">
            <v>GVBL</v>
          </cell>
          <cell r="E4528">
            <v>11.117919401</v>
          </cell>
          <cell r="F4528" t="str">
            <v>-</v>
          </cell>
          <cell r="G4528" t="str">
            <v>-</v>
          </cell>
          <cell r="H4528" t="str">
            <v>-</v>
          </cell>
          <cell r="I4528" t="str">
            <v>-</v>
          </cell>
          <cell r="J4528">
            <v>11.117919401</v>
          </cell>
          <cell r="K4528" t="str">
            <v>Small Cap</v>
          </cell>
        </row>
        <row r="4529">
          <cell r="C4529" t="str">
            <v>INE576D01015</v>
          </cell>
          <cell r="D4529" t="str">
            <v>UNJHAFOR</v>
          </cell>
          <cell r="E4529">
            <v>11.100723226000001</v>
          </cell>
          <cell r="F4529" t="str">
            <v>-</v>
          </cell>
          <cell r="G4529" t="str">
            <v>-</v>
          </cell>
          <cell r="H4529" t="str">
            <v>-</v>
          </cell>
          <cell r="I4529" t="str">
            <v>-</v>
          </cell>
          <cell r="J4529">
            <v>11.100723226000001</v>
          </cell>
          <cell r="K4529" t="str">
            <v>Small Cap</v>
          </cell>
        </row>
        <row r="4530">
          <cell r="C4530" t="str">
            <v>INE033E01015</v>
          </cell>
          <cell r="D4530" t="str">
            <v>MIDEASTP</v>
          </cell>
          <cell r="E4530">
            <v>11.079892381000001</v>
          </cell>
          <cell r="F4530" t="str">
            <v>-</v>
          </cell>
          <cell r="G4530" t="str">
            <v>-</v>
          </cell>
          <cell r="H4530" t="str">
            <v>-</v>
          </cell>
          <cell r="I4530" t="str">
            <v>-</v>
          </cell>
          <cell r="J4530">
            <v>11.079892381000001</v>
          </cell>
          <cell r="K4530" t="str">
            <v>Small Cap</v>
          </cell>
        </row>
        <row r="4531">
          <cell r="C4531" t="str">
            <v>INE702H01018</v>
          </cell>
          <cell r="D4531" t="str">
            <v>JAGJANANI</v>
          </cell>
          <cell r="E4531">
            <v>11.032542856999999</v>
          </cell>
          <cell r="F4531" t="str">
            <v>-</v>
          </cell>
          <cell r="G4531" t="str">
            <v>-</v>
          </cell>
          <cell r="H4531" t="str">
            <v>-</v>
          </cell>
          <cell r="I4531" t="str">
            <v>-</v>
          </cell>
          <cell r="J4531">
            <v>11.032542856999999</v>
          </cell>
          <cell r="K4531" t="str">
            <v>Small Cap</v>
          </cell>
        </row>
        <row r="4532">
          <cell r="C4532" t="str">
            <v>INE075H01019</v>
          </cell>
          <cell r="D4532" t="str">
            <v>SARTHAKGL</v>
          </cell>
          <cell r="E4532">
            <v>11.026999999999999</v>
          </cell>
          <cell r="F4532" t="str">
            <v>-</v>
          </cell>
          <cell r="G4532" t="str">
            <v>-</v>
          </cell>
          <cell r="H4532" t="str">
            <v>-</v>
          </cell>
          <cell r="I4532" t="str">
            <v>-</v>
          </cell>
          <cell r="J4532">
            <v>11.026999999999999</v>
          </cell>
          <cell r="K4532" t="str">
            <v>Small Cap</v>
          </cell>
        </row>
        <row r="4533">
          <cell r="C4533" t="str">
            <v>INE530D01012</v>
          </cell>
          <cell r="D4533" t="str">
            <v>PRATIKSH</v>
          </cell>
          <cell r="E4533">
            <v>11.007257094</v>
          </cell>
          <cell r="F4533" t="str">
            <v>-</v>
          </cell>
          <cell r="G4533" t="str">
            <v>-</v>
          </cell>
          <cell r="H4533" t="str">
            <v>-</v>
          </cell>
          <cell r="I4533" t="str">
            <v>-</v>
          </cell>
          <cell r="J4533">
            <v>11.007257094</v>
          </cell>
          <cell r="K4533" t="str">
            <v>Small Cap</v>
          </cell>
        </row>
        <row r="4534">
          <cell r="C4534" t="str">
            <v>INE226G01010</v>
          </cell>
          <cell r="D4534" t="str">
            <v>-</v>
          </cell>
          <cell r="E4534" t="str">
            <v>-</v>
          </cell>
          <cell r="F4534" t="str">
            <v>-</v>
          </cell>
          <cell r="G4534" t="str">
            <v>-</v>
          </cell>
          <cell r="H4534" t="str">
            <v>IIEL</v>
          </cell>
          <cell r="I4534">
            <v>11.000399999999983</v>
          </cell>
          <cell r="J4534">
            <v>11.000399999999983</v>
          </cell>
          <cell r="K4534" t="str">
            <v>Small Cap</v>
          </cell>
        </row>
        <row r="4535">
          <cell r="C4535" t="str">
            <v>INE267E01019</v>
          </cell>
          <cell r="D4535" t="str">
            <v>LIBORD</v>
          </cell>
          <cell r="E4535">
            <v>11.000277778000001</v>
          </cell>
          <cell r="F4535" t="str">
            <v>-</v>
          </cell>
          <cell r="G4535" t="str">
            <v>-</v>
          </cell>
          <cell r="H4535" t="str">
            <v>-</v>
          </cell>
          <cell r="I4535" t="str">
            <v>-</v>
          </cell>
          <cell r="J4535">
            <v>11.000277778000001</v>
          </cell>
          <cell r="K4535" t="str">
            <v>Small Cap</v>
          </cell>
        </row>
        <row r="4536">
          <cell r="C4536" t="str">
            <v>INE077D01014</v>
          </cell>
          <cell r="D4536" t="str">
            <v>-</v>
          </cell>
          <cell r="E4536" t="str">
            <v>-</v>
          </cell>
          <cell r="F4536" t="str">
            <v>-</v>
          </cell>
          <cell r="G4536" t="str">
            <v>-</v>
          </cell>
          <cell r="H4536" t="str">
            <v>ISCCL</v>
          </cell>
          <cell r="I4536">
            <v>11.00009999999998</v>
          </cell>
          <cell r="J4536">
            <v>11.00009999999998</v>
          </cell>
          <cell r="K4536" t="str">
            <v>Small Cap</v>
          </cell>
        </row>
        <row r="4537">
          <cell r="C4537" t="str">
            <v>INE507L01021</v>
          </cell>
          <cell r="D4537" t="str">
            <v>-</v>
          </cell>
          <cell r="E4537" t="str">
            <v>-</v>
          </cell>
          <cell r="F4537" t="str">
            <v>-</v>
          </cell>
          <cell r="G4537" t="str">
            <v>-</v>
          </cell>
          <cell r="H4537" t="str">
            <v>KIRTIINV</v>
          </cell>
          <cell r="I4537">
            <v>11</v>
          </cell>
          <cell r="J4537">
            <v>11</v>
          </cell>
          <cell r="K4537" t="str">
            <v>Small Cap</v>
          </cell>
        </row>
        <row r="4538">
          <cell r="C4538" t="str">
            <v>INE425E01013</v>
          </cell>
          <cell r="D4538" t="str">
            <v>RAMAPPR-B</v>
          </cell>
          <cell r="E4538">
            <v>10.996471844</v>
          </cell>
          <cell r="F4538" t="str">
            <v>-</v>
          </cell>
          <cell r="G4538" t="str">
            <v>-</v>
          </cell>
          <cell r="H4538" t="str">
            <v>-</v>
          </cell>
          <cell r="I4538" t="str">
            <v>-</v>
          </cell>
          <cell r="J4538">
            <v>10.996471844</v>
          </cell>
          <cell r="K4538" t="str">
            <v>Small Cap</v>
          </cell>
        </row>
        <row r="4539">
          <cell r="C4539" t="str">
            <v>INE697C01011</v>
          </cell>
          <cell r="D4539" t="str">
            <v>USHAKIRA</v>
          </cell>
          <cell r="E4539">
            <v>10.989453167000001</v>
          </cell>
          <cell r="F4539" t="str">
            <v>-</v>
          </cell>
          <cell r="G4539" t="str">
            <v>-</v>
          </cell>
          <cell r="H4539" t="str">
            <v>-</v>
          </cell>
          <cell r="I4539" t="str">
            <v>-</v>
          </cell>
          <cell r="J4539">
            <v>10.989453167000001</v>
          </cell>
          <cell r="K4539" t="str">
            <v>Small Cap</v>
          </cell>
        </row>
        <row r="4540">
          <cell r="C4540" t="str">
            <v>INE400R01018</v>
          </cell>
          <cell r="D4540" t="str">
            <v>SIIL</v>
          </cell>
          <cell r="E4540">
            <v>10.969203968</v>
          </cell>
          <cell r="F4540" t="str">
            <v>-</v>
          </cell>
          <cell r="G4540" t="str">
            <v>-</v>
          </cell>
          <cell r="H4540" t="str">
            <v>-</v>
          </cell>
          <cell r="I4540" t="str">
            <v>-</v>
          </cell>
          <cell r="J4540">
            <v>10.969203968</v>
          </cell>
          <cell r="K4540" t="str">
            <v>Small Cap</v>
          </cell>
        </row>
        <row r="4541">
          <cell r="C4541" t="str">
            <v>INE320V01010</v>
          </cell>
          <cell r="D4541" t="str">
            <v>-</v>
          </cell>
          <cell r="E4541" t="str">
            <v>-</v>
          </cell>
          <cell r="F4541" t="str">
            <v>-</v>
          </cell>
          <cell r="G4541" t="str">
            <v>-</v>
          </cell>
          <cell r="H4541" t="str">
            <v>ROBERT</v>
          </cell>
          <cell r="I4541">
            <v>10.962149999999999</v>
          </cell>
          <cell r="J4541">
            <v>10.962149999999999</v>
          </cell>
          <cell r="K4541" t="str">
            <v>Small Cap</v>
          </cell>
        </row>
        <row r="4542">
          <cell r="C4542" t="str">
            <v>INE629B01032</v>
          </cell>
          <cell r="D4542" t="str">
            <v>STEELCO</v>
          </cell>
          <cell r="E4542">
            <v>10.9469294</v>
          </cell>
          <cell r="F4542" t="str">
            <v>-</v>
          </cell>
          <cell r="G4542" t="str">
            <v>-</v>
          </cell>
          <cell r="H4542" t="str">
            <v>-</v>
          </cell>
          <cell r="I4542" t="str">
            <v>-</v>
          </cell>
          <cell r="J4542">
            <v>10.9469294</v>
          </cell>
          <cell r="K4542" t="str">
            <v>Small Cap</v>
          </cell>
        </row>
        <row r="4543">
          <cell r="C4543" t="str">
            <v>INE923C01011</v>
          </cell>
          <cell r="D4543" t="str">
            <v>COLINZ</v>
          </cell>
          <cell r="E4543">
            <v>10.936432736</v>
          </cell>
          <cell r="F4543" t="str">
            <v>-</v>
          </cell>
          <cell r="G4543" t="str">
            <v>-</v>
          </cell>
          <cell r="H4543" t="str">
            <v>-</v>
          </cell>
          <cell r="I4543" t="str">
            <v>-</v>
          </cell>
          <cell r="J4543">
            <v>10.936432736</v>
          </cell>
          <cell r="K4543" t="str">
            <v>Small Cap</v>
          </cell>
        </row>
        <row r="4544">
          <cell r="C4544" t="str">
            <v>INE076D01016</v>
          </cell>
          <cell r="D4544" t="str">
            <v>GAGAN</v>
          </cell>
          <cell r="E4544">
            <v>10.930538389000001</v>
          </cell>
          <cell r="F4544" t="str">
            <v>-</v>
          </cell>
          <cell r="G4544" t="str">
            <v>-</v>
          </cell>
          <cell r="H4544" t="str">
            <v>-</v>
          </cell>
          <cell r="I4544" t="str">
            <v>-</v>
          </cell>
          <cell r="J4544">
            <v>10.930538389000001</v>
          </cell>
          <cell r="K4544" t="str">
            <v>Small Cap</v>
          </cell>
        </row>
        <row r="4545">
          <cell r="C4545" t="str">
            <v>INE266S01011</v>
          </cell>
          <cell r="D4545" t="str">
            <v>SMEL</v>
          </cell>
          <cell r="E4545">
            <v>10.930507937</v>
          </cell>
          <cell r="F4545" t="str">
            <v>-</v>
          </cell>
          <cell r="G4545" t="str">
            <v>-</v>
          </cell>
          <cell r="H4545" t="str">
            <v>-</v>
          </cell>
          <cell r="I4545" t="str">
            <v>-</v>
          </cell>
          <cell r="J4545">
            <v>10.930507937</v>
          </cell>
          <cell r="K4545" t="str">
            <v>Small Cap</v>
          </cell>
        </row>
        <row r="4546">
          <cell r="C4546" t="str">
            <v>INE0BDU01028</v>
          </cell>
          <cell r="D4546" t="str">
            <v>ROJL</v>
          </cell>
          <cell r="E4546">
            <v>10.913223804999999</v>
          </cell>
          <cell r="F4546" t="str">
            <v>-</v>
          </cell>
          <cell r="G4546" t="str">
            <v>-</v>
          </cell>
          <cell r="H4546" t="str">
            <v>-</v>
          </cell>
          <cell r="I4546" t="str">
            <v>-</v>
          </cell>
          <cell r="J4546">
            <v>10.913223804999999</v>
          </cell>
          <cell r="K4546" t="str">
            <v>Small Cap</v>
          </cell>
        </row>
        <row r="4547">
          <cell r="C4547" t="str">
            <v>INE023S01016</v>
          </cell>
          <cell r="D4547" t="str">
            <v>JIYAECO</v>
          </cell>
          <cell r="E4547">
            <v>10.856447581999999</v>
          </cell>
          <cell r="F4547" t="str">
            <v>-</v>
          </cell>
          <cell r="G4547" t="str">
            <v>-</v>
          </cell>
          <cell r="H4547" t="str">
            <v>-</v>
          </cell>
          <cell r="I4547" t="str">
            <v>-</v>
          </cell>
          <cell r="J4547">
            <v>10.856447581999999</v>
          </cell>
          <cell r="K4547" t="str">
            <v>Small Cap</v>
          </cell>
        </row>
        <row r="4548">
          <cell r="C4548" t="str">
            <v>INE891B01012</v>
          </cell>
          <cell r="D4548" t="str">
            <v>DCMFINSERV</v>
          </cell>
          <cell r="E4548">
            <v>10.833228095000001</v>
          </cell>
          <cell r="F4548" t="str">
            <v>DCMFINSERV</v>
          </cell>
          <cell r="G4548">
            <v>10.8691</v>
          </cell>
          <cell r="H4548" t="str">
            <v>-</v>
          </cell>
          <cell r="I4548" t="str">
            <v>-</v>
          </cell>
          <cell r="J4548">
            <v>10.851164047499999</v>
          </cell>
          <cell r="K4548" t="str">
            <v>Small Cap</v>
          </cell>
        </row>
        <row r="4549">
          <cell r="C4549" t="str">
            <v>INE410D01017</v>
          </cell>
          <cell r="D4549" t="str">
            <v>RAMGOPOLY</v>
          </cell>
          <cell r="E4549">
            <v>10.84047619</v>
          </cell>
          <cell r="F4549" t="str">
            <v>-</v>
          </cell>
          <cell r="G4549" t="str">
            <v>-</v>
          </cell>
          <cell r="H4549" t="str">
            <v>-</v>
          </cell>
          <cell r="I4549" t="str">
            <v>-</v>
          </cell>
          <cell r="J4549">
            <v>10.84047619</v>
          </cell>
          <cell r="K4549" t="str">
            <v>Small Cap</v>
          </cell>
        </row>
        <row r="4550">
          <cell r="C4550" t="str">
            <v>INE384H01023</v>
          </cell>
          <cell r="D4550" t="str">
            <v>ELLOPAP</v>
          </cell>
          <cell r="E4550">
            <v>10.84</v>
          </cell>
          <cell r="F4550" t="str">
            <v>-</v>
          </cell>
          <cell r="G4550" t="str">
            <v>-</v>
          </cell>
          <cell r="H4550" t="str">
            <v>-</v>
          </cell>
          <cell r="I4550" t="str">
            <v>-</v>
          </cell>
          <cell r="J4550">
            <v>10.84</v>
          </cell>
          <cell r="K4550" t="str">
            <v>Small Cap</v>
          </cell>
        </row>
        <row r="4551">
          <cell r="C4551" t="str">
            <v>INE706N01017</v>
          </cell>
          <cell r="D4551" t="str">
            <v>EASTBUILD</v>
          </cell>
          <cell r="E4551">
            <v>10.809355124</v>
          </cell>
          <cell r="F4551" t="str">
            <v>-</v>
          </cell>
          <cell r="G4551" t="str">
            <v>-</v>
          </cell>
          <cell r="H4551" t="str">
            <v>-</v>
          </cell>
          <cell r="I4551" t="str">
            <v>-</v>
          </cell>
          <cell r="J4551">
            <v>10.809355124</v>
          </cell>
          <cell r="K4551" t="str">
            <v>Small Cap</v>
          </cell>
        </row>
        <row r="4552">
          <cell r="C4552" t="str">
            <v>INE422M01013</v>
          </cell>
          <cell r="D4552" t="str">
            <v>CRPRISK</v>
          </cell>
          <cell r="E4552">
            <v>10.8056682</v>
          </cell>
          <cell r="F4552" t="str">
            <v>-</v>
          </cell>
          <cell r="G4552" t="str">
            <v>-</v>
          </cell>
          <cell r="H4552" t="str">
            <v>-</v>
          </cell>
          <cell r="I4552" t="str">
            <v>-</v>
          </cell>
          <cell r="J4552">
            <v>10.8056682</v>
          </cell>
          <cell r="K4552" t="str">
            <v>Small Cap</v>
          </cell>
        </row>
        <row r="4553">
          <cell r="C4553" t="str">
            <v>INE895E01017</v>
          </cell>
          <cell r="D4553" t="str">
            <v>SCAGRO</v>
          </cell>
          <cell r="E4553">
            <v>10.799373968000001</v>
          </cell>
          <cell r="F4553" t="str">
            <v>-</v>
          </cell>
          <cell r="G4553" t="str">
            <v>-</v>
          </cell>
          <cell r="H4553" t="str">
            <v>-</v>
          </cell>
          <cell r="I4553" t="str">
            <v>-</v>
          </cell>
          <cell r="J4553">
            <v>10.799373968000001</v>
          </cell>
          <cell r="K4553" t="str">
            <v>Small Cap</v>
          </cell>
        </row>
        <row r="4554">
          <cell r="C4554" t="str">
            <v>INE877A01013</v>
          </cell>
          <cell r="D4554" t="str">
            <v>SANKHYAIN</v>
          </cell>
          <cell r="E4554">
            <v>10.796628</v>
          </cell>
          <cell r="F4554" t="str">
            <v>-</v>
          </cell>
          <cell r="G4554" t="str">
            <v>-</v>
          </cell>
          <cell r="H4554" t="str">
            <v>-</v>
          </cell>
          <cell r="I4554" t="str">
            <v>-</v>
          </cell>
          <cell r="J4554">
            <v>10.796628</v>
          </cell>
          <cell r="K4554" t="str">
            <v>Small Cap</v>
          </cell>
        </row>
        <row r="4555">
          <cell r="C4555" t="str">
            <v>INE302H01017</v>
          </cell>
          <cell r="D4555" t="str">
            <v>GTNTEX</v>
          </cell>
          <cell r="E4555">
            <v>10.787120101000001</v>
          </cell>
          <cell r="F4555" t="str">
            <v>-</v>
          </cell>
          <cell r="G4555" t="str">
            <v>-</v>
          </cell>
          <cell r="H4555" t="str">
            <v>-</v>
          </cell>
          <cell r="I4555" t="str">
            <v>-</v>
          </cell>
          <cell r="J4555">
            <v>10.787120101000001</v>
          </cell>
          <cell r="K4555" t="str">
            <v>Small Cap</v>
          </cell>
        </row>
        <row r="4556">
          <cell r="C4556" t="str">
            <v>INE513C01010</v>
          </cell>
          <cell r="D4556" t="str">
            <v>OCTAL</v>
          </cell>
          <cell r="E4556">
            <v>10.782615125</v>
          </cell>
          <cell r="F4556" t="str">
            <v>-</v>
          </cell>
          <cell r="G4556" t="str">
            <v>-</v>
          </cell>
          <cell r="H4556" t="str">
            <v>-</v>
          </cell>
          <cell r="I4556" t="str">
            <v>-</v>
          </cell>
          <cell r="J4556">
            <v>10.782615125</v>
          </cell>
          <cell r="K4556" t="str">
            <v>Small Cap</v>
          </cell>
        </row>
        <row r="4557">
          <cell r="C4557" t="str">
            <v>INE758D01027</v>
          </cell>
          <cell r="D4557" t="str">
            <v>DHENUBUILD</v>
          </cell>
          <cell r="E4557">
            <v>10.778119048000001</v>
          </cell>
          <cell r="F4557" t="str">
            <v>-</v>
          </cell>
          <cell r="G4557" t="str">
            <v>-</v>
          </cell>
          <cell r="H4557" t="str">
            <v>-</v>
          </cell>
          <cell r="I4557" t="str">
            <v>-</v>
          </cell>
          <cell r="J4557">
            <v>10.778119048000001</v>
          </cell>
          <cell r="K4557" t="str">
            <v>Small Cap</v>
          </cell>
        </row>
        <row r="4558">
          <cell r="C4558" t="str">
            <v>INE03CM01014</v>
          </cell>
          <cell r="D4558" t="str">
            <v>GLEAM</v>
          </cell>
          <cell r="E4558">
            <v>10.764897556000001</v>
          </cell>
          <cell r="F4558" t="str">
            <v>-</v>
          </cell>
          <cell r="G4558" t="str">
            <v>-</v>
          </cell>
          <cell r="H4558" t="str">
            <v>-</v>
          </cell>
          <cell r="I4558" t="str">
            <v>-</v>
          </cell>
          <cell r="J4558">
            <v>10.764897556000001</v>
          </cell>
          <cell r="K4558" t="str">
            <v>Small Cap</v>
          </cell>
        </row>
        <row r="4559">
          <cell r="C4559" t="str">
            <v>INE641Q01019</v>
          </cell>
          <cell r="D4559" t="str">
            <v>ZINEMA</v>
          </cell>
          <cell r="E4559">
            <v>10.753397356999999</v>
          </cell>
          <cell r="F4559" t="str">
            <v>-</v>
          </cell>
          <cell r="G4559" t="str">
            <v>-</v>
          </cell>
          <cell r="H4559" t="str">
            <v>-</v>
          </cell>
          <cell r="I4559" t="str">
            <v>-</v>
          </cell>
          <cell r="J4559">
            <v>10.753397356999999</v>
          </cell>
          <cell r="K4559" t="str">
            <v>Small Cap</v>
          </cell>
        </row>
        <row r="4560">
          <cell r="C4560" t="str">
            <v>INE730E01016</v>
          </cell>
          <cell r="D4560" t="str">
            <v>PRISMMEDI</v>
          </cell>
          <cell r="E4560">
            <v>10.741314579999999</v>
          </cell>
          <cell r="F4560" t="str">
            <v>-</v>
          </cell>
          <cell r="G4560" t="str">
            <v>-</v>
          </cell>
          <cell r="H4560" t="str">
            <v>PRISMMEDI</v>
          </cell>
          <cell r="I4560">
            <v>10.74718551777778</v>
          </cell>
          <cell r="J4560">
            <v>10.74425004888889</v>
          </cell>
          <cell r="K4560" t="str">
            <v>Small Cap</v>
          </cell>
        </row>
        <row r="4561">
          <cell r="C4561" t="str">
            <v>INE951C01012</v>
          </cell>
          <cell r="D4561" t="str">
            <v>UNIOFFICE</v>
          </cell>
          <cell r="E4561">
            <v>10.713322998000001</v>
          </cell>
          <cell r="F4561" t="str">
            <v>-</v>
          </cell>
          <cell r="G4561" t="str">
            <v>-</v>
          </cell>
          <cell r="H4561" t="str">
            <v>-</v>
          </cell>
          <cell r="I4561" t="str">
            <v>-</v>
          </cell>
          <cell r="J4561">
            <v>10.713322998000001</v>
          </cell>
          <cell r="K4561" t="str">
            <v>Small Cap</v>
          </cell>
        </row>
        <row r="4562">
          <cell r="C4562" t="str">
            <v>INE324N01027</v>
          </cell>
          <cell r="D4562" t="str">
            <v>VIAANINDUS</v>
          </cell>
          <cell r="E4562">
            <v>10.6935807</v>
          </cell>
          <cell r="F4562" t="str">
            <v>-</v>
          </cell>
          <cell r="G4562" t="str">
            <v>-</v>
          </cell>
          <cell r="H4562" t="str">
            <v>-</v>
          </cell>
          <cell r="I4562" t="str">
            <v>-</v>
          </cell>
          <cell r="J4562">
            <v>10.6935807</v>
          </cell>
          <cell r="K4562" t="str">
            <v>Small Cap</v>
          </cell>
        </row>
        <row r="4563">
          <cell r="C4563" t="str">
            <v>INE798E01013</v>
          </cell>
          <cell r="D4563" t="str">
            <v>MNPLFIN</v>
          </cell>
          <cell r="E4563">
            <v>10.650338995</v>
          </cell>
          <cell r="F4563" t="str">
            <v>-</v>
          </cell>
          <cell r="G4563" t="str">
            <v>-</v>
          </cell>
          <cell r="H4563" t="str">
            <v>-</v>
          </cell>
          <cell r="I4563" t="str">
            <v>-</v>
          </cell>
          <cell r="J4563">
            <v>10.650338995</v>
          </cell>
          <cell r="K4563" t="str">
            <v>Small Cap</v>
          </cell>
        </row>
        <row r="4564">
          <cell r="C4564" t="str">
            <v>INE410E01015</v>
          </cell>
          <cell r="D4564" t="str">
            <v>MCLTD</v>
          </cell>
          <cell r="E4564">
            <v>10.643747695</v>
          </cell>
          <cell r="F4564" t="str">
            <v>-</v>
          </cell>
          <cell r="G4564" t="str">
            <v>-</v>
          </cell>
          <cell r="H4564" t="str">
            <v>-</v>
          </cell>
          <cell r="I4564" t="str">
            <v>-</v>
          </cell>
          <cell r="J4564">
            <v>10.643747695</v>
          </cell>
          <cell r="K4564" t="str">
            <v>Small Cap</v>
          </cell>
        </row>
        <row r="4565">
          <cell r="C4565" t="str">
            <v>INE089B01013</v>
          </cell>
          <cell r="D4565" t="str">
            <v>-</v>
          </cell>
          <cell r="E4565" t="str">
            <v>-</v>
          </cell>
          <cell r="F4565" t="str">
            <v>-</v>
          </cell>
          <cell r="G4565" t="str">
            <v>-</v>
          </cell>
          <cell r="H4565" t="str">
            <v>STEADFAST</v>
          </cell>
          <cell r="I4565">
            <v>10.62518999999998</v>
          </cell>
          <cell r="J4565">
            <v>10.62518999999998</v>
          </cell>
          <cell r="K4565" t="str">
            <v>Small Cap</v>
          </cell>
        </row>
        <row r="4566">
          <cell r="C4566" t="str">
            <v>INE971A01014</v>
          </cell>
          <cell r="D4566" t="str">
            <v>KONNDOR</v>
          </cell>
          <cell r="E4566">
            <v>10.616447462</v>
          </cell>
          <cell r="F4566" t="str">
            <v>-</v>
          </cell>
          <cell r="G4566" t="str">
            <v>-</v>
          </cell>
          <cell r="H4566" t="str">
            <v>-</v>
          </cell>
          <cell r="I4566" t="str">
            <v>-</v>
          </cell>
          <cell r="J4566">
            <v>10.616447462</v>
          </cell>
          <cell r="K4566" t="str">
            <v>Small Cap</v>
          </cell>
        </row>
        <row r="4567">
          <cell r="C4567" t="str">
            <v>INE100F01019</v>
          </cell>
          <cell r="D4567" t="str">
            <v>LYONSCO</v>
          </cell>
          <cell r="E4567">
            <v>10.615161667000001</v>
          </cell>
          <cell r="F4567" t="str">
            <v>-</v>
          </cell>
          <cell r="G4567" t="str">
            <v>-</v>
          </cell>
          <cell r="H4567" t="str">
            <v>-</v>
          </cell>
          <cell r="I4567" t="str">
            <v>-</v>
          </cell>
          <cell r="J4567">
            <v>10.615161667000001</v>
          </cell>
          <cell r="K4567" t="str">
            <v>Small Cap</v>
          </cell>
        </row>
        <row r="4568">
          <cell r="C4568" t="str">
            <v>INE095C01018</v>
          </cell>
          <cell r="D4568" t="str">
            <v>YASHRAJC</v>
          </cell>
          <cell r="E4568">
            <v>10.60381746</v>
          </cell>
          <cell r="F4568" t="str">
            <v>-</v>
          </cell>
          <cell r="G4568" t="str">
            <v>-</v>
          </cell>
          <cell r="H4568" t="str">
            <v>-</v>
          </cell>
          <cell r="I4568" t="str">
            <v>-</v>
          </cell>
          <cell r="J4568">
            <v>10.60381746</v>
          </cell>
          <cell r="K4568" t="str">
            <v>Small Cap</v>
          </cell>
        </row>
        <row r="4569">
          <cell r="C4569" t="str">
            <v>INE407E01029</v>
          </cell>
          <cell r="D4569" t="str">
            <v>MONIND</v>
          </cell>
          <cell r="E4569">
            <v>10.598703894</v>
          </cell>
          <cell r="F4569" t="str">
            <v>-</v>
          </cell>
          <cell r="G4569" t="str">
            <v>-</v>
          </cell>
          <cell r="H4569" t="str">
            <v>-</v>
          </cell>
          <cell r="I4569" t="str">
            <v>-</v>
          </cell>
          <cell r="J4569">
            <v>10.598703894</v>
          </cell>
          <cell r="K4569" t="str">
            <v>Small Cap</v>
          </cell>
        </row>
        <row r="4570">
          <cell r="C4570" t="str">
            <v>INE342A01018</v>
          </cell>
          <cell r="D4570" t="str">
            <v>PREMIER</v>
          </cell>
          <cell r="E4570">
            <v>10.615695319</v>
          </cell>
          <cell r="F4570" t="str">
            <v>PREMIER</v>
          </cell>
          <cell r="G4570">
            <v>10.542400000000001</v>
          </cell>
          <cell r="H4570" t="str">
            <v>-</v>
          </cell>
          <cell r="I4570" t="str">
            <v>-</v>
          </cell>
          <cell r="J4570">
            <v>10.5790476595</v>
          </cell>
          <cell r="K4570" t="str">
            <v>Small Cap</v>
          </cell>
        </row>
        <row r="4571">
          <cell r="C4571" t="str">
            <v>INE527C01010</v>
          </cell>
          <cell r="D4571" t="str">
            <v>PASUFIN</v>
          </cell>
          <cell r="E4571">
            <v>10.572053175000001</v>
          </cell>
          <cell r="F4571" t="str">
            <v>-</v>
          </cell>
          <cell r="G4571" t="str">
            <v>-</v>
          </cell>
          <cell r="H4571" t="str">
            <v>-</v>
          </cell>
          <cell r="I4571" t="str">
            <v>-</v>
          </cell>
          <cell r="J4571">
            <v>10.572053175000001</v>
          </cell>
          <cell r="K4571" t="str">
            <v>Small Cap</v>
          </cell>
        </row>
        <row r="4572">
          <cell r="C4572" t="str">
            <v>INE178W01010</v>
          </cell>
          <cell r="D4572" t="str">
            <v>-</v>
          </cell>
          <cell r="E4572" t="str">
            <v>-</v>
          </cell>
          <cell r="F4572" t="str">
            <v>-</v>
          </cell>
          <cell r="G4572" t="str">
            <v>-</v>
          </cell>
          <cell r="H4572" t="str">
            <v>VISISTH</v>
          </cell>
          <cell r="I4572">
            <v>10.499475000000004</v>
          </cell>
          <cell r="J4572">
            <v>10.499475000000004</v>
          </cell>
          <cell r="K4572" t="str">
            <v>Small Cap</v>
          </cell>
        </row>
        <row r="4573">
          <cell r="C4573" t="str">
            <v>INE643N01012</v>
          </cell>
          <cell r="D4573" t="str">
            <v>DECIPHER</v>
          </cell>
          <cell r="E4573">
            <v>10.490052381</v>
          </cell>
          <cell r="F4573" t="str">
            <v>-</v>
          </cell>
          <cell r="G4573" t="str">
            <v>-</v>
          </cell>
          <cell r="H4573" t="str">
            <v>-</v>
          </cell>
          <cell r="I4573" t="str">
            <v>-</v>
          </cell>
          <cell r="J4573">
            <v>10.490052381</v>
          </cell>
          <cell r="K4573" t="str">
            <v>Small Cap</v>
          </cell>
        </row>
        <row r="4574">
          <cell r="C4574" t="str">
            <v>INE059Q01014</v>
          </cell>
          <cell r="D4574" t="str">
            <v>KALPACOMME</v>
          </cell>
          <cell r="E4574">
            <v>10.467690476000001</v>
          </cell>
          <cell r="F4574" t="str">
            <v>-</v>
          </cell>
          <cell r="G4574" t="str">
            <v>-</v>
          </cell>
          <cell r="H4574" t="str">
            <v>-</v>
          </cell>
          <cell r="I4574" t="str">
            <v>-</v>
          </cell>
          <cell r="J4574">
            <v>10.467690476000001</v>
          </cell>
          <cell r="K4574" t="str">
            <v>Small Cap</v>
          </cell>
        </row>
        <row r="4575">
          <cell r="C4575" t="str">
            <v>INE140B01014</v>
          </cell>
          <cell r="D4575" t="str">
            <v>RCIIND</v>
          </cell>
          <cell r="E4575">
            <v>10.463136101</v>
          </cell>
          <cell r="F4575" t="str">
            <v>-</v>
          </cell>
          <cell r="G4575" t="str">
            <v>-</v>
          </cell>
          <cell r="H4575" t="str">
            <v>-</v>
          </cell>
          <cell r="I4575" t="str">
            <v>-</v>
          </cell>
          <cell r="J4575">
            <v>10.463136101</v>
          </cell>
          <cell r="K4575" t="str">
            <v>Small Cap</v>
          </cell>
        </row>
        <row r="4576">
          <cell r="C4576" t="str">
            <v>INE749B01020</v>
          </cell>
          <cell r="D4576" t="str">
            <v>ORTINGLOBE</v>
          </cell>
          <cell r="E4576">
            <v>10.555643909</v>
          </cell>
          <cell r="F4576" t="str">
            <v>ORTINGLOBE</v>
          </cell>
          <cell r="G4576">
            <v>10.3597</v>
          </cell>
          <cell r="H4576" t="str">
            <v>-</v>
          </cell>
          <cell r="I4576" t="str">
            <v>-</v>
          </cell>
          <cell r="J4576">
            <v>10.4576719545</v>
          </cell>
          <cell r="K4576" t="str">
            <v>Small Cap</v>
          </cell>
        </row>
        <row r="4577">
          <cell r="C4577" t="str">
            <v>INE949C01016</v>
          </cell>
          <cell r="D4577" t="str">
            <v>CLFL</v>
          </cell>
          <cell r="E4577">
            <v>10.454744556</v>
          </cell>
          <cell r="F4577" t="str">
            <v>-</v>
          </cell>
          <cell r="G4577" t="str">
            <v>-</v>
          </cell>
          <cell r="H4577" t="str">
            <v>-</v>
          </cell>
          <cell r="I4577" t="str">
            <v>-</v>
          </cell>
          <cell r="J4577">
            <v>10.454744556</v>
          </cell>
          <cell r="K4577" t="str">
            <v>Small Cap</v>
          </cell>
        </row>
        <row r="4578">
          <cell r="C4578" t="str">
            <v>INE208U01019</v>
          </cell>
          <cell r="D4578" t="str">
            <v>OCTAWARE</v>
          </cell>
          <cell r="E4578">
            <v>10.438413915</v>
          </cell>
          <cell r="F4578" t="str">
            <v>-</v>
          </cell>
          <cell r="G4578" t="str">
            <v>-</v>
          </cell>
          <cell r="H4578" t="str">
            <v>-</v>
          </cell>
          <cell r="I4578" t="str">
            <v>-</v>
          </cell>
          <cell r="J4578">
            <v>10.438413915</v>
          </cell>
          <cell r="K4578" t="str">
            <v>Small Cap</v>
          </cell>
        </row>
        <row r="4579">
          <cell r="C4579" t="str">
            <v>INE368H01018</v>
          </cell>
          <cell r="D4579" t="str">
            <v>-</v>
          </cell>
          <cell r="E4579" t="str">
            <v>-</v>
          </cell>
          <cell r="F4579" t="str">
            <v>-</v>
          </cell>
          <cell r="G4579" t="str">
            <v>-</v>
          </cell>
          <cell r="H4579" t="str">
            <v>SIGACHI</v>
          </cell>
          <cell r="I4579">
            <v>10.43353950000003</v>
          </cell>
          <cell r="J4579">
            <v>10.43353950000003</v>
          </cell>
          <cell r="K4579" t="str">
            <v>Small Cap</v>
          </cell>
        </row>
        <row r="4580">
          <cell r="C4580" t="str">
            <v>INE092E01011</v>
          </cell>
          <cell r="D4580" t="str">
            <v>KAKTEX</v>
          </cell>
          <cell r="E4580">
            <v>10.426706656999999</v>
          </cell>
          <cell r="F4580" t="str">
            <v>-</v>
          </cell>
          <cell r="G4580" t="str">
            <v>-</v>
          </cell>
          <cell r="H4580" t="str">
            <v>-</v>
          </cell>
          <cell r="I4580" t="str">
            <v>-</v>
          </cell>
          <cell r="J4580">
            <v>10.426706656999999</v>
          </cell>
          <cell r="K4580" t="str">
            <v>Small Cap</v>
          </cell>
        </row>
        <row r="4581">
          <cell r="C4581" t="str">
            <v>INE565D01018</v>
          </cell>
          <cell r="D4581" t="str">
            <v>-</v>
          </cell>
          <cell r="E4581" t="str">
            <v>-</v>
          </cell>
          <cell r="F4581" t="str">
            <v>-</v>
          </cell>
          <cell r="G4581" t="str">
            <v>-</v>
          </cell>
          <cell r="H4581" t="str">
            <v>DEEPJYOTI</v>
          </cell>
          <cell r="I4581">
            <v>10.420800000000012</v>
          </cell>
          <cell r="J4581">
            <v>10.420800000000012</v>
          </cell>
          <cell r="K4581" t="str">
            <v>Small Cap</v>
          </cell>
        </row>
        <row r="4582">
          <cell r="C4582" t="str">
            <v>INE400N01017</v>
          </cell>
          <cell r="D4582" t="str">
            <v>SHGANEL</v>
          </cell>
          <cell r="E4582">
            <v>10.409915</v>
          </cell>
          <cell r="F4582" t="str">
            <v>-</v>
          </cell>
          <cell r="G4582" t="str">
            <v>-</v>
          </cell>
          <cell r="H4582" t="str">
            <v>-</v>
          </cell>
          <cell r="I4582" t="str">
            <v>-</v>
          </cell>
          <cell r="J4582">
            <v>10.409915</v>
          </cell>
          <cell r="K4582" t="str">
            <v>Small Cap</v>
          </cell>
        </row>
        <row r="4583">
          <cell r="C4583" t="str">
            <v>INE580H01026</v>
          </cell>
          <cell r="D4583" t="str">
            <v>KMFBLDR</v>
          </cell>
          <cell r="E4583">
            <v>10.407295302</v>
          </cell>
          <cell r="F4583" t="str">
            <v>-</v>
          </cell>
          <cell r="G4583" t="str">
            <v>-</v>
          </cell>
          <cell r="H4583" t="str">
            <v>-</v>
          </cell>
          <cell r="I4583" t="str">
            <v>-</v>
          </cell>
          <cell r="J4583">
            <v>10.407295302</v>
          </cell>
          <cell r="K4583" t="str">
            <v>Small Cap</v>
          </cell>
        </row>
        <row r="4584">
          <cell r="C4584" t="str">
            <v>INE602H01010</v>
          </cell>
          <cell r="D4584" t="str">
            <v>UNRYLMA</v>
          </cell>
          <cell r="E4584">
            <v>10.393169425</v>
          </cell>
          <cell r="F4584" t="str">
            <v>-</v>
          </cell>
          <cell r="G4584" t="str">
            <v>-</v>
          </cell>
          <cell r="H4584" t="str">
            <v>-</v>
          </cell>
          <cell r="I4584" t="str">
            <v>-</v>
          </cell>
          <cell r="J4584">
            <v>10.393169425</v>
          </cell>
          <cell r="K4584" t="str">
            <v>Small Cap</v>
          </cell>
        </row>
        <row r="4585">
          <cell r="C4585" t="str">
            <v>INE735C01027</v>
          </cell>
          <cell r="D4585" t="str">
            <v>AMRAAGRI</v>
          </cell>
          <cell r="E4585">
            <v>10.352483333</v>
          </cell>
          <cell r="F4585" t="str">
            <v>-</v>
          </cell>
          <cell r="G4585" t="str">
            <v>-</v>
          </cell>
          <cell r="H4585" t="str">
            <v>-</v>
          </cell>
          <cell r="I4585" t="str">
            <v>-</v>
          </cell>
          <cell r="J4585">
            <v>10.352483333</v>
          </cell>
          <cell r="K4585" t="str">
            <v>Small Cap</v>
          </cell>
        </row>
        <row r="4586">
          <cell r="C4586" t="str">
            <v>INE357P01014</v>
          </cell>
          <cell r="D4586" t="str">
            <v>UNTTEMI</v>
          </cell>
          <cell r="E4586">
            <v>10.351476190000001</v>
          </cell>
          <cell r="F4586" t="str">
            <v>-</v>
          </cell>
          <cell r="G4586" t="str">
            <v>-</v>
          </cell>
          <cell r="H4586" t="str">
            <v>-</v>
          </cell>
          <cell r="I4586" t="str">
            <v>-</v>
          </cell>
          <cell r="J4586">
            <v>10.351476190000001</v>
          </cell>
          <cell r="K4586" t="str">
            <v>Small Cap</v>
          </cell>
        </row>
        <row r="4587">
          <cell r="C4587" t="str">
            <v>INE191N01012</v>
          </cell>
          <cell r="D4587" t="str">
            <v>ALEXANDER</v>
          </cell>
          <cell r="E4587">
            <v>10.32249981</v>
          </cell>
          <cell r="F4587" t="str">
            <v>-</v>
          </cell>
          <cell r="G4587" t="str">
            <v>-</v>
          </cell>
          <cell r="H4587" t="str">
            <v>-</v>
          </cell>
          <cell r="I4587" t="str">
            <v>-</v>
          </cell>
          <cell r="J4587">
            <v>10.32249981</v>
          </cell>
          <cell r="K4587" t="str">
            <v>Small Cap</v>
          </cell>
        </row>
        <row r="4588">
          <cell r="C4588" t="str">
            <v>INE418F01015</v>
          </cell>
          <cell r="D4588" t="str">
            <v>-</v>
          </cell>
          <cell r="E4588" t="str">
            <v>-</v>
          </cell>
          <cell r="F4588" t="str">
            <v>-</v>
          </cell>
          <cell r="G4588" t="str">
            <v>-</v>
          </cell>
          <cell r="H4588" t="str">
            <v>SSF</v>
          </cell>
          <cell r="I4588">
            <v>10.317900499999972</v>
          </cell>
          <cell r="J4588">
            <v>10.317900499999972</v>
          </cell>
          <cell r="K4588" t="str">
            <v>Small Cap</v>
          </cell>
        </row>
        <row r="4589">
          <cell r="C4589" t="str">
            <v>INE603U01011</v>
          </cell>
          <cell r="D4589" t="str">
            <v>-</v>
          </cell>
          <cell r="E4589" t="str">
            <v>-</v>
          </cell>
          <cell r="F4589" t="str">
            <v>-</v>
          </cell>
          <cell r="G4589" t="str">
            <v>-</v>
          </cell>
          <cell r="H4589" t="str">
            <v>BASANT</v>
          </cell>
          <cell r="I4589">
            <v>10.315000000000033</v>
          </cell>
          <cell r="J4589">
            <v>10.315000000000033</v>
          </cell>
          <cell r="K4589" t="str">
            <v>Small Cap</v>
          </cell>
        </row>
        <row r="4590">
          <cell r="C4590" t="str">
            <v>INE612D01018</v>
          </cell>
          <cell r="D4590" t="str">
            <v>SANTOSHF</v>
          </cell>
          <cell r="E4590">
            <v>10.304895398000001</v>
          </cell>
          <cell r="F4590" t="str">
            <v>-</v>
          </cell>
          <cell r="G4590" t="str">
            <v>-</v>
          </cell>
          <cell r="H4590" t="str">
            <v>-</v>
          </cell>
          <cell r="I4590" t="str">
            <v>-</v>
          </cell>
          <cell r="J4590">
            <v>10.304895398000001</v>
          </cell>
          <cell r="K4590" t="str">
            <v>Small Cap</v>
          </cell>
        </row>
        <row r="4591">
          <cell r="C4591" t="str">
            <v>INE807O01011</v>
          </cell>
          <cell r="D4591" t="str">
            <v>SDC</v>
          </cell>
          <cell r="E4591">
            <v>10.299217639</v>
          </cell>
          <cell r="F4591" t="str">
            <v>-</v>
          </cell>
          <cell r="G4591" t="str">
            <v>-</v>
          </cell>
          <cell r="H4591" t="str">
            <v>-</v>
          </cell>
          <cell r="I4591" t="str">
            <v>-</v>
          </cell>
          <cell r="J4591">
            <v>10.299217639</v>
          </cell>
          <cell r="K4591" t="str">
            <v>Small Cap</v>
          </cell>
        </row>
        <row r="4592">
          <cell r="C4592" t="str">
            <v>INE584C01011</v>
          </cell>
          <cell r="D4592" t="str">
            <v>JJFINCOR</v>
          </cell>
          <cell r="E4592">
            <v>10.287941905</v>
          </cell>
          <cell r="F4592" t="str">
            <v>-</v>
          </cell>
          <cell r="G4592" t="str">
            <v>-</v>
          </cell>
          <cell r="H4592" t="str">
            <v>-</v>
          </cell>
          <cell r="I4592" t="str">
            <v>-</v>
          </cell>
          <cell r="J4592">
            <v>10.287941905</v>
          </cell>
          <cell r="K4592" t="str">
            <v>Small Cap</v>
          </cell>
        </row>
        <row r="4593">
          <cell r="C4593" t="str">
            <v>INE193R01019</v>
          </cell>
          <cell r="D4593" t="str">
            <v>SHESHAINDS</v>
          </cell>
          <cell r="E4593">
            <v>10.283997803</v>
          </cell>
          <cell r="F4593" t="str">
            <v>-</v>
          </cell>
          <cell r="G4593" t="str">
            <v>-</v>
          </cell>
          <cell r="H4593" t="str">
            <v>-</v>
          </cell>
          <cell r="I4593" t="str">
            <v>-</v>
          </cell>
          <cell r="J4593">
            <v>10.283997803</v>
          </cell>
          <cell r="K4593" t="str">
            <v>Small Cap</v>
          </cell>
        </row>
        <row r="4594">
          <cell r="C4594" t="str">
            <v>INE343A01016</v>
          </cell>
          <cell r="D4594" t="str">
            <v>MPL</v>
          </cell>
          <cell r="E4594">
            <v>10.276696429000001</v>
          </cell>
          <cell r="F4594" t="str">
            <v>-</v>
          </cell>
          <cell r="G4594" t="str">
            <v>-</v>
          </cell>
          <cell r="H4594" t="str">
            <v>-</v>
          </cell>
          <cell r="I4594" t="str">
            <v>-</v>
          </cell>
          <cell r="J4594">
            <v>10.276696429000001</v>
          </cell>
          <cell r="K4594" t="str">
            <v>Small Cap</v>
          </cell>
        </row>
        <row r="4595">
          <cell r="C4595" t="str">
            <v>INE820M01018</v>
          </cell>
          <cell r="D4595" t="str">
            <v>VOLKAI</v>
          </cell>
          <cell r="E4595">
            <v>10.272921344</v>
          </cell>
          <cell r="F4595" t="str">
            <v>-</v>
          </cell>
          <cell r="G4595" t="str">
            <v>-</v>
          </cell>
          <cell r="H4595" t="str">
            <v>-</v>
          </cell>
          <cell r="I4595" t="str">
            <v>-</v>
          </cell>
          <cell r="J4595">
            <v>10.272921344</v>
          </cell>
          <cell r="K4595" t="str">
            <v>Small Cap</v>
          </cell>
        </row>
        <row r="4596">
          <cell r="C4596" t="str">
            <v>INE0D5F01013</v>
          </cell>
          <cell r="D4596" t="str">
            <v>NETPIX</v>
          </cell>
          <cell r="E4596">
            <v>10.240192</v>
          </cell>
          <cell r="F4596" t="str">
            <v>-</v>
          </cell>
          <cell r="G4596" t="str">
            <v>-</v>
          </cell>
          <cell r="H4596" t="str">
            <v>-</v>
          </cell>
          <cell r="I4596" t="str">
            <v>-</v>
          </cell>
          <cell r="J4596">
            <v>10.240192</v>
          </cell>
          <cell r="K4596" t="str">
            <v>Small Cap</v>
          </cell>
        </row>
        <row r="4597">
          <cell r="C4597" t="str">
            <v>INE408F01024</v>
          </cell>
          <cell r="D4597" t="str">
            <v>SHANTAI</v>
          </cell>
          <cell r="E4597">
            <v>10.222559523999999</v>
          </cell>
          <cell r="F4597" t="str">
            <v>-</v>
          </cell>
          <cell r="G4597" t="str">
            <v>-</v>
          </cell>
          <cell r="H4597" t="str">
            <v>-</v>
          </cell>
          <cell r="I4597" t="str">
            <v>-</v>
          </cell>
          <cell r="J4597">
            <v>10.222559523999999</v>
          </cell>
          <cell r="K4597" t="str">
            <v>Small Cap</v>
          </cell>
        </row>
        <row r="4598">
          <cell r="C4598" t="str">
            <v>INE041F01015</v>
          </cell>
          <cell r="D4598" t="str">
            <v>DHANADACO</v>
          </cell>
          <cell r="E4598">
            <v>10.208423040000001</v>
          </cell>
          <cell r="F4598" t="str">
            <v>-</v>
          </cell>
          <cell r="G4598" t="str">
            <v>-</v>
          </cell>
          <cell r="H4598" t="str">
            <v>-</v>
          </cell>
          <cell r="I4598" t="str">
            <v>-</v>
          </cell>
          <cell r="J4598">
            <v>10.208423040000001</v>
          </cell>
          <cell r="K4598" t="str">
            <v>Small Cap</v>
          </cell>
        </row>
        <row r="4599">
          <cell r="C4599" t="str">
            <v>INE06DM01015</v>
          </cell>
          <cell r="D4599" t="str">
            <v>SATAGRI</v>
          </cell>
          <cell r="E4599">
            <v>10.171392743</v>
          </cell>
          <cell r="F4599" t="str">
            <v>-</v>
          </cell>
          <cell r="G4599" t="str">
            <v>-</v>
          </cell>
          <cell r="H4599" t="str">
            <v>-</v>
          </cell>
          <cell r="I4599" t="str">
            <v>-</v>
          </cell>
          <cell r="J4599">
            <v>10.171392743</v>
          </cell>
          <cell r="K4599" t="str">
            <v>Small Cap</v>
          </cell>
        </row>
        <row r="4600">
          <cell r="C4600" t="str">
            <v>INE633D01022</v>
          </cell>
          <cell r="D4600" t="str">
            <v>SIGRUN</v>
          </cell>
          <cell r="E4600">
            <v>10.16956418</v>
          </cell>
          <cell r="F4600" t="str">
            <v>-</v>
          </cell>
          <cell r="G4600" t="str">
            <v>-</v>
          </cell>
          <cell r="H4600" t="str">
            <v>-</v>
          </cell>
          <cell r="I4600" t="str">
            <v>-</v>
          </cell>
          <cell r="J4600">
            <v>10.16956418</v>
          </cell>
          <cell r="K4600" t="str">
            <v>Small Cap</v>
          </cell>
        </row>
        <row r="4601">
          <cell r="C4601" t="str">
            <v>INE055Q01012</v>
          </cell>
          <cell r="D4601" t="str">
            <v>SKILVEN</v>
          </cell>
          <cell r="E4601">
            <v>10.126053404</v>
          </cell>
          <cell r="F4601" t="str">
            <v>-</v>
          </cell>
          <cell r="G4601" t="str">
            <v>-</v>
          </cell>
          <cell r="H4601" t="str">
            <v>-</v>
          </cell>
          <cell r="I4601" t="str">
            <v>-</v>
          </cell>
          <cell r="J4601">
            <v>10.126053404</v>
          </cell>
          <cell r="K4601" t="str">
            <v>Small Cap</v>
          </cell>
        </row>
        <row r="4602">
          <cell r="C4602" t="str">
            <v>INE888N01013</v>
          </cell>
          <cell r="D4602" t="str">
            <v>STDSHOE</v>
          </cell>
          <cell r="E4602">
            <v>10.121361159000001</v>
          </cell>
          <cell r="F4602" t="str">
            <v>-</v>
          </cell>
          <cell r="G4602" t="str">
            <v>-</v>
          </cell>
          <cell r="H4602" t="str">
            <v>-</v>
          </cell>
          <cell r="I4602" t="str">
            <v>-</v>
          </cell>
          <cell r="J4602">
            <v>10.121361159000001</v>
          </cell>
          <cell r="K4602" t="str">
            <v>Small Cap</v>
          </cell>
        </row>
        <row r="4603">
          <cell r="C4603" t="str">
            <v>INE026I01010</v>
          </cell>
          <cell r="D4603" t="str">
            <v>BHAGWOX</v>
          </cell>
          <cell r="E4603">
            <v>10.114631793999999</v>
          </cell>
          <cell r="F4603" t="str">
            <v>-</v>
          </cell>
          <cell r="G4603" t="str">
            <v>-</v>
          </cell>
          <cell r="H4603" t="str">
            <v>-</v>
          </cell>
          <cell r="I4603" t="str">
            <v>-</v>
          </cell>
          <cell r="J4603">
            <v>10.114631793999999</v>
          </cell>
          <cell r="K4603" t="str">
            <v>Small Cap</v>
          </cell>
        </row>
        <row r="4604">
          <cell r="C4604" t="str">
            <v>INE904D01019</v>
          </cell>
          <cell r="D4604" t="str">
            <v>PARENTLD</v>
          </cell>
          <cell r="E4604">
            <v>10.1077257</v>
          </cell>
          <cell r="F4604" t="str">
            <v>-</v>
          </cell>
          <cell r="G4604" t="str">
            <v>-</v>
          </cell>
          <cell r="H4604" t="str">
            <v>-</v>
          </cell>
          <cell r="I4604" t="str">
            <v>-</v>
          </cell>
          <cell r="J4604">
            <v>10.1077257</v>
          </cell>
          <cell r="K4604" t="str">
            <v>Small Cap</v>
          </cell>
        </row>
        <row r="4605">
          <cell r="C4605" t="str">
            <v>INE0JVD01011</v>
          </cell>
          <cell r="D4605" t="str">
            <v>EVOQ</v>
          </cell>
          <cell r="E4605">
            <v>10.105052381</v>
          </cell>
          <cell r="F4605" t="str">
            <v>-</v>
          </cell>
          <cell r="G4605" t="str">
            <v>-</v>
          </cell>
          <cell r="H4605" t="str">
            <v>-</v>
          </cell>
          <cell r="I4605" t="str">
            <v>-</v>
          </cell>
          <cell r="J4605">
            <v>10.105052381</v>
          </cell>
          <cell r="K4605" t="str">
            <v>Small Cap</v>
          </cell>
        </row>
        <row r="4606">
          <cell r="C4606" t="str">
            <v>INE0QZ901011</v>
          </cell>
          <cell r="D4606" t="str">
            <v>MAGENTA</v>
          </cell>
          <cell r="E4606">
            <v>10.069090720999998</v>
          </cell>
          <cell r="F4606" t="str">
            <v>-</v>
          </cell>
          <cell r="G4606" t="str">
            <v>-</v>
          </cell>
          <cell r="H4606" t="str">
            <v>-</v>
          </cell>
          <cell r="I4606" t="str">
            <v>-</v>
          </cell>
          <cell r="J4606">
            <v>10.069090720999998</v>
          </cell>
          <cell r="K4606" t="str">
            <v>Small Cap</v>
          </cell>
        </row>
        <row r="4607">
          <cell r="C4607" t="str">
            <v>INE673G01013</v>
          </cell>
          <cell r="D4607" t="str">
            <v>BHARATIDIL</v>
          </cell>
          <cell r="E4607">
            <v>10.0597884</v>
          </cell>
          <cell r="F4607" t="str">
            <v>-</v>
          </cell>
          <cell r="G4607" t="str">
            <v>-</v>
          </cell>
          <cell r="H4607" t="str">
            <v>-</v>
          </cell>
          <cell r="I4607" t="str">
            <v>-</v>
          </cell>
          <cell r="J4607">
            <v>10.0597884</v>
          </cell>
          <cell r="K4607" t="str">
            <v>Small Cap</v>
          </cell>
        </row>
        <row r="4608">
          <cell r="C4608" t="str">
            <v>INE570N01025</v>
          </cell>
          <cell r="D4608" t="str">
            <v>MILLENNIUM</v>
          </cell>
          <cell r="E4608">
            <v>10.021766111</v>
          </cell>
          <cell r="F4608" t="str">
            <v>-</v>
          </cell>
          <cell r="G4608" t="str">
            <v>-</v>
          </cell>
          <cell r="H4608" t="str">
            <v>-</v>
          </cell>
          <cell r="I4608" t="str">
            <v>-</v>
          </cell>
          <cell r="J4608">
            <v>10.021766111</v>
          </cell>
          <cell r="K4608" t="str">
            <v>Small Cap</v>
          </cell>
        </row>
        <row r="4609">
          <cell r="C4609" t="str">
            <v>INE277F01015</v>
          </cell>
          <cell r="D4609" t="str">
            <v>-</v>
          </cell>
          <cell r="E4609" t="str">
            <v>-</v>
          </cell>
          <cell r="F4609" t="str">
            <v>-</v>
          </cell>
          <cell r="G4609" t="str">
            <v>-</v>
          </cell>
          <cell r="H4609" t="str">
            <v>USSGLOBAL</v>
          </cell>
          <cell r="I4609">
            <v>10.019999999999987</v>
          </cell>
          <cell r="J4609">
            <v>10.019999999999987</v>
          </cell>
          <cell r="K4609" t="str">
            <v>Small Cap</v>
          </cell>
        </row>
        <row r="4610">
          <cell r="C4610" t="str">
            <v>INE891G01011</v>
          </cell>
          <cell r="D4610" t="str">
            <v>LIMECHM</v>
          </cell>
          <cell r="E4610">
            <v>9.973503268</v>
          </cell>
          <cell r="F4610" t="str">
            <v>-</v>
          </cell>
          <cell r="G4610" t="str">
            <v>-</v>
          </cell>
          <cell r="H4610" t="str">
            <v>-</v>
          </cell>
          <cell r="I4610" t="str">
            <v>-</v>
          </cell>
          <cell r="J4610">
            <v>9.973503268</v>
          </cell>
          <cell r="K4610" t="str">
            <v>Small Cap</v>
          </cell>
        </row>
        <row r="4611">
          <cell r="C4611" t="str">
            <v>INE322R01022</v>
          </cell>
          <cell r="D4611" t="str">
            <v>AANCHALISP</v>
          </cell>
          <cell r="E4611">
            <v>9.9715959569999999</v>
          </cell>
          <cell r="F4611" t="str">
            <v>-</v>
          </cell>
          <cell r="G4611" t="str">
            <v>-</v>
          </cell>
          <cell r="H4611" t="str">
            <v>-</v>
          </cell>
          <cell r="I4611" t="str">
            <v>-</v>
          </cell>
          <cell r="J4611">
            <v>9.9715959569999999</v>
          </cell>
          <cell r="K4611" t="str">
            <v>Small Cap</v>
          </cell>
        </row>
        <row r="4612">
          <cell r="C4612" t="str">
            <v>INE112B01013</v>
          </cell>
          <cell r="D4612" t="str">
            <v>OMEAG</v>
          </cell>
          <cell r="E4612">
            <v>9.9560916830000004</v>
          </cell>
          <cell r="F4612" t="str">
            <v>-</v>
          </cell>
          <cell r="G4612" t="str">
            <v>-</v>
          </cell>
          <cell r="H4612" t="str">
            <v>-</v>
          </cell>
          <cell r="I4612" t="str">
            <v>-</v>
          </cell>
          <cell r="J4612">
            <v>9.9560916830000004</v>
          </cell>
          <cell r="K4612" t="str">
            <v>Small Cap</v>
          </cell>
        </row>
        <row r="4613">
          <cell r="C4613" t="str">
            <v>INE237S01012</v>
          </cell>
          <cell r="D4613" t="str">
            <v>-</v>
          </cell>
          <cell r="E4613" t="str">
            <v>-</v>
          </cell>
          <cell r="F4613" t="str">
            <v>-</v>
          </cell>
          <cell r="G4613" t="str">
            <v>-</v>
          </cell>
          <cell r="H4613" t="str">
            <v>SAMYAK</v>
          </cell>
          <cell r="I4613">
            <v>9.9500000000000242</v>
          </cell>
          <cell r="J4613">
            <v>9.9500000000000242</v>
          </cell>
          <cell r="K4613" t="str">
            <v>Small Cap</v>
          </cell>
        </row>
        <row r="4614">
          <cell r="C4614" t="str">
            <v>INE239F01015</v>
          </cell>
          <cell r="D4614" t="str">
            <v>ZDHJERK</v>
          </cell>
          <cell r="E4614">
            <v>9.9308460510000014</v>
          </cell>
          <cell r="F4614" t="str">
            <v>-</v>
          </cell>
          <cell r="G4614" t="str">
            <v>-</v>
          </cell>
          <cell r="H4614" t="str">
            <v>-</v>
          </cell>
          <cell r="I4614" t="str">
            <v>-</v>
          </cell>
          <cell r="J4614">
            <v>9.9308460510000014</v>
          </cell>
          <cell r="K4614" t="str">
            <v>Small Cap</v>
          </cell>
        </row>
        <row r="4615">
          <cell r="C4615" t="str">
            <v>INE845E01012</v>
          </cell>
          <cell r="D4615" t="str">
            <v>CAMSONBIO</v>
          </cell>
          <cell r="E4615">
            <v>9.9299470400000001</v>
          </cell>
          <cell r="F4615" t="str">
            <v>-</v>
          </cell>
          <cell r="G4615" t="str">
            <v>-</v>
          </cell>
          <cell r="H4615" t="str">
            <v>-</v>
          </cell>
          <cell r="I4615" t="str">
            <v>-</v>
          </cell>
          <cell r="J4615">
            <v>9.9299470400000001</v>
          </cell>
          <cell r="K4615" t="str">
            <v>Small Cap</v>
          </cell>
        </row>
        <row r="4616">
          <cell r="C4616" t="str">
            <v>INE794C01016</v>
          </cell>
          <cell r="D4616" t="str">
            <v>SHAKTIPR</v>
          </cell>
          <cell r="E4616">
            <v>9.9192251480000007</v>
          </cell>
          <cell r="F4616" t="str">
            <v>-</v>
          </cell>
          <cell r="G4616" t="str">
            <v>-</v>
          </cell>
          <cell r="H4616" t="str">
            <v>-</v>
          </cell>
          <cell r="I4616" t="str">
            <v>-</v>
          </cell>
          <cell r="J4616">
            <v>9.9192251480000007</v>
          </cell>
          <cell r="K4616" t="str">
            <v>Small Cap</v>
          </cell>
        </row>
        <row r="4617">
          <cell r="C4617" t="str">
            <v>INE489F01016</v>
          </cell>
          <cell r="D4617" t="str">
            <v>VSDCONF</v>
          </cell>
          <cell r="E4617">
            <v>9.9157499999999992</v>
          </cell>
          <cell r="F4617" t="str">
            <v>-</v>
          </cell>
          <cell r="G4617" t="str">
            <v>-</v>
          </cell>
          <cell r="H4617" t="str">
            <v>-</v>
          </cell>
          <cell r="I4617" t="str">
            <v>-</v>
          </cell>
          <cell r="J4617">
            <v>9.9157499999999992</v>
          </cell>
          <cell r="K4617" t="str">
            <v>Small Cap</v>
          </cell>
        </row>
        <row r="4618">
          <cell r="C4618" t="str">
            <v>INE179D01018</v>
          </cell>
          <cell r="D4618" t="str">
            <v>TRIDETOOL</v>
          </cell>
          <cell r="E4618">
            <v>9.8981999999999992</v>
          </cell>
          <cell r="F4618" t="str">
            <v>-</v>
          </cell>
          <cell r="G4618" t="str">
            <v>-</v>
          </cell>
          <cell r="H4618" t="str">
            <v>-</v>
          </cell>
          <cell r="I4618" t="str">
            <v>-</v>
          </cell>
          <cell r="J4618">
            <v>9.8981999999999992</v>
          </cell>
          <cell r="K4618" t="str">
            <v>Small Cap</v>
          </cell>
        </row>
        <row r="4619">
          <cell r="C4619" t="str">
            <v>INE630U01014</v>
          </cell>
          <cell r="D4619" t="str">
            <v>PADALPO</v>
          </cell>
          <cell r="E4619">
            <v>9.8855020909999993</v>
          </cell>
          <cell r="F4619" t="str">
            <v>-</v>
          </cell>
          <cell r="G4619" t="str">
            <v>-</v>
          </cell>
          <cell r="H4619" t="str">
            <v>-</v>
          </cell>
          <cell r="I4619" t="str">
            <v>-</v>
          </cell>
          <cell r="J4619">
            <v>9.8855020909999993</v>
          </cell>
          <cell r="K4619" t="str">
            <v>Small Cap</v>
          </cell>
        </row>
        <row r="4620">
          <cell r="C4620" t="str">
            <v>INE755J01012</v>
          </cell>
          <cell r="D4620" t="str">
            <v>GALLOPENT</v>
          </cell>
          <cell r="E4620">
            <v>9.8812309519999992</v>
          </cell>
          <cell r="F4620" t="str">
            <v>-</v>
          </cell>
          <cell r="G4620" t="str">
            <v>-</v>
          </cell>
          <cell r="H4620" t="str">
            <v>-</v>
          </cell>
          <cell r="I4620" t="str">
            <v>-</v>
          </cell>
          <cell r="J4620">
            <v>9.8812309519999992</v>
          </cell>
          <cell r="K4620" t="str">
            <v>Small Cap</v>
          </cell>
        </row>
        <row r="4621">
          <cell r="C4621" t="str">
            <v>INE101H01013</v>
          </cell>
          <cell r="D4621" t="str">
            <v>HANSUGAR</v>
          </cell>
          <cell r="E4621">
            <v>9.7725515870000006</v>
          </cell>
          <cell r="F4621" t="str">
            <v>-</v>
          </cell>
          <cell r="G4621" t="str">
            <v>-</v>
          </cell>
          <cell r="H4621" t="str">
            <v>-</v>
          </cell>
          <cell r="I4621" t="str">
            <v>-</v>
          </cell>
          <cell r="J4621">
            <v>9.7725515870000006</v>
          </cell>
          <cell r="K4621" t="str">
            <v>Small Cap</v>
          </cell>
        </row>
        <row r="4622">
          <cell r="C4622" t="str">
            <v>INE342U01016</v>
          </cell>
          <cell r="D4622" t="str">
            <v>AIHL</v>
          </cell>
          <cell r="E4622">
            <v>9.7553834080000001</v>
          </cell>
          <cell r="F4622" t="str">
            <v>-</v>
          </cell>
          <cell r="G4622" t="str">
            <v>-</v>
          </cell>
          <cell r="H4622" t="str">
            <v>-</v>
          </cell>
          <cell r="I4622" t="str">
            <v>-</v>
          </cell>
          <cell r="J4622">
            <v>9.7553834080000001</v>
          </cell>
          <cell r="K4622" t="str">
            <v>Small Cap</v>
          </cell>
        </row>
        <row r="4623">
          <cell r="C4623" t="str">
            <v>INE04CO01018</v>
          </cell>
          <cell r="D4623" t="str">
            <v>KGES</v>
          </cell>
          <cell r="E4623">
            <v>9.7179855610000008</v>
          </cell>
          <cell r="F4623" t="str">
            <v>-</v>
          </cell>
          <cell r="G4623" t="str">
            <v>-</v>
          </cell>
          <cell r="H4623" t="str">
            <v>-</v>
          </cell>
          <cell r="I4623" t="str">
            <v>-</v>
          </cell>
          <cell r="J4623">
            <v>9.7179855610000008</v>
          </cell>
          <cell r="K4623" t="str">
            <v>Small Cap</v>
          </cell>
        </row>
        <row r="4624">
          <cell r="C4624" t="str">
            <v>INE466H01028</v>
          </cell>
          <cell r="D4624" t="str">
            <v>UNITY</v>
          </cell>
          <cell r="E4624">
            <v>9.6701441599999995</v>
          </cell>
          <cell r="F4624" t="str">
            <v>-</v>
          </cell>
          <cell r="G4624" t="str">
            <v>-</v>
          </cell>
          <cell r="H4624" t="str">
            <v>-</v>
          </cell>
          <cell r="I4624" t="str">
            <v>-</v>
          </cell>
          <cell r="J4624">
            <v>9.6701441599999995</v>
          </cell>
          <cell r="K4624" t="str">
            <v>Small Cap</v>
          </cell>
        </row>
        <row r="4625">
          <cell r="C4625" t="str">
            <v>INE629C01014</v>
          </cell>
          <cell r="D4625" t="str">
            <v>RLF</v>
          </cell>
          <cell r="E4625">
            <v>9.6582192620000011</v>
          </cell>
          <cell r="F4625" t="str">
            <v>-</v>
          </cell>
          <cell r="G4625" t="str">
            <v>-</v>
          </cell>
          <cell r="H4625" t="str">
            <v>-</v>
          </cell>
          <cell r="I4625" t="str">
            <v>-</v>
          </cell>
          <cell r="J4625">
            <v>9.6582192620000011</v>
          </cell>
          <cell r="K4625" t="str">
            <v>Small Cap</v>
          </cell>
        </row>
        <row r="4626">
          <cell r="C4626" t="str">
            <v>INE219F01017</v>
          </cell>
          <cell r="D4626" t="str">
            <v>TRENDELEC</v>
          </cell>
          <cell r="E4626">
            <v>9.6524999999999999</v>
          </cell>
          <cell r="F4626" t="str">
            <v>-</v>
          </cell>
          <cell r="G4626" t="str">
            <v>-</v>
          </cell>
          <cell r="H4626" t="str">
            <v>-</v>
          </cell>
          <cell r="I4626" t="str">
            <v>-</v>
          </cell>
          <cell r="J4626">
            <v>9.6524999999999999</v>
          </cell>
          <cell r="K4626" t="str">
            <v>Small Cap</v>
          </cell>
        </row>
        <row r="4627">
          <cell r="C4627" t="str">
            <v>INE581M01016</v>
          </cell>
          <cell r="D4627" t="str">
            <v>VINAYAKPOL</v>
          </cell>
          <cell r="E4627">
            <v>9.6484394699999996</v>
          </cell>
          <cell r="F4627" t="str">
            <v>-</v>
          </cell>
          <cell r="G4627" t="str">
            <v>-</v>
          </cell>
          <cell r="H4627" t="str">
            <v>-</v>
          </cell>
          <cell r="I4627" t="str">
            <v>-</v>
          </cell>
          <cell r="J4627">
            <v>9.6484394699999996</v>
          </cell>
          <cell r="K4627" t="str">
            <v>Small Cap</v>
          </cell>
        </row>
        <row r="4628">
          <cell r="C4628" t="str">
            <v>INE973B01026</v>
          </cell>
          <cell r="D4628" t="str">
            <v>ISFL</v>
          </cell>
          <cell r="E4628">
            <v>9.6425000000000001</v>
          </cell>
          <cell r="F4628" t="str">
            <v>-</v>
          </cell>
          <cell r="G4628" t="str">
            <v>-</v>
          </cell>
          <cell r="H4628" t="str">
            <v>-</v>
          </cell>
          <cell r="I4628" t="str">
            <v>-</v>
          </cell>
          <cell r="J4628">
            <v>9.6425000000000001</v>
          </cell>
          <cell r="K4628" t="str">
            <v>Small Cap</v>
          </cell>
        </row>
        <row r="4629">
          <cell r="C4629" t="str">
            <v>INE901C01017</v>
          </cell>
          <cell r="D4629" t="str">
            <v>TPROJECT</v>
          </cell>
          <cell r="E4629">
            <v>9.6056073749999999</v>
          </cell>
          <cell r="F4629" t="str">
            <v>-</v>
          </cell>
          <cell r="G4629" t="str">
            <v>-</v>
          </cell>
          <cell r="H4629" t="str">
            <v>-</v>
          </cell>
          <cell r="I4629" t="str">
            <v>-</v>
          </cell>
          <cell r="J4629">
            <v>9.6056073749999999</v>
          </cell>
          <cell r="K4629" t="str">
            <v>Small Cap</v>
          </cell>
        </row>
        <row r="4630">
          <cell r="C4630" t="str">
            <v>INE0QOQ01013</v>
          </cell>
          <cell r="D4630" t="str">
            <v>FTL</v>
          </cell>
          <cell r="E4630">
            <v>9.6012295339999998</v>
          </cell>
          <cell r="F4630" t="str">
            <v>-</v>
          </cell>
          <cell r="G4630" t="str">
            <v>-</v>
          </cell>
          <cell r="H4630" t="str">
            <v>-</v>
          </cell>
          <cell r="I4630" t="str">
            <v>-</v>
          </cell>
          <cell r="J4630">
            <v>9.6012295339999998</v>
          </cell>
          <cell r="K4630" t="str">
            <v>Small Cap</v>
          </cell>
        </row>
        <row r="4631">
          <cell r="C4631" t="str">
            <v>INE673U01014</v>
          </cell>
          <cell r="D4631" t="str">
            <v>DATIWARE</v>
          </cell>
          <cell r="E4631">
            <v>9.5965873019999997</v>
          </cell>
          <cell r="F4631" t="str">
            <v>-</v>
          </cell>
          <cell r="G4631" t="str">
            <v>-</v>
          </cell>
          <cell r="H4631" t="str">
            <v>-</v>
          </cell>
          <cell r="I4631" t="str">
            <v>-</v>
          </cell>
          <cell r="J4631">
            <v>9.5965873019999997</v>
          </cell>
          <cell r="K4631" t="str">
            <v>Small Cap</v>
          </cell>
        </row>
        <row r="4632">
          <cell r="C4632" t="str">
            <v>INE186E01011</v>
          </cell>
          <cell r="D4632" t="str">
            <v>VIKALPS</v>
          </cell>
          <cell r="E4632">
            <v>9.5703708569999986</v>
          </cell>
          <cell r="F4632" t="str">
            <v>-</v>
          </cell>
          <cell r="G4632" t="str">
            <v>-</v>
          </cell>
          <cell r="H4632" t="str">
            <v>-</v>
          </cell>
          <cell r="I4632" t="str">
            <v>-</v>
          </cell>
          <cell r="J4632">
            <v>9.5703708569999986</v>
          </cell>
          <cell r="K4632" t="str">
            <v>Small Cap</v>
          </cell>
        </row>
        <row r="4633">
          <cell r="C4633" t="str">
            <v>INE940N01012</v>
          </cell>
          <cell r="D4633" t="str">
            <v>PREMSYN</v>
          </cell>
          <cell r="E4633">
            <v>9.5648650980000003</v>
          </cell>
          <cell r="F4633" t="str">
            <v>-</v>
          </cell>
          <cell r="G4633" t="str">
            <v>-</v>
          </cell>
          <cell r="H4633" t="str">
            <v>-</v>
          </cell>
          <cell r="I4633" t="str">
            <v>-</v>
          </cell>
          <cell r="J4633">
            <v>9.5648650980000003</v>
          </cell>
          <cell r="K4633" t="str">
            <v>Small Cap</v>
          </cell>
        </row>
        <row r="4634">
          <cell r="C4634" t="str">
            <v>INE774I01031</v>
          </cell>
          <cell r="D4634" t="str">
            <v>RMMIL</v>
          </cell>
          <cell r="E4634">
            <v>9.5459829120000013</v>
          </cell>
          <cell r="F4634" t="str">
            <v>-</v>
          </cell>
          <cell r="G4634" t="str">
            <v>-</v>
          </cell>
          <cell r="H4634" t="str">
            <v>-</v>
          </cell>
          <cell r="I4634" t="str">
            <v>-</v>
          </cell>
          <cell r="J4634">
            <v>9.5459829120000013</v>
          </cell>
          <cell r="K4634" t="str">
            <v>Small Cap</v>
          </cell>
        </row>
        <row r="4635">
          <cell r="C4635" t="str">
            <v>INE335G01019</v>
          </cell>
          <cell r="D4635" t="str">
            <v>EXPLICITFIN</v>
          </cell>
          <cell r="E4635">
            <v>9.5375372379999988</v>
          </cell>
          <cell r="F4635" t="str">
            <v>-</v>
          </cell>
          <cell r="G4635" t="str">
            <v>-</v>
          </cell>
          <cell r="H4635" t="str">
            <v>-</v>
          </cell>
          <cell r="I4635" t="str">
            <v>-</v>
          </cell>
          <cell r="J4635">
            <v>9.5375372379999988</v>
          </cell>
          <cell r="K4635" t="str">
            <v>Small Cap</v>
          </cell>
        </row>
        <row r="4636">
          <cell r="C4636" t="str">
            <v>INE444X01014</v>
          </cell>
          <cell r="D4636" t="str">
            <v>MOUNT</v>
          </cell>
          <cell r="E4636">
            <v>9.5313189000000005</v>
          </cell>
          <cell r="F4636" t="str">
            <v>-</v>
          </cell>
          <cell r="G4636" t="str">
            <v>-</v>
          </cell>
          <cell r="H4636" t="str">
            <v>-</v>
          </cell>
          <cell r="I4636" t="str">
            <v>-</v>
          </cell>
          <cell r="J4636">
            <v>9.5313189000000005</v>
          </cell>
          <cell r="K4636" t="str">
            <v>Small Cap</v>
          </cell>
        </row>
        <row r="4637">
          <cell r="C4637" t="str">
            <v>INE910B01028</v>
          </cell>
          <cell r="D4637" t="str">
            <v>OTCO</v>
          </cell>
          <cell r="E4637">
            <v>9.531053592000001</v>
          </cell>
          <cell r="F4637" t="str">
            <v>-</v>
          </cell>
          <cell r="G4637" t="str">
            <v>-</v>
          </cell>
          <cell r="H4637" t="str">
            <v>-</v>
          </cell>
          <cell r="I4637" t="str">
            <v>-</v>
          </cell>
          <cell r="J4637">
            <v>9.531053592000001</v>
          </cell>
          <cell r="K4637" t="str">
            <v>Small Cap</v>
          </cell>
        </row>
        <row r="4638">
          <cell r="C4638" t="str">
            <v>INE684D01025</v>
          </cell>
          <cell r="D4638" t="str">
            <v>RGF</v>
          </cell>
          <cell r="E4638">
            <v>9.5241426669999996</v>
          </cell>
          <cell r="F4638" t="str">
            <v>-</v>
          </cell>
          <cell r="G4638" t="str">
            <v>-</v>
          </cell>
          <cell r="H4638" t="str">
            <v>-</v>
          </cell>
          <cell r="I4638" t="str">
            <v>-</v>
          </cell>
          <cell r="J4638">
            <v>9.5241426669999996</v>
          </cell>
          <cell r="K4638" t="str">
            <v>Small Cap</v>
          </cell>
        </row>
        <row r="4639">
          <cell r="C4639" t="str">
            <v>INE321F01011</v>
          </cell>
          <cell r="D4639" t="str">
            <v>-</v>
          </cell>
          <cell r="E4639" t="str">
            <v>-</v>
          </cell>
          <cell r="F4639" t="str">
            <v>-</v>
          </cell>
          <cell r="G4639" t="str">
            <v>-</v>
          </cell>
          <cell r="H4639" t="str">
            <v>JAGAT</v>
          </cell>
          <cell r="I4639">
            <v>9.5026668000000196</v>
          </cell>
          <cell r="J4639">
            <v>9.5026668000000196</v>
          </cell>
          <cell r="K4639" t="str">
            <v>Small Cap</v>
          </cell>
        </row>
        <row r="4640">
          <cell r="C4640" t="str">
            <v>INE022F01015</v>
          </cell>
          <cell r="D4640" t="str">
            <v>SHAMROIN</v>
          </cell>
          <cell r="E4640">
            <v>9.5017641709999996</v>
          </cell>
          <cell r="F4640" t="str">
            <v>-</v>
          </cell>
          <cell r="G4640" t="str">
            <v>-</v>
          </cell>
          <cell r="H4640" t="str">
            <v>-</v>
          </cell>
          <cell r="I4640" t="str">
            <v>-</v>
          </cell>
          <cell r="J4640">
            <v>9.5017641709999996</v>
          </cell>
          <cell r="K4640" t="str">
            <v>Small Cap</v>
          </cell>
        </row>
        <row r="4641">
          <cell r="C4641" t="str">
            <v>INE860E01011</v>
          </cell>
          <cell r="D4641" t="str">
            <v>OONE</v>
          </cell>
          <cell r="E4641">
            <v>9.4688859220000001</v>
          </cell>
          <cell r="F4641" t="str">
            <v>-</v>
          </cell>
          <cell r="G4641" t="str">
            <v>-</v>
          </cell>
          <cell r="H4641" t="str">
            <v>-</v>
          </cell>
          <cell r="I4641" t="str">
            <v>-</v>
          </cell>
          <cell r="J4641">
            <v>9.4688859220000001</v>
          </cell>
          <cell r="K4641" t="str">
            <v>Small Cap</v>
          </cell>
        </row>
        <row r="4642">
          <cell r="C4642" t="str">
            <v>INE0QMR01015</v>
          </cell>
          <cell r="D4642" t="str">
            <v>CTLLAB</v>
          </cell>
          <cell r="E4642">
            <v>9.4238665709999996</v>
          </cell>
          <cell r="F4642" t="str">
            <v>-</v>
          </cell>
          <cell r="G4642" t="str">
            <v>-</v>
          </cell>
          <cell r="H4642" t="str">
            <v>-</v>
          </cell>
          <cell r="I4642" t="str">
            <v>-</v>
          </cell>
          <cell r="J4642">
            <v>9.4238665709999996</v>
          </cell>
          <cell r="K4642" t="str">
            <v>Small Cap</v>
          </cell>
        </row>
        <row r="4643">
          <cell r="C4643" t="str">
            <v>INE896J01014</v>
          </cell>
          <cell r="D4643" t="str">
            <v>ZSANMCOM</v>
          </cell>
          <cell r="E4643">
            <v>9.4135467259999999</v>
          </cell>
          <cell r="F4643" t="str">
            <v>-</v>
          </cell>
          <cell r="G4643" t="str">
            <v>-</v>
          </cell>
          <cell r="H4643" t="str">
            <v>-</v>
          </cell>
          <cell r="I4643" t="str">
            <v>-</v>
          </cell>
          <cell r="J4643">
            <v>9.4135467259999999</v>
          </cell>
          <cell r="K4643" t="str">
            <v>Small Cap</v>
          </cell>
        </row>
        <row r="4644">
          <cell r="C4644" t="str">
            <v>INE813B01016</v>
          </cell>
          <cell r="D4644" t="str">
            <v>PHOTOQUP</v>
          </cell>
          <cell r="E4644">
            <v>9.4113975430000014</v>
          </cell>
          <cell r="F4644" t="str">
            <v>-</v>
          </cell>
          <cell r="G4644" t="str">
            <v>-</v>
          </cell>
          <cell r="H4644" t="str">
            <v>-</v>
          </cell>
          <cell r="I4644" t="str">
            <v>-</v>
          </cell>
          <cell r="J4644">
            <v>9.4113975430000014</v>
          </cell>
          <cell r="K4644" t="str">
            <v>Small Cap</v>
          </cell>
        </row>
        <row r="4645">
          <cell r="C4645" t="str">
            <v>INE147E01013</v>
          </cell>
          <cell r="D4645" t="str">
            <v>-</v>
          </cell>
          <cell r="E4645" t="str">
            <v>-</v>
          </cell>
          <cell r="F4645" t="str">
            <v>-</v>
          </cell>
          <cell r="G4645" t="str">
            <v>-</v>
          </cell>
          <cell r="H4645" t="str">
            <v>CRESCENT</v>
          </cell>
          <cell r="I4645">
            <v>9.4062300000000256</v>
          </cell>
          <cell r="J4645">
            <v>9.4062300000000256</v>
          </cell>
          <cell r="K4645" t="str">
            <v>Small Cap</v>
          </cell>
        </row>
        <row r="4646">
          <cell r="C4646" t="str">
            <v>INE940E01011</v>
          </cell>
          <cell r="D4646" t="str">
            <v>EUROLED</v>
          </cell>
          <cell r="E4646">
            <v>9.3614340569999985</v>
          </cell>
          <cell r="F4646" t="str">
            <v>-</v>
          </cell>
          <cell r="G4646" t="str">
            <v>-</v>
          </cell>
          <cell r="H4646" t="str">
            <v>-</v>
          </cell>
          <cell r="I4646" t="str">
            <v>-</v>
          </cell>
          <cell r="J4646">
            <v>9.3614340569999985</v>
          </cell>
          <cell r="K4646" t="str">
            <v>Small Cap</v>
          </cell>
        </row>
        <row r="4647">
          <cell r="C4647" t="str">
            <v>INE370Q01015</v>
          </cell>
          <cell r="D4647" t="str">
            <v>NEXUSSURGL</v>
          </cell>
          <cell r="E4647">
            <v>9.3445720829999992</v>
          </cell>
          <cell r="F4647" t="str">
            <v>-</v>
          </cell>
          <cell r="G4647" t="str">
            <v>-</v>
          </cell>
          <cell r="H4647" t="str">
            <v>-</v>
          </cell>
          <cell r="I4647" t="str">
            <v>-</v>
          </cell>
          <cell r="J4647">
            <v>9.3445720829999992</v>
          </cell>
          <cell r="K4647" t="str">
            <v>Small Cap</v>
          </cell>
        </row>
        <row r="4648">
          <cell r="C4648" t="str">
            <v>INE998D01011</v>
          </cell>
          <cell r="D4648" t="str">
            <v>JAYBHCR</v>
          </cell>
          <cell r="E4648">
            <v>9.3423809519999992</v>
          </cell>
          <cell r="F4648" t="str">
            <v>-</v>
          </cell>
          <cell r="G4648" t="str">
            <v>-</v>
          </cell>
          <cell r="H4648" t="str">
            <v>-</v>
          </cell>
          <cell r="I4648" t="str">
            <v>-</v>
          </cell>
          <cell r="J4648">
            <v>9.3423809519999992</v>
          </cell>
          <cell r="K4648" t="str">
            <v>Small Cap</v>
          </cell>
        </row>
        <row r="4649">
          <cell r="C4649" t="str">
            <v>INE699F01010</v>
          </cell>
          <cell r="D4649" t="str">
            <v>-</v>
          </cell>
          <cell r="E4649" t="str">
            <v>-</v>
          </cell>
          <cell r="F4649" t="str">
            <v>-</v>
          </cell>
          <cell r="G4649" t="str">
            <v>-</v>
          </cell>
          <cell r="H4649" t="str">
            <v>HARDOLI</v>
          </cell>
          <cell r="I4649">
            <v>9.3286982250000055</v>
          </cell>
          <cell r="J4649">
            <v>9.3286982250000055</v>
          </cell>
          <cell r="K4649" t="str">
            <v>Small Cap</v>
          </cell>
        </row>
        <row r="4650">
          <cell r="C4650" t="str">
            <v>INE847B01014</v>
          </cell>
          <cell r="D4650" t="str">
            <v>NIJJER</v>
          </cell>
          <cell r="E4650">
            <v>9.3024000000000004</v>
          </cell>
          <cell r="F4650" t="str">
            <v>-</v>
          </cell>
          <cell r="G4650" t="str">
            <v>-</v>
          </cell>
          <cell r="H4650" t="str">
            <v>-</v>
          </cell>
          <cell r="I4650" t="str">
            <v>-</v>
          </cell>
          <cell r="J4650">
            <v>9.3024000000000004</v>
          </cell>
          <cell r="K4650" t="str">
            <v>Small Cap</v>
          </cell>
        </row>
        <row r="4651">
          <cell r="C4651" t="str">
            <v>INE510D01014</v>
          </cell>
          <cell r="D4651" t="str">
            <v>JAMEHOT</v>
          </cell>
          <cell r="E4651">
            <v>9.2965809999999998</v>
          </cell>
          <cell r="F4651" t="str">
            <v>-</v>
          </cell>
          <cell r="G4651" t="str">
            <v>-</v>
          </cell>
          <cell r="H4651" t="str">
            <v>-</v>
          </cell>
          <cell r="I4651" t="str">
            <v>-</v>
          </cell>
          <cell r="J4651">
            <v>9.2965809999999998</v>
          </cell>
          <cell r="K4651" t="str">
            <v>Small Cap</v>
          </cell>
        </row>
        <row r="4652">
          <cell r="C4652" t="str">
            <v>INE884X01011</v>
          </cell>
          <cell r="D4652" t="str">
            <v>TRINITYLEA</v>
          </cell>
          <cell r="E4652">
            <v>9.2926184559999996</v>
          </cell>
          <cell r="F4652" t="str">
            <v>-</v>
          </cell>
          <cell r="G4652" t="str">
            <v>-</v>
          </cell>
          <cell r="H4652" t="str">
            <v>-</v>
          </cell>
          <cell r="I4652" t="str">
            <v>-</v>
          </cell>
          <cell r="J4652">
            <v>9.2926184559999996</v>
          </cell>
          <cell r="K4652" t="str">
            <v>Small Cap</v>
          </cell>
        </row>
        <row r="4653">
          <cell r="C4653" t="str">
            <v>INE871Z01013</v>
          </cell>
          <cell r="D4653" t="str">
            <v>DLCL</v>
          </cell>
          <cell r="E4653">
            <v>9.2894787819999998</v>
          </cell>
          <cell r="F4653" t="str">
            <v>-</v>
          </cell>
          <cell r="G4653" t="str">
            <v>-</v>
          </cell>
          <cell r="H4653" t="str">
            <v>-</v>
          </cell>
          <cell r="I4653" t="str">
            <v>-</v>
          </cell>
          <cell r="J4653">
            <v>9.2894787819999998</v>
          </cell>
          <cell r="K4653" t="str">
            <v>Small Cap</v>
          </cell>
        </row>
        <row r="4654">
          <cell r="C4654" t="str">
            <v>INE081B01028</v>
          </cell>
          <cell r="D4654" t="str">
            <v>CARNATIN</v>
          </cell>
          <cell r="E4654">
            <v>9.2752310270000002</v>
          </cell>
          <cell r="F4654" t="str">
            <v>-</v>
          </cell>
          <cell r="G4654" t="str">
            <v>-</v>
          </cell>
          <cell r="H4654" t="str">
            <v>-</v>
          </cell>
          <cell r="I4654" t="str">
            <v>-</v>
          </cell>
          <cell r="J4654">
            <v>9.2752310270000002</v>
          </cell>
          <cell r="K4654" t="str">
            <v>Small Cap</v>
          </cell>
        </row>
        <row r="4655">
          <cell r="C4655" t="str">
            <v>INE043F01011</v>
          </cell>
          <cell r="D4655" t="str">
            <v>NNTL</v>
          </cell>
          <cell r="E4655">
            <v>9.2734992690000002</v>
          </cell>
          <cell r="F4655" t="str">
            <v>-</v>
          </cell>
          <cell r="G4655" t="str">
            <v>-</v>
          </cell>
          <cell r="H4655" t="str">
            <v>-</v>
          </cell>
          <cell r="I4655" t="str">
            <v>-</v>
          </cell>
          <cell r="J4655">
            <v>9.2734992690000002</v>
          </cell>
          <cell r="K4655" t="str">
            <v>Small Cap</v>
          </cell>
        </row>
        <row r="4656">
          <cell r="C4656" t="str">
            <v>INE780Q01015</v>
          </cell>
          <cell r="D4656" t="str">
            <v>JAINMARMO</v>
          </cell>
          <cell r="E4656">
            <v>9.2665760000000006</v>
          </cell>
          <cell r="F4656" t="str">
            <v>-</v>
          </cell>
          <cell r="G4656" t="str">
            <v>-</v>
          </cell>
          <cell r="H4656" t="str">
            <v>-</v>
          </cell>
          <cell r="I4656" t="str">
            <v>-</v>
          </cell>
          <cell r="J4656">
            <v>9.2665760000000006</v>
          </cell>
          <cell r="K4656" t="str">
            <v>Small Cap</v>
          </cell>
        </row>
        <row r="4657">
          <cell r="C4657" t="str">
            <v>INE0IM001015</v>
          </cell>
          <cell r="D4657" t="str">
            <v>WITS</v>
          </cell>
          <cell r="E4657">
            <v>9.2660794290000013</v>
          </cell>
          <cell r="F4657" t="str">
            <v>-</v>
          </cell>
          <cell r="G4657" t="str">
            <v>-</v>
          </cell>
          <cell r="H4657" t="str">
            <v>-</v>
          </cell>
          <cell r="I4657" t="str">
            <v>-</v>
          </cell>
          <cell r="J4657">
            <v>9.2660794290000013</v>
          </cell>
          <cell r="K4657" t="str">
            <v>Small Cap</v>
          </cell>
        </row>
        <row r="4658">
          <cell r="C4658" t="str">
            <v>INE387D01025</v>
          </cell>
          <cell r="D4658" t="str">
            <v>SSWRL</v>
          </cell>
          <cell r="E4658">
            <v>9.2461794319999999</v>
          </cell>
          <cell r="F4658" t="str">
            <v>-</v>
          </cell>
          <cell r="G4658" t="str">
            <v>-</v>
          </cell>
          <cell r="H4658" t="str">
            <v>-</v>
          </cell>
          <cell r="I4658" t="str">
            <v>-</v>
          </cell>
          <cell r="J4658">
            <v>9.2461794319999999</v>
          </cell>
          <cell r="K4658" t="str">
            <v>Small Cap</v>
          </cell>
        </row>
        <row r="4659">
          <cell r="C4659" t="str">
            <v>INE062E01014</v>
          </cell>
          <cell r="D4659" t="str">
            <v>PIONAGR</v>
          </cell>
          <cell r="E4659">
            <v>9.2340223829999992</v>
          </cell>
          <cell r="F4659" t="str">
            <v>-</v>
          </cell>
          <cell r="G4659" t="str">
            <v>-</v>
          </cell>
          <cell r="H4659" t="str">
            <v>-</v>
          </cell>
          <cell r="I4659" t="str">
            <v>-</v>
          </cell>
          <cell r="J4659">
            <v>9.2340223829999992</v>
          </cell>
          <cell r="K4659" t="str">
            <v>Small Cap</v>
          </cell>
        </row>
        <row r="4660">
          <cell r="C4660" t="str">
            <v>INE112C01011</v>
          </cell>
          <cell r="D4660" t="str">
            <v>AGIOPAPER</v>
          </cell>
          <cell r="E4660">
            <v>9.2256484900000011</v>
          </cell>
          <cell r="F4660" t="str">
            <v>-</v>
          </cell>
          <cell r="G4660" t="str">
            <v>-</v>
          </cell>
          <cell r="H4660" t="str">
            <v>-</v>
          </cell>
          <cell r="I4660" t="str">
            <v>-</v>
          </cell>
          <cell r="J4660">
            <v>9.2256484900000011</v>
          </cell>
          <cell r="K4660" t="str">
            <v>Small Cap</v>
          </cell>
        </row>
        <row r="4661">
          <cell r="C4661" t="str">
            <v>INE671D01014</v>
          </cell>
          <cell r="D4661" t="str">
            <v>HASTIFIN</v>
          </cell>
          <cell r="E4661">
            <v>9.2037910659999991</v>
          </cell>
          <cell r="F4661" t="str">
            <v>-</v>
          </cell>
          <cell r="G4661" t="str">
            <v>-</v>
          </cell>
          <cell r="H4661" t="str">
            <v>-</v>
          </cell>
          <cell r="I4661" t="str">
            <v>-</v>
          </cell>
          <cell r="J4661">
            <v>9.2037910659999991</v>
          </cell>
          <cell r="K4661" t="str">
            <v>Small Cap</v>
          </cell>
        </row>
        <row r="4662">
          <cell r="C4662" t="str">
            <v>INE962O01014</v>
          </cell>
          <cell r="D4662" t="str">
            <v>VCU</v>
          </cell>
          <cell r="E4662">
            <v>9.1803055560000004</v>
          </cell>
          <cell r="F4662" t="str">
            <v>-</v>
          </cell>
          <cell r="G4662" t="str">
            <v>-</v>
          </cell>
          <cell r="H4662" t="str">
            <v>-</v>
          </cell>
          <cell r="I4662" t="str">
            <v>-</v>
          </cell>
          <cell r="J4662">
            <v>9.1803055560000004</v>
          </cell>
          <cell r="K4662" t="str">
            <v>Small Cap</v>
          </cell>
        </row>
        <row r="4663">
          <cell r="C4663" t="str">
            <v>INE654D01010</v>
          </cell>
          <cell r="D4663" t="str">
            <v>SANCF</v>
          </cell>
          <cell r="E4663">
            <v>9.1551500000000008</v>
          </cell>
          <cell r="F4663" t="str">
            <v>-</v>
          </cell>
          <cell r="G4663" t="str">
            <v>-</v>
          </cell>
          <cell r="H4663" t="str">
            <v>-</v>
          </cell>
          <cell r="I4663" t="str">
            <v>-</v>
          </cell>
          <cell r="J4663">
            <v>9.1551500000000008</v>
          </cell>
          <cell r="K4663" t="str">
            <v>Small Cap</v>
          </cell>
        </row>
        <row r="4664">
          <cell r="C4664" t="str">
            <v>INE316O01021</v>
          </cell>
          <cell r="D4664" t="str">
            <v>APIL</v>
          </cell>
          <cell r="E4664">
            <v>9.149816156</v>
          </cell>
          <cell r="F4664" t="str">
            <v>-</v>
          </cell>
          <cell r="G4664" t="str">
            <v>-</v>
          </cell>
          <cell r="H4664" t="str">
            <v>-</v>
          </cell>
          <cell r="I4664" t="str">
            <v>-</v>
          </cell>
          <cell r="J4664">
            <v>9.149816156</v>
          </cell>
          <cell r="K4664" t="str">
            <v>Small Cap</v>
          </cell>
        </row>
        <row r="4665">
          <cell r="C4665" t="str">
            <v>INE674M01019</v>
          </cell>
          <cell r="D4665" t="str">
            <v>KINETRU</v>
          </cell>
          <cell r="E4665">
            <v>9.1445866670000004</v>
          </cell>
          <cell r="F4665" t="str">
            <v>-</v>
          </cell>
          <cell r="G4665" t="str">
            <v>-</v>
          </cell>
          <cell r="H4665" t="str">
            <v>-</v>
          </cell>
          <cell r="I4665" t="str">
            <v>-</v>
          </cell>
          <cell r="J4665">
            <v>9.1445866670000004</v>
          </cell>
          <cell r="K4665" t="str">
            <v>Small Cap</v>
          </cell>
        </row>
        <row r="4666">
          <cell r="C4666" t="str">
            <v>INE181C01016</v>
          </cell>
          <cell r="D4666" t="str">
            <v>-</v>
          </cell>
          <cell r="E4666" t="str">
            <v>-</v>
          </cell>
          <cell r="F4666" t="str">
            <v>-</v>
          </cell>
          <cell r="G4666" t="str">
            <v>-</v>
          </cell>
          <cell r="H4666" t="str">
            <v>UPAL</v>
          </cell>
          <cell r="I4666">
            <v>9.1071930000000272</v>
          </cell>
          <cell r="J4666">
            <v>9.1071930000000272</v>
          </cell>
          <cell r="K4666" t="str">
            <v>Small Cap</v>
          </cell>
        </row>
        <row r="4667">
          <cell r="C4667" t="str">
            <v>INE565E01016</v>
          </cell>
          <cell r="D4667" t="str">
            <v>SURFI</v>
          </cell>
          <cell r="E4667">
            <v>9.105234286</v>
          </cell>
          <cell r="F4667" t="str">
            <v>-</v>
          </cell>
          <cell r="G4667" t="str">
            <v>-</v>
          </cell>
          <cell r="H4667" t="str">
            <v>-</v>
          </cell>
          <cell r="I4667" t="str">
            <v>-</v>
          </cell>
          <cell r="J4667">
            <v>9.105234286</v>
          </cell>
          <cell r="K4667" t="str">
            <v>Small Cap</v>
          </cell>
        </row>
        <row r="4668">
          <cell r="C4668" t="str">
            <v>INE509T01012</v>
          </cell>
          <cell r="D4668" t="str">
            <v>-</v>
          </cell>
          <cell r="E4668" t="str">
            <v>-</v>
          </cell>
          <cell r="F4668" t="str">
            <v>-</v>
          </cell>
          <cell r="G4668" t="str">
            <v>-</v>
          </cell>
          <cell r="H4668" t="str">
            <v>SHAKUMBHRI</v>
          </cell>
          <cell r="I4668">
            <v>9.0978000000000048</v>
          </cell>
          <cell r="J4668">
            <v>9.0978000000000048</v>
          </cell>
          <cell r="K4668" t="str">
            <v>Small Cap</v>
          </cell>
        </row>
        <row r="4669">
          <cell r="C4669" t="str">
            <v>INE317B01042</v>
          </cell>
          <cell r="D4669" t="str">
            <v>NOUVEAU</v>
          </cell>
          <cell r="E4669">
            <v>9.0924424599999991</v>
          </cell>
          <cell r="F4669" t="str">
            <v>-</v>
          </cell>
          <cell r="G4669" t="str">
            <v>-</v>
          </cell>
          <cell r="H4669" t="str">
            <v>-</v>
          </cell>
          <cell r="I4669" t="str">
            <v>-</v>
          </cell>
          <cell r="J4669">
            <v>9.0924424599999991</v>
          </cell>
          <cell r="K4669" t="str">
            <v>Small Cap</v>
          </cell>
        </row>
        <row r="4670">
          <cell r="C4670" t="str">
            <v>INE897A01011</v>
          </cell>
          <cell r="D4670" t="str">
            <v>SUPERBAK</v>
          </cell>
          <cell r="E4670">
            <v>9.0755194859999992</v>
          </cell>
          <cell r="F4670" t="str">
            <v>-</v>
          </cell>
          <cell r="G4670" t="str">
            <v>-</v>
          </cell>
          <cell r="H4670" t="str">
            <v>-</v>
          </cell>
          <cell r="I4670" t="str">
            <v>-</v>
          </cell>
          <cell r="J4670">
            <v>9.0755194859999992</v>
          </cell>
          <cell r="K4670" t="str">
            <v>Small Cap</v>
          </cell>
        </row>
        <row r="4671">
          <cell r="C4671" t="str">
            <v>INE493N01012</v>
          </cell>
          <cell r="D4671" t="str">
            <v>HARIAAPL</v>
          </cell>
          <cell r="E4671">
            <v>9.0412470519999992</v>
          </cell>
          <cell r="F4671" t="str">
            <v>-</v>
          </cell>
          <cell r="G4671" t="str">
            <v>-</v>
          </cell>
          <cell r="H4671" t="str">
            <v>-</v>
          </cell>
          <cell r="I4671" t="str">
            <v>-</v>
          </cell>
          <cell r="J4671">
            <v>9.0412470519999992</v>
          </cell>
          <cell r="K4671" t="str">
            <v>Small Cap</v>
          </cell>
        </row>
        <row r="4672">
          <cell r="C4672" t="str">
            <v>INE980B01039</v>
          </cell>
          <cell r="D4672" t="str">
            <v>UNIMERQ</v>
          </cell>
          <cell r="E4672">
            <v>9.0164334329999996</v>
          </cell>
          <cell r="F4672" t="str">
            <v>-</v>
          </cell>
          <cell r="G4672" t="str">
            <v>-</v>
          </cell>
          <cell r="H4672" t="str">
            <v>-</v>
          </cell>
          <cell r="I4672" t="str">
            <v>-</v>
          </cell>
          <cell r="J4672">
            <v>9.0164334329999996</v>
          </cell>
          <cell r="K4672" t="str">
            <v>Small Cap</v>
          </cell>
        </row>
        <row r="4673">
          <cell r="C4673" t="str">
            <v>INE146D01017</v>
          </cell>
          <cell r="D4673" t="str">
            <v>-</v>
          </cell>
          <cell r="E4673" t="str">
            <v>-</v>
          </cell>
          <cell r="F4673" t="str">
            <v>-</v>
          </cell>
          <cell r="G4673" t="str">
            <v>-</v>
          </cell>
          <cell r="H4673" t="str">
            <v>RADICOFIN</v>
          </cell>
          <cell r="I4673">
            <v>9</v>
          </cell>
          <cell r="J4673">
            <v>9</v>
          </cell>
          <cell r="K4673" t="str">
            <v>Small Cap</v>
          </cell>
        </row>
        <row r="4674">
          <cell r="C4674" t="str">
            <v>INE508R01018</v>
          </cell>
          <cell r="D4674" t="str">
            <v>SHASHANK</v>
          </cell>
          <cell r="E4674">
            <v>8.9816451560000008</v>
          </cell>
          <cell r="F4674" t="str">
            <v>-</v>
          </cell>
          <cell r="G4674" t="str">
            <v>-</v>
          </cell>
          <cell r="H4674" t="str">
            <v>-</v>
          </cell>
          <cell r="I4674" t="str">
            <v>-</v>
          </cell>
          <cell r="J4674">
            <v>8.9816451560000008</v>
          </cell>
          <cell r="K4674" t="str">
            <v>Small Cap</v>
          </cell>
        </row>
        <row r="4675">
          <cell r="C4675" t="str">
            <v>INE471D01019</v>
          </cell>
          <cell r="D4675" t="str">
            <v>AVONMERC</v>
          </cell>
          <cell r="E4675">
            <v>8.9728680000000001</v>
          </cell>
          <cell r="F4675" t="str">
            <v>-</v>
          </cell>
          <cell r="G4675" t="str">
            <v>-</v>
          </cell>
          <cell r="H4675" t="str">
            <v>-</v>
          </cell>
          <cell r="I4675" t="str">
            <v>-</v>
          </cell>
          <cell r="J4675">
            <v>8.9728680000000001</v>
          </cell>
          <cell r="K4675" t="str">
            <v>Small Cap</v>
          </cell>
        </row>
        <row r="4676">
          <cell r="C4676" t="str">
            <v>INE327D01013</v>
          </cell>
          <cell r="D4676" t="str">
            <v>KARANWO</v>
          </cell>
          <cell r="E4676">
            <v>8.9607910709999992</v>
          </cell>
          <cell r="F4676" t="str">
            <v>-</v>
          </cell>
          <cell r="G4676" t="str">
            <v>-</v>
          </cell>
          <cell r="H4676" t="str">
            <v>-</v>
          </cell>
          <cell r="I4676" t="str">
            <v>-</v>
          </cell>
          <cell r="J4676">
            <v>8.9607910709999992</v>
          </cell>
          <cell r="K4676" t="str">
            <v>Small Cap</v>
          </cell>
        </row>
        <row r="4677">
          <cell r="C4677" t="str">
            <v>INE286E01019</v>
          </cell>
          <cell r="D4677" t="str">
            <v>OLYOI</v>
          </cell>
          <cell r="E4677">
            <v>8.952975348999999</v>
          </cell>
          <cell r="F4677" t="str">
            <v>-</v>
          </cell>
          <cell r="G4677" t="str">
            <v>-</v>
          </cell>
          <cell r="H4677" t="str">
            <v>-</v>
          </cell>
          <cell r="I4677" t="str">
            <v>-</v>
          </cell>
          <cell r="J4677">
            <v>8.952975348999999</v>
          </cell>
          <cell r="K4677" t="str">
            <v>Small Cap</v>
          </cell>
        </row>
        <row r="4678">
          <cell r="C4678" t="str">
            <v>INE092C01015</v>
          </cell>
          <cell r="D4678" t="str">
            <v>PMTELELIN</v>
          </cell>
          <cell r="E4678">
            <v>8.9454805559999997</v>
          </cell>
          <cell r="F4678" t="str">
            <v>-</v>
          </cell>
          <cell r="G4678" t="str">
            <v>-</v>
          </cell>
          <cell r="H4678" t="str">
            <v>-</v>
          </cell>
          <cell r="I4678" t="str">
            <v>-</v>
          </cell>
          <cell r="J4678">
            <v>8.9454805559999997</v>
          </cell>
          <cell r="K4678" t="str">
            <v>Small Cap</v>
          </cell>
        </row>
        <row r="4679">
          <cell r="C4679" t="str">
            <v>INE669W01018</v>
          </cell>
          <cell r="D4679" t="str">
            <v>CHADPAP</v>
          </cell>
          <cell r="E4679">
            <v>8.9284999999999997</v>
          </cell>
          <cell r="F4679" t="str">
            <v>-</v>
          </cell>
          <cell r="G4679" t="str">
            <v>-</v>
          </cell>
          <cell r="H4679" t="str">
            <v>-</v>
          </cell>
          <cell r="I4679" t="str">
            <v>-</v>
          </cell>
          <cell r="J4679">
            <v>8.9284999999999997</v>
          </cell>
          <cell r="K4679" t="str">
            <v>Small Cap</v>
          </cell>
        </row>
        <row r="4680">
          <cell r="C4680" t="str">
            <v>INE750B01010</v>
          </cell>
          <cell r="D4680" t="str">
            <v>PARKERAC</v>
          </cell>
          <cell r="E4680">
            <v>8.9252755709999985</v>
          </cell>
          <cell r="F4680" t="str">
            <v>-</v>
          </cell>
          <cell r="G4680" t="str">
            <v>-</v>
          </cell>
          <cell r="H4680" t="str">
            <v>-</v>
          </cell>
          <cell r="I4680" t="str">
            <v>-</v>
          </cell>
          <cell r="J4680">
            <v>8.9252755709999985</v>
          </cell>
          <cell r="K4680" t="str">
            <v>Small Cap</v>
          </cell>
        </row>
        <row r="4681">
          <cell r="C4681" t="str">
            <v>INE352A01017</v>
          </cell>
          <cell r="D4681" t="str">
            <v>VALUEIND</v>
          </cell>
          <cell r="E4681">
            <v>8.8951482249999998</v>
          </cell>
          <cell r="F4681" t="str">
            <v>-</v>
          </cell>
          <cell r="G4681" t="str">
            <v>-</v>
          </cell>
          <cell r="H4681" t="str">
            <v>-</v>
          </cell>
          <cell r="I4681" t="str">
            <v>-</v>
          </cell>
          <cell r="J4681">
            <v>8.8951482249999998</v>
          </cell>
          <cell r="K4681" t="str">
            <v>Small Cap</v>
          </cell>
        </row>
        <row r="4682">
          <cell r="C4682" t="str">
            <v>INE860N01012</v>
          </cell>
          <cell r="D4682" t="str">
            <v>MPCOSEMB</v>
          </cell>
          <cell r="E4682">
            <v>8.8576140379999995</v>
          </cell>
          <cell r="F4682" t="str">
            <v>-</v>
          </cell>
          <cell r="G4682" t="str">
            <v>-</v>
          </cell>
          <cell r="H4682" t="str">
            <v>-</v>
          </cell>
          <cell r="I4682" t="str">
            <v>-</v>
          </cell>
          <cell r="J4682">
            <v>8.8576140379999995</v>
          </cell>
          <cell r="K4682" t="str">
            <v>Small Cap</v>
          </cell>
        </row>
        <row r="4683">
          <cell r="C4683" t="str">
            <v>INE274I01016</v>
          </cell>
          <cell r="D4683" t="str">
            <v>SURYACHAKRA</v>
          </cell>
          <cell r="E4683">
            <v>8.828344640000001</v>
          </cell>
          <cell r="F4683" t="str">
            <v>-</v>
          </cell>
          <cell r="G4683" t="str">
            <v>-</v>
          </cell>
          <cell r="H4683" t="str">
            <v>-</v>
          </cell>
          <cell r="I4683" t="str">
            <v>-</v>
          </cell>
          <cell r="J4683">
            <v>8.828344640000001</v>
          </cell>
          <cell r="K4683" t="str">
            <v>Small Cap</v>
          </cell>
        </row>
        <row r="4684">
          <cell r="C4684" t="str">
            <v>INE459D01014</v>
          </cell>
          <cell r="D4684" t="str">
            <v>SUNRAJDI</v>
          </cell>
          <cell r="E4684">
            <v>8.8063284569999993</v>
          </cell>
          <cell r="F4684" t="str">
            <v>-</v>
          </cell>
          <cell r="G4684" t="str">
            <v>-</v>
          </cell>
          <cell r="H4684" t="str">
            <v>-</v>
          </cell>
          <cell r="I4684" t="str">
            <v>-</v>
          </cell>
          <cell r="J4684">
            <v>8.8063284569999993</v>
          </cell>
          <cell r="K4684" t="str">
            <v>Small Cap</v>
          </cell>
        </row>
        <row r="4685">
          <cell r="C4685" t="str">
            <v>INE797C01019</v>
          </cell>
          <cell r="D4685" t="str">
            <v>SIDDHEGA</v>
          </cell>
          <cell r="E4685">
            <v>8.8037114289999998</v>
          </cell>
          <cell r="F4685" t="str">
            <v>-</v>
          </cell>
          <cell r="G4685" t="str">
            <v>-</v>
          </cell>
          <cell r="H4685" t="str">
            <v>-</v>
          </cell>
          <cell r="I4685" t="str">
            <v>-</v>
          </cell>
          <cell r="J4685">
            <v>8.8037114289999998</v>
          </cell>
          <cell r="K4685" t="str">
            <v>Small Cap</v>
          </cell>
        </row>
        <row r="4686">
          <cell r="C4686" t="str">
            <v>INE191P01017</v>
          </cell>
          <cell r="D4686" t="str">
            <v>GCMCAPI</v>
          </cell>
          <cell r="E4686">
            <v>8.7945488889999996</v>
          </cell>
          <cell r="F4686" t="str">
            <v>-</v>
          </cell>
          <cell r="G4686" t="str">
            <v>-</v>
          </cell>
          <cell r="H4686" t="str">
            <v>-</v>
          </cell>
          <cell r="I4686" t="str">
            <v>-</v>
          </cell>
          <cell r="J4686">
            <v>8.7945488889999996</v>
          </cell>
          <cell r="K4686" t="str">
            <v>Small Cap</v>
          </cell>
        </row>
        <row r="4687">
          <cell r="C4687" t="str">
            <v>INE952C01028</v>
          </cell>
          <cell r="D4687" t="str">
            <v>MINAXI</v>
          </cell>
          <cell r="E4687">
            <v>8.767418095</v>
          </cell>
          <cell r="F4687" t="str">
            <v>-</v>
          </cell>
          <cell r="G4687" t="str">
            <v>-</v>
          </cell>
          <cell r="H4687" t="str">
            <v>-</v>
          </cell>
          <cell r="I4687" t="str">
            <v>-</v>
          </cell>
          <cell r="J4687">
            <v>8.767418095</v>
          </cell>
          <cell r="K4687" t="str">
            <v>Small Cap</v>
          </cell>
        </row>
        <row r="4688">
          <cell r="C4688" t="str">
            <v>INE916P01025</v>
          </cell>
          <cell r="D4688" t="str">
            <v>TRIVENIENT</v>
          </cell>
          <cell r="E4688">
            <v>8.7486342859999997</v>
          </cell>
          <cell r="F4688" t="str">
            <v>-</v>
          </cell>
          <cell r="G4688" t="str">
            <v>-</v>
          </cell>
          <cell r="H4688" t="str">
            <v>TRIVENIENT</v>
          </cell>
          <cell r="I4688">
            <v>8.7499971428571524</v>
          </cell>
          <cell r="J4688">
            <v>8.749315714428576</v>
          </cell>
          <cell r="K4688" t="str">
            <v>Small Cap</v>
          </cell>
        </row>
        <row r="4689">
          <cell r="C4689" t="str">
            <v>INE659B01021</v>
          </cell>
          <cell r="D4689" t="str">
            <v>CHDDLTD</v>
          </cell>
          <cell r="E4689">
            <v>8.7442754479999998</v>
          </cell>
          <cell r="F4689" t="str">
            <v>-</v>
          </cell>
          <cell r="G4689" t="str">
            <v>-</v>
          </cell>
          <cell r="H4689" t="str">
            <v>-</v>
          </cell>
          <cell r="I4689" t="str">
            <v>-</v>
          </cell>
          <cell r="J4689">
            <v>8.7442754479999998</v>
          </cell>
          <cell r="K4689" t="str">
            <v>Small Cap</v>
          </cell>
        </row>
        <row r="4690">
          <cell r="C4690" t="str">
            <v>INE799E01011</v>
          </cell>
          <cell r="D4690" t="str">
            <v>MAYUR</v>
          </cell>
          <cell r="E4690">
            <v>8.6671080570000001</v>
          </cell>
          <cell r="F4690" t="str">
            <v>-</v>
          </cell>
          <cell r="G4690" t="str">
            <v>-</v>
          </cell>
          <cell r="H4690" t="str">
            <v>-</v>
          </cell>
          <cell r="I4690" t="str">
            <v>-</v>
          </cell>
          <cell r="J4690">
            <v>8.6671080570000001</v>
          </cell>
          <cell r="K4690" t="str">
            <v>Small Cap</v>
          </cell>
        </row>
        <row r="4691">
          <cell r="C4691" t="str">
            <v>INE932M01011</v>
          </cell>
          <cell r="D4691" t="str">
            <v>GANHOLD</v>
          </cell>
          <cell r="E4691">
            <v>8.6581086430000003</v>
          </cell>
          <cell r="F4691" t="str">
            <v>-</v>
          </cell>
          <cell r="G4691" t="str">
            <v>-</v>
          </cell>
          <cell r="H4691" t="str">
            <v>-</v>
          </cell>
          <cell r="I4691" t="str">
            <v>-</v>
          </cell>
          <cell r="J4691">
            <v>8.6581086430000003</v>
          </cell>
          <cell r="K4691" t="str">
            <v>Small Cap</v>
          </cell>
        </row>
        <row r="4692">
          <cell r="C4692" t="str">
            <v>INE552H01017</v>
          </cell>
          <cell r="D4692" t="str">
            <v>TASHIND</v>
          </cell>
          <cell r="E4692">
            <v>8.6501249999999992</v>
          </cell>
          <cell r="F4692" t="str">
            <v>-</v>
          </cell>
          <cell r="G4692" t="str">
            <v>-</v>
          </cell>
          <cell r="H4692" t="str">
            <v>-</v>
          </cell>
          <cell r="I4692" t="str">
            <v>-</v>
          </cell>
          <cell r="J4692">
            <v>8.6501249999999992</v>
          </cell>
          <cell r="K4692" t="str">
            <v>Small Cap</v>
          </cell>
        </row>
        <row r="4693">
          <cell r="C4693" t="str">
            <v>INE863C01019</v>
          </cell>
          <cell r="D4693" t="str">
            <v>HITTCO</v>
          </cell>
          <cell r="E4693">
            <v>8.6383543270000001</v>
          </cell>
          <cell r="F4693" t="str">
            <v>-</v>
          </cell>
          <cell r="G4693" t="str">
            <v>-</v>
          </cell>
          <cell r="H4693" t="str">
            <v>-</v>
          </cell>
          <cell r="I4693" t="str">
            <v>-</v>
          </cell>
          <cell r="J4693">
            <v>8.6383543270000001</v>
          </cell>
          <cell r="K4693" t="str">
            <v>Small Cap</v>
          </cell>
        </row>
        <row r="4694">
          <cell r="C4694" t="str">
            <v>INE050S01019</v>
          </cell>
          <cell r="D4694" t="str">
            <v>-</v>
          </cell>
          <cell r="E4694" t="str">
            <v>-</v>
          </cell>
          <cell r="F4694" t="str">
            <v>-</v>
          </cell>
          <cell r="G4694" t="str">
            <v>-</v>
          </cell>
          <cell r="H4694" t="str">
            <v>CREMICA</v>
          </cell>
          <cell r="I4694">
            <v>8.6313599999999866</v>
          </cell>
          <cell r="J4694">
            <v>8.6313599999999866</v>
          </cell>
          <cell r="K4694" t="str">
            <v>Small Cap</v>
          </cell>
        </row>
        <row r="4695">
          <cell r="C4695" t="str">
            <v>INE0QHY01011</v>
          </cell>
          <cell r="D4695" t="str">
            <v>GCONNECT</v>
          </cell>
          <cell r="E4695">
            <v>8.6013638769999989</v>
          </cell>
          <cell r="F4695" t="str">
            <v>-</v>
          </cell>
          <cell r="G4695" t="str">
            <v>-</v>
          </cell>
          <cell r="H4695" t="str">
            <v>-</v>
          </cell>
          <cell r="I4695" t="str">
            <v>-</v>
          </cell>
          <cell r="J4695">
            <v>8.6013638769999989</v>
          </cell>
          <cell r="K4695" t="str">
            <v>Small Cap</v>
          </cell>
        </row>
        <row r="4696">
          <cell r="C4696" t="str">
            <v>INE0OUS01011</v>
          </cell>
          <cell r="D4696" t="str">
            <v>SHENTRA</v>
          </cell>
          <cell r="E4696">
            <v>8.5960137470000006</v>
          </cell>
          <cell r="F4696" t="str">
            <v>-</v>
          </cell>
          <cell r="G4696" t="str">
            <v>-</v>
          </cell>
          <cell r="H4696" t="str">
            <v>-</v>
          </cell>
          <cell r="I4696" t="str">
            <v>-</v>
          </cell>
          <cell r="J4696">
            <v>8.5960137470000006</v>
          </cell>
          <cell r="K4696" t="str">
            <v>Small Cap</v>
          </cell>
        </row>
        <row r="4697">
          <cell r="C4697" t="str">
            <v>INE589N01017</v>
          </cell>
          <cell r="D4697" t="str">
            <v>FILTRON</v>
          </cell>
          <cell r="E4697">
            <v>8.5655695989999998</v>
          </cell>
          <cell r="F4697" t="str">
            <v>-</v>
          </cell>
          <cell r="G4697" t="str">
            <v>-</v>
          </cell>
          <cell r="H4697" t="str">
            <v>-</v>
          </cell>
          <cell r="I4697" t="str">
            <v>-</v>
          </cell>
          <cell r="J4697">
            <v>8.5655695989999998</v>
          </cell>
          <cell r="K4697" t="str">
            <v>Small Cap</v>
          </cell>
        </row>
        <row r="4698">
          <cell r="C4698" t="str">
            <v>INE455C01014</v>
          </cell>
          <cell r="D4698" t="str">
            <v>DEVINE</v>
          </cell>
          <cell r="E4698">
            <v>8.5535607999999996</v>
          </cell>
          <cell r="F4698" t="str">
            <v>-</v>
          </cell>
          <cell r="G4698" t="str">
            <v>-</v>
          </cell>
          <cell r="H4698" t="str">
            <v>-</v>
          </cell>
          <cell r="I4698" t="str">
            <v>-</v>
          </cell>
          <cell r="J4698">
            <v>8.5535607999999996</v>
          </cell>
          <cell r="K4698" t="str">
            <v>Small Cap</v>
          </cell>
        </row>
        <row r="4699">
          <cell r="C4699" t="str">
            <v>INE034B01019</v>
          </cell>
          <cell r="D4699" t="str">
            <v>GUJCRED</v>
          </cell>
          <cell r="E4699">
            <v>8.5419523809999998</v>
          </cell>
          <cell r="F4699" t="str">
            <v>-</v>
          </cell>
          <cell r="G4699" t="str">
            <v>-</v>
          </cell>
          <cell r="H4699" t="str">
            <v>-</v>
          </cell>
          <cell r="I4699" t="str">
            <v>-</v>
          </cell>
          <cell r="J4699">
            <v>8.5419523809999998</v>
          </cell>
          <cell r="K4699" t="str">
            <v>Small Cap</v>
          </cell>
        </row>
        <row r="4700">
          <cell r="C4700" t="str">
            <v>INE921C01031</v>
          </cell>
          <cell r="D4700" t="str">
            <v>ALKASEC</v>
          </cell>
          <cell r="E4700">
            <v>8.5386600000000001</v>
          </cell>
          <cell r="F4700" t="str">
            <v>-</v>
          </cell>
          <cell r="G4700" t="str">
            <v>-</v>
          </cell>
          <cell r="H4700" t="str">
            <v>-</v>
          </cell>
          <cell r="I4700" t="str">
            <v>-</v>
          </cell>
          <cell r="J4700">
            <v>8.5386600000000001</v>
          </cell>
          <cell r="K4700" t="str">
            <v>Small Cap</v>
          </cell>
        </row>
        <row r="4701">
          <cell r="C4701" t="str">
            <v>INE318U01016</v>
          </cell>
          <cell r="D4701" t="str">
            <v>FLORACORP</v>
          </cell>
          <cell r="E4701">
            <v>8.537016229999999</v>
          </cell>
          <cell r="F4701" t="str">
            <v>-</v>
          </cell>
          <cell r="G4701" t="str">
            <v>-</v>
          </cell>
          <cell r="H4701" t="str">
            <v>-</v>
          </cell>
          <cell r="I4701" t="str">
            <v>-</v>
          </cell>
          <cell r="J4701">
            <v>8.537016229999999</v>
          </cell>
          <cell r="K4701" t="str">
            <v>Small Cap</v>
          </cell>
        </row>
        <row r="4702">
          <cell r="C4702" t="str">
            <v>INE653R01012</v>
          </cell>
          <cell r="D4702" t="str">
            <v xml:space="preserve">SYMBIOX </v>
          </cell>
          <cell r="E4702">
            <v>8.5302670440000004</v>
          </cell>
          <cell r="F4702" t="str">
            <v>-</v>
          </cell>
          <cell r="G4702" t="str">
            <v>-</v>
          </cell>
          <cell r="H4702" t="str">
            <v>SYMBIOX</v>
          </cell>
          <cell r="I4702">
            <v>8.533743413571429</v>
          </cell>
          <cell r="J4702">
            <v>8.5320052287857138</v>
          </cell>
          <cell r="K4702" t="str">
            <v>Small Cap</v>
          </cell>
        </row>
        <row r="4703">
          <cell r="C4703" t="str">
            <v>INE250D01017</v>
          </cell>
          <cell r="D4703" t="str">
            <v>JAYIND</v>
          </cell>
          <cell r="E4703">
            <v>8.5185158599999991</v>
          </cell>
          <cell r="F4703" t="str">
            <v>-</v>
          </cell>
          <cell r="G4703" t="str">
            <v>-</v>
          </cell>
          <cell r="H4703" t="str">
            <v>-</v>
          </cell>
          <cell r="I4703" t="str">
            <v>-</v>
          </cell>
          <cell r="J4703">
            <v>8.5185158599999991</v>
          </cell>
          <cell r="K4703" t="str">
            <v>Small Cap</v>
          </cell>
        </row>
        <row r="4704">
          <cell r="C4704" t="str">
            <v>INE345U01019</v>
          </cell>
          <cell r="D4704" t="str">
            <v>AMS</v>
          </cell>
          <cell r="E4704">
            <v>8.5105424999999997</v>
          </cell>
          <cell r="F4704" t="str">
            <v>-</v>
          </cell>
          <cell r="G4704" t="str">
            <v>-</v>
          </cell>
          <cell r="H4704" t="str">
            <v>-</v>
          </cell>
          <cell r="I4704" t="str">
            <v>-</v>
          </cell>
          <cell r="J4704">
            <v>8.5105424999999997</v>
          </cell>
          <cell r="K4704" t="str">
            <v>Small Cap</v>
          </cell>
        </row>
        <row r="4705">
          <cell r="C4705" t="str">
            <v>INE276T01018</v>
          </cell>
          <cell r="D4705" t="str">
            <v>ADLINE</v>
          </cell>
          <cell r="E4705">
            <v>8.5096142859999997</v>
          </cell>
          <cell r="F4705" t="str">
            <v>-</v>
          </cell>
          <cell r="G4705" t="str">
            <v>-</v>
          </cell>
          <cell r="H4705" t="str">
            <v>-</v>
          </cell>
          <cell r="I4705" t="str">
            <v>-</v>
          </cell>
          <cell r="J4705">
            <v>8.5096142859999997</v>
          </cell>
          <cell r="K4705" t="str">
            <v>Small Cap</v>
          </cell>
        </row>
        <row r="4706">
          <cell r="C4706" t="str">
            <v>INE138S01012</v>
          </cell>
          <cell r="D4706" t="str">
            <v>-</v>
          </cell>
          <cell r="E4706" t="str">
            <v>-</v>
          </cell>
          <cell r="F4706" t="str">
            <v>-</v>
          </cell>
          <cell r="G4706" t="str">
            <v>-</v>
          </cell>
          <cell r="H4706" t="str">
            <v>HILLRIDGE</v>
          </cell>
          <cell r="I4706">
            <v>8.5</v>
          </cell>
          <cell r="J4706">
            <v>8.5</v>
          </cell>
          <cell r="K4706" t="str">
            <v>Small Cap</v>
          </cell>
        </row>
        <row r="4707">
          <cell r="C4707" t="str">
            <v>INE421E01012</v>
          </cell>
          <cell r="D4707" t="str">
            <v>PROGREXV</v>
          </cell>
          <cell r="E4707">
            <v>8.4818683589999999</v>
          </cell>
          <cell r="F4707" t="str">
            <v>-</v>
          </cell>
          <cell r="G4707" t="str">
            <v>-</v>
          </cell>
          <cell r="H4707" t="str">
            <v>-</v>
          </cell>
          <cell r="I4707" t="str">
            <v>-</v>
          </cell>
          <cell r="J4707">
            <v>8.4818683589999999</v>
          </cell>
          <cell r="K4707" t="str">
            <v>Small Cap</v>
          </cell>
        </row>
        <row r="4708">
          <cell r="C4708" t="str">
            <v>INE936V01013</v>
          </cell>
          <cell r="D4708" t="str">
            <v>-</v>
          </cell>
          <cell r="E4708" t="str">
            <v>-</v>
          </cell>
          <cell r="F4708" t="str">
            <v>-</v>
          </cell>
          <cell r="G4708" t="str">
            <v>-</v>
          </cell>
          <cell r="H4708" t="str">
            <v>RANJANPOLY</v>
          </cell>
          <cell r="I4708">
            <v>8.4775566250000125</v>
          </cell>
          <cell r="J4708">
            <v>8.4775566250000125</v>
          </cell>
          <cell r="K4708" t="str">
            <v>Small Cap</v>
          </cell>
        </row>
        <row r="4709">
          <cell r="C4709" t="str">
            <v>INE772B01014</v>
          </cell>
          <cell r="D4709" t="str">
            <v>HARIAEXPO</v>
          </cell>
          <cell r="E4709">
            <v>8.4772416669999995</v>
          </cell>
          <cell r="F4709" t="str">
            <v>-</v>
          </cell>
          <cell r="G4709" t="str">
            <v>-</v>
          </cell>
          <cell r="H4709" t="str">
            <v>-</v>
          </cell>
          <cell r="I4709" t="str">
            <v>-</v>
          </cell>
          <cell r="J4709">
            <v>8.4772416669999995</v>
          </cell>
          <cell r="K4709" t="str">
            <v>Small Cap</v>
          </cell>
        </row>
        <row r="4710">
          <cell r="C4710" t="str">
            <v>INE948K01011</v>
          </cell>
          <cell r="D4710" t="str">
            <v>SW1</v>
          </cell>
          <cell r="E4710">
            <v>8.4565285709999998</v>
          </cell>
          <cell r="F4710" t="str">
            <v>-</v>
          </cell>
          <cell r="G4710" t="str">
            <v>-</v>
          </cell>
          <cell r="H4710" t="str">
            <v>-</v>
          </cell>
          <cell r="I4710" t="str">
            <v>-</v>
          </cell>
          <cell r="J4710">
            <v>8.4565285709999998</v>
          </cell>
          <cell r="K4710" t="str">
            <v>Small Cap</v>
          </cell>
        </row>
        <row r="4711">
          <cell r="C4711" t="str">
            <v>INE881B01054</v>
          </cell>
          <cell r="D4711" t="str">
            <v>SUPERTEX</v>
          </cell>
          <cell r="E4711">
            <v>8.4554041120000001</v>
          </cell>
          <cell r="F4711" t="str">
            <v>-</v>
          </cell>
          <cell r="G4711" t="str">
            <v>-</v>
          </cell>
          <cell r="H4711" t="str">
            <v>-</v>
          </cell>
          <cell r="I4711" t="str">
            <v>-</v>
          </cell>
          <cell r="J4711">
            <v>8.4554041120000001</v>
          </cell>
          <cell r="K4711" t="str">
            <v>Small Cap</v>
          </cell>
        </row>
        <row r="4712">
          <cell r="C4712" t="str">
            <v>INE960H01012</v>
          </cell>
          <cell r="D4712" t="str">
            <v>NUTECGLOB</v>
          </cell>
          <cell r="E4712">
            <v>8.4315281710000001</v>
          </cell>
          <cell r="F4712" t="str">
            <v>-</v>
          </cell>
          <cell r="G4712" t="str">
            <v>-</v>
          </cell>
          <cell r="H4712" t="str">
            <v>-</v>
          </cell>
          <cell r="I4712" t="str">
            <v>-</v>
          </cell>
          <cell r="J4712">
            <v>8.4315281710000001</v>
          </cell>
          <cell r="K4712" t="str">
            <v>Small Cap</v>
          </cell>
        </row>
        <row r="4713">
          <cell r="C4713" t="str">
            <v>INE093B01015</v>
          </cell>
          <cell r="D4713" t="str">
            <v>ALPSINDUS</v>
          </cell>
          <cell r="E4713">
            <v>8.533703246</v>
          </cell>
          <cell r="F4713" t="str">
            <v>ALPSINDUS</v>
          </cell>
          <cell r="G4713">
            <v>8.2934000000000001</v>
          </cell>
          <cell r="H4713" t="str">
            <v>-</v>
          </cell>
          <cell r="I4713" t="str">
            <v>-</v>
          </cell>
          <cell r="J4713">
            <v>8.413551623</v>
          </cell>
          <cell r="K4713" t="str">
            <v>Small Cap</v>
          </cell>
        </row>
        <row r="4714">
          <cell r="C4714" t="str">
            <v>INE984E01035</v>
          </cell>
          <cell r="D4714" t="str">
            <v>VIVANZA</v>
          </cell>
          <cell r="E4714">
            <v>8.4028571430000003</v>
          </cell>
          <cell r="F4714" t="str">
            <v>-</v>
          </cell>
          <cell r="G4714" t="str">
            <v>-</v>
          </cell>
          <cell r="H4714" t="str">
            <v>-</v>
          </cell>
          <cell r="I4714" t="str">
            <v>-</v>
          </cell>
          <cell r="J4714">
            <v>8.4028571430000003</v>
          </cell>
          <cell r="K4714" t="str">
            <v>Small Cap</v>
          </cell>
        </row>
        <row r="4715">
          <cell r="C4715" t="str">
            <v>INE797Z01028</v>
          </cell>
          <cell r="D4715" t="str">
            <v>SPACEINCUBA</v>
          </cell>
          <cell r="E4715">
            <v>8.3594893839999997</v>
          </cell>
          <cell r="F4715" t="str">
            <v>-</v>
          </cell>
          <cell r="G4715" t="str">
            <v>-</v>
          </cell>
          <cell r="H4715" t="str">
            <v>-</v>
          </cell>
          <cell r="I4715" t="str">
            <v>-</v>
          </cell>
          <cell r="J4715">
            <v>8.3594893839999997</v>
          </cell>
          <cell r="K4715" t="str">
            <v>Small Cap</v>
          </cell>
        </row>
        <row r="4716">
          <cell r="C4716" t="str">
            <v>INE741D01015</v>
          </cell>
          <cell r="D4716" t="str">
            <v>NEELKAN</v>
          </cell>
          <cell r="E4716">
            <v>8.3276690819999999</v>
          </cell>
          <cell r="F4716" t="str">
            <v>-</v>
          </cell>
          <cell r="G4716" t="str">
            <v>-</v>
          </cell>
          <cell r="H4716" t="str">
            <v>-</v>
          </cell>
          <cell r="I4716" t="str">
            <v>-</v>
          </cell>
          <cell r="J4716">
            <v>8.3276690819999999</v>
          </cell>
          <cell r="K4716" t="str">
            <v>Small Cap</v>
          </cell>
        </row>
        <row r="4717">
          <cell r="C4717" t="str">
            <v>INE808C01014</v>
          </cell>
          <cell r="D4717" t="str">
            <v>UNISTRMU</v>
          </cell>
          <cell r="E4717">
            <v>8.3252331000000002</v>
          </cell>
          <cell r="F4717" t="str">
            <v>-</v>
          </cell>
          <cell r="G4717" t="str">
            <v>-</v>
          </cell>
          <cell r="H4717" t="str">
            <v>-</v>
          </cell>
          <cell r="I4717" t="str">
            <v>-</v>
          </cell>
          <cell r="J4717">
            <v>8.3252331000000002</v>
          </cell>
          <cell r="K4717" t="str">
            <v>Small Cap</v>
          </cell>
        </row>
        <row r="4718">
          <cell r="C4718" t="str">
            <v>INE262W01012</v>
          </cell>
          <cell r="D4718" t="str">
            <v>MAYURFL</v>
          </cell>
          <cell r="E4718">
            <v>8.3143171430000002</v>
          </cell>
          <cell r="F4718" t="str">
            <v>-</v>
          </cell>
          <cell r="G4718" t="str">
            <v>-</v>
          </cell>
          <cell r="H4718" t="str">
            <v>-</v>
          </cell>
          <cell r="I4718" t="str">
            <v>-</v>
          </cell>
          <cell r="J4718">
            <v>8.3143171430000002</v>
          </cell>
          <cell r="K4718" t="str">
            <v>Small Cap</v>
          </cell>
        </row>
        <row r="4719">
          <cell r="C4719" t="str">
            <v>INE122N01017</v>
          </cell>
          <cell r="D4719" t="str">
            <v>JUMBFNL</v>
          </cell>
          <cell r="E4719">
            <v>8.2906399000000004</v>
          </cell>
          <cell r="F4719" t="str">
            <v>-</v>
          </cell>
          <cell r="G4719" t="str">
            <v>-</v>
          </cell>
          <cell r="H4719" t="str">
            <v>-</v>
          </cell>
          <cell r="I4719" t="str">
            <v>-</v>
          </cell>
          <cell r="J4719">
            <v>8.2906399000000004</v>
          </cell>
          <cell r="K4719" t="str">
            <v>Small Cap</v>
          </cell>
        </row>
        <row r="4720">
          <cell r="C4720" t="str">
            <v>INE243E01010</v>
          </cell>
          <cell r="D4720" t="str">
            <v>GALADAFIN</v>
          </cell>
          <cell r="E4720">
            <v>8.2538333329999993</v>
          </cell>
          <cell r="F4720" t="str">
            <v>-</v>
          </cell>
          <cell r="G4720" t="str">
            <v>-</v>
          </cell>
          <cell r="H4720" t="str">
            <v>-</v>
          </cell>
          <cell r="I4720" t="str">
            <v>-</v>
          </cell>
          <cell r="J4720">
            <v>8.2538333329999993</v>
          </cell>
          <cell r="K4720" t="str">
            <v>Small Cap</v>
          </cell>
        </row>
        <row r="4721">
          <cell r="C4721" t="str">
            <v>INE656K01010</v>
          </cell>
          <cell r="D4721" t="str">
            <v>DQE</v>
          </cell>
          <cell r="E4721">
            <v>8.1661490000000008</v>
          </cell>
          <cell r="F4721" t="str">
            <v>-</v>
          </cell>
          <cell r="G4721" t="str">
            <v>-</v>
          </cell>
          <cell r="H4721" t="str">
            <v>-</v>
          </cell>
          <cell r="I4721" t="str">
            <v>-</v>
          </cell>
          <cell r="J4721">
            <v>8.1661490000000008</v>
          </cell>
          <cell r="K4721" t="str">
            <v>Small Cap</v>
          </cell>
        </row>
        <row r="4722">
          <cell r="C4722" t="str">
            <v>INE273R01019</v>
          </cell>
          <cell r="D4722" t="str">
            <v>-</v>
          </cell>
          <cell r="E4722" t="str">
            <v>-</v>
          </cell>
          <cell r="F4722" t="str">
            <v>-</v>
          </cell>
          <cell r="G4722" t="str">
            <v>-</v>
          </cell>
          <cell r="H4722" t="str">
            <v>GDHL</v>
          </cell>
          <cell r="I4722">
            <v>8.16520000000002</v>
          </cell>
          <cell r="J4722">
            <v>8.16520000000002</v>
          </cell>
          <cell r="K4722" t="str">
            <v>Small Cap</v>
          </cell>
        </row>
        <row r="4723">
          <cell r="C4723" t="str">
            <v>INE181D01014</v>
          </cell>
          <cell r="D4723" t="str">
            <v>PANIDPR</v>
          </cell>
          <cell r="E4723">
            <v>8.1473962919999998</v>
          </cell>
          <cell r="F4723" t="str">
            <v>-</v>
          </cell>
          <cell r="G4723" t="str">
            <v>-</v>
          </cell>
          <cell r="H4723" t="str">
            <v>-</v>
          </cell>
          <cell r="I4723" t="str">
            <v>-</v>
          </cell>
          <cell r="J4723">
            <v>8.1473962919999998</v>
          </cell>
          <cell r="K4723" t="str">
            <v>Small Cap</v>
          </cell>
        </row>
        <row r="4724">
          <cell r="C4724" t="str">
            <v>INE374J01020</v>
          </cell>
          <cell r="D4724" t="str">
            <v>WOODSVILA</v>
          </cell>
          <cell r="E4724">
            <v>8.1010489209999985</v>
          </cell>
          <cell r="F4724" t="str">
            <v>-</v>
          </cell>
          <cell r="G4724" t="str">
            <v>-</v>
          </cell>
          <cell r="H4724" t="str">
            <v>-</v>
          </cell>
          <cell r="I4724" t="str">
            <v>-</v>
          </cell>
          <cell r="J4724">
            <v>8.1010489209999985</v>
          </cell>
          <cell r="K4724" t="str">
            <v>Small Cap</v>
          </cell>
        </row>
        <row r="4725">
          <cell r="C4725" t="str">
            <v>INE963B01019</v>
          </cell>
          <cell r="D4725" t="str">
            <v>MATHEWE</v>
          </cell>
          <cell r="E4725">
            <v>8.0641805560000002</v>
          </cell>
          <cell r="F4725" t="str">
            <v>-</v>
          </cell>
          <cell r="G4725" t="str">
            <v>-</v>
          </cell>
          <cell r="H4725" t="str">
            <v>-</v>
          </cell>
          <cell r="I4725" t="str">
            <v>-</v>
          </cell>
          <cell r="J4725">
            <v>8.0641805560000002</v>
          </cell>
          <cell r="K4725" t="str">
            <v>Small Cap</v>
          </cell>
        </row>
        <row r="4726">
          <cell r="C4726" t="str">
            <v>INE959G01016</v>
          </cell>
          <cell r="D4726" t="str">
            <v>INTLNKP</v>
          </cell>
          <cell r="E4726">
            <v>8.0495476000000004</v>
          </cell>
          <cell r="F4726" t="str">
            <v>-</v>
          </cell>
          <cell r="G4726" t="str">
            <v>-</v>
          </cell>
          <cell r="H4726" t="str">
            <v>-</v>
          </cell>
          <cell r="I4726" t="str">
            <v>-</v>
          </cell>
          <cell r="J4726">
            <v>8.0495476000000004</v>
          </cell>
          <cell r="K4726" t="str">
            <v>Small Cap</v>
          </cell>
        </row>
        <row r="4727">
          <cell r="C4727" t="str">
            <v>INE663P01015</v>
          </cell>
          <cell r="D4727" t="str">
            <v>AFEL</v>
          </cell>
          <cell r="E4727">
            <v>8.0465299479999999</v>
          </cell>
          <cell r="F4727" t="str">
            <v>-</v>
          </cell>
          <cell r="G4727" t="str">
            <v>-</v>
          </cell>
          <cell r="H4727" t="str">
            <v>-</v>
          </cell>
          <cell r="I4727" t="str">
            <v>-</v>
          </cell>
          <cell r="J4727">
            <v>8.0465299479999999</v>
          </cell>
          <cell r="K4727" t="str">
            <v>Small Cap</v>
          </cell>
        </row>
        <row r="4728">
          <cell r="C4728" t="str">
            <v>INE314N01028</v>
          </cell>
          <cell r="D4728" t="str">
            <v>INDSOYA</v>
          </cell>
          <cell r="E4728">
            <v>8.0365523809999999</v>
          </cell>
          <cell r="F4728" t="str">
            <v>-</v>
          </cell>
          <cell r="G4728" t="str">
            <v>-</v>
          </cell>
          <cell r="H4728" t="str">
            <v>-</v>
          </cell>
          <cell r="I4728" t="str">
            <v>-</v>
          </cell>
          <cell r="J4728">
            <v>8.0365523809999999</v>
          </cell>
          <cell r="K4728" t="str">
            <v>Small Cap</v>
          </cell>
        </row>
        <row r="4729">
          <cell r="C4729" t="str">
            <v>INE006C01015</v>
          </cell>
          <cell r="D4729" t="str">
            <v>KZLFIN</v>
          </cell>
          <cell r="E4729">
            <v>8.0228545560000004</v>
          </cell>
          <cell r="F4729" t="str">
            <v>-</v>
          </cell>
          <cell r="G4729" t="str">
            <v>-</v>
          </cell>
          <cell r="H4729" t="str">
            <v>-</v>
          </cell>
          <cell r="I4729" t="str">
            <v>-</v>
          </cell>
          <cell r="J4729">
            <v>8.0228545560000004</v>
          </cell>
          <cell r="K4729" t="str">
            <v>Small Cap</v>
          </cell>
        </row>
        <row r="4730">
          <cell r="C4730" t="str">
            <v>INE557D01015</v>
          </cell>
          <cell r="D4730" t="str">
            <v>CJGEL</v>
          </cell>
          <cell r="E4730">
            <v>8.0204094299999991</v>
          </cell>
          <cell r="F4730" t="str">
            <v>-</v>
          </cell>
          <cell r="G4730" t="str">
            <v>-</v>
          </cell>
          <cell r="H4730" t="str">
            <v>-</v>
          </cell>
          <cell r="I4730" t="str">
            <v>-</v>
          </cell>
          <cell r="J4730">
            <v>8.0204094299999991</v>
          </cell>
          <cell r="K4730" t="str">
            <v>Small Cap</v>
          </cell>
        </row>
        <row r="4731">
          <cell r="C4731" t="str">
            <v>INE253C01013</v>
          </cell>
          <cell r="D4731" t="str">
            <v>BLOOM</v>
          </cell>
          <cell r="E4731">
            <v>8.0141738099999991</v>
          </cell>
          <cell r="F4731" t="str">
            <v>-</v>
          </cell>
          <cell r="G4731" t="str">
            <v>-</v>
          </cell>
          <cell r="H4731" t="str">
            <v>-</v>
          </cell>
          <cell r="I4731" t="str">
            <v>-</v>
          </cell>
          <cell r="J4731">
            <v>8.0141738099999991</v>
          </cell>
          <cell r="K4731" t="str">
            <v>Small Cap</v>
          </cell>
        </row>
        <row r="4732">
          <cell r="C4732" t="str">
            <v>INE0I9K01010</v>
          </cell>
          <cell r="D4732" t="str">
            <v>RUPEBAR</v>
          </cell>
          <cell r="E4732">
            <v>8.01</v>
          </cell>
          <cell r="F4732" t="str">
            <v>-</v>
          </cell>
          <cell r="G4732" t="str">
            <v>-</v>
          </cell>
          <cell r="H4732" t="str">
            <v>-</v>
          </cell>
          <cell r="I4732" t="str">
            <v>-</v>
          </cell>
          <cell r="J4732">
            <v>8.01</v>
          </cell>
          <cell r="K4732" t="str">
            <v>Small Cap</v>
          </cell>
        </row>
        <row r="4733">
          <cell r="C4733" t="str">
            <v>INE0VI201010</v>
          </cell>
          <cell r="D4733" t="str">
            <v>SIMANDHAR</v>
          </cell>
          <cell r="E4733">
            <v>7.9916753569999992</v>
          </cell>
          <cell r="F4733" t="str">
            <v>-</v>
          </cell>
          <cell r="G4733" t="str">
            <v>-</v>
          </cell>
          <cell r="H4733" t="str">
            <v>-</v>
          </cell>
          <cell r="I4733" t="str">
            <v>-</v>
          </cell>
          <cell r="J4733">
            <v>7.9916753569999992</v>
          </cell>
          <cell r="K4733" t="str">
            <v>Small Cap</v>
          </cell>
        </row>
        <row r="4734">
          <cell r="C4734" t="str">
            <v>INE023M01027</v>
          </cell>
          <cell r="D4734" t="str">
            <v>SETUINFRA</v>
          </cell>
          <cell r="E4734">
            <v>8.3895225779999993</v>
          </cell>
          <cell r="F4734" t="str">
            <v>SETUINFRA</v>
          </cell>
          <cell r="G4734">
            <v>7.5805999999999996</v>
          </cell>
          <cell r="H4734" t="str">
            <v>-</v>
          </cell>
          <cell r="I4734" t="str">
            <v>-</v>
          </cell>
          <cell r="J4734">
            <v>7.985061288999999</v>
          </cell>
          <cell r="K4734" t="str">
            <v>Small Cap</v>
          </cell>
        </row>
        <row r="4735">
          <cell r="C4735" t="str">
            <v>INE06YD01010</v>
          </cell>
          <cell r="D4735" t="str">
            <v>TRANSPACT</v>
          </cell>
          <cell r="E4735">
            <v>7.9628013930000003</v>
          </cell>
          <cell r="F4735" t="str">
            <v>-</v>
          </cell>
          <cell r="G4735" t="str">
            <v>-</v>
          </cell>
          <cell r="H4735" t="str">
            <v>-</v>
          </cell>
          <cell r="I4735" t="str">
            <v>-</v>
          </cell>
          <cell r="J4735">
            <v>7.9628013930000003</v>
          </cell>
          <cell r="K4735" t="str">
            <v>Small Cap</v>
          </cell>
        </row>
        <row r="4736">
          <cell r="C4736" t="str">
            <v>INE897B01019</v>
          </cell>
          <cell r="D4736" t="str">
            <v>KRISHNACAP</v>
          </cell>
          <cell r="E4736">
            <v>7.9506954670000001</v>
          </cell>
          <cell r="F4736" t="str">
            <v>-</v>
          </cell>
          <cell r="G4736" t="str">
            <v>-</v>
          </cell>
          <cell r="H4736" t="str">
            <v>-</v>
          </cell>
          <cell r="I4736" t="str">
            <v>-</v>
          </cell>
          <cell r="J4736">
            <v>7.9506954670000001</v>
          </cell>
          <cell r="K4736" t="str">
            <v>Small Cap</v>
          </cell>
        </row>
        <row r="4737">
          <cell r="C4737" t="str">
            <v>INE681Q01015</v>
          </cell>
          <cell r="D4737" t="str">
            <v>DELTA</v>
          </cell>
          <cell r="E4737">
            <v>7.7813285709999995</v>
          </cell>
          <cell r="F4737" t="str">
            <v>-</v>
          </cell>
          <cell r="G4737" t="str">
            <v>-</v>
          </cell>
          <cell r="H4737" t="str">
            <v>DELTA</v>
          </cell>
          <cell r="I4737">
            <v>8.0854338492063498</v>
          </cell>
          <cell r="J4737">
            <v>7.9333812101031747</v>
          </cell>
          <cell r="K4737" t="str">
            <v>Small Cap</v>
          </cell>
        </row>
        <row r="4738">
          <cell r="C4738" t="str">
            <v>INE826P01018</v>
          </cell>
          <cell r="D4738" t="str">
            <v>POLYMAC</v>
          </cell>
          <cell r="E4738">
            <v>7.9261091870000007</v>
          </cell>
          <cell r="F4738" t="str">
            <v>-</v>
          </cell>
          <cell r="G4738" t="str">
            <v>-</v>
          </cell>
          <cell r="H4738" t="str">
            <v>-</v>
          </cell>
          <cell r="I4738" t="str">
            <v>-</v>
          </cell>
          <cell r="J4738">
            <v>7.9261091870000007</v>
          </cell>
          <cell r="K4738" t="str">
            <v>Small Cap</v>
          </cell>
        </row>
        <row r="4739">
          <cell r="C4739" t="str">
            <v>INE328D01011</v>
          </cell>
          <cell r="D4739" t="str">
            <v>PEETISEC</v>
          </cell>
          <cell r="E4739">
            <v>7.9201006730000003</v>
          </cell>
          <cell r="F4739" t="str">
            <v>-</v>
          </cell>
          <cell r="G4739" t="str">
            <v>-</v>
          </cell>
          <cell r="H4739" t="str">
            <v>-</v>
          </cell>
          <cell r="I4739" t="str">
            <v>-</v>
          </cell>
          <cell r="J4739">
            <v>7.9201006730000003</v>
          </cell>
          <cell r="K4739" t="str">
            <v>Small Cap</v>
          </cell>
        </row>
        <row r="4740">
          <cell r="C4740" t="str">
            <v>INE461H01011</v>
          </cell>
          <cell r="D4740" t="str">
            <v>AVIVA</v>
          </cell>
          <cell r="E4740">
            <v>7.875686516</v>
          </cell>
          <cell r="F4740" t="str">
            <v>-</v>
          </cell>
          <cell r="G4740" t="str">
            <v>-</v>
          </cell>
          <cell r="H4740" t="str">
            <v>-</v>
          </cell>
          <cell r="I4740" t="str">
            <v>-</v>
          </cell>
          <cell r="J4740">
            <v>7.875686516</v>
          </cell>
          <cell r="K4740" t="str">
            <v>Small Cap</v>
          </cell>
        </row>
        <row r="4741">
          <cell r="C4741" t="str">
            <v>INE597C01021</v>
          </cell>
          <cell r="D4741" t="str">
            <v>HINDBIO</v>
          </cell>
          <cell r="E4741">
            <v>7.8732652439999997</v>
          </cell>
          <cell r="F4741" t="str">
            <v>-</v>
          </cell>
          <cell r="G4741" t="str">
            <v>-</v>
          </cell>
          <cell r="H4741" t="str">
            <v>-</v>
          </cell>
          <cell r="I4741" t="str">
            <v>-</v>
          </cell>
          <cell r="J4741">
            <v>7.8732652439999997</v>
          </cell>
          <cell r="K4741" t="str">
            <v>Small Cap</v>
          </cell>
        </row>
        <row r="4742">
          <cell r="C4742" t="str">
            <v>INE968E01012</v>
          </cell>
          <cell r="D4742" t="str">
            <v>CAPRICORN</v>
          </cell>
          <cell r="E4742">
            <v>7.8367902860000003</v>
          </cell>
          <cell r="F4742" t="str">
            <v>-</v>
          </cell>
          <cell r="G4742" t="str">
            <v>-</v>
          </cell>
          <cell r="H4742" t="str">
            <v>-</v>
          </cell>
          <cell r="I4742" t="str">
            <v>-</v>
          </cell>
          <cell r="J4742">
            <v>7.8367902860000003</v>
          </cell>
          <cell r="K4742" t="str">
            <v>Small Cap</v>
          </cell>
        </row>
        <row r="4743">
          <cell r="C4743" t="str">
            <v>INE687W01010</v>
          </cell>
          <cell r="D4743" t="str">
            <v>ZKHANDEN</v>
          </cell>
          <cell r="E4743">
            <v>7.8068663629999993</v>
          </cell>
          <cell r="F4743" t="str">
            <v>-</v>
          </cell>
          <cell r="G4743" t="str">
            <v>-</v>
          </cell>
          <cell r="H4743" t="str">
            <v>-</v>
          </cell>
          <cell r="I4743" t="str">
            <v>-</v>
          </cell>
          <cell r="J4743">
            <v>7.8068663629999993</v>
          </cell>
          <cell r="K4743" t="str">
            <v>Small Cap</v>
          </cell>
        </row>
        <row r="4744">
          <cell r="C4744" t="str">
            <v>INE455D01012</v>
          </cell>
          <cell r="D4744" t="str">
            <v>SHAHFOOD</v>
          </cell>
          <cell r="E4744">
            <v>7.8021170629999999</v>
          </cell>
          <cell r="F4744" t="str">
            <v>-</v>
          </cell>
          <cell r="G4744" t="str">
            <v>-</v>
          </cell>
          <cell r="H4744" t="str">
            <v>-</v>
          </cell>
          <cell r="I4744" t="str">
            <v>-</v>
          </cell>
          <cell r="J4744">
            <v>7.8021170629999999</v>
          </cell>
          <cell r="K4744" t="str">
            <v>Small Cap</v>
          </cell>
        </row>
        <row r="4745">
          <cell r="C4745" t="str">
            <v>INE011B01017</v>
          </cell>
          <cell r="D4745" t="str">
            <v>CLIOINFO</v>
          </cell>
          <cell r="E4745">
            <v>7.7853533690000001</v>
          </cell>
          <cell r="F4745" t="str">
            <v>-</v>
          </cell>
          <cell r="G4745" t="str">
            <v>-</v>
          </cell>
          <cell r="H4745" t="str">
            <v>-</v>
          </cell>
          <cell r="I4745" t="str">
            <v>-</v>
          </cell>
          <cell r="J4745">
            <v>7.7853533690000001</v>
          </cell>
          <cell r="K4745" t="str">
            <v>Small Cap</v>
          </cell>
        </row>
        <row r="4746">
          <cell r="C4746" t="str">
            <v>INE761R01013</v>
          </cell>
          <cell r="D4746" t="str">
            <v>TFSL</v>
          </cell>
          <cell r="E4746">
            <v>7.7647669290000003</v>
          </cell>
          <cell r="F4746" t="str">
            <v>-</v>
          </cell>
          <cell r="G4746" t="str">
            <v>-</v>
          </cell>
          <cell r="H4746" t="str">
            <v>-</v>
          </cell>
          <cell r="I4746" t="str">
            <v>-</v>
          </cell>
          <cell r="J4746">
            <v>7.7647669290000003</v>
          </cell>
          <cell r="K4746" t="str">
            <v>Small Cap</v>
          </cell>
        </row>
        <row r="4747">
          <cell r="C4747" t="str">
            <v>INE953M01033</v>
          </cell>
          <cell r="D4747" t="str">
            <v>PSITINFRA</v>
          </cell>
          <cell r="E4747">
            <v>7.7550933329999996</v>
          </cell>
          <cell r="F4747" t="str">
            <v>-</v>
          </cell>
          <cell r="G4747" t="str">
            <v>-</v>
          </cell>
          <cell r="H4747" t="str">
            <v>-</v>
          </cell>
          <cell r="I4747" t="str">
            <v>-</v>
          </cell>
          <cell r="J4747">
            <v>7.7550933329999996</v>
          </cell>
          <cell r="K4747" t="str">
            <v>Small Cap</v>
          </cell>
        </row>
        <row r="4748">
          <cell r="C4748" t="str">
            <v>INE985Q01010</v>
          </cell>
          <cell r="D4748" t="str">
            <v>AMARNATH</v>
          </cell>
          <cell r="E4748">
            <v>7.7544599999999999</v>
          </cell>
          <cell r="F4748" t="str">
            <v>-</v>
          </cell>
          <cell r="G4748" t="str">
            <v>-</v>
          </cell>
          <cell r="H4748" t="str">
            <v>-</v>
          </cell>
          <cell r="I4748" t="str">
            <v>-</v>
          </cell>
          <cell r="J4748">
            <v>7.7544599999999999</v>
          </cell>
          <cell r="K4748" t="str">
            <v>Small Cap</v>
          </cell>
        </row>
        <row r="4749">
          <cell r="C4749" t="str">
            <v>INE584D01019</v>
          </cell>
          <cell r="D4749" t="str">
            <v>SUNCITYSY</v>
          </cell>
          <cell r="E4749">
            <v>7.7206685670000006</v>
          </cell>
          <cell r="F4749" t="str">
            <v>-</v>
          </cell>
          <cell r="G4749" t="str">
            <v>-</v>
          </cell>
          <cell r="H4749" t="str">
            <v>-</v>
          </cell>
          <cell r="I4749" t="str">
            <v>-</v>
          </cell>
          <cell r="J4749">
            <v>7.7206685670000006</v>
          </cell>
          <cell r="K4749" t="str">
            <v>Small Cap</v>
          </cell>
        </row>
        <row r="4750">
          <cell r="C4750" t="str">
            <v>INE767V01012</v>
          </cell>
          <cell r="D4750" t="str">
            <v>-</v>
          </cell>
          <cell r="E4750" t="str">
            <v>-</v>
          </cell>
          <cell r="F4750" t="str">
            <v>-</v>
          </cell>
          <cell r="G4750" t="str">
            <v>-</v>
          </cell>
          <cell r="H4750" t="str">
            <v>ITLFIN</v>
          </cell>
          <cell r="I4750">
            <v>7.71364900000001</v>
          </cell>
          <cell r="J4750">
            <v>7.71364900000001</v>
          </cell>
          <cell r="K4750" t="str">
            <v>Small Cap</v>
          </cell>
        </row>
        <row r="4751">
          <cell r="C4751" t="str">
            <v>INE268C01029</v>
          </cell>
          <cell r="D4751" t="str">
            <v>EASUNREYRL</v>
          </cell>
          <cell r="E4751">
            <v>7.6985352499999999</v>
          </cell>
          <cell r="F4751" t="str">
            <v>-</v>
          </cell>
          <cell r="G4751" t="str">
            <v>-</v>
          </cell>
          <cell r="H4751" t="str">
            <v>-</v>
          </cell>
          <cell r="I4751" t="str">
            <v>-</v>
          </cell>
          <cell r="J4751">
            <v>7.6985352499999999</v>
          </cell>
          <cell r="K4751" t="str">
            <v>Small Cap</v>
          </cell>
        </row>
        <row r="4752">
          <cell r="C4752" t="str">
            <v>INE063D01030</v>
          </cell>
          <cell r="D4752" t="str">
            <v>AADHAARVEN</v>
          </cell>
          <cell r="E4752">
            <v>7.6977481000000001</v>
          </cell>
          <cell r="F4752" t="str">
            <v>-</v>
          </cell>
          <cell r="G4752" t="str">
            <v>-</v>
          </cell>
          <cell r="H4752" t="str">
            <v>-</v>
          </cell>
          <cell r="I4752" t="str">
            <v>-</v>
          </cell>
          <cell r="J4752">
            <v>7.6977481000000001</v>
          </cell>
          <cell r="K4752" t="str">
            <v>Small Cap</v>
          </cell>
        </row>
        <row r="4753">
          <cell r="C4753" t="str">
            <v>INE204V01016</v>
          </cell>
          <cell r="D4753" t="str">
            <v>-</v>
          </cell>
          <cell r="E4753" t="str">
            <v>-</v>
          </cell>
          <cell r="F4753" t="str">
            <v>-</v>
          </cell>
          <cell r="G4753" t="str">
            <v>-</v>
          </cell>
          <cell r="H4753" t="str">
            <v>GOALPOST</v>
          </cell>
          <cell r="I4753">
            <v>7.6837500000000096</v>
          </cell>
          <cell r="J4753">
            <v>7.6837500000000096</v>
          </cell>
          <cell r="K4753" t="str">
            <v>Small Cap</v>
          </cell>
        </row>
        <row r="4754">
          <cell r="C4754" t="str">
            <v>INE789D01014</v>
          </cell>
          <cell r="D4754" t="str">
            <v>SASHWAT</v>
          </cell>
          <cell r="E4754">
            <v>7.6545125730000008</v>
          </cell>
          <cell r="F4754" t="str">
            <v>-</v>
          </cell>
          <cell r="G4754" t="str">
            <v>-</v>
          </cell>
          <cell r="H4754" t="str">
            <v>-</v>
          </cell>
          <cell r="I4754" t="str">
            <v>-</v>
          </cell>
          <cell r="J4754">
            <v>7.6545125730000008</v>
          </cell>
          <cell r="K4754" t="str">
            <v>Small Cap</v>
          </cell>
        </row>
        <row r="4755">
          <cell r="C4755" t="str">
            <v>INE368E01023</v>
          </cell>
          <cell r="D4755" t="str">
            <v>BCLENTERPR</v>
          </cell>
          <cell r="E4755">
            <v>7.6289714290000008</v>
          </cell>
          <cell r="F4755" t="str">
            <v>-</v>
          </cell>
          <cell r="G4755" t="str">
            <v>-</v>
          </cell>
          <cell r="H4755" t="str">
            <v>BCL</v>
          </cell>
          <cell r="I4755">
            <v>7.6345238095238104</v>
          </cell>
          <cell r="J4755">
            <v>7.6317476192619056</v>
          </cell>
          <cell r="K4755" t="str">
            <v>Small Cap</v>
          </cell>
        </row>
        <row r="4756">
          <cell r="C4756" t="str">
            <v>INE733B01016</v>
          </cell>
          <cell r="D4756" t="str">
            <v>-</v>
          </cell>
          <cell r="E4756" t="str">
            <v>-</v>
          </cell>
          <cell r="F4756" t="str">
            <v>-</v>
          </cell>
          <cell r="G4756" t="str">
            <v>-</v>
          </cell>
          <cell r="H4756" t="str">
            <v>DRMIND</v>
          </cell>
          <cell r="I4756">
            <v>7.6301580000000211</v>
          </cell>
          <cell r="J4756">
            <v>7.6301580000000211</v>
          </cell>
          <cell r="K4756" t="str">
            <v>Small Cap</v>
          </cell>
        </row>
        <row r="4757">
          <cell r="C4757" t="str">
            <v>INE457D01018</v>
          </cell>
          <cell r="D4757" t="str">
            <v>STANPACK</v>
          </cell>
          <cell r="E4757">
            <v>7.6280796190000002</v>
          </cell>
          <cell r="F4757" t="str">
            <v>-</v>
          </cell>
          <cell r="G4757" t="str">
            <v>-</v>
          </cell>
          <cell r="H4757" t="str">
            <v>-</v>
          </cell>
          <cell r="I4757" t="str">
            <v>-</v>
          </cell>
          <cell r="J4757">
            <v>7.6280796190000002</v>
          </cell>
          <cell r="K4757" t="str">
            <v>Small Cap</v>
          </cell>
        </row>
        <row r="4758">
          <cell r="C4758" t="str">
            <v>INE595D01015</v>
          </cell>
          <cell r="D4758" t="str">
            <v>GOLCA</v>
          </cell>
          <cell r="E4758">
            <v>7.6195496840000008</v>
          </cell>
          <cell r="F4758" t="str">
            <v>-</v>
          </cell>
          <cell r="G4758" t="str">
            <v>-</v>
          </cell>
          <cell r="H4758" t="str">
            <v>-</v>
          </cell>
          <cell r="I4758" t="str">
            <v>-</v>
          </cell>
          <cell r="J4758">
            <v>7.6195496840000008</v>
          </cell>
          <cell r="K4758" t="str">
            <v>Small Cap</v>
          </cell>
        </row>
        <row r="4759">
          <cell r="C4759" t="str">
            <v>INE909C01010</v>
          </cell>
          <cell r="D4759" t="str">
            <v>RIGASUG</v>
          </cell>
          <cell r="E4759">
            <v>7.5827876249999999</v>
          </cell>
          <cell r="F4759" t="str">
            <v>-</v>
          </cell>
          <cell r="G4759" t="str">
            <v>-</v>
          </cell>
          <cell r="H4759" t="str">
            <v>-</v>
          </cell>
          <cell r="I4759" t="str">
            <v>-</v>
          </cell>
          <cell r="J4759">
            <v>7.5827876249999999</v>
          </cell>
          <cell r="K4759" t="str">
            <v>Small Cap</v>
          </cell>
        </row>
        <row r="4760">
          <cell r="C4760" t="str">
            <v>INE926E01010</v>
          </cell>
          <cell r="D4760" t="str">
            <v>KCL</v>
          </cell>
          <cell r="E4760">
            <v>7.5763800000000003</v>
          </cell>
          <cell r="F4760" t="str">
            <v>-</v>
          </cell>
          <cell r="G4760" t="str">
            <v>-</v>
          </cell>
          <cell r="H4760" t="str">
            <v>-</v>
          </cell>
          <cell r="I4760" t="str">
            <v>-</v>
          </cell>
          <cell r="J4760">
            <v>7.5763800000000003</v>
          </cell>
          <cell r="K4760" t="str">
            <v>Small Cap</v>
          </cell>
        </row>
        <row r="4761">
          <cell r="C4761" t="str">
            <v>INE150R01019</v>
          </cell>
          <cell r="D4761" t="str">
            <v>SWAGTAM</v>
          </cell>
          <cell r="E4761">
            <v>7.5555932859999997</v>
          </cell>
          <cell r="F4761" t="str">
            <v>-</v>
          </cell>
          <cell r="G4761" t="str">
            <v>-</v>
          </cell>
          <cell r="H4761" t="str">
            <v>-</v>
          </cell>
          <cell r="I4761" t="str">
            <v>-</v>
          </cell>
          <cell r="J4761">
            <v>7.5555932859999997</v>
          </cell>
          <cell r="K4761" t="str">
            <v>Small Cap</v>
          </cell>
        </row>
        <row r="4762">
          <cell r="C4762" t="str">
            <v>INE494K01024</v>
          </cell>
          <cell r="D4762" t="str">
            <v>PACT</v>
          </cell>
          <cell r="E4762">
            <v>7.535488</v>
          </cell>
          <cell r="F4762" t="str">
            <v>-</v>
          </cell>
          <cell r="G4762" t="str">
            <v>-</v>
          </cell>
          <cell r="H4762" t="str">
            <v>-</v>
          </cell>
          <cell r="I4762" t="str">
            <v>-</v>
          </cell>
          <cell r="J4762">
            <v>7.535488</v>
          </cell>
          <cell r="K4762" t="str">
            <v>Small Cap</v>
          </cell>
        </row>
        <row r="4763">
          <cell r="C4763" t="str">
            <v>INE785O01019</v>
          </cell>
          <cell r="D4763" t="str">
            <v>SIROHIA</v>
          </cell>
          <cell r="E4763">
            <v>7.5157615920000005</v>
          </cell>
          <cell r="F4763" t="str">
            <v>-</v>
          </cell>
          <cell r="G4763" t="str">
            <v>-</v>
          </cell>
          <cell r="H4763" t="str">
            <v>-</v>
          </cell>
          <cell r="I4763" t="str">
            <v>-</v>
          </cell>
          <cell r="J4763">
            <v>7.5157615920000005</v>
          </cell>
          <cell r="K4763" t="str">
            <v>Small Cap</v>
          </cell>
        </row>
        <row r="4764">
          <cell r="C4764" t="str">
            <v>INE092G01024</v>
          </cell>
          <cell r="D4764" t="str">
            <v>SAICOM</v>
          </cell>
          <cell r="E4764">
            <v>7.5156317459999995</v>
          </cell>
          <cell r="F4764" t="str">
            <v>-</v>
          </cell>
          <cell r="G4764" t="str">
            <v>-</v>
          </cell>
          <cell r="H4764" t="str">
            <v>-</v>
          </cell>
          <cell r="I4764" t="str">
            <v>-</v>
          </cell>
          <cell r="J4764">
            <v>7.5156317459999995</v>
          </cell>
          <cell r="K4764" t="str">
            <v>Small Cap</v>
          </cell>
        </row>
        <row r="4765">
          <cell r="C4765" t="str">
            <v>INE243B01016</v>
          </cell>
          <cell r="D4765" t="str">
            <v>PADMALAYAT</v>
          </cell>
          <cell r="E4765">
            <v>7.5091428569999996</v>
          </cell>
          <cell r="F4765" t="str">
            <v>-</v>
          </cell>
          <cell r="G4765" t="str">
            <v>-</v>
          </cell>
          <cell r="H4765" t="str">
            <v>-</v>
          </cell>
          <cell r="I4765" t="str">
            <v>-</v>
          </cell>
          <cell r="J4765">
            <v>7.5091428569999996</v>
          </cell>
          <cell r="K4765" t="str">
            <v>Small Cap</v>
          </cell>
        </row>
        <row r="4766">
          <cell r="C4766" t="str">
            <v>INE615T01017</v>
          </cell>
          <cell r="D4766" t="str">
            <v>GANGAPHARM</v>
          </cell>
          <cell r="E4766">
            <v>7.4871577620000007</v>
          </cell>
          <cell r="F4766" t="str">
            <v>-</v>
          </cell>
          <cell r="G4766" t="str">
            <v>-</v>
          </cell>
          <cell r="H4766" t="str">
            <v>-</v>
          </cell>
          <cell r="I4766" t="str">
            <v>-</v>
          </cell>
          <cell r="J4766">
            <v>7.4871577620000007</v>
          </cell>
          <cell r="K4766" t="str">
            <v>Small Cap</v>
          </cell>
        </row>
        <row r="4767">
          <cell r="C4767" t="str">
            <v>INE0KHQ01010</v>
          </cell>
          <cell r="D4767" t="str">
            <v>SAILANI</v>
          </cell>
          <cell r="E4767">
            <v>7.4681226670000003</v>
          </cell>
          <cell r="F4767" t="str">
            <v>-</v>
          </cell>
          <cell r="G4767" t="str">
            <v>-</v>
          </cell>
          <cell r="H4767" t="str">
            <v>-</v>
          </cell>
          <cell r="I4767" t="str">
            <v>-</v>
          </cell>
          <cell r="J4767">
            <v>7.4681226670000003</v>
          </cell>
          <cell r="K4767" t="str">
            <v>Small Cap</v>
          </cell>
        </row>
        <row r="4768">
          <cell r="C4768" t="str">
            <v>INE600F01018</v>
          </cell>
          <cell r="D4768" t="str">
            <v>PFLINFOTC</v>
          </cell>
          <cell r="E4768">
            <v>7.45346975</v>
          </cell>
          <cell r="F4768" t="str">
            <v>-</v>
          </cell>
          <cell r="G4768" t="str">
            <v>-</v>
          </cell>
          <cell r="H4768" t="str">
            <v>-</v>
          </cell>
          <cell r="I4768" t="str">
            <v>-</v>
          </cell>
          <cell r="J4768">
            <v>7.45346975</v>
          </cell>
          <cell r="K4768" t="str">
            <v>Small Cap</v>
          </cell>
        </row>
        <row r="4769">
          <cell r="C4769" t="str">
            <v>INE686C01014</v>
          </cell>
          <cell r="D4769" t="str">
            <v>PRIYALT</v>
          </cell>
          <cell r="E4769">
            <v>7.418921578</v>
          </cell>
          <cell r="F4769" t="str">
            <v>-</v>
          </cell>
          <cell r="G4769" t="str">
            <v>-</v>
          </cell>
          <cell r="H4769" t="str">
            <v>-</v>
          </cell>
          <cell r="I4769" t="str">
            <v>-</v>
          </cell>
          <cell r="J4769">
            <v>7.418921578</v>
          </cell>
          <cell r="K4769" t="str">
            <v>Small Cap</v>
          </cell>
        </row>
        <row r="4770">
          <cell r="C4770" t="str">
            <v>INE497C01016</v>
          </cell>
          <cell r="D4770" t="str">
            <v>NATPLY</v>
          </cell>
          <cell r="E4770">
            <v>7.4182500599999992</v>
          </cell>
          <cell r="F4770" t="str">
            <v>-</v>
          </cell>
          <cell r="G4770" t="str">
            <v>-</v>
          </cell>
          <cell r="H4770" t="str">
            <v>-</v>
          </cell>
          <cell r="I4770" t="str">
            <v>-</v>
          </cell>
          <cell r="J4770">
            <v>7.4182500599999992</v>
          </cell>
          <cell r="K4770" t="str">
            <v>Small Cap</v>
          </cell>
        </row>
        <row r="4771">
          <cell r="C4771" t="str">
            <v>INE510B01018</v>
          </cell>
          <cell r="D4771" t="str">
            <v>AGARWAL</v>
          </cell>
          <cell r="E4771">
            <v>7.4177067239999994</v>
          </cell>
          <cell r="F4771" t="str">
            <v>-</v>
          </cell>
          <cell r="G4771" t="str">
            <v>-</v>
          </cell>
          <cell r="H4771" t="str">
            <v>-</v>
          </cell>
          <cell r="I4771" t="str">
            <v>-</v>
          </cell>
          <cell r="J4771">
            <v>7.4177067239999994</v>
          </cell>
          <cell r="K4771" t="str">
            <v>Small Cap</v>
          </cell>
        </row>
        <row r="4772">
          <cell r="C4772" t="str">
            <v>INE053D01015</v>
          </cell>
          <cell r="D4772" t="str">
            <v>AMITINT</v>
          </cell>
          <cell r="E4772">
            <v>7.386294670999999</v>
          </cell>
          <cell r="F4772" t="str">
            <v>-</v>
          </cell>
          <cell r="G4772" t="str">
            <v>-</v>
          </cell>
          <cell r="H4772" t="str">
            <v>-</v>
          </cell>
          <cell r="I4772" t="str">
            <v>-</v>
          </cell>
          <cell r="J4772">
            <v>7.386294670999999</v>
          </cell>
          <cell r="K4772" t="str">
            <v>Small Cap</v>
          </cell>
        </row>
        <row r="4773">
          <cell r="C4773" t="str">
            <v>INE655P01029</v>
          </cell>
          <cell r="D4773" t="str">
            <v>PANAFIC</v>
          </cell>
          <cell r="E4773">
            <v>7.3756071430000008</v>
          </cell>
          <cell r="F4773" t="str">
            <v>-</v>
          </cell>
          <cell r="G4773" t="str">
            <v>-</v>
          </cell>
          <cell r="H4773" t="str">
            <v>-</v>
          </cell>
          <cell r="I4773" t="str">
            <v>-</v>
          </cell>
          <cell r="J4773">
            <v>7.3756071430000008</v>
          </cell>
          <cell r="K4773" t="str">
            <v>Small Cap</v>
          </cell>
        </row>
        <row r="4774">
          <cell r="C4774" t="str">
            <v>INE00WY01013</v>
          </cell>
          <cell r="D4774" t="str">
            <v>RACONTEUR</v>
          </cell>
          <cell r="E4774">
            <v>7.3499624409999997</v>
          </cell>
          <cell r="F4774" t="str">
            <v>-</v>
          </cell>
          <cell r="G4774" t="str">
            <v>-</v>
          </cell>
          <cell r="H4774" t="str">
            <v>-</v>
          </cell>
          <cell r="I4774" t="str">
            <v>-</v>
          </cell>
          <cell r="J4774">
            <v>7.3499624409999997</v>
          </cell>
          <cell r="K4774" t="str">
            <v>Small Cap</v>
          </cell>
        </row>
        <row r="4775">
          <cell r="C4775" t="str">
            <v>INE439G01019</v>
          </cell>
          <cell r="D4775" t="str">
            <v>ENTRINT</v>
          </cell>
          <cell r="E4775">
            <v>7.3431582409999994</v>
          </cell>
          <cell r="F4775" t="str">
            <v>-</v>
          </cell>
          <cell r="G4775" t="str">
            <v>-</v>
          </cell>
          <cell r="H4775" t="str">
            <v>-</v>
          </cell>
          <cell r="I4775" t="str">
            <v>-</v>
          </cell>
          <cell r="J4775">
            <v>7.3431582409999994</v>
          </cell>
          <cell r="K4775" t="str">
            <v>Small Cap</v>
          </cell>
        </row>
        <row r="4776">
          <cell r="C4776" t="str">
            <v>INE335N01015</v>
          </cell>
          <cell r="D4776" t="str">
            <v>RCCEMEN</v>
          </cell>
          <cell r="E4776">
            <v>7.3344407299999999</v>
          </cell>
          <cell r="F4776" t="str">
            <v>-</v>
          </cell>
          <cell r="G4776" t="str">
            <v>-</v>
          </cell>
          <cell r="H4776" t="str">
            <v>-</v>
          </cell>
          <cell r="I4776" t="str">
            <v>-</v>
          </cell>
          <cell r="J4776">
            <v>7.3344407299999999</v>
          </cell>
          <cell r="K4776" t="str">
            <v>Small Cap</v>
          </cell>
        </row>
        <row r="4777">
          <cell r="C4777" t="str">
            <v>INE748D01010</v>
          </cell>
          <cell r="D4777" t="str">
            <v>PRIMECAPM</v>
          </cell>
          <cell r="E4777">
            <v>7.3298352019999999</v>
          </cell>
          <cell r="F4777" t="str">
            <v>-</v>
          </cell>
          <cell r="G4777" t="str">
            <v>-</v>
          </cell>
          <cell r="H4777" t="str">
            <v>-</v>
          </cell>
          <cell r="I4777" t="str">
            <v>-</v>
          </cell>
          <cell r="J4777">
            <v>7.3298352019999999</v>
          </cell>
          <cell r="K4777" t="str">
            <v>Small Cap</v>
          </cell>
        </row>
        <row r="4778">
          <cell r="C4778" t="str">
            <v>INE229B01015</v>
          </cell>
          <cell r="D4778" t="str">
            <v>AJEL</v>
          </cell>
          <cell r="E4778">
            <v>7.3278499999999998</v>
          </cell>
          <cell r="F4778" t="str">
            <v>-</v>
          </cell>
          <cell r="G4778" t="str">
            <v>-</v>
          </cell>
          <cell r="H4778" t="str">
            <v>-</v>
          </cell>
          <cell r="I4778" t="str">
            <v>-</v>
          </cell>
          <cell r="J4778">
            <v>7.3278499999999998</v>
          </cell>
          <cell r="K4778" t="str">
            <v>Small Cap</v>
          </cell>
        </row>
        <row r="4779">
          <cell r="C4779" t="str">
            <v>INE871B01014</v>
          </cell>
          <cell r="D4779" t="str">
            <v>ZICOM</v>
          </cell>
          <cell r="E4779">
            <v>7.2966729569999993</v>
          </cell>
          <cell r="F4779" t="str">
            <v>-</v>
          </cell>
          <cell r="G4779" t="str">
            <v>-</v>
          </cell>
          <cell r="H4779" t="str">
            <v>-</v>
          </cell>
          <cell r="I4779" t="str">
            <v>-</v>
          </cell>
          <cell r="J4779">
            <v>7.2966729569999993</v>
          </cell>
          <cell r="K4779" t="str">
            <v>Small Cap</v>
          </cell>
        </row>
        <row r="4780">
          <cell r="C4780" t="str">
            <v>INE373C01019</v>
          </cell>
          <cell r="D4780" t="str">
            <v>QUANTDIA</v>
          </cell>
          <cell r="E4780">
            <v>7.2887940799999997</v>
          </cell>
          <cell r="F4780" t="str">
            <v>-</v>
          </cell>
          <cell r="G4780" t="str">
            <v>-</v>
          </cell>
          <cell r="H4780" t="str">
            <v>-</v>
          </cell>
          <cell r="I4780" t="str">
            <v>-</v>
          </cell>
          <cell r="J4780">
            <v>7.2887940799999997</v>
          </cell>
          <cell r="K4780" t="str">
            <v>Small Cap</v>
          </cell>
        </row>
        <row r="4781">
          <cell r="C4781" t="str">
            <v>INE991C01034</v>
          </cell>
          <cell r="D4781" t="str">
            <v>DION</v>
          </cell>
          <cell r="E4781">
            <v>7.2511663500000001</v>
          </cell>
          <cell r="F4781" t="str">
            <v>-</v>
          </cell>
          <cell r="G4781" t="str">
            <v>-</v>
          </cell>
          <cell r="H4781" t="str">
            <v>-</v>
          </cell>
          <cell r="I4781" t="str">
            <v>-</v>
          </cell>
          <cell r="J4781">
            <v>7.2511663500000001</v>
          </cell>
          <cell r="K4781" t="str">
            <v>Small Cap</v>
          </cell>
        </row>
        <row r="4782">
          <cell r="C4782" t="str">
            <v>INE184E01024</v>
          </cell>
          <cell r="D4782" t="str">
            <v>UTLINDS</v>
          </cell>
          <cell r="E4782">
            <v>7.2490538099999995</v>
          </cell>
          <cell r="F4782" t="str">
            <v>-</v>
          </cell>
          <cell r="G4782" t="str">
            <v>-</v>
          </cell>
          <cell r="H4782" t="str">
            <v>-</v>
          </cell>
          <cell r="I4782" t="str">
            <v>-</v>
          </cell>
          <cell r="J4782">
            <v>7.2490538099999995</v>
          </cell>
          <cell r="K4782" t="str">
            <v>Small Cap</v>
          </cell>
        </row>
        <row r="4783">
          <cell r="C4783" t="str">
            <v>INE425D01015</v>
          </cell>
          <cell r="D4783" t="str">
            <v>FUTURSEC</v>
          </cell>
          <cell r="E4783">
            <v>7.2386940480000002</v>
          </cell>
          <cell r="F4783" t="str">
            <v>-</v>
          </cell>
          <cell r="G4783" t="str">
            <v>-</v>
          </cell>
          <cell r="H4783" t="str">
            <v>-</v>
          </cell>
          <cell r="I4783" t="str">
            <v>-</v>
          </cell>
          <cell r="J4783">
            <v>7.2386940480000002</v>
          </cell>
          <cell r="K4783" t="str">
            <v>Small Cap</v>
          </cell>
        </row>
        <row r="4784">
          <cell r="C4784" t="str">
            <v>INE0KXN01014</v>
          </cell>
          <cell r="D4784" t="str">
            <v>SILVERPRL</v>
          </cell>
          <cell r="E4784">
            <v>7.2259441830000002</v>
          </cell>
          <cell r="F4784" t="str">
            <v>-</v>
          </cell>
          <cell r="G4784" t="str">
            <v>-</v>
          </cell>
          <cell r="H4784" t="str">
            <v>-</v>
          </cell>
          <cell r="I4784" t="str">
            <v>-</v>
          </cell>
          <cell r="J4784">
            <v>7.2259441830000002</v>
          </cell>
          <cell r="K4784" t="str">
            <v>Small Cap</v>
          </cell>
        </row>
        <row r="4785">
          <cell r="C4785" t="str">
            <v>INE333X01019</v>
          </cell>
          <cell r="D4785" t="str">
            <v>-</v>
          </cell>
          <cell r="E4785" t="str">
            <v>-</v>
          </cell>
          <cell r="F4785" t="str">
            <v>-</v>
          </cell>
          <cell r="G4785" t="str">
            <v>-</v>
          </cell>
          <cell r="H4785" t="str">
            <v>SATYASHYAM</v>
          </cell>
          <cell r="I4785">
            <v>7.2210374400000079</v>
          </cell>
          <cell r="J4785">
            <v>7.2210374400000079</v>
          </cell>
          <cell r="K4785" t="str">
            <v>Small Cap</v>
          </cell>
        </row>
        <row r="4786">
          <cell r="C4786" t="str">
            <v>INE600B01033</v>
          </cell>
          <cell r="D4786" t="str">
            <v>FILME</v>
          </cell>
          <cell r="E4786">
            <v>7.1980074390000004</v>
          </cell>
          <cell r="F4786" t="str">
            <v>-</v>
          </cell>
          <cell r="G4786" t="str">
            <v>-</v>
          </cell>
          <cell r="H4786" t="str">
            <v>-</v>
          </cell>
          <cell r="I4786" t="str">
            <v>-</v>
          </cell>
          <cell r="J4786">
            <v>7.1980074390000004</v>
          </cell>
          <cell r="K4786" t="str">
            <v>Small Cap</v>
          </cell>
        </row>
        <row r="4787">
          <cell r="C4787" t="str">
            <v>INE509K01011</v>
          </cell>
          <cell r="D4787" t="str">
            <v>TECHNOFAB</v>
          </cell>
          <cell r="E4787">
            <v>7.1856499999999999</v>
          </cell>
          <cell r="F4787" t="str">
            <v>-</v>
          </cell>
          <cell r="G4787" t="str">
            <v>-</v>
          </cell>
          <cell r="H4787" t="str">
            <v>-</v>
          </cell>
          <cell r="I4787" t="str">
            <v>-</v>
          </cell>
          <cell r="J4787">
            <v>7.1856499999999999</v>
          </cell>
          <cell r="K4787" t="str">
            <v>Small Cap</v>
          </cell>
        </row>
        <row r="4788">
          <cell r="C4788" t="str">
            <v>INE188E01017</v>
          </cell>
          <cell r="D4788" t="str">
            <v>WILLIMFI</v>
          </cell>
          <cell r="E4788">
            <v>7.1800334279999998</v>
          </cell>
          <cell r="F4788" t="str">
            <v>-</v>
          </cell>
          <cell r="G4788" t="str">
            <v>-</v>
          </cell>
          <cell r="H4788" t="str">
            <v>-</v>
          </cell>
          <cell r="I4788" t="str">
            <v>-</v>
          </cell>
          <cell r="J4788">
            <v>7.1800334279999998</v>
          </cell>
          <cell r="K4788" t="str">
            <v>Small Cap</v>
          </cell>
        </row>
        <row r="4789">
          <cell r="C4789" t="str">
            <v>INE892C01018</v>
          </cell>
          <cell r="D4789" t="str">
            <v>SCC</v>
          </cell>
          <cell r="E4789">
            <v>7.1498050010000007</v>
          </cell>
          <cell r="F4789" t="str">
            <v>-</v>
          </cell>
          <cell r="G4789" t="str">
            <v>-</v>
          </cell>
          <cell r="H4789" t="str">
            <v>-</v>
          </cell>
          <cell r="I4789" t="str">
            <v>-</v>
          </cell>
          <cell r="J4789">
            <v>7.1498050010000007</v>
          </cell>
          <cell r="K4789" t="str">
            <v>Small Cap</v>
          </cell>
        </row>
        <row r="4790">
          <cell r="C4790" t="str">
            <v>INE652D01014</v>
          </cell>
          <cell r="D4790" t="str">
            <v>RICHUNV</v>
          </cell>
          <cell r="E4790">
            <v>7.1398635430000006</v>
          </cell>
          <cell r="F4790" t="str">
            <v>-</v>
          </cell>
          <cell r="G4790" t="str">
            <v>-</v>
          </cell>
          <cell r="H4790" t="str">
            <v>-</v>
          </cell>
          <cell r="I4790" t="str">
            <v>-</v>
          </cell>
          <cell r="J4790">
            <v>7.1398635430000006</v>
          </cell>
          <cell r="K4790" t="str">
            <v>Small Cap</v>
          </cell>
        </row>
        <row r="4791">
          <cell r="C4791" t="str">
            <v>INE944C01017</v>
          </cell>
          <cell r="D4791" t="str">
            <v>MKTCREAT</v>
          </cell>
          <cell r="E4791">
            <v>7.1286904760000009</v>
          </cell>
          <cell r="F4791" t="str">
            <v>-</v>
          </cell>
          <cell r="G4791" t="str">
            <v>-</v>
          </cell>
          <cell r="H4791" t="str">
            <v>-</v>
          </cell>
          <cell r="I4791" t="str">
            <v>-</v>
          </cell>
          <cell r="J4791">
            <v>7.1286904760000009</v>
          </cell>
          <cell r="K4791" t="str">
            <v>Small Cap</v>
          </cell>
        </row>
        <row r="4792">
          <cell r="C4792" t="str">
            <v>INE430B01019</v>
          </cell>
          <cell r="D4792" t="str">
            <v>-</v>
          </cell>
          <cell r="E4792" t="str">
            <v>-</v>
          </cell>
          <cell r="F4792" t="str">
            <v>-</v>
          </cell>
          <cell r="G4792" t="str">
            <v>-</v>
          </cell>
          <cell r="H4792" t="str">
            <v>ZRINFRA</v>
          </cell>
          <cell r="I4792">
            <v>7.1284650000000047</v>
          </cell>
          <cell r="J4792">
            <v>7.1284650000000047</v>
          </cell>
          <cell r="K4792" t="str">
            <v>Small Cap</v>
          </cell>
        </row>
        <row r="4793">
          <cell r="C4793" t="str">
            <v>INE683B01047</v>
          </cell>
          <cell r="D4793" t="str">
            <v>FIRSTFIN</v>
          </cell>
          <cell r="E4793">
            <v>7.1047514189999994</v>
          </cell>
          <cell r="F4793" t="str">
            <v>-</v>
          </cell>
          <cell r="G4793" t="str">
            <v>-</v>
          </cell>
          <cell r="H4793" t="str">
            <v>-</v>
          </cell>
          <cell r="I4793" t="str">
            <v>-</v>
          </cell>
          <cell r="J4793">
            <v>7.1047514189999994</v>
          </cell>
          <cell r="K4793" t="str">
            <v>Small Cap</v>
          </cell>
        </row>
        <row r="4794">
          <cell r="C4794" t="str">
            <v>INE494D01011</v>
          </cell>
          <cell r="D4794" t="str">
            <v>CITIPOR</v>
          </cell>
          <cell r="E4794">
            <v>7.0873134919999998</v>
          </cell>
          <cell r="F4794" t="str">
            <v>-</v>
          </cell>
          <cell r="G4794" t="str">
            <v>-</v>
          </cell>
          <cell r="H4794" t="str">
            <v>-</v>
          </cell>
          <cell r="I4794" t="str">
            <v>-</v>
          </cell>
          <cell r="J4794">
            <v>7.0873134919999998</v>
          </cell>
          <cell r="K4794" t="str">
            <v>Small Cap</v>
          </cell>
        </row>
        <row r="4795">
          <cell r="C4795" t="str">
            <v>INE211P01021</v>
          </cell>
          <cell r="D4795" t="str">
            <v>VKJINFRA</v>
          </cell>
          <cell r="E4795">
            <v>7.0662423019999991</v>
          </cell>
          <cell r="F4795" t="str">
            <v>-</v>
          </cell>
          <cell r="G4795" t="str">
            <v>-</v>
          </cell>
          <cell r="H4795" t="str">
            <v>-</v>
          </cell>
          <cell r="I4795" t="str">
            <v>-</v>
          </cell>
          <cell r="J4795">
            <v>7.0662423019999991</v>
          </cell>
          <cell r="K4795" t="str">
            <v>Small Cap</v>
          </cell>
        </row>
        <row r="4796">
          <cell r="C4796" t="str">
            <v>INE056J01015</v>
          </cell>
          <cell r="D4796" t="str">
            <v>AARCON</v>
          </cell>
          <cell r="E4796">
            <v>7.0506799999999998</v>
          </cell>
          <cell r="F4796" t="str">
            <v>-</v>
          </cell>
          <cell r="G4796" t="str">
            <v>-</v>
          </cell>
          <cell r="H4796" t="str">
            <v>-</v>
          </cell>
          <cell r="I4796" t="str">
            <v>-</v>
          </cell>
          <cell r="J4796">
            <v>7.0506799999999998</v>
          </cell>
          <cell r="K4796" t="str">
            <v>Small Cap</v>
          </cell>
        </row>
        <row r="4797">
          <cell r="C4797" t="str">
            <v>INE0JNB01012</v>
          </cell>
          <cell r="D4797" t="str">
            <v>NATURO</v>
          </cell>
          <cell r="E4797">
            <v>7.0137812610000001</v>
          </cell>
          <cell r="F4797" t="str">
            <v>-</v>
          </cell>
          <cell r="G4797" t="str">
            <v>-</v>
          </cell>
          <cell r="H4797" t="str">
            <v>-</v>
          </cell>
          <cell r="I4797" t="str">
            <v>-</v>
          </cell>
          <cell r="J4797">
            <v>7.0137812610000001</v>
          </cell>
          <cell r="K4797" t="str">
            <v>Small Cap</v>
          </cell>
        </row>
        <row r="4798">
          <cell r="C4798" t="str">
            <v>INE860T01019</v>
          </cell>
          <cell r="D4798" t="str">
            <v>SABEVENTS</v>
          </cell>
          <cell r="E4798">
            <v>7.0168476169999998</v>
          </cell>
          <cell r="F4798" t="str">
            <v>SABEVENTS</v>
          </cell>
          <cell r="G4798">
            <v>6.9988000000000001</v>
          </cell>
          <cell r="H4798" t="str">
            <v>-</v>
          </cell>
          <cell r="I4798" t="str">
            <v>-</v>
          </cell>
          <cell r="J4798">
            <v>7.0078238084999995</v>
          </cell>
          <cell r="K4798" t="str">
            <v>Small Cap</v>
          </cell>
        </row>
        <row r="4799">
          <cell r="C4799" t="str">
            <v>INE206Z01020</v>
          </cell>
          <cell r="D4799" t="str">
            <v>SUNRETAIL</v>
          </cell>
          <cell r="E4799">
            <v>7.0059583489999993</v>
          </cell>
          <cell r="F4799" t="str">
            <v>-</v>
          </cell>
          <cell r="G4799" t="str">
            <v>-</v>
          </cell>
          <cell r="H4799" t="str">
            <v>-</v>
          </cell>
          <cell r="I4799" t="str">
            <v>-</v>
          </cell>
          <cell r="J4799">
            <v>7.0059583489999993</v>
          </cell>
          <cell r="K4799" t="str">
            <v>Small Cap</v>
          </cell>
        </row>
        <row r="4800">
          <cell r="C4800" t="str">
            <v>INE366H01012</v>
          </cell>
          <cell r="D4800" t="str">
            <v>INTCAPL</v>
          </cell>
          <cell r="E4800">
            <v>7.0053804569999993</v>
          </cell>
          <cell r="F4800" t="str">
            <v>-</v>
          </cell>
          <cell r="G4800" t="str">
            <v>-</v>
          </cell>
          <cell r="H4800" t="str">
            <v>-</v>
          </cell>
          <cell r="I4800" t="str">
            <v>-</v>
          </cell>
          <cell r="J4800">
            <v>7.0053804569999993</v>
          </cell>
          <cell r="K4800" t="str">
            <v>Small Cap</v>
          </cell>
        </row>
        <row r="4801">
          <cell r="C4801" t="str">
            <v>INE897N01014</v>
          </cell>
          <cell r="D4801" t="str">
            <v>AVI</v>
          </cell>
          <cell r="E4801">
            <v>7.003797854000001</v>
          </cell>
          <cell r="F4801" t="str">
            <v>-</v>
          </cell>
          <cell r="G4801" t="str">
            <v>-</v>
          </cell>
          <cell r="H4801" t="str">
            <v>-</v>
          </cell>
          <cell r="I4801" t="str">
            <v>-</v>
          </cell>
          <cell r="J4801">
            <v>7.003797854000001</v>
          </cell>
          <cell r="K4801" t="str">
            <v>Small Cap</v>
          </cell>
        </row>
        <row r="4802">
          <cell r="C4802" t="str">
            <v>INE158Z01015</v>
          </cell>
          <cell r="D4802" t="str">
            <v>-</v>
          </cell>
          <cell r="E4802" t="str">
            <v>-</v>
          </cell>
          <cell r="F4802" t="str">
            <v>-</v>
          </cell>
          <cell r="G4802" t="str">
            <v>-</v>
          </cell>
          <cell r="H4802" t="str">
            <v>NANDINI</v>
          </cell>
          <cell r="I4802">
            <v>7.0001399999999903</v>
          </cell>
          <cell r="J4802">
            <v>7.0001399999999903</v>
          </cell>
          <cell r="K4802" t="str">
            <v>Small Cap</v>
          </cell>
        </row>
        <row r="4803">
          <cell r="C4803" t="str">
            <v>INE184Q01010</v>
          </cell>
          <cell r="D4803" t="str">
            <v>FRASER</v>
          </cell>
          <cell r="E4803">
            <v>6.9931250239999994</v>
          </cell>
          <cell r="F4803" t="str">
            <v>-</v>
          </cell>
          <cell r="G4803" t="str">
            <v>-</v>
          </cell>
          <cell r="H4803" t="str">
            <v>-</v>
          </cell>
          <cell r="I4803" t="str">
            <v>-</v>
          </cell>
          <cell r="J4803">
            <v>6.9931250239999994</v>
          </cell>
          <cell r="K4803" t="str">
            <v>Small Cap</v>
          </cell>
        </row>
        <row r="4804">
          <cell r="C4804" t="str">
            <v>INE132E01015</v>
          </cell>
          <cell r="D4804" t="str">
            <v>DECPO</v>
          </cell>
          <cell r="E4804">
            <v>6.9774017859999997</v>
          </cell>
          <cell r="F4804" t="str">
            <v>-</v>
          </cell>
          <cell r="G4804" t="str">
            <v>-</v>
          </cell>
          <cell r="H4804" t="str">
            <v>-</v>
          </cell>
          <cell r="I4804" t="str">
            <v>-</v>
          </cell>
          <cell r="J4804">
            <v>6.9774017859999997</v>
          </cell>
          <cell r="K4804" t="str">
            <v>Small Cap</v>
          </cell>
        </row>
        <row r="4805">
          <cell r="C4805" t="str">
            <v>INE317G01025</v>
          </cell>
          <cell r="D4805" t="str">
            <v>SMADL</v>
          </cell>
          <cell r="E4805">
            <v>6.9503291999999997</v>
          </cell>
          <cell r="F4805" t="str">
            <v>-</v>
          </cell>
          <cell r="G4805" t="str">
            <v>-</v>
          </cell>
          <cell r="H4805" t="str">
            <v>-</v>
          </cell>
          <cell r="I4805" t="str">
            <v>-</v>
          </cell>
          <cell r="J4805">
            <v>6.9503291999999997</v>
          </cell>
          <cell r="K4805" t="str">
            <v>Small Cap</v>
          </cell>
        </row>
        <row r="4806">
          <cell r="C4806" t="str">
            <v>INE016X01010</v>
          </cell>
          <cell r="D4806" t="str">
            <v>ARYAN</v>
          </cell>
          <cell r="E4806">
            <v>6.9111190480000007</v>
          </cell>
          <cell r="F4806" t="str">
            <v>-</v>
          </cell>
          <cell r="G4806" t="str">
            <v>-</v>
          </cell>
          <cell r="H4806" t="str">
            <v>-</v>
          </cell>
          <cell r="I4806" t="str">
            <v>-</v>
          </cell>
          <cell r="J4806">
            <v>6.9111190480000007</v>
          </cell>
          <cell r="K4806" t="str">
            <v>Small Cap</v>
          </cell>
        </row>
        <row r="4807">
          <cell r="C4807" t="str">
            <v>INE115C01014</v>
          </cell>
          <cell r="D4807" t="str">
            <v>VARDHMAN</v>
          </cell>
          <cell r="E4807">
            <v>6.9099812920000003</v>
          </cell>
          <cell r="F4807" t="str">
            <v>-</v>
          </cell>
          <cell r="G4807" t="str">
            <v>-</v>
          </cell>
          <cell r="H4807" t="str">
            <v>-</v>
          </cell>
          <cell r="I4807" t="str">
            <v>-</v>
          </cell>
          <cell r="J4807">
            <v>6.9099812920000003</v>
          </cell>
          <cell r="K4807" t="str">
            <v>Small Cap</v>
          </cell>
        </row>
        <row r="4808">
          <cell r="C4808" t="str">
            <v>INE966C01010</v>
          </cell>
          <cell r="D4808" t="str">
            <v>JAINCO</v>
          </cell>
          <cell r="E4808">
            <v>6.8923015870000004</v>
          </cell>
          <cell r="F4808" t="str">
            <v>-</v>
          </cell>
          <cell r="G4808" t="str">
            <v>-</v>
          </cell>
          <cell r="H4808" t="str">
            <v>-</v>
          </cell>
          <cell r="I4808" t="str">
            <v>-</v>
          </cell>
          <cell r="J4808">
            <v>6.8923015870000004</v>
          </cell>
          <cell r="K4808" t="str">
            <v>Small Cap</v>
          </cell>
        </row>
        <row r="4809">
          <cell r="C4809" t="str">
            <v>INE838S01017</v>
          </cell>
          <cell r="D4809" t="str">
            <v>-</v>
          </cell>
          <cell r="E4809" t="str">
            <v>-</v>
          </cell>
          <cell r="F4809" t="str">
            <v>-</v>
          </cell>
          <cell r="G4809" t="str">
            <v>-</v>
          </cell>
          <cell r="H4809" t="str">
            <v>ACCUVANT</v>
          </cell>
          <cell r="I4809">
            <v>6.8893124999999866</v>
          </cell>
          <cell r="J4809">
            <v>6.8893124999999866</v>
          </cell>
          <cell r="K4809" t="str">
            <v>Small Cap</v>
          </cell>
        </row>
        <row r="4810">
          <cell r="C4810" t="str">
            <v>INE515B01025</v>
          </cell>
          <cell r="D4810" t="str">
            <v>VISIONCINE</v>
          </cell>
          <cell r="E4810">
            <v>6.8586277659999997</v>
          </cell>
          <cell r="F4810" t="str">
            <v>-</v>
          </cell>
          <cell r="G4810" t="str">
            <v>-</v>
          </cell>
          <cell r="H4810" t="str">
            <v>-</v>
          </cell>
          <cell r="I4810" t="str">
            <v>-</v>
          </cell>
          <cell r="J4810">
            <v>6.8586277659999997</v>
          </cell>
          <cell r="K4810" t="str">
            <v>Small Cap</v>
          </cell>
        </row>
        <row r="4811">
          <cell r="C4811" t="str">
            <v>INE267C01013</v>
          </cell>
          <cell r="D4811" t="str">
            <v>AMBIT</v>
          </cell>
          <cell r="E4811">
            <v>6.8462806120000002</v>
          </cell>
          <cell r="F4811" t="str">
            <v>-</v>
          </cell>
          <cell r="G4811" t="str">
            <v>-</v>
          </cell>
          <cell r="H4811" t="str">
            <v>-</v>
          </cell>
          <cell r="I4811" t="str">
            <v>-</v>
          </cell>
          <cell r="J4811">
            <v>6.8462806120000002</v>
          </cell>
          <cell r="K4811" t="str">
            <v>Small Cap</v>
          </cell>
        </row>
        <row r="4812">
          <cell r="C4812" t="str">
            <v>INE818D01011</v>
          </cell>
          <cell r="D4812" t="str">
            <v>PROMACT</v>
          </cell>
          <cell r="E4812">
            <v>6.8358395709999993</v>
          </cell>
          <cell r="F4812" t="str">
            <v>-</v>
          </cell>
          <cell r="G4812" t="str">
            <v>-</v>
          </cell>
          <cell r="H4812" t="str">
            <v>-</v>
          </cell>
          <cell r="I4812" t="str">
            <v>-</v>
          </cell>
          <cell r="J4812">
            <v>6.8358395709999993</v>
          </cell>
          <cell r="K4812" t="str">
            <v>Small Cap</v>
          </cell>
        </row>
        <row r="4813">
          <cell r="C4813" t="str">
            <v>INE100E01012</v>
          </cell>
          <cell r="D4813" t="str">
            <v>PRSNTIN</v>
          </cell>
          <cell r="E4813">
            <v>6.7574126290000009</v>
          </cell>
          <cell r="F4813" t="str">
            <v>-</v>
          </cell>
          <cell r="G4813" t="str">
            <v>-</v>
          </cell>
          <cell r="H4813" t="str">
            <v>-</v>
          </cell>
          <cell r="I4813" t="str">
            <v>-</v>
          </cell>
          <cell r="J4813">
            <v>6.7574126290000009</v>
          </cell>
          <cell r="K4813" t="str">
            <v>Small Cap</v>
          </cell>
        </row>
        <row r="4814">
          <cell r="C4814" t="str">
            <v>INE486B01011</v>
          </cell>
          <cell r="D4814" t="str">
            <v>JAINSTUDIO</v>
          </cell>
          <cell r="E4814">
            <v>6.7405352299999999</v>
          </cell>
          <cell r="F4814" t="str">
            <v>-</v>
          </cell>
          <cell r="G4814" t="str">
            <v>-</v>
          </cell>
          <cell r="H4814" t="str">
            <v>-</v>
          </cell>
          <cell r="I4814" t="str">
            <v>-</v>
          </cell>
          <cell r="J4814">
            <v>6.7405352299999999</v>
          </cell>
          <cell r="K4814" t="str">
            <v>Small Cap</v>
          </cell>
        </row>
        <row r="4815">
          <cell r="C4815" t="str">
            <v>INE649R01010</v>
          </cell>
          <cell r="D4815" t="str">
            <v>IDM</v>
          </cell>
          <cell r="E4815">
            <v>6.7376222219999997</v>
          </cell>
          <cell r="F4815" t="str">
            <v>-</v>
          </cell>
          <cell r="G4815" t="str">
            <v>-</v>
          </cell>
          <cell r="H4815" t="str">
            <v>-</v>
          </cell>
          <cell r="I4815" t="str">
            <v>-</v>
          </cell>
          <cell r="J4815">
            <v>6.7376222219999997</v>
          </cell>
          <cell r="K4815" t="str">
            <v>Small Cap</v>
          </cell>
        </row>
        <row r="4816">
          <cell r="C4816" t="str">
            <v>INE526C01012</v>
          </cell>
          <cell r="D4816" t="str">
            <v>NIKKIGL</v>
          </cell>
          <cell r="E4816">
            <v>6.7343934980000002</v>
          </cell>
          <cell r="F4816" t="str">
            <v>-</v>
          </cell>
          <cell r="G4816" t="str">
            <v>-</v>
          </cell>
          <cell r="H4816" t="str">
            <v>-</v>
          </cell>
          <cell r="I4816" t="str">
            <v>-</v>
          </cell>
          <cell r="J4816">
            <v>6.7343934980000002</v>
          </cell>
          <cell r="K4816" t="str">
            <v>Small Cap</v>
          </cell>
        </row>
        <row r="4817">
          <cell r="C4817" t="str">
            <v>INE431Z01016</v>
          </cell>
          <cell r="D4817" t="str">
            <v>-</v>
          </cell>
          <cell r="E4817" t="str">
            <v>-</v>
          </cell>
          <cell r="F4817" t="str">
            <v>-</v>
          </cell>
          <cell r="G4817" t="str">
            <v>-</v>
          </cell>
          <cell r="H4817" t="str">
            <v>AGGARSAIN</v>
          </cell>
          <cell r="I4817">
            <v>6.7265280000000045</v>
          </cell>
          <cell r="J4817">
            <v>6.7265280000000045</v>
          </cell>
          <cell r="K4817" t="str">
            <v>Small Cap</v>
          </cell>
        </row>
        <row r="4818">
          <cell r="C4818" t="str">
            <v>INE07P301011</v>
          </cell>
          <cell r="D4818" t="str">
            <v>SYTIXSE</v>
          </cell>
          <cell r="E4818">
            <v>6.7128571430000008</v>
          </cell>
          <cell r="F4818" t="str">
            <v>-</v>
          </cell>
          <cell r="G4818" t="str">
            <v>-</v>
          </cell>
          <cell r="H4818" t="str">
            <v>-</v>
          </cell>
          <cell r="I4818" t="str">
            <v>-</v>
          </cell>
          <cell r="J4818">
            <v>6.7128571430000008</v>
          </cell>
          <cell r="K4818" t="str">
            <v>Small Cap</v>
          </cell>
        </row>
        <row r="4819">
          <cell r="C4819" t="str">
            <v>INE300F01023</v>
          </cell>
          <cell r="D4819" t="str">
            <v>-</v>
          </cell>
          <cell r="E4819" t="str">
            <v>-</v>
          </cell>
          <cell r="F4819" t="str">
            <v>-</v>
          </cell>
          <cell r="G4819" t="str">
            <v>-</v>
          </cell>
          <cell r="H4819" t="str">
            <v>KRALEASING</v>
          </cell>
          <cell r="I4819">
            <v>6.7071640000000086</v>
          </cell>
          <cell r="J4819">
            <v>6.7071640000000086</v>
          </cell>
          <cell r="K4819" t="str">
            <v>Small Cap</v>
          </cell>
        </row>
        <row r="4820">
          <cell r="C4820" t="str">
            <v>INE195Y01010</v>
          </cell>
          <cell r="D4820" t="str">
            <v>SECURCRED</v>
          </cell>
          <cell r="E4820">
            <v>6.6932298799999996</v>
          </cell>
          <cell r="F4820" t="str">
            <v>-</v>
          </cell>
          <cell r="G4820" t="str">
            <v>-</v>
          </cell>
          <cell r="H4820" t="str">
            <v>-</v>
          </cell>
          <cell r="I4820" t="str">
            <v>-</v>
          </cell>
          <cell r="J4820">
            <v>6.6932298799999996</v>
          </cell>
          <cell r="K4820" t="str">
            <v>Small Cap</v>
          </cell>
        </row>
        <row r="4821">
          <cell r="C4821" t="str">
            <v>INE188S01017</v>
          </cell>
          <cell r="D4821" t="str">
            <v>-</v>
          </cell>
          <cell r="E4821" t="str">
            <v>-</v>
          </cell>
          <cell r="F4821" t="str">
            <v>-</v>
          </cell>
          <cell r="G4821" t="str">
            <v>-</v>
          </cell>
          <cell r="H4821" t="str">
            <v>BHARAT</v>
          </cell>
          <cell r="I4821">
            <v>6.6750280349999942</v>
          </cell>
          <cell r="J4821">
            <v>6.6750280349999942</v>
          </cell>
          <cell r="K4821" t="str">
            <v>Small Cap</v>
          </cell>
        </row>
        <row r="4822">
          <cell r="C4822" t="str">
            <v>INE373V01019</v>
          </cell>
          <cell r="D4822" t="str">
            <v>IGRL</v>
          </cell>
          <cell r="E4822">
            <v>6.6600400000000004</v>
          </cell>
          <cell r="F4822" t="str">
            <v>-</v>
          </cell>
          <cell r="G4822" t="str">
            <v>-</v>
          </cell>
          <cell r="H4822" t="str">
            <v>-</v>
          </cell>
          <cell r="I4822" t="str">
            <v>-</v>
          </cell>
          <cell r="J4822">
            <v>6.6600400000000004</v>
          </cell>
          <cell r="K4822" t="str">
            <v>Small Cap</v>
          </cell>
        </row>
        <row r="4823">
          <cell r="C4823" t="str">
            <v>INE696E01019</v>
          </cell>
          <cell r="D4823" t="str">
            <v>LONTE</v>
          </cell>
          <cell r="E4823">
            <v>6.6314209719999999</v>
          </cell>
          <cell r="F4823" t="str">
            <v>-</v>
          </cell>
          <cell r="G4823" t="str">
            <v>-</v>
          </cell>
          <cell r="H4823" t="str">
            <v>-</v>
          </cell>
          <cell r="I4823" t="str">
            <v>-</v>
          </cell>
          <cell r="J4823">
            <v>6.6314209719999999</v>
          </cell>
          <cell r="K4823" t="str">
            <v>Small Cap</v>
          </cell>
        </row>
        <row r="4824">
          <cell r="C4824" t="str">
            <v>INE957E01031</v>
          </cell>
          <cell r="D4824" t="str">
            <v>BRIJLEAS</v>
          </cell>
          <cell r="E4824">
            <v>6.6030295240000001</v>
          </cell>
          <cell r="F4824" t="str">
            <v>-</v>
          </cell>
          <cell r="G4824" t="str">
            <v>-</v>
          </cell>
          <cell r="H4824" t="str">
            <v>-</v>
          </cell>
          <cell r="I4824" t="str">
            <v>-</v>
          </cell>
          <cell r="J4824">
            <v>6.6030295240000001</v>
          </cell>
          <cell r="K4824" t="str">
            <v>Small Cap</v>
          </cell>
        </row>
        <row r="4825">
          <cell r="C4825" t="str">
            <v>INE012F01016</v>
          </cell>
          <cell r="D4825" t="str">
            <v>POLYTEX</v>
          </cell>
          <cell r="E4825">
            <v>6.5965714289999999</v>
          </cell>
          <cell r="F4825" t="str">
            <v>-</v>
          </cell>
          <cell r="G4825" t="str">
            <v>-</v>
          </cell>
          <cell r="H4825" t="str">
            <v>-</v>
          </cell>
          <cell r="I4825" t="str">
            <v>-</v>
          </cell>
          <cell r="J4825">
            <v>6.5965714289999999</v>
          </cell>
          <cell r="K4825" t="str">
            <v>Small Cap</v>
          </cell>
        </row>
        <row r="4826">
          <cell r="C4826" t="str">
            <v>INE153C01015</v>
          </cell>
          <cell r="D4826" t="str">
            <v>VINTAGES</v>
          </cell>
          <cell r="E4826">
            <v>6.574485095</v>
          </cell>
          <cell r="F4826" t="str">
            <v>-</v>
          </cell>
          <cell r="G4826" t="str">
            <v>-</v>
          </cell>
          <cell r="H4826" t="str">
            <v>-</v>
          </cell>
          <cell r="I4826" t="str">
            <v>-</v>
          </cell>
          <cell r="J4826">
            <v>6.574485095</v>
          </cell>
          <cell r="K4826" t="str">
            <v>Small Cap</v>
          </cell>
        </row>
        <row r="4827">
          <cell r="C4827" t="str">
            <v>INE753B01014</v>
          </cell>
          <cell r="D4827" t="str">
            <v>RAGHUNAT</v>
          </cell>
          <cell r="E4827">
            <v>6.5620238100000003</v>
          </cell>
          <cell r="F4827" t="str">
            <v>-</v>
          </cell>
          <cell r="G4827" t="str">
            <v>-</v>
          </cell>
          <cell r="H4827" t="str">
            <v>-</v>
          </cell>
          <cell r="I4827" t="str">
            <v>-</v>
          </cell>
          <cell r="J4827">
            <v>6.5620238100000003</v>
          </cell>
          <cell r="K4827" t="str">
            <v>Small Cap</v>
          </cell>
        </row>
        <row r="4828">
          <cell r="C4828" t="str">
            <v>INE211D01027</v>
          </cell>
          <cell r="D4828" t="str">
            <v>ALFL</v>
          </cell>
          <cell r="E4828">
            <v>6.5576933329999996</v>
          </cell>
          <cell r="F4828" t="str">
            <v>-</v>
          </cell>
          <cell r="G4828" t="str">
            <v>-</v>
          </cell>
          <cell r="H4828" t="str">
            <v>-</v>
          </cell>
          <cell r="I4828" t="str">
            <v>-</v>
          </cell>
          <cell r="J4828">
            <v>6.5576933329999996</v>
          </cell>
          <cell r="K4828" t="str">
            <v>Small Cap</v>
          </cell>
        </row>
        <row r="4829">
          <cell r="C4829" t="str">
            <v>INE664C01029</v>
          </cell>
          <cell r="D4829" t="str">
            <v>XCLGLASS</v>
          </cell>
          <cell r="E4829">
            <v>6.5559303959999999</v>
          </cell>
          <cell r="F4829" t="str">
            <v>-</v>
          </cell>
          <cell r="G4829" t="str">
            <v>-</v>
          </cell>
          <cell r="H4829" t="str">
            <v>-</v>
          </cell>
          <cell r="I4829" t="str">
            <v>-</v>
          </cell>
          <cell r="J4829">
            <v>6.5559303959999999</v>
          </cell>
          <cell r="K4829" t="str">
            <v>Small Cap</v>
          </cell>
        </row>
        <row r="4830">
          <cell r="C4830" t="str">
            <v>INE804D01029</v>
          </cell>
          <cell r="D4830" t="str">
            <v>INFODRIVE</v>
          </cell>
          <cell r="E4830">
            <v>6.5520820000000004</v>
          </cell>
          <cell r="F4830" t="str">
            <v>-</v>
          </cell>
          <cell r="G4830" t="str">
            <v>-</v>
          </cell>
          <cell r="H4830" t="str">
            <v>-</v>
          </cell>
          <cell r="I4830" t="str">
            <v>-</v>
          </cell>
          <cell r="J4830">
            <v>6.5520820000000004</v>
          </cell>
          <cell r="K4830" t="str">
            <v>Small Cap</v>
          </cell>
        </row>
        <row r="4831">
          <cell r="C4831" t="str">
            <v>INE530A01026</v>
          </cell>
          <cell r="D4831" t="str">
            <v>GONTER</v>
          </cell>
          <cell r="E4831">
            <v>6.5370900000000001</v>
          </cell>
          <cell r="F4831" t="str">
            <v>-</v>
          </cell>
          <cell r="G4831" t="str">
            <v>-</v>
          </cell>
          <cell r="H4831" t="str">
            <v>-</v>
          </cell>
          <cell r="I4831" t="str">
            <v>-</v>
          </cell>
          <cell r="J4831">
            <v>6.5370900000000001</v>
          </cell>
          <cell r="K4831" t="str">
            <v>Small Cap</v>
          </cell>
        </row>
        <row r="4832">
          <cell r="C4832" t="str">
            <v>INE160O01031</v>
          </cell>
          <cell r="D4832" t="str">
            <v>MUKTA</v>
          </cell>
          <cell r="E4832">
            <v>6.5329240950000003</v>
          </cell>
          <cell r="F4832" t="str">
            <v>-</v>
          </cell>
          <cell r="G4832" t="str">
            <v>-</v>
          </cell>
          <cell r="H4832" t="str">
            <v>-</v>
          </cell>
          <cell r="I4832" t="str">
            <v>-</v>
          </cell>
          <cell r="J4832">
            <v>6.5329240950000003</v>
          </cell>
          <cell r="K4832" t="str">
            <v>Small Cap</v>
          </cell>
        </row>
        <row r="4833">
          <cell r="C4833" t="str">
            <v>INE899E01019</v>
          </cell>
          <cell r="D4833" t="str">
            <v>SURBHIN</v>
          </cell>
          <cell r="E4833">
            <v>6.5062744889999999</v>
          </cell>
          <cell r="F4833" t="str">
            <v>-</v>
          </cell>
          <cell r="G4833" t="str">
            <v>-</v>
          </cell>
          <cell r="H4833" t="str">
            <v>-</v>
          </cell>
          <cell r="I4833" t="str">
            <v>-</v>
          </cell>
          <cell r="J4833">
            <v>6.5062744889999999</v>
          </cell>
          <cell r="K4833" t="str">
            <v>Small Cap</v>
          </cell>
        </row>
        <row r="4834">
          <cell r="C4834" t="str">
            <v>INE0BIW01023</v>
          </cell>
          <cell r="D4834" t="str">
            <v>TRANWAY21</v>
          </cell>
          <cell r="E4834">
            <v>6.5037937970000002</v>
          </cell>
          <cell r="F4834" t="str">
            <v>-</v>
          </cell>
          <cell r="G4834" t="str">
            <v>-</v>
          </cell>
          <cell r="H4834" t="str">
            <v>-</v>
          </cell>
          <cell r="I4834" t="str">
            <v>-</v>
          </cell>
          <cell r="J4834">
            <v>6.5037937970000002</v>
          </cell>
          <cell r="K4834" t="str">
            <v>Small Cap</v>
          </cell>
        </row>
        <row r="4835">
          <cell r="C4835" t="str">
            <v>INE271D01013</v>
          </cell>
          <cell r="D4835" t="str">
            <v>SUNGOLD</v>
          </cell>
          <cell r="E4835">
            <v>6.4765661259999998</v>
          </cell>
          <cell r="F4835" t="str">
            <v>-</v>
          </cell>
          <cell r="G4835" t="str">
            <v>-</v>
          </cell>
          <cell r="H4835" t="str">
            <v>-</v>
          </cell>
          <cell r="I4835" t="str">
            <v>-</v>
          </cell>
          <cell r="J4835">
            <v>6.4765661259999998</v>
          </cell>
          <cell r="K4835" t="str">
            <v>Small Cap</v>
          </cell>
        </row>
        <row r="4836">
          <cell r="C4836" t="str">
            <v>INE518D01025</v>
          </cell>
          <cell r="D4836" t="str">
            <v>SEVENHILL</v>
          </cell>
          <cell r="E4836">
            <v>6.4727040000000002</v>
          </cell>
          <cell r="F4836" t="str">
            <v>-</v>
          </cell>
          <cell r="G4836" t="str">
            <v>-</v>
          </cell>
          <cell r="H4836" t="str">
            <v>-</v>
          </cell>
          <cell r="I4836" t="str">
            <v>-</v>
          </cell>
          <cell r="J4836">
            <v>6.4727040000000002</v>
          </cell>
          <cell r="K4836" t="str">
            <v>Small Cap</v>
          </cell>
        </row>
        <row r="4837">
          <cell r="C4837" t="str">
            <v>INE293C01019</v>
          </cell>
          <cell r="D4837" t="str">
            <v>ASHRAM</v>
          </cell>
          <cell r="E4837">
            <v>6.459333333</v>
          </cell>
          <cell r="F4837" t="str">
            <v>-</v>
          </cell>
          <cell r="G4837" t="str">
            <v>-</v>
          </cell>
          <cell r="H4837" t="str">
            <v>-</v>
          </cell>
          <cell r="I4837" t="str">
            <v>-</v>
          </cell>
          <cell r="J4837">
            <v>6.459333333</v>
          </cell>
          <cell r="K4837" t="str">
            <v>Small Cap</v>
          </cell>
        </row>
        <row r="4838">
          <cell r="C4838" t="str">
            <v>INE256S01012</v>
          </cell>
          <cell r="D4838" t="str">
            <v>NAKSH</v>
          </cell>
          <cell r="E4838">
            <v>6.4571533399999996</v>
          </cell>
          <cell r="F4838" t="str">
            <v>-</v>
          </cell>
          <cell r="G4838" t="str">
            <v>-</v>
          </cell>
          <cell r="H4838" t="str">
            <v>-</v>
          </cell>
          <cell r="I4838" t="str">
            <v>-</v>
          </cell>
          <cell r="J4838">
            <v>6.4571533399999996</v>
          </cell>
          <cell r="K4838" t="str">
            <v>Small Cap</v>
          </cell>
        </row>
        <row r="4839">
          <cell r="C4839" t="str">
            <v>INE147J01012</v>
          </cell>
          <cell r="D4839" t="str">
            <v>PUROHITCON</v>
          </cell>
          <cell r="E4839">
            <v>6.4280501210000001</v>
          </cell>
          <cell r="F4839" t="str">
            <v>-</v>
          </cell>
          <cell r="G4839" t="str">
            <v>-</v>
          </cell>
          <cell r="H4839" t="str">
            <v>-</v>
          </cell>
          <cell r="I4839" t="str">
            <v>-</v>
          </cell>
          <cell r="J4839">
            <v>6.4280501210000001</v>
          </cell>
          <cell r="K4839" t="str">
            <v>Small Cap</v>
          </cell>
        </row>
        <row r="4840">
          <cell r="C4840" t="str">
            <v>INE268X01017</v>
          </cell>
          <cell r="D4840" t="str">
            <v>STRAEXPO</v>
          </cell>
          <cell r="E4840">
            <v>6.4157999999999999</v>
          </cell>
          <cell r="F4840" t="str">
            <v>-</v>
          </cell>
          <cell r="G4840" t="str">
            <v>-</v>
          </cell>
          <cell r="H4840" t="str">
            <v>-</v>
          </cell>
          <cell r="I4840" t="str">
            <v>-</v>
          </cell>
          <cell r="J4840">
            <v>6.4157999999999999</v>
          </cell>
          <cell r="K4840" t="str">
            <v>Small Cap</v>
          </cell>
        </row>
        <row r="4841">
          <cell r="C4841" t="str">
            <v>INE995A01013</v>
          </cell>
          <cell r="D4841" t="str">
            <v>GRAVITY</v>
          </cell>
          <cell r="E4841">
            <v>6.4116746100000004</v>
          </cell>
          <cell r="F4841" t="str">
            <v>-</v>
          </cell>
          <cell r="G4841" t="str">
            <v>-</v>
          </cell>
          <cell r="H4841" t="str">
            <v>-</v>
          </cell>
          <cell r="I4841" t="str">
            <v>-</v>
          </cell>
          <cell r="J4841">
            <v>6.4116746100000004</v>
          </cell>
          <cell r="K4841" t="str">
            <v>Small Cap</v>
          </cell>
        </row>
        <row r="4842">
          <cell r="C4842" t="str">
            <v>INE927M01029</v>
          </cell>
          <cell r="D4842" t="str">
            <v>GRANDMA</v>
          </cell>
          <cell r="E4842">
            <v>6.4014730159999997</v>
          </cell>
          <cell r="F4842" t="str">
            <v>-</v>
          </cell>
          <cell r="G4842" t="str">
            <v>-</v>
          </cell>
          <cell r="H4842" t="str">
            <v>-</v>
          </cell>
          <cell r="I4842" t="str">
            <v>-</v>
          </cell>
          <cell r="J4842">
            <v>6.4014730159999997</v>
          </cell>
          <cell r="K4842" t="str">
            <v>Small Cap</v>
          </cell>
        </row>
        <row r="4843">
          <cell r="C4843" t="str">
            <v>INE008N01018</v>
          </cell>
          <cell r="D4843" t="str">
            <v>TIRTPLS</v>
          </cell>
          <cell r="E4843">
            <v>6.3978171770000003</v>
          </cell>
          <cell r="F4843" t="str">
            <v>-</v>
          </cell>
          <cell r="G4843" t="str">
            <v>-</v>
          </cell>
          <cell r="H4843" t="str">
            <v>-</v>
          </cell>
          <cell r="I4843" t="str">
            <v>-</v>
          </cell>
          <cell r="J4843">
            <v>6.3978171770000003</v>
          </cell>
          <cell r="K4843" t="str">
            <v>Small Cap</v>
          </cell>
        </row>
        <row r="4844">
          <cell r="C4844" t="str">
            <v>INE068C01015</v>
          </cell>
          <cell r="D4844" t="str">
            <v>ARAVALIS</v>
          </cell>
          <cell r="E4844">
            <v>6.363841667</v>
          </cell>
          <cell r="F4844" t="str">
            <v>-</v>
          </cell>
          <cell r="G4844" t="str">
            <v>-</v>
          </cell>
          <cell r="H4844" t="str">
            <v>-</v>
          </cell>
          <cell r="I4844" t="str">
            <v>-</v>
          </cell>
          <cell r="J4844">
            <v>6.363841667</v>
          </cell>
          <cell r="K4844" t="str">
            <v>Small Cap</v>
          </cell>
        </row>
        <row r="4845">
          <cell r="C4845" t="str">
            <v>INE0G1V01016</v>
          </cell>
          <cell r="D4845" t="str">
            <v>AMANAYA</v>
          </cell>
          <cell r="E4845">
            <v>6.3228270479999997</v>
          </cell>
          <cell r="F4845" t="str">
            <v>-</v>
          </cell>
          <cell r="G4845" t="str">
            <v>-</v>
          </cell>
          <cell r="H4845" t="str">
            <v>-</v>
          </cell>
          <cell r="I4845" t="str">
            <v>-</v>
          </cell>
          <cell r="J4845">
            <v>6.3228270479999997</v>
          </cell>
          <cell r="K4845" t="str">
            <v>Small Cap</v>
          </cell>
        </row>
        <row r="4846">
          <cell r="C4846" t="str">
            <v>INE318K01025</v>
          </cell>
          <cell r="D4846" t="str">
            <v>SPSL</v>
          </cell>
          <cell r="E4846">
            <v>6.3107877539999997</v>
          </cell>
          <cell r="F4846" t="str">
            <v>-</v>
          </cell>
          <cell r="G4846" t="str">
            <v>-</v>
          </cell>
          <cell r="H4846" t="str">
            <v>-</v>
          </cell>
          <cell r="I4846" t="str">
            <v>-</v>
          </cell>
          <cell r="J4846">
            <v>6.3107877539999997</v>
          </cell>
          <cell r="K4846" t="str">
            <v>Small Cap</v>
          </cell>
        </row>
        <row r="4847">
          <cell r="C4847" t="str">
            <v>INE661D01015</v>
          </cell>
          <cell r="D4847" t="str">
            <v>VISIONCO</v>
          </cell>
          <cell r="E4847">
            <v>6.2910569789999995</v>
          </cell>
          <cell r="F4847" t="str">
            <v>-</v>
          </cell>
          <cell r="G4847" t="str">
            <v>-</v>
          </cell>
          <cell r="H4847" t="str">
            <v>-</v>
          </cell>
          <cell r="I4847" t="str">
            <v>-</v>
          </cell>
          <cell r="J4847">
            <v>6.2910569789999995</v>
          </cell>
          <cell r="K4847" t="str">
            <v>Small Cap</v>
          </cell>
        </row>
        <row r="4848">
          <cell r="C4848" t="str">
            <v>INE314E01019</v>
          </cell>
          <cell r="D4848" t="str">
            <v>BBREALTY</v>
          </cell>
          <cell r="E4848">
            <v>6.2853570000000003</v>
          </cell>
          <cell r="F4848" t="str">
            <v>-</v>
          </cell>
          <cell r="G4848" t="str">
            <v>-</v>
          </cell>
          <cell r="H4848" t="str">
            <v>-</v>
          </cell>
          <cell r="I4848" t="str">
            <v>-</v>
          </cell>
          <cell r="J4848">
            <v>6.2853570000000003</v>
          </cell>
          <cell r="K4848" t="str">
            <v>Small Cap</v>
          </cell>
        </row>
        <row r="4849">
          <cell r="C4849" t="str">
            <v>INE960B01015</v>
          </cell>
          <cell r="D4849" t="str">
            <v>SPAR</v>
          </cell>
          <cell r="E4849">
            <v>6.2640383289999999</v>
          </cell>
          <cell r="F4849" t="str">
            <v>-</v>
          </cell>
          <cell r="G4849" t="str">
            <v>-</v>
          </cell>
          <cell r="H4849" t="str">
            <v>-</v>
          </cell>
          <cell r="I4849" t="str">
            <v>-</v>
          </cell>
          <cell r="J4849">
            <v>6.2640383289999999</v>
          </cell>
          <cell r="K4849" t="str">
            <v>Small Cap</v>
          </cell>
        </row>
        <row r="4850">
          <cell r="C4850" t="str">
            <v>INE140C01012</v>
          </cell>
          <cell r="D4850" t="str">
            <v>SIDDHA</v>
          </cell>
          <cell r="E4850">
            <v>6.238434603</v>
          </cell>
          <cell r="F4850" t="str">
            <v>-</v>
          </cell>
          <cell r="G4850" t="str">
            <v>-</v>
          </cell>
          <cell r="H4850" t="str">
            <v>-</v>
          </cell>
          <cell r="I4850" t="str">
            <v>-</v>
          </cell>
          <cell r="J4850">
            <v>6.238434603</v>
          </cell>
          <cell r="K4850" t="str">
            <v>Small Cap</v>
          </cell>
        </row>
        <row r="4851">
          <cell r="C4851" t="str">
            <v>INE035C01022</v>
          </cell>
          <cell r="D4851" t="str">
            <v>STARLITE</v>
          </cell>
          <cell r="E4851">
            <v>6.2244000000000002</v>
          </cell>
          <cell r="F4851" t="str">
            <v>-</v>
          </cell>
          <cell r="G4851" t="str">
            <v>-</v>
          </cell>
          <cell r="H4851" t="str">
            <v>-</v>
          </cell>
          <cell r="I4851" t="str">
            <v>-</v>
          </cell>
          <cell r="J4851">
            <v>6.2244000000000002</v>
          </cell>
          <cell r="K4851" t="str">
            <v>Small Cap</v>
          </cell>
        </row>
        <row r="4852">
          <cell r="C4852" t="str">
            <v>INE550D01010</v>
          </cell>
          <cell r="D4852" t="str">
            <v>WWALUM</v>
          </cell>
          <cell r="E4852">
            <v>6.1900068670000001</v>
          </cell>
          <cell r="F4852" t="str">
            <v>-</v>
          </cell>
          <cell r="G4852" t="str">
            <v>-</v>
          </cell>
          <cell r="H4852" t="str">
            <v>-</v>
          </cell>
          <cell r="I4852" t="str">
            <v>-</v>
          </cell>
          <cell r="J4852">
            <v>6.1900068670000001</v>
          </cell>
          <cell r="K4852" t="str">
            <v>Small Cap</v>
          </cell>
        </row>
        <row r="4853">
          <cell r="C4853" t="str">
            <v>INE614F01019</v>
          </cell>
          <cell r="D4853" t="str">
            <v>MFSINTRCRP</v>
          </cell>
          <cell r="E4853">
            <v>6.1763004459999999</v>
          </cell>
          <cell r="F4853" t="str">
            <v>-</v>
          </cell>
          <cell r="G4853" t="str">
            <v>-</v>
          </cell>
          <cell r="H4853" t="str">
            <v>-</v>
          </cell>
          <cell r="I4853" t="str">
            <v>-</v>
          </cell>
          <cell r="J4853">
            <v>6.1763004459999999</v>
          </cell>
          <cell r="K4853" t="str">
            <v>Small Cap</v>
          </cell>
        </row>
        <row r="4854">
          <cell r="C4854" t="str">
            <v>INE704F01018</v>
          </cell>
          <cell r="D4854" t="str">
            <v>PETPLST</v>
          </cell>
          <cell r="E4854">
            <v>6.1749999999999998</v>
          </cell>
          <cell r="F4854" t="str">
            <v>-</v>
          </cell>
          <cell r="G4854" t="str">
            <v>-</v>
          </cell>
          <cell r="H4854" t="str">
            <v>-</v>
          </cell>
          <cell r="I4854" t="str">
            <v>-</v>
          </cell>
          <cell r="J4854">
            <v>6.1749999999999998</v>
          </cell>
          <cell r="K4854" t="str">
            <v>Small Cap</v>
          </cell>
        </row>
        <row r="4855">
          <cell r="C4855" t="str">
            <v>INE817A01019</v>
          </cell>
          <cell r="D4855" t="str">
            <v>MELSTAR</v>
          </cell>
          <cell r="E4855">
            <v>6.1703160480000001</v>
          </cell>
          <cell r="F4855" t="str">
            <v>-</v>
          </cell>
          <cell r="G4855" t="str">
            <v>-</v>
          </cell>
          <cell r="H4855" t="str">
            <v>-</v>
          </cell>
          <cell r="I4855" t="str">
            <v>-</v>
          </cell>
          <cell r="J4855">
            <v>6.1703160480000001</v>
          </cell>
          <cell r="K4855" t="str">
            <v>Small Cap</v>
          </cell>
        </row>
        <row r="4856">
          <cell r="C4856" t="str">
            <v>INE886E01016</v>
          </cell>
          <cell r="D4856" t="str">
            <v>MULTIIN</v>
          </cell>
          <cell r="E4856">
            <v>6.1664000000000003</v>
          </cell>
          <cell r="F4856" t="str">
            <v>-</v>
          </cell>
          <cell r="G4856" t="str">
            <v>-</v>
          </cell>
          <cell r="H4856" t="str">
            <v>-</v>
          </cell>
          <cell r="I4856" t="str">
            <v>-</v>
          </cell>
          <cell r="J4856">
            <v>6.1664000000000003</v>
          </cell>
          <cell r="K4856" t="str">
            <v>Small Cap</v>
          </cell>
        </row>
        <row r="4857">
          <cell r="C4857" t="str">
            <v>INE354E01031</v>
          </cell>
          <cell r="D4857" t="str">
            <v>ATHARVENT</v>
          </cell>
          <cell r="E4857">
            <v>6.1634444439999996</v>
          </cell>
          <cell r="F4857" t="str">
            <v>-</v>
          </cell>
          <cell r="G4857" t="str">
            <v>-</v>
          </cell>
          <cell r="H4857" t="str">
            <v>-</v>
          </cell>
          <cell r="I4857" t="str">
            <v>-</v>
          </cell>
          <cell r="J4857">
            <v>6.1634444439999996</v>
          </cell>
          <cell r="K4857" t="str">
            <v>Small Cap</v>
          </cell>
        </row>
        <row r="4858">
          <cell r="C4858" t="str">
            <v>INE651C01018</v>
          </cell>
          <cell r="D4858" t="str">
            <v>LAKPRE</v>
          </cell>
          <cell r="E4858">
            <v>6.3452116350000001</v>
          </cell>
          <cell r="F4858" t="str">
            <v>LAKPRE</v>
          </cell>
          <cell r="G4858">
            <v>5.9725999999999999</v>
          </cell>
          <cell r="H4858" t="str">
            <v>-</v>
          </cell>
          <cell r="I4858" t="str">
            <v>-</v>
          </cell>
          <cell r="J4858">
            <v>6.1589058175</v>
          </cell>
          <cell r="K4858" t="str">
            <v>Small Cap</v>
          </cell>
        </row>
        <row r="4859">
          <cell r="C4859" t="str">
            <v>INE981B01011</v>
          </cell>
          <cell r="D4859" t="str">
            <v>CMICABLES</v>
          </cell>
          <cell r="E4859">
            <v>6.2570683320000002</v>
          </cell>
          <cell r="F4859" t="str">
            <v>CMICABLES</v>
          </cell>
          <cell r="G4859">
            <v>6.0590000000000002</v>
          </cell>
          <cell r="H4859" t="str">
            <v>-</v>
          </cell>
          <cell r="I4859" t="str">
            <v>-</v>
          </cell>
          <cell r="J4859">
            <v>6.1580341660000002</v>
          </cell>
          <cell r="K4859" t="str">
            <v>Small Cap</v>
          </cell>
        </row>
        <row r="4860">
          <cell r="C4860" t="str">
            <v>INE545B01022</v>
          </cell>
          <cell r="D4860" t="str">
            <v>CONTICON</v>
          </cell>
          <cell r="E4860">
            <v>6.1566948789999998</v>
          </cell>
          <cell r="F4860" t="str">
            <v>-</v>
          </cell>
          <cell r="G4860" t="str">
            <v>-</v>
          </cell>
          <cell r="H4860" t="str">
            <v>-</v>
          </cell>
          <cell r="I4860" t="str">
            <v>-</v>
          </cell>
          <cell r="J4860">
            <v>6.1566948789999998</v>
          </cell>
          <cell r="K4860" t="str">
            <v>Small Cap</v>
          </cell>
        </row>
        <row r="4861">
          <cell r="C4861" t="str">
            <v>INE380D01012</v>
          </cell>
          <cell r="D4861" t="str">
            <v>MODWOOL</v>
          </cell>
          <cell r="E4861">
            <v>6.1518672219999999</v>
          </cell>
          <cell r="F4861" t="str">
            <v>-</v>
          </cell>
          <cell r="G4861" t="str">
            <v>-</v>
          </cell>
          <cell r="H4861" t="str">
            <v>-</v>
          </cell>
          <cell r="I4861" t="str">
            <v>-</v>
          </cell>
          <cell r="J4861">
            <v>6.1518672219999999</v>
          </cell>
          <cell r="K4861" t="str">
            <v>Small Cap</v>
          </cell>
        </row>
        <row r="4862">
          <cell r="C4862" t="str">
            <v>INE329C01011</v>
          </cell>
          <cell r="D4862" t="str">
            <v>SRIND</v>
          </cell>
          <cell r="E4862">
            <v>6.1381319999999997</v>
          </cell>
          <cell r="F4862" t="str">
            <v>-</v>
          </cell>
          <cell r="G4862" t="str">
            <v>-</v>
          </cell>
          <cell r="H4862" t="str">
            <v>-</v>
          </cell>
          <cell r="I4862" t="str">
            <v>-</v>
          </cell>
          <cell r="J4862">
            <v>6.1381319999999997</v>
          </cell>
          <cell r="K4862" t="str">
            <v>Small Cap</v>
          </cell>
        </row>
        <row r="4863">
          <cell r="C4863" t="str">
            <v>INE944E01013</v>
          </cell>
          <cell r="D4863" t="str">
            <v>-</v>
          </cell>
          <cell r="E4863" t="str">
            <v>-</v>
          </cell>
          <cell r="F4863" t="str">
            <v>-</v>
          </cell>
          <cell r="G4863" t="str">
            <v>-</v>
          </cell>
          <cell r="H4863" t="str">
            <v>ANKUR</v>
          </cell>
          <cell r="I4863">
            <v>6.1050000000000111</v>
          </cell>
          <cell r="J4863">
            <v>6.1050000000000111</v>
          </cell>
          <cell r="K4863" t="str">
            <v>Small Cap</v>
          </cell>
        </row>
        <row r="4864">
          <cell r="C4864" t="str">
            <v>INE899B01015</v>
          </cell>
          <cell r="D4864" t="str">
            <v>BRAWN</v>
          </cell>
          <cell r="E4864">
            <v>6.1041579740000005</v>
          </cell>
          <cell r="F4864" t="str">
            <v>-</v>
          </cell>
          <cell r="G4864" t="str">
            <v>-</v>
          </cell>
          <cell r="H4864" t="str">
            <v>-</v>
          </cell>
          <cell r="I4864" t="str">
            <v>-</v>
          </cell>
          <cell r="J4864">
            <v>6.1041579740000005</v>
          </cell>
          <cell r="K4864" t="str">
            <v>Small Cap</v>
          </cell>
        </row>
        <row r="4865">
          <cell r="C4865" t="str">
            <v>INE881A01015</v>
          </cell>
          <cell r="D4865" t="str">
            <v>KOBO</v>
          </cell>
          <cell r="E4865">
            <v>6.0714041669999999</v>
          </cell>
          <cell r="F4865" t="str">
            <v>-</v>
          </cell>
          <cell r="G4865" t="str">
            <v>-</v>
          </cell>
          <cell r="H4865" t="str">
            <v>-</v>
          </cell>
          <cell r="I4865" t="str">
            <v>-</v>
          </cell>
          <cell r="J4865">
            <v>6.0714041669999999</v>
          </cell>
          <cell r="K4865" t="str">
            <v>Small Cap</v>
          </cell>
        </row>
        <row r="4866">
          <cell r="C4866" t="str">
            <v>INE743D01011</v>
          </cell>
          <cell r="D4866" t="str">
            <v>PADMAIND</v>
          </cell>
          <cell r="E4866">
            <v>6.0705542860000001</v>
          </cell>
          <cell r="F4866" t="str">
            <v>-</v>
          </cell>
          <cell r="G4866" t="str">
            <v>-</v>
          </cell>
          <cell r="H4866" t="str">
            <v>-</v>
          </cell>
          <cell r="I4866" t="str">
            <v>-</v>
          </cell>
          <cell r="J4866">
            <v>6.0705542860000001</v>
          </cell>
          <cell r="K4866" t="str">
            <v>Small Cap</v>
          </cell>
        </row>
        <row r="4867">
          <cell r="C4867" t="str">
            <v>INE521D01011</v>
          </cell>
          <cell r="D4867" t="str">
            <v>MAFLU</v>
          </cell>
          <cell r="E4867">
            <v>6.05</v>
          </cell>
          <cell r="F4867" t="str">
            <v>-</v>
          </cell>
          <cell r="G4867" t="str">
            <v>-</v>
          </cell>
          <cell r="H4867" t="str">
            <v>-</v>
          </cell>
          <cell r="I4867" t="str">
            <v>-</v>
          </cell>
          <cell r="J4867">
            <v>6.05</v>
          </cell>
          <cell r="K4867" t="str">
            <v>Small Cap</v>
          </cell>
        </row>
        <row r="4868">
          <cell r="C4868" t="str">
            <v>INE876E01033</v>
          </cell>
          <cell r="D4868" t="str">
            <v>NIHARINF</v>
          </cell>
          <cell r="E4868">
            <v>6.0348418170000002</v>
          </cell>
          <cell r="F4868" t="str">
            <v>-</v>
          </cell>
          <cell r="G4868" t="str">
            <v>-</v>
          </cell>
          <cell r="H4868" t="str">
            <v>-</v>
          </cell>
          <cell r="I4868" t="str">
            <v>-</v>
          </cell>
          <cell r="J4868">
            <v>6.0348418170000002</v>
          </cell>
          <cell r="K4868" t="str">
            <v>Small Cap</v>
          </cell>
        </row>
        <row r="4869">
          <cell r="C4869" t="str">
            <v>INE874H01015</v>
          </cell>
          <cell r="D4869" t="str">
            <v>CANDC</v>
          </cell>
          <cell r="E4869">
            <v>6.0050825400000001</v>
          </cell>
          <cell r="F4869" t="str">
            <v>-</v>
          </cell>
          <cell r="G4869" t="str">
            <v>-</v>
          </cell>
          <cell r="H4869" t="str">
            <v>-</v>
          </cell>
          <cell r="I4869" t="str">
            <v>-</v>
          </cell>
          <cell r="J4869">
            <v>6.0050825400000001</v>
          </cell>
          <cell r="K4869" t="str">
            <v>Small Cap</v>
          </cell>
        </row>
        <row r="4870">
          <cell r="C4870" t="str">
            <v>INE138D01014</v>
          </cell>
          <cell r="D4870" t="str">
            <v>FENOPLAS</v>
          </cell>
          <cell r="E4870">
            <v>5.9984000000000002</v>
          </cell>
          <cell r="F4870" t="str">
            <v>-</v>
          </cell>
          <cell r="G4870" t="str">
            <v>-</v>
          </cell>
          <cell r="H4870" t="str">
            <v>-</v>
          </cell>
          <cell r="I4870" t="str">
            <v>-</v>
          </cell>
          <cell r="J4870">
            <v>5.9984000000000002</v>
          </cell>
          <cell r="K4870" t="str">
            <v>Small Cap</v>
          </cell>
        </row>
        <row r="4871">
          <cell r="C4871" t="str">
            <v>INE204N01013</v>
          </cell>
          <cell r="D4871" t="str">
            <v>LOOKS</v>
          </cell>
          <cell r="E4871">
            <v>5.9939166670000006</v>
          </cell>
          <cell r="F4871" t="str">
            <v>-</v>
          </cell>
          <cell r="G4871" t="str">
            <v>-</v>
          </cell>
          <cell r="H4871" t="str">
            <v>-</v>
          </cell>
          <cell r="I4871" t="str">
            <v>-</v>
          </cell>
          <cell r="J4871">
            <v>5.9939166670000006</v>
          </cell>
          <cell r="K4871" t="str">
            <v>Small Cap</v>
          </cell>
        </row>
        <row r="4872">
          <cell r="C4872" t="str">
            <v>INE146F01020</v>
          </cell>
          <cell r="D4872" t="str">
            <v>GMETCOAL</v>
          </cell>
          <cell r="E4872">
            <v>5.9419740000000001</v>
          </cell>
          <cell r="F4872" t="str">
            <v>-</v>
          </cell>
          <cell r="G4872" t="str">
            <v>-</v>
          </cell>
          <cell r="H4872" t="str">
            <v>-</v>
          </cell>
          <cell r="I4872" t="str">
            <v>-</v>
          </cell>
          <cell r="J4872">
            <v>5.9419740000000001</v>
          </cell>
          <cell r="K4872" t="str">
            <v>Small Cap</v>
          </cell>
        </row>
        <row r="4873">
          <cell r="C4873" t="str">
            <v>INE266C01023</v>
          </cell>
          <cell r="D4873" t="str">
            <v>SGNTE</v>
          </cell>
          <cell r="E4873">
            <v>5.9376036049999996</v>
          </cell>
          <cell r="F4873" t="str">
            <v>-</v>
          </cell>
          <cell r="G4873" t="str">
            <v>-</v>
          </cell>
          <cell r="H4873" t="str">
            <v>-</v>
          </cell>
          <cell r="I4873" t="str">
            <v>-</v>
          </cell>
          <cell r="J4873">
            <v>5.9376036049999996</v>
          </cell>
          <cell r="K4873" t="str">
            <v>Small Cap</v>
          </cell>
        </row>
        <row r="4874">
          <cell r="C4874" t="str">
            <v>INE351L01016</v>
          </cell>
          <cell r="D4874" t="str">
            <v>SEATV</v>
          </cell>
          <cell r="E4874">
            <v>5.9346365079999996</v>
          </cell>
          <cell r="F4874" t="str">
            <v>-</v>
          </cell>
          <cell r="G4874" t="str">
            <v>-</v>
          </cell>
          <cell r="H4874" t="str">
            <v>-</v>
          </cell>
          <cell r="I4874" t="str">
            <v>-</v>
          </cell>
          <cell r="J4874">
            <v>5.9346365079999996</v>
          </cell>
          <cell r="K4874" t="str">
            <v>Small Cap</v>
          </cell>
        </row>
        <row r="4875">
          <cell r="C4875" t="str">
            <v>INE671X01012</v>
          </cell>
          <cell r="D4875" t="str">
            <v>-</v>
          </cell>
          <cell r="E4875" t="str">
            <v>-</v>
          </cell>
          <cell r="F4875" t="str">
            <v>-</v>
          </cell>
          <cell r="G4875" t="str">
            <v>-</v>
          </cell>
          <cell r="H4875" t="str">
            <v>RAMPURFERT</v>
          </cell>
          <cell r="I4875">
            <v>5.9130535900000032</v>
          </cell>
          <cell r="J4875">
            <v>5.9130535900000032</v>
          </cell>
          <cell r="K4875" t="str">
            <v>Small Cap</v>
          </cell>
        </row>
        <row r="4876">
          <cell r="C4876" t="str">
            <v>INE899D01011</v>
          </cell>
          <cell r="D4876" t="str">
            <v>DHARFIN</v>
          </cell>
          <cell r="E4876">
            <v>5.9047284950000005</v>
          </cell>
          <cell r="F4876" t="str">
            <v>-</v>
          </cell>
          <cell r="G4876" t="str">
            <v>-</v>
          </cell>
          <cell r="H4876" t="str">
            <v>-</v>
          </cell>
          <cell r="I4876" t="str">
            <v>-</v>
          </cell>
          <cell r="J4876">
            <v>5.9047284950000005</v>
          </cell>
          <cell r="K4876" t="str">
            <v>Small Cap</v>
          </cell>
        </row>
        <row r="4877">
          <cell r="C4877" t="str">
            <v>INE309B01023</v>
          </cell>
          <cell r="D4877" t="str">
            <v>HITKITGLO</v>
          </cell>
          <cell r="E4877">
            <v>5.9029349209999999</v>
          </cell>
          <cell r="F4877" t="str">
            <v>-</v>
          </cell>
          <cell r="G4877" t="str">
            <v>-</v>
          </cell>
          <cell r="H4877" t="str">
            <v>-</v>
          </cell>
          <cell r="I4877" t="str">
            <v>-</v>
          </cell>
          <cell r="J4877">
            <v>5.9029349209999999</v>
          </cell>
          <cell r="K4877" t="str">
            <v>Small Cap</v>
          </cell>
        </row>
        <row r="4878">
          <cell r="C4878" t="str">
            <v>INE771U01016</v>
          </cell>
          <cell r="D4878" t="str">
            <v>-</v>
          </cell>
          <cell r="E4878" t="str">
            <v>-</v>
          </cell>
          <cell r="F4878" t="str">
            <v>-</v>
          </cell>
          <cell r="G4878" t="str">
            <v>-</v>
          </cell>
          <cell r="H4878" t="str">
            <v>ASIANLAKTO</v>
          </cell>
          <cell r="I4878">
            <v>5.9014260000000069</v>
          </cell>
          <cell r="J4878">
            <v>5.9014260000000069</v>
          </cell>
          <cell r="K4878" t="str">
            <v>Small Cap</v>
          </cell>
        </row>
        <row r="4879">
          <cell r="C4879" t="str">
            <v>INE220A01032</v>
          </cell>
          <cell r="D4879" t="str">
            <v>ESKAY</v>
          </cell>
          <cell r="E4879">
            <v>5.897468892</v>
          </cell>
          <cell r="F4879" t="str">
            <v>-</v>
          </cell>
          <cell r="G4879" t="str">
            <v>-</v>
          </cell>
          <cell r="H4879" t="str">
            <v>-</v>
          </cell>
          <cell r="I4879" t="str">
            <v>-</v>
          </cell>
          <cell r="J4879">
            <v>5.897468892</v>
          </cell>
          <cell r="K4879" t="str">
            <v>Small Cap</v>
          </cell>
        </row>
        <row r="4880">
          <cell r="C4880" t="str">
            <v>INE818R01011</v>
          </cell>
          <cell r="D4880" t="str">
            <v>IISL</v>
          </cell>
          <cell r="E4880">
            <v>5.8871585140000002</v>
          </cell>
          <cell r="F4880" t="str">
            <v>-</v>
          </cell>
          <cell r="G4880" t="str">
            <v>-</v>
          </cell>
          <cell r="H4880" t="str">
            <v>-</v>
          </cell>
          <cell r="I4880" t="str">
            <v>-</v>
          </cell>
          <cell r="J4880">
            <v>5.8871585140000002</v>
          </cell>
          <cell r="K4880" t="str">
            <v>Small Cap</v>
          </cell>
        </row>
        <row r="4881">
          <cell r="C4881" t="str">
            <v>INE468C01017</v>
          </cell>
          <cell r="D4881" t="str">
            <v>MPAGI</v>
          </cell>
          <cell r="E4881">
            <v>5.8769696159999993</v>
          </cell>
          <cell r="F4881" t="str">
            <v>-</v>
          </cell>
          <cell r="G4881" t="str">
            <v>-</v>
          </cell>
          <cell r="H4881" t="str">
            <v>-</v>
          </cell>
          <cell r="I4881" t="str">
            <v>-</v>
          </cell>
          <cell r="J4881">
            <v>5.8769696159999993</v>
          </cell>
          <cell r="K4881" t="str">
            <v>Small Cap</v>
          </cell>
        </row>
        <row r="4882">
          <cell r="C4882" t="str">
            <v>INE982Q01017</v>
          </cell>
          <cell r="D4882" t="str">
            <v>HANMAN</v>
          </cell>
          <cell r="E4882">
            <v>5.864833333</v>
          </cell>
          <cell r="F4882" t="str">
            <v>-</v>
          </cell>
          <cell r="G4882" t="str">
            <v>-</v>
          </cell>
          <cell r="H4882" t="str">
            <v>-</v>
          </cell>
          <cell r="I4882" t="str">
            <v>-</v>
          </cell>
          <cell r="J4882">
            <v>5.864833333</v>
          </cell>
          <cell r="K4882" t="str">
            <v>Small Cap</v>
          </cell>
        </row>
        <row r="4883">
          <cell r="C4883" t="str">
            <v>INE130D01037</v>
          </cell>
          <cell r="D4883" t="str">
            <v>-</v>
          </cell>
          <cell r="E4883" t="str">
            <v>-</v>
          </cell>
          <cell r="F4883" t="str">
            <v>-</v>
          </cell>
          <cell r="G4883" t="str">
            <v>-</v>
          </cell>
          <cell r="H4883" t="str">
            <v>SHREETULSI</v>
          </cell>
          <cell r="I4883">
            <v>5.8406400000000058</v>
          </cell>
          <cell r="J4883">
            <v>5.8406400000000058</v>
          </cell>
          <cell r="K4883" t="str">
            <v>Small Cap</v>
          </cell>
        </row>
        <row r="4884">
          <cell r="C4884" t="str">
            <v>INE594R01018</v>
          </cell>
          <cell r="D4884" t="str">
            <v>KUBERJI</v>
          </cell>
          <cell r="E4884">
            <v>5.8397237219999996</v>
          </cell>
          <cell r="F4884" t="str">
            <v>-</v>
          </cell>
          <cell r="G4884" t="str">
            <v>-</v>
          </cell>
          <cell r="H4884" t="str">
            <v>-</v>
          </cell>
          <cell r="I4884" t="str">
            <v>-</v>
          </cell>
          <cell r="J4884">
            <v>5.8397237219999996</v>
          </cell>
          <cell r="K4884" t="str">
            <v>Small Cap</v>
          </cell>
        </row>
        <row r="4885">
          <cell r="C4885" t="str">
            <v>INE915E01013</v>
          </cell>
          <cell r="D4885" t="str">
            <v>GRATEXI</v>
          </cell>
          <cell r="E4885">
            <v>5.8371728569999997</v>
          </cell>
          <cell r="F4885" t="str">
            <v>-</v>
          </cell>
          <cell r="G4885" t="str">
            <v>-</v>
          </cell>
          <cell r="H4885" t="str">
            <v>-</v>
          </cell>
          <cell r="I4885" t="str">
            <v>-</v>
          </cell>
          <cell r="J4885">
            <v>5.8371728569999997</v>
          </cell>
          <cell r="K4885" t="str">
            <v>Small Cap</v>
          </cell>
        </row>
        <row r="4886">
          <cell r="C4886" t="str">
            <v>INE715D01019</v>
          </cell>
          <cell r="D4886" t="str">
            <v>CORNE</v>
          </cell>
          <cell r="E4886">
            <v>5.8362369049999998</v>
          </cell>
          <cell r="F4886" t="str">
            <v>-</v>
          </cell>
          <cell r="G4886" t="str">
            <v>-</v>
          </cell>
          <cell r="H4886" t="str">
            <v>-</v>
          </cell>
          <cell r="I4886" t="str">
            <v>-</v>
          </cell>
          <cell r="J4886">
            <v>5.8362369049999998</v>
          </cell>
          <cell r="K4886" t="str">
            <v>Small Cap</v>
          </cell>
        </row>
        <row r="4887">
          <cell r="C4887" t="str">
            <v>INE185D01015</v>
          </cell>
          <cell r="D4887" t="str">
            <v>LEXORAA</v>
          </cell>
          <cell r="E4887">
            <v>5.8296381589999999</v>
          </cell>
          <cell r="F4887" t="str">
            <v>-</v>
          </cell>
          <cell r="G4887" t="str">
            <v>-</v>
          </cell>
          <cell r="H4887" t="str">
            <v>-</v>
          </cell>
          <cell r="I4887" t="str">
            <v>-</v>
          </cell>
          <cell r="J4887">
            <v>5.8296381589999999</v>
          </cell>
          <cell r="K4887" t="str">
            <v>Small Cap</v>
          </cell>
        </row>
        <row r="4888">
          <cell r="C4888" t="str">
            <v>INE563D01013</v>
          </cell>
          <cell r="D4888" t="str">
            <v>AADIIND</v>
          </cell>
          <cell r="E4888">
            <v>5.8277777779999997</v>
          </cell>
          <cell r="F4888" t="str">
            <v>-</v>
          </cell>
          <cell r="G4888" t="str">
            <v>-</v>
          </cell>
          <cell r="H4888" t="str">
            <v>-</v>
          </cell>
          <cell r="I4888" t="str">
            <v>-</v>
          </cell>
          <cell r="J4888">
            <v>5.8277777779999997</v>
          </cell>
          <cell r="K4888" t="str">
            <v>Small Cap</v>
          </cell>
        </row>
        <row r="4889">
          <cell r="C4889" t="str">
            <v>INE873S01022</v>
          </cell>
          <cell r="D4889" t="str">
            <v>MUZALI</v>
          </cell>
          <cell r="E4889">
            <v>5.7981373659999997</v>
          </cell>
          <cell r="F4889" t="str">
            <v>-</v>
          </cell>
          <cell r="G4889" t="str">
            <v>-</v>
          </cell>
          <cell r="H4889" t="str">
            <v>-</v>
          </cell>
          <cell r="I4889" t="str">
            <v>-</v>
          </cell>
          <cell r="J4889">
            <v>5.7981373659999997</v>
          </cell>
          <cell r="K4889" t="str">
            <v>Small Cap</v>
          </cell>
        </row>
        <row r="4890">
          <cell r="C4890" t="str">
            <v>INE224M01013</v>
          </cell>
          <cell r="D4890" t="str">
            <v>BGLOBAL</v>
          </cell>
          <cell r="E4890">
            <v>5.8942656150000001</v>
          </cell>
          <cell r="F4890" t="str">
            <v>BGLOBAL</v>
          </cell>
          <cell r="G4890">
            <v>5.7009999999999996</v>
          </cell>
          <cell r="H4890" t="str">
            <v>-</v>
          </cell>
          <cell r="I4890" t="str">
            <v>-</v>
          </cell>
          <cell r="J4890">
            <v>5.7976328074999994</v>
          </cell>
          <cell r="K4890" t="str">
            <v>Small Cap</v>
          </cell>
        </row>
        <row r="4891">
          <cell r="C4891" t="str">
            <v>INE372W01019</v>
          </cell>
          <cell r="D4891" t="str">
            <v>-</v>
          </cell>
          <cell r="E4891" t="str">
            <v>-</v>
          </cell>
          <cell r="F4891" t="str">
            <v>-</v>
          </cell>
          <cell r="G4891" t="str">
            <v>-</v>
          </cell>
          <cell r="H4891" t="str">
            <v>MARYADACOM</v>
          </cell>
          <cell r="I4891">
            <v>5.7830249999999905</v>
          </cell>
          <cell r="J4891">
            <v>5.7830249999999905</v>
          </cell>
          <cell r="K4891" t="str">
            <v>Small Cap</v>
          </cell>
        </row>
        <row r="4892">
          <cell r="C4892" t="str">
            <v>INE851C01014</v>
          </cell>
          <cell r="D4892" t="str">
            <v>NEOCORP</v>
          </cell>
          <cell r="E4892">
            <v>5.7793740959999997</v>
          </cell>
          <cell r="F4892" t="str">
            <v>-</v>
          </cell>
          <cell r="G4892" t="str">
            <v>-</v>
          </cell>
          <cell r="H4892" t="str">
            <v>-</v>
          </cell>
          <cell r="I4892" t="str">
            <v>-</v>
          </cell>
          <cell r="J4892">
            <v>5.7793740959999997</v>
          </cell>
          <cell r="K4892" t="str">
            <v>Small Cap</v>
          </cell>
        </row>
        <row r="4893">
          <cell r="C4893" t="str">
            <v>INE808W01012</v>
          </cell>
          <cell r="D4893" t="str">
            <v>MLINDLTD</v>
          </cell>
          <cell r="E4893">
            <v>5.7757792969999997</v>
          </cell>
          <cell r="F4893" t="str">
            <v>-</v>
          </cell>
          <cell r="G4893" t="str">
            <v>-</v>
          </cell>
          <cell r="H4893" t="str">
            <v>-</v>
          </cell>
          <cell r="I4893" t="str">
            <v>-</v>
          </cell>
          <cell r="J4893">
            <v>5.7757792969999997</v>
          </cell>
          <cell r="K4893" t="str">
            <v>Small Cap</v>
          </cell>
        </row>
        <row r="4894">
          <cell r="C4894" t="str">
            <v>INE905C01034</v>
          </cell>
          <cell r="D4894" t="str">
            <v>HARCR</v>
          </cell>
          <cell r="E4894">
            <v>5.7497706290000004</v>
          </cell>
          <cell r="F4894" t="str">
            <v>-</v>
          </cell>
          <cell r="G4894" t="str">
            <v>-</v>
          </cell>
          <cell r="H4894" t="str">
            <v>-</v>
          </cell>
          <cell r="I4894" t="str">
            <v>-</v>
          </cell>
          <cell r="J4894">
            <v>5.7497706290000004</v>
          </cell>
          <cell r="K4894" t="str">
            <v>Small Cap</v>
          </cell>
        </row>
        <row r="4895">
          <cell r="C4895" t="str">
            <v>INE043U01010</v>
          </cell>
          <cell r="D4895" t="str">
            <v>CHDCHEM</v>
          </cell>
          <cell r="E4895">
            <v>5.7396307469999996</v>
          </cell>
          <cell r="F4895" t="str">
            <v>-</v>
          </cell>
          <cell r="G4895" t="str">
            <v>-</v>
          </cell>
          <cell r="H4895" t="str">
            <v>-</v>
          </cell>
          <cell r="I4895" t="str">
            <v>-</v>
          </cell>
          <cell r="J4895">
            <v>5.7396307469999996</v>
          </cell>
          <cell r="K4895" t="str">
            <v>Small Cap</v>
          </cell>
        </row>
        <row r="4896">
          <cell r="C4896" t="str">
            <v>INE314Z01014</v>
          </cell>
          <cell r="D4896" t="str">
            <v>RIDINGS</v>
          </cell>
          <cell r="E4896">
            <v>5.7224000000000004</v>
          </cell>
          <cell r="F4896" t="str">
            <v>-</v>
          </cell>
          <cell r="G4896" t="str">
            <v>-</v>
          </cell>
          <cell r="H4896" t="str">
            <v>-</v>
          </cell>
          <cell r="I4896" t="str">
            <v>-</v>
          </cell>
          <cell r="J4896">
            <v>5.7224000000000004</v>
          </cell>
          <cell r="K4896" t="str">
            <v>Small Cap</v>
          </cell>
        </row>
        <row r="4897">
          <cell r="C4897" t="str">
            <v>INE559B01023</v>
          </cell>
          <cell r="D4897" t="str">
            <v>NAKODA</v>
          </cell>
          <cell r="E4897">
            <v>5.7</v>
          </cell>
          <cell r="F4897" t="str">
            <v>-</v>
          </cell>
          <cell r="G4897" t="str">
            <v>-</v>
          </cell>
          <cell r="H4897" t="str">
            <v>-</v>
          </cell>
          <cell r="I4897" t="str">
            <v>-</v>
          </cell>
          <cell r="J4897">
            <v>5.7</v>
          </cell>
          <cell r="K4897" t="str">
            <v>Small Cap</v>
          </cell>
        </row>
        <row r="4898">
          <cell r="C4898" t="str">
            <v>INE929C01018</v>
          </cell>
          <cell r="D4898" t="str">
            <v>KLGCAP</v>
          </cell>
          <cell r="E4898">
            <v>5.6926218219999996</v>
          </cell>
          <cell r="F4898" t="str">
            <v>-</v>
          </cell>
          <cell r="G4898" t="str">
            <v>-</v>
          </cell>
          <cell r="H4898" t="str">
            <v>-</v>
          </cell>
          <cell r="I4898" t="str">
            <v>-</v>
          </cell>
          <cell r="J4898">
            <v>5.6926218219999996</v>
          </cell>
          <cell r="K4898" t="str">
            <v>Small Cap</v>
          </cell>
        </row>
        <row r="4899">
          <cell r="C4899" t="str">
            <v>INE287D01019</v>
          </cell>
          <cell r="D4899" t="str">
            <v>INFRAIND</v>
          </cell>
          <cell r="E4899">
            <v>5.6839449999999996</v>
          </cell>
          <cell r="F4899" t="str">
            <v>-</v>
          </cell>
          <cell r="G4899" t="str">
            <v>-</v>
          </cell>
          <cell r="H4899" t="str">
            <v>-</v>
          </cell>
          <cell r="I4899" t="str">
            <v>-</v>
          </cell>
          <cell r="J4899">
            <v>5.6839449999999996</v>
          </cell>
          <cell r="K4899" t="str">
            <v>Small Cap</v>
          </cell>
        </row>
        <row r="4900">
          <cell r="C4900" t="str">
            <v>INE601F01016</v>
          </cell>
          <cell r="D4900" t="str">
            <v>EPSOMPRO</v>
          </cell>
          <cell r="E4900">
            <v>5.6664939680000002</v>
          </cell>
          <cell r="F4900" t="str">
            <v>-</v>
          </cell>
          <cell r="G4900" t="str">
            <v>-</v>
          </cell>
          <cell r="H4900" t="str">
            <v>-</v>
          </cell>
          <cell r="I4900" t="str">
            <v>-</v>
          </cell>
          <cell r="J4900">
            <v>5.6664939680000002</v>
          </cell>
          <cell r="K4900" t="str">
            <v>Small Cap</v>
          </cell>
        </row>
        <row r="4901">
          <cell r="C4901" t="str">
            <v>INE457Y01014</v>
          </cell>
          <cell r="D4901" t="str">
            <v>KMSL</v>
          </cell>
          <cell r="E4901">
            <v>5.6586970020000003</v>
          </cell>
          <cell r="F4901" t="str">
            <v>-</v>
          </cell>
          <cell r="G4901" t="str">
            <v>-</v>
          </cell>
          <cell r="H4901" t="str">
            <v>-</v>
          </cell>
          <cell r="I4901" t="str">
            <v>-</v>
          </cell>
          <cell r="J4901">
            <v>5.6586970020000003</v>
          </cell>
          <cell r="K4901" t="str">
            <v>Small Cap</v>
          </cell>
        </row>
        <row r="4902">
          <cell r="C4902" t="str">
            <v>INE338N01019</v>
          </cell>
          <cell r="D4902" t="str">
            <v>UNQTYMI</v>
          </cell>
          <cell r="E4902">
            <v>5.6445860479999999</v>
          </cell>
          <cell r="F4902" t="str">
            <v>-</v>
          </cell>
          <cell r="G4902" t="str">
            <v>-</v>
          </cell>
          <cell r="H4902" t="str">
            <v>-</v>
          </cell>
          <cell r="I4902" t="str">
            <v>-</v>
          </cell>
          <cell r="J4902">
            <v>5.6445860479999999</v>
          </cell>
          <cell r="K4902" t="str">
            <v>Small Cap</v>
          </cell>
        </row>
        <row r="4903">
          <cell r="C4903" t="str">
            <v>INE038N01015</v>
          </cell>
          <cell r="D4903" t="str">
            <v>INTETHR</v>
          </cell>
          <cell r="E4903">
            <v>5.6281798380000003</v>
          </cell>
          <cell r="F4903" t="str">
            <v>-</v>
          </cell>
          <cell r="G4903" t="str">
            <v>-</v>
          </cell>
          <cell r="H4903" t="str">
            <v>-</v>
          </cell>
          <cell r="I4903" t="str">
            <v>-</v>
          </cell>
          <cell r="J4903">
            <v>5.6281798380000003</v>
          </cell>
          <cell r="K4903" t="str">
            <v>Small Cap</v>
          </cell>
        </row>
        <row r="4904">
          <cell r="C4904" t="str">
            <v>INE413C01013</v>
          </cell>
          <cell r="D4904" t="str">
            <v>SIPL</v>
          </cell>
          <cell r="E4904">
            <v>5.6117264000000002</v>
          </cell>
          <cell r="F4904" t="str">
            <v>-</v>
          </cell>
          <cell r="G4904" t="str">
            <v>-</v>
          </cell>
          <cell r="H4904" t="str">
            <v>-</v>
          </cell>
          <cell r="I4904" t="str">
            <v>-</v>
          </cell>
          <cell r="J4904">
            <v>5.6117264000000002</v>
          </cell>
          <cell r="K4904" t="str">
            <v>Small Cap</v>
          </cell>
        </row>
        <row r="4905">
          <cell r="C4905" t="str">
            <v>INE507D01010</v>
          </cell>
          <cell r="D4905" t="str">
            <v>INCON</v>
          </cell>
          <cell r="E4905">
            <v>5.5999198990000005</v>
          </cell>
          <cell r="F4905" t="str">
            <v>-</v>
          </cell>
          <cell r="G4905" t="str">
            <v>-</v>
          </cell>
          <cell r="H4905" t="str">
            <v>-</v>
          </cell>
          <cell r="I4905" t="str">
            <v>-</v>
          </cell>
          <cell r="J4905">
            <v>5.5999198990000005</v>
          </cell>
          <cell r="K4905" t="str">
            <v>Small Cap</v>
          </cell>
        </row>
        <row r="4906">
          <cell r="C4906" t="str">
            <v>INE236P01010</v>
          </cell>
          <cell r="D4906" t="str">
            <v>GARODCH</v>
          </cell>
          <cell r="E4906">
            <v>5.5834122329999998</v>
          </cell>
          <cell r="F4906" t="str">
            <v>-</v>
          </cell>
          <cell r="G4906" t="str">
            <v>-</v>
          </cell>
          <cell r="H4906" t="str">
            <v>-</v>
          </cell>
          <cell r="I4906" t="str">
            <v>-</v>
          </cell>
          <cell r="J4906">
            <v>5.5834122329999998</v>
          </cell>
          <cell r="K4906" t="str">
            <v>Small Cap</v>
          </cell>
        </row>
        <row r="4907">
          <cell r="C4907" t="str">
            <v>INE650D01026</v>
          </cell>
          <cell r="D4907" t="str">
            <v>RAMASIGNS</v>
          </cell>
          <cell r="E4907">
            <v>5.5833376979999993</v>
          </cell>
          <cell r="F4907" t="str">
            <v>-</v>
          </cell>
          <cell r="G4907" t="str">
            <v>-</v>
          </cell>
          <cell r="H4907" t="str">
            <v>-</v>
          </cell>
          <cell r="I4907" t="str">
            <v>-</v>
          </cell>
          <cell r="J4907">
            <v>5.5833376979999993</v>
          </cell>
          <cell r="K4907" t="str">
            <v>Small Cap</v>
          </cell>
        </row>
        <row r="4908">
          <cell r="C4908" t="str">
            <v>INE829G01011</v>
          </cell>
          <cell r="D4908" t="str">
            <v>FACORSTE</v>
          </cell>
          <cell r="E4908">
            <v>5.5831586309999999</v>
          </cell>
          <cell r="F4908" t="str">
            <v>-</v>
          </cell>
          <cell r="G4908" t="str">
            <v>-</v>
          </cell>
          <cell r="H4908" t="str">
            <v>-</v>
          </cell>
          <cell r="I4908" t="str">
            <v>-</v>
          </cell>
          <cell r="J4908">
            <v>5.5831586309999999</v>
          </cell>
          <cell r="K4908" t="str">
            <v>Small Cap</v>
          </cell>
        </row>
        <row r="4909">
          <cell r="C4909" t="str">
            <v>INE400B01020</v>
          </cell>
          <cell r="D4909" t="str">
            <v>VIRGOGLOB</v>
          </cell>
          <cell r="E4909">
            <v>5.5215936320000001</v>
          </cell>
          <cell r="F4909" t="str">
            <v>-</v>
          </cell>
          <cell r="G4909" t="str">
            <v>-</v>
          </cell>
          <cell r="H4909" t="str">
            <v>-</v>
          </cell>
          <cell r="I4909" t="str">
            <v>-</v>
          </cell>
          <cell r="J4909">
            <v>5.5215936320000001</v>
          </cell>
          <cell r="K4909" t="str">
            <v>Small Cap</v>
          </cell>
        </row>
        <row r="4910">
          <cell r="C4910" t="str">
            <v>INE019D01016</v>
          </cell>
          <cell r="D4910" t="str">
            <v>MAHAVEER</v>
          </cell>
          <cell r="E4910">
            <v>5.5130661669999999</v>
          </cell>
          <cell r="F4910" t="str">
            <v>-</v>
          </cell>
          <cell r="G4910" t="str">
            <v>-</v>
          </cell>
          <cell r="H4910" t="str">
            <v>-</v>
          </cell>
          <cell r="I4910" t="str">
            <v>-</v>
          </cell>
          <cell r="J4910">
            <v>5.5130661669999999</v>
          </cell>
          <cell r="K4910" t="str">
            <v>Small Cap</v>
          </cell>
        </row>
        <row r="4911">
          <cell r="C4911" t="str">
            <v>INE062F01011</v>
          </cell>
          <cell r="D4911" t="str">
            <v>-</v>
          </cell>
          <cell r="E4911" t="str">
            <v>-</v>
          </cell>
          <cell r="F4911" t="str">
            <v>-</v>
          </cell>
          <cell r="G4911" t="str">
            <v>-</v>
          </cell>
          <cell r="H4911" t="str">
            <v>QUALITY</v>
          </cell>
          <cell r="I4911">
            <v>5.5</v>
          </cell>
          <cell r="J4911">
            <v>5.5</v>
          </cell>
          <cell r="K4911" t="str">
            <v>Small Cap</v>
          </cell>
        </row>
        <row r="4912">
          <cell r="C4912" t="str">
            <v>INE275N01013</v>
          </cell>
          <cell r="D4912" t="str">
            <v>NEYCERI</v>
          </cell>
          <cell r="E4912">
            <v>5.4986220000000001</v>
          </cell>
          <cell r="F4912" t="str">
            <v>-</v>
          </cell>
          <cell r="G4912" t="str">
            <v>-</v>
          </cell>
          <cell r="H4912" t="str">
            <v>-</v>
          </cell>
          <cell r="I4912" t="str">
            <v>-</v>
          </cell>
          <cell r="J4912">
            <v>5.4986220000000001</v>
          </cell>
          <cell r="K4912" t="str">
            <v>Small Cap</v>
          </cell>
        </row>
        <row r="4913">
          <cell r="C4913" t="str">
            <v>INE531D01010</v>
          </cell>
          <cell r="D4913" t="str">
            <v>LEADFIN</v>
          </cell>
          <cell r="E4913">
            <v>5.4890785710000003</v>
          </cell>
          <cell r="F4913" t="str">
            <v>-</v>
          </cell>
          <cell r="G4913" t="str">
            <v>-</v>
          </cell>
          <cell r="H4913" t="str">
            <v>-</v>
          </cell>
          <cell r="I4913" t="str">
            <v>-</v>
          </cell>
          <cell r="J4913">
            <v>5.4890785710000003</v>
          </cell>
          <cell r="K4913" t="str">
            <v>Small Cap</v>
          </cell>
        </row>
        <row r="4914">
          <cell r="C4914" t="str">
            <v>INE371B01023</v>
          </cell>
          <cell r="D4914" t="str">
            <v>SOLANA</v>
          </cell>
          <cell r="E4914">
            <v>5.4863757840000007</v>
          </cell>
          <cell r="F4914" t="str">
            <v>-</v>
          </cell>
          <cell r="G4914" t="str">
            <v>-</v>
          </cell>
          <cell r="H4914" t="str">
            <v>-</v>
          </cell>
          <cell r="I4914" t="str">
            <v>-</v>
          </cell>
          <cell r="J4914">
            <v>5.4863757840000007</v>
          </cell>
          <cell r="K4914" t="str">
            <v>Small Cap</v>
          </cell>
        </row>
        <row r="4915">
          <cell r="C4915" t="str">
            <v>INE849L01019</v>
          </cell>
          <cell r="D4915" t="str">
            <v>ORTEL</v>
          </cell>
          <cell r="E4915">
            <v>5.410567093</v>
          </cell>
          <cell r="F4915" t="str">
            <v>ORTEL</v>
          </cell>
          <cell r="G4915">
            <v>5.5621</v>
          </cell>
          <cell r="H4915" t="str">
            <v>-</v>
          </cell>
          <cell r="I4915" t="str">
            <v>-</v>
          </cell>
          <cell r="J4915">
            <v>5.4863335465</v>
          </cell>
          <cell r="K4915" t="str">
            <v>Small Cap</v>
          </cell>
        </row>
        <row r="4916">
          <cell r="C4916" t="str">
            <v>INE912B01032</v>
          </cell>
          <cell r="D4916" t="str">
            <v>GOYALASS</v>
          </cell>
          <cell r="E4916">
            <v>5.4747807540000002</v>
          </cell>
          <cell r="F4916" t="str">
            <v>-</v>
          </cell>
          <cell r="G4916" t="str">
            <v>-</v>
          </cell>
          <cell r="H4916" t="str">
            <v>-</v>
          </cell>
          <cell r="I4916" t="str">
            <v>-</v>
          </cell>
          <cell r="J4916">
            <v>5.4747807540000002</v>
          </cell>
          <cell r="K4916" t="str">
            <v>Small Cap</v>
          </cell>
        </row>
        <row r="4917">
          <cell r="C4917" t="str">
            <v>INE747D01012</v>
          </cell>
          <cell r="D4917" t="str">
            <v>PITHP</v>
          </cell>
          <cell r="E4917">
            <v>5.4516850479999999</v>
          </cell>
          <cell r="F4917" t="str">
            <v>-</v>
          </cell>
          <cell r="G4917" t="str">
            <v>-</v>
          </cell>
          <cell r="H4917" t="str">
            <v>-</v>
          </cell>
          <cell r="I4917" t="str">
            <v>-</v>
          </cell>
          <cell r="J4917">
            <v>5.4516850479999999</v>
          </cell>
          <cell r="K4917" t="str">
            <v>Small Cap</v>
          </cell>
        </row>
        <row r="4918">
          <cell r="C4918" t="str">
            <v>INE009U01011</v>
          </cell>
          <cell r="D4918" t="str">
            <v>GHUSHINE</v>
          </cell>
          <cell r="E4918">
            <v>5.4365643429999997</v>
          </cell>
          <cell r="F4918" t="str">
            <v>-</v>
          </cell>
          <cell r="G4918" t="str">
            <v>-</v>
          </cell>
          <cell r="H4918" t="str">
            <v>-</v>
          </cell>
          <cell r="I4918" t="str">
            <v>-</v>
          </cell>
          <cell r="J4918">
            <v>5.4365643429999997</v>
          </cell>
          <cell r="K4918" t="str">
            <v>Small Cap</v>
          </cell>
        </row>
        <row r="4919">
          <cell r="C4919" t="str">
            <v>INE861E01019</v>
          </cell>
          <cell r="D4919" t="str">
            <v>SHYAMACOMP</v>
          </cell>
          <cell r="E4919">
            <v>5.4045828</v>
          </cell>
          <cell r="F4919" t="str">
            <v>-</v>
          </cell>
          <cell r="G4919" t="str">
            <v>-</v>
          </cell>
          <cell r="H4919" t="str">
            <v>-</v>
          </cell>
          <cell r="I4919" t="str">
            <v>-</v>
          </cell>
          <cell r="J4919">
            <v>5.4045828</v>
          </cell>
          <cell r="K4919" t="str">
            <v>Small Cap</v>
          </cell>
        </row>
        <row r="4920">
          <cell r="C4920" t="str">
            <v>INE131Q01011</v>
          </cell>
          <cell r="D4920" t="str">
            <v>ASIACAP</v>
          </cell>
          <cell r="E4920">
            <v>5.3708039999999997</v>
          </cell>
          <cell r="F4920" t="str">
            <v>-</v>
          </cell>
          <cell r="G4920" t="str">
            <v>-</v>
          </cell>
          <cell r="H4920" t="str">
            <v>-</v>
          </cell>
          <cell r="I4920" t="str">
            <v>-</v>
          </cell>
          <cell r="J4920">
            <v>5.3708039999999997</v>
          </cell>
          <cell r="K4920" t="str">
            <v>Small Cap</v>
          </cell>
        </row>
        <row r="4921">
          <cell r="C4921" t="str">
            <v>INE109B01019</v>
          </cell>
          <cell r="D4921" t="str">
            <v>BOSTONBIO</v>
          </cell>
          <cell r="E4921">
            <v>5.3654999999999999</v>
          </cell>
          <cell r="F4921" t="str">
            <v>-</v>
          </cell>
          <cell r="G4921" t="str">
            <v>-</v>
          </cell>
          <cell r="H4921" t="str">
            <v>-</v>
          </cell>
          <cell r="I4921" t="str">
            <v>-</v>
          </cell>
          <cell r="J4921">
            <v>5.3654999999999999</v>
          </cell>
          <cell r="K4921" t="str">
            <v>Small Cap</v>
          </cell>
        </row>
        <row r="4922">
          <cell r="C4922" t="str">
            <v>INE0KQQ01011</v>
          </cell>
          <cell r="D4922" t="str">
            <v>MAFIA</v>
          </cell>
          <cell r="E4922">
            <v>5.3617805479999996</v>
          </cell>
          <cell r="F4922" t="str">
            <v>-</v>
          </cell>
          <cell r="G4922" t="str">
            <v>-</v>
          </cell>
          <cell r="H4922" t="str">
            <v>-</v>
          </cell>
          <cell r="I4922" t="str">
            <v>-</v>
          </cell>
          <cell r="J4922">
            <v>5.3617805479999996</v>
          </cell>
          <cell r="K4922" t="str">
            <v>Small Cap</v>
          </cell>
        </row>
        <row r="4923">
          <cell r="C4923" t="str">
            <v>INE184U01012</v>
          </cell>
          <cell r="D4923" t="str">
            <v>ASYL</v>
          </cell>
          <cell r="E4923">
            <v>5.3592871409999994</v>
          </cell>
          <cell r="F4923" t="str">
            <v>-</v>
          </cell>
          <cell r="G4923" t="str">
            <v>-</v>
          </cell>
          <cell r="H4923" t="str">
            <v>-</v>
          </cell>
          <cell r="I4923" t="str">
            <v>-</v>
          </cell>
          <cell r="J4923">
            <v>5.3592871409999994</v>
          </cell>
          <cell r="K4923" t="str">
            <v>Small Cap</v>
          </cell>
        </row>
        <row r="4924">
          <cell r="C4924" t="str">
            <v>INE617C01027</v>
          </cell>
          <cell r="D4924" t="str">
            <v>FFPL</v>
          </cell>
          <cell r="E4924">
            <v>5.3591979170000004</v>
          </cell>
          <cell r="F4924" t="str">
            <v>-</v>
          </cell>
          <cell r="G4924" t="str">
            <v>-</v>
          </cell>
          <cell r="H4924" t="str">
            <v>-</v>
          </cell>
          <cell r="I4924" t="str">
            <v>-</v>
          </cell>
          <cell r="J4924">
            <v>5.3591979170000004</v>
          </cell>
          <cell r="K4924" t="str">
            <v>Small Cap</v>
          </cell>
        </row>
        <row r="4925">
          <cell r="C4925" t="str">
            <v>INE605F01017</v>
          </cell>
          <cell r="D4925" t="str">
            <v>NRINTER</v>
          </cell>
          <cell r="E4925">
            <v>5.3371975000000003</v>
          </cell>
          <cell r="F4925" t="str">
            <v>-</v>
          </cell>
          <cell r="G4925" t="str">
            <v>-</v>
          </cell>
          <cell r="H4925" t="str">
            <v>-</v>
          </cell>
          <cell r="I4925" t="str">
            <v>-</v>
          </cell>
          <cell r="J4925">
            <v>5.3371975000000003</v>
          </cell>
          <cell r="K4925" t="str">
            <v>Small Cap</v>
          </cell>
        </row>
        <row r="4926">
          <cell r="C4926" t="str">
            <v>INE093G01022</v>
          </cell>
          <cell r="D4926" t="str">
            <v>SWORDEDGE</v>
          </cell>
          <cell r="E4926">
            <v>5.2972666670000006</v>
          </cell>
          <cell r="F4926" t="str">
            <v>-</v>
          </cell>
          <cell r="G4926" t="str">
            <v>-</v>
          </cell>
          <cell r="H4926" t="str">
            <v>-</v>
          </cell>
          <cell r="I4926" t="str">
            <v>-</v>
          </cell>
          <cell r="J4926">
            <v>5.2972666670000006</v>
          </cell>
          <cell r="K4926" t="str">
            <v>Small Cap</v>
          </cell>
        </row>
        <row r="4927">
          <cell r="C4927" t="str">
            <v>INE456H01029</v>
          </cell>
          <cell r="D4927" t="str">
            <v>SIMPLXPAP</v>
          </cell>
          <cell r="E4927">
            <v>5.2904677329999998</v>
          </cell>
          <cell r="F4927" t="str">
            <v>-</v>
          </cell>
          <cell r="G4927" t="str">
            <v>-</v>
          </cell>
          <cell r="H4927" t="str">
            <v>-</v>
          </cell>
          <cell r="I4927" t="str">
            <v>-</v>
          </cell>
          <cell r="J4927">
            <v>5.2904677329999998</v>
          </cell>
          <cell r="K4927" t="str">
            <v>Small Cap</v>
          </cell>
        </row>
        <row r="4928">
          <cell r="C4928" t="str">
            <v>INE327C01031</v>
          </cell>
          <cell r="D4928" t="str">
            <v>GOLKONDA</v>
          </cell>
          <cell r="E4928">
            <v>5.2629012030000002</v>
          </cell>
          <cell r="F4928" t="str">
            <v>-</v>
          </cell>
          <cell r="G4928" t="str">
            <v>-</v>
          </cell>
          <cell r="H4928" t="str">
            <v>-</v>
          </cell>
          <cell r="I4928" t="str">
            <v>-</v>
          </cell>
          <cell r="J4928">
            <v>5.2629012030000002</v>
          </cell>
          <cell r="K4928" t="str">
            <v>Small Cap</v>
          </cell>
        </row>
        <row r="4929">
          <cell r="C4929" t="str">
            <v>INE936T01017</v>
          </cell>
          <cell r="D4929" t="str">
            <v>-</v>
          </cell>
          <cell r="E4929" t="str">
            <v>-</v>
          </cell>
          <cell r="F4929" t="str">
            <v>-</v>
          </cell>
          <cell r="G4929" t="str">
            <v>-</v>
          </cell>
          <cell r="H4929" t="str">
            <v>LARK</v>
          </cell>
          <cell r="I4929">
            <v>5.2599999999999936</v>
          </cell>
          <cell r="J4929">
            <v>5.2599999999999936</v>
          </cell>
          <cell r="K4929" t="str">
            <v>Small Cap</v>
          </cell>
        </row>
        <row r="4930">
          <cell r="C4930" t="str">
            <v>INE570B01012</v>
          </cell>
          <cell r="D4930" t="str">
            <v>ADITYA</v>
          </cell>
          <cell r="E4930">
            <v>5.2345079370000001</v>
          </cell>
          <cell r="F4930" t="str">
            <v>-</v>
          </cell>
          <cell r="G4930" t="str">
            <v>-</v>
          </cell>
          <cell r="H4930" t="str">
            <v>-</v>
          </cell>
          <cell r="I4930" t="str">
            <v>-</v>
          </cell>
          <cell r="J4930">
            <v>5.2345079370000001</v>
          </cell>
          <cell r="K4930" t="str">
            <v>Small Cap</v>
          </cell>
        </row>
        <row r="4931">
          <cell r="C4931" t="str">
            <v>INE065B01013</v>
          </cell>
          <cell r="D4931" t="str">
            <v>INDLMETER</v>
          </cell>
          <cell r="E4931">
            <v>5.2337571780000003</v>
          </cell>
          <cell r="F4931" t="str">
            <v>-</v>
          </cell>
          <cell r="G4931" t="str">
            <v>-</v>
          </cell>
          <cell r="H4931" t="str">
            <v>-</v>
          </cell>
          <cell r="I4931" t="str">
            <v>-</v>
          </cell>
          <cell r="J4931">
            <v>5.2337571780000003</v>
          </cell>
          <cell r="K4931" t="str">
            <v>Small Cap</v>
          </cell>
        </row>
        <row r="4932">
          <cell r="C4932" t="str">
            <v>INE897D01015</v>
          </cell>
          <cell r="D4932" t="str">
            <v>CINDRELL</v>
          </cell>
          <cell r="E4932">
            <v>5.2306057140000002</v>
          </cell>
          <cell r="F4932" t="str">
            <v>-</v>
          </cell>
          <cell r="G4932" t="str">
            <v>-</v>
          </cell>
          <cell r="H4932" t="str">
            <v>-</v>
          </cell>
          <cell r="I4932" t="str">
            <v>-</v>
          </cell>
          <cell r="J4932">
            <v>5.2306057140000002</v>
          </cell>
          <cell r="K4932" t="str">
            <v>Small Cap</v>
          </cell>
        </row>
        <row r="4933">
          <cell r="C4933" t="str">
            <v>INE786K01023</v>
          </cell>
          <cell r="D4933" t="str">
            <v>WAGEND</v>
          </cell>
          <cell r="E4933">
            <v>5.224516865</v>
          </cell>
          <cell r="F4933" t="str">
            <v>-</v>
          </cell>
          <cell r="G4933" t="str">
            <v>-</v>
          </cell>
          <cell r="H4933" t="str">
            <v>-</v>
          </cell>
          <cell r="I4933" t="str">
            <v>-</v>
          </cell>
          <cell r="J4933">
            <v>5.224516865</v>
          </cell>
          <cell r="K4933" t="str">
            <v>Small Cap</v>
          </cell>
        </row>
        <row r="4934">
          <cell r="C4934" t="str">
            <v>INE188R01019</v>
          </cell>
          <cell r="D4934" t="str">
            <v>-</v>
          </cell>
          <cell r="E4934" t="str">
            <v>-</v>
          </cell>
          <cell r="F4934" t="str">
            <v>-</v>
          </cell>
          <cell r="G4934" t="str">
            <v>-</v>
          </cell>
          <cell r="H4934" t="str">
            <v>JCKINFRA</v>
          </cell>
          <cell r="I4934">
            <v>5.2083337499999942</v>
          </cell>
          <cell r="J4934">
            <v>5.2083337499999942</v>
          </cell>
          <cell r="K4934" t="str">
            <v>Small Cap</v>
          </cell>
        </row>
        <row r="4935">
          <cell r="C4935" t="str">
            <v>INE888E01020</v>
          </cell>
          <cell r="D4935" t="str">
            <v>ASISL</v>
          </cell>
          <cell r="E4935">
            <v>5.1925949999999998</v>
          </cell>
          <cell r="F4935" t="str">
            <v>-</v>
          </cell>
          <cell r="G4935" t="str">
            <v>-</v>
          </cell>
          <cell r="H4935" t="str">
            <v>-</v>
          </cell>
          <cell r="I4935" t="str">
            <v>-</v>
          </cell>
          <cell r="J4935">
            <v>5.1925949999999998</v>
          </cell>
          <cell r="K4935" t="str">
            <v>Small Cap</v>
          </cell>
        </row>
        <row r="4936">
          <cell r="C4936" t="str">
            <v>INE197R01010</v>
          </cell>
          <cell r="D4936" t="str">
            <v>AANANDALAK</v>
          </cell>
          <cell r="E4936">
            <v>5.189445182</v>
          </cell>
          <cell r="F4936" t="str">
            <v>-</v>
          </cell>
          <cell r="G4936" t="str">
            <v>-</v>
          </cell>
          <cell r="H4936" t="str">
            <v>-</v>
          </cell>
          <cell r="I4936" t="str">
            <v>-</v>
          </cell>
          <cell r="J4936">
            <v>5.189445182</v>
          </cell>
          <cell r="K4936" t="str">
            <v>Small Cap</v>
          </cell>
        </row>
        <row r="4937">
          <cell r="C4937" t="str">
            <v>INE980V01011</v>
          </cell>
          <cell r="D4937" t="str">
            <v>-</v>
          </cell>
          <cell r="E4937" t="str">
            <v>-</v>
          </cell>
          <cell r="F4937" t="str">
            <v>-</v>
          </cell>
          <cell r="G4937" t="str">
            <v>-</v>
          </cell>
          <cell r="H4937" t="str">
            <v>GOLDEDGE</v>
          </cell>
          <cell r="I4937">
            <v>5.1480119999999951</v>
          </cell>
          <cell r="J4937">
            <v>5.1480119999999951</v>
          </cell>
          <cell r="K4937" t="str">
            <v>Small Cap</v>
          </cell>
        </row>
        <row r="4938">
          <cell r="C4938" t="str">
            <v>INE0DRT01018</v>
          </cell>
          <cell r="D4938" t="str">
            <v>FABINO</v>
          </cell>
          <cell r="E4938">
            <v>5.1290166670000001</v>
          </cell>
          <cell r="F4938" t="str">
            <v>-</v>
          </cell>
          <cell r="G4938" t="str">
            <v>-</v>
          </cell>
          <cell r="H4938" t="str">
            <v>-</v>
          </cell>
          <cell r="I4938" t="str">
            <v>-</v>
          </cell>
          <cell r="J4938">
            <v>5.1290166670000001</v>
          </cell>
          <cell r="K4938" t="str">
            <v>Small Cap</v>
          </cell>
        </row>
        <row r="4939">
          <cell r="C4939" t="str">
            <v>INE01MO01013</v>
          </cell>
          <cell r="D4939" t="str">
            <v>MAHESH</v>
          </cell>
          <cell r="E4939">
            <v>5.1069599999999999</v>
          </cell>
          <cell r="F4939" t="str">
            <v>-</v>
          </cell>
          <cell r="G4939" t="str">
            <v>-</v>
          </cell>
          <cell r="H4939" t="str">
            <v>-</v>
          </cell>
          <cell r="I4939" t="str">
            <v>-</v>
          </cell>
          <cell r="J4939">
            <v>5.1069599999999999</v>
          </cell>
          <cell r="K4939" t="str">
            <v>Small Cap</v>
          </cell>
        </row>
        <row r="4940">
          <cell r="C4940" t="str">
            <v>INE116E01018</v>
          </cell>
          <cell r="D4940" t="str">
            <v>VAICC</v>
          </cell>
          <cell r="E4940">
            <v>5.1000512670000004</v>
          </cell>
          <cell r="F4940" t="str">
            <v>-</v>
          </cell>
          <cell r="G4940" t="str">
            <v>-</v>
          </cell>
          <cell r="H4940" t="str">
            <v>-</v>
          </cell>
          <cell r="I4940" t="str">
            <v>-</v>
          </cell>
          <cell r="J4940">
            <v>5.1000512670000004</v>
          </cell>
          <cell r="K4940" t="str">
            <v>Small Cap</v>
          </cell>
        </row>
        <row r="4941">
          <cell r="C4941" t="str">
            <v>INE109Y01011</v>
          </cell>
          <cell r="D4941" t="str">
            <v>DWL</v>
          </cell>
          <cell r="E4941">
            <v>5.0977741170000002</v>
          </cell>
          <cell r="F4941" t="str">
            <v>-</v>
          </cell>
          <cell r="G4941" t="str">
            <v>-</v>
          </cell>
          <cell r="H4941" t="str">
            <v>-</v>
          </cell>
          <cell r="I4941" t="str">
            <v>-</v>
          </cell>
          <cell r="J4941">
            <v>5.0977741170000002</v>
          </cell>
          <cell r="K4941" t="str">
            <v>Small Cap</v>
          </cell>
        </row>
        <row r="4942">
          <cell r="C4942" t="str">
            <v>INE210P01015</v>
          </cell>
          <cell r="D4942" t="str">
            <v>UNISHIRE</v>
          </cell>
          <cell r="E4942">
            <v>5.0862867859999996</v>
          </cell>
          <cell r="F4942" t="str">
            <v>-</v>
          </cell>
          <cell r="G4942" t="str">
            <v>-</v>
          </cell>
          <cell r="H4942" t="str">
            <v>-</v>
          </cell>
          <cell r="I4942" t="str">
            <v>-</v>
          </cell>
          <cell r="J4942">
            <v>5.0862867859999996</v>
          </cell>
          <cell r="K4942" t="str">
            <v>Small Cap</v>
          </cell>
        </row>
        <row r="4943">
          <cell r="C4943" t="str">
            <v>INE630C01012</v>
          </cell>
          <cell r="D4943" t="str">
            <v>JPTSEC</v>
          </cell>
          <cell r="E4943">
            <v>5.075201571</v>
          </cell>
          <cell r="F4943" t="str">
            <v>-</v>
          </cell>
          <cell r="G4943" t="str">
            <v>-</v>
          </cell>
          <cell r="H4943" t="str">
            <v>-</v>
          </cell>
          <cell r="I4943" t="str">
            <v>-</v>
          </cell>
          <cell r="J4943">
            <v>5.075201571</v>
          </cell>
          <cell r="K4943" t="str">
            <v>Small Cap</v>
          </cell>
        </row>
        <row r="4944">
          <cell r="C4944" t="str">
            <v>INE01KG01013</v>
          </cell>
          <cell r="D4944" t="str">
            <v>-</v>
          </cell>
          <cell r="E4944" t="str">
            <v>-</v>
          </cell>
          <cell r="F4944" t="str">
            <v>-</v>
          </cell>
          <cell r="G4944" t="str">
            <v>-</v>
          </cell>
          <cell r="H4944" t="str">
            <v>RICHNRICH</v>
          </cell>
          <cell r="I4944">
            <v>5.049999999999998</v>
          </cell>
          <cell r="J4944">
            <v>5.049999999999998</v>
          </cell>
          <cell r="K4944" t="str">
            <v>Small Cap</v>
          </cell>
        </row>
        <row r="4945">
          <cell r="C4945" t="str">
            <v>INE545N01019</v>
          </cell>
          <cell r="D4945" t="str">
            <v>SHAQUAK</v>
          </cell>
          <cell r="E4945">
            <v>5.0487415869999994</v>
          </cell>
          <cell r="F4945" t="str">
            <v>-</v>
          </cell>
          <cell r="G4945" t="str">
            <v>-</v>
          </cell>
          <cell r="H4945" t="str">
            <v>-</v>
          </cell>
          <cell r="I4945" t="str">
            <v>-</v>
          </cell>
          <cell r="J4945">
            <v>5.0487415869999994</v>
          </cell>
          <cell r="K4945" t="str">
            <v>Small Cap</v>
          </cell>
        </row>
        <row r="4946">
          <cell r="C4946" t="str">
            <v>INE856E01019</v>
          </cell>
          <cell r="D4946" t="str">
            <v>BANSTEA</v>
          </cell>
          <cell r="E4946">
            <v>5.0226540479999997</v>
          </cell>
          <cell r="F4946" t="str">
            <v>-</v>
          </cell>
          <cell r="G4946" t="str">
            <v>-</v>
          </cell>
          <cell r="H4946" t="str">
            <v>-</v>
          </cell>
          <cell r="I4946" t="str">
            <v>-</v>
          </cell>
          <cell r="J4946">
            <v>5.0226540479999997</v>
          </cell>
          <cell r="K4946" t="str">
            <v>Small Cap</v>
          </cell>
        </row>
        <row r="4947">
          <cell r="C4947" t="str">
            <v>INE131N01018</v>
          </cell>
          <cell r="D4947" t="str">
            <v>JOINTECAED</v>
          </cell>
          <cell r="E4947">
            <v>4.9975552130000001</v>
          </cell>
          <cell r="F4947" t="str">
            <v>-</v>
          </cell>
          <cell r="G4947" t="str">
            <v>-</v>
          </cell>
          <cell r="H4947" t="str">
            <v>-</v>
          </cell>
          <cell r="I4947" t="str">
            <v>-</v>
          </cell>
          <cell r="J4947">
            <v>4.9975552130000001</v>
          </cell>
          <cell r="K4947" t="str">
            <v>Small Cap</v>
          </cell>
        </row>
        <row r="4948">
          <cell r="C4948" t="str">
            <v>INE028D01025</v>
          </cell>
          <cell r="D4948" t="str">
            <v>RAINBOWPAP</v>
          </cell>
          <cell r="E4948">
            <v>4.9922130999999998</v>
          </cell>
          <cell r="F4948" t="str">
            <v>-</v>
          </cell>
          <cell r="G4948" t="str">
            <v>-</v>
          </cell>
          <cell r="H4948" t="str">
            <v>-</v>
          </cell>
          <cell r="I4948" t="str">
            <v>-</v>
          </cell>
          <cell r="J4948">
            <v>4.9922130999999998</v>
          </cell>
          <cell r="K4948" t="str">
            <v>Small Cap</v>
          </cell>
        </row>
        <row r="4949">
          <cell r="C4949" t="str">
            <v>INE063F01019</v>
          </cell>
          <cell r="D4949" t="str">
            <v>-</v>
          </cell>
          <cell r="E4949" t="str">
            <v>-</v>
          </cell>
          <cell r="F4949" t="str">
            <v>-</v>
          </cell>
          <cell r="G4949" t="str">
            <v>-</v>
          </cell>
          <cell r="H4949" t="str">
            <v>SRINARAYAN</v>
          </cell>
          <cell r="I4949">
            <v>4.9788999999999977</v>
          </cell>
          <cell r="J4949">
            <v>4.9788999999999977</v>
          </cell>
          <cell r="K4949" t="str">
            <v>Small Cap</v>
          </cell>
        </row>
        <row r="4950">
          <cell r="C4950" t="str">
            <v>INE727E01012</v>
          </cell>
          <cell r="D4950" t="str">
            <v>UNITEDTE</v>
          </cell>
          <cell r="E4950">
            <v>4.9758571429999998</v>
          </cell>
          <cell r="F4950" t="str">
            <v>-</v>
          </cell>
          <cell r="G4950" t="str">
            <v>-</v>
          </cell>
          <cell r="H4950" t="str">
            <v>-</v>
          </cell>
          <cell r="I4950" t="str">
            <v>-</v>
          </cell>
          <cell r="J4950">
            <v>4.9758571429999998</v>
          </cell>
          <cell r="K4950" t="str">
            <v>Small Cap</v>
          </cell>
        </row>
        <row r="4951">
          <cell r="C4951" t="str">
            <v>INE695C01015</v>
          </cell>
          <cell r="D4951" t="str">
            <v>SOURCEIND</v>
          </cell>
          <cell r="E4951">
            <v>4.9701269439999995</v>
          </cell>
          <cell r="F4951" t="str">
            <v>-</v>
          </cell>
          <cell r="G4951" t="str">
            <v>-</v>
          </cell>
          <cell r="H4951" t="str">
            <v>-</v>
          </cell>
          <cell r="I4951" t="str">
            <v>-</v>
          </cell>
          <cell r="J4951">
            <v>4.9701269439999995</v>
          </cell>
          <cell r="K4951" t="str">
            <v>Small Cap</v>
          </cell>
        </row>
        <row r="4952">
          <cell r="C4952" t="str">
            <v>INE457E01016</v>
          </cell>
          <cell r="D4952" t="str">
            <v>VALLABHSQ</v>
          </cell>
          <cell r="E4952">
            <v>4.9558928570000003</v>
          </cell>
          <cell r="F4952" t="str">
            <v>-</v>
          </cell>
          <cell r="G4952" t="str">
            <v>-</v>
          </cell>
          <cell r="H4952" t="str">
            <v>-</v>
          </cell>
          <cell r="I4952" t="str">
            <v>-</v>
          </cell>
          <cell r="J4952">
            <v>4.9558928570000003</v>
          </cell>
          <cell r="K4952" t="str">
            <v>Small Cap</v>
          </cell>
        </row>
        <row r="4953">
          <cell r="C4953" t="str">
            <v>INE098D01010</v>
          </cell>
          <cell r="D4953" t="str">
            <v>-</v>
          </cell>
          <cell r="E4953" t="str">
            <v>-</v>
          </cell>
          <cell r="F4953" t="str">
            <v>-</v>
          </cell>
          <cell r="G4953" t="str">
            <v>-</v>
          </cell>
          <cell r="H4953" t="str">
            <v>SUNPOINT</v>
          </cell>
          <cell r="I4953">
            <v>4.9292262500000099</v>
          </cell>
          <cell r="J4953">
            <v>4.9292262500000099</v>
          </cell>
          <cell r="K4953" t="str">
            <v>Small Cap</v>
          </cell>
        </row>
        <row r="4954">
          <cell r="C4954" t="str">
            <v>INE947C01010</v>
          </cell>
          <cell r="D4954" t="str">
            <v>BPCAP</v>
          </cell>
          <cell r="E4954">
            <v>4.9156484670000005</v>
          </cell>
          <cell r="F4954" t="str">
            <v>-</v>
          </cell>
          <cell r="G4954" t="str">
            <v>-</v>
          </cell>
          <cell r="H4954" t="str">
            <v>-</v>
          </cell>
          <cell r="I4954" t="str">
            <v>-</v>
          </cell>
          <cell r="J4954">
            <v>4.9156484670000005</v>
          </cell>
          <cell r="K4954" t="str">
            <v>Small Cap</v>
          </cell>
        </row>
        <row r="4955">
          <cell r="C4955" t="str">
            <v>INE763D01019</v>
          </cell>
          <cell r="D4955" t="str">
            <v>VOLLF</v>
          </cell>
          <cell r="E4955">
            <v>4.9020868100000001</v>
          </cell>
          <cell r="F4955" t="str">
            <v>-</v>
          </cell>
          <cell r="G4955" t="str">
            <v>-</v>
          </cell>
          <cell r="H4955" t="str">
            <v>-</v>
          </cell>
          <cell r="I4955" t="str">
            <v>-</v>
          </cell>
          <cell r="J4955">
            <v>4.9020868100000001</v>
          </cell>
          <cell r="K4955" t="str">
            <v>Small Cap</v>
          </cell>
        </row>
        <row r="4956">
          <cell r="C4956" t="str">
            <v>INE834A01014</v>
          </cell>
          <cell r="D4956" t="str">
            <v>ATCOM</v>
          </cell>
          <cell r="E4956">
            <v>4.8934600000000001</v>
          </cell>
          <cell r="F4956" t="str">
            <v>-</v>
          </cell>
          <cell r="G4956" t="str">
            <v>-</v>
          </cell>
          <cell r="H4956" t="str">
            <v>-</v>
          </cell>
          <cell r="I4956" t="str">
            <v>-</v>
          </cell>
          <cell r="J4956">
            <v>4.8934600000000001</v>
          </cell>
          <cell r="K4956" t="str">
            <v>Small Cap</v>
          </cell>
        </row>
        <row r="4957">
          <cell r="C4957" t="str">
            <v>INE022S01018</v>
          </cell>
          <cell r="D4957" t="str">
            <v>-</v>
          </cell>
          <cell r="E4957" t="str">
            <v>-</v>
          </cell>
          <cell r="F4957" t="str">
            <v>-</v>
          </cell>
          <cell r="G4957" t="str">
            <v>-</v>
          </cell>
          <cell r="H4957" t="str">
            <v>INDUENG</v>
          </cell>
          <cell r="I4957">
            <v>4.8877499999999916</v>
          </cell>
          <cell r="J4957">
            <v>4.8877499999999916</v>
          </cell>
          <cell r="K4957" t="str">
            <v>Small Cap</v>
          </cell>
        </row>
        <row r="4958">
          <cell r="C4958" t="str">
            <v>INE017P01014</v>
          </cell>
          <cell r="D4958" t="str">
            <v>ZMULTIPU</v>
          </cell>
          <cell r="E4958">
            <v>4.8816428570000001</v>
          </cell>
          <cell r="F4958" t="str">
            <v>-</v>
          </cell>
          <cell r="G4958" t="str">
            <v>-</v>
          </cell>
          <cell r="H4958" t="str">
            <v>-</v>
          </cell>
          <cell r="I4958" t="str">
            <v>-</v>
          </cell>
          <cell r="J4958">
            <v>4.8816428570000001</v>
          </cell>
          <cell r="K4958" t="str">
            <v>Small Cap</v>
          </cell>
        </row>
        <row r="4959">
          <cell r="C4959" t="str">
            <v>INE025D01013</v>
          </cell>
          <cell r="D4959" t="str">
            <v>HEERAISP</v>
          </cell>
          <cell r="E4959">
            <v>4.879175644</v>
          </cell>
          <cell r="F4959" t="str">
            <v>-</v>
          </cell>
          <cell r="G4959" t="str">
            <v>-</v>
          </cell>
          <cell r="H4959" t="str">
            <v>-</v>
          </cell>
          <cell r="I4959" t="str">
            <v>-</v>
          </cell>
          <cell r="J4959">
            <v>4.879175644</v>
          </cell>
          <cell r="K4959" t="str">
            <v>Small Cap</v>
          </cell>
        </row>
        <row r="4960">
          <cell r="C4960" t="str">
            <v>INE161B01036</v>
          </cell>
          <cell r="D4960" t="str">
            <v>MAXIMAA</v>
          </cell>
          <cell r="E4960">
            <v>4.8721054200000005</v>
          </cell>
          <cell r="F4960" t="str">
            <v>-</v>
          </cell>
          <cell r="G4960" t="str">
            <v>-</v>
          </cell>
          <cell r="H4960" t="str">
            <v>-</v>
          </cell>
          <cell r="I4960" t="str">
            <v>-</v>
          </cell>
          <cell r="J4960">
            <v>4.8721054200000005</v>
          </cell>
          <cell r="K4960" t="str">
            <v>Small Cap</v>
          </cell>
        </row>
        <row r="4961">
          <cell r="C4961" t="str">
            <v>INE621O01016</v>
          </cell>
          <cell r="D4961" t="str">
            <v>SRL</v>
          </cell>
          <cell r="E4961">
            <v>4.8453119999999998</v>
          </cell>
          <cell r="F4961" t="str">
            <v>-</v>
          </cell>
          <cell r="G4961" t="str">
            <v>-</v>
          </cell>
          <cell r="H4961" t="str">
            <v>-</v>
          </cell>
          <cell r="I4961" t="str">
            <v>-</v>
          </cell>
          <cell r="J4961">
            <v>4.8453119999999998</v>
          </cell>
          <cell r="K4961" t="str">
            <v>Small Cap</v>
          </cell>
        </row>
        <row r="4962">
          <cell r="C4962" t="str">
            <v>INE905B01010</v>
          </cell>
          <cell r="D4962" t="str">
            <v>WOMENNET</v>
          </cell>
          <cell r="E4962">
            <v>4.8424599939999995</v>
          </cell>
          <cell r="F4962" t="str">
            <v>-</v>
          </cell>
          <cell r="G4962" t="str">
            <v>-</v>
          </cell>
          <cell r="H4962" t="str">
            <v>-</v>
          </cell>
          <cell r="I4962" t="str">
            <v>-</v>
          </cell>
          <cell r="J4962">
            <v>4.8424599939999995</v>
          </cell>
          <cell r="K4962" t="str">
            <v>Small Cap</v>
          </cell>
        </row>
        <row r="4963">
          <cell r="C4963" t="str">
            <v>INE550L01013</v>
          </cell>
          <cell r="D4963" t="str">
            <v>OLPCL</v>
          </cell>
          <cell r="E4963">
            <v>4.838765403</v>
          </cell>
          <cell r="F4963" t="str">
            <v>-</v>
          </cell>
          <cell r="G4963" t="str">
            <v>-</v>
          </cell>
          <cell r="H4963" t="str">
            <v>-</v>
          </cell>
          <cell r="I4963" t="str">
            <v>-</v>
          </cell>
          <cell r="J4963">
            <v>4.838765403</v>
          </cell>
          <cell r="K4963" t="str">
            <v>Small Cap</v>
          </cell>
        </row>
        <row r="4964">
          <cell r="C4964" t="str">
            <v>INE234G01022</v>
          </cell>
          <cell r="D4964" t="str">
            <v>TRIOMERC</v>
          </cell>
          <cell r="E4964">
            <v>4.8278123189999995</v>
          </cell>
          <cell r="F4964" t="str">
            <v>-</v>
          </cell>
          <cell r="G4964" t="str">
            <v>-</v>
          </cell>
          <cell r="H4964" t="str">
            <v>-</v>
          </cell>
          <cell r="I4964" t="str">
            <v>-</v>
          </cell>
          <cell r="J4964">
            <v>4.8278123189999995</v>
          </cell>
          <cell r="K4964" t="str">
            <v>Small Cap</v>
          </cell>
        </row>
        <row r="4965">
          <cell r="C4965" t="str">
            <v>INE007G01014</v>
          </cell>
          <cell r="D4965" t="str">
            <v>MHSGRMS</v>
          </cell>
          <cell r="E4965">
            <v>4.8024141939999998</v>
          </cell>
          <cell r="F4965" t="str">
            <v>-</v>
          </cell>
          <cell r="G4965" t="str">
            <v>-</v>
          </cell>
          <cell r="H4965" t="str">
            <v>-</v>
          </cell>
          <cell r="I4965" t="str">
            <v>-</v>
          </cell>
          <cell r="J4965">
            <v>4.8024141939999998</v>
          </cell>
          <cell r="K4965" t="str">
            <v>Small Cap</v>
          </cell>
        </row>
        <row r="4966">
          <cell r="C4966" t="str">
            <v>INE0EMB01015</v>
          </cell>
          <cell r="D4966" t="str">
            <v>SUUMAYA</v>
          </cell>
          <cell r="E4966">
            <v>4.7966590849999999</v>
          </cell>
          <cell r="F4966" t="str">
            <v>-</v>
          </cell>
          <cell r="G4966" t="str">
            <v>-</v>
          </cell>
          <cell r="H4966" t="str">
            <v>-</v>
          </cell>
          <cell r="I4966" t="str">
            <v>-</v>
          </cell>
          <cell r="J4966">
            <v>4.7966590849999999</v>
          </cell>
          <cell r="K4966" t="str">
            <v>Small Cap</v>
          </cell>
        </row>
        <row r="4967">
          <cell r="C4967" t="str">
            <v>INE766A01018</v>
          </cell>
          <cell r="D4967" t="str">
            <v>PAEL</v>
          </cell>
          <cell r="E4967">
            <v>4.7930159999999997</v>
          </cell>
          <cell r="F4967" t="str">
            <v>-</v>
          </cell>
          <cell r="G4967" t="str">
            <v>-</v>
          </cell>
          <cell r="H4967" t="str">
            <v>-</v>
          </cell>
          <cell r="I4967" t="str">
            <v>-</v>
          </cell>
          <cell r="J4967">
            <v>4.7930159999999997</v>
          </cell>
          <cell r="K4967" t="str">
            <v>Small Cap</v>
          </cell>
        </row>
        <row r="4968">
          <cell r="C4968" t="str">
            <v>INE365C01023</v>
          </cell>
          <cell r="D4968" t="str">
            <v>CISTRO</v>
          </cell>
          <cell r="E4968">
            <v>4.7903833970000003</v>
          </cell>
          <cell r="F4968" t="str">
            <v>-</v>
          </cell>
          <cell r="G4968" t="str">
            <v>-</v>
          </cell>
          <cell r="H4968" t="str">
            <v>-</v>
          </cell>
          <cell r="I4968" t="str">
            <v>-</v>
          </cell>
          <cell r="J4968">
            <v>4.7903833970000003</v>
          </cell>
          <cell r="K4968" t="str">
            <v>Small Cap</v>
          </cell>
        </row>
        <row r="4969">
          <cell r="C4969" t="str">
            <v>INE425F01028</v>
          </cell>
          <cell r="D4969" t="str">
            <v>BEFOUNDMOL</v>
          </cell>
          <cell r="E4969">
            <v>4.7889682540000003</v>
          </cell>
          <cell r="F4969" t="str">
            <v>-</v>
          </cell>
          <cell r="G4969" t="str">
            <v>-</v>
          </cell>
          <cell r="H4969" t="str">
            <v>-</v>
          </cell>
          <cell r="I4969" t="str">
            <v>-</v>
          </cell>
          <cell r="J4969">
            <v>4.7889682540000003</v>
          </cell>
          <cell r="K4969" t="str">
            <v>Small Cap</v>
          </cell>
        </row>
        <row r="4970">
          <cell r="C4970" t="str">
            <v>INE976B01011</v>
          </cell>
          <cell r="D4970" t="str">
            <v>JALPAC</v>
          </cell>
          <cell r="E4970">
            <v>4.7885499999999999</v>
          </cell>
          <cell r="F4970" t="str">
            <v>-</v>
          </cell>
          <cell r="G4970" t="str">
            <v>-</v>
          </cell>
          <cell r="H4970" t="str">
            <v>-</v>
          </cell>
          <cell r="I4970" t="str">
            <v>-</v>
          </cell>
          <cell r="J4970">
            <v>4.7885499999999999</v>
          </cell>
          <cell r="K4970" t="str">
            <v>Small Cap</v>
          </cell>
        </row>
        <row r="4971">
          <cell r="C4971" t="str">
            <v>INE723K01018</v>
          </cell>
          <cell r="D4971" t="str">
            <v>ASHUTPM</v>
          </cell>
          <cell r="E4971">
            <v>4.7803733890000002</v>
          </cell>
          <cell r="F4971" t="str">
            <v>-</v>
          </cell>
          <cell r="G4971" t="str">
            <v>-</v>
          </cell>
          <cell r="H4971" t="str">
            <v>-</v>
          </cell>
          <cell r="I4971" t="str">
            <v>-</v>
          </cell>
          <cell r="J4971">
            <v>4.7803733890000002</v>
          </cell>
          <cell r="K4971" t="str">
            <v>Small Cap</v>
          </cell>
        </row>
        <row r="4972">
          <cell r="C4972" t="str">
            <v>INE528E01022</v>
          </cell>
          <cell r="D4972" t="str">
            <v>SIKOZY</v>
          </cell>
          <cell r="E4972">
            <v>4.7763961670000006</v>
          </cell>
          <cell r="F4972" t="str">
            <v>-</v>
          </cell>
          <cell r="G4972" t="str">
            <v>-</v>
          </cell>
          <cell r="H4972" t="str">
            <v>-</v>
          </cell>
          <cell r="I4972" t="str">
            <v>-</v>
          </cell>
          <cell r="J4972">
            <v>4.7763961670000006</v>
          </cell>
          <cell r="K4972" t="str">
            <v>Small Cap</v>
          </cell>
        </row>
        <row r="4973">
          <cell r="C4973" t="str">
            <v>INE033B01011</v>
          </cell>
          <cell r="D4973" t="str">
            <v>QUINTEGRA</v>
          </cell>
          <cell r="E4973">
            <v>4.7766922869999995</v>
          </cell>
          <cell r="F4973" t="str">
            <v>QUINTEGRA</v>
          </cell>
          <cell r="G4973">
            <v>4.7630999999999997</v>
          </cell>
          <cell r="H4973" t="str">
            <v>-</v>
          </cell>
          <cell r="I4973" t="str">
            <v>-</v>
          </cell>
          <cell r="J4973">
            <v>4.7698961434999996</v>
          </cell>
          <cell r="K4973" t="str">
            <v>Small Cap</v>
          </cell>
        </row>
        <row r="4974">
          <cell r="C4974" t="str">
            <v>INE756A01019</v>
          </cell>
          <cell r="D4974" t="str">
            <v>VXLINSTR</v>
          </cell>
          <cell r="E4974">
            <v>4.7551558099999998</v>
          </cell>
          <cell r="F4974" t="str">
            <v>-</v>
          </cell>
          <cell r="G4974" t="str">
            <v>-</v>
          </cell>
          <cell r="H4974" t="str">
            <v>-</v>
          </cell>
          <cell r="I4974" t="str">
            <v>-</v>
          </cell>
          <cell r="J4974">
            <v>4.7551558099999998</v>
          </cell>
          <cell r="K4974" t="str">
            <v>Small Cap</v>
          </cell>
        </row>
        <row r="4975">
          <cell r="C4975" t="str">
            <v>INE576P01019</v>
          </cell>
          <cell r="D4975" t="str">
            <v>KCSL</v>
          </cell>
          <cell r="E4975">
            <v>4.7382879999999998</v>
          </cell>
          <cell r="F4975" t="str">
            <v>-</v>
          </cell>
          <cell r="G4975" t="str">
            <v>-</v>
          </cell>
          <cell r="H4975" t="str">
            <v>-</v>
          </cell>
          <cell r="I4975" t="str">
            <v>-</v>
          </cell>
          <cell r="J4975">
            <v>4.7382879999999998</v>
          </cell>
          <cell r="K4975" t="str">
            <v>Small Cap</v>
          </cell>
        </row>
        <row r="4976">
          <cell r="C4976" t="str">
            <v>INE728Q01014</v>
          </cell>
          <cell r="D4976" t="str">
            <v>SHIVA</v>
          </cell>
          <cell r="E4976">
            <v>4.7376952380000006</v>
          </cell>
          <cell r="F4976" t="str">
            <v>-</v>
          </cell>
          <cell r="G4976" t="str">
            <v>-</v>
          </cell>
          <cell r="H4976" t="str">
            <v>-</v>
          </cell>
          <cell r="I4976" t="str">
            <v>-</v>
          </cell>
          <cell r="J4976">
            <v>4.7376952380000006</v>
          </cell>
          <cell r="K4976" t="str">
            <v>Small Cap</v>
          </cell>
        </row>
        <row r="4977">
          <cell r="C4977" t="str">
            <v>INE206I01026</v>
          </cell>
          <cell r="D4977" t="str">
            <v>DIAMANT</v>
          </cell>
          <cell r="E4977">
            <v>4.7198505710000003</v>
          </cell>
          <cell r="F4977" t="str">
            <v>-</v>
          </cell>
          <cell r="G4977" t="str">
            <v>-</v>
          </cell>
          <cell r="H4977" t="str">
            <v>-</v>
          </cell>
          <cell r="I4977" t="str">
            <v>-</v>
          </cell>
          <cell r="J4977">
            <v>4.7198505710000003</v>
          </cell>
          <cell r="K4977" t="str">
            <v>Small Cap</v>
          </cell>
        </row>
        <row r="4978">
          <cell r="C4978" t="str">
            <v>INE073A01019</v>
          </cell>
          <cell r="D4978" t="str">
            <v>KRIFILIND</v>
          </cell>
          <cell r="E4978">
            <v>4.7149136299999999</v>
          </cell>
          <cell r="F4978" t="str">
            <v>-</v>
          </cell>
          <cell r="G4978" t="str">
            <v>-</v>
          </cell>
          <cell r="H4978" t="str">
            <v>-</v>
          </cell>
          <cell r="I4978" t="str">
            <v>-</v>
          </cell>
          <cell r="J4978">
            <v>4.7149136299999999</v>
          </cell>
          <cell r="K4978" t="str">
            <v>Small Cap</v>
          </cell>
        </row>
        <row r="4979">
          <cell r="C4979" t="str">
            <v>INE291R01011</v>
          </cell>
          <cell r="D4979" t="str">
            <v>ATHCON</v>
          </cell>
          <cell r="E4979">
            <v>4.7117261900000003</v>
          </cell>
          <cell r="F4979" t="str">
            <v>-</v>
          </cell>
          <cell r="G4979" t="str">
            <v>-</v>
          </cell>
          <cell r="H4979" t="str">
            <v>-</v>
          </cell>
          <cell r="I4979" t="str">
            <v>-</v>
          </cell>
          <cell r="J4979">
            <v>4.7117261900000003</v>
          </cell>
          <cell r="K4979" t="str">
            <v>Small Cap</v>
          </cell>
        </row>
        <row r="4980">
          <cell r="C4980" t="str">
            <v>INE568C01014</v>
          </cell>
          <cell r="D4980" t="str">
            <v>MONEL</v>
          </cell>
          <cell r="E4980">
            <v>4.6870000000000003</v>
          </cell>
          <cell r="F4980" t="str">
            <v>-</v>
          </cell>
          <cell r="G4980" t="str">
            <v>-</v>
          </cell>
          <cell r="H4980" t="str">
            <v>-</v>
          </cell>
          <cell r="I4980" t="str">
            <v>-</v>
          </cell>
          <cell r="J4980">
            <v>4.6870000000000003</v>
          </cell>
          <cell r="K4980" t="str">
            <v>Small Cap</v>
          </cell>
        </row>
        <row r="4981">
          <cell r="C4981" t="str">
            <v>INE050F01016</v>
          </cell>
          <cell r="D4981" t="str">
            <v>-</v>
          </cell>
          <cell r="E4981" t="str">
            <v>-</v>
          </cell>
          <cell r="F4981" t="str">
            <v>-</v>
          </cell>
          <cell r="G4981" t="str">
            <v>-</v>
          </cell>
          <cell r="H4981" t="str">
            <v>AURUMCAP</v>
          </cell>
          <cell r="I4981">
            <v>4.6661850000000014</v>
          </cell>
          <cell r="J4981">
            <v>4.6661850000000014</v>
          </cell>
          <cell r="K4981" t="str">
            <v>Small Cap</v>
          </cell>
        </row>
        <row r="4982">
          <cell r="C4982" t="str">
            <v>INE592I01029</v>
          </cell>
          <cell r="D4982" t="str">
            <v>METKORE</v>
          </cell>
          <cell r="E4982">
            <v>4.6481473500000003</v>
          </cell>
          <cell r="F4982" t="str">
            <v>-</v>
          </cell>
          <cell r="G4982" t="str">
            <v>-</v>
          </cell>
          <cell r="H4982" t="str">
            <v>-</v>
          </cell>
          <cell r="I4982" t="str">
            <v>-</v>
          </cell>
          <cell r="J4982">
            <v>4.6481473500000003</v>
          </cell>
          <cell r="K4982" t="str">
            <v>Small Cap</v>
          </cell>
        </row>
        <row r="4983">
          <cell r="C4983" t="str">
            <v>INE709D01012</v>
          </cell>
          <cell r="D4983" t="str">
            <v>ASHAI</v>
          </cell>
          <cell r="E4983">
            <v>4.623547619</v>
          </cell>
          <cell r="F4983" t="str">
            <v>-</v>
          </cell>
          <cell r="G4983" t="str">
            <v>-</v>
          </cell>
          <cell r="H4983" t="str">
            <v>-</v>
          </cell>
          <cell r="I4983" t="str">
            <v>-</v>
          </cell>
          <cell r="J4983">
            <v>4.623547619</v>
          </cell>
          <cell r="K4983" t="str">
            <v>Small Cap</v>
          </cell>
        </row>
        <row r="4984">
          <cell r="C4984" t="str">
            <v>INE464B01018</v>
          </cell>
          <cell r="D4984" t="str">
            <v>UNIVARTS</v>
          </cell>
          <cell r="E4984">
            <v>4.5965215399999995</v>
          </cell>
          <cell r="F4984" t="str">
            <v>-</v>
          </cell>
          <cell r="G4984" t="str">
            <v>-</v>
          </cell>
          <cell r="H4984" t="str">
            <v>-</v>
          </cell>
          <cell r="I4984" t="str">
            <v>-</v>
          </cell>
          <cell r="J4984">
            <v>4.5965215399999995</v>
          </cell>
          <cell r="K4984" t="str">
            <v>Small Cap</v>
          </cell>
        </row>
        <row r="4985">
          <cell r="C4985" t="str">
            <v>INE052B01011</v>
          </cell>
          <cell r="D4985" t="str">
            <v>BEEYU</v>
          </cell>
          <cell r="E4985">
            <v>4.5880036280000001</v>
          </cell>
          <cell r="F4985" t="str">
            <v>-</v>
          </cell>
          <cell r="G4985" t="str">
            <v>-</v>
          </cell>
          <cell r="H4985" t="str">
            <v>-</v>
          </cell>
          <cell r="I4985" t="str">
            <v>-</v>
          </cell>
          <cell r="J4985">
            <v>4.5880036280000001</v>
          </cell>
          <cell r="K4985" t="str">
            <v>Small Cap</v>
          </cell>
        </row>
        <row r="4986">
          <cell r="C4986" t="str">
            <v>INE213P01027</v>
          </cell>
          <cell r="D4986" t="str">
            <v>TRANSFD</v>
          </cell>
          <cell r="E4986">
            <v>4.5850642800000001</v>
          </cell>
          <cell r="F4986" t="str">
            <v>-</v>
          </cell>
          <cell r="G4986" t="str">
            <v>-</v>
          </cell>
          <cell r="H4986" t="str">
            <v>-</v>
          </cell>
          <cell r="I4986" t="str">
            <v>-</v>
          </cell>
          <cell r="J4986">
            <v>4.5850642800000001</v>
          </cell>
          <cell r="K4986" t="str">
            <v>Small Cap</v>
          </cell>
        </row>
        <row r="4987">
          <cell r="C4987" t="str">
            <v>INE637N01014</v>
          </cell>
          <cell r="D4987" t="str">
            <v>PATIDAR</v>
          </cell>
          <cell r="E4987">
            <v>4.5753828570000001</v>
          </cell>
          <cell r="F4987" t="str">
            <v>-</v>
          </cell>
          <cell r="G4987" t="str">
            <v>-</v>
          </cell>
          <cell r="H4987" t="str">
            <v>-</v>
          </cell>
          <cell r="I4987" t="str">
            <v>-</v>
          </cell>
          <cell r="J4987">
            <v>4.5753828570000001</v>
          </cell>
          <cell r="K4987" t="str">
            <v>Small Cap</v>
          </cell>
        </row>
        <row r="4988">
          <cell r="C4988" t="str">
            <v>INE820D01025</v>
          </cell>
          <cell r="D4988" t="str">
            <v>RAINBOWDQ</v>
          </cell>
          <cell r="E4988">
            <v>4.5696075920000006</v>
          </cell>
          <cell r="F4988" t="str">
            <v>-</v>
          </cell>
          <cell r="G4988" t="str">
            <v>-</v>
          </cell>
          <cell r="H4988" t="str">
            <v>-</v>
          </cell>
          <cell r="I4988" t="str">
            <v>-</v>
          </cell>
          <cell r="J4988">
            <v>4.5696075920000006</v>
          </cell>
          <cell r="K4988" t="str">
            <v>Small Cap</v>
          </cell>
        </row>
        <row r="4989">
          <cell r="C4989" t="str">
            <v>INE929K01011</v>
          </cell>
          <cell r="D4989" t="str">
            <v>UNITINT</v>
          </cell>
          <cell r="E4989">
            <v>4.5666387000000004</v>
          </cell>
          <cell r="F4989" t="str">
            <v>-</v>
          </cell>
          <cell r="G4989" t="str">
            <v>-</v>
          </cell>
          <cell r="H4989" t="str">
            <v>-</v>
          </cell>
          <cell r="I4989" t="str">
            <v>-</v>
          </cell>
          <cell r="J4989">
            <v>4.5666387000000004</v>
          </cell>
          <cell r="K4989" t="str">
            <v>Small Cap</v>
          </cell>
        </row>
        <row r="4990">
          <cell r="C4990" t="str">
            <v>INE473F01010</v>
          </cell>
          <cell r="D4990" t="str">
            <v>OSCARGLO</v>
          </cell>
          <cell r="E4990">
            <v>4.5636119050000001</v>
          </cell>
          <cell r="F4990" t="str">
            <v>-</v>
          </cell>
          <cell r="G4990" t="str">
            <v>-</v>
          </cell>
          <cell r="H4990" t="str">
            <v>-</v>
          </cell>
          <cell r="I4990" t="str">
            <v>-</v>
          </cell>
          <cell r="J4990">
            <v>4.5636119050000001</v>
          </cell>
          <cell r="K4990" t="str">
            <v>Small Cap</v>
          </cell>
        </row>
        <row r="4991">
          <cell r="C4991" t="str">
            <v>INE377M01035</v>
          </cell>
          <cell r="D4991" t="str">
            <v>GBLINFRA</v>
          </cell>
          <cell r="E4991">
            <v>4.53966359</v>
          </cell>
          <cell r="F4991" t="str">
            <v>-</v>
          </cell>
          <cell r="G4991" t="str">
            <v>-</v>
          </cell>
          <cell r="H4991" t="str">
            <v>-</v>
          </cell>
          <cell r="I4991" t="str">
            <v>-</v>
          </cell>
          <cell r="J4991">
            <v>4.53966359</v>
          </cell>
          <cell r="K4991" t="str">
            <v>Small Cap</v>
          </cell>
        </row>
        <row r="4992">
          <cell r="C4992" t="str">
            <v>INE257F01017</v>
          </cell>
          <cell r="D4992" t="str">
            <v>MAHALXSE</v>
          </cell>
          <cell r="E4992">
            <v>4.5133335429999999</v>
          </cell>
          <cell r="F4992" t="str">
            <v>-</v>
          </cell>
          <cell r="G4992" t="str">
            <v>-</v>
          </cell>
          <cell r="H4992" t="str">
            <v>-</v>
          </cell>
          <cell r="I4992" t="str">
            <v>-</v>
          </cell>
          <cell r="J4992">
            <v>4.5133335429999999</v>
          </cell>
          <cell r="K4992" t="str">
            <v>Small Cap</v>
          </cell>
        </row>
        <row r="4993">
          <cell r="C4993" t="str">
            <v>INE464R01022</v>
          </cell>
          <cell r="D4993" t="str">
            <v>-</v>
          </cell>
          <cell r="E4993" t="str">
            <v>-</v>
          </cell>
          <cell r="F4993" t="str">
            <v>-</v>
          </cell>
          <cell r="G4993" t="str">
            <v>-</v>
          </cell>
          <cell r="H4993" t="str">
            <v>SARNIMAL</v>
          </cell>
          <cell r="I4993">
            <v>4.4979999999999984</v>
          </cell>
          <cell r="J4993">
            <v>4.4979999999999984</v>
          </cell>
          <cell r="K4993" t="str">
            <v>Small Cap</v>
          </cell>
        </row>
        <row r="4994">
          <cell r="C4994" t="str">
            <v>INE502K01016</v>
          </cell>
          <cell r="D4994" t="str">
            <v>TALWALKARS</v>
          </cell>
          <cell r="E4994">
            <v>4.4957041200000001</v>
          </cell>
          <cell r="F4994" t="str">
            <v>-</v>
          </cell>
          <cell r="G4994" t="str">
            <v>-</v>
          </cell>
          <cell r="H4994" t="str">
            <v>-</v>
          </cell>
          <cell r="I4994" t="str">
            <v>-</v>
          </cell>
          <cell r="J4994">
            <v>4.4957041200000001</v>
          </cell>
          <cell r="K4994" t="str">
            <v>Small Cap</v>
          </cell>
        </row>
        <row r="4995">
          <cell r="C4995" t="str">
            <v>INE760M01016</v>
          </cell>
          <cell r="D4995" t="str">
            <v>ASHOKRE</v>
          </cell>
          <cell r="E4995">
            <v>4.4839201939999995</v>
          </cell>
          <cell r="F4995" t="str">
            <v>-</v>
          </cell>
          <cell r="G4995" t="str">
            <v>-</v>
          </cell>
          <cell r="H4995" t="str">
            <v>-</v>
          </cell>
          <cell r="I4995" t="str">
            <v>-</v>
          </cell>
          <cell r="J4995">
            <v>4.4839201939999995</v>
          </cell>
          <cell r="K4995" t="str">
            <v>Small Cap</v>
          </cell>
        </row>
        <row r="4996">
          <cell r="C4996" t="str">
            <v>INE318J01027</v>
          </cell>
          <cell r="D4996" t="str">
            <v>NUTEK</v>
          </cell>
          <cell r="E4996">
            <v>4.4810394000000002</v>
          </cell>
          <cell r="F4996" t="str">
            <v>-</v>
          </cell>
          <cell r="G4996" t="str">
            <v>-</v>
          </cell>
          <cell r="H4996" t="str">
            <v>-</v>
          </cell>
          <cell r="I4996" t="str">
            <v>-</v>
          </cell>
          <cell r="J4996">
            <v>4.4810394000000002</v>
          </cell>
          <cell r="K4996" t="str">
            <v>Small Cap</v>
          </cell>
        </row>
        <row r="4997">
          <cell r="C4997" t="str">
            <v>INE673C01020</v>
          </cell>
          <cell r="D4997" t="str">
            <v>AMERISE</v>
          </cell>
          <cell r="E4997">
            <v>4.4801074290000003</v>
          </cell>
          <cell r="F4997" t="str">
            <v>-</v>
          </cell>
          <cell r="G4997" t="str">
            <v>-</v>
          </cell>
          <cell r="H4997" t="str">
            <v>-</v>
          </cell>
          <cell r="I4997" t="str">
            <v>-</v>
          </cell>
          <cell r="J4997">
            <v>4.4801074290000003</v>
          </cell>
          <cell r="K4997" t="str">
            <v>Small Cap</v>
          </cell>
        </row>
        <row r="4998">
          <cell r="C4998" t="str">
            <v>INE487B01019</v>
          </cell>
          <cell r="D4998" t="str">
            <v>NATHUEC</v>
          </cell>
          <cell r="E4998">
            <v>4.4522824939999994</v>
          </cell>
          <cell r="F4998" t="str">
            <v>-</v>
          </cell>
          <cell r="G4998" t="str">
            <v>-</v>
          </cell>
          <cell r="H4998" t="str">
            <v>-</v>
          </cell>
          <cell r="I4998" t="str">
            <v>-</v>
          </cell>
          <cell r="J4998">
            <v>4.4522824939999994</v>
          </cell>
          <cell r="K4998" t="str">
            <v>Small Cap</v>
          </cell>
        </row>
        <row r="4999">
          <cell r="C4999" t="str">
            <v>INE555D01019</v>
          </cell>
          <cell r="D4999" t="str">
            <v>PREMCAPM</v>
          </cell>
          <cell r="E4999">
            <v>4.4414320869999999</v>
          </cell>
          <cell r="F4999" t="str">
            <v>-</v>
          </cell>
          <cell r="G4999" t="str">
            <v>-</v>
          </cell>
          <cell r="H4999" t="str">
            <v>-</v>
          </cell>
          <cell r="I4999" t="str">
            <v>-</v>
          </cell>
          <cell r="J4999">
            <v>4.4414320869999999</v>
          </cell>
          <cell r="K4999" t="str">
            <v>Small Cap</v>
          </cell>
        </row>
        <row r="5000">
          <cell r="C5000" t="str">
            <v>INE0P4R01017</v>
          </cell>
          <cell r="D5000" t="str">
            <v>SWADHATURE</v>
          </cell>
          <cell r="E5000">
            <v>4.4393478890000004</v>
          </cell>
          <cell r="F5000" t="str">
            <v>-</v>
          </cell>
          <cell r="G5000" t="str">
            <v>-</v>
          </cell>
          <cell r="H5000" t="str">
            <v>-</v>
          </cell>
          <cell r="I5000" t="str">
            <v>-</v>
          </cell>
          <cell r="J5000">
            <v>4.4393478890000004</v>
          </cell>
          <cell r="K5000" t="str">
            <v>Small Cap</v>
          </cell>
        </row>
        <row r="5001">
          <cell r="C5001" t="str">
            <v>INE574R01028</v>
          </cell>
          <cell r="D5001" t="str">
            <v>SUPERIOR</v>
          </cell>
          <cell r="E5001">
            <v>4.4264749999999999</v>
          </cell>
          <cell r="F5001" t="str">
            <v>-</v>
          </cell>
          <cell r="G5001" t="str">
            <v>-</v>
          </cell>
          <cell r="H5001" t="str">
            <v>SUPFIN</v>
          </cell>
          <cell r="I5001">
            <v>4.431476666666665</v>
          </cell>
          <cell r="J5001">
            <v>4.4289758333333324</v>
          </cell>
          <cell r="K5001" t="str">
            <v>Small Cap</v>
          </cell>
        </row>
        <row r="5002">
          <cell r="C5002" t="str">
            <v>INE563S01011</v>
          </cell>
          <cell r="D5002" t="str">
            <v>AMBITION</v>
          </cell>
          <cell r="E5002">
            <v>4.4169119999999999</v>
          </cell>
          <cell r="F5002" t="str">
            <v>-</v>
          </cell>
          <cell r="G5002" t="str">
            <v>-</v>
          </cell>
          <cell r="H5002" t="str">
            <v>-</v>
          </cell>
          <cell r="I5002" t="str">
            <v>-</v>
          </cell>
          <cell r="J5002">
            <v>4.4169119999999999</v>
          </cell>
          <cell r="K5002" t="str">
            <v>Small Cap</v>
          </cell>
        </row>
        <row r="5003">
          <cell r="C5003" t="str">
            <v>INE420D01016</v>
          </cell>
          <cell r="D5003" t="str">
            <v>CHABRASP</v>
          </cell>
          <cell r="E5003">
            <v>4.4073000000000002</v>
          </cell>
          <cell r="F5003" t="str">
            <v>-</v>
          </cell>
          <cell r="G5003" t="str">
            <v>-</v>
          </cell>
          <cell r="H5003" t="str">
            <v>-</v>
          </cell>
          <cell r="I5003" t="str">
            <v>-</v>
          </cell>
          <cell r="J5003">
            <v>4.4073000000000002</v>
          </cell>
          <cell r="K5003" t="str">
            <v>Small Cap</v>
          </cell>
        </row>
        <row r="5004">
          <cell r="C5004" t="str">
            <v>INE196R01012</v>
          </cell>
          <cell r="D5004" t="str">
            <v>MRSS</v>
          </cell>
          <cell r="E5004">
            <v>4.3913880000000001</v>
          </cell>
          <cell r="F5004" t="str">
            <v>-</v>
          </cell>
          <cell r="G5004" t="str">
            <v>-</v>
          </cell>
          <cell r="H5004" t="str">
            <v>-</v>
          </cell>
          <cell r="I5004" t="str">
            <v>-</v>
          </cell>
          <cell r="J5004">
            <v>4.3913880000000001</v>
          </cell>
          <cell r="K5004" t="str">
            <v>Small Cap</v>
          </cell>
        </row>
        <row r="5005">
          <cell r="C5005" t="str">
            <v>INE0DB001013</v>
          </cell>
          <cell r="D5005" t="str">
            <v>NAVODAYENT</v>
          </cell>
          <cell r="E5005">
            <v>4.3858519999999999</v>
          </cell>
          <cell r="F5005" t="str">
            <v>-</v>
          </cell>
          <cell r="G5005" t="str">
            <v>-</v>
          </cell>
          <cell r="H5005" t="str">
            <v>-</v>
          </cell>
          <cell r="I5005" t="str">
            <v>-</v>
          </cell>
          <cell r="J5005">
            <v>4.3858519999999999</v>
          </cell>
          <cell r="K5005" t="str">
            <v>Small Cap</v>
          </cell>
        </row>
        <row r="5006">
          <cell r="C5006" t="str">
            <v>INE122K01013</v>
          </cell>
          <cell r="D5006" t="str">
            <v>SANDPLAST</v>
          </cell>
          <cell r="E5006">
            <v>4.3384</v>
          </cell>
          <cell r="F5006" t="str">
            <v>-</v>
          </cell>
          <cell r="G5006" t="str">
            <v>-</v>
          </cell>
          <cell r="H5006" t="str">
            <v>-</v>
          </cell>
          <cell r="I5006" t="str">
            <v>-</v>
          </cell>
          <cell r="J5006">
            <v>4.3384</v>
          </cell>
          <cell r="K5006" t="str">
            <v>Small Cap</v>
          </cell>
        </row>
        <row r="5007">
          <cell r="C5007" t="str">
            <v>INE594D01018</v>
          </cell>
          <cell r="D5007" t="str">
            <v>ELANGO</v>
          </cell>
          <cell r="E5007">
            <v>4.3212789520000001</v>
          </cell>
          <cell r="F5007" t="str">
            <v>-</v>
          </cell>
          <cell r="G5007" t="str">
            <v>-</v>
          </cell>
          <cell r="H5007" t="str">
            <v>-</v>
          </cell>
          <cell r="I5007" t="str">
            <v>-</v>
          </cell>
          <cell r="J5007">
            <v>4.3212789520000001</v>
          </cell>
          <cell r="K5007" t="str">
            <v>Small Cap</v>
          </cell>
        </row>
        <row r="5008">
          <cell r="C5008" t="str">
            <v>INE183R01010</v>
          </cell>
          <cell r="D5008" t="str">
            <v>DITCO</v>
          </cell>
          <cell r="E5008">
            <v>4.3037928570000004</v>
          </cell>
          <cell r="F5008" t="str">
            <v>-</v>
          </cell>
          <cell r="G5008" t="str">
            <v>-</v>
          </cell>
          <cell r="H5008" t="str">
            <v>-</v>
          </cell>
          <cell r="I5008" t="str">
            <v>-</v>
          </cell>
          <cell r="J5008">
            <v>4.3037928570000004</v>
          </cell>
          <cell r="K5008" t="str">
            <v>Small Cap</v>
          </cell>
        </row>
        <row r="5009">
          <cell r="C5009" t="str">
            <v>INE176R01014</v>
          </cell>
          <cell r="D5009" t="str">
            <v>RAJKOTINV</v>
          </cell>
          <cell r="E5009">
            <v>4.2995952380000002</v>
          </cell>
          <cell r="F5009" t="str">
            <v>-</v>
          </cell>
          <cell r="G5009" t="str">
            <v>-</v>
          </cell>
          <cell r="H5009" t="str">
            <v>-</v>
          </cell>
          <cell r="I5009" t="str">
            <v>-</v>
          </cell>
          <cell r="J5009">
            <v>4.2995952380000002</v>
          </cell>
          <cell r="K5009" t="str">
            <v>Small Cap</v>
          </cell>
        </row>
        <row r="5010">
          <cell r="C5010" t="str">
            <v>INE395E01018</v>
          </cell>
          <cell r="D5010" t="str">
            <v>KENFIN</v>
          </cell>
          <cell r="E5010">
            <v>4.290738095</v>
          </cell>
          <cell r="F5010" t="str">
            <v>-</v>
          </cell>
          <cell r="G5010" t="str">
            <v>-</v>
          </cell>
          <cell r="H5010" t="str">
            <v>-</v>
          </cell>
          <cell r="I5010" t="str">
            <v>-</v>
          </cell>
          <cell r="J5010">
            <v>4.290738095</v>
          </cell>
          <cell r="K5010" t="str">
            <v>Small Cap</v>
          </cell>
        </row>
        <row r="5011">
          <cell r="C5011" t="str">
            <v>INE540D01011</v>
          </cell>
          <cell r="D5011" t="str">
            <v>SMENER</v>
          </cell>
          <cell r="E5011">
            <v>4.2845760000000004</v>
          </cell>
          <cell r="F5011" t="str">
            <v>-</v>
          </cell>
          <cell r="G5011" t="str">
            <v>-</v>
          </cell>
          <cell r="H5011" t="str">
            <v>-</v>
          </cell>
          <cell r="I5011" t="str">
            <v>-</v>
          </cell>
          <cell r="J5011">
            <v>4.2845760000000004</v>
          </cell>
          <cell r="K5011" t="str">
            <v>Small Cap</v>
          </cell>
        </row>
        <row r="5012">
          <cell r="C5012" t="str">
            <v>INE453S01015</v>
          </cell>
          <cell r="D5012" t="str">
            <v>KANUNGO</v>
          </cell>
          <cell r="E5012">
            <v>4.269642556</v>
          </cell>
          <cell r="F5012" t="str">
            <v>-</v>
          </cell>
          <cell r="G5012" t="str">
            <v>-</v>
          </cell>
          <cell r="H5012" t="str">
            <v>-</v>
          </cell>
          <cell r="I5012" t="str">
            <v>-</v>
          </cell>
          <cell r="J5012">
            <v>4.269642556</v>
          </cell>
          <cell r="K5012" t="str">
            <v>Small Cap</v>
          </cell>
        </row>
        <row r="5013">
          <cell r="C5013" t="str">
            <v>INE241C01026</v>
          </cell>
          <cell r="D5013" t="str">
            <v>NICCO</v>
          </cell>
          <cell r="E5013">
            <v>4.2519115039999997</v>
          </cell>
          <cell r="F5013" t="str">
            <v>-</v>
          </cell>
          <cell r="G5013" t="str">
            <v>-</v>
          </cell>
          <cell r="H5013" t="str">
            <v>-</v>
          </cell>
          <cell r="I5013" t="str">
            <v>-</v>
          </cell>
          <cell r="J5013">
            <v>4.2519115039999997</v>
          </cell>
          <cell r="K5013" t="str">
            <v>Small Cap</v>
          </cell>
        </row>
        <row r="5014">
          <cell r="C5014" t="str">
            <v>INE214B01017</v>
          </cell>
          <cell r="D5014" t="str">
            <v>INNOCORP</v>
          </cell>
          <cell r="E5014">
            <v>4.2515482410000001</v>
          </cell>
          <cell r="F5014" t="str">
            <v>-</v>
          </cell>
          <cell r="G5014" t="str">
            <v>-</v>
          </cell>
          <cell r="H5014" t="str">
            <v>-</v>
          </cell>
          <cell r="I5014" t="str">
            <v>-</v>
          </cell>
          <cell r="J5014">
            <v>4.2515482410000001</v>
          </cell>
          <cell r="K5014" t="str">
            <v>Small Cap</v>
          </cell>
        </row>
        <row r="5015">
          <cell r="C5015" t="str">
            <v>INE139J01019</v>
          </cell>
          <cell r="D5015" t="str">
            <v>SHYAM</v>
          </cell>
          <cell r="E5015">
            <v>4.2331099999999999</v>
          </cell>
          <cell r="F5015" t="str">
            <v>-</v>
          </cell>
          <cell r="G5015" t="str">
            <v>-</v>
          </cell>
          <cell r="H5015" t="str">
            <v>-</v>
          </cell>
          <cell r="I5015" t="str">
            <v>-</v>
          </cell>
          <cell r="J5015">
            <v>4.2331099999999999</v>
          </cell>
          <cell r="K5015" t="str">
            <v>Small Cap</v>
          </cell>
        </row>
        <row r="5016">
          <cell r="C5016" t="str">
            <v>INE0G0V01018</v>
          </cell>
          <cell r="D5016" t="str">
            <v>ADJIA</v>
          </cell>
          <cell r="E5016">
            <v>4.203008638</v>
          </cell>
          <cell r="F5016" t="str">
            <v>-</v>
          </cell>
          <cell r="G5016" t="str">
            <v>-</v>
          </cell>
          <cell r="H5016" t="str">
            <v>-</v>
          </cell>
          <cell r="I5016" t="str">
            <v>-</v>
          </cell>
          <cell r="J5016">
            <v>4.203008638</v>
          </cell>
          <cell r="K5016" t="str">
            <v>Small Cap</v>
          </cell>
        </row>
        <row r="5017">
          <cell r="C5017" t="str">
            <v>INE0JFE01012</v>
          </cell>
          <cell r="D5017" t="str">
            <v>OMNIPOTENT</v>
          </cell>
          <cell r="E5017">
            <v>4.1864559520000002</v>
          </cell>
          <cell r="F5017" t="str">
            <v>-</v>
          </cell>
          <cell r="G5017" t="str">
            <v>-</v>
          </cell>
          <cell r="H5017" t="str">
            <v>-</v>
          </cell>
          <cell r="I5017" t="str">
            <v>-</v>
          </cell>
          <cell r="J5017">
            <v>4.1864559520000002</v>
          </cell>
          <cell r="K5017" t="str">
            <v>Small Cap</v>
          </cell>
        </row>
        <row r="5018">
          <cell r="C5018" t="str">
            <v>INE401Q01018</v>
          </cell>
          <cell r="D5018" t="str">
            <v>JSHL</v>
          </cell>
          <cell r="E5018">
            <v>4.1747182540000001</v>
          </cell>
          <cell r="F5018" t="str">
            <v>-</v>
          </cell>
          <cell r="G5018" t="str">
            <v>-</v>
          </cell>
          <cell r="H5018" t="str">
            <v>-</v>
          </cell>
          <cell r="I5018" t="str">
            <v>-</v>
          </cell>
          <cell r="J5018">
            <v>4.1747182540000001</v>
          </cell>
          <cell r="K5018" t="str">
            <v>Small Cap</v>
          </cell>
        </row>
        <row r="5019">
          <cell r="C5019" t="str">
            <v>INE252C01015</v>
          </cell>
          <cell r="D5019" t="str">
            <v>KANELIND</v>
          </cell>
          <cell r="E5019">
            <v>4.1427990000000001</v>
          </cell>
          <cell r="F5019" t="str">
            <v>-</v>
          </cell>
          <cell r="G5019" t="str">
            <v>-</v>
          </cell>
          <cell r="H5019" t="str">
            <v>-</v>
          </cell>
          <cell r="I5019" t="str">
            <v>-</v>
          </cell>
          <cell r="J5019">
            <v>4.1427990000000001</v>
          </cell>
          <cell r="K5019" t="str">
            <v>Small Cap</v>
          </cell>
        </row>
        <row r="5020">
          <cell r="C5020" t="str">
            <v>INE905R01016</v>
          </cell>
          <cell r="D5020" t="str">
            <v>PURPLE</v>
          </cell>
          <cell r="E5020">
            <v>4.1154107209999999</v>
          </cell>
          <cell r="F5020" t="str">
            <v>-</v>
          </cell>
          <cell r="G5020" t="str">
            <v>-</v>
          </cell>
          <cell r="H5020" t="str">
            <v>-</v>
          </cell>
          <cell r="I5020" t="str">
            <v>-</v>
          </cell>
          <cell r="J5020">
            <v>4.1154107209999999</v>
          </cell>
          <cell r="K5020" t="str">
            <v>Small Cap</v>
          </cell>
        </row>
        <row r="5021">
          <cell r="C5021" t="str">
            <v>INE253N01010</v>
          </cell>
          <cell r="D5021" t="str">
            <v>MASL</v>
          </cell>
          <cell r="E5021">
            <v>4.0937774999999998</v>
          </cell>
          <cell r="F5021" t="str">
            <v>-</v>
          </cell>
          <cell r="G5021" t="str">
            <v>-</v>
          </cell>
          <cell r="H5021" t="str">
            <v>-</v>
          </cell>
          <cell r="I5021" t="str">
            <v>-</v>
          </cell>
          <cell r="J5021">
            <v>4.0937774999999998</v>
          </cell>
          <cell r="K5021" t="str">
            <v>Small Cap</v>
          </cell>
        </row>
        <row r="5022">
          <cell r="C5022" t="str">
            <v>INE418A01016</v>
          </cell>
          <cell r="D5022" t="str">
            <v>FOSCL</v>
          </cell>
          <cell r="E5022">
            <v>4.0865052000000004</v>
          </cell>
          <cell r="F5022" t="str">
            <v>-</v>
          </cell>
          <cell r="G5022" t="str">
            <v>-</v>
          </cell>
          <cell r="H5022" t="str">
            <v>-</v>
          </cell>
          <cell r="I5022" t="str">
            <v>-</v>
          </cell>
          <cell r="J5022">
            <v>4.0865052000000004</v>
          </cell>
          <cell r="K5022" t="str">
            <v>Small Cap</v>
          </cell>
        </row>
        <row r="5023">
          <cell r="C5023" t="str">
            <v>INE964B01033</v>
          </cell>
          <cell r="D5023" t="str">
            <v>ALCHEM</v>
          </cell>
          <cell r="E5023">
            <v>4.0814997999999996</v>
          </cell>
          <cell r="F5023" t="str">
            <v>-</v>
          </cell>
          <cell r="G5023" t="str">
            <v>-</v>
          </cell>
          <cell r="H5023" t="str">
            <v>-</v>
          </cell>
          <cell r="I5023" t="str">
            <v>-</v>
          </cell>
          <cell r="J5023">
            <v>4.0814997999999996</v>
          </cell>
          <cell r="K5023" t="str">
            <v>Small Cap</v>
          </cell>
        </row>
        <row r="5024">
          <cell r="C5024" t="str">
            <v>INE537C01019</v>
          </cell>
          <cell r="D5024" t="str">
            <v>ADVIKLA</v>
          </cell>
          <cell r="E5024">
            <v>4.058897333</v>
          </cell>
          <cell r="F5024" t="str">
            <v>-</v>
          </cell>
          <cell r="G5024" t="str">
            <v>-</v>
          </cell>
          <cell r="H5024" t="str">
            <v>-</v>
          </cell>
          <cell r="I5024" t="str">
            <v>-</v>
          </cell>
          <cell r="J5024">
            <v>4.058897333</v>
          </cell>
          <cell r="K5024" t="str">
            <v>Small Cap</v>
          </cell>
        </row>
        <row r="5025">
          <cell r="C5025" t="str">
            <v>INE906L01025</v>
          </cell>
          <cell r="D5025" t="str">
            <v>EKAMLEA</v>
          </cell>
          <cell r="E5025">
            <v>4.0438095240000003</v>
          </cell>
          <cell r="F5025" t="str">
            <v>-</v>
          </cell>
          <cell r="G5025" t="str">
            <v>-</v>
          </cell>
          <cell r="H5025" t="str">
            <v>-</v>
          </cell>
          <cell r="I5025" t="str">
            <v>-</v>
          </cell>
          <cell r="J5025">
            <v>4.0438095240000003</v>
          </cell>
          <cell r="K5025" t="str">
            <v>Small Cap</v>
          </cell>
        </row>
        <row r="5026">
          <cell r="C5026" t="str">
            <v>INE246D01015</v>
          </cell>
          <cell r="D5026" t="str">
            <v>JAYATMA</v>
          </cell>
          <cell r="E5026">
            <v>4.0147142860000002</v>
          </cell>
          <cell r="F5026" t="str">
            <v>-</v>
          </cell>
          <cell r="G5026" t="str">
            <v>-</v>
          </cell>
          <cell r="H5026" t="str">
            <v>-</v>
          </cell>
          <cell r="I5026" t="str">
            <v>-</v>
          </cell>
          <cell r="J5026">
            <v>4.0147142860000002</v>
          </cell>
          <cell r="K5026" t="str">
            <v>Small Cap</v>
          </cell>
        </row>
        <row r="5027">
          <cell r="C5027" t="str">
            <v>INE011H01014</v>
          </cell>
          <cell r="D5027" t="str">
            <v>RAJVIR</v>
          </cell>
          <cell r="E5027">
            <v>4.1722191020000006</v>
          </cell>
          <cell r="F5027" t="str">
            <v>RAJVIR</v>
          </cell>
          <cell r="G5027">
            <v>3.8557999999999999</v>
          </cell>
          <cell r="H5027" t="str">
            <v>-</v>
          </cell>
          <cell r="I5027" t="str">
            <v>-</v>
          </cell>
          <cell r="J5027">
            <v>4.014009551</v>
          </cell>
          <cell r="K5027" t="str">
            <v>Small Cap</v>
          </cell>
        </row>
        <row r="5028">
          <cell r="C5028" t="str">
            <v>INE072D01015</v>
          </cell>
          <cell r="D5028" t="str">
            <v>MODEX</v>
          </cell>
          <cell r="E5028">
            <v>3.996</v>
          </cell>
          <cell r="F5028" t="str">
            <v>-</v>
          </cell>
          <cell r="G5028" t="str">
            <v>-</v>
          </cell>
          <cell r="H5028" t="str">
            <v>-</v>
          </cell>
          <cell r="I5028" t="str">
            <v>-</v>
          </cell>
          <cell r="J5028">
            <v>3.996</v>
          </cell>
          <cell r="K5028" t="str">
            <v>Small Cap</v>
          </cell>
        </row>
        <row r="5029">
          <cell r="C5029" t="str">
            <v>INE644U01015</v>
          </cell>
          <cell r="D5029" t="str">
            <v>PEOPLIN</v>
          </cell>
          <cell r="E5029">
            <v>3.9941984130000003</v>
          </cell>
          <cell r="F5029" t="str">
            <v>-</v>
          </cell>
          <cell r="G5029" t="str">
            <v>-</v>
          </cell>
          <cell r="H5029" t="str">
            <v>-</v>
          </cell>
          <cell r="I5029" t="str">
            <v>-</v>
          </cell>
          <cell r="J5029">
            <v>3.9941984130000003</v>
          </cell>
          <cell r="K5029" t="str">
            <v>Small Cap</v>
          </cell>
        </row>
        <row r="5030">
          <cell r="C5030" t="str">
            <v>INE158C01014</v>
          </cell>
          <cell r="D5030" t="str">
            <v>CITYONLINE</v>
          </cell>
          <cell r="E5030">
            <v>3.9889929359999998</v>
          </cell>
          <cell r="F5030" t="str">
            <v>-</v>
          </cell>
          <cell r="G5030" t="str">
            <v>-</v>
          </cell>
          <cell r="H5030" t="str">
            <v>-</v>
          </cell>
          <cell r="I5030" t="str">
            <v>-</v>
          </cell>
          <cell r="J5030">
            <v>3.9889929359999998</v>
          </cell>
          <cell r="K5030" t="str">
            <v>Small Cap</v>
          </cell>
        </row>
        <row r="5031">
          <cell r="C5031" t="str">
            <v>INE293D01017</v>
          </cell>
          <cell r="D5031" t="str">
            <v>KIRANSY-B</v>
          </cell>
          <cell r="E5031">
            <v>3.9690693060000002</v>
          </cell>
          <cell r="F5031" t="str">
            <v>-</v>
          </cell>
          <cell r="G5031" t="str">
            <v>-</v>
          </cell>
          <cell r="H5031" t="str">
            <v>-</v>
          </cell>
          <cell r="I5031" t="str">
            <v>-</v>
          </cell>
          <cell r="J5031">
            <v>3.9690693060000002</v>
          </cell>
          <cell r="K5031" t="str">
            <v>Small Cap</v>
          </cell>
        </row>
        <row r="5032">
          <cell r="C5032" t="str">
            <v>INE634J01019</v>
          </cell>
          <cell r="D5032" t="str">
            <v>GOLDCOINHF</v>
          </cell>
          <cell r="E5032">
            <v>3.9317029670000001</v>
          </cell>
          <cell r="F5032" t="str">
            <v>-</v>
          </cell>
          <cell r="G5032" t="str">
            <v>-</v>
          </cell>
          <cell r="H5032" t="str">
            <v>-</v>
          </cell>
          <cell r="I5032" t="str">
            <v>-</v>
          </cell>
          <cell r="J5032">
            <v>3.9317029670000001</v>
          </cell>
          <cell r="K5032" t="str">
            <v>Small Cap</v>
          </cell>
        </row>
        <row r="5033">
          <cell r="C5033" t="str">
            <v>INE900O01014</v>
          </cell>
          <cell r="D5033" t="str">
            <v>ENCODE</v>
          </cell>
          <cell r="E5033">
            <v>3.9192610999999999</v>
          </cell>
          <cell r="F5033" t="str">
            <v>-</v>
          </cell>
          <cell r="G5033" t="str">
            <v>-</v>
          </cell>
          <cell r="H5033" t="str">
            <v>-</v>
          </cell>
          <cell r="I5033" t="str">
            <v>-</v>
          </cell>
          <cell r="J5033">
            <v>3.9192610999999999</v>
          </cell>
          <cell r="K5033" t="str">
            <v>Small Cap</v>
          </cell>
        </row>
        <row r="5034">
          <cell r="C5034" t="str">
            <v>INE927E01018</v>
          </cell>
          <cell r="D5034" t="str">
            <v>-</v>
          </cell>
          <cell r="E5034" t="str">
            <v>-</v>
          </cell>
          <cell r="F5034" t="str">
            <v>-</v>
          </cell>
          <cell r="G5034" t="str">
            <v>-</v>
          </cell>
          <cell r="H5034" t="str">
            <v>KAMINI</v>
          </cell>
          <cell r="I5034">
            <v>3.9005362500000049</v>
          </cell>
          <cell r="J5034">
            <v>3.9005362500000049</v>
          </cell>
          <cell r="K5034" t="str">
            <v>Small Cap</v>
          </cell>
        </row>
        <row r="5035">
          <cell r="C5035" t="str">
            <v>INE641H01018</v>
          </cell>
          <cell r="D5035" t="str">
            <v>GOPAIST</v>
          </cell>
          <cell r="E5035">
            <v>3.8937578310000003</v>
          </cell>
          <cell r="F5035" t="str">
            <v>-</v>
          </cell>
          <cell r="G5035" t="str">
            <v>-</v>
          </cell>
          <cell r="H5035" t="str">
            <v>-</v>
          </cell>
          <cell r="I5035" t="str">
            <v>-</v>
          </cell>
          <cell r="J5035">
            <v>3.8937578310000003</v>
          </cell>
          <cell r="K5035" t="str">
            <v>Small Cap</v>
          </cell>
        </row>
        <row r="5036">
          <cell r="C5036" t="str">
            <v>INE134F01026</v>
          </cell>
          <cell r="D5036" t="str">
            <v>STURDY</v>
          </cell>
          <cell r="E5036">
            <v>3.8893807030000001</v>
          </cell>
          <cell r="F5036" t="str">
            <v>-</v>
          </cell>
          <cell r="G5036" t="str">
            <v>-</v>
          </cell>
          <cell r="H5036" t="str">
            <v>-</v>
          </cell>
          <cell r="I5036" t="str">
            <v>-</v>
          </cell>
          <cell r="J5036">
            <v>3.8893807030000001</v>
          </cell>
          <cell r="K5036" t="str">
            <v>Small Cap</v>
          </cell>
        </row>
        <row r="5037">
          <cell r="C5037" t="str">
            <v>INE745P01010</v>
          </cell>
          <cell r="D5037" t="str">
            <v>AMARSEC</v>
          </cell>
          <cell r="E5037">
            <v>3.8893306999999999</v>
          </cell>
          <cell r="F5037" t="str">
            <v>-</v>
          </cell>
          <cell r="G5037" t="str">
            <v>-</v>
          </cell>
          <cell r="H5037" t="str">
            <v>-</v>
          </cell>
          <cell r="I5037" t="str">
            <v>-</v>
          </cell>
          <cell r="J5037">
            <v>3.8893306999999999</v>
          </cell>
          <cell r="K5037" t="str">
            <v>Small Cap</v>
          </cell>
        </row>
        <row r="5038">
          <cell r="C5038" t="str">
            <v>INE680D01015</v>
          </cell>
          <cell r="D5038" t="str">
            <v>OMKAR</v>
          </cell>
          <cell r="E5038">
            <v>3.8821428569999998</v>
          </cell>
          <cell r="F5038" t="str">
            <v>-</v>
          </cell>
          <cell r="G5038" t="str">
            <v>-</v>
          </cell>
          <cell r="H5038" t="str">
            <v>-</v>
          </cell>
          <cell r="I5038" t="str">
            <v>-</v>
          </cell>
          <cell r="J5038">
            <v>3.8821428569999998</v>
          </cell>
          <cell r="K5038" t="str">
            <v>Small Cap</v>
          </cell>
        </row>
        <row r="5039">
          <cell r="C5039" t="str">
            <v>INE516H01012</v>
          </cell>
          <cell r="D5039" t="str">
            <v>RICHAIND</v>
          </cell>
          <cell r="E5039">
            <v>3.8679954759999999</v>
          </cell>
          <cell r="F5039" t="str">
            <v>-</v>
          </cell>
          <cell r="G5039" t="str">
            <v>-</v>
          </cell>
          <cell r="H5039" t="str">
            <v>-</v>
          </cell>
          <cell r="I5039" t="str">
            <v>-</v>
          </cell>
          <cell r="J5039">
            <v>3.8679954759999999</v>
          </cell>
          <cell r="K5039" t="str">
            <v>Small Cap</v>
          </cell>
        </row>
        <row r="5040">
          <cell r="C5040" t="str">
            <v>INE961R01019</v>
          </cell>
          <cell r="D5040" t="str">
            <v>-</v>
          </cell>
          <cell r="E5040" t="str">
            <v>-</v>
          </cell>
          <cell r="F5040" t="str">
            <v>-</v>
          </cell>
          <cell r="G5040" t="str">
            <v>-</v>
          </cell>
          <cell r="H5040" t="str">
            <v>MAXPLUS</v>
          </cell>
          <cell r="I5040">
            <v>3.8344549999999944</v>
          </cell>
          <cell r="J5040">
            <v>3.8344549999999944</v>
          </cell>
          <cell r="K5040" t="str">
            <v>Small Cap</v>
          </cell>
        </row>
        <row r="5041">
          <cell r="C5041" t="str">
            <v>INE593O01017</v>
          </cell>
          <cell r="D5041" t="str">
            <v>JAUSPOL</v>
          </cell>
          <cell r="E5041">
            <v>3.8325091530000002</v>
          </cell>
          <cell r="F5041" t="str">
            <v>-</v>
          </cell>
          <cell r="G5041" t="str">
            <v>-</v>
          </cell>
          <cell r="H5041" t="str">
            <v>-</v>
          </cell>
          <cell r="I5041" t="str">
            <v>-</v>
          </cell>
          <cell r="J5041">
            <v>3.8325091530000002</v>
          </cell>
          <cell r="K5041" t="str">
            <v>Small Cap</v>
          </cell>
        </row>
        <row r="5042">
          <cell r="C5042" t="str">
            <v>INE422G01015</v>
          </cell>
          <cell r="D5042" t="str">
            <v>HEMORGANIC</v>
          </cell>
          <cell r="E5042">
            <v>3.7923547710000003</v>
          </cell>
          <cell r="F5042" t="str">
            <v>-</v>
          </cell>
          <cell r="G5042" t="str">
            <v>-</v>
          </cell>
          <cell r="H5042" t="str">
            <v>-</v>
          </cell>
          <cell r="I5042" t="str">
            <v>-</v>
          </cell>
          <cell r="J5042">
            <v>3.7923547710000003</v>
          </cell>
          <cell r="K5042" t="str">
            <v>Small Cap</v>
          </cell>
        </row>
        <row r="5043">
          <cell r="C5043" t="str">
            <v>INE781X01019</v>
          </cell>
          <cell r="D5043" t="str">
            <v>-</v>
          </cell>
          <cell r="E5043" t="str">
            <v>-</v>
          </cell>
          <cell r="F5043" t="str">
            <v>-</v>
          </cell>
          <cell r="G5043" t="str">
            <v>-</v>
          </cell>
          <cell r="H5043" t="str">
            <v>ACEEXPO</v>
          </cell>
          <cell r="I5043">
            <v>3.7749600000000068</v>
          </cell>
          <cell r="J5043">
            <v>3.7749600000000068</v>
          </cell>
          <cell r="K5043" t="str">
            <v>Small Cap</v>
          </cell>
        </row>
        <row r="5044">
          <cell r="C5044" t="str">
            <v>INE843F01014</v>
          </cell>
          <cell r="D5044" t="str">
            <v>TRICOMFRU</v>
          </cell>
          <cell r="E5044">
            <v>3.772874335</v>
          </cell>
          <cell r="F5044" t="str">
            <v>-</v>
          </cell>
          <cell r="G5044" t="str">
            <v>-</v>
          </cell>
          <cell r="H5044" t="str">
            <v>-</v>
          </cell>
          <cell r="I5044" t="str">
            <v>-</v>
          </cell>
          <cell r="J5044">
            <v>3.772874335</v>
          </cell>
          <cell r="K5044" t="str">
            <v>Small Cap</v>
          </cell>
        </row>
        <row r="5045">
          <cell r="C5045" t="str">
            <v>INE478B01018</v>
          </cell>
          <cell r="D5045" t="str">
            <v>NETRIPPLES</v>
          </cell>
          <cell r="E5045">
            <v>3.7561119000000001</v>
          </cell>
          <cell r="F5045" t="str">
            <v>-</v>
          </cell>
          <cell r="G5045" t="str">
            <v>-</v>
          </cell>
          <cell r="H5045" t="str">
            <v>-</v>
          </cell>
          <cell r="I5045" t="str">
            <v>-</v>
          </cell>
          <cell r="J5045">
            <v>3.7561119000000001</v>
          </cell>
          <cell r="K5045" t="str">
            <v>Small Cap</v>
          </cell>
        </row>
        <row r="5046">
          <cell r="C5046" t="str">
            <v>INE649H01011</v>
          </cell>
          <cell r="D5046" t="str">
            <v>EUROCERA</v>
          </cell>
          <cell r="E5046">
            <v>3.7448865869999999</v>
          </cell>
          <cell r="F5046" t="str">
            <v>-</v>
          </cell>
          <cell r="G5046" t="str">
            <v>-</v>
          </cell>
          <cell r="H5046" t="str">
            <v>-</v>
          </cell>
          <cell r="I5046" t="str">
            <v>-</v>
          </cell>
          <cell r="J5046">
            <v>3.7448865869999999</v>
          </cell>
          <cell r="K5046" t="str">
            <v>Small Cap</v>
          </cell>
        </row>
        <row r="5047">
          <cell r="C5047" t="str">
            <v>INE948E01014</v>
          </cell>
          <cell r="D5047" t="str">
            <v>-</v>
          </cell>
          <cell r="E5047" t="str">
            <v>-</v>
          </cell>
          <cell r="F5047" t="str">
            <v>-</v>
          </cell>
          <cell r="G5047" t="str">
            <v>-</v>
          </cell>
          <cell r="H5047" t="str">
            <v>SOPHIA</v>
          </cell>
          <cell r="I5047">
            <v>3.7378949999999929</v>
          </cell>
          <cell r="J5047">
            <v>3.7378949999999929</v>
          </cell>
          <cell r="K5047" t="str">
            <v>Small Cap</v>
          </cell>
        </row>
        <row r="5048">
          <cell r="C5048" t="str">
            <v>INE664A01015</v>
          </cell>
          <cell r="D5048" t="str">
            <v>WINSOMEDJ</v>
          </cell>
          <cell r="E5048">
            <v>3.7312762899999998</v>
          </cell>
          <cell r="F5048" t="str">
            <v>-</v>
          </cell>
          <cell r="G5048" t="str">
            <v>-</v>
          </cell>
          <cell r="H5048" t="str">
            <v>-</v>
          </cell>
          <cell r="I5048" t="str">
            <v>-</v>
          </cell>
          <cell r="J5048">
            <v>3.7312762899999998</v>
          </cell>
          <cell r="K5048" t="str">
            <v>Small Cap</v>
          </cell>
        </row>
        <row r="5049">
          <cell r="C5049" t="str">
            <v>INE735D01041</v>
          </cell>
          <cell r="D5049" t="str">
            <v>MAHANIN</v>
          </cell>
          <cell r="E5049">
            <v>3.7163214289999997</v>
          </cell>
          <cell r="F5049" t="str">
            <v>-</v>
          </cell>
          <cell r="G5049" t="str">
            <v>-</v>
          </cell>
          <cell r="H5049" t="str">
            <v>-</v>
          </cell>
          <cell r="I5049" t="str">
            <v>-</v>
          </cell>
          <cell r="J5049">
            <v>3.7163214289999997</v>
          </cell>
          <cell r="K5049" t="str">
            <v>Small Cap</v>
          </cell>
        </row>
        <row r="5050">
          <cell r="C5050" t="str">
            <v>INE369B01019</v>
          </cell>
          <cell r="D5050" t="str">
            <v>OMNIAX</v>
          </cell>
          <cell r="E5050">
            <v>3.7147002600000003</v>
          </cell>
          <cell r="F5050" t="str">
            <v>-</v>
          </cell>
          <cell r="G5050" t="str">
            <v>-</v>
          </cell>
          <cell r="H5050" t="str">
            <v>-</v>
          </cell>
          <cell r="I5050" t="str">
            <v>-</v>
          </cell>
          <cell r="J5050">
            <v>3.7147002600000003</v>
          </cell>
          <cell r="K5050" t="str">
            <v>Small Cap</v>
          </cell>
        </row>
        <row r="5051">
          <cell r="C5051" t="str">
            <v>INE715F01014</v>
          </cell>
          <cell r="D5051" t="str">
            <v>ACEEDU</v>
          </cell>
          <cell r="E5051">
            <v>3.7119094329999998</v>
          </cell>
          <cell r="F5051" t="str">
            <v>-</v>
          </cell>
          <cell r="G5051" t="str">
            <v>-</v>
          </cell>
          <cell r="H5051" t="str">
            <v>-</v>
          </cell>
          <cell r="I5051" t="str">
            <v>-</v>
          </cell>
          <cell r="J5051">
            <v>3.7119094329999998</v>
          </cell>
          <cell r="K5051" t="str">
            <v>Small Cap</v>
          </cell>
        </row>
        <row r="5052">
          <cell r="C5052" t="str">
            <v>INE403L01015</v>
          </cell>
          <cell r="D5052" t="str">
            <v>SIDH</v>
          </cell>
          <cell r="E5052">
            <v>3.7028750000000001</v>
          </cell>
          <cell r="F5052" t="str">
            <v>-</v>
          </cell>
          <cell r="G5052" t="str">
            <v>-</v>
          </cell>
          <cell r="H5052" t="str">
            <v>-</v>
          </cell>
          <cell r="I5052" t="str">
            <v>-</v>
          </cell>
          <cell r="J5052">
            <v>3.7028750000000001</v>
          </cell>
          <cell r="K5052" t="str">
            <v>Small Cap</v>
          </cell>
        </row>
        <row r="5053">
          <cell r="C5053" t="str">
            <v>INE634D01038</v>
          </cell>
          <cell r="D5053" t="str">
            <v>GTEIT</v>
          </cell>
          <cell r="E5053">
            <v>3.65625</v>
          </cell>
          <cell r="F5053" t="str">
            <v>-</v>
          </cell>
          <cell r="G5053" t="str">
            <v>-</v>
          </cell>
          <cell r="H5053" t="str">
            <v>-</v>
          </cell>
          <cell r="I5053" t="str">
            <v>-</v>
          </cell>
          <cell r="J5053">
            <v>3.65625</v>
          </cell>
          <cell r="K5053" t="str">
            <v>Small Cap</v>
          </cell>
        </row>
        <row r="5054">
          <cell r="C5054" t="str">
            <v>INE899M01020</v>
          </cell>
          <cell r="D5054" t="str">
            <v>COVIDH</v>
          </cell>
          <cell r="E5054">
            <v>3.6406305450000005</v>
          </cell>
          <cell r="F5054" t="str">
            <v>-</v>
          </cell>
          <cell r="G5054" t="str">
            <v>-</v>
          </cell>
          <cell r="H5054" t="str">
            <v>-</v>
          </cell>
          <cell r="I5054" t="str">
            <v>-</v>
          </cell>
          <cell r="J5054">
            <v>3.6406305450000005</v>
          </cell>
          <cell r="K5054" t="str">
            <v>Small Cap</v>
          </cell>
        </row>
        <row r="5055">
          <cell r="C5055" t="str">
            <v>INE541C01037</v>
          </cell>
          <cell r="D5055" t="str">
            <v>TSPIRITUAL</v>
          </cell>
          <cell r="E5055">
            <v>3.6370303329999998</v>
          </cell>
          <cell r="F5055" t="str">
            <v>-</v>
          </cell>
          <cell r="G5055" t="str">
            <v>-</v>
          </cell>
          <cell r="H5055" t="str">
            <v>-</v>
          </cell>
          <cell r="I5055" t="str">
            <v>-</v>
          </cell>
          <cell r="J5055">
            <v>3.6370303329999998</v>
          </cell>
          <cell r="K5055" t="str">
            <v>Small Cap</v>
          </cell>
        </row>
        <row r="5056">
          <cell r="C5056" t="str">
            <v>INE909P01012</v>
          </cell>
          <cell r="D5056" t="str">
            <v>STARLIT</v>
          </cell>
          <cell r="E5056">
            <v>3.6132868939999998</v>
          </cell>
          <cell r="F5056" t="str">
            <v>-</v>
          </cell>
          <cell r="G5056" t="str">
            <v>-</v>
          </cell>
          <cell r="H5056" t="str">
            <v>-</v>
          </cell>
          <cell r="I5056" t="str">
            <v>-</v>
          </cell>
          <cell r="J5056">
            <v>3.6132868939999998</v>
          </cell>
          <cell r="K5056" t="str">
            <v>Small Cap</v>
          </cell>
        </row>
        <row r="5057">
          <cell r="C5057" t="str">
            <v>INE775C01015</v>
          </cell>
          <cell r="D5057" t="str">
            <v>GCCL</v>
          </cell>
          <cell r="E5057">
            <v>3.6004200000000002</v>
          </cell>
          <cell r="F5057" t="str">
            <v>-</v>
          </cell>
          <cell r="G5057" t="str">
            <v>-</v>
          </cell>
          <cell r="H5057" t="str">
            <v>-</v>
          </cell>
          <cell r="I5057" t="str">
            <v>-</v>
          </cell>
          <cell r="J5057">
            <v>3.6004200000000002</v>
          </cell>
          <cell r="K5057" t="str">
            <v>Small Cap</v>
          </cell>
        </row>
        <row r="5058">
          <cell r="C5058" t="str">
            <v>INE281P01016</v>
          </cell>
          <cell r="D5058" t="str">
            <v>ABHIINFRA</v>
          </cell>
          <cell r="E5058">
            <v>3.5696029289999998</v>
          </cell>
          <cell r="F5058" t="str">
            <v>-</v>
          </cell>
          <cell r="G5058" t="str">
            <v>-</v>
          </cell>
          <cell r="H5058" t="str">
            <v>ABHIINFRA</v>
          </cell>
          <cell r="I5058">
            <v>3.5702039999999999</v>
          </cell>
          <cell r="J5058">
            <v>3.5699034644999998</v>
          </cell>
          <cell r="K5058" t="str">
            <v>Small Cap</v>
          </cell>
        </row>
        <row r="5059">
          <cell r="C5059" t="str">
            <v>INE101E01010</v>
          </cell>
          <cell r="D5059" t="str">
            <v>REGAL</v>
          </cell>
          <cell r="E5059">
            <v>3.5659766479999995</v>
          </cell>
          <cell r="F5059" t="str">
            <v>-</v>
          </cell>
          <cell r="G5059" t="str">
            <v>-</v>
          </cell>
          <cell r="H5059" t="str">
            <v>-</v>
          </cell>
          <cell r="I5059" t="str">
            <v>-</v>
          </cell>
          <cell r="J5059">
            <v>3.5659766479999995</v>
          </cell>
          <cell r="K5059" t="str">
            <v>Small Cap</v>
          </cell>
        </row>
        <row r="5060">
          <cell r="C5060" t="str">
            <v>INE773X01016</v>
          </cell>
          <cell r="D5060" t="str">
            <v>-</v>
          </cell>
          <cell r="E5060" t="str">
            <v>-</v>
          </cell>
          <cell r="F5060" t="str">
            <v>-</v>
          </cell>
          <cell r="G5060" t="str">
            <v>-</v>
          </cell>
          <cell r="H5060" t="str">
            <v>SKYLINE</v>
          </cell>
          <cell r="I5060">
            <v>3.5644135750000028</v>
          </cell>
          <cell r="J5060">
            <v>3.5644135750000028</v>
          </cell>
          <cell r="K5060" t="str">
            <v>Small Cap</v>
          </cell>
        </row>
        <row r="5061">
          <cell r="C5061" t="str">
            <v>INE513F01013</v>
          </cell>
          <cell r="D5061" t="str">
            <v>-</v>
          </cell>
          <cell r="E5061" t="str">
            <v>-</v>
          </cell>
          <cell r="F5061" t="str">
            <v>-</v>
          </cell>
          <cell r="G5061" t="str">
            <v>-</v>
          </cell>
          <cell r="H5061" t="str">
            <v>ZEL</v>
          </cell>
          <cell r="I5061">
            <v>3.5500000000000074</v>
          </cell>
          <cell r="J5061">
            <v>3.5500000000000074</v>
          </cell>
          <cell r="K5061" t="str">
            <v>Small Cap</v>
          </cell>
        </row>
        <row r="5062">
          <cell r="C5062" t="str">
            <v>INE248C01013</v>
          </cell>
          <cell r="D5062" t="str">
            <v>DEVIKA</v>
          </cell>
          <cell r="E5062">
            <v>3.5456340000000002</v>
          </cell>
          <cell r="F5062" t="str">
            <v>-</v>
          </cell>
          <cell r="G5062" t="str">
            <v>-</v>
          </cell>
          <cell r="H5062" t="str">
            <v>-</v>
          </cell>
          <cell r="I5062" t="str">
            <v>-</v>
          </cell>
          <cell r="J5062">
            <v>3.5456340000000002</v>
          </cell>
          <cell r="K5062" t="str">
            <v>Small Cap</v>
          </cell>
        </row>
        <row r="5063">
          <cell r="C5063" t="str">
            <v>INE518C01019</v>
          </cell>
          <cell r="D5063" t="str">
            <v>-</v>
          </cell>
          <cell r="E5063" t="str">
            <v>-</v>
          </cell>
          <cell r="F5063" t="str">
            <v>-</v>
          </cell>
          <cell r="G5063" t="str">
            <v>-</v>
          </cell>
          <cell r="H5063" t="str">
            <v>ROADWAYS</v>
          </cell>
          <cell r="I5063">
            <v>3.5201999999999924</v>
          </cell>
          <cell r="J5063">
            <v>3.5201999999999924</v>
          </cell>
          <cell r="K5063" t="str">
            <v>Small Cap</v>
          </cell>
        </row>
        <row r="5064">
          <cell r="C5064" t="str">
            <v>INE512R01010</v>
          </cell>
          <cell r="D5064" t="str">
            <v>AARSHYAM</v>
          </cell>
          <cell r="E5064">
            <v>3.5108095240000003</v>
          </cell>
          <cell r="F5064" t="str">
            <v>-</v>
          </cell>
          <cell r="G5064" t="str">
            <v>-</v>
          </cell>
          <cell r="H5064" t="str">
            <v>-</v>
          </cell>
          <cell r="I5064" t="str">
            <v>-</v>
          </cell>
          <cell r="J5064">
            <v>3.5108095240000003</v>
          </cell>
          <cell r="K5064" t="str">
            <v>Small Cap</v>
          </cell>
        </row>
        <row r="5065">
          <cell r="C5065" t="str">
            <v>INE806Q01018</v>
          </cell>
          <cell r="D5065" t="str">
            <v>-</v>
          </cell>
          <cell r="E5065" t="str">
            <v>-</v>
          </cell>
          <cell r="F5065" t="str">
            <v>-</v>
          </cell>
          <cell r="G5065" t="str">
            <v>-</v>
          </cell>
          <cell r="H5065" t="str">
            <v>HINDAUTO</v>
          </cell>
          <cell r="I5065">
            <v>3.5027999999999926</v>
          </cell>
          <cell r="J5065">
            <v>3.5027999999999926</v>
          </cell>
          <cell r="K5065" t="str">
            <v>Small Cap</v>
          </cell>
        </row>
        <row r="5066">
          <cell r="C5066" t="str">
            <v>INE200P01016</v>
          </cell>
          <cell r="D5066" t="str">
            <v>GCMCOMM</v>
          </cell>
          <cell r="E5066">
            <v>3.4551465000000001</v>
          </cell>
          <cell r="F5066" t="str">
            <v>-</v>
          </cell>
          <cell r="G5066" t="str">
            <v>-</v>
          </cell>
          <cell r="H5066" t="str">
            <v>-</v>
          </cell>
          <cell r="I5066" t="str">
            <v>-</v>
          </cell>
          <cell r="J5066">
            <v>3.4551465000000001</v>
          </cell>
          <cell r="K5066" t="str">
            <v>Small Cap</v>
          </cell>
        </row>
        <row r="5067">
          <cell r="C5067" t="str">
            <v>INE796B01013</v>
          </cell>
          <cell r="D5067" t="str">
            <v>DOLPHMED</v>
          </cell>
          <cell r="E5067">
            <v>3.4521366450000004</v>
          </cell>
          <cell r="F5067" t="str">
            <v>-</v>
          </cell>
          <cell r="G5067" t="str">
            <v>-</v>
          </cell>
          <cell r="H5067" t="str">
            <v>-</v>
          </cell>
          <cell r="I5067" t="str">
            <v>-</v>
          </cell>
          <cell r="J5067">
            <v>3.4521366450000004</v>
          </cell>
          <cell r="K5067" t="str">
            <v>Small Cap</v>
          </cell>
        </row>
        <row r="5068">
          <cell r="C5068" t="str">
            <v>INE812T01010</v>
          </cell>
          <cell r="D5068" t="str">
            <v>RUBY</v>
          </cell>
          <cell r="E5068">
            <v>3.4443009999999998</v>
          </cell>
          <cell r="F5068" t="str">
            <v>-</v>
          </cell>
          <cell r="G5068" t="str">
            <v>-</v>
          </cell>
          <cell r="H5068" t="str">
            <v>-</v>
          </cell>
          <cell r="I5068" t="str">
            <v>-</v>
          </cell>
          <cell r="J5068">
            <v>3.4443009999999998</v>
          </cell>
          <cell r="K5068" t="str">
            <v>Small Cap</v>
          </cell>
        </row>
        <row r="5069">
          <cell r="C5069" t="str">
            <v>INE638C01015</v>
          </cell>
          <cell r="D5069" t="str">
            <v>WISEC</v>
          </cell>
          <cell r="E5069">
            <v>3.4352452000000002</v>
          </cell>
          <cell r="F5069" t="str">
            <v>-</v>
          </cell>
          <cell r="G5069" t="str">
            <v>-</v>
          </cell>
          <cell r="H5069" t="str">
            <v>-</v>
          </cell>
          <cell r="I5069" t="str">
            <v>-</v>
          </cell>
          <cell r="J5069">
            <v>3.4352452000000002</v>
          </cell>
          <cell r="K5069" t="str">
            <v>Small Cap</v>
          </cell>
        </row>
        <row r="5070">
          <cell r="C5070" t="str">
            <v>INE998A01017</v>
          </cell>
          <cell r="D5070" t="str">
            <v>BIOPAC</v>
          </cell>
          <cell r="E5070">
            <v>3.4327698999999998</v>
          </cell>
          <cell r="F5070" t="str">
            <v>-</v>
          </cell>
          <cell r="G5070" t="str">
            <v>-</v>
          </cell>
          <cell r="H5070" t="str">
            <v>-</v>
          </cell>
          <cell r="I5070" t="str">
            <v>-</v>
          </cell>
          <cell r="J5070">
            <v>3.4327698999999998</v>
          </cell>
          <cell r="K5070" t="str">
            <v>Small Cap</v>
          </cell>
        </row>
        <row r="5071">
          <cell r="C5071" t="str">
            <v>INE989E01018</v>
          </cell>
          <cell r="D5071" t="str">
            <v>JRFOODS</v>
          </cell>
          <cell r="E5071">
            <v>3.4295</v>
          </cell>
          <cell r="F5071" t="str">
            <v>-</v>
          </cell>
          <cell r="G5071" t="str">
            <v>-</v>
          </cell>
          <cell r="H5071" t="str">
            <v>-</v>
          </cell>
          <cell r="I5071" t="str">
            <v>-</v>
          </cell>
          <cell r="J5071">
            <v>3.4295</v>
          </cell>
          <cell r="K5071" t="str">
            <v>Small Cap</v>
          </cell>
        </row>
        <row r="5072">
          <cell r="C5072" t="str">
            <v>INE173V01013</v>
          </cell>
          <cell r="D5072" t="str">
            <v>GUJWIND</v>
          </cell>
          <cell r="E5072">
            <v>3.4282123189999996</v>
          </cell>
          <cell r="F5072" t="str">
            <v>-</v>
          </cell>
          <cell r="G5072" t="str">
            <v>-</v>
          </cell>
          <cell r="H5072" t="str">
            <v>-</v>
          </cell>
          <cell r="I5072" t="str">
            <v>-</v>
          </cell>
          <cell r="J5072">
            <v>3.4282123189999996</v>
          </cell>
          <cell r="K5072" t="str">
            <v>Small Cap</v>
          </cell>
        </row>
        <row r="5073">
          <cell r="C5073" t="str">
            <v>INE356D01012</v>
          </cell>
          <cell r="D5073" t="str">
            <v>STEWARTQ</v>
          </cell>
          <cell r="E5073">
            <v>3.411</v>
          </cell>
          <cell r="F5073" t="str">
            <v>-</v>
          </cell>
          <cell r="G5073" t="str">
            <v>-</v>
          </cell>
          <cell r="H5073" t="str">
            <v>-</v>
          </cell>
          <cell r="I5073" t="str">
            <v>-</v>
          </cell>
          <cell r="J5073">
            <v>3.411</v>
          </cell>
          <cell r="K5073" t="str">
            <v>Small Cap</v>
          </cell>
        </row>
        <row r="5074">
          <cell r="C5074" t="str">
            <v>INE428O01016</v>
          </cell>
          <cell r="D5074" t="str">
            <v>AIFL</v>
          </cell>
          <cell r="E5074">
            <v>3.4035398100000003</v>
          </cell>
          <cell r="F5074" t="str">
            <v>-</v>
          </cell>
          <cell r="G5074" t="str">
            <v>-</v>
          </cell>
          <cell r="H5074" t="str">
            <v>-</v>
          </cell>
          <cell r="I5074" t="str">
            <v>-</v>
          </cell>
          <cell r="J5074">
            <v>3.4035398100000003</v>
          </cell>
          <cell r="K5074" t="str">
            <v>Small Cap</v>
          </cell>
        </row>
        <row r="5075">
          <cell r="C5075" t="str">
            <v>INE063J01011</v>
          </cell>
          <cell r="D5075" t="str">
            <v>EUROMULTI</v>
          </cell>
          <cell r="E5075">
            <v>3.4034070070000002</v>
          </cell>
          <cell r="F5075" t="str">
            <v>-</v>
          </cell>
          <cell r="G5075" t="str">
            <v>-</v>
          </cell>
          <cell r="H5075" t="str">
            <v>-</v>
          </cell>
          <cell r="I5075" t="str">
            <v>-</v>
          </cell>
          <cell r="J5075">
            <v>3.4034070070000002</v>
          </cell>
          <cell r="K5075" t="str">
            <v>Small Cap</v>
          </cell>
        </row>
        <row r="5076">
          <cell r="C5076" t="str">
            <v>INE964G01016</v>
          </cell>
          <cell r="D5076" t="str">
            <v>KHTRFIB</v>
          </cell>
          <cell r="E5076">
            <v>3.4</v>
          </cell>
          <cell r="F5076" t="str">
            <v>-</v>
          </cell>
          <cell r="G5076" t="str">
            <v>-</v>
          </cell>
          <cell r="H5076" t="str">
            <v>-</v>
          </cell>
          <cell r="I5076" t="str">
            <v>-</v>
          </cell>
          <cell r="J5076">
            <v>3.4</v>
          </cell>
          <cell r="K5076" t="str">
            <v>Small Cap</v>
          </cell>
        </row>
        <row r="5077">
          <cell r="C5077" t="str">
            <v>INE517E01017</v>
          </cell>
          <cell r="D5077" t="str">
            <v>-</v>
          </cell>
          <cell r="E5077" t="str">
            <v>-</v>
          </cell>
          <cell r="F5077" t="str">
            <v>-</v>
          </cell>
          <cell r="G5077" t="str">
            <v>-</v>
          </cell>
          <cell r="H5077" t="str">
            <v>JFL</v>
          </cell>
          <cell r="I5077">
            <v>3.3702999999999901</v>
          </cell>
          <cell r="J5077">
            <v>3.3702999999999901</v>
          </cell>
          <cell r="K5077" t="str">
            <v>Small Cap</v>
          </cell>
        </row>
        <row r="5078">
          <cell r="C5078" t="str">
            <v>INE443N01017</v>
          </cell>
          <cell r="D5078" t="str">
            <v>DYNMICR</v>
          </cell>
          <cell r="E5078">
            <v>3.3625799999999999</v>
          </cell>
          <cell r="F5078" t="str">
            <v>-</v>
          </cell>
          <cell r="G5078" t="str">
            <v>-</v>
          </cell>
          <cell r="H5078" t="str">
            <v>-</v>
          </cell>
          <cell r="I5078" t="str">
            <v>-</v>
          </cell>
          <cell r="J5078">
            <v>3.3625799999999999</v>
          </cell>
          <cell r="K5078" t="str">
            <v>Small Cap</v>
          </cell>
        </row>
        <row r="5079">
          <cell r="C5079" t="str">
            <v>INE379Y01010</v>
          </cell>
          <cell r="D5079" t="str">
            <v>-</v>
          </cell>
          <cell r="E5079" t="str">
            <v>-</v>
          </cell>
          <cell r="F5079" t="str">
            <v>-</v>
          </cell>
          <cell r="G5079" t="str">
            <v>-</v>
          </cell>
          <cell r="H5079" t="str">
            <v>JAINFARM</v>
          </cell>
          <cell r="I5079">
            <v>3.34500000000001</v>
          </cell>
          <cell r="J5079">
            <v>3.34500000000001</v>
          </cell>
          <cell r="K5079" t="str">
            <v>Small Cap</v>
          </cell>
        </row>
        <row r="5080">
          <cell r="C5080" t="str">
            <v>INE408B01015</v>
          </cell>
          <cell r="D5080" t="str">
            <v>JJEXPO</v>
          </cell>
          <cell r="E5080">
            <v>3.34367225</v>
          </cell>
          <cell r="F5080" t="str">
            <v>-</v>
          </cell>
          <cell r="G5080" t="str">
            <v>-</v>
          </cell>
          <cell r="H5080" t="str">
            <v>-</v>
          </cell>
          <cell r="I5080" t="str">
            <v>-</v>
          </cell>
          <cell r="J5080">
            <v>3.34367225</v>
          </cell>
          <cell r="K5080" t="str">
            <v>Small Cap</v>
          </cell>
        </row>
        <row r="5081">
          <cell r="C5081" t="str">
            <v>INE848B01012</v>
          </cell>
          <cell r="D5081" t="str">
            <v>SPECTRA</v>
          </cell>
          <cell r="E5081">
            <v>3.3385801430000002</v>
          </cell>
          <cell r="F5081" t="str">
            <v>-</v>
          </cell>
          <cell r="G5081" t="str">
            <v>-</v>
          </cell>
          <cell r="H5081" t="str">
            <v>-</v>
          </cell>
          <cell r="I5081" t="str">
            <v>-</v>
          </cell>
          <cell r="J5081">
            <v>3.3385801430000002</v>
          </cell>
          <cell r="K5081" t="str">
            <v>Small Cap</v>
          </cell>
        </row>
        <row r="5082">
          <cell r="C5082" t="str">
            <v>INE02Z901011</v>
          </cell>
          <cell r="D5082" t="str">
            <v>SHVSUIT</v>
          </cell>
          <cell r="E5082">
            <v>3.3336076489999997</v>
          </cell>
          <cell r="F5082" t="str">
            <v>-</v>
          </cell>
          <cell r="G5082" t="str">
            <v>-</v>
          </cell>
          <cell r="H5082" t="str">
            <v>-</v>
          </cell>
          <cell r="I5082" t="str">
            <v>-</v>
          </cell>
          <cell r="J5082">
            <v>3.3336076489999997</v>
          </cell>
          <cell r="K5082" t="str">
            <v>Small Cap</v>
          </cell>
        </row>
        <row r="5083">
          <cell r="C5083" t="str">
            <v>INE04VT01017</v>
          </cell>
          <cell r="D5083" t="str">
            <v>THAKKERS</v>
          </cell>
          <cell r="E5083">
            <v>3.32274</v>
          </cell>
          <cell r="F5083" t="str">
            <v>-</v>
          </cell>
          <cell r="G5083" t="str">
            <v>-</v>
          </cell>
          <cell r="H5083" t="str">
            <v>-</v>
          </cell>
          <cell r="I5083" t="str">
            <v>-</v>
          </cell>
          <cell r="J5083">
            <v>3.32274</v>
          </cell>
          <cell r="K5083" t="str">
            <v>Small Cap</v>
          </cell>
        </row>
        <row r="5084">
          <cell r="C5084" t="str">
            <v>INE562S01013</v>
          </cell>
          <cell r="D5084" t="str">
            <v>BVL</v>
          </cell>
          <cell r="E5084">
            <v>3.3221955599999999</v>
          </cell>
          <cell r="F5084" t="str">
            <v>-</v>
          </cell>
          <cell r="G5084" t="str">
            <v>-</v>
          </cell>
          <cell r="H5084" t="str">
            <v>-</v>
          </cell>
          <cell r="I5084" t="str">
            <v>-</v>
          </cell>
          <cell r="J5084">
            <v>3.3221955599999999</v>
          </cell>
          <cell r="K5084" t="str">
            <v>Small Cap</v>
          </cell>
        </row>
        <row r="5085">
          <cell r="C5085" t="str">
            <v>INE392H01018</v>
          </cell>
          <cell r="D5085" t="str">
            <v>TAAZAINT</v>
          </cell>
          <cell r="E5085">
            <v>3.3169562699999999</v>
          </cell>
          <cell r="F5085" t="str">
            <v>-</v>
          </cell>
          <cell r="G5085" t="str">
            <v>-</v>
          </cell>
          <cell r="H5085" t="str">
            <v>-</v>
          </cell>
          <cell r="I5085" t="str">
            <v>-</v>
          </cell>
          <cell r="J5085">
            <v>3.3169562699999999</v>
          </cell>
          <cell r="K5085" t="str">
            <v>Small Cap</v>
          </cell>
        </row>
        <row r="5086">
          <cell r="C5086" t="str">
            <v>INE733N01011</v>
          </cell>
          <cell r="D5086" t="str">
            <v>KSHITIJ</v>
          </cell>
          <cell r="E5086">
            <v>3.3100200000000002</v>
          </cell>
          <cell r="F5086" t="str">
            <v>-</v>
          </cell>
          <cell r="G5086" t="str">
            <v>-</v>
          </cell>
          <cell r="H5086" t="str">
            <v>-</v>
          </cell>
          <cell r="I5086" t="str">
            <v>-</v>
          </cell>
          <cell r="J5086">
            <v>3.3100200000000002</v>
          </cell>
          <cell r="K5086" t="str">
            <v>Small Cap</v>
          </cell>
        </row>
        <row r="5087">
          <cell r="C5087" t="str">
            <v>INE447K01014</v>
          </cell>
          <cell r="D5087" t="str">
            <v>-</v>
          </cell>
          <cell r="E5087" t="str">
            <v>-</v>
          </cell>
          <cell r="F5087" t="str">
            <v>-</v>
          </cell>
          <cell r="G5087" t="str">
            <v>-</v>
          </cell>
          <cell r="H5087" t="str">
            <v>PPML</v>
          </cell>
          <cell r="I5087">
            <v>3.2900000000000067</v>
          </cell>
          <cell r="J5087">
            <v>3.2900000000000067</v>
          </cell>
          <cell r="K5087" t="str">
            <v>Small Cap</v>
          </cell>
        </row>
        <row r="5088">
          <cell r="C5088" t="str">
            <v>INE087J01028</v>
          </cell>
          <cell r="D5088" t="str">
            <v>GBGLOBAL</v>
          </cell>
          <cell r="E5088">
            <v>3.2480091</v>
          </cell>
          <cell r="F5088" t="str">
            <v>-</v>
          </cell>
          <cell r="G5088" t="str">
            <v>-</v>
          </cell>
          <cell r="H5088" t="str">
            <v>-</v>
          </cell>
          <cell r="I5088" t="str">
            <v>-</v>
          </cell>
          <cell r="J5088">
            <v>3.2480091</v>
          </cell>
          <cell r="K5088" t="str">
            <v>Small Cap</v>
          </cell>
        </row>
        <row r="5089">
          <cell r="C5089" t="str">
            <v>INE594O01015</v>
          </cell>
          <cell r="D5089" t="str">
            <v>RJBIOTECH</v>
          </cell>
          <cell r="E5089">
            <v>3.2473868000000001</v>
          </cell>
          <cell r="F5089" t="str">
            <v>-</v>
          </cell>
          <cell r="G5089" t="str">
            <v>-</v>
          </cell>
          <cell r="H5089" t="str">
            <v>-</v>
          </cell>
          <cell r="I5089" t="str">
            <v>-</v>
          </cell>
          <cell r="J5089">
            <v>3.2473868000000001</v>
          </cell>
          <cell r="K5089" t="str">
            <v>Small Cap</v>
          </cell>
        </row>
        <row r="5090">
          <cell r="C5090" t="str">
            <v>INE698V01019</v>
          </cell>
          <cell r="D5090" t="str">
            <v>-</v>
          </cell>
          <cell r="E5090" t="str">
            <v>-</v>
          </cell>
          <cell r="F5090" t="str">
            <v>-</v>
          </cell>
          <cell r="G5090" t="str">
            <v>-</v>
          </cell>
          <cell r="H5090" t="str">
            <v>PFCSL</v>
          </cell>
          <cell r="I5090">
            <v>3.2163840000000041</v>
          </cell>
          <cell r="J5090">
            <v>3.2163840000000041</v>
          </cell>
          <cell r="K5090" t="str">
            <v>Small Cap</v>
          </cell>
        </row>
        <row r="5091">
          <cell r="C5091" t="str">
            <v>INE868D01016</v>
          </cell>
          <cell r="D5091" t="str">
            <v>-</v>
          </cell>
          <cell r="E5091" t="str">
            <v>-</v>
          </cell>
          <cell r="F5091" t="str">
            <v>-</v>
          </cell>
          <cell r="G5091" t="str">
            <v>-</v>
          </cell>
          <cell r="H5091" t="str">
            <v>CITYGOLD</v>
          </cell>
          <cell r="I5091">
            <v>3.2004999999999937</v>
          </cell>
          <cell r="J5091">
            <v>3.2004999999999937</v>
          </cell>
          <cell r="K5091" t="str">
            <v>Small Cap</v>
          </cell>
        </row>
        <row r="5092">
          <cell r="C5092" t="str">
            <v>INE157B01026</v>
          </cell>
          <cell r="D5092" t="str">
            <v>CENTERAC</v>
          </cell>
          <cell r="E5092">
            <v>3.1890282999999999</v>
          </cell>
          <cell r="F5092" t="str">
            <v>-</v>
          </cell>
          <cell r="G5092" t="str">
            <v>-</v>
          </cell>
          <cell r="H5092" t="str">
            <v>-</v>
          </cell>
          <cell r="I5092" t="str">
            <v>-</v>
          </cell>
          <cell r="J5092">
            <v>3.1890282999999999</v>
          </cell>
          <cell r="K5092" t="str">
            <v>Small Cap</v>
          </cell>
        </row>
        <row r="5093">
          <cell r="C5093" t="str">
            <v>INE095S01014</v>
          </cell>
          <cell r="D5093" t="str">
            <v>-</v>
          </cell>
          <cell r="E5093" t="str">
            <v>-</v>
          </cell>
          <cell r="F5093" t="str">
            <v>-</v>
          </cell>
          <cell r="G5093" t="str">
            <v>-</v>
          </cell>
          <cell r="H5093" t="str">
            <v>TECHAINPOW</v>
          </cell>
          <cell r="I5093">
            <v>3.1800000000000055</v>
          </cell>
          <cell r="J5093">
            <v>3.1800000000000055</v>
          </cell>
          <cell r="K5093" t="str">
            <v>Small Cap</v>
          </cell>
        </row>
        <row r="5094">
          <cell r="C5094" t="str">
            <v>INE755H01016</v>
          </cell>
          <cell r="D5094" t="str">
            <v>ENNORE</v>
          </cell>
          <cell r="E5094">
            <v>3.1775000000000002</v>
          </cell>
          <cell r="F5094" t="str">
            <v>-</v>
          </cell>
          <cell r="G5094" t="str">
            <v>-</v>
          </cell>
          <cell r="H5094" t="str">
            <v>-</v>
          </cell>
          <cell r="I5094" t="str">
            <v>-</v>
          </cell>
          <cell r="J5094">
            <v>3.1775000000000002</v>
          </cell>
          <cell r="K5094" t="str">
            <v>Small Cap</v>
          </cell>
        </row>
        <row r="5095">
          <cell r="C5095" t="str">
            <v>INE276D01012</v>
          </cell>
          <cell r="D5095" t="str">
            <v>ARCEEIN</v>
          </cell>
          <cell r="E5095">
            <v>3.1610819659999998</v>
          </cell>
          <cell r="F5095" t="str">
            <v>-</v>
          </cell>
          <cell r="G5095" t="str">
            <v>-</v>
          </cell>
          <cell r="H5095" t="str">
            <v>-</v>
          </cell>
          <cell r="I5095" t="str">
            <v>-</v>
          </cell>
          <cell r="J5095">
            <v>3.1610819659999998</v>
          </cell>
          <cell r="K5095" t="str">
            <v>Small Cap</v>
          </cell>
        </row>
        <row r="5096">
          <cell r="C5096" t="str">
            <v>INE782L01012</v>
          </cell>
          <cell r="D5096" t="str">
            <v>-</v>
          </cell>
          <cell r="E5096" t="str">
            <v>-</v>
          </cell>
          <cell r="F5096" t="str">
            <v>SANCO</v>
          </cell>
          <cell r="G5096">
            <v>3.1486000000000001</v>
          </cell>
          <cell r="H5096" t="str">
            <v>-</v>
          </cell>
          <cell r="I5096" t="str">
            <v>-</v>
          </cell>
          <cell r="J5096">
            <v>3.1486000000000001</v>
          </cell>
          <cell r="K5096" t="str">
            <v>Small Cap</v>
          </cell>
        </row>
        <row r="5097">
          <cell r="C5097" t="str">
            <v>INE774R01016</v>
          </cell>
          <cell r="D5097" t="str">
            <v>-</v>
          </cell>
          <cell r="E5097" t="str">
            <v>-</v>
          </cell>
          <cell r="F5097" t="str">
            <v>-</v>
          </cell>
          <cell r="G5097" t="str">
            <v>-</v>
          </cell>
          <cell r="H5097" t="str">
            <v>PRABHATSEC</v>
          </cell>
          <cell r="I5097">
            <v>3.1320075599999946</v>
          </cell>
          <cell r="J5097">
            <v>3.1320075599999946</v>
          </cell>
          <cell r="K5097" t="str">
            <v>Small Cap</v>
          </cell>
        </row>
        <row r="5098">
          <cell r="C5098" t="str">
            <v>INE406C01025</v>
          </cell>
          <cell r="D5098" t="str">
            <v>CREDENCE</v>
          </cell>
          <cell r="E5098">
            <v>3.129</v>
          </cell>
          <cell r="F5098" t="str">
            <v>-</v>
          </cell>
          <cell r="G5098" t="str">
            <v>-</v>
          </cell>
          <cell r="H5098" t="str">
            <v>-</v>
          </cell>
          <cell r="I5098" t="str">
            <v>-</v>
          </cell>
          <cell r="J5098">
            <v>3.129</v>
          </cell>
          <cell r="K5098" t="str">
            <v>Small Cap</v>
          </cell>
        </row>
        <row r="5099">
          <cell r="C5099" t="str">
            <v>INE0DLM01024</v>
          </cell>
          <cell r="D5099" t="str">
            <v>SBLI</v>
          </cell>
          <cell r="E5099">
            <v>3.1237693800000002</v>
          </cell>
          <cell r="F5099" t="str">
            <v>-</v>
          </cell>
          <cell r="G5099" t="str">
            <v>-</v>
          </cell>
          <cell r="H5099" t="str">
            <v>-</v>
          </cell>
          <cell r="I5099" t="str">
            <v>-</v>
          </cell>
          <cell r="J5099">
            <v>3.1237693800000002</v>
          </cell>
          <cell r="K5099" t="str">
            <v>Small Cap</v>
          </cell>
        </row>
        <row r="5100">
          <cell r="C5100" t="str">
            <v>INE079N01019</v>
          </cell>
          <cell r="D5100" t="str">
            <v>SHKALYN</v>
          </cell>
          <cell r="E5100">
            <v>3.1220184999999998</v>
          </cell>
          <cell r="F5100" t="str">
            <v>-</v>
          </cell>
          <cell r="G5100" t="str">
            <v>-</v>
          </cell>
          <cell r="H5100" t="str">
            <v>-</v>
          </cell>
          <cell r="I5100" t="str">
            <v>-</v>
          </cell>
          <cell r="J5100">
            <v>3.1220184999999998</v>
          </cell>
          <cell r="K5100" t="str">
            <v>Small Cap</v>
          </cell>
        </row>
        <row r="5101">
          <cell r="C5101" t="str">
            <v>INE467X01023</v>
          </cell>
          <cell r="D5101" t="str">
            <v>SCBL</v>
          </cell>
          <cell r="E5101">
            <v>3.120927467</v>
          </cell>
          <cell r="F5101" t="str">
            <v>-</v>
          </cell>
          <cell r="G5101" t="str">
            <v>-</v>
          </cell>
          <cell r="H5101" t="str">
            <v>-</v>
          </cell>
          <cell r="I5101" t="str">
            <v>-</v>
          </cell>
          <cell r="J5101">
            <v>3.120927467</v>
          </cell>
          <cell r="K5101" t="str">
            <v>Small Cap</v>
          </cell>
        </row>
        <row r="5102">
          <cell r="C5102" t="str">
            <v>INE061D01018</v>
          </cell>
          <cell r="D5102" t="str">
            <v>-</v>
          </cell>
          <cell r="E5102" t="str">
            <v>-</v>
          </cell>
          <cell r="F5102" t="str">
            <v>-</v>
          </cell>
          <cell r="G5102" t="str">
            <v>-</v>
          </cell>
          <cell r="H5102" t="str">
            <v>PKLEASING</v>
          </cell>
          <cell r="I5102">
            <v>3.1104000000000083</v>
          </cell>
          <cell r="J5102">
            <v>3.1104000000000083</v>
          </cell>
          <cell r="K5102" t="str">
            <v>Small Cap</v>
          </cell>
        </row>
        <row r="5103">
          <cell r="C5103" t="str">
            <v>INE356R01020</v>
          </cell>
          <cell r="D5103" t="str">
            <v>-</v>
          </cell>
          <cell r="E5103" t="str">
            <v>-</v>
          </cell>
          <cell r="F5103" t="str">
            <v>-</v>
          </cell>
          <cell r="G5103" t="str">
            <v>-</v>
          </cell>
          <cell r="H5103" t="str">
            <v>TARANGINI</v>
          </cell>
          <cell r="I5103">
            <v>3.1059999999999959</v>
          </cell>
          <cell r="J5103">
            <v>3.1059999999999959</v>
          </cell>
          <cell r="K5103" t="str">
            <v>Small Cap</v>
          </cell>
        </row>
        <row r="5104">
          <cell r="C5104" t="str">
            <v>INE749C01010</v>
          </cell>
          <cell r="D5104" t="str">
            <v>RANCC</v>
          </cell>
          <cell r="E5104">
            <v>3.1</v>
          </cell>
          <cell r="F5104" t="str">
            <v>-</v>
          </cell>
          <cell r="G5104" t="str">
            <v>-</v>
          </cell>
          <cell r="H5104" t="str">
            <v>-</v>
          </cell>
          <cell r="I5104" t="str">
            <v>-</v>
          </cell>
          <cell r="J5104">
            <v>3.1</v>
          </cell>
          <cell r="K5104" t="str">
            <v>Small Cap</v>
          </cell>
        </row>
        <row r="5105">
          <cell r="C5105" t="str">
            <v>INE970W01010</v>
          </cell>
          <cell r="D5105" t="str">
            <v>-</v>
          </cell>
          <cell r="E5105" t="str">
            <v>-</v>
          </cell>
          <cell r="F5105" t="str">
            <v>-</v>
          </cell>
          <cell r="G5105" t="str">
            <v>-</v>
          </cell>
          <cell r="H5105" t="str">
            <v>RFHL</v>
          </cell>
          <cell r="I5105">
            <v>3.0976786499999953</v>
          </cell>
          <cell r="J5105">
            <v>3.0976786499999953</v>
          </cell>
          <cell r="K5105" t="str">
            <v>Small Cap</v>
          </cell>
        </row>
        <row r="5106">
          <cell r="C5106" t="str">
            <v>INE572B01018</v>
          </cell>
          <cell r="D5106" t="str">
            <v>-</v>
          </cell>
          <cell r="E5106" t="str">
            <v>-</v>
          </cell>
          <cell r="F5106" t="str">
            <v>-</v>
          </cell>
          <cell r="G5106" t="str">
            <v>-</v>
          </cell>
          <cell r="H5106" t="str">
            <v>EBSL</v>
          </cell>
          <cell r="I5106">
            <v>3.0974209999999975</v>
          </cell>
          <cell r="J5106">
            <v>3.0974209999999975</v>
          </cell>
          <cell r="K5106" t="str">
            <v>Small Cap</v>
          </cell>
        </row>
        <row r="5107">
          <cell r="C5107" t="str">
            <v>INE739B01039</v>
          </cell>
          <cell r="D5107" t="str">
            <v>4THGEN</v>
          </cell>
          <cell r="E5107">
            <v>3.0870067460000001</v>
          </cell>
          <cell r="F5107" t="str">
            <v>-</v>
          </cell>
          <cell r="G5107" t="str">
            <v>-</v>
          </cell>
          <cell r="H5107" t="str">
            <v>-</v>
          </cell>
          <cell r="I5107" t="str">
            <v>-</v>
          </cell>
          <cell r="J5107">
            <v>3.0870067460000001</v>
          </cell>
          <cell r="K5107" t="str">
            <v>Small Cap</v>
          </cell>
        </row>
        <row r="5108">
          <cell r="C5108" t="str">
            <v>INE378Y01012</v>
          </cell>
          <cell r="D5108" t="str">
            <v>-</v>
          </cell>
          <cell r="E5108" t="str">
            <v>-</v>
          </cell>
          <cell r="F5108" t="str">
            <v>-</v>
          </cell>
          <cell r="G5108" t="str">
            <v>-</v>
          </cell>
          <cell r="H5108" t="str">
            <v>JFRL</v>
          </cell>
          <cell r="I5108">
            <v>3.0749999999999931</v>
          </cell>
          <cell r="J5108">
            <v>3.0749999999999931</v>
          </cell>
          <cell r="K5108" t="str">
            <v>Small Cap</v>
          </cell>
        </row>
        <row r="5109">
          <cell r="C5109" t="str">
            <v>INE934A01012</v>
          </cell>
          <cell r="D5109" t="str">
            <v>INTEGHIT</v>
          </cell>
          <cell r="E5109">
            <v>3.0656158840000001</v>
          </cell>
          <cell r="F5109" t="str">
            <v>-</v>
          </cell>
          <cell r="G5109" t="str">
            <v>-</v>
          </cell>
          <cell r="H5109" t="str">
            <v>-</v>
          </cell>
          <cell r="I5109" t="str">
            <v>-</v>
          </cell>
          <cell r="J5109">
            <v>3.0656158840000001</v>
          </cell>
          <cell r="K5109" t="str">
            <v>Small Cap</v>
          </cell>
        </row>
        <row r="5110">
          <cell r="C5110" t="str">
            <v>INE735A01013</v>
          </cell>
          <cell r="D5110" t="str">
            <v>DHAMSUGR</v>
          </cell>
          <cell r="E5110">
            <v>3.064257</v>
          </cell>
          <cell r="F5110" t="str">
            <v>-</v>
          </cell>
          <cell r="G5110" t="str">
            <v>-</v>
          </cell>
          <cell r="H5110" t="str">
            <v>-</v>
          </cell>
          <cell r="I5110" t="str">
            <v>-</v>
          </cell>
          <cell r="J5110">
            <v>3.064257</v>
          </cell>
          <cell r="K5110" t="str">
            <v>Small Cap</v>
          </cell>
        </row>
        <row r="5111">
          <cell r="C5111" t="str">
            <v>INE593B01030</v>
          </cell>
          <cell r="D5111" t="str">
            <v>KHYATI</v>
          </cell>
          <cell r="E5111">
            <v>3.0501739680000002</v>
          </cell>
          <cell r="F5111" t="str">
            <v>-</v>
          </cell>
          <cell r="G5111" t="str">
            <v>-</v>
          </cell>
          <cell r="H5111" t="str">
            <v>-</v>
          </cell>
          <cell r="I5111" t="str">
            <v>-</v>
          </cell>
          <cell r="J5111">
            <v>3.0501739680000002</v>
          </cell>
          <cell r="K5111" t="str">
            <v>Small Cap</v>
          </cell>
        </row>
        <row r="5112">
          <cell r="C5112" t="str">
            <v>INE413R01029</v>
          </cell>
          <cell r="D5112" t="str">
            <v>-</v>
          </cell>
          <cell r="E5112" t="str">
            <v>-</v>
          </cell>
          <cell r="F5112" t="str">
            <v>-</v>
          </cell>
          <cell r="G5112" t="str">
            <v>-</v>
          </cell>
          <cell r="H5112" t="str">
            <v>PACEAUTO</v>
          </cell>
          <cell r="I5112">
            <v>3.0233709999999978</v>
          </cell>
          <cell r="J5112">
            <v>3.0233709999999978</v>
          </cell>
          <cell r="K5112" t="str">
            <v>Small Cap</v>
          </cell>
        </row>
        <row r="5113">
          <cell r="C5113" t="str">
            <v>INE809F01015</v>
          </cell>
          <cell r="D5113" t="str">
            <v>MICROSE</v>
          </cell>
          <cell r="E5113">
            <v>3.0030000000000001</v>
          </cell>
          <cell r="F5113" t="str">
            <v>-</v>
          </cell>
          <cell r="G5113" t="str">
            <v>-</v>
          </cell>
          <cell r="H5113" t="str">
            <v>-</v>
          </cell>
          <cell r="I5113" t="str">
            <v>-</v>
          </cell>
          <cell r="J5113">
            <v>3.0030000000000001</v>
          </cell>
          <cell r="K5113" t="str">
            <v>Small Cap</v>
          </cell>
        </row>
        <row r="5114">
          <cell r="C5114" t="str">
            <v>INE735U01011</v>
          </cell>
          <cell r="D5114" t="str">
            <v>ZKOVALIN</v>
          </cell>
          <cell r="E5114">
            <v>2.9933882440000001</v>
          </cell>
          <cell r="F5114" t="str">
            <v>-</v>
          </cell>
          <cell r="G5114" t="str">
            <v>-</v>
          </cell>
          <cell r="H5114" t="str">
            <v>-</v>
          </cell>
          <cell r="I5114" t="str">
            <v>-</v>
          </cell>
          <cell r="J5114">
            <v>2.9933882440000001</v>
          </cell>
          <cell r="K5114" t="str">
            <v>Small Cap</v>
          </cell>
        </row>
        <row r="5115">
          <cell r="C5115" t="str">
            <v>INE070B01013</v>
          </cell>
          <cell r="D5115" t="str">
            <v>TWINSTAR</v>
          </cell>
          <cell r="E5115">
            <v>2.9925000000000002</v>
          </cell>
          <cell r="F5115" t="str">
            <v>-</v>
          </cell>
          <cell r="G5115" t="str">
            <v>-</v>
          </cell>
          <cell r="H5115" t="str">
            <v>-</v>
          </cell>
          <cell r="I5115" t="str">
            <v>-</v>
          </cell>
          <cell r="J5115">
            <v>2.9925000000000002</v>
          </cell>
          <cell r="K5115" t="str">
            <v>Small Cap</v>
          </cell>
        </row>
        <row r="5116">
          <cell r="C5116" t="str">
            <v>INE237E01012</v>
          </cell>
          <cell r="D5116" t="str">
            <v>-</v>
          </cell>
          <cell r="E5116" t="str">
            <v>-</v>
          </cell>
          <cell r="F5116" t="str">
            <v>-</v>
          </cell>
          <cell r="G5116" t="str">
            <v>-</v>
          </cell>
          <cell r="H5116" t="str">
            <v>ELLORA</v>
          </cell>
          <cell r="I5116">
            <v>2.9917500000000059</v>
          </cell>
          <cell r="J5116">
            <v>2.9917500000000059</v>
          </cell>
          <cell r="K5116" t="str">
            <v>Small Cap</v>
          </cell>
        </row>
        <row r="5117">
          <cell r="C5117" t="str">
            <v>INE272R01011</v>
          </cell>
          <cell r="D5117" t="str">
            <v>DELTRON</v>
          </cell>
          <cell r="E5117">
            <v>2.9911500000000002</v>
          </cell>
          <cell r="F5117" t="str">
            <v>-</v>
          </cell>
          <cell r="G5117" t="str">
            <v>-</v>
          </cell>
          <cell r="H5117" t="str">
            <v>-</v>
          </cell>
          <cell r="I5117" t="str">
            <v>-</v>
          </cell>
          <cell r="J5117">
            <v>2.9911500000000002</v>
          </cell>
          <cell r="K5117" t="str">
            <v>Small Cap</v>
          </cell>
        </row>
        <row r="5118">
          <cell r="C5118" t="str">
            <v>INE182E01010</v>
          </cell>
          <cell r="D5118" t="str">
            <v>TMTIND-B1</v>
          </cell>
          <cell r="E5118">
            <v>2.9677979899999998</v>
          </cell>
          <cell r="F5118" t="str">
            <v>-</v>
          </cell>
          <cell r="G5118" t="str">
            <v>-</v>
          </cell>
          <cell r="H5118" t="str">
            <v>-</v>
          </cell>
          <cell r="I5118" t="str">
            <v>-</v>
          </cell>
          <cell r="J5118">
            <v>2.9677979899999998</v>
          </cell>
          <cell r="K5118" t="str">
            <v>Small Cap</v>
          </cell>
        </row>
        <row r="5119">
          <cell r="C5119" t="str">
            <v>INE552E01014</v>
          </cell>
          <cell r="D5119" t="str">
            <v>NOGMIND</v>
          </cell>
          <cell r="E5119">
            <v>2.9599502859999998</v>
          </cell>
          <cell r="F5119" t="str">
            <v>-</v>
          </cell>
          <cell r="G5119" t="str">
            <v>-</v>
          </cell>
          <cell r="H5119" t="str">
            <v>-</v>
          </cell>
          <cell r="I5119" t="str">
            <v>-</v>
          </cell>
          <cell r="J5119">
            <v>2.9599502859999998</v>
          </cell>
          <cell r="K5119" t="str">
            <v>Small Cap</v>
          </cell>
        </row>
        <row r="5120">
          <cell r="C5120" t="str">
            <v>INE159T01016</v>
          </cell>
          <cell r="D5120" t="str">
            <v>VADIDAI</v>
          </cell>
          <cell r="E5120">
            <v>2.9501374999999999</v>
          </cell>
          <cell r="F5120" t="str">
            <v>-</v>
          </cell>
          <cell r="G5120" t="str">
            <v>-</v>
          </cell>
          <cell r="H5120" t="str">
            <v>-</v>
          </cell>
          <cell r="I5120" t="str">
            <v>-</v>
          </cell>
          <cell r="J5120">
            <v>2.9501374999999999</v>
          </cell>
          <cell r="K5120" t="str">
            <v>Small Cap</v>
          </cell>
        </row>
        <row r="5121">
          <cell r="C5121" t="str">
            <v>INE627Z01019</v>
          </cell>
          <cell r="D5121" t="str">
            <v>TALWGYM</v>
          </cell>
          <cell r="E5121">
            <v>2.9454613199999997</v>
          </cell>
          <cell r="F5121" t="str">
            <v>-</v>
          </cell>
          <cell r="G5121" t="str">
            <v>-</v>
          </cell>
          <cell r="H5121" t="str">
            <v>-</v>
          </cell>
          <cell r="I5121" t="str">
            <v>-</v>
          </cell>
          <cell r="J5121">
            <v>2.9454613199999997</v>
          </cell>
          <cell r="K5121" t="str">
            <v>Small Cap</v>
          </cell>
        </row>
        <row r="5122">
          <cell r="C5122" t="str">
            <v>INE074G01014</v>
          </cell>
          <cell r="D5122" t="str">
            <v>SICLTD</v>
          </cell>
          <cell r="E5122">
            <v>2.9379556500000001</v>
          </cell>
          <cell r="F5122" t="str">
            <v>-</v>
          </cell>
          <cell r="G5122" t="str">
            <v>-</v>
          </cell>
          <cell r="H5122" t="str">
            <v>-</v>
          </cell>
          <cell r="I5122" t="str">
            <v>-</v>
          </cell>
          <cell r="J5122">
            <v>2.9379556500000001</v>
          </cell>
          <cell r="K5122" t="str">
            <v>Small Cap</v>
          </cell>
        </row>
        <row r="5123">
          <cell r="C5123" t="str">
            <v>INE828D01010</v>
          </cell>
          <cell r="D5123" t="str">
            <v>-</v>
          </cell>
          <cell r="E5123" t="str">
            <v>-</v>
          </cell>
          <cell r="F5123" t="str">
            <v>-</v>
          </cell>
          <cell r="G5123" t="str">
            <v>-</v>
          </cell>
          <cell r="H5123" t="str">
            <v>SUPRANEET</v>
          </cell>
          <cell r="I5123">
            <v>2.8767129999999965</v>
          </cell>
          <cell r="J5123">
            <v>2.8767129999999965</v>
          </cell>
          <cell r="K5123" t="str">
            <v>Small Cap</v>
          </cell>
        </row>
        <row r="5124">
          <cell r="C5124" t="str">
            <v>INE811Q01018</v>
          </cell>
          <cell r="D5124" t="str">
            <v>OSWALEA</v>
          </cell>
          <cell r="E5124">
            <v>2.8756825399999997</v>
          </cell>
          <cell r="F5124" t="str">
            <v>-</v>
          </cell>
          <cell r="G5124" t="str">
            <v>-</v>
          </cell>
          <cell r="H5124" t="str">
            <v>-</v>
          </cell>
          <cell r="I5124" t="str">
            <v>-</v>
          </cell>
          <cell r="J5124">
            <v>2.8756825399999997</v>
          </cell>
          <cell r="K5124" t="str">
            <v>Small Cap</v>
          </cell>
        </row>
        <row r="5125">
          <cell r="C5125" t="str">
            <v>INE439C01018</v>
          </cell>
          <cell r="D5125" t="str">
            <v>ASEEMG</v>
          </cell>
          <cell r="E5125">
            <v>2.85670746</v>
          </cell>
          <cell r="F5125" t="str">
            <v>-</v>
          </cell>
          <cell r="G5125" t="str">
            <v>-</v>
          </cell>
          <cell r="H5125" t="str">
            <v>-</v>
          </cell>
          <cell r="I5125" t="str">
            <v>-</v>
          </cell>
          <cell r="J5125">
            <v>2.85670746</v>
          </cell>
          <cell r="K5125" t="str">
            <v>Small Cap</v>
          </cell>
        </row>
        <row r="5126">
          <cell r="C5126" t="str">
            <v>INE988A01026</v>
          </cell>
          <cell r="D5126" t="str">
            <v>ASIL</v>
          </cell>
          <cell r="E5126">
            <v>2.8407070230000002</v>
          </cell>
          <cell r="F5126" t="str">
            <v>-</v>
          </cell>
          <cell r="G5126" t="str">
            <v>-</v>
          </cell>
          <cell r="H5126" t="str">
            <v>-</v>
          </cell>
          <cell r="I5126" t="str">
            <v>-</v>
          </cell>
          <cell r="J5126">
            <v>2.8407070230000002</v>
          </cell>
          <cell r="K5126" t="str">
            <v>Small Cap</v>
          </cell>
        </row>
        <row r="5127">
          <cell r="C5127" t="str">
            <v>INE837X01027</v>
          </cell>
          <cell r="D5127" t="str">
            <v>ZGAEKWAR</v>
          </cell>
          <cell r="E5127">
            <v>2.82784127</v>
          </cell>
          <cell r="F5127" t="str">
            <v>-</v>
          </cell>
          <cell r="G5127" t="str">
            <v>-</v>
          </cell>
          <cell r="H5127" t="str">
            <v>-</v>
          </cell>
          <cell r="I5127" t="str">
            <v>-</v>
          </cell>
          <cell r="J5127">
            <v>2.82784127</v>
          </cell>
          <cell r="K5127" t="str">
            <v>Small Cap</v>
          </cell>
        </row>
        <row r="5128">
          <cell r="C5128" t="str">
            <v>INE163E01010</v>
          </cell>
          <cell r="D5128" t="str">
            <v>NIWASSP</v>
          </cell>
          <cell r="E5128">
            <v>2.8178785999999998</v>
          </cell>
          <cell r="F5128" t="str">
            <v>-</v>
          </cell>
          <cell r="G5128" t="str">
            <v>-</v>
          </cell>
          <cell r="H5128" t="str">
            <v>-</v>
          </cell>
          <cell r="I5128" t="str">
            <v>-</v>
          </cell>
          <cell r="J5128">
            <v>2.8178785999999998</v>
          </cell>
          <cell r="K5128" t="str">
            <v>Small Cap</v>
          </cell>
        </row>
        <row r="5129">
          <cell r="C5129" t="str">
            <v>INE186B01017</v>
          </cell>
          <cell r="D5129" t="str">
            <v>SIPIND</v>
          </cell>
          <cell r="E5129">
            <v>2.8105254149999999</v>
          </cell>
          <cell r="F5129" t="str">
            <v>-</v>
          </cell>
          <cell r="G5129" t="str">
            <v>-</v>
          </cell>
          <cell r="H5129" t="str">
            <v>-</v>
          </cell>
          <cell r="I5129" t="str">
            <v>-</v>
          </cell>
          <cell r="J5129">
            <v>2.8105254149999999</v>
          </cell>
          <cell r="K5129" t="str">
            <v>Small Cap</v>
          </cell>
        </row>
        <row r="5130">
          <cell r="C5130" t="str">
            <v>INE641B01011</v>
          </cell>
          <cell r="D5130" t="str">
            <v>SHIKHAR</v>
          </cell>
          <cell r="E5130">
            <v>2.8027950160000001</v>
          </cell>
          <cell r="F5130" t="str">
            <v>-</v>
          </cell>
          <cell r="G5130" t="str">
            <v>-</v>
          </cell>
          <cell r="H5130" t="str">
            <v>-</v>
          </cell>
          <cell r="I5130" t="str">
            <v>-</v>
          </cell>
          <cell r="J5130">
            <v>2.8027950160000001</v>
          </cell>
          <cell r="K5130" t="str">
            <v>Small Cap</v>
          </cell>
        </row>
        <row r="5131">
          <cell r="C5131" t="str">
            <v>INE166V01017</v>
          </cell>
          <cell r="D5131" t="str">
            <v>-</v>
          </cell>
          <cell r="E5131" t="str">
            <v>-</v>
          </cell>
          <cell r="F5131" t="str">
            <v>-</v>
          </cell>
          <cell r="G5131" t="str">
            <v>-</v>
          </cell>
          <cell r="H5131" t="str">
            <v>NEWERA</v>
          </cell>
          <cell r="I5131">
            <v>2.791740000000003</v>
          </cell>
          <cell r="J5131">
            <v>2.791740000000003</v>
          </cell>
          <cell r="K5131" t="str">
            <v>Small Cap</v>
          </cell>
        </row>
        <row r="5132">
          <cell r="C5132" t="str">
            <v>INE792P01020</v>
          </cell>
          <cell r="D5132" t="str">
            <v>RCL</v>
          </cell>
          <cell r="E5132">
            <v>2.7768000000000002</v>
          </cell>
          <cell r="F5132" t="str">
            <v>-</v>
          </cell>
          <cell r="G5132" t="str">
            <v>-</v>
          </cell>
          <cell r="H5132" t="str">
            <v>-</v>
          </cell>
          <cell r="I5132" t="str">
            <v>-</v>
          </cell>
          <cell r="J5132">
            <v>2.7768000000000002</v>
          </cell>
          <cell r="K5132" t="str">
            <v>Small Cap</v>
          </cell>
        </row>
        <row r="5133">
          <cell r="C5133" t="str">
            <v>INE820R01017</v>
          </cell>
          <cell r="D5133" t="str">
            <v>SSPNFIN</v>
          </cell>
          <cell r="E5133">
            <v>2.7514206159999999</v>
          </cell>
          <cell r="F5133" t="str">
            <v>-</v>
          </cell>
          <cell r="G5133" t="str">
            <v>-</v>
          </cell>
          <cell r="H5133" t="str">
            <v>-</v>
          </cell>
          <cell r="I5133" t="str">
            <v>-</v>
          </cell>
          <cell r="J5133">
            <v>2.7514206159999999</v>
          </cell>
          <cell r="K5133" t="str">
            <v>Small Cap</v>
          </cell>
        </row>
        <row r="5134">
          <cell r="C5134" t="str">
            <v>INE306B01029</v>
          </cell>
          <cell r="D5134" t="str">
            <v>ICSA</v>
          </cell>
          <cell r="E5134">
            <v>2.7438945000000001</v>
          </cell>
          <cell r="F5134" t="str">
            <v>-</v>
          </cell>
          <cell r="G5134" t="str">
            <v>-</v>
          </cell>
          <cell r="H5134" t="str">
            <v>-</v>
          </cell>
          <cell r="I5134" t="str">
            <v>-</v>
          </cell>
          <cell r="J5134">
            <v>2.7438945000000001</v>
          </cell>
          <cell r="K5134" t="str">
            <v>Small Cap</v>
          </cell>
        </row>
        <row r="5135">
          <cell r="C5135" t="str">
            <v>INE177E01010</v>
          </cell>
          <cell r="D5135" t="str">
            <v>SPVGLOBAL</v>
          </cell>
          <cell r="E5135">
            <v>2.740173333</v>
          </cell>
          <cell r="F5135" t="str">
            <v>-</v>
          </cell>
          <cell r="G5135" t="str">
            <v>-</v>
          </cell>
          <cell r="H5135" t="str">
            <v>-</v>
          </cell>
          <cell r="I5135" t="str">
            <v>-</v>
          </cell>
          <cell r="J5135">
            <v>2.740173333</v>
          </cell>
          <cell r="K5135" t="str">
            <v>Small Cap</v>
          </cell>
        </row>
        <row r="5136">
          <cell r="C5136" t="str">
            <v>INE474I01012</v>
          </cell>
          <cell r="D5136" t="str">
            <v>TULSI</v>
          </cell>
          <cell r="E5136">
            <v>2.72196639</v>
          </cell>
          <cell r="F5136" t="str">
            <v>-</v>
          </cell>
          <cell r="G5136" t="str">
            <v>-</v>
          </cell>
          <cell r="H5136" t="str">
            <v>-</v>
          </cell>
          <cell r="I5136" t="str">
            <v>-</v>
          </cell>
          <cell r="J5136">
            <v>2.72196639</v>
          </cell>
          <cell r="K5136" t="str">
            <v>Small Cap</v>
          </cell>
        </row>
        <row r="5137">
          <cell r="C5137" t="str">
            <v>INE092O01028</v>
          </cell>
          <cell r="D5137" t="str">
            <v>VINRKLB</v>
          </cell>
          <cell r="E5137">
            <v>2.7126000000000001</v>
          </cell>
          <cell r="F5137" t="str">
            <v>-</v>
          </cell>
          <cell r="G5137" t="str">
            <v>-</v>
          </cell>
          <cell r="H5137" t="str">
            <v>-</v>
          </cell>
          <cell r="I5137" t="str">
            <v>-</v>
          </cell>
          <cell r="J5137">
            <v>2.7126000000000001</v>
          </cell>
          <cell r="K5137" t="str">
            <v>Small Cap</v>
          </cell>
        </row>
        <row r="5138">
          <cell r="C5138" t="str">
            <v>INE505E01012</v>
          </cell>
          <cell r="D5138" t="str">
            <v>-</v>
          </cell>
          <cell r="E5138" t="str">
            <v>-</v>
          </cell>
          <cell r="F5138" t="str">
            <v>-</v>
          </cell>
          <cell r="G5138" t="str">
            <v>-</v>
          </cell>
          <cell r="H5138" t="str">
            <v>SBHL</v>
          </cell>
          <cell r="I5138">
            <v>2.6949999999999945</v>
          </cell>
          <cell r="J5138">
            <v>2.6949999999999945</v>
          </cell>
          <cell r="K5138" t="str">
            <v>Small Cap</v>
          </cell>
        </row>
        <row r="5139">
          <cell r="C5139" t="str">
            <v>INE763K01014</v>
          </cell>
          <cell r="D5139" t="str">
            <v>SVAINDIA</v>
          </cell>
          <cell r="E5139">
            <v>2.6850138000000001</v>
          </cell>
          <cell r="F5139" t="str">
            <v>-</v>
          </cell>
          <cell r="G5139" t="str">
            <v>-</v>
          </cell>
          <cell r="H5139" t="str">
            <v>-</v>
          </cell>
          <cell r="I5139" t="str">
            <v>-</v>
          </cell>
          <cell r="J5139">
            <v>2.6850138000000001</v>
          </cell>
          <cell r="K5139" t="str">
            <v>Small Cap</v>
          </cell>
        </row>
        <row r="5140">
          <cell r="C5140" t="str">
            <v>INE110C01015</v>
          </cell>
          <cell r="D5140" t="str">
            <v>MADHURIND</v>
          </cell>
          <cell r="E5140">
            <v>2.6749249210000001</v>
          </cell>
          <cell r="F5140" t="str">
            <v>-</v>
          </cell>
          <cell r="G5140" t="str">
            <v>-</v>
          </cell>
          <cell r="H5140" t="str">
            <v>-</v>
          </cell>
          <cell r="I5140" t="str">
            <v>-</v>
          </cell>
          <cell r="J5140">
            <v>2.6749249210000001</v>
          </cell>
          <cell r="K5140" t="str">
            <v>Small Cap</v>
          </cell>
        </row>
        <row r="5141">
          <cell r="C5141" t="str">
            <v>INE772C01012</v>
          </cell>
          <cell r="D5141" t="str">
            <v>ENCHANTE</v>
          </cell>
          <cell r="E5141">
            <v>2.6528999999999998</v>
          </cell>
          <cell r="F5141" t="str">
            <v>-</v>
          </cell>
          <cell r="G5141" t="str">
            <v>-</v>
          </cell>
          <cell r="H5141" t="str">
            <v>-</v>
          </cell>
          <cell r="I5141" t="str">
            <v>-</v>
          </cell>
          <cell r="J5141">
            <v>2.6528999999999998</v>
          </cell>
          <cell r="K5141" t="str">
            <v>Small Cap</v>
          </cell>
        </row>
        <row r="5142">
          <cell r="C5142" t="str">
            <v>INE073C01015</v>
          </cell>
          <cell r="D5142" t="str">
            <v>EMMSONS</v>
          </cell>
          <cell r="E5142">
            <v>2.6391287999999999</v>
          </cell>
          <cell r="F5142" t="str">
            <v>-</v>
          </cell>
          <cell r="G5142" t="str">
            <v>-</v>
          </cell>
          <cell r="H5142" t="str">
            <v>-</v>
          </cell>
          <cell r="I5142" t="str">
            <v>-</v>
          </cell>
          <cell r="J5142">
            <v>2.6391287999999999</v>
          </cell>
          <cell r="K5142" t="str">
            <v>Small Cap</v>
          </cell>
        </row>
        <row r="5143">
          <cell r="C5143" t="str">
            <v>INE459E01012</v>
          </cell>
          <cell r="D5143" t="str">
            <v>SOFTBPO</v>
          </cell>
          <cell r="E5143">
            <v>2.6370952379999997</v>
          </cell>
          <cell r="F5143" t="str">
            <v>-</v>
          </cell>
          <cell r="G5143" t="str">
            <v>-</v>
          </cell>
          <cell r="H5143" t="str">
            <v>-</v>
          </cell>
          <cell r="I5143" t="str">
            <v>-</v>
          </cell>
          <cell r="J5143">
            <v>2.6370952379999997</v>
          </cell>
          <cell r="K5143" t="str">
            <v>Small Cap</v>
          </cell>
        </row>
        <row r="5144">
          <cell r="C5144" t="str">
            <v>INE025I01012</v>
          </cell>
          <cell r="D5144" t="str">
            <v>INDUSFILA</v>
          </cell>
          <cell r="E5144">
            <v>2.634579059</v>
          </cell>
          <cell r="F5144" t="str">
            <v>-</v>
          </cell>
          <cell r="G5144" t="str">
            <v>-</v>
          </cell>
          <cell r="H5144" t="str">
            <v>-</v>
          </cell>
          <cell r="I5144" t="str">
            <v>-</v>
          </cell>
          <cell r="J5144">
            <v>2.634579059</v>
          </cell>
          <cell r="K5144" t="str">
            <v>Small Cap</v>
          </cell>
        </row>
        <row r="5145">
          <cell r="C5145" t="str">
            <v>INE282D01010</v>
          </cell>
          <cell r="D5145" t="str">
            <v>GAJRA</v>
          </cell>
          <cell r="E5145">
            <v>2.5985049999999998</v>
          </cell>
          <cell r="F5145" t="str">
            <v>-</v>
          </cell>
          <cell r="G5145" t="str">
            <v>-</v>
          </cell>
          <cell r="H5145" t="str">
            <v>-</v>
          </cell>
          <cell r="I5145" t="str">
            <v>-</v>
          </cell>
          <cell r="J5145">
            <v>2.5985049999999998</v>
          </cell>
          <cell r="K5145" t="str">
            <v>Small Cap</v>
          </cell>
        </row>
        <row r="5146">
          <cell r="C5146" t="str">
            <v>INE892N01015</v>
          </cell>
          <cell r="D5146" t="str">
            <v>TECHTREK</v>
          </cell>
          <cell r="E5146">
            <v>2.5701957600000003</v>
          </cell>
          <cell r="F5146" t="str">
            <v>-</v>
          </cell>
          <cell r="G5146" t="str">
            <v>-</v>
          </cell>
          <cell r="H5146" t="str">
            <v>-</v>
          </cell>
          <cell r="I5146" t="str">
            <v>-</v>
          </cell>
          <cell r="J5146">
            <v>2.5701957600000003</v>
          </cell>
          <cell r="K5146" t="str">
            <v>Small Cap</v>
          </cell>
        </row>
        <row r="5147">
          <cell r="C5147" t="str">
            <v>INE391Z01012</v>
          </cell>
          <cell r="D5147" t="str">
            <v>CKFSL</v>
          </cell>
          <cell r="E5147">
            <v>2.477051436</v>
          </cell>
          <cell r="F5147" t="str">
            <v>-</v>
          </cell>
          <cell r="G5147" t="str">
            <v>-</v>
          </cell>
          <cell r="H5147" t="str">
            <v>-</v>
          </cell>
          <cell r="I5147" t="str">
            <v>-</v>
          </cell>
          <cell r="J5147">
            <v>2.477051436</v>
          </cell>
          <cell r="K5147" t="str">
            <v>Small Cap</v>
          </cell>
        </row>
        <row r="5148">
          <cell r="C5148" t="str">
            <v>INE442C01012</v>
          </cell>
          <cell r="D5148" t="str">
            <v>CHARMS</v>
          </cell>
          <cell r="E5148">
            <v>2.4770211190000002</v>
          </cell>
          <cell r="F5148" t="str">
            <v>-</v>
          </cell>
          <cell r="G5148" t="str">
            <v>-</v>
          </cell>
          <cell r="H5148" t="str">
            <v>-</v>
          </cell>
          <cell r="I5148" t="str">
            <v>-</v>
          </cell>
          <cell r="J5148">
            <v>2.4770211190000002</v>
          </cell>
          <cell r="K5148" t="str">
            <v>Small Cap</v>
          </cell>
        </row>
        <row r="5149">
          <cell r="C5149" t="str">
            <v>INE270D01015</v>
          </cell>
          <cell r="D5149" t="str">
            <v>REVAMEDIA</v>
          </cell>
          <cell r="E5149">
            <v>2.4644523810000001</v>
          </cell>
          <cell r="F5149" t="str">
            <v>-</v>
          </cell>
          <cell r="G5149" t="str">
            <v>-</v>
          </cell>
          <cell r="H5149" t="str">
            <v>-</v>
          </cell>
          <cell r="I5149" t="str">
            <v>-</v>
          </cell>
          <cell r="J5149">
            <v>2.4644523810000001</v>
          </cell>
          <cell r="K5149" t="str">
            <v>Small Cap</v>
          </cell>
        </row>
        <row r="5150">
          <cell r="C5150" t="str">
            <v>INE01GR01018</v>
          </cell>
          <cell r="D5150" t="str">
            <v>DGL</v>
          </cell>
          <cell r="E5150">
            <v>2.463533403</v>
          </cell>
          <cell r="F5150" t="str">
            <v>-</v>
          </cell>
          <cell r="G5150" t="str">
            <v>-</v>
          </cell>
          <cell r="H5150" t="str">
            <v>-</v>
          </cell>
          <cell r="I5150" t="str">
            <v>-</v>
          </cell>
          <cell r="J5150">
            <v>2.463533403</v>
          </cell>
          <cell r="K5150" t="str">
            <v>Small Cap</v>
          </cell>
        </row>
        <row r="5151">
          <cell r="C5151" t="str">
            <v>INE928B01012</v>
          </cell>
          <cell r="D5151" t="str">
            <v>EMPEESUG</v>
          </cell>
          <cell r="E5151">
            <v>2.4344282000000002</v>
          </cell>
          <cell r="F5151" t="str">
            <v>-</v>
          </cell>
          <cell r="G5151" t="str">
            <v>-</v>
          </cell>
          <cell r="H5151" t="str">
            <v>-</v>
          </cell>
          <cell r="I5151" t="str">
            <v>-</v>
          </cell>
          <cell r="J5151">
            <v>2.4344282000000002</v>
          </cell>
          <cell r="K5151" t="str">
            <v>Small Cap</v>
          </cell>
        </row>
        <row r="5152">
          <cell r="C5152" t="str">
            <v>INE661F01010</v>
          </cell>
          <cell r="D5152" t="str">
            <v>BRIPORT</v>
          </cell>
          <cell r="E5152">
            <v>2.4251644859999999</v>
          </cell>
          <cell r="F5152" t="str">
            <v>-</v>
          </cell>
          <cell r="G5152" t="str">
            <v>-</v>
          </cell>
          <cell r="H5152" t="str">
            <v>-</v>
          </cell>
          <cell r="I5152" t="str">
            <v>-</v>
          </cell>
          <cell r="J5152">
            <v>2.4251644859999999</v>
          </cell>
          <cell r="K5152" t="str">
            <v>Small Cap</v>
          </cell>
        </row>
        <row r="5153">
          <cell r="C5153" t="str">
            <v>INE917B01023</v>
          </cell>
          <cell r="D5153" t="str">
            <v>NICCOUCO</v>
          </cell>
          <cell r="E5153">
            <v>2.4083195870000003</v>
          </cell>
          <cell r="F5153" t="str">
            <v>-</v>
          </cell>
          <cell r="G5153" t="str">
            <v>-</v>
          </cell>
          <cell r="H5153" t="str">
            <v>-</v>
          </cell>
          <cell r="I5153" t="str">
            <v>-</v>
          </cell>
          <cell r="J5153">
            <v>2.4083195870000003</v>
          </cell>
          <cell r="K5153" t="str">
            <v>Small Cap</v>
          </cell>
        </row>
        <row r="5154">
          <cell r="C5154" t="str">
            <v>INE016C01014</v>
          </cell>
          <cell r="D5154" t="str">
            <v>RAJINFRA</v>
          </cell>
          <cell r="E5154">
            <v>2.3962383969999999</v>
          </cell>
          <cell r="F5154" t="str">
            <v>-</v>
          </cell>
          <cell r="G5154" t="str">
            <v>-</v>
          </cell>
          <cell r="H5154" t="str">
            <v>-</v>
          </cell>
          <cell r="I5154" t="str">
            <v>-</v>
          </cell>
          <cell r="J5154">
            <v>2.3962383969999999</v>
          </cell>
          <cell r="K5154" t="str">
            <v>Small Cap</v>
          </cell>
        </row>
        <row r="5155">
          <cell r="C5155" t="str">
            <v>INE028C01027</v>
          </cell>
          <cell r="D5155" t="str">
            <v>LINAKS</v>
          </cell>
          <cell r="E5155">
            <v>2.3922713999999998</v>
          </cell>
          <cell r="F5155" t="str">
            <v>-</v>
          </cell>
          <cell r="G5155" t="str">
            <v>-</v>
          </cell>
          <cell r="H5155" t="str">
            <v>-</v>
          </cell>
          <cell r="I5155" t="str">
            <v>-</v>
          </cell>
          <cell r="J5155">
            <v>2.3922713999999998</v>
          </cell>
          <cell r="K5155" t="str">
            <v>Small Cap</v>
          </cell>
        </row>
        <row r="5156">
          <cell r="C5156" t="str">
            <v>INE833C01012</v>
          </cell>
          <cell r="D5156" t="str">
            <v>KOCL</v>
          </cell>
          <cell r="E5156">
            <v>2.3862890129999998</v>
          </cell>
          <cell r="F5156" t="str">
            <v>-</v>
          </cell>
          <cell r="G5156" t="str">
            <v>-</v>
          </cell>
          <cell r="H5156" t="str">
            <v>-</v>
          </cell>
          <cell r="I5156" t="str">
            <v>-</v>
          </cell>
          <cell r="J5156">
            <v>2.3862890129999998</v>
          </cell>
          <cell r="K5156" t="str">
            <v>Small Cap</v>
          </cell>
        </row>
        <row r="5157">
          <cell r="C5157" t="str">
            <v>INE147D01015</v>
          </cell>
          <cell r="D5157" t="str">
            <v>INDOCRED</v>
          </cell>
          <cell r="E5157">
            <v>2.3463645239999997</v>
          </cell>
          <cell r="F5157" t="str">
            <v>-</v>
          </cell>
          <cell r="G5157" t="str">
            <v>-</v>
          </cell>
          <cell r="H5157" t="str">
            <v>-</v>
          </cell>
          <cell r="I5157" t="str">
            <v>-</v>
          </cell>
          <cell r="J5157">
            <v>2.3463645239999997</v>
          </cell>
          <cell r="K5157" t="str">
            <v>Small Cap</v>
          </cell>
        </row>
        <row r="5158">
          <cell r="C5158" t="str">
            <v>INE134R01013</v>
          </cell>
          <cell r="D5158" t="str">
            <v>ANANDPROJ</v>
          </cell>
          <cell r="E5158">
            <v>2.2871419199999998</v>
          </cell>
          <cell r="F5158" t="str">
            <v>-</v>
          </cell>
          <cell r="G5158" t="str">
            <v>-</v>
          </cell>
          <cell r="H5158" t="str">
            <v>-</v>
          </cell>
          <cell r="I5158" t="str">
            <v>-</v>
          </cell>
          <cell r="J5158">
            <v>2.2871419199999998</v>
          </cell>
          <cell r="K5158" t="str">
            <v>Small Cap</v>
          </cell>
        </row>
        <row r="5159">
          <cell r="C5159" t="str">
            <v>INE008M01044</v>
          </cell>
          <cell r="D5159" t="str">
            <v>VERONICAPRO</v>
          </cell>
          <cell r="E5159">
            <v>2.2812125760000002</v>
          </cell>
          <cell r="F5159" t="str">
            <v>-</v>
          </cell>
          <cell r="G5159" t="str">
            <v>-</v>
          </cell>
          <cell r="H5159" t="str">
            <v>-</v>
          </cell>
          <cell r="I5159" t="str">
            <v>-</v>
          </cell>
          <cell r="J5159">
            <v>2.2812125760000002</v>
          </cell>
          <cell r="K5159" t="str">
            <v>Small Cap</v>
          </cell>
        </row>
        <row r="5160">
          <cell r="C5160" t="str">
            <v>INE538J01012</v>
          </cell>
          <cell r="D5160" t="str">
            <v>PRABHAVIN</v>
          </cell>
          <cell r="E5160">
            <v>2.2583658999999998</v>
          </cell>
          <cell r="F5160" t="str">
            <v>-</v>
          </cell>
          <cell r="G5160" t="str">
            <v>-</v>
          </cell>
          <cell r="H5160" t="str">
            <v>-</v>
          </cell>
          <cell r="I5160" t="str">
            <v>-</v>
          </cell>
          <cell r="J5160">
            <v>2.2583658999999998</v>
          </cell>
          <cell r="K5160" t="str">
            <v>Small Cap</v>
          </cell>
        </row>
        <row r="5161">
          <cell r="C5161" t="str">
            <v>INE01N301019</v>
          </cell>
          <cell r="D5161" t="str">
            <v>MDRNSUT-B</v>
          </cell>
          <cell r="E5161">
            <v>2.25</v>
          </cell>
          <cell r="F5161" t="str">
            <v>-</v>
          </cell>
          <cell r="G5161" t="str">
            <v>-</v>
          </cell>
          <cell r="H5161" t="str">
            <v>-</v>
          </cell>
          <cell r="I5161" t="str">
            <v>-</v>
          </cell>
          <cell r="J5161">
            <v>2.25</v>
          </cell>
          <cell r="K5161" t="str">
            <v>Small Cap</v>
          </cell>
        </row>
        <row r="5162">
          <cell r="C5162" t="str">
            <v>INE315M01019</v>
          </cell>
          <cell r="D5162" t="str">
            <v>-</v>
          </cell>
          <cell r="E5162" t="str">
            <v>-</v>
          </cell>
          <cell r="F5162" t="str">
            <v>-</v>
          </cell>
          <cell r="G5162" t="str">
            <v>-</v>
          </cell>
          <cell r="H5162" t="str">
            <v>SPANGLE</v>
          </cell>
          <cell r="I5162">
            <v>2.2021910000000013</v>
          </cell>
          <cell r="J5162">
            <v>2.2021910000000013</v>
          </cell>
          <cell r="K5162" t="str">
            <v>Small Cap</v>
          </cell>
        </row>
        <row r="5163">
          <cell r="C5163" t="str">
            <v>INE046C01011</v>
          </cell>
          <cell r="D5163" t="str">
            <v>ASIANBRG</v>
          </cell>
          <cell r="E5163">
            <v>2.19095</v>
          </cell>
          <cell r="F5163" t="str">
            <v>-</v>
          </cell>
          <cell r="G5163" t="str">
            <v>-</v>
          </cell>
          <cell r="H5163" t="str">
            <v>-</v>
          </cell>
          <cell r="I5163" t="str">
            <v>-</v>
          </cell>
          <cell r="J5163">
            <v>2.19095</v>
          </cell>
          <cell r="K5163" t="str">
            <v>Small Cap</v>
          </cell>
        </row>
        <row r="5164">
          <cell r="C5164" t="str">
            <v>INE163S01010</v>
          </cell>
          <cell r="D5164" t="str">
            <v>-</v>
          </cell>
          <cell r="E5164" t="str">
            <v>-</v>
          </cell>
          <cell r="F5164" t="str">
            <v>-</v>
          </cell>
          <cell r="G5164" t="str">
            <v>-</v>
          </cell>
          <cell r="H5164" t="str">
            <v>NIDHISER</v>
          </cell>
          <cell r="I5164">
            <v>2.1825000000000032</v>
          </cell>
          <cell r="J5164">
            <v>2.1825000000000032</v>
          </cell>
          <cell r="K5164" t="str">
            <v>Small Cap</v>
          </cell>
        </row>
        <row r="5165">
          <cell r="C5165" t="str">
            <v>INE721U01011</v>
          </cell>
          <cell r="D5165" t="str">
            <v>ZHEMHOLD</v>
          </cell>
          <cell r="E5165">
            <v>2.1780038100000003</v>
          </cell>
          <cell r="F5165" t="str">
            <v>-</v>
          </cell>
          <cell r="G5165" t="str">
            <v>-</v>
          </cell>
          <cell r="H5165" t="str">
            <v>-</v>
          </cell>
          <cell r="I5165" t="str">
            <v>-</v>
          </cell>
          <cell r="J5165">
            <v>2.1780038100000003</v>
          </cell>
          <cell r="K5165" t="str">
            <v>Small Cap</v>
          </cell>
        </row>
        <row r="5166">
          <cell r="C5166" t="str">
            <v>INE173F01016</v>
          </cell>
          <cell r="D5166" t="str">
            <v>-</v>
          </cell>
          <cell r="E5166" t="str">
            <v>-</v>
          </cell>
          <cell r="F5166" t="str">
            <v>-</v>
          </cell>
          <cell r="G5166" t="str">
            <v>-</v>
          </cell>
          <cell r="H5166" t="str">
            <v>JOTINDRA</v>
          </cell>
          <cell r="I5166">
            <v>2.169551240000001</v>
          </cell>
          <cell r="J5166">
            <v>2.169551240000001</v>
          </cell>
          <cell r="K5166" t="str">
            <v>Small Cap</v>
          </cell>
        </row>
        <row r="5167">
          <cell r="C5167" t="str">
            <v>INE0NY101012</v>
          </cell>
          <cell r="D5167" t="str">
            <v>AUTOPRD</v>
          </cell>
          <cell r="E5167">
            <v>2.1679452000000001</v>
          </cell>
          <cell r="F5167" t="str">
            <v>-</v>
          </cell>
          <cell r="G5167" t="str">
            <v>-</v>
          </cell>
          <cell r="H5167" t="str">
            <v>-</v>
          </cell>
          <cell r="I5167" t="str">
            <v>-</v>
          </cell>
          <cell r="J5167">
            <v>2.1679452000000001</v>
          </cell>
          <cell r="K5167" t="str">
            <v>Small Cap</v>
          </cell>
        </row>
        <row r="5168">
          <cell r="C5168" t="str">
            <v>INE617F01038</v>
          </cell>
          <cell r="D5168" t="str">
            <v>SANGUI</v>
          </cell>
          <cell r="E5168">
            <v>2.1678999999999999</v>
          </cell>
          <cell r="F5168" t="str">
            <v>-</v>
          </cell>
          <cell r="G5168" t="str">
            <v>-</v>
          </cell>
          <cell r="H5168" t="str">
            <v>-</v>
          </cell>
          <cell r="I5168" t="str">
            <v>-</v>
          </cell>
          <cell r="J5168">
            <v>2.1678999999999999</v>
          </cell>
          <cell r="K5168" t="str">
            <v>Small Cap</v>
          </cell>
        </row>
        <row r="5169">
          <cell r="C5169" t="str">
            <v>INE871E01018</v>
          </cell>
          <cell r="D5169" t="str">
            <v>CORPOCO</v>
          </cell>
          <cell r="E5169">
            <v>2.1456</v>
          </cell>
          <cell r="F5169" t="str">
            <v>-</v>
          </cell>
          <cell r="G5169" t="str">
            <v>-</v>
          </cell>
          <cell r="H5169" t="str">
            <v>-</v>
          </cell>
          <cell r="I5169" t="str">
            <v>-</v>
          </cell>
          <cell r="J5169">
            <v>2.1456</v>
          </cell>
          <cell r="K5169" t="str">
            <v>Small Cap</v>
          </cell>
        </row>
        <row r="5170">
          <cell r="C5170" t="str">
            <v>INE617D01017</v>
          </cell>
          <cell r="D5170" t="str">
            <v>SRPML</v>
          </cell>
          <cell r="E5170">
            <v>2.1289500000000001</v>
          </cell>
          <cell r="F5170" t="str">
            <v>-</v>
          </cell>
          <cell r="G5170" t="str">
            <v>-</v>
          </cell>
          <cell r="H5170" t="str">
            <v>-</v>
          </cell>
          <cell r="I5170" t="str">
            <v>-</v>
          </cell>
          <cell r="J5170">
            <v>2.1289500000000001</v>
          </cell>
          <cell r="K5170" t="str">
            <v>Small Cap</v>
          </cell>
        </row>
        <row r="5171">
          <cell r="C5171" t="str">
            <v>INE255C01026</v>
          </cell>
          <cell r="D5171" t="str">
            <v>GALADA</v>
          </cell>
          <cell r="E5171">
            <v>2.112448584</v>
          </cell>
          <cell r="F5171" t="str">
            <v>-</v>
          </cell>
          <cell r="G5171" t="str">
            <v>-</v>
          </cell>
          <cell r="H5171" t="str">
            <v>-</v>
          </cell>
          <cell r="I5171" t="str">
            <v>-</v>
          </cell>
          <cell r="J5171">
            <v>2.112448584</v>
          </cell>
          <cell r="K5171" t="str">
            <v>Small Cap</v>
          </cell>
        </row>
        <row r="5172">
          <cell r="C5172" t="str">
            <v>INE113O01014</v>
          </cell>
          <cell r="D5172" t="str">
            <v>BLUBLND-B</v>
          </cell>
          <cell r="E5172">
            <v>2.100167661</v>
          </cell>
          <cell r="F5172" t="str">
            <v>-</v>
          </cell>
          <cell r="G5172" t="str">
            <v>-</v>
          </cell>
          <cell r="H5172" t="str">
            <v>-</v>
          </cell>
          <cell r="I5172" t="str">
            <v>-</v>
          </cell>
          <cell r="J5172">
            <v>2.100167661</v>
          </cell>
          <cell r="K5172" t="str">
            <v>Small Cap</v>
          </cell>
        </row>
        <row r="5173">
          <cell r="C5173" t="str">
            <v>INE475V01012</v>
          </cell>
          <cell r="D5173" t="str">
            <v>SHRENTI</v>
          </cell>
          <cell r="E5173">
            <v>2.0625</v>
          </cell>
          <cell r="F5173" t="str">
            <v>-</v>
          </cell>
          <cell r="G5173" t="str">
            <v>-</v>
          </cell>
          <cell r="H5173" t="str">
            <v>-</v>
          </cell>
          <cell r="I5173" t="str">
            <v>-</v>
          </cell>
          <cell r="J5173">
            <v>2.0625</v>
          </cell>
          <cell r="K5173" t="str">
            <v>Small Cap</v>
          </cell>
        </row>
        <row r="5174">
          <cell r="C5174" t="str">
            <v>INE967S01014</v>
          </cell>
          <cell r="D5174" t="str">
            <v>MUDRA</v>
          </cell>
          <cell r="E5174">
            <v>2.0541</v>
          </cell>
          <cell r="F5174" t="str">
            <v>-</v>
          </cell>
          <cell r="G5174" t="str">
            <v>-</v>
          </cell>
          <cell r="H5174" t="str">
            <v>-</v>
          </cell>
          <cell r="I5174" t="str">
            <v>-</v>
          </cell>
          <cell r="J5174">
            <v>2.0541</v>
          </cell>
          <cell r="K5174" t="str">
            <v>Small Cap</v>
          </cell>
        </row>
        <row r="5175">
          <cell r="C5175" t="str">
            <v>INE582K01018</v>
          </cell>
          <cell r="D5175" t="str">
            <v>ZHINUDYP</v>
          </cell>
          <cell r="E5175">
            <v>2.0505436760000002</v>
          </cell>
          <cell r="F5175" t="str">
            <v>-</v>
          </cell>
          <cell r="G5175" t="str">
            <v>-</v>
          </cell>
          <cell r="H5175" t="str">
            <v>-</v>
          </cell>
          <cell r="I5175" t="str">
            <v>-</v>
          </cell>
          <cell r="J5175">
            <v>2.0505436760000002</v>
          </cell>
          <cell r="K5175" t="str">
            <v>Small Cap</v>
          </cell>
        </row>
        <row r="5176">
          <cell r="C5176" t="str">
            <v>INE284D01016</v>
          </cell>
          <cell r="D5176" t="str">
            <v>HRBFLOR</v>
          </cell>
          <cell r="E5176">
            <v>2.04867</v>
          </cell>
          <cell r="F5176" t="str">
            <v>-</v>
          </cell>
          <cell r="G5176" t="str">
            <v>-</v>
          </cell>
          <cell r="H5176" t="str">
            <v>-</v>
          </cell>
          <cell r="I5176" t="str">
            <v>-</v>
          </cell>
          <cell r="J5176">
            <v>2.04867</v>
          </cell>
          <cell r="K5176" t="str">
            <v>Small Cap</v>
          </cell>
        </row>
        <row r="5177">
          <cell r="C5177" t="str">
            <v>INE329E01017</v>
          </cell>
          <cell r="D5177" t="str">
            <v>TIRIN</v>
          </cell>
          <cell r="E5177">
            <v>2.0374593999999999</v>
          </cell>
          <cell r="F5177" t="str">
            <v>-</v>
          </cell>
          <cell r="G5177" t="str">
            <v>-</v>
          </cell>
          <cell r="H5177" t="str">
            <v>-</v>
          </cell>
          <cell r="I5177" t="str">
            <v>-</v>
          </cell>
          <cell r="J5177">
            <v>2.0374593999999999</v>
          </cell>
          <cell r="K5177" t="str">
            <v>Small Cap</v>
          </cell>
        </row>
        <row r="5178">
          <cell r="C5178" t="str">
            <v>INE448F01012</v>
          </cell>
          <cell r="D5178" t="str">
            <v>UPROTECH</v>
          </cell>
          <cell r="E5178">
            <v>2.0324531860000001</v>
          </cell>
          <cell r="F5178" t="str">
            <v>-</v>
          </cell>
          <cell r="G5178" t="str">
            <v>-</v>
          </cell>
          <cell r="H5178" t="str">
            <v>-</v>
          </cell>
          <cell r="I5178" t="str">
            <v>-</v>
          </cell>
          <cell r="J5178">
            <v>2.0324531860000001</v>
          </cell>
          <cell r="K5178" t="str">
            <v>Small Cap</v>
          </cell>
        </row>
        <row r="5179">
          <cell r="C5179" t="str">
            <v>INE009Q01019</v>
          </cell>
          <cell r="D5179" t="str">
            <v>SKP</v>
          </cell>
          <cell r="E5179">
            <v>2.0301</v>
          </cell>
          <cell r="F5179" t="str">
            <v>-</v>
          </cell>
          <cell r="G5179" t="str">
            <v>-</v>
          </cell>
          <cell r="H5179" t="str">
            <v>-</v>
          </cell>
          <cell r="I5179" t="str">
            <v>-</v>
          </cell>
          <cell r="J5179">
            <v>2.0301</v>
          </cell>
          <cell r="K5179" t="str">
            <v>Small Cap</v>
          </cell>
        </row>
        <row r="5180">
          <cell r="C5180" t="str">
            <v>INE798C01017</v>
          </cell>
          <cell r="D5180" t="str">
            <v>SILVERO</v>
          </cell>
          <cell r="E5180">
            <v>2.0165793649999997</v>
          </cell>
          <cell r="F5180" t="str">
            <v>-</v>
          </cell>
          <cell r="G5180" t="str">
            <v>-</v>
          </cell>
          <cell r="H5180" t="str">
            <v>-</v>
          </cell>
          <cell r="I5180" t="str">
            <v>-</v>
          </cell>
          <cell r="J5180">
            <v>2.0165793649999997</v>
          </cell>
          <cell r="K5180" t="str">
            <v>Small Cap</v>
          </cell>
        </row>
        <row r="5181">
          <cell r="C5181" t="str">
            <v>INE670B01028</v>
          </cell>
          <cell r="D5181" t="str">
            <v>GANGOTRI</v>
          </cell>
          <cell r="E5181">
            <v>2.0298726970000001</v>
          </cell>
          <cell r="F5181" t="str">
            <v>GANGOTRI</v>
          </cell>
          <cell r="G5181">
            <v>2.0011000000000001</v>
          </cell>
          <cell r="H5181" t="str">
            <v>-</v>
          </cell>
          <cell r="I5181" t="str">
            <v>-</v>
          </cell>
          <cell r="J5181">
            <v>2.0154863485000001</v>
          </cell>
          <cell r="K5181" t="str">
            <v>Small Cap</v>
          </cell>
        </row>
        <row r="5182">
          <cell r="C5182" t="str">
            <v>INE757Q01013</v>
          </cell>
          <cell r="D5182" t="str">
            <v>-</v>
          </cell>
          <cell r="E5182" t="str">
            <v>-</v>
          </cell>
          <cell r="F5182" t="str">
            <v>-</v>
          </cell>
          <cell r="G5182" t="str">
            <v>-</v>
          </cell>
          <cell r="H5182" t="str">
            <v>GIKENSEIKI</v>
          </cell>
          <cell r="I5182">
            <v>2.0105</v>
          </cell>
          <cell r="J5182">
            <v>2.0105</v>
          </cell>
          <cell r="K5182" t="str">
            <v>Small Cap</v>
          </cell>
        </row>
        <row r="5183">
          <cell r="C5183" t="str">
            <v>INE379R01014</v>
          </cell>
          <cell r="D5183" t="str">
            <v>-</v>
          </cell>
          <cell r="E5183" t="str">
            <v>-</v>
          </cell>
          <cell r="F5183" t="str">
            <v>-</v>
          </cell>
          <cell r="G5183" t="str">
            <v>-</v>
          </cell>
          <cell r="H5183" t="str">
            <v>CAPFIN</v>
          </cell>
          <cell r="I5183">
            <v>2</v>
          </cell>
          <cell r="J5183">
            <v>2</v>
          </cell>
          <cell r="K5183" t="str">
            <v>Small Cap</v>
          </cell>
        </row>
        <row r="5184">
          <cell r="C5184" t="str">
            <v>INE499F01015</v>
          </cell>
          <cell r="D5184" t="str">
            <v>-</v>
          </cell>
          <cell r="E5184" t="str">
            <v>-</v>
          </cell>
          <cell r="F5184" t="str">
            <v>-</v>
          </cell>
          <cell r="G5184" t="str">
            <v>-</v>
          </cell>
          <cell r="H5184" t="str">
            <v>AMARVAN</v>
          </cell>
          <cell r="I5184">
            <v>1.991999999999996</v>
          </cell>
          <cell r="J5184">
            <v>1.991999999999996</v>
          </cell>
          <cell r="K5184" t="str">
            <v>Small Cap</v>
          </cell>
        </row>
        <row r="5185">
          <cell r="C5185" t="str">
            <v>INE752U01016</v>
          </cell>
          <cell r="D5185" t="str">
            <v>-</v>
          </cell>
          <cell r="E5185" t="str">
            <v>-</v>
          </cell>
          <cell r="F5185" t="str">
            <v>-</v>
          </cell>
          <cell r="G5185" t="str">
            <v>-</v>
          </cell>
          <cell r="H5185" t="str">
            <v>PILLAR</v>
          </cell>
          <cell r="I5185">
            <v>1.9850000000000063</v>
          </cell>
          <cell r="J5185">
            <v>1.9850000000000063</v>
          </cell>
          <cell r="K5185" t="str">
            <v>Small Cap</v>
          </cell>
        </row>
        <row r="5186">
          <cell r="C5186" t="str">
            <v>INE771Z01015</v>
          </cell>
          <cell r="D5186" t="str">
            <v>SAGARSYST</v>
          </cell>
          <cell r="E5186">
            <v>1.976</v>
          </cell>
          <cell r="F5186" t="str">
            <v>-</v>
          </cell>
          <cell r="G5186" t="str">
            <v>-</v>
          </cell>
          <cell r="H5186" t="str">
            <v>-</v>
          </cell>
          <cell r="I5186" t="str">
            <v>-</v>
          </cell>
          <cell r="J5186">
            <v>1.976</v>
          </cell>
          <cell r="K5186" t="str">
            <v>Small Cap</v>
          </cell>
        </row>
        <row r="5187">
          <cell r="C5187" t="str">
            <v>INE381N01019</v>
          </cell>
          <cell r="D5187" t="str">
            <v>RAJVI</v>
          </cell>
          <cell r="E5187">
            <v>1.9420646760000002</v>
          </cell>
          <cell r="F5187" t="str">
            <v>-</v>
          </cell>
          <cell r="G5187" t="str">
            <v>-</v>
          </cell>
          <cell r="H5187" t="str">
            <v>-</v>
          </cell>
          <cell r="I5187" t="str">
            <v>-</v>
          </cell>
          <cell r="J5187">
            <v>1.9420646760000002</v>
          </cell>
          <cell r="K5187" t="str">
            <v>Small Cap</v>
          </cell>
        </row>
        <row r="5188">
          <cell r="C5188" t="str">
            <v>INE881P01013</v>
          </cell>
          <cell r="D5188" t="str">
            <v>TECHCON</v>
          </cell>
          <cell r="E5188">
            <v>1.9125523809999998</v>
          </cell>
          <cell r="F5188" t="str">
            <v>-</v>
          </cell>
          <cell r="G5188" t="str">
            <v>-</v>
          </cell>
          <cell r="H5188" t="str">
            <v>-</v>
          </cell>
          <cell r="I5188" t="str">
            <v>-</v>
          </cell>
          <cell r="J5188">
            <v>1.9125523809999998</v>
          </cell>
          <cell r="K5188" t="str">
            <v>Small Cap</v>
          </cell>
        </row>
        <row r="5189">
          <cell r="C5189" t="str">
            <v>INE448N01024</v>
          </cell>
          <cell r="D5189" t="str">
            <v>PREMPIPES</v>
          </cell>
          <cell r="E5189">
            <v>1.9028</v>
          </cell>
          <cell r="F5189" t="str">
            <v>-</v>
          </cell>
          <cell r="G5189" t="str">
            <v>-</v>
          </cell>
          <cell r="H5189" t="str">
            <v>-</v>
          </cell>
          <cell r="I5189" t="str">
            <v>-</v>
          </cell>
          <cell r="J5189">
            <v>1.9028</v>
          </cell>
          <cell r="K5189" t="str">
            <v>Small Cap</v>
          </cell>
        </row>
        <row r="5190">
          <cell r="C5190" t="str">
            <v>INE160T01014</v>
          </cell>
          <cell r="D5190" t="str">
            <v>-</v>
          </cell>
          <cell r="E5190" t="str">
            <v>-</v>
          </cell>
          <cell r="F5190" t="str">
            <v>-</v>
          </cell>
          <cell r="G5190" t="str">
            <v>-</v>
          </cell>
          <cell r="H5190" t="str">
            <v>PRHOLDING</v>
          </cell>
          <cell r="I5190">
            <v>1.8899999999999939</v>
          </cell>
          <cell r="J5190">
            <v>1.8899999999999939</v>
          </cell>
          <cell r="K5190" t="str">
            <v>Small Cap</v>
          </cell>
        </row>
        <row r="5191">
          <cell r="C5191" t="str">
            <v>INE684U01011</v>
          </cell>
          <cell r="D5191" t="str">
            <v>IGLFXPL-B</v>
          </cell>
          <cell r="E5191">
            <v>1.8584801629999999</v>
          </cell>
          <cell r="F5191" t="str">
            <v>-</v>
          </cell>
          <cell r="G5191" t="str">
            <v>-</v>
          </cell>
          <cell r="H5191" t="str">
            <v>-</v>
          </cell>
          <cell r="I5191" t="str">
            <v>-</v>
          </cell>
          <cell r="J5191">
            <v>1.8584801629999999</v>
          </cell>
          <cell r="K5191" t="str">
            <v>Small Cap</v>
          </cell>
        </row>
        <row r="5192">
          <cell r="C5192" t="str">
            <v>INE889B01016</v>
          </cell>
          <cell r="D5192" t="str">
            <v>KUNDANMM</v>
          </cell>
          <cell r="E5192">
            <v>1.8252108</v>
          </cell>
          <cell r="F5192" t="str">
            <v>-</v>
          </cell>
          <cell r="G5192" t="str">
            <v>-</v>
          </cell>
          <cell r="H5192" t="str">
            <v>-</v>
          </cell>
          <cell r="I5192" t="str">
            <v>-</v>
          </cell>
          <cell r="J5192">
            <v>1.8252108</v>
          </cell>
          <cell r="K5192" t="str">
            <v>Small Cap</v>
          </cell>
        </row>
        <row r="5193">
          <cell r="C5193" t="str">
            <v>INE987M01023</v>
          </cell>
          <cell r="D5193" t="str">
            <v>MAHAVIRIND</v>
          </cell>
          <cell r="E5193">
            <v>1.82</v>
          </cell>
          <cell r="F5193" t="str">
            <v>-</v>
          </cell>
          <cell r="G5193" t="str">
            <v>-</v>
          </cell>
          <cell r="H5193" t="str">
            <v>-</v>
          </cell>
          <cell r="I5193" t="str">
            <v>-</v>
          </cell>
          <cell r="J5193">
            <v>1.82</v>
          </cell>
          <cell r="K5193" t="str">
            <v>Small Cap</v>
          </cell>
        </row>
        <row r="5194">
          <cell r="C5194" t="str">
            <v>INE155O01015</v>
          </cell>
          <cell r="D5194" t="str">
            <v>VGPRFOO</v>
          </cell>
          <cell r="E5194">
            <v>1.8088</v>
          </cell>
          <cell r="F5194" t="str">
            <v>-</v>
          </cell>
          <cell r="G5194" t="str">
            <v>-</v>
          </cell>
          <cell r="H5194" t="str">
            <v>-</v>
          </cell>
          <cell r="I5194" t="str">
            <v>-</v>
          </cell>
          <cell r="J5194">
            <v>1.8088</v>
          </cell>
          <cell r="K5194" t="str">
            <v>Small Cap</v>
          </cell>
        </row>
        <row r="5195">
          <cell r="C5195" t="str">
            <v>INE860P01025</v>
          </cell>
          <cell r="D5195" t="str">
            <v>ACHAL</v>
          </cell>
          <cell r="E5195">
            <v>1.7667409199999999</v>
          </cell>
          <cell r="F5195" t="str">
            <v>-</v>
          </cell>
          <cell r="G5195" t="str">
            <v>-</v>
          </cell>
          <cell r="H5195" t="str">
            <v>-</v>
          </cell>
          <cell r="I5195" t="str">
            <v>-</v>
          </cell>
          <cell r="J5195">
            <v>1.7667409199999999</v>
          </cell>
          <cell r="K5195" t="str">
            <v>Small Cap</v>
          </cell>
        </row>
        <row r="5196">
          <cell r="C5196" t="str">
            <v>INE331F01028</v>
          </cell>
          <cell r="D5196" t="str">
            <v>SESHACHAL</v>
          </cell>
          <cell r="E5196">
            <v>1.7578384699999998</v>
          </cell>
          <cell r="F5196" t="str">
            <v>-</v>
          </cell>
          <cell r="G5196" t="str">
            <v>-</v>
          </cell>
          <cell r="H5196" t="str">
            <v>-</v>
          </cell>
          <cell r="I5196" t="str">
            <v>-</v>
          </cell>
          <cell r="J5196">
            <v>1.7578384699999998</v>
          </cell>
          <cell r="K5196" t="str">
            <v>Small Cap</v>
          </cell>
        </row>
        <row r="5197">
          <cell r="C5197" t="str">
            <v>INE263R01010</v>
          </cell>
          <cell r="D5197" t="str">
            <v>GEETANJ</v>
          </cell>
          <cell r="E5197">
            <v>1.7158070100000002</v>
          </cell>
          <cell r="F5197" t="str">
            <v>-</v>
          </cell>
          <cell r="G5197" t="str">
            <v>-</v>
          </cell>
          <cell r="H5197" t="str">
            <v>-</v>
          </cell>
          <cell r="I5197" t="str">
            <v>-</v>
          </cell>
          <cell r="J5197">
            <v>1.7158070100000002</v>
          </cell>
          <cell r="K5197" t="str">
            <v>Small Cap</v>
          </cell>
        </row>
        <row r="5198">
          <cell r="C5198" t="str">
            <v>INE080D01042</v>
          </cell>
          <cell r="D5198" t="str">
            <v>SYBLY</v>
          </cell>
          <cell r="E5198">
            <v>1.7003759280000001</v>
          </cell>
          <cell r="F5198" t="str">
            <v>-</v>
          </cell>
          <cell r="G5198" t="str">
            <v>-</v>
          </cell>
          <cell r="H5198" t="str">
            <v>-</v>
          </cell>
          <cell r="I5198" t="str">
            <v>-</v>
          </cell>
          <cell r="J5198">
            <v>1.7003759280000001</v>
          </cell>
          <cell r="K5198" t="str">
            <v>Small Cap</v>
          </cell>
        </row>
        <row r="5199">
          <cell r="C5199" t="str">
            <v>INE745C01018</v>
          </cell>
          <cell r="D5199" t="str">
            <v>TELECABL</v>
          </cell>
          <cell r="E5199">
            <v>1.6813</v>
          </cell>
          <cell r="F5199" t="str">
            <v>-</v>
          </cell>
          <cell r="G5199" t="str">
            <v>-</v>
          </cell>
          <cell r="H5199" t="str">
            <v>-</v>
          </cell>
          <cell r="I5199" t="str">
            <v>-</v>
          </cell>
          <cell r="J5199">
            <v>1.6813</v>
          </cell>
          <cell r="K5199" t="str">
            <v>Small Cap</v>
          </cell>
        </row>
        <row r="5200">
          <cell r="C5200" t="str">
            <v>INE542D01017</v>
          </cell>
          <cell r="D5200" t="str">
            <v>SUPERSYN</v>
          </cell>
          <cell r="E5200">
            <v>1.6626784320000001</v>
          </cell>
          <cell r="F5200" t="str">
            <v>-</v>
          </cell>
          <cell r="G5200" t="str">
            <v>-</v>
          </cell>
          <cell r="H5200" t="str">
            <v>-</v>
          </cell>
          <cell r="I5200" t="str">
            <v>-</v>
          </cell>
          <cell r="J5200">
            <v>1.6626784320000001</v>
          </cell>
          <cell r="K5200" t="str">
            <v>Small Cap</v>
          </cell>
        </row>
        <row r="5201">
          <cell r="C5201" t="str">
            <v>INE875S01019</v>
          </cell>
          <cell r="D5201" t="str">
            <v>ADVMULT</v>
          </cell>
          <cell r="E5201">
            <v>1.662135696</v>
          </cell>
          <cell r="F5201" t="str">
            <v>-</v>
          </cell>
          <cell r="G5201" t="str">
            <v>-</v>
          </cell>
          <cell r="H5201" t="str">
            <v>-</v>
          </cell>
          <cell r="I5201" t="str">
            <v>-</v>
          </cell>
          <cell r="J5201">
            <v>1.662135696</v>
          </cell>
          <cell r="K5201" t="str">
            <v>Small Cap</v>
          </cell>
        </row>
        <row r="5202">
          <cell r="C5202" t="str">
            <v>INE965A01016</v>
          </cell>
          <cell r="D5202" t="str">
            <v>VISUINTL</v>
          </cell>
          <cell r="E5202">
            <v>1.6605099999999999</v>
          </cell>
          <cell r="F5202" t="str">
            <v>-</v>
          </cell>
          <cell r="G5202" t="str">
            <v>-</v>
          </cell>
          <cell r="H5202" t="str">
            <v>-</v>
          </cell>
          <cell r="I5202" t="str">
            <v>-</v>
          </cell>
          <cell r="J5202">
            <v>1.6605099999999999</v>
          </cell>
          <cell r="K5202" t="str">
            <v>Small Cap</v>
          </cell>
        </row>
        <row r="5203">
          <cell r="C5203" t="str">
            <v>INE095E01022</v>
          </cell>
          <cell r="D5203" t="str">
            <v>MPFSL</v>
          </cell>
          <cell r="E5203">
            <v>1.6347983880000001</v>
          </cell>
          <cell r="F5203" t="str">
            <v>-</v>
          </cell>
          <cell r="G5203" t="str">
            <v>-</v>
          </cell>
          <cell r="H5203" t="str">
            <v>-</v>
          </cell>
          <cell r="I5203" t="str">
            <v>-</v>
          </cell>
          <cell r="J5203">
            <v>1.6347983880000001</v>
          </cell>
          <cell r="K5203" t="str">
            <v>Small Cap</v>
          </cell>
        </row>
        <row r="5204">
          <cell r="C5204" t="str">
            <v>INE092S01011</v>
          </cell>
          <cell r="D5204" t="str">
            <v>-</v>
          </cell>
          <cell r="E5204" t="str">
            <v>-</v>
          </cell>
          <cell r="F5204" t="str">
            <v>-</v>
          </cell>
          <cell r="G5204" t="str">
            <v>-</v>
          </cell>
          <cell r="H5204" t="str">
            <v>RITZ</v>
          </cell>
          <cell r="I5204">
            <v>1.6012499999999954</v>
          </cell>
          <cell r="J5204">
            <v>1.6012499999999954</v>
          </cell>
          <cell r="K5204" t="str">
            <v>Small Cap</v>
          </cell>
        </row>
        <row r="5205">
          <cell r="C5205" t="str">
            <v>INE046M01036</v>
          </cell>
          <cell r="D5205" t="str">
            <v>MIDPOLY</v>
          </cell>
          <cell r="E5205">
            <v>1.5983364</v>
          </cell>
          <cell r="F5205" t="str">
            <v>-</v>
          </cell>
          <cell r="G5205" t="str">
            <v>-</v>
          </cell>
          <cell r="H5205" t="str">
            <v>-</v>
          </cell>
          <cell r="I5205" t="str">
            <v>-</v>
          </cell>
          <cell r="J5205">
            <v>1.5983364</v>
          </cell>
          <cell r="K5205" t="str">
            <v>Small Cap</v>
          </cell>
        </row>
        <row r="5206">
          <cell r="C5206" t="str">
            <v>INE886C01010</v>
          </cell>
          <cell r="D5206" t="str">
            <v>RATHIGRA</v>
          </cell>
          <cell r="E5206">
            <v>1.5945830000000001</v>
          </cell>
          <cell r="F5206" t="str">
            <v>-</v>
          </cell>
          <cell r="G5206" t="str">
            <v>-</v>
          </cell>
          <cell r="H5206" t="str">
            <v>-</v>
          </cell>
          <cell r="I5206" t="str">
            <v>-</v>
          </cell>
          <cell r="J5206">
            <v>1.5945830000000001</v>
          </cell>
          <cell r="K5206" t="str">
            <v>Small Cap</v>
          </cell>
        </row>
        <row r="5207">
          <cell r="C5207" t="str">
            <v>INE878D01015</v>
          </cell>
          <cell r="D5207" t="str">
            <v>GUJPE</v>
          </cell>
          <cell r="E5207">
            <v>1.5904499999999999</v>
          </cell>
          <cell r="F5207" t="str">
            <v>-</v>
          </cell>
          <cell r="G5207" t="str">
            <v>-</v>
          </cell>
          <cell r="H5207" t="str">
            <v>-</v>
          </cell>
          <cell r="I5207" t="str">
            <v>-</v>
          </cell>
          <cell r="J5207">
            <v>1.5904499999999999</v>
          </cell>
          <cell r="K5207" t="str">
            <v>Small Cap</v>
          </cell>
        </row>
        <row r="5208">
          <cell r="C5208" t="str">
            <v>INE023F01013</v>
          </cell>
          <cell r="D5208" t="str">
            <v>-</v>
          </cell>
          <cell r="E5208" t="str">
            <v>-</v>
          </cell>
          <cell r="F5208" t="str">
            <v>-</v>
          </cell>
          <cell r="G5208" t="str">
            <v>-</v>
          </cell>
          <cell r="H5208" t="str">
            <v>SCEL</v>
          </cell>
          <cell r="I5208">
            <v>1.5902000000000025</v>
          </cell>
          <cell r="J5208">
            <v>1.5902000000000025</v>
          </cell>
          <cell r="K5208" t="str">
            <v>Small Cap</v>
          </cell>
        </row>
        <row r="5209">
          <cell r="C5209" t="str">
            <v>INE128F01010</v>
          </cell>
          <cell r="D5209" t="str">
            <v>EMGEECA</v>
          </cell>
          <cell r="E5209">
            <v>1.5892170000000001</v>
          </cell>
          <cell r="F5209" t="str">
            <v>-</v>
          </cell>
          <cell r="G5209" t="str">
            <v>-</v>
          </cell>
          <cell r="H5209" t="str">
            <v>-</v>
          </cell>
          <cell r="I5209" t="str">
            <v>-</v>
          </cell>
          <cell r="J5209">
            <v>1.5892170000000001</v>
          </cell>
          <cell r="K5209" t="str">
            <v>Small Cap</v>
          </cell>
        </row>
        <row r="5210">
          <cell r="C5210" t="str">
            <v>INE644K01016</v>
          </cell>
          <cell r="D5210" t="str">
            <v>BMBMUMG</v>
          </cell>
          <cell r="E5210">
            <v>1.5634026000000001</v>
          </cell>
          <cell r="F5210" t="str">
            <v>-</v>
          </cell>
          <cell r="G5210" t="str">
            <v>-</v>
          </cell>
          <cell r="H5210" t="str">
            <v>-</v>
          </cell>
          <cell r="I5210" t="str">
            <v>-</v>
          </cell>
          <cell r="J5210">
            <v>1.5634026000000001</v>
          </cell>
          <cell r="K5210" t="str">
            <v>Small Cap</v>
          </cell>
        </row>
        <row r="5211">
          <cell r="C5211" t="str">
            <v>INE741C01017</v>
          </cell>
          <cell r="D5211" t="str">
            <v>CRESANTO</v>
          </cell>
          <cell r="E5211">
            <v>1.5553983330000001</v>
          </cell>
          <cell r="F5211" t="str">
            <v>-</v>
          </cell>
          <cell r="G5211" t="str">
            <v>-</v>
          </cell>
          <cell r="H5211" t="str">
            <v>-</v>
          </cell>
          <cell r="I5211" t="str">
            <v>-</v>
          </cell>
          <cell r="J5211">
            <v>1.5553983330000001</v>
          </cell>
          <cell r="K5211" t="str">
            <v>Small Cap</v>
          </cell>
        </row>
        <row r="5212">
          <cell r="C5212" t="str">
            <v>INE009D01017</v>
          </cell>
          <cell r="D5212" t="str">
            <v>ADVPOWER</v>
          </cell>
          <cell r="E5212">
            <v>1.5509999999999999</v>
          </cell>
          <cell r="F5212" t="str">
            <v>-</v>
          </cell>
          <cell r="G5212" t="str">
            <v>-</v>
          </cell>
          <cell r="H5212" t="str">
            <v>-</v>
          </cell>
          <cell r="I5212" t="str">
            <v>-</v>
          </cell>
          <cell r="J5212">
            <v>1.5509999999999999</v>
          </cell>
          <cell r="K5212" t="str">
            <v>Small Cap</v>
          </cell>
        </row>
        <row r="5213">
          <cell r="C5213" t="str">
            <v>INE875E01019</v>
          </cell>
          <cell r="D5213" t="str">
            <v>GARLNIN</v>
          </cell>
          <cell r="E5213">
            <v>1.5259100000000001</v>
          </cell>
          <cell r="F5213" t="str">
            <v>-</v>
          </cell>
          <cell r="G5213" t="str">
            <v>-</v>
          </cell>
          <cell r="H5213" t="str">
            <v>-</v>
          </cell>
          <cell r="I5213" t="str">
            <v>-</v>
          </cell>
          <cell r="J5213">
            <v>1.5259100000000001</v>
          </cell>
          <cell r="K5213" t="str">
            <v>Small Cap</v>
          </cell>
        </row>
        <row r="5214">
          <cell r="C5214" t="str">
            <v>INE552F01011</v>
          </cell>
          <cell r="D5214" t="str">
            <v>ZNIVITRD</v>
          </cell>
          <cell r="E5214">
            <v>1.49472</v>
          </cell>
          <cell r="F5214" t="str">
            <v>-</v>
          </cell>
          <cell r="G5214" t="str">
            <v>-</v>
          </cell>
          <cell r="H5214" t="str">
            <v>-</v>
          </cell>
          <cell r="I5214" t="str">
            <v>-</v>
          </cell>
          <cell r="J5214">
            <v>1.49472</v>
          </cell>
          <cell r="K5214" t="str">
            <v>Small Cap</v>
          </cell>
        </row>
        <row r="5215">
          <cell r="C5215" t="str">
            <v>INE288U01011</v>
          </cell>
          <cell r="D5215" t="str">
            <v>-</v>
          </cell>
          <cell r="E5215" t="str">
            <v>-</v>
          </cell>
          <cell r="F5215" t="str">
            <v>-</v>
          </cell>
          <cell r="G5215" t="str">
            <v>-</v>
          </cell>
          <cell r="H5215" t="str">
            <v>BESWASTH</v>
          </cell>
          <cell r="I5215">
            <v>1.4938649999999998</v>
          </cell>
          <cell r="J5215">
            <v>1.4938649999999998</v>
          </cell>
          <cell r="K5215" t="str">
            <v>Small Cap</v>
          </cell>
        </row>
        <row r="5216">
          <cell r="C5216" t="str">
            <v>INE719C01013</v>
          </cell>
          <cell r="D5216" t="str">
            <v>-</v>
          </cell>
          <cell r="E5216" t="str">
            <v>-</v>
          </cell>
          <cell r="F5216" t="str">
            <v>-</v>
          </cell>
          <cell r="G5216" t="str">
            <v>-</v>
          </cell>
          <cell r="H5216" t="str">
            <v>JECOEXP</v>
          </cell>
          <cell r="I5216">
            <v>1.4819999999999995</v>
          </cell>
          <cell r="J5216">
            <v>1.4819999999999995</v>
          </cell>
          <cell r="K5216" t="str">
            <v>Small Cap</v>
          </cell>
        </row>
        <row r="5217">
          <cell r="C5217" t="str">
            <v>INE157T01010</v>
          </cell>
          <cell r="D5217" t="str">
            <v>-</v>
          </cell>
          <cell r="E5217" t="str">
            <v>-</v>
          </cell>
          <cell r="F5217" t="str">
            <v>-</v>
          </cell>
          <cell r="G5217" t="str">
            <v>-</v>
          </cell>
          <cell r="H5217" t="str">
            <v>BUYRIGHT</v>
          </cell>
          <cell r="I5217">
            <v>1.4769562500000004</v>
          </cell>
          <cell r="J5217">
            <v>1.4769562500000004</v>
          </cell>
          <cell r="K5217" t="str">
            <v>Small Cap</v>
          </cell>
        </row>
        <row r="5218">
          <cell r="C5218" t="str">
            <v>INE777R01019</v>
          </cell>
          <cell r="D5218" t="str">
            <v>-</v>
          </cell>
          <cell r="E5218" t="str">
            <v>-</v>
          </cell>
          <cell r="F5218" t="str">
            <v>-</v>
          </cell>
          <cell r="G5218" t="str">
            <v>-</v>
          </cell>
          <cell r="H5218" t="str">
            <v>SNSPL</v>
          </cell>
          <cell r="I5218">
            <v>1.4766999999999963</v>
          </cell>
          <cell r="J5218">
            <v>1.4766999999999963</v>
          </cell>
          <cell r="K5218" t="str">
            <v>Small Cap</v>
          </cell>
        </row>
        <row r="5219">
          <cell r="C5219" t="str">
            <v>INE510L01017</v>
          </cell>
          <cell r="D5219" t="str">
            <v>-</v>
          </cell>
          <cell r="E5219" t="str">
            <v>-</v>
          </cell>
          <cell r="F5219" t="str">
            <v>-</v>
          </cell>
          <cell r="G5219" t="str">
            <v>-</v>
          </cell>
          <cell r="H5219" t="str">
            <v>FIRL</v>
          </cell>
          <cell r="I5219">
            <v>1.473937000000004</v>
          </cell>
          <cell r="J5219">
            <v>1.473937000000004</v>
          </cell>
          <cell r="K5219" t="str">
            <v>Small Cap</v>
          </cell>
        </row>
        <row r="5220">
          <cell r="C5220" t="str">
            <v>INE997Z01016</v>
          </cell>
          <cell r="D5220" t="str">
            <v>ARIHANTINS</v>
          </cell>
          <cell r="E5220">
            <v>1.4671809359999999</v>
          </cell>
          <cell r="F5220" t="str">
            <v>-</v>
          </cell>
          <cell r="G5220" t="str">
            <v>-</v>
          </cell>
          <cell r="H5220" t="str">
            <v>-</v>
          </cell>
          <cell r="I5220" t="str">
            <v>-</v>
          </cell>
          <cell r="J5220">
            <v>1.4671809359999999</v>
          </cell>
          <cell r="K5220" t="str">
            <v>Small Cap</v>
          </cell>
        </row>
        <row r="5221">
          <cell r="C5221" t="str">
            <v>INE511J01027</v>
          </cell>
          <cell r="D5221" t="str">
            <v>KEDIACN</v>
          </cell>
          <cell r="E5221">
            <v>1.4670000000000001</v>
          </cell>
          <cell r="F5221" t="str">
            <v>-</v>
          </cell>
          <cell r="G5221" t="str">
            <v>-</v>
          </cell>
          <cell r="H5221" t="str">
            <v>-</v>
          </cell>
          <cell r="I5221" t="str">
            <v>-</v>
          </cell>
          <cell r="J5221">
            <v>1.4670000000000001</v>
          </cell>
          <cell r="K5221" t="str">
            <v>Small Cap</v>
          </cell>
        </row>
        <row r="5222">
          <cell r="C5222" t="str">
            <v>INE787A01022</v>
          </cell>
          <cell r="D5222" t="str">
            <v>GSLNOVA</v>
          </cell>
          <cell r="E5222">
            <v>1.431</v>
          </cell>
          <cell r="F5222" t="str">
            <v>-</v>
          </cell>
          <cell r="G5222" t="str">
            <v>-</v>
          </cell>
          <cell r="H5222" t="str">
            <v>-</v>
          </cell>
          <cell r="I5222" t="str">
            <v>-</v>
          </cell>
          <cell r="J5222">
            <v>1.431</v>
          </cell>
          <cell r="K5222" t="str">
            <v>Small Cap</v>
          </cell>
        </row>
        <row r="5223">
          <cell r="C5223" t="str">
            <v>INE162S01012</v>
          </cell>
          <cell r="D5223" t="str">
            <v>-</v>
          </cell>
          <cell r="E5223" t="str">
            <v>-</v>
          </cell>
          <cell r="F5223" t="str">
            <v>-</v>
          </cell>
          <cell r="G5223" t="str">
            <v>-</v>
          </cell>
          <cell r="H5223" t="str">
            <v>UDDHAV</v>
          </cell>
          <cell r="I5223">
            <v>1.4099999999999973</v>
          </cell>
          <cell r="J5223">
            <v>1.4099999999999973</v>
          </cell>
          <cell r="K5223" t="str">
            <v>Small Cap</v>
          </cell>
        </row>
        <row r="5224">
          <cell r="C5224" t="str">
            <v>INE228B01017</v>
          </cell>
          <cell r="D5224" t="str">
            <v>BARONINF</v>
          </cell>
          <cell r="E5224">
            <v>1.400314286</v>
          </cell>
          <cell r="F5224" t="str">
            <v>-</v>
          </cell>
          <cell r="G5224" t="str">
            <v>-</v>
          </cell>
          <cell r="H5224" t="str">
            <v>-</v>
          </cell>
          <cell r="I5224" t="str">
            <v>-</v>
          </cell>
          <cell r="J5224">
            <v>1.400314286</v>
          </cell>
          <cell r="K5224" t="str">
            <v>Small Cap</v>
          </cell>
        </row>
        <row r="5225">
          <cell r="C5225" t="str">
            <v>INE799S01011</v>
          </cell>
          <cell r="D5225" t="str">
            <v>-</v>
          </cell>
          <cell r="E5225" t="str">
            <v>-</v>
          </cell>
          <cell r="F5225" t="str">
            <v>-</v>
          </cell>
          <cell r="G5225" t="str">
            <v>-</v>
          </cell>
          <cell r="H5225" t="str">
            <v>ULL</v>
          </cell>
          <cell r="I5225">
            <v>1.4000000000000032</v>
          </cell>
          <cell r="J5225">
            <v>1.4000000000000032</v>
          </cell>
          <cell r="K5225" t="str">
            <v>Small Cap</v>
          </cell>
        </row>
        <row r="5226">
          <cell r="C5226" t="str">
            <v>INE538C01017</v>
          </cell>
          <cell r="D5226" t="str">
            <v>SAMTELIN</v>
          </cell>
          <cell r="E5226">
            <v>1.3958359470000001</v>
          </cell>
          <cell r="F5226" t="str">
            <v>-</v>
          </cell>
          <cell r="G5226" t="str">
            <v>-</v>
          </cell>
          <cell r="H5226" t="str">
            <v>-</v>
          </cell>
          <cell r="I5226" t="str">
            <v>-</v>
          </cell>
          <cell r="J5226">
            <v>1.3958359470000001</v>
          </cell>
          <cell r="K5226" t="str">
            <v>Small Cap</v>
          </cell>
        </row>
        <row r="5227">
          <cell r="C5227" t="str">
            <v>INE598B01013</v>
          </cell>
          <cell r="D5227" t="str">
            <v>ZENITHCOMP</v>
          </cell>
          <cell r="E5227">
            <v>1.3932755999999999</v>
          </cell>
          <cell r="F5227" t="str">
            <v>-</v>
          </cell>
          <cell r="G5227" t="str">
            <v>-</v>
          </cell>
          <cell r="H5227" t="str">
            <v>-</v>
          </cell>
          <cell r="I5227" t="str">
            <v>-</v>
          </cell>
          <cell r="J5227">
            <v>1.3932755999999999</v>
          </cell>
          <cell r="K5227" t="str">
            <v>Small Cap</v>
          </cell>
        </row>
        <row r="5228">
          <cell r="C5228" t="str">
            <v>INE495M01019</v>
          </cell>
          <cell r="D5228" t="str">
            <v>ZSHERAPR</v>
          </cell>
          <cell r="E5228">
            <v>1.3824000000000001</v>
          </cell>
          <cell r="F5228" t="str">
            <v>-</v>
          </cell>
          <cell r="G5228" t="str">
            <v>-</v>
          </cell>
          <cell r="H5228" t="str">
            <v>-</v>
          </cell>
          <cell r="I5228" t="str">
            <v>-</v>
          </cell>
          <cell r="J5228">
            <v>1.3824000000000001</v>
          </cell>
          <cell r="K5228" t="str">
            <v>Small Cap</v>
          </cell>
        </row>
        <row r="5229">
          <cell r="C5229" t="str">
            <v>INE863D01017</v>
          </cell>
          <cell r="D5229" t="str">
            <v>RANJITSE</v>
          </cell>
          <cell r="E5229">
            <v>1.380321157</v>
          </cell>
          <cell r="F5229" t="str">
            <v>-</v>
          </cell>
          <cell r="G5229" t="str">
            <v>-</v>
          </cell>
          <cell r="H5229" t="str">
            <v>-</v>
          </cell>
          <cell r="I5229" t="str">
            <v>-</v>
          </cell>
          <cell r="J5229">
            <v>1.380321157</v>
          </cell>
          <cell r="K5229" t="str">
            <v>Small Cap</v>
          </cell>
        </row>
        <row r="5230">
          <cell r="C5230" t="str">
            <v>INE834E01016</v>
          </cell>
          <cell r="D5230" t="str">
            <v>VALLEY</v>
          </cell>
          <cell r="E5230">
            <v>1.3775999999999999</v>
          </cell>
          <cell r="F5230" t="str">
            <v>-</v>
          </cell>
          <cell r="G5230" t="str">
            <v>-</v>
          </cell>
          <cell r="H5230" t="str">
            <v>-</v>
          </cell>
          <cell r="I5230" t="str">
            <v>-</v>
          </cell>
          <cell r="J5230">
            <v>1.3775999999999999</v>
          </cell>
          <cell r="K5230" t="str">
            <v>Small Cap</v>
          </cell>
        </row>
        <row r="5231">
          <cell r="C5231" t="str">
            <v>INE114D01015</v>
          </cell>
          <cell r="D5231" t="str">
            <v>OXFORDIN</v>
          </cell>
          <cell r="E5231">
            <v>1.3588573560000001</v>
          </cell>
          <cell r="F5231" t="str">
            <v>-</v>
          </cell>
          <cell r="G5231" t="str">
            <v>-</v>
          </cell>
          <cell r="H5231" t="str">
            <v>-</v>
          </cell>
          <cell r="I5231" t="str">
            <v>-</v>
          </cell>
          <cell r="J5231">
            <v>1.3588573560000001</v>
          </cell>
          <cell r="K5231" t="str">
            <v>Small Cap</v>
          </cell>
        </row>
        <row r="5232">
          <cell r="C5232" t="str">
            <v>INE004B01012</v>
          </cell>
          <cell r="D5232" t="str">
            <v>SRIMT</v>
          </cell>
          <cell r="E5232">
            <v>1.3425480000000001</v>
          </cell>
          <cell r="F5232" t="str">
            <v>-</v>
          </cell>
          <cell r="G5232" t="str">
            <v>-</v>
          </cell>
          <cell r="H5232" t="str">
            <v>-</v>
          </cell>
          <cell r="I5232" t="str">
            <v>-</v>
          </cell>
          <cell r="J5232">
            <v>1.3425480000000001</v>
          </cell>
          <cell r="K5232" t="str">
            <v>Small Cap</v>
          </cell>
        </row>
        <row r="5233">
          <cell r="C5233" t="str">
            <v>INE281H01013</v>
          </cell>
          <cell r="D5233" t="str">
            <v>ADTYFRG</v>
          </cell>
          <cell r="E5233">
            <v>1.3399745999999999</v>
          </cell>
          <cell r="F5233" t="str">
            <v>-</v>
          </cell>
          <cell r="G5233" t="str">
            <v>-</v>
          </cell>
          <cell r="H5233" t="str">
            <v>-</v>
          </cell>
          <cell r="I5233" t="str">
            <v>-</v>
          </cell>
          <cell r="J5233">
            <v>1.3399745999999999</v>
          </cell>
          <cell r="K5233" t="str">
            <v>Small Cap</v>
          </cell>
        </row>
        <row r="5234">
          <cell r="C5234" t="str">
            <v>INE02BR01017</v>
          </cell>
          <cell r="D5234" t="str">
            <v>CLASELE</v>
          </cell>
          <cell r="E5234">
            <v>1.32882794</v>
          </cell>
          <cell r="F5234" t="str">
            <v>-</v>
          </cell>
          <cell r="G5234" t="str">
            <v>-</v>
          </cell>
          <cell r="H5234" t="str">
            <v>-</v>
          </cell>
          <cell r="I5234" t="str">
            <v>-</v>
          </cell>
          <cell r="J5234">
            <v>1.32882794</v>
          </cell>
          <cell r="K5234" t="str">
            <v>Small Cap</v>
          </cell>
        </row>
        <row r="5235">
          <cell r="C5235" t="str">
            <v>INE978L01016</v>
          </cell>
          <cell r="D5235" t="str">
            <v>ZSARVAMA</v>
          </cell>
          <cell r="E5235">
            <v>1.30725</v>
          </cell>
          <cell r="F5235" t="str">
            <v>-</v>
          </cell>
          <cell r="G5235" t="str">
            <v>-</v>
          </cell>
          <cell r="H5235" t="str">
            <v>-</v>
          </cell>
          <cell r="I5235" t="str">
            <v>-</v>
          </cell>
          <cell r="J5235">
            <v>1.30725</v>
          </cell>
          <cell r="K5235" t="str">
            <v>Small Cap</v>
          </cell>
        </row>
        <row r="5236">
          <cell r="C5236" t="str">
            <v>INE061Z01011</v>
          </cell>
          <cell r="D5236" t="str">
            <v>DCL</v>
          </cell>
          <cell r="E5236">
            <v>1.2784600800000001</v>
          </cell>
          <cell r="F5236" t="str">
            <v>-</v>
          </cell>
          <cell r="G5236" t="str">
            <v>-</v>
          </cell>
          <cell r="H5236" t="str">
            <v>-</v>
          </cell>
          <cell r="I5236" t="str">
            <v>-</v>
          </cell>
          <cell r="J5236">
            <v>1.2784600800000001</v>
          </cell>
          <cell r="K5236" t="str">
            <v>Small Cap</v>
          </cell>
        </row>
        <row r="5237">
          <cell r="C5237" t="str">
            <v>INE841E01011</v>
          </cell>
          <cell r="D5237" t="str">
            <v>-</v>
          </cell>
          <cell r="E5237" t="str">
            <v>-</v>
          </cell>
          <cell r="F5237" t="str">
            <v>-</v>
          </cell>
          <cell r="G5237" t="str">
            <v>-</v>
          </cell>
          <cell r="H5237" t="str">
            <v>AEL</v>
          </cell>
          <cell r="I5237">
            <v>1.2704999999999986</v>
          </cell>
          <cell r="J5237">
            <v>1.2704999999999986</v>
          </cell>
          <cell r="K5237" t="str">
            <v>Small Cap</v>
          </cell>
        </row>
        <row r="5238">
          <cell r="C5238" t="str">
            <v>INE728J01019</v>
          </cell>
          <cell r="D5238" t="str">
            <v>UNIWSEC</v>
          </cell>
          <cell r="E5238">
            <v>1.2510239999999999</v>
          </cell>
          <cell r="F5238" t="str">
            <v>-</v>
          </cell>
          <cell r="G5238" t="str">
            <v>-</v>
          </cell>
          <cell r="H5238" t="str">
            <v>-</v>
          </cell>
          <cell r="I5238" t="str">
            <v>-</v>
          </cell>
          <cell r="J5238">
            <v>1.2510239999999999</v>
          </cell>
          <cell r="K5238" t="str">
            <v>Small Cap</v>
          </cell>
        </row>
        <row r="5239">
          <cell r="C5239" t="str">
            <v>INE630M01011</v>
          </cell>
          <cell r="D5239" t="str">
            <v>-</v>
          </cell>
          <cell r="E5239" t="str">
            <v>-</v>
          </cell>
          <cell r="F5239" t="str">
            <v>-</v>
          </cell>
          <cell r="G5239" t="str">
            <v>-</v>
          </cell>
          <cell r="H5239" t="str">
            <v>MEPL</v>
          </cell>
          <cell r="I5239">
            <v>1.23725</v>
          </cell>
          <cell r="J5239">
            <v>1.23725</v>
          </cell>
          <cell r="K5239" t="str">
            <v>Small Cap</v>
          </cell>
        </row>
        <row r="5240">
          <cell r="C5240" t="str">
            <v>INE0HMN01013</v>
          </cell>
          <cell r="D5240" t="str">
            <v>ESQRMON</v>
          </cell>
          <cell r="E5240">
            <v>1.21275</v>
          </cell>
          <cell r="F5240" t="str">
            <v>-</v>
          </cell>
          <cell r="G5240" t="str">
            <v>-</v>
          </cell>
          <cell r="H5240" t="str">
            <v>-</v>
          </cell>
          <cell r="I5240" t="str">
            <v>-</v>
          </cell>
          <cell r="J5240">
            <v>1.21275</v>
          </cell>
          <cell r="K5240" t="str">
            <v>Small Cap</v>
          </cell>
        </row>
        <row r="5241">
          <cell r="C5241" t="str">
            <v>INE082E01012</v>
          </cell>
          <cell r="D5241" t="str">
            <v>VICTENT</v>
          </cell>
          <cell r="E5241">
            <v>1.1775</v>
          </cell>
          <cell r="F5241" t="str">
            <v>-</v>
          </cell>
          <cell r="G5241" t="str">
            <v>-</v>
          </cell>
          <cell r="H5241" t="str">
            <v>-</v>
          </cell>
          <cell r="I5241" t="str">
            <v>-</v>
          </cell>
          <cell r="J5241">
            <v>1.1775</v>
          </cell>
          <cell r="K5241" t="str">
            <v>Small Cap</v>
          </cell>
        </row>
        <row r="5242">
          <cell r="C5242" t="str">
            <v>INE956N01018</v>
          </cell>
          <cell r="D5242" t="str">
            <v>-</v>
          </cell>
          <cell r="E5242" t="str">
            <v>-</v>
          </cell>
          <cell r="F5242" t="str">
            <v>-</v>
          </cell>
          <cell r="G5242" t="str">
            <v>-</v>
          </cell>
          <cell r="H5242" t="str">
            <v>DENIMDL</v>
          </cell>
          <cell r="I5242">
            <v>1.167557160000001</v>
          </cell>
          <cell r="J5242">
            <v>1.167557160000001</v>
          </cell>
          <cell r="K5242" t="str">
            <v>Small Cap</v>
          </cell>
        </row>
        <row r="5243">
          <cell r="C5243" t="str">
            <v>INE131O01024</v>
          </cell>
          <cell r="D5243" t="str">
            <v>SIGNGCL</v>
          </cell>
          <cell r="E5243">
            <v>1.1572302140000001</v>
          </cell>
          <cell r="F5243" t="str">
            <v>-</v>
          </cell>
          <cell r="G5243" t="str">
            <v>-</v>
          </cell>
          <cell r="H5243" t="str">
            <v>-</v>
          </cell>
          <cell r="I5243" t="str">
            <v>-</v>
          </cell>
          <cell r="J5243">
            <v>1.1572302140000001</v>
          </cell>
          <cell r="K5243" t="str">
            <v>Small Cap</v>
          </cell>
        </row>
        <row r="5244">
          <cell r="C5244" t="str">
            <v>INE691J01019</v>
          </cell>
          <cell r="D5244" t="str">
            <v>HCLTD</v>
          </cell>
          <cell r="E5244">
            <v>1.143</v>
          </cell>
          <cell r="F5244" t="str">
            <v>-</v>
          </cell>
          <cell r="G5244" t="str">
            <v>-</v>
          </cell>
          <cell r="H5244" t="str">
            <v>-</v>
          </cell>
          <cell r="I5244" t="str">
            <v>-</v>
          </cell>
          <cell r="J5244">
            <v>1.143</v>
          </cell>
          <cell r="K5244" t="str">
            <v>Small Cap</v>
          </cell>
        </row>
        <row r="5245">
          <cell r="C5245" t="str">
            <v>INE800K01014</v>
          </cell>
          <cell r="D5245" t="str">
            <v>NEWMKTADV</v>
          </cell>
          <cell r="E5245">
            <v>1.1284000000000001</v>
          </cell>
          <cell r="F5245" t="str">
            <v>-</v>
          </cell>
          <cell r="G5245" t="str">
            <v>-</v>
          </cell>
          <cell r="H5245" t="str">
            <v>-</v>
          </cell>
          <cell r="I5245" t="str">
            <v>-</v>
          </cell>
          <cell r="J5245">
            <v>1.1284000000000001</v>
          </cell>
          <cell r="K5245" t="str">
            <v>Small Cap</v>
          </cell>
        </row>
        <row r="5246">
          <cell r="C5246" t="str">
            <v>INE425H01016</v>
          </cell>
          <cell r="D5246" t="str">
            <v>NIBEORD</v>
          </cell>
          <cell r="E5246">
            <v>1.1237983279999999</v>
          </cell>
          <cell r="F5246" t="str">
            <v>-</v>
          </cell>
          <cell r="G5246" t="str">
            <v>-</v>
          </cell>
          <cell r="H5246" t="str">
            <v>-</v>
          </cell>
          <cell r="I5246" t="str">
            <v>-</v>
          </cell>
          <cell r="J5246">
            <v>1.1237983279999999</v>
          </cell>
          <cell r="K5246" t="str">
            <v>Small Cap</v>
          </cell>
        </row>
        <row r="5247">
          <cell r="C5247" t="str">
            <v>INE999D01019</v>
          </cell>
          <cell r="D5247" t="str">
            <v>-</v>
          </cell>
          <cell r="E5247" t="str">
            <v>-</v>
          </cell>
          <cell r="F5247" t="str">
            <v>-</v>
          </cell>
          <cell r="G5247" t="str">
            <v>-</v>
          </cell>
          <cell r="H5247" t="str">
            <v>NAWRATAN</v>
          </cell>
          <cell r="I5247">
            <v>1.1000000000000003</v>
          </cell>
          <cell r="J5247">
            <v>1.1000000000000003</v>
          </cell>
          <cell r="K5247" t="str">
            <v>Small Cap</v>
          </cell>
        </row>
        <row r="5248">
          <cell r="C5248" t="str">
            <v>INE091N01014</v>
          </cell>
          <cell r="D5248" t="str">
            <v>OLYMTFI</v>
          </cell>
          <cell r="E5248">
            <v>1.0916105570000001</v>
          </cell>
          <cell r="F5248" t="str">
            <v>-</v>
          </cell>
          <cell r="G5248" t="str">
            <v>-</v>
          </cell>
          <cell r="H5248" t="str">
            <v>-</v>
          </cell>
          <cell r="I5248" t="str">
            <v>-</v>
          </cell>
          <cell r="J5248">
            <v>1.0916105570000001</v>
          </cell>
          <cell r="K5248" t="str">
            <v>Small Cap</v>
          </cell>
        </row>
        <row r="5249">
          <cell r="C5249" t="str">
            <v>INE673B01014</v>
          </cell>
          <cell r="D5249" t="str">
            <v>GUJCYPROM</v>
          </cell>
          <cell r="E5249">
            <v>1.08</v>
          </cell>
          <cell r="F5249" t="str">
            <v>-</v>
          </cell>
          <cell r="G5249" t="str">
            <v>-</v>
          </cell>
          <cell r="H5249" t="str">
            <v>-</v>
          </cell>
          <cell r="I5249" t="str">
            <v>-</v>
          </cell>
          <cell r="J5249">
            <v>1.08</v>
          </cell>
          <cell r="K5249" t="str">
            <v>Small Cap</v>
          </cell>
        </row>
        <row r="5250">
          <cell r="C5250" t="str">
            <v>INE844E01015</v>
          </cell>
          <cell r="D5250" t="str">
            <v>-</v>
          </cell>
          <cell r="E5250" t="str">
            <v>-</v>
          </cell>
          <cell r="F5250" t="str">
            <v>-</v>
          </cell>
          <cell r="G5250" t="str">
            <v>-</v>
          </cell>
          <cell r="H5250" t="str">
            <v>SGETL</v>
          </cell>
          <cell r="I5250">
            <v>1.0759999999999967</v>
          </cell>
          <cell r="J5250">
            <v>1.0759999999999967</v>
          </cell>
          <cell r="K5250" t="str">
            <v>Small Cap</v>
          </cell>
        </row>
        <row r="5251">
          <cell r="C5251" t="str">
            <v>INE461Y01016</v>
          </cell>
          <cell r="D5251" t="str">
            <v>INRADIA</v>
          </cell>
          <cell r="E5251">
            <v>1.062307143</v>
          </cell>
          <cell r="F5251" t="str">
            <v>-</v>
          </cell>
          <cell r="G5251" t="str">
            <v>-</v>
          </cell>
          <cell r="H5251" t="str">
            <v>-</v>
          </cell>
          <cell r="I5251" t="str">
            <v>-</v>
          </cell>
          <cell r="J5251">
            <v>1.062307143</v>
          </cell>
          <cell r="K5251" t="str">
            <v>Small Cap</v>
          </cell>
        </row>
        <row r="5252">
          <cell r="C5252" t="str">
            <v>INE149C01013</v>
          </cell>
          <cell r="D5252" t="str">
            <v>INDITALIA</v>
          </cell>
          <cell r="E5252">
            <v>1.0115594999999999</v>
          </cell>
          <cell r="F5252" t="str">
            <v>-</v>
          </cell>
          <cell r="G5252" t="str">
            <v>-</v>
          </cell>
          <cell r="H5252" t="str">
            <v>-</v>
          </cell>
          <cell r="I5252" t="str">
            <v>-</v>
          </cell>
          <cell r="J5252">
            <v>1.0115594999999999</v>
          </cell>
          <cell r="K5252" t="str">
            <v>Small Cap</v>
          </cell>
        </row>
        <row r="5253">
          <cell r="C5253" t="str">
            <v>INE189Q01019</v>
          </cell>
          <cell r="D5253" t="str">
            <v>OASIS</v>
          </cell>
          <cell r="E5253">
            <v>1.0004665119999998</v>
          </cell>
          <cell r="F5253" t="str">
            <v>-</v>
          </cell>
          <cell r="G5253" t="str">
            <v>-</v>
          </cell>
          <cell r="H5253" t="str">
            <v>-</v>
          </cell>
          <cell r="I5253" t="str">
            <v>-</v>
          </cell>
          <cell r="J5253">
            <v>1.0004665119999998</v>
          </cell>
          <cell r="K5253" t="str">
            <v>Small Cap</v>
          </cell>
        </row>
        <row r="5254">
          <cell r="C5254" t="str">
            <v>INE842E01019</v>
          </cell>
          <cell r="D5254" t="str">
            <v>-</v>
          </cell>
          <cell r="E5254" t="str">
            <v>-</v>
          </cell>
          <cell r="F5254" t="str">
            <v>-</v>
          </cell>
          <cell r="G5254" t="str">
            <v>-</v>
          </cell>
          <cell r="H5254" t="str">
            <v>BHAIRAV</v>
          </cell>
          <cell r="I5254">
            <v>1</v>
          </cell>
          <cell r="J5254">
            <v>1</v>
          </cell>
          <cell r="K5254" t="str">
            <v>Small Cap</v>
          </cell>
        </row>
        <row r="5255">
          <cell r="C5255" t="str">
            <v>INE843E01017</v>
          </cell>
          <cell r="D5255" t="str">
            <v>-</v>
          </cell>
          <cell r="E5255" t="str">
            <v>-</v>
          </cell>
          <cell r="F5255" t="str">
            <v>-</v>
          </cell>
          <cell r="G5255" t="str">
            <v>-</v>
          </cell>
          <cell r="H5255" t="str">
            <v>RISHABHENT</v>
          </cell>
          <cell r="I5255">
            <v>1</v>
          </cell>
          <cell r="J5255">
            <v>1</v>
          </cell>
          <cell r="K5255" t="str">
            <v>Small Cap</v>
          </cell>
        </row>
        <row r="5256">
          <cell r="C5256" t="str">
            <v>INE463R01016</v>
          </cell>
          <cell r="D5256" t="str">
            <v>-</v>
          </cell>
          <cell r="E5256" t="str">
            <v>-</v>
          </cell>
          <cell r="F5256" t="str">
            <v>-</v>
          </cell>
          <cell r="G5256" t="str">
            <v>-</v>
          </cell>
          <cell r="H5256" t="str">
            <v>SHREYANS</v>
          </cell>
          <cell r="I5256">
            <v>1</v>
          </cell>
          <cell r="J5256">
            <v>1</v>
          </cell>
          <cell r="K5256" t="str">
            <v>Small Cap</v>
          </cell>
        </row>
        <row r="5257">
          <cell r="C5257" t="str">
            <v>INE830R01016</v>
          </cell>
          <cell r="D5257" t="str">
            <v>-</v>
          </cell>
          <cell r="E5257" t="str">
            <v>-</v>
          </cell>
          <cell r="F5257" t="str">
            <v>-</v>
          </cell>
          <cell r="G5257" t="str">
            <v>-</v>
          </cell>
          <cell r="H5257" t="str">
            <v>SKYWEB</v>
          </cell>
          <cell r="I5257">
            <v>1</v>
          </cell>
          <cell r="J5257">
            <v>1</v>
          </cell>
          <cell r="K5257" t="str">
            <v>Small Cap</v>
          </cell>
        </row>
        <row r="5258">
          <cell r="C5258" t="str">
            <v>INE307I01014</v>
          </cell>
          <cell r="D5258" t="str">
            <v>-</v>
          </cell>
          <cell r="E5258" t="str">
            <v>-</v>
          </cell>
          <cell r="F5258" t="str">
            <v>-</v>
          </cell>
          <cell r="G5258" t="str">
            <v>-</v>
          </cell>
          <cell r="H5258" t="str">
            <v>DHAVAL</v>
          </cell>
          <cell r="I5258">
            <v>0.995999999999998</v>
          </cell>
          <cell r="J5258">
            <v>0.995999999999998</v>
          </cell>
          <cell r="K5258" t="str">
            <v>Small Cap</v>
          </cell>
        </row>
        <row r="5259">
          <cell r="C5259" t="str">
            <v>INE823E01035</v>
          </cell>
          <cell r="D5259" t="str">
            <v>SAPANCHEM</v>
          </cell>
          <cell r="E5259">
            <v>0.99199999999999999</v>
          </cell>
          <cell r="F5259" t="str">
            <v>-</v>
          </cell>
          <cell r="G5259" t="str">
            <v>-</v>
          </cell>
          <cell r="H5259" t="str">
            <v>-</v>
          </cell>
          <cell r="I5259" t="str">
            <v>-</v>
          </cell>
          <cell r="J5259">
            <v>0.99199999999999999</v>
          </cell>
          <cell r="K5259" t="str">
            <v>Small Cap</v>
          </cell>
        </row>
        <row r="5260">
          <cell r="C5260" t="str">
            <v>INE496D01016</v>
          </cell>
          <cell r="D5260" t="str">
            <v>COSBOARD</v>
          </cell>
          <cell r="E5260">
            <v>0.98757399999999995</v>
          </cell>
          <cell r="F5260" t="str">
            <v>-</v>
          </cell>
          <cell r="G5260" t="str">
            <v>-</v>
          </cell>
          <cell r="H5260" t="str">
            <v>-</v>
          </cell>
          <cell r="I5260" t="str">
            <v>-</v>
          </cell>
          <cell r="J5260">
            <v>0.98757399999999995</v>
          </cell>
          <cell r="K5260" t="str">
            <v>Small Cap</v>
          </cell>
        </row>
        <row r="5261">
          <cell r="C5261" t="str">
            <v>INE212Q01019</v>
          </cell>
          <cell r="D5261" t="str">
            <v>PBFL</v>
          </cell>
          <cell r="E5261">
            <v>0.98039849999999995</v>
          </cell>
          <cell r="F5261" t="str">
            <v>-</v>
          </cell>
          <cell r="G5261" t="str">
            <v>-</v>
          </cell>
          <cell r="H5261" t="str">
            <v>-</v>
          </cell>
          <cell r="I5261" t="str">
            <v>-</v>
          </cell>
          <cell r="J5261">
            <v>0.98039849999999995</v>
          </cell>
          <cell r="K5261" t="str">
            <v>Small Cap</v>
          </cell>
        </row>
        <row r="5262">
          <cell r="C5262" t="str">
            <v>INE02C301011</v>
          </cell>
          <cell r="D5262" t="str">
            <v>SHAHCON</v>
          </cell>
          <cell r="E5262">
            <v>0.97943250000000004</v>
          </cell>
          <cell r="F5262" t="str">
            <v>-</v>
          </cell>
          <cell r="G5262" t="str">
            <v>-</v>
          </cell>
          <cell r="H5262" t="str">
            <v>-</v>
          </cell>
          <cell r="I5262" t="str">
            <v>-</v>
          </cell>
          <cell r="J5262">
            <v>0.97943250000000004</v>
          </cell>
          <cell r="K5262" t="str">
            <v>Small Cap</v>
          </cell>
        </row>
        <row r="5263">
          <cell r="C5263" t="str">
            <v>INE458T01012</v>
          </cell>
          <cell r="D5263" t="str">
            <v>-</v>
          </cell>
          <cell r="E5263" t="str">
            <v>-</v>
          </cell>
          <cell r="F5263" t="str">
            <v>-</v>
          </cell>
          <cell r="G5263" t="str">
            <v>-</v>
          </cell>
          <cell r="H5263" t="str">
            <v>DDVENTURES</v>
          </cell>
          <cell r="I5263">
            <v>0.94594999999999918</v>
          </cell>
          <cell r="J5263">
            <v>0.94594999999999918</v>
          </cell>
          <cell r="K5263" t="str">
            <v>Small Cap</v>
          </cell>
        </row>
        <row r="5264">
          <cell r="C5264" t="str">
            <v>INE776E01027</v>
          </cell>
          <cell r="D5264" t="str">
            <v>BIRLACAP</v>
          </cell>
          <cell r="E5264">
            <v>0.93831264000000003</v>
          </cell>
          <cell r="F5264" t="str">
            <v>-</v>
          </cell>
          <cell r="G5264" t="str">
            <v>-</v>
          </cell>
          <cell r="H5264" t="str">
            <v>-</v>
          </cell>
          <cell r="I5264" t="str">
            <v>-</v>
          </cell>
          <cell r="J5264">
            <v>0.93831264000000003</v>
          </cell>
          <cell r="K5264" t="str">
            <v>Small Cap</v>
          </cell>
        </row>
        <row r="5265">
          <cell r="C5265" t="str">
            <v>INE497M01015</v>
          </cell>
          <cell r="D5265" t="str">
            <v>ZSPEEDCO</v>
          </cell>
          <cell r="E5265">
            <v>0.93100000000000005</v>
          </cell>
          <cell r="F5265" t="str">
            <v>-</v>
          </cell>
          <cell r="G5265" t="str">
            <v>-</v>
          </cell>
          <cell r="H5265" t="str">
            <v>-</v>
          </cell>
          <cell r="I5265" t="str">
            <v>-</v>
          </cell>
          <cell r="J5265">
            <v>0.93100000000000005</v>
          </cell>
          <cell r="K5265" t="str">
            <v>Small Cap</v>
          </cell>
        </row>
        <row r="5266">
          <cell r="C5266" t="str">
            <v>INE598F01014</v>
          </cell>
          <cell r="D5266" t="str">
            <v>ZGOLDINV</v>
          </cell>
          <cell r="E5266">
            <v>0.91284849499999987</v>
          </cell>
          <cell r="F5266" t="str">
            <v>-</v>
          </cell>
          <cell r="G5266" t="str">
            <v>-</v>
          </cell>
          <cell r="H5266" t="str">
            <v>-</v>
          </cell>
          <cell r="I5266" t="str">
            <v>-</v>
          </cell>
          <cell r="J5266">
            <v>0.91284849499999987</v>
          </cell>
          <cell r="K5266" t="str">
            <v>Small Cap</v>
          </cell>
        </row>
        <row r="5267">
          <cell r="C5267" t="str">
            <v>INE004I01017</v>
          </cell>
          <cell r="D5267" t="str">
            <v>ABHISHEK</v>
          </cell>
          <cell r="E5267">
            <v>0.91248233400000001</v>
          </cell>
          <cell r="F5267" t="str">
            <v>-</v>
          </cell>
          <cell r="G5267" t="str">
            <v>-</v>
          </cell>
          <cell r="H5267" t="str">
            <v>-</v>
          </cell>
          <cell r="I5267" t="str">
            <v>-</v>
          </cell>
          <cell r="J5267">
            <v>0.91248233400000001</v>
          </cell>
          <cell r="K5267" t="str">
            <v>Small Cap</v>
          </cell>
        </row>
        <row r="5268">
          <cell r="C5268" t="str">
            <v>INE01OY01018</v>
          </cell>
          <cell r="D5268" t="str">
            <v>ASIANFR</v>
          </cell>
          <cell r="E5268">
            <v>0.90849999999999997</v>
          </cell>
          <cell r="F5268" t="str">
            <v>-</v>
          </cell>
          <cell r="G5268" t="str">
            <v>-</v>
          </cell>
          <cell r="H5268" t="str">
            <v>-</v>
          </cell>
          <cell r="I5268" t="str">
            <v>-</v>
          </cell>
          <cell r="J5268">
            <v>0.90849999999999997</v>
          </cell>
          <cell r="K5268" t="str">
            <v>Small Cap</v>
          </cell>
        </row>
        <row r="5269">
          <cell r="C5269" t="str">
            <v>INE947R01018</v>
          </cell>
          <cell r="D5269" t="str">
            <v>-</v>
          </cell>
          <cell r="E5269" t="str">
            <v>-</v>
          </cell>
          <cell r="F5269" t="str">
            <v>-</v>
          </cell>
          <cell r="G5269" t="str">
            <v>-</v>
          </cell>
          <cell r="H5269" t="str">
            <v>ASSOFIN</v>
          </cell>
          <cell r="I5269">
            <v>0.90532799999999825</v>
          </cell>
          <cell r="J5269">
            <v>0.90532799999999825</v>
          </cell>
          <cell r="K5269" t="str">
            <v>Small Cap</v>
          </cell>
        </row>
        <row r="5270">
          <cell r="C5270" t="str">
            <v>INE465E01019</v>
          </cell>
          <cell r="D5270" t="str">
            <v>-</v>
          </cell>
          <cell r="E5270" t="str">
            <v>-</v>
          </cell>
          <cell r="F5270" t="str">
            <v>-</v>
          </cell>
          <cell r="G5270" t="str">
            <v>-</v>
          </cell>
          <cell r="H5270" t="str">
            <v>WINMORE</v>
          </cell>
          <cell r="I5270">
            <v>0.89903250000000112</v>
          </cell>
          <cell r="J5270">
            <v>0.89903250000000112</v>
          </cell>
          <cell r="K5270" t="str">
            <v>Small Cap</v>
          </cell>
        </row>
        <row r="5271">
          <cell r="C5271" t="str">
            <v>INE099C01010</v>
          </cell>
          <cell r="D5271" t="str">
            <v>BHAGGAS</v>
          </cell>
          <cell r="E5271">
            <v>0.88733479800000004</v>
          </cell>
          <cell r="F5271" t="str">
            <v>-</v>
          </cell>
          <cell r="G5271" t="str">
            <v>-</v>
          </cell>
          <cell r="H5271" t="str">
            <v>-</v>
          </cell>
          <cell r="I5271" t="str">
            <v>-</v>
          </cell>
          <cell r="J5271">
            <v>0.88733479800000004</v>
          </cell>
          <cell r="K5271" t="str">
            <v>Small Cap</v>
          </cell>
        </row>
        <row r="5272">
          <cell r="C5272" t="str">
            <v>INE776R01011</v>
          </cell>
          <cell r="D5272" t="str">
            <v>FRONTFN</v>
          </cell>
          <cell r="E5272">
            <v>0.88516499999999998</v>
          </cell>
          <cell r="F5272" t="str">
            <v>-</v>
          </cell>
          <cell r="G5272" t="str">
            <v>-</v>
          </cell>
          <cell r="H5272" t="str">
            <v>-</v>
          </cell>
          <cell r="I5272" t="str">
            <v>-</v>
          </cell>
          <cell r="J5272">
            <v>0.88516499999999998</v>
          </cell>
          <cell r="K5272" t="str">
            <v>Small Cap</v>
          </cell>
        </row>
        <row r="5273">
          <cell r="C5273" t="str">
            <v>INE760D01015</v>
          </cell>
          <cell r="D5273" t="str">
            <v>UNIIN</v>
          </cell>
          <cell r="E5273">
            <v>0.84799999999999998</v>
          </cell>
          <cell r="F5273" t="str">
            <v>-</v>
          </cell>
          <cell r="G5273" t="str">
            <v>-</v>
          </cell>
          <cell r="H5273" t="str">
            <v>-</v>
          </cell>
          <cell r="I5273" t="str">
            <v>-</v>
          </cell>
          <cell r="J5273">
            <v>0.84799999999999998</v>
          </cell>
          <cell r="K5273" t="str">
            <v>Small Cap</v>
          </cell>
        </row>
        <row r="5274">
          <cell r="C5274" t="str">
            <v>INE183H01011</v>
          </cell>
          <cell r="D5274" t="str">
            <v>XLENERGY</v>
          </cell>
          <cell r="E5274">
            <v>0.84265268900000001</v>
          </cell>
          <cell r="F5274" t="str">
            <v>-</v>
          </cell>
          <cell r="G5274" t="str">
            <v>-</v>
          </cell>
          <cell r="H5274" t="str">
            <v>-</v>
          </cell>
          <cell r="I5274" t="str">
            <v>-</v>
          </cell>
          <cell r="J5274">
            <v>0.84265268900000001</v>
          </cell>
          <cell r="K5274" t="str">
            <v>Small Cap</v>
          </cell>
        </row>
        <row r="5275">
          <cell r="C5275" t="str">
            <v>INE048E01013</v>
          </cell>
          <cell r="D5275" t="str">
            <v>WARDHEALTH</v>
          </cell>
          <cell r="E5275">
            <v>0.84191527799999988</v>
          </cell>
          <cell r="F5275" t="str">
            <v>-</v>
          </cell>
          <cell r="G5275" t="str">
            <v>-</v>
          </cell>
          <cell r="H5275" t="str">
            <v>-</v>
          </cell>
          <cell r="I5275" t="str">
            <v>-</v>
          </cell>
          <cell r="J5275">
            <v>0.84191527799999988</v>
          </cell>
          <cell r="K5275" t="str">
            <v>Small Cap</v>
          </cell>
        </row>
        <row r="5276">
          <cell r="C5276" t="str">
            <v>INE800E01017</v>
          </cell>
          <cell r="D5276" t="str">
            <v>-</v>
          </cell>
          <cell r="E5276" t="str">
            <v>-</v>
          </cell>
          <cell r="F5276" t="str">
            <v>-</v>
          </cell>
          <cell r="G5276" t="str">
            <v>-</v>
          </cell>
          <cell r="H5276" t="str">
            <v>NKTEXTILE</v>
          </cell>
          <cell r="I5276">
            <v>0.83983200000000102</v>
          </cell>
          <cell r="J5276">
            <v>0.83983200000000102</v>
          </cell>
          <cell r="K5276" t="str">
            <v>Small Cap</v>
          </cell>
        </row>
        <row r="5277">
          <cell r="C5277" t="str">
            <v>INE948R01016</v>
          </cell>
          <cell r="D5277" t="str">
            <v>-</v>
          </cell>
          <cell r="E5277" t="str">
            <v>-</v>
          </cell>
          <cell r="F5277" t="str">
            <v>-</v>
          </cell>
          <cell r="G5277" t="str">
            <v>-</v>
          </cell>
          <cell r="H5277" t="str">
            <v>NEWAGE</v>
          </cell>
          <cell r="I5277">
            <v>0.8358309999999991</v>
          </cell>
          <cell r="J5277">
            <v>0.8358309999999991</v>
          </cell>
          <cell r="K5277" t="str">
            <v>Small Cap</v>
          </cell>
        </row>
        <row r="5278">
          <cell r="C5278" t="str">
            <v>INE436U01016</v>
          </cell>
          <cell r="D5278" t="str">
            <v>TWIROST</v>
          </cell>
          <cell r="E5278">
            <v>0.82208000000000003</v>
          </cell>
          <cell r="F5278" t="str">
            <v>-</v>
          </cell>
          <cell r="G5278" t="str">
            <v>-</v>
          </cell>
          <cell r="H5278" t="str">
            <v>-</v>
          </cell>
          <cell r="I5278" t="str">
            <v>-</v>
          </cell>
          <cell r="J5278">
            <v>0.82208000000000003</v>
          </cell>
          <cell r="K5278" t="str">
            <v>Small Cap</v>
          </cell>
        </row>
        <row r="5279">
          <cell r="C5279" t="str">
            <v>INE310W01019</v>
          </cell>
          <cell r="D5279" t="str">
            <v>-</v>
          </cell>
          <cell r="E5279" t="str">
            <v>-</v>
          </cell>
          <cell r="F5279" t="str">
            <v>-</v>
          </cell>
          <cell r="G5279" t="str">
            <v>-</v>
          </cell>
          <cell r="H5279" t="str">
            <v>MOLIND</v>
          </cell>
          <cell r="I5279">
            <v>0.81119999999999959</v>
          </cell>
          <cell r="J5279">
            <v>0.81119999999999959</v>
          </cell>
          <cell r="K5279" t="str">
            <v>Small Cap</v>
          </cell>
        </row>
        <row r="5280">
          <cell r="C5280" t="str">
            <v>INE803A01027</v>
          </cell>
          <cell r="D5280" t="str">
            <v>ATNINTER</v>
          </cell>
          <cell r="E5280">
            <v>0.74955000000000005</v>
          </cell>
          <cell r="F5280" t="str">
            <v>-</v>
          </cell>
          <cell r="G5280" t="str">
            <v>-</v>
          </cell>
          <cell r="H5280" t="str">
            <v>-</v>
          </cell>
          <cell r="I5280" t="str">
            <v>-</v>
          </cell>
          <cell r="J5280">
            <v>0.74955000000000005</v>
          </cell>
          <cell r="K5280" t="str">
            <v>Small Cap</v>
          </cell>
        </row>
        <row r="5281">
          <cell r="C5281" t="str">
            <v>INE793E01014</v>
          </cell>
          <cell r="D5281" t="str">
            <v>KILBURN</v>
          </cell>
          <cell r="E5281">
            <v>0.74251100000000003</v>
          </cell>
          <cell r="F5281" t="str">
            <v>-</v>
          </cell>
          <cell r="G5281" t="str">
            <v>-</v>
          </cell>
          <cell r="H5281" t="str">
            <v>-</v>
          </cell>
          <cell r="I5281" t="str">
            <v>-</v>
          </cell>
          <cell r="J5281">
            <v>0.74251100000000003</v>
          </cell>
          <cell r="K5281" t="str">
            <v>Small Cap</v>
          </cell>
        </row>
        <row r="5282">
          <cell r="C5282" t="str">
            <v>INE790U01016</v>
          </cell>
          <cell r="D5282" t="str">
            <v>-</v>
          </cell>
          <cell r="E5282" t="str">
            <v>-</v>
          </cell>
          <cell r="F5282" t="str">
            <v>-</v>
          </cell>
          <cell r="G5282" t="str">
            <v>-</v>
          </cell>
          <cell r="H5282" t="str">
            <v>ATLANTIC</v>
          </cell>
          <cell r="I5282">
            <v>0.73499999999999954</v>
          </cell>
          <cell r="J5282">
            <v>0.73499999999999954</v>
          </cell>
          <cell r="K5282" t="str">
            <v>Small Cap</v>
          </cell>
        </row>
        <row r="5283">
          <cell r="C5283" t="str">
            <v>INE523D01017</v>
          </cell>
          <cell r="D5283" t="str">
            <v>MASCH</v>
          </cell>
          <cell r="E5283">
            <v>0.73440888900000001</v>
          </cell>
          <cell r="F5283" t="str">
            <v>-</v>
          </cell>
          <cell r="G5283" t="str">
            <v>-</v>
          </cell>
          <cell r="H5283" t="str">
            <v>-</v>
          </cell>
          <cell r="I5283" t="str">
            <v>-</v>
          </cell>
          <cell r="J5283">
            <v>0.73440888900000001</v>
          </cell>
          <cell r="K5283" t="str">
            <v>Small Cap</v>
          </cell>
        </row>
        <row r="5284">
          <cell r="C5284" t="str">
            <v>INE670F01011</v>
          </cell>
          <cell r="D5284" t="str">
            <v>UNIONBE</v>
          </cell>
          <cell r="E5284">
            <v>0.73</v>
          </cell>
          <cell r="F5284" t="str">
            <v>-</v>
          </cell>
          <cell r="G5284" t="str">
            <v>-</v>
          </cell>
          <cell r="H5284" t="str">
            <v>-</v>
          </cell>
          <cell r="I5284" t="str">
            <v>-</v>
          </cell>
          <cell r="J5284">
            <v>0.73</v>
          </cell>
          <cell r="K5284" t="str">
            <v>Small Cap</v>
          </cell>
        </row>
        <row r="5285">
          <cell r="C5285" t="str">
            <v>INE228C01015</v>
          </cell>
          <cell r="D5285" t="str">
            <v>NACHKNIT</v>
          </cell>
          <cell r="E5285">
            <v>0.67631728499999999</v>
          </cell>
          <cell r="F5285" t="str">
            <v>-</v>
          </cell>
          <cell r="G5285" t="str">
            <v>-</v>
          </cell>
          <cell r="H5285" t="str">
            <v>-</v>
          </cell>
          <cell r="I5285" t="str">
            <v>-</v>
          </cell>
          <cell r="J5285">
            <v>0.67631728499999999</v>
          </cell>
          <cell r="K5285" t="str">
            <v>Small Cap</v>
          </cell>
        </row>
        <row r="5286">
          <cell r="C5286" t="str">
            <v>INE07MC01015</v>
          </cell>
          <cell r="D5286" t="str">
            <v>ZSATYASL</v>
          </cell>
          <cell r="E5286">
            <v>0.644235</v>
          </cell>
          <cell r="F5286" t="str">
            <v>-</v>
          </cell>
          <cell r="G5286" t="str">
            <v>-</v>
          </cell>
          <cell r="H5286" t="str">
            <v>-</v>
          </cell>
          <cell r="I5286" t="str">
            <v>-</v>
          </cell>
          <cell r="J5286">
            <v>0.644235</v>
          </cell>
          <cell r="K5286" t="str">
            <v>Small Cap</v>
          </cell>
        </row>
        <row r="5287">
          <cell r="C5287" t="str">
            <v>INE786D01036</v>
          </cell>
          <cell r="D5287" t="str">
            <v>BAFEG</v>
          </cell>
          <cell r="E5287">
            <v>0.64</v>
          </cell>
          <cell r="F5287" t="str">
            <v>-</v>
          </cell>
          <cell r="G5287" t="str">
            <v>-</v>
          </cell>
          <cell r="H5287" t="str">
            <v>-</v>
          </cell>
          <cell r="I5287" t="str">
            <v>-</v>
          </cell>
          <cell r="J5287">
            <v>0.64</v>
          </cell>
          <cell r="K5287" t="str">
            <v>Small Cap</v>
          </cell>
        </row>
        <row r="5288">
          <cell r="C5288" t="str">
            <v>INE768B01012</v>
          </cell>
          <cell r="D5288" t="str">
            <v>NCCFIN</v>
          </cell>
          <cell r="E5288">
            <v>0.63269744999999999</v>
          </cell>
          <cell r="F5288" t="str">
            <v>-</v>
          </cell>
          <cell r="G5288" t="str">
            <v>-</v>
          </cell>
          <cell r="H5288" t="str">
            <v>-</v>
          </cell>
          <cell r="I5288" t="str">
            <v>-</v>
          </cell>
          <cell r="J5288">
            <v>0.63269744999999999</v>
          </cell>
          <cell r="K5288" t="str">
            <v>Small Cap</v>
          </cell>
        </row>
        <row r="5289">
          <cell r="C5289" t="str">
            <v>INE073I01012</v>
          </cell>
          <cell r="D5289" t="str">
            <v>ISHWATR</v>
          </cell>
          <cell r="E5289">
            <v>0.62835428599999998</v>
          </cell>
          <cell r="F5289" t="str">
            <v>-</v>
          </cell>
          <cell r="G5289" t="str">
            <v>-</v>
          </cell>
          <cell r="H5289" t="str">
            <v>-</v>
          </cell>
          <cell r="I5289" t="str">
            <v>-</v>
          </cell>
          <cell r="J5289">
            <v>0.62835428599999998</v>
          </cell>
          <cell r="K5289" t="str">
            <v>Small Cap</v>
          </cell>
        </row>
        <row r="5290">
          <cell r="C5290" t="str">
            <v>INE262V01014</v>
          </cell>
          <cell r="D5290" t="str">
            <v>-</v>
          </cell>
          <cell r="E5290" t="str">
            <v>-</v>
          </cell>
          <cell r="F5290" t="str">
            <v>-</v>
          </cell>
          <cell r="G5290" t="str">
            <v>-</v>
          </cell>
          <cell r="H5290" t="str">
            <v>CASTLE</v>
          </cell>
          <cell r="I5290">
            <v>0.62107500000000004</v>
          </cell>
          <cell r="J5290">
            <v>0.62107500000000004</v>
          </cell>
          <cell r="K5290" t="str">
            <v>Small Cap</v>
          </cell>
        </row>
        <row r="5291">
          <cell r="C5291" t="str">
            <v>INE747V01014</v>
          </cell>
          <cell r="D5291" t="str">
            <v>TVOLCON</v>
          </cell>
          <cell r="E5291">
            <v>0.6</v>
          </cell>
          <cell r="F5291" t="str">
            <v>-</v>
          </cell>
          <cell r="G5291" t="str">
            <v>-</v>
          </cell>
          <cell r="H5291" t="str">
            <v>-</v>
          </cell>
          <cell r="I5291" t="str">
            <v>-</v>
          </cell>
          <cell r="J5291">
            <v>0.6</v>
          </cell>
          <cell r="K5291" t="str">
            <v>Small Cap</v>
          </cell>
        </row>
        <row r="5292">
          <cell r="C5292" t="str">
            <v>INE738D01029</v>
          </cell>
          <cell r="D5292" t="str">
            <v>MRUTR</v>
          </cell>
          <cell r="E5292">
            <v>0.58356666700000004</v>
          </cell>
          <cell r="F5292" t="str">
            <v>-</v>
          </cell>
          <cell r="G5292" t="str">
            <v>-</v>
          </cell>
          <cell r="H5292" t="str">
            <v>-</v>
          </cell>
          <cell r="I5292" t="str">
            <v>-</v>
          </cell>
          <cell r="J5292">
            <v>0.58356666700000004</v>
          </cell>
          <cell r="K5292" t="str">
            <v>Small Cap</v>
          </cell>
        </row>
        <row r="5293">
          <cell r="C5293" t="str">
            <v>INE924T01013</v>
          </cell>
          <cell r="D5293" t="str">
            <v>MAHSHRE</v>
          </cell>
          <cell r="E5293">
            <v>0.58079999999999998</v>
          </cell>
          <cell r="F5293" t="str">
            <v>-</v>
          </cell>
          <cell r="G5293" t="str">
            <v>-</v>
          </cell>
          <cell r="H5293" t="str">
            <v>-</v>
          </cell>
          <cell r="I5293" t="str">
            <v>-</v>
          </cell>
          <cell r="J5293">
            <v>0.58079999999999998</v>
          </cell>
          <cell r="K5293" t="str">
            <v>Small Cap</v>
          </cell>
        </row>
        <row r="5294">
          <cell r="C5294" t="str">
            <v>INE07I701011</v>
          </cell>
          <cell r="D5294" t="str">
            <v>ALNATRD</v>
          </cell>
          <cell r="E5294">
            <v>0.57899999999999996</v>
          </cell>
          <cell r="F5294" t="str">
            <v>-</v>
          </cell>
          <cell r="G5294" t="str">
            <v>-</v>
          </cell>
          <cell r="H5294" t="str">
            <v>-</v>
          </cell>
          <cell r="I5294" t="str">
            <v>-</v>
          </cell>
          <cell r="J5294">
            <v>0.57899999999999996</v>
          </cell>
          <cell r="K5294" t="str">
            <v>Small Cap</v>
          </cell>
        </row>
        <row r="5295">
          <cell r="C5295" t="str">
            <v>INE776V01013</v>
          </cell>
          <cell r="D5295" t="str">
            <v>ZMANSOON</v>
          </cell>
          <cell r="E5295">
            <v>0.5635</v>
          </cell>
          <cell r="F5295" t="str">
            <v>-</v>
          </cell>
          <cell r="G5295" t="str">
            <v>-</v>
          </cell>
          <cell r="H5295" t="str">
            <v>-</v>
          </cell>
          <cell r="I5295" t="str">
            <v>-</v>
          </cell>
          <cell r="J5295">
            <v>0.5635</v>
          </cell>
          <cell r="K5295" t="str">
            <v>Small Cap</v>
          </cell>
        </row>
        <row r="5296">
          <cell r="C5296" t="str">
            <v>INE508W01018</v>
          </cell>
          <cell r="D5296" t="str">
            <v>ASUTENT</v>
          </cell>
          <cell r="E5296">
            <v>0.56025000000000003</v>
          </cell>
          <cell r="F5296" t="str">
            <v>-</v>
          </cell>
          <cell r="G5296" t="str">
            <v>-</v>
          </cell>
          <cell r="H5296" t="str">
            <v>-</v>
          </cell>
          <cell r="I5296" t="str">
            <v>-</v>
          </cell>
          <cell r="J5296">
            <v>0.56025000000000003</v>
          </cell>
          <cell r="K5296" t="str">
            <v>Small Cap</v>
          </cell>
        </row>
        <row r="5297">
          <cell r="C5297" t="str">
            <v>INE557E01013</v>
          </cell>
          <cell r="D5297" t="str">
            <v>-</v>
          </cell>
          <cell r="E5297" t="str">
            <v>-</v>
          </cell>
          <cell r="F5297" t="str">
            <v>-</v>
          </cell>
          <cell r="G5297" t="str">
            <v>-</v>
          </cell>
          <cell r="H5297" t="str">
            <v>PRIYAINT</v>
          </cell>
          <cell r="I5297">
            <v>0.54780000000000051</v>
          </cell>
          <cell r="J5297">
            <v>0.54780000000000051</v>
          </cell>
          <cell r="K5297" t="str">
            <v>Small Cap</v>
          </cell>
        </row>
        <row r="5298">
          <cell r="C5298" t="str">
            <v>INE664N01018</v>
          </cell>
          <cell r="D5298" t="str">
            <v>MAGANTR</v>
          </cell>
          <cell r="E5298">
            <v>0.53662795199999991</v>
          </cell>
          <cell r="F5298" t="str">
            <v>-</v>
          </cell>
          <cell r="G5298" t="str">
            <v>-</v>
          </cell>
          <cell r="H5298" t="str">
            <v>-</v>
          </cell>
          <cell r="I5298" t="str">
            <v>-</v>
          </cell>
          <cell r="J5298">
            <v>0.53662795199999991</v>
          </cell>
          <cell r="K5298" t="str">
            <v>Small Cap</v>
          </cell>
        </row>
        <row r="5299">
          <cell r="C5299" t="str">
            <v>INE530F01017</v>
          </cell>
          <cell r="D5299" t="str">
            <v>-</v>
          </cell>
          <cell r="E5299" t="str">
            <v>-</v>
          </cell>
          <cell r="F5299" t="str">
            <v>-</v>
          </cell>
          <cell r="G5299" t="str">
            <v>-</v>
          </cell>
          <cell r="H5299" t="str">
            <v>SUPREMECOM</v>
          </cell>
          <cell r="I5299">
            <v>0.53574900000000081</v>
          </cell>
          <cell r="J5299">
            <v>0.53574900000000081</v>
          </cell>
          <cell r="K5299" t="str">
            <v>Small Cap</v>
          </cell>
        </row>
        <row r="5300">
          <cell r="C5300" t="str">
            <v>INE847M01011</v>
          </cell>
          <cell r="D5300" t="str">
            <v>JATALIA</v>
          </cell>
          <cell r="E5300">
            <v>0.52991795999999991</v>
          </cell>
          <cell r="F5300" t="str">
            <v>-</v>
          </cell>
          <cell r="G5300" t="str">
            <v>-</v>
          </cell>
          <cell r="H5300" t="str">
            <v>-</v>
          </cell>
          <cell r="I5300" t="str">
            <v>-</v>
          </cell>
          <cell r="J5300">
            <v>0.52991795999999991</v>
          </cell>
          <cell r="K5300" t="str">
            <v>Small Cap</v>
          </cell>
        </row>
        <row r="5301">
          <cell r="C5301" t="str">
            <v>INE343T01016</v>
          </cell>
          <cell r="D5301" t="str">
            <v>-</v>
          </cell>
          <cell r="E5301" t="str">
            <v>-</v>
          </cell>
          <cell r="F5301" t="str">
            <v>-</v>
          </cell>
          <cell r="G5301" t="str">
            <v>-</v>
          </cell>
          <cell r="H5301" t="str">
            <v>MORNMEDIA</v>
          </cell>
          <cell r="I5301">
            <v>0.5</v>
          </cell>
          <cell r="J5301">
            <v>0.5</v>
          </cell>
          <cell r="K5301" t="str">
            <v>Small Cap</v>
          </cell>
        </row>
        <row r="5302">
          <cell r="C5302" t="str">
            <v>INE07LK01010</v>
          </cell>
          <cell r="D5302" t="str">
            <v>RIDHISYN</v>
          </cell>
          <cell r="E5302">
            <v>0.49402200000000002</v>
          </cell>
          <cell r="F5302" t="str">
            <v>-</v>
          </cell>
          <cell r="G5302" t="str">
            <v>-</v>
          </cell>
          <cell r="H5302" t="str">
            <v>-</v>
          </cell>
          <cell r="I5302" t="str">
            <v>-</v>
          </cell>
          <cell r="J5302">
            <v>0.49402200000000002</v>
          </cell>
          <cell r="K5302" t="str">
            <v>Small Cap</v>
          </cell>
        </row>
        <row r="5303">
          <cell r="C5303" t="str">
            <v>INE353T01015</v>
          </cell>
          <cell r="D5303" t="str">
            <v>-</v>
          </cell>
          <cell r="E5303" t="str">
            <v>-</v>
          </cell>
          <cell r="F5303" t="str">
            <v>-</v>
          </cell>
          <cell r="G5303" t="str">
            <v>-</v>
          </cell>
          <cell r="H5303" t="str">
            <v>JOML</v>
          </cell>
          <cell r="I5303">
            <v>0.48378000000000115</v>
          </cell>
          <cell r="J5303">
            <v>0.48378000000000115</v>
          </cell>
          <cell r="K5303" t="str">
            <v>Small Cap</v>
          </cell>
        </row>
        <row r="5304">
          <cell r="C5304" t="str">
            <v>INE680C01025</v>
          </cell>
          <cell r="D5304" t="str">
            <v>KENGI</v>
          </cell>
          <cell r="E5304">
            <v>0.47576249999999998</v>
          </cell>
          <cell r="F5304" t="str">
            <v>-</v>
          </cell>
          <cell r="G5304" t="str">
            <v>-</v>
          </cell>
          <cell r="H5304" t="str">
            <v>-</v>
          </cell>
          <cell r="I5304" t="str">
            <v>-</v>
          </cell>
          <cell r="J5304">
            <v>0.47576249999999998</v>
          </cell>
          <cell r="K5304" t="str">
            <v>Small Cap</v>
          </cell>
        </row>
        <row r="5305">
          <cell r="C5305" t="str">
            <v>INE956V01011</v>
          </cell>
          <cell r="D5305" t="str">
            <v>KAJALSY</v>
          </cell>
          <cell r="E5305">
            <v>0.45816000000000001</v>
          </cell>
          <cell r="F5305" t="str">
            <v>-</v>
          </cell>
          <cell r="G5305" t="str">
            <v>-</v>
          </cell>
          <cell r="H5305" t="str">
            <v>-</v>
          </cell>
          <cell r="I5305" t="str">
            <v>-</v>
          </cell>
          <cell r="J5305">
            <v>0.45816000000000001</v>
          </cell>
          <cell r="K5305" t="str">
            <v>Small Cap</v>
          </cell>
        </row>
        <row r="5306">
          <cell r="C5306" t="str">
            <v>INE101L01031</v>
          </cell>
          <cell r="D5306" t="str">
            <v>SAFALSEC</v>
          </cell>
          <cell r="E5306">
            <v>0.4550091</v>
          </cell>
          <cell r="F5306" t="str">
            <v>-</v>
          </cell>
          <cell r="G5306" t="str">
            <v>-</v>
          </cell>
          <cell r="H5306" t="str">
            <v>-</v>
          </cell>
          <cell r="I5306" t="str">
            <v>-</v>
          </cell>
          <cell r="J5306">
            <v>0.4550091</v>
          </cell>
          <cell r="K5306" t="str">
            <v>Small Cap</v>
          </cell>
        </row>
        <row r="5307">
          <cell r="C5307" t="str">
            <v>INE07LH01016</v>
          </cell>
          <cell r="D5307" t="str">
            <v>DEVITRD</v>
          </cell>
          <cell r="E5307">
            <v>0.43</v>
          </cell>
          <cell r="F5307" t="str">
            <v>-</v>
          </cell>
          <cell r="G5307" t="str">
            <v>-</v>
          </cell>
          <cell r="H5307" t="str">
            <v>-</v>
          </cell>
          <cell r="I5307" t="str">
            <v>-</v>
          </cell>
          <cell r="J5307">
            <v>0.43</v>
          </cell>
          <cell r="K5307" t="str">
            <v>Small Cap</v>
          </cell>
        </row>
        <row r="5308">
          <cell r="C5308" t="str">
            <v>INE331E01013</v>
          </cell>
          <cell r="D5308" t="str">
            <v>TRIPR</v>
          </cell>
          <cell r="E5308">
            <v>0.42630000000000001</v>
          </cell>
          <cell r="F5308" t="str">
            <v>-</v>
          </cell>
          <cell r="G5308" t="str">
            <v>-</v>
          </cell>
          <cell r="H5308" t="str">
            <v>-</v>
          </cell>
          <cell r="I5308" t="str">
            <v>-</v>
          </cell>
          <cell r="J5308">
            <v>0.42630000000000001</v>
          </cell>
          <cell r="K5308" t="str">
            <v>Small Cap</v>
          </cell>
        </row>
        <row r="5309">
          <cell r="C5309" t="str">
            <v>INE898O01010</v>
          </cell>
          <cell r="D5309" t="str">
            <v>PURITY</v>
          </cell>
          <cell r="E5309">
            <v>0.42495786699999999</v>
          </cell>
          <cell r="F5309" t="str">
            <v>-</v>
          </cell>
          <cell r="G5309" t="str">
            <v>-</v>
          </cell>
          <cell r="H5309" t="str">
            <v>-</v>
          </cell>
          <cell r="I5309" t="str">
            <v>-</v>
          </cell>
          <cell r="J5309">
            <v>0.42495786699999999</v>
          </cell>
          <cell r="K5309" t="str">
            <v>Small Cap</v>
          </cell>
        </row>
        <row r="5310">
          <cell r="C5310" t="str">
            <v>INE496M01017</v>
          </cell>
          <cell r="D5310" t="str">
            <v>BENTCOM</v>
          </cell>
          <cell r="E5310">
            <v>0.40338000000000002</v>
          </cell>
          <cell r="F5310" t="str">
            <v>-</v>
          </cell>
          <cell r="G5310" t="str">
            <v>-</v>
          </cell>
          <cell r="H5310" t="str">
            <v>-</v>
          </cell>
          <cell r="I5310" t="str">
            <v>-</v>
          </cell>
          <cell r="J5310">
            <v>0.40338000000000002</v>
          </cell>
          <cell r="K5310" t="str">
            <v>Small Cap</v>
          </cell>
        </row>
        <row r="5311">
          <cell r="C5311" t="str">
            <v>INE02BV01019</v>
          </cell>
          <cell r="D5311" t="str">
            <v>SHIKHARLETR</v>
          </cell>
          <cell r="E5311">
            <v>0.4023369</v>
          </cell>
          <cell r="F5311" t="str">
            <v>-</v>
          </cell>
          <cell r="G5311" t="str">
            <v>-</v>
          </cell>
          <cell r="H5311" t="str">
            <v>-</v>
          </cell>
          <cell r="I5311" t="str">
            <v>-</v>
          </cell>
          <cell r="J5311">
            <v>0.4023369</v>
          </cell>
          <cell r="K5311" t="str">
            <v>Small Cap</v>
          </cell>
        </row>
        <row r="5312">
          <cell r="C5312" t="str">
            <v>INE268D01019</v>
          </cell>
          <cell r="D5312" t="str">
            <v>-</v>
          </cell>
          <cell r="E5312" t="str">
            <v>-</v>
          </cell>
          <cell r="F5312" t="str">
            <v>-</v>
          </cell>
          <cell r="G5312" t="str">
            <v>-</v>
          </cell>
          <cell r="H5312" t="str">
            <v>KABIRDAS</v>
          </cell>
          <cell r="I5312">
            <v>0.39571699999999949</v>
          </cell>
          <cell r="J5312">
            <v>0.39571699999999949</v>
          </cell>
          <cell r="K5312" t="str">
            <v>Small Cap</v>
          </cell>
        </row>
        <row r="5313">
          <cell r="C5313" t="str">
            <v>INE913A01024</v>
          </cell>
          <cell r="D5313" t="str">
            <v>SILICON</v>
          </cell>
          <cell r="E5313">
            <v>0.38904</v>
          </cell>
          <cell r="F5313" t="str">
            <v>-</v>
          </cell>
          <cell r="G5313" t="str">
            <v>-</v>
          </cell>
          <cell r="H5313" t="str">
            <v>-</v>
          </cell>
          <cell r="I5313" t="str">
            <v>-</v>
          </cell>
          <cell r="J5313">
            <v>0.38904</v>
          </cell>
          <cell r="K5313" t="str">
            <v>Small Cap</v>
          </cell>
        </row>
        <row r="5314">
          <cell r="C5314" t="str">
            <v>INE628Y01010</v>
          </cell>
          <cell r="D5314" t="str">
            <v>APTANN</v>
          </cell>
          <cell r="E5314">
            <v>0.38451299999999999</v>
          </cell>
          <cell r="F5314" t="str">
            <v>-</v>
          </cell>
          <cell r="G5314" t="str">
            <v>-</v>
          </cell>
          <cell r="H5314" t="str">
            <v>-</v>
          </cell>
          <cell r="I5314" t="str">
            <v>-</v>
          </cell>
          <cell r="J5314">
            <v>0.38451299999999999</v>
          </cell>
          <cell r="K5314" t="str">
            <v>Small Cap</v>
          </cell>
        </row>
        <row r="5315">
          <cell r="C5315" t="str">
            <v>INE464H01015</v>
          </cell>
          <cell r="D5315" t="str">
            <v>VIRPOLY</v>
          </cell>
          <cell r="E5315">
            <v>0.374</v>
          </cell>
          <cell r="F5315" t="str">
            <v>-</v>
          </cell>
          <cell r="G5315" t="str">
            <v>-</v>
          </cell>
          <cell r="H5315" t="str">
            <v>-</v>
          </cell>
          <cell r="I5315" t="str">
            <v>-</v>
          </cell>
          <cell r="J5315">
            <v>0.374</v>
          </cell>
          <cell r="K5315" t="str">
            <v>Small Cap</v>
          </cell>
        </row>
        <row r="5316">
          <cell r="C5316" t="str">
            <v>INE990E01016</v>
          </cell>
          <cell r="D5316" t="str">
            <v>JPTRLES</v>
          </cell>
          <cell r="E5316">
            <v>0.368793651</v>
          </cell>
          <cell r="F5316" t="str">
            <v>-</v>
          </cell>
          <cell r="G5316" t="str">
            <v>-</v>
          </cell>
          <cell r="H5316" t="str">
            <v>-</v>
          </cell>
          <cell r="I5316" t="str">
            <v>-</v>
          </cell>
          <cell r="J5316">
            <v>0.368793651</v>
          </cell>
          <cell r="K5316" t="str">
            <v>Small Cap</v>
          </cell>
        </row>
        <row r="5317">
          <cell r="C5317" t="str">
            <v>INE001V01016</v>
          </cell>
          <cell r="D5317" t="str">
            <v>-</v>
          </cell>
          <cell r="E5317" t="str">
            <v>-</v>
          </cell>
          <cell r="F5317" t="str">
            <v>-</v>
          </cell>
          <cell r="G5317" t="str">
            <v>-</v>
          </cell>
          <cell r="H5317" t="str">
            <v>NCCL</v>
          </cell>
          <cell r="I5317">
            <v>0.36106399999999944</v>
          </cell>
          <cell r="J5317">
            <v>0.36106399999999944</v>
          </cell>
          <cell r="K5317" t="str">
            <v>Small Cap</v>
          </cell>
        </row>
        <row r="5318">
          <cell r="C5318" t="str">
            <v>INE880P01015</v>
          </cell>
          <cell r="D5318" t="str">
            <v>OSEASPR</v>
          </cell>
          <cell r="E5318">
            <v>0.35899999999999999</v>
          </cell>
          <cell r="F5318" t="str">
            <v>-</v>
          </cell>
          <cell r="G5318" t="str">
            <v>-</v>
          </cell>
          <cell r="H5318" t="str">
            <v>-</v>
          </cell>
          <cell r="I5318" t="str">
            <v>-</v>
          </cell>
          <cell r="J5318">
            <v>0.35899999999999999</v>
          </cell>
          <cell r="K5318" t="str">
            <v>Small Cap</v>
          </cell>
        </row>
        <row r="5319">
          <cell r="C5319" t="str">
            <v>INE349T01013</v>
          </cell>
          <cell r="D5319" t="str">
            <v>-</v>
          </cell>
          <cell r="E5319" t="str">
            <v>-</v>
          </cell>
          <cell r="F5319" t="str">
            <v>-</v>
          </cell>
          <cell r="G5319" t="str">
            <v>-</v>
          </cell>
          <cell r="H5319" t="str">
            <v>TRIDENTIND</v>
          </cell>
          <cell r="I5319">
            <v>0.35855999999999949</v>
          </cell>
          <cell r="J5319">
            <v>0.35855999999999949</v>
          </cell>
          <cell r="K5319" t="str">
            <v>Small Cap</v>
          </cell>
        </row>
        <row r="5320">
          <cell r="C5320" t="str">
            <v>INE371U01015</v>
          </cell>
          <cell r="D5320" t="str">
            <v>SUNRINV</v>
          </cell>
          <cell r="E5320">
            <v>0.35678500000000002</v>
          </cell>
          <cell r="F5320" t="str">
            <v>-</v>
          </cell>
          <cell r="G5320" t="str">
            <v>-</v>
          </cell>
          <cell r="H5320" t="str">
            <v>-</v>
          </cell>
          <cell r="I5320" t="str">
            <v>-</v>
          </cell>
          <cell r="J5320">
            <v>0.35678500000000002</v>
          </cell>
          <cell r="K5320" t="str">
            <v>Small Cap</v>
          </cell>
        </row>
        <row r="5321">
          <cell r="C5321" t="str">
            <v>INE432D01011</v>
          </cell>
          <cell r="D5321" t="str">
            <v>JYOTIOVR</v>
          </cell>
          <cell r="E5321">
            <v>0.34248600000000001</v>
          </cell>
          <cell r="F5321" t="str">
            <v>-</v>
          </cell>
          <cell r="G5321" t="str">
            <v>-</v>
          </cell>
          <cell r="H5321" t="str">
            <v>-</v>
          </cell>
          <cell r="I5321" t="str">
            <v>-</v>
          </cell>
          <cell r="J5321">
            <v>0.34248600000000001</v>
          </cell>
          <cell r="K5321" t="str">
            <v>Small Cap</v>
          </cell>
        </row>
        <row r="5322">
          <cell r="C5322" t="str">
            <v>INE218T01010</v>
          </cell>
          <cell r="D5322" t="str">
            <v>NIRBHAYIND</v>
          </cell>
          <cell r="E5322">
            <v>0.33500000000000002</v>
          </cell>
          <cell r="F5322" t="str">
            <v>-</v>
          </cell>
          <cell r="G5322" t="str">
            <v>-</v>
          </cell>
          <cell r="H5322" t="str">
            <v>-</v>
          </cell>
          <cell r="I5322" t="str">
            <v>-</v>
          </cell>
          <cell r="J5322">
            <v>0.33500000000000002</v>
          </cell>
          <cell r="K5322" t="str">
            <v>Small Cap</v>
          </cell>
        </row>
        <row r="5323">
          <cell r="C5323" t="str">
            <v>INE123V01018</v>
          </cell>
          <cell r="D5323" t="str">
            <v>TERRAREAL</v>
          </cell>
          <cell r="E5323">
            <v>0.32500000000000001</v>
          </cell>
          <cell r="F5323" t="str">
            <v>-</v>
          </cell>
          <cell r="G5323" t="str">
            <v>-</v>
          </cell>
          <cell r="H5323" t="str">
            <v>-</v>
          </cell>
          <cell r="I5323" t="str">
            <v>-</v>
          </cell>
          <cell r="J5323">
            <v>0.32500000000000001</v>
          </cell>
          <cell r="K5323" t="str">
            <v>Small Cap</v>
          </cell>
        </row>
        <row r="5324">
          <cell r="C5324" t="str">
            <v>INE773R01026</v>
          </cell>
          <cell r="D5324" t="str">
            <v>-</v>
          </cell>
          <cell r="E5324" t="str">
            <v>-</v>
          </cell>
          <cell r="F5324" t="str">
            <v>-</v>
          </cell>
          <cell r="G5324" t="str">
            <v>-</v>
          </cell>
          <cell r="H5324" t="str">
            <v>RAKAN</v>
          </cell>
          <cell r="I5324">
            <v>0.32400000000000018</v>
          </cell>
          <cell r="J5324">
            <v>0.32400000000000018</v>
          </cell>
          <cell r="K5324" t="str">
            <v>Small Cap</v>
          </cell>
        </row>
        <row r="5325">
          <cell r="C5325" t="str">
            <v>INE582V01015</v>
          </cell>
          <cell r="D5325" t="str">
            <v>ZNILKENG</v>
          </cell>
          <cell r="E5325">
            <v>0.31747500000000001</v>
          </cell>
          <cell r="F5325" t="str">
            <v>-</v>
          </cell>
          <cell r="G5325" t="str">
            <v>-</v>
          </cell>
          <cell r="H5325" t="str">
            <v>-</v>
          </cell>
          <cell r="I5325" t="str">
            <v>-</v>
          </cell>
          <cell r="J5325">
            <v>0.31747500000000001</v>
          </cell>
          <cell r="K5325" t="str">
            <v>Small Cap</v>
          </cell>
        </row>
        <row r="5326">
          <cell r="C5326" t="str">
            <v>INE700B01015</v>
          </cell>
          <cell r="D5326" t="str">
            <v>PROCAL</v>
          </cell>
          <cell r="E5326">
            <v>0.31516666700000001</v>
          </cell>
          <cell r="F5326" t="str">
            <v>-</v>
          </cell>
          <cell r="G5326" t="str">
            <v>-</v>
          </cell>
          <cell r="H5326" t="str">
            <v>-</v>
          </cell>
          <cell r="I5326" t="str">
            <v>-</v>
          </cell>
          <cell r="J5326">
            <v>0.31516666700000001</v>
          </cell>
          <cell r="K5326" t="str">
            <v>Small Cap</v>
          </cell>
        </row>
        <row r="5327">
          <cell r="C5327" t="str">
            <v>INE094R01019</v>
          </cell>
          <cell r="D5327" t="str">
            <v>EENTER</v>
          </cell>
          <cell r="E5327">
            <v>0.29831809500000001</v>
          </cell>
          <cell r="F5327" t="str">
            <v>-</v>
          </cell>
          <cell r="G5327" t="str">
            <v>-</v>
          </cell>
          <cell r="H5327" t="str">
            <v>-</v>
          </cell>
          <cell r="I5327" t="str">
            <v>-</v>
          </cell>
          <cell r="J5327">
            <v>0.29831809500000001</v>
          </cell>
          <cell r="K5327" t="str">
            <v>Small Cap</v>
          </cell>
        </row>
        <row r="5328">
          <cell r="C5328" t="str">
            <v>INE106W01011</v>
          </cell>
          <cell r="D5328" t="str">
            <v>-</v>
          </cell>
          <cell r="E5328" t="str">
            <v>-</v>
          </cell>
          <cell r="F5328" t="str">
            <v>-</v>
          </cell>
          <cell r="G5328" t="str">
            <v>-</v>
          </cell>
          <cell r="H5328" t="str">
            <v>WELGA</v>
          </cell>
          <cell r="I5328">
            <v>0.29390400000000017</v>
          </cell>
          <cell r="J5328">
            <v>0.29390400000000017</v>
          </cell>
          <cell r="K5328" t="str">
            <v>Small Cap</v>
          </cell>
        </row>
        <row r="5329">
          <cell r="C5329" t="str">
            <v>INE995E01015</v>
          </cell>
          <cell r="D5329" t="str">
            <v>LADIAMO</v>
          </cell>
          <cell r="E5329">
            <v>0.25514999999999999</v>
          </cell>
          <cell r="F5329" t="str">
            <v>-</v>
          </cell>
          <cell r="G5329" t="str">
            <v>-</v>
          </cell>
          <cell r="H5329" t="str">
            <v>-</v>
          </cell>
          <cell r="I5329" t="str">
            <v>-</v>
          </cell>
          <cell r="J5329">
            <v>0.25514999999999999</v>
          </cell>
          <cell r="K5329" t="str">
            <v>Small Cap</v>
          </cell>
        </row>
        <row r="5330">
          <cell r="C5330" t="str">
            <v>INE552V01018</v>
          </cell>
          <cell r="D5330" t="str">
            <v>-</v>
          </cell>
          <cell r="E5330" t="str">
            <v>-</v>
          </cell>
          <cell r="F5330" t="str">
            <v>-</v>
          </cell>
          <cell r="G5330" t="str">
            <v>-</v>
          </cell>
          <cell r="H5330" t="str">
            <v>AYUSHMAN</v>
          </cell>
          <cell r="I5330">
            <v>0.25499999999999967</v>
          </cell>
          <cell r="J5330">
            <v>0.25499999999999967</v>
          </cell>
          <cell r="K5330" t="str">
            <v>Small Cap</v>
          </cell>
        </row>
        <row r="5331">
          <cell r="C5331" t="str">
            <v>INE174E01017</v>
          </cell>
          <cell r="D5331" t="str">
            <v>-</v>
          </cell>
          <cell r="E5331" t="str">
            <v>-</v>
          </cell>
          <cell r="F5331" t="str">
            <v>-</v>
          </cell>
          <cell r="G5331" t="str">
            <v>-</v>
          </cell>
          <cell r="H5331" t="str">
            <v>SUPRAIND</v>
          </cell>
          <cell r="I5331">
            <v>0.25</v>
          </cell>
          <cell r="J5331">
            <v>0.25</v>
          </cell>
          <cell r="K5331" t="str">
            <v>Small Cap</v>
          </cell>
        </row>
        <row r="5332">
          <cell r="C5332" t="str">
            <v>INE183F01015</v>
          </cell>
          <cell r="D5332" t="str">
            <v>-</v>
          </cell>
          <cell r="E5332" t="str">
            <v>-</v>
          </cell>
          <cell r="F5332" t="str">
            <v>-</v>
          </cell>
          <cell r="G5332" t="str">
            <v>-</v>
          </cell>
          <cell r="H5332" t="str">
            <v>MGLFL</v>
          </cell>
          <cell r="I5332">
            <v>0.2489999999999995</v>
          </cell>
          <cell r="J5332">
            <v>0.2489999999999995</v>
          </cell>
          <cell r="K5332" t="str">
            <v>Small Cap</v>
          </cell>
        </row>
        <row r="5333">
          <cell r="C5333" t="str">
            <v>INE255S01014</v>
          </cell>
          <cell r="D5333" t="str">
            <v>-</v>
          </cell>
          <cell r="E5333" t="str">
            <v>-</v>
          </cell>
          <cell r="F5333" t="str">
            <v>-</v>
          </cell>
          <cell r="G5333" t="str">
            <v>-</v>
          </cell>
          <cell r="H5333" t="str">
            <v>EIFL</v>
          </cell>
          <cell r="I5333">
            <v>0.24800000000000041</v>
          </cell>
          <cell r="J5333">
            <v>0.24800000000000041</v>
          </cell>
          <cell r="K5333" t="str">
            <v>Small Cap</v>
          </cell>
        </row>
        <row r="5334">
          <cell r="C5334" t="str">
            <v>INE476T01014</v>
          </cell>
          <cell r="D5334" t="str">
            <v>-</v>
          </cell>
          <cell r="E5334" t="str">
            <v>-</v>
          </cell>
          <cell r="F5334" t="str">
            <v>-</v>
          </cell>
          <cell r="G5334" t="str">
            <v>-</v>
          </cell>
          <cell r="H5334" t="str">
            <v>SKJPL</v>
          </cell>
          <cell r="I5334">
            <v>0.24749999999999972</v>
          </cell>
          <cell r="J5334">
            <v>0.24749999999999972</v>
          </cell>
          <cell r="K5334" t="str">
            <v>Small Cap</v>
          </cell>
        </row>
        <row r="5335">
          <cell r="C5335" t="str">
            <v>INE143F01019</v>
          </cell>
          <cell r="D5335" t="str">
            <v>-</v>
          </cell>
          <cell r="E5335" t="str">
            <v>-</v>
          </cell>
          <cell r="F5335" t="str">
            <v>-</v>
          </cell>
          <cell r="G5335" t="str">
            <v>-</v>
          </cell>
          <cell r="H5335" t="str">
            <v>ALIROX</v>
          </cell>
          <cell r="I5335">
            <v>0.23999999999999938</v>
          </cell>
          <cell r="J5335">
            <v>0.23999999999999938</v>
          </cell>
          <cell r="K5335" t="str">
            <v>Small Cap</v>
          </cell>
        </row>
        <row r="5336">
          <cell r="C5336" t="str">
            <v>INE553H01015</v>
          </cell>
          <cell r="D5336" t="str">
            <v>BAJGLOB</v>
          </cell>
          <cell r="E5336">
            <v>0.22275</v>
          </cell>
          <cell r="F5336" t="str">
            <v>-</v>
          </cell>
          <cell r="G5336" t="str">
            <v>-</v>
          </cell>
          <cell r="H5336" t="str">
            <v>-</v>
          </cell>
          <cell r="I5336" t="str">
            <v>-</v>
          </cell>
          <cell r="J5336">
            <v>0.22275</v>
          </cell>
          <cell r="K5336" t="str">
            <v>Small Cap</v>
          </cell>
        </row>
        <row r="5337">
          <cell r="C5337" t="str">
            <v>INE132V01019</v>
          </cell>
          <cell r="D5337" t="str">
            <v>VINVANI</v>
          </cell>
          <cell r="E5337">
            <v>0.20916000000000001</v>
          </cell>
          <cell r="F5337" t="str">
            <v>-</v>
          </cell>
          <cell r="G5337" t="str">
            <v>-</v>
          </cell>
          <cell r="H5337" t="str">
            <v>-</v>
          </cell>
          <cell r="I5337" t="str">
            <v>-</v>
          </cell>
          <cell r="J5337">
            <v>0.20916000000000001</v>
          </cell>
          <cell r="K5337" t="str">
            <v>Small Cap</v>
          </cell>
        </row>
        <row r="5338">
          <cell r="C5338" t="str">
            <v>INE442U01014</v>
          </cell>
          <cell r="D5338" t="str">
            <v>VARUNME</v>
          </cell>
          <cell r="E5338">
            <v>0.20860254</v>
          </cell>
          <cell r="F5338" t="str">
            <v>-</v>
          </cell>
          <cell r="G5338" t="str">
            <v>-</v>
          </cell>
          <cell r="H5338" t="str">
            <v>-</v>
          </cell>
          <cell r="I5338" t="str">
            <v>-</v>
          </cell>
          <cell r="J5338">
            <v>0.20860254</v>
          </cell>
          <cell r="K5338" t="str">
            <v>Small Cap</v>
          </cell>
        </row>
        <row r="5339">
          <cell r="C5339" t="str">
            <v>INE495D01018</v>
          </cell>
          <cell r="D5339" t="str">
            <v>CORAGRO</v>
          </cell>
          <cell r="E5339">
            <v>0.20382</v>
          </cell>
          <cell r="F5339" t="str">
            <v>-</v>
          </cell>
          <cell r="G5339" t="str">
            <v>-</v>
          </cell>
          <cell r="H5339" t="str">
            <v>-</v>
          </cell>
          <cell r="I5339" t="str">
            <v>-</v>
          </cell>
          <cell r="J5339">
            <v>0.20382</v>
          </cell>
          <cell r="K5339" t="str">
            <v>Small Cap</v>
          </cell>
        </row>
        <row r="5340">
          <cell r="C5340" t="str">
            <v>INE203Q01026</v>
          </cell>
          <cell r="D5340" t="str">
            <v>NOBPOL</v>
          </cell>
          <cell r="E5340">
            <v>0.200849</v>
          </cell>
          <cell r="F5340" t="str">
            <v>-</v>
          </cell>
          <cell r="G5340" t="str">
            <v>-</v>
          </cell>
          <cell r="H5340" t="str">
            <v>-</v>
          </cell>
          <cell r="I5340" t="str">
            <v>-</v>
          </cell>
          <cell r="J5340">
            <v>0.200849</v>
          </cell>
          <cell r="K5340" t="str">
            <v>Small Cap</v>
          </cell>
        </row>
        <row r="5341">
          <cell r="C5341" t="str">
            <v>INE477E01014</v>
          </cell>
          <cell r="D5341" t="str">
            <v>-</v>
          </cell>
          <cell r="E5341" t="str">
            <v>-</v>
          </cell>
          <cell r="F5341" t="str">
            <v>-</v>
          </cell>
          <cell r="G5341" t="str">
            <v>-</v>
          </cell>
          <cell r="H5341" t="str">
            <v>CHAMPION</v>
          </cell>
          <cell r="I5341">
            <v>0.19999999999999954</v>
          </cell>
          <cell r="J5341">
            <v>0.19999999999999954</v>
          </cell>
          <cell r="K5341" t="str">
            <v>Small Cap</v>
          </cell>
        </row>
        <row r="5342">
          <cell r="C5342" t="str">
            <v>INE171V01017</v>
          </cell>
          <cell r="D5342" t="str">
            <v>-</v>
          </cell>
          <cell r="E5342" t="str">
            <v>-</v>
          </cell>
          <cell r="F5342" t="str">
            <v>-</v>
          </cell>
          <cell r="G5342" t="str">
            <v>-</v>
          </cell>
          <cell r="H5342" t="str">
            <v>MAYURBHANJ</v>
          </cell>
          <cell r="I5342">
            <v>0.19999999999999954</v>
          </cell>
          <cell r="J5342">
            <v>0.19999999999999954</v>
          </cell>
          <cell r="K5342" t="str">
            <v>Small Cap</v>
          </cell>
        </row>
        <row r="5343">
          <cell r="C5343" t="str">
            <v>INE122V01010</v>
          </cell>
          <cell r="D5343" t="str">
            <v>TERRAFORM</v>
          </cell>
          <cell r="E5343">
            <v>0.1812</v>
          </cell>
          <cell r="F5343" t="str">
            <v>-</v>
          </cell>
          <cell r="G5343" t="str">
            <v>-</v>
          </cell>
          <cell r="H5343" t="str">
            <v>-</v>
          </cell>
          <cell r="I5343" t="str">
            <v>-</v>
          </cell>
          <cell r="J5343">
            <v>0.1812</v>
          </cell>
          <cell r="K5343" t="str">
            <v>Small Cap</v>
          </cell>
        </row>
        <row r="5344">
          <cell r="C5344" t="str">
            <v>INE615W01011</v>
          </cell>
          <cell r="D5344" t="str">
            <v>PBGLOBAL</v>
          </cell>
          <cell r="E5344">
            <v>0.1595</v>
          </cell>
          <cell r="F5344" t="str">
            <v>-</v>
          </cell>
          <cell r="G5344" t="str">
            <v>-</v>
          </cell>
          <cell r="H5344" t="str">
            <v>-</v>
          </cell>
          <cell r="I5344" t="str">
            <v>-</v>
          </cell>
          <cell r="J5344">
            <v>0.1595</v>
          </cell>
          <cell r="K5344" t="str">
            <v>Small Cap</v>
          </cell>
        </row>
        <row r="5345">
          <cell r="C5345" t="str">
            <v>INE838R01019</v>
          </cell>
          <cell r="D5345" t="str">
            <v>-</v>
          </cell>
          <cell r="E5345" t="str">
            <v>-</v>
          </cell>
          <cell r="F5345" t="str">
            <v>-</v>
          </cell>
          <cell r="G5345" t="str">
            <v>-</v>
          </cell>
          <cell r="H5345" t="str">
            <v>SHREEVIJAY</v>
          </cell>
          <cell r="I5345">
            <v>0.13736249999999992</v>
          </cell>
          <cell r="J5345">
            <v>0.13736249999999992</v>
          </cell>
          <cell r="K5345" t="str">
            <v>Small Cap</v>
          </cell>
        </row>
        <row r="5346">
          <cell r="C5346" t="str">
            <v>INE987E01012</v>
          </cell>
          <cell r="D5346" t="str">
            <v>ZJEETMAC</v>
          </cell>
          <cell r="E5346">
            <v>0.13328000000000001</v>
          </cell>
          <cell r="F5346" t="str">
            <v>-</v>
          </cell>
          <cell r="G5346" t="str">
            <v>-</v>
          </cell>
          <cell r="H5346" t="str">
            <v>-</v>
          </cell>
          <cell r="I5346" t="str">
            <v>-</v>
          </cell>
          <cell r="J5346">
            <v>0.13328000000000001</v>
          </cell>
          <cell r="K5346" t="str">
            <v>Small Cap</v>
          </cell>
        </row>
        <row r="5347">
          <cell r="C5347" t="str">
            <v>INE419C01010</v>
          </cell>
          <cell r="D5347" t="str">
            <v>-</v>
          </cell>
          <cell r="E5347" t="str">
            <v>-</v>
          </cell>
          <cell r="F5347" t="str">
            <v>-</v>
          </cell>
          <cell r="G5347" t="str">
            <v>-</v>
          </cell>
          <cell r="H5347" t="str">
            <v>RWCL</v>
          </cell>
          <cell r="I5347">
            <v>0.125</v>
          </cell>
          <cell r="J5347">
            <v>0.125</v>
          </cell>
          <cell r="K5347" t="str">
            <v>Small Cap</v>
          </cell>
        </row>
        <row r="5348">
          <cell r="C5348" t="str">
            <v>INE175Q01018</v>
          </cell>
          <cell r="D5348" t="str">
            <v>KUSUMEL</v>
          </cell>
          <cell r="E5348">
            <v>0.12432</v>
          </cell>
          <cell r="F5348" t="str">
            <v>-</v>
          </cell>
          <cell r="G5348" t="str">
            <v>-</v>
          </cell>
          <cell r="H5348" t="str">
            <v>-</v>
          </cell>
          <cell r="I5348" t="str">
            <v>-</v>
          </cell>
          <cell r="J5348">
            <v>0.12432</v>
          </cell>
          <cell r="K5348" t="str">
            <v>Small Cap</v>
          </cell>
        </row>
        <row r="5349">
          <cell r="C5349" t="str">
            <v>INE0LKP01014</v>
          </cell>
          <cell r="D5349" t="str">
            <v>ZARDIINV</v>
          </cell>
          <cell r="E5349">
            <v>0.11</v>
          </cell>
          <cell r="F5349" t="str">
            <v>-</v>
          </cell>
          <cell r="G5349" t="str">
            <v>-</v>
          </cell>
          <cell r="H5349" t="str">
            <v>-</v>
          </cell>
          <cell r="I5349" t="str">
            <v>-</v>
          </cell>
          <cell r="J5349">
            <v>0.11</v>
          </cell>
          <cell r="K5349" t="str">
            <v>Small Cap</v>
          </cell>
        </row>
        <row r="5350">
          <cell r="C5350" t="str">
            <v>INE965V01012</v>
          </cell>
          <cell r="D5350" t="str">
            <v>VIKSHEN</v>
          </cell>
          <cell r="E5350">
            <v>0.105825</v>
          </cell>
          <cell r="F5350" t="str">
            <v>-</v>
          </cell>
          <cell r="G5350" t="str">
            <v>-</v>
          </cell>
          <cell r="H5350" t="str">
            <v>-</v>
          </cell>
          <cell r="I5350" t="str">
            <v>-</v>
          </cell>
          <cell r="J5350">
            <v>0.105825</v>
          </cell>
          <cell r="K5350" t="str">
            <v>Small Cap</v>
          </cell>
        </row>
        <row r="5351">
          <cell r="C5351" t="str">
            <v>INE187U01015</v>
          </cell>
          <cell r="D5351" t="str">
            <v>WMINIMT</v>
          </cell>
          <cell r="E5351">
            <v>0.10549666799999999</v>
          </cell>
          <cell r="F5351" t="str">
            <v>-</v>
          </cell>
          <cell r="G5351" t="str">
            <v>-</v>
          </cell>
          <cell r="H5351" t="str">
            <v>-</v>
          </cell>
          <cell r="I5351" t="str">
            <v>-</v>
          </cell>
          <cell r="J5351">
            <v>0.10549666799999999</v>
          </cell>
          <cell r="K5351" t="str">
            <v>Small Cap</v>
          </cell>
        </row>
        <row r="5352">
          <cell r="C5352" t="str">
            <v>INE083O01019</v>
          </cell>
          <cell r="D5352" t="str">
            <v>ZHINDHSG</v>
          </cell>
          <cell r="E5352">
            <v>9.3750799999999995E-2</v>
          </cell>
          <cell r="F5352" t="str">
            <v>-</v>
          </cell>
          <cell r="G5352" t="str">
            <v>-</v>
          </cell>
          <cell r="H5352" t="str">
            <v>-</v>
          </cell>
          <cell r="I5352" t="str">
            <v>-</v>
          </cell>
          <cell r="J5352">
            <v>9.3750799999999995E-2</v>
          </cell>
          <cell r="K5352" t="str">
            <v>Small Cap</v>
          </cell>
        </row>
        <row r="5353">
          <cell r="C5353" t="str">
            <v>INE130N01010</v>
          </cell>
          <cell r="D5353" t="str">
            <v>UNIJOLL</v>
          </cell>
          <cell r="E5353">
            <v>9.0999999999999998E-2</v>
          </cell>
          <cell r="F5353" t="str">
            <v>-</v>
          </cell>
          <cell r="G5353" t="str">
            <v>-</v>
          </cell>
          <cell r="H5353" t="str">
            <v>-</v>
          </cell>
          <cell r="I5353" t="str">
            <v>-</v>
          </cell>
          <cell r="J5353">
            <v>9.0999999999999998E-2</v>
          </cell>
          <cell r="K5353" t="str">
            <v>Small Cap</v>
          </cell>
        </row>
        <row r="5354">
          <cell r="C5354" t="str">
            <v>INE074J01018</v>
          </cell>
          <cell r="D5354" t="str">
            <v>TRANOCE</v>
          </cell>
          <cell r="E5354">
            <v>8.1900000000000001E-2</v>
          </cell>
          <cell r="F5354" t="str">
            <v>-</v>
          </cell>
          <cell r="G5354" t="str">
            <v>-</v>
          </cell>
          <cell r="H5354" t="str">
            <v>-</v>
          </cell>
          <cell r="I5354" t="str">
            <v>-</v>
          </cell>
          <cell r="J5354">
            <v>8.1900000000000001E-2</v>
          </cell>
          <cell r="K5354" t="str">
            <v>Small Cap</v>
          </cell>
        </row>
        <row r="5355">
          <cell r="C5355" t="str">
            <v>INE160N01017</v>
          </cell>
          <cell r="D5355" t="str">
            <v>HEALINV</v>
          </cell>
          <cell r="E5355">
            <v>7.8399999999999997E-2</v>
          </cell>
          <cell r="F5355" t="str">
            <v>-</v>
          </cell>
          <cell r="G5355" t="str">
            <v>-</v>
          </cell>
          <cell r="H5355" t="str">
            <v>-</v>
          </cell>
          <cell r="I5355" t="str">
            <v>-</v>
          </cell>
          <cell r="J5355">
            <v>7.8399999999999997E-2</v>
          </cell>
          <cell r="K5355" t="str">
            <v>Small Cap</v>
          </cell>
        </row>
        <row r="5356">
          <cell r="C5356" t="str">
            <v>INE955S01019</v>
          </cell>
          <cell r="D5356" t="str">
            <v>ZARCOLEA</v>
          </cell>
          <cell r="E5356">
            <v>6.0017500000000001E-2</v>
          </cell>
          <cell r="F5356" t="str">
            <v>-</v>
          </cell>
          <cell r="G5356" t="str">
            <v>-</v>
          </cell>
          <cell r="H5356" t="str">
            <v>-</v>
          </cell>
          <cell r="I5356" t="str">
            <v>-</v>
          </cell>
          <cell r="J5356">
            <v>6.0017500000000001E-2</v>
          </cell>
          <cell r="K5356" t="str">
            <v>Small Cap</v>
          </cell>
        </row>
        <row r="5357">
          <cell r="C5357" t="str">
            <v>INE150W01019</v>
          </cell>
          <cell r="D5357" t="str">
            <v>-</v>
          </cell>
          <cell r="E5357" t="str">
            <v>-</v>
          </cell>
          <cell r="F5357" t="str">
            <v>-</v>
          </cell>
          <cell r="G5357" t="str">
            <v>-</v>
          </cell>
          <cell r="H5357" t="str">
            <v>SMMIL</v>
          </cell>
          <cell r="I5357">
            <v>5.8523175000000142E-2</v>
          </cell>
          <cell r="J5357">
            <v>5.8523175000000142E-2</v>
          </cell>
          <cell r="K5357" t="str">
            <v>Small Cap</v>
          </cell>
        </row>
        <row r="5358">
          <cell r="C5358" t="str">
            <v>INE532U01012</v>
          </cell>
          <cell r="D5358" t="str">
            <v>ZSOUTGAS</v>
          </cell>
          <cell r="E5358">
            <v>5.5225893000000005E-2</v>
          </cell>
          <cell r="F5358" t="str">
            <v>-</v>
          </cell>
          <cell r="G5358" t="str">
            <v>-</v>
          </cell>
          <cell r="H5358" t="str">
            <v>-</v>
          </cell>
          <cell r="I5358" t="str">
            <v>-</v>
          </cell>
          <cell r="J5358">
            <v>5.5225893000000005E-2</v>
          </cell>
          <cell r="K5358" t="str">
            <v>Small Cap</v>
          </cell>
        </row>
        <row r="5359">
          <cell r="C5359" t="str">
            <v>INE02ZA01012</v>
          </cell>
          <cell r="D5359" t="str">
            <v>SFTL</v>
          </cell>
          <cell r="E5359">
            <v>5.5100000000000003E-2</v>
          </cell>
          <cell r="F5359" t="str">
            <v>-</v>
          </cell>
          <cell r="G5359" t="str">
            <v>-</v>
          </cell>
          <cell r="H5359" t="str">
            <v>-</v>
          </cell>
          <cell r="I5359" t="str">
            <v>-</v>
          </cell>
          <cell r="J5359">
            <v>5.5100000000000003E-2</v>
          </cell>
          <cell r="K5359" t="str">
            <v>Small Cap</v>
          </cell>
        </row>
        <row r="5360">
          <cell r="C5360" t="str">
            <v>INE820B01029</v>
          </cell>
          <cell r="D5360" t="str">
            <v>RATNAKAR</v>
          </cell>
          <cell r="E5360">
            <v>3.0159768E-2</v>
          </cell>
          <cell r="F5360" t="str">
            <v>-</v>
          </cell>
          <cell r="G5360" t="str">
            <v>-</v>
          </cell>
          <cell r="H5360" t="str">
            <v>-</v>
          </cell>
          <cell r="I5360" t="str">
            <v>-</v>
          </cell>
          <cell r="J5360">
            <v>3.0159768E-2</v>
          </cell>
          <cell r="K5360" t="str">
            <v>Small Cap</v>
          </cell>
        </row>
        <row r="5361">
          <cell r="C5361" t="str">
            <v>INE825M01017</v>
          </cell>
          <cell r="D5361" t="str">
            <v>ANTARIKSH</v>
          </cell>
          <cell r="E5361">
            <v>2.6800000000000001E-2</v>
          </cell>
          <cell r="F5361" t="str">
            <v>-</v>
          </cell>
          <cell r="G5361" t="str">
            <v>-</v>
          </cell>
          <cell r="H5361" t="str">
            <v>-</v>
          </cell>
          <cell r="I5361" t="str">
            <v>-</v>
          </cell>
          <cell r="J5361">
            <v>2.6800000000000001E-2</v>
          </cell>
          <cell r="K5361" t="str">
            <v>Small Cap</v>
          </cell>
        </row>
        <row r="5362">
          <cell r="C5362" t="str">
            <v>INE523W01017</v>
          </cell>
          <cell r="D5362" t="str">
            <v>BENGALS</v>
          </cell>
          <cell r="E5362">
            <v>2.4500000000000001E-2</v>
          </cell>
          <cell r="F5362" t="str">
            <v>-</v>
          </cell>
          <cell r="G5362" t="str">
            <v>-</v>
          </cell>
          <cell r="H5362" t="str">
            <v>-</v>
          </cell>
          <cell r="I5362" t="str">
            <v>-</v>
          </cell>
          <cell r="J5362">
            <v>2.4500000000000001E-2</v>
          </cell>
          <cell r="K5362" t="str">
            <v>Small Cap</v>
          </cell>
        </row>
        <row r="5363">
          <cell r="C5363" t="str">
            <v>INE664X01025</v>
          </cell>
          <cell r="D5363" t="str">
            <v>TTLEL</v>
          </cell>
          <cell r="E5363">
            <v>6.96E-4</v>
          </cell>
          <cell r="F5363" t="str">
            <v>-</v>
          </cell>
          <cell r="G5363" t="str">
            <v>-</v>
          </cell>
          <cell r="H5363" t="str">
            <v>-</v>
          </cell>
          <cell r="I5363" t="str">
            <v>-</v>
          </cell>
          <cell r="J5363">
            <v>6.96E-4</v>
          </cell>
          <cell r="K5363" t="str">
            <v>Small Cap</v>
          </cell>
        </row>
        <row r="5364">
          <cell r="C5364" t="str">
            <v>INE416X01012</v>
          </cell>
          <cell r="D5364" t="str">
            <v>WHITHAL</v>
          </cell>
          <cell r="E5364">
            <v>4.9799999999999996E-4</v>
          </cell>
          <cell r="F5364" t="str">
            <v>-</v>
          </cell>
          <cell r="G5364" t="str">
            <v>-</v>
          </cell>
          <cell r="H5364" t="str">
            <v>-</v>
          </cell>
          <cell r="I5364" t="str">
            <v>-</v>
          </cell>
          <cell r="J5364">
            <v>4.9799999999999996E-4</v>
          </cell>
          <cell r="K5364" t="str">
            <v>Small Cap</v>
          </cell>
        </row>
        <row r="5365">
          <cell r="C5365" t="str">
            <v>INE721V01019</v>
          </cell>
          <cell r="D5365" t="str">
            <v>MEENST</v>
          </cell>
          <cell r="E5365">
            <v>0</v>
          </cell>
          <cell r="F5365" t="str">
            <v>-</v>
          </cell>
          <cell r="G5365" t="str">
            <v>-</v>
          </cell>
          <cell r="H5365" t="str">
            <v>-</v>
          </cell>
          <cell r="I5365" t="str">
            <v>-</v>
          </cell>
          <cell r="J5365">
            <v>4.9799999999999996E-4</v>
          </cell>
          <cell r="K5365" t="str">
            <v>Small Cap</v>
          </cell>
        </row>
        <row r="5366">
          <cell r="C5366" t="str">
            <v>INE027S01017</v>
          </cell>
          <cell r="D5366" t="str">
            <v>TFLL</v>
          </cell>
          <cell r="E5366">
            <v>0</v>
          </cell>
          <cell r="F5366" t="str">
            <v>-</v>
          </cell>
          <cell r="G5366" t="str">
            <v>-</v>
          </cell>
          <cell r="H5366" t="str">
            <v>-</v>
          </cell>
          <cell r="I5366" t="str">
            <v>-</v>
          </cell>
          <cell r="J5366">
            <v>4.9799999999999996E-4</v>
          </cell>
          <cell r="K5366" t="str">
            <v>Small Cap</v>
          </cell>
        </row>
        <row r="5367">
          <cell r="C5367" t="str">
            <v>INE994N01019</v>
          </cell>
          <cell r="D5367" t="str">
            <v>ABHIJIT</v>
          </cell>
          <cell r="E5367">
            <v>0</v>
          </cell>
          <cell r="F5367" t="str">
            <v>-</v>
          </cell>
          <cell r="G5367" t="str">
            <v>-</v>
          </cell>
          <cell r="H5367" t="str">
            <v>-</v>
          </cell>
          <cell r="I5367" t="str">
            <v>-</v>
          </cell>
          <cell r="J5367">
            <v>4.9799999999999996E-4</v>
          </cell>
          <cell r="K5367" t="str">
            <v>Small Cap</v>
          </cell>
        </row>
        <row r="5368">
          <cell r="C5368" t="str">
            <v>INE429R01017</v>
          </cell>
          <cell r="D5368" t="str">
            <v>SHIVKAMAL</v>
          </cell>
          <cell r="E5368">
            <v>0</v>
          </cell>
          <cell r="F5368" t="str">
            <v>-</v>
          </cell>
          <cell r="G5368" t="str">
            <v>-</v>
          </cell>
          <cell r="H5368" t="str">
            <v>-</v>
          </cell>
          <cell r="I5368" t="str">
            <v>-</v>
          </cell>
          <cell r="J5368">
            <v>4.9799999999999996E-4</v>
          </cell>
          <cell r="K5368" t="str">
            <v>Small Cap</v>
          </cell>
        </row>
        <row r="5369">
          <cell r="C5369" t="str">
            <v>INE836D01013</v>
          </cell>
          <cell r="D5369" t="str">
            <v>RGCORP</v>
          </cell>
          <cell r="E5369">
            <v>0</v>
          </cell>
          <cell r="F5369" t="str">
            <v>-</v>
          </cell>
          <cell r="G5369" t="str">
            <v>-</v>
          </cell>
          <cell r="H5369" t="str">
            <v>-</v>
          </cell>
          <cell r="I5369" t="str">
            <v>-</v>
          </cell>
          <cell r="J5369">
            <v>4.9799999999999996E-4</v>
          </cell>
          <cell r="K5369" t="str">
            <v>Small Cap</v>
          </cell>
        </row>
        <row r="5370">
          <cell r="C5370" t="str">
            <v>INE923R01019</v>
          </cell>
          <cell r="D5370" t="str">
            <v>RAIDEEPIND</v>
          </cell>
          <cell r="E5370">
            <v>0</v>
          </cell>
          <cell r="F5370" t="str">
            <v>-</v>
          </cell>
          <cell r="G5370" t="str">
            <v>-</v>
          </cell>
          <cell r="H5370" t="str">
            <v>-</v>
          </cell>
          <cell r="I5370" t="str">
            <v>-</v>
          </cell>
          <cell r="J5370">
            <v>4.9799999999999996E-4</v>
          </cell>
          <cell r="K5370" t="str">
            <v>Small Cap</v>
          </cell>
        </row>
        <row r="5371">
          <cell r="C5371" t="str">
            <v>INE249U01013</v>
          </cell>
          <cell r="D5371" t="str">
            <v>SUERYAAKNI</v>
          </cell>
          <cell r="E5371">
            <v>0</v>
          </cell>
          <cell r="F5371" t="str">
            <v>-</v>
          </cell>
          <cell r="G5371" t="str">
            <v>-</v>
          </cell>
          <cell r="H5371" t="str">
            <v>-</v>
          </cell>
          <cell r="I5371" t="str">
            <v>-</v>
          </cell>
          <cell r="J5371">
            <v>4.9799999999999996E-4</v>
          </cell>
          <cell r="K5371" t="str">
            <v>Small Cap</v>
          </cell>
        </row>
        <row r="5372">
          <cell r="C5372" t="str">
            <v>INE043R01016</v>
          </cell>
          <cell r="D5372" t="str">
            <v>JYOTIN</v>
          </cell>
          <cell r="E5372">
            <v>0</v>
          </cell>
          <cell r="F5372" t="str">
            <v>-</v>
          </cell>
          <cell r="G5372" t="str">
            <v>-</v>
          </cell>
          <cell r="H5372" t="str">
            <v>-</v>
          </cell>
          <cell r="I5372" t="str">
            <v>-</v>
          </cell>
          <cell r="J5372">
            <v>4.9799999999999996E-4</v>
          </cell>
          <cell r="K5372" t="str">
            <v>Small Cap</v>
          </cell>
        </row>
        <row r="5373">
          <cell r="C5373" t="str">
            <v>INE128G01018</v>
          </cell>
          <cell r="D5373" t="str">
            <v>VARDHANCFL</v>
          </cell>
          <cell r="E5373">
            <v>0</v>
          </cell>
          <cell r="F5373" t="str">
            <v>-</v>
          </cell>
          <cell r="G5373" t="str">
            <v>-</v>
          </cell>
          <cell r="H5373" t="str">
            <v>-</v>
          </cell>
          <cell r="I5373" t="str">
            <v>-</v>
          </cell>
          <cell r="J5373">
            <v>4.9799999999999996E-4</v>
          </cell>
          <cell r="K5373" t="str">
            <v>Small Cap</v>
          </cell>
        </row>
        <row r="5374">
          <cell r="C5374" t="str">
            <v>INE0ROQ01011</v>
          </cell>
          <cell r="D5374" t="str">
            <v>TRAFIKSOL</v>
          </cell>
          <cell r="E5374">
            <v>0</v>
          </cell>
          <cell r="F5374" t="str">
            <v>-</v>
          </cell>
          <cell r="G5374" t="str">
            <v>-</v>
          </cell>
          <cell r="H5374" t="str">
            <v>-</v>
          </cell>
          <cell r="I5374" t="str">
            <v>-</v>
          </cell>
          <cell r="J5374">
            <v>4.9799999999999996E-4</v>
          </cell>
          <cell r="K5374" t="str">
            <v>Small Cap</v>
          </cell>
        </row>
        <row r="5375">
          <cell r="C5375" t="str">
            <v>INE2KCE01013</v>
          </cell>
          <cell r="K5375" t="str">
            <v>Small Cap</v>
          </cell>
        </row>
        <row r="5376">
          <cell r="C5376" t="str">
            <v>INE598D01035</v>
          </cell>
          <cell r="D5376" t="str">
            <v>-</v>
          </cell>
          <cell r="E5376" t="str">
            <v>-</v>
          </cell>
          <cell r="F5376" t="str">
            <v>ALGOQUANT</v>
          </cell>
          <cell r="G5376">
            <v>1822.0809999999999</v>
          </cell>
          <cell r="H5376" t="str">
            <v>-</v>
          </cell>
          <cell r="I5376" t="str">
            <v>-</v>
          </cell>
          <cell r="J5376">
            <v>1822.0809999999999</v>
          </cell>
          <cell r="K5376" t="str">
            <v>Small Cap</v>
          </cell>
        </row>
        <row r="5377">
          <cell r="C5377" t="str">
            <v>INE1HK501016</v>
          </cell>
          <cell r="D5377" t="str">
            <v>MDRC</v>
          </cell>
          <cell r="E5377">
            <v>134.72921790000001</v>
          </cell>
          <cell r="F5377" t="str">
            <v>-</v>
          </cell>
          <cell r="G5377" t="str">
            <v>-</v>
          </cell>
          <cell r="H5377" t="str">
            <v>-</v>
          </cell>
          <cell r="I5377" t="str">
            <v>-</v>
          </cell>
          <cell r="J5377">
            <v>134.72921790000001</v>
          </cell>
          <cell r="K5377" t="str">
            <v>Small Cap</v>
          </cell>
        </row>
        <row r="5378">
          <cell r="C5378" t="str">
            <v>INE24OJ01011</v>
          </cell>
          <cell r="D5378" t="str">
            <v>BUILDPRO </v>
          </cell>
          <cell r="E5378">
            <v>1753.113683643571</v>
          </cell>
          <cell r="F5378" t="str">
            <v>BUILDPRO</v>
          </cell>
          <cell r="G5378">
            <v>1753.1656</v>
          </cell>
          <cell r="H5378" t="str">
            <v>-</v>
          </cell>
          <cell r="I5378" t="str">
            <v>-</v>
          </cell>
          <cell r="J5378">
            <v>1753.1396418217855</v>
          </cell>
          <cell r="K5378" t="str">
            <v>Small Cap</v>
          </cell>
        </row>
        <row r="5379">
          <cell r="C5379" t="str">
            <v>INE1H1501013</v>
          </cell>
          <cell r="D5379" t="str">
            <v>GTIL</v>
          </cell>
          <cell r="E5379">
            <v>112.33044760000001</v>
          </cell>
          <cell r="F5379" t="str">
            <v>-</v>
          </cell>
          <cell r="G5379" t="str">
            <v>-</v>
          </cell>
          <cell r="H5379" t="str">
            <v>-</v>
          </cell>
          <cell r="I5379" t="str">
            <v>-</v>
          </cell>
          <cell r="J5379">
            <v>112.33044760000001</v>
          </cell>
          <cell r="K5379" t="str">
            <v>Small Cap</v>
          </cell>
        </row>
        <row r="5380">
          <cell r="C5380" t="str">
            <v>INE0CNJ01010</v>
          </cell>
          <cell r="D5380" t="str">
            <v>YAJUR</v>
          </cell>
          <cell r="E5380">
            <v>237.96602064300004</v>
          </cell>
          <cell r="F5380" t="str">
            <v>-</v>
          </cell>
          <cell r="G5380" t="str">
            <v>-</v>
          </cell>
          <cell r="H5380" t="str">
            <v>-</v>
          </cell>
          <cell r="I5380" t="str">
            <v>-</v>
          </cell>
          <cell r="J5380">
            <v>237.96602064300004</v>
          </cell>
          <cell r="K5380" t="str">
            <v>Small Cap</v>
          </cell>
        </row>
        <row r="5381">
          <cell r="C5381" t="str">
            <v>INE05XR01022</v>
          </cell>
          <cell r="D5381" t="str">
            <v>BHARATCOAL</v>
          </cell>
          <cell r="E5381">
            <v>18044.840111111109</v>
          </cell>
          <cell r="F5381" t="str">
            <v>BHARATCOAL</v>
          </cell>
          <cell r="G5381">
            <v>18039.665700000001</v>
          </cell>
          <cell r="H5381" t="str">
            <v>-</v>
          </cell>
          <cell r="I5381" t="str">
            <v>-</v>
          </cell>
          <cell r="J5381">
            <v>18042.252905555557</v>
          </cell>
          <cell r="K5381" t="str">
            <v>Small Cap</v>
          </cell>
        </row>
        <row r="5382">
          <cell r="C5382" t="str">
            <v>INE115S01010</v>
          </cell>
          <cell r="D5382" t="str">
            <v>-</v>
          </cell>
          <cell r="E5382" t="str">
            <v>-</v>
          </cell>
          <cell r="F5382" t="str">
            <v>HALDER</v>
          </cell>
          <cell r="G5382">
            <v>343.5772</v>
          </cell>
          <cell r="H5382" t="str">
            <v>-</v>
          </cell>
          <cell r="I5382" t="str">
            <v>-</v>
          </cell>
          <cell r="J5382">
            <v>343.5772</v>
          </cell>
          <cell r="K5382" t="str">
            <v>Small Cap</v>
          </cell>
        </row>
        <row r="5383">
          <cell r="C5383" t="str">
            <v>INE0ZE201010</v>
          </cell>
          <cell r="D5383" t="str">
            <v>DEFRAIL</v>
          </cell>
          <cell r="E5383">
            <v>66.480671862222209</v>
          </cell>
          <cell r="F5383" t="str">
            <v>-</v>
          </cell>
          <cell r="G5383" t="str">
            <v>-</v>
          </cell>
          <cell r="H5383" t="str">
            <v>-</v>
          </cell>
          <cell r="I5383" t="str">
            <v>-</v>
          </cell>
          <cell r="J5383">
            <v>66.480671862222209</v>
          </cell>
          <cell r="K5383" t="str">
            <v>Small Cap</v>
          </cell>
        </row>
        <row r="5384">
          <cell r="C5384" t="str">
            <v>INE0ALI01010</v>
          </cell>
          <cell r="D5384" t="str">
            <v>-</v>
          </cell>
          <cell r="E5384" t="str">
            <v>-</v>
          </cell>
          <cell r="F5384" t="str">
            <v>ADVAIT</v>
          </cell>
          <cell r="G5384">
            <v>1563.1251999999999</v>
          </cell>
          <cell r="H5384" t="str">
            <v>-</v>
          </cell>
          <cell r="I5384" t="str">
            <v>-</v>
          </cell>
          <cell r="J5384">
            <v>1563.1251999999999</v>
          </cell>
          <cell r="K5384" t="str">
            <v>Small Cap</v>
          </cell>
        </row>
        <row r="5385">
          <cell r="C5385" t="str">
            <v>INE121R01077</v>
          </cell>
          <cell r="D5385" t="str">
            <v>AMAGI</v>
          </cell>
          <cell r="E5385">
            <v>7874.1194503314282</v>
          </cell>
          <cell r="F5385" t="str">
            <v>AMAGI</v>
          </cell>
          <cell r="G5385">
            <v>7869.9471999999996</v>
          </cell>
          <cell r="H5385" t="str">
            <v>-</v>
          </cell>
          <cell r="I5385" t="str">
            <v>-</v>
          </cell>
          <cell r="J5385">
            <v>7872.0333251657139</v>
          </cell>
          <cell r="K5385" t="str">
            <v>Small Cap</v>
          </cell>
        </row>
        <row r="5386">
          <cell r="C5386" t="str">
            <v>INE0WKY01013</v>
          </cell>
          <cell r="D5386" t="str">
            <v>INDOSMC</v>
          </cell>
          <cell r="E5386">
            <v>333.52485750000005</v>
          </cell>
          <cell r="F5386" t="str">
            <v>-</v>
          </cell>
          <cell r="G5386" t="str">
            <v>-</v>
          </cell>
          <cell r="H5386" t="str">
            <v>-</v>
          </cell>
          <cell r="I5386" t="str">
            <v>-</v>
          </cell>
          <cell r="J5386">
            <v>333.52485750000005</v>
          </cell>
          <cell r="K5386" t="str">
            <v>Small Cap</v>
          </cell>
        </row>
        <row r="5387">
          <cell r="C5387" t="str">
            <v>INE0S1B01014</v>
          </cell>
          <cell r="D5387" t="str">
            <v>NARMADESH</v>
          </cell>
          <cell r="E5387">
            <v>125.69535771428572</v>
          </cell>
          <cell r="F5387" t="str">
            <v>-</v>
          </cell>
          <cell r="G5387" t="str">
            <v>-</v>
          </cell>
          <cell r="H5387" t="str">
            <v>-</v>
          </cell>
          <cell r="I5387" t="str">
            <v>-</v>
          </cell>
          <cell r="J5387">
            <v>125.69535771428572</v>
          </cell>
          <cell r="K5387" t="str">
            <v>Small Cap</v>
          </cell>
        </row>
        <row r="5388">
          <cell r="C5388" t="str">
            <v>INE0U8P01015</v>
          </cell>
          <cell r="D5388" t="str">
            <v>GRERENEW</v>
          </cell>
          <cell r="E5388">
            <v>137.44035428571428</v>
          </cell>
          <cell r="F5388" t="str">
            <v>-</v>
          </cell>
          <cell r="G5388" t="str">
            <v>-</v>
          </cell>
          <cell r="H5388" t="str">
            <v>-</v>
          </cell>
          <cell r="I5388" t="str">
            <v>-</v>
          </cell>
          <cell r="J5388">
            <v>137.44035428571428</v>
          </cell>
          <cell r="K5388" t="str">
            <v>Small Cap</v>
          </cell>
        </row>
        <row r="5389">
          <cell r="C5389" t="str">
            <v>INE1D8001016</v>
          </cell>
          <cell r="D5389" t="str">
            <v>ARITAS</v>
          </cell>
          <cell r="E5389">
            <v>83.59157238666667</v>
          </cell>
          <cell r="F5389" t="str">
            <v>-</v>
          </cell>
          <cell r="G5389" t="str">
            <v>-</v>
          </cell>
          <cell r="H5389" t="str">
            <v>-</v>
          </cell>
          <cell r="I5389" t="str">
            <v>-</v>
          </cell>
          <cell r="J5389">
            <v>83.59157238666667</v>
          </cell>
          <cell r="K5389" t="str">
            <v>Small Cap</v>
          </cell>
        </row>
        <row r="5390">
          <cell r="C5390" t="str">
            <v>INE12UN01015</v>
          </cell>
          <cell r="D5390" t="str">
            <v>SHADOWFAX</v>
          </cell>
          <cell r="E5390">
            <v>6114.722621283333</v>
          </cell>
          <cell r="F5390" t="str">
            <v>SHADOWFAX</v>
          </cell>
          <cell r="G5390">
            <v>6117.6133</v>
          </cell>
          <cell r="H5390" t="str">
            <v>-</v>
          </cell>
          <cell r="I5390" t="str">
            <v>-</v>
          </cell>
          <cell r="J5390">
            <v>6116.1679606416665</v>
          </cell>
          <cell r="K5390" t="str">
            <v>Small Cap</v>
          </cell>
        </row>
        <row r="5391">
          <cell r="C5391" t="str">
            <v>INE1OOT01028</v>
          </cell>
          <cell r="D5391" t="str">
            <v>DIGILOGIC</v>
          </cell>
          <cell r="E5391">
            <v>227.89285781666663</v>
          </cell>
          <cell r="F5391" t="str">
            <v>-</v>
          </cell>
          <cell r="G5391" t="str">
            <v>-</v>
          </cell>
          <cell r="H5391" t="str">
            <v>-</v>
          </cell>
          <cell r="I5391" t="str">
            <v>-</v>
          </cell>
          <cell r="J5391">
            <v>227.89285781666663</v>
          </cell>
          <cell r="K5391" t="str">
            <v>Small Cap</v>
          </cell>
        </row>
        <row r="5392">
          <cell r="C5392" t="str">
            <v>INE376C01038</v>
          </cell>
          <cell r="D5392" t="str">
            <v>-</v>
          </cell>
          <cell r="E5392" t="str">
            <v>-</v>
          </cell>
          <cell r="F5392" t="str">
            <v>CLCIND</v>
          </cell>
          <cell r="G5392">
            <v>9.3135999999999992</v>
          </cell>
          <cell r="H5392" t="str">
            <v>-</v>
          </cell>
          <cell r="I5392" t="str">
            <v>-</v>
          </cell>
          <cell r="J5392">
            <v>9.3135999999999992</v>
          </cell>
          <cell r="K5392" t="str">
            <v>Small Cap</v>
          </cell>
        </row>
        <row r="5393">
          <cell r="C5393" t="str">
            <v>INE0UCL01011</v>
          </cell>
          <cell r="D5393" t="str">
            <v>SHAYONAENG</v>
          </cell>
          <cell r="E5393">
            <v>58.773246800000003</v>
          </cell>
          <cell r="F5393" t="str">
            <v>-</v>
          </cell>
          <cell r="G5393" t="str">
            <v>-</v>
          </cell>
          <cell r="H5393" t="str">
            <v>-</v>
          </cell>
          <cell r="I5393" t="str">
            <v>-</v>
          </cell>
          <cell r="J5393">
            <v>58.773246800000003</v>
          </cell>
          <cell r="K5393" t="str">
            <v>Small Cap</v>
          </cell>
        </row>
        <row r="5394">
          <cell r="C5394" t="str">
            <v>INE041025011</v>
          </cell>
          <cell r="D5394" t="str">
            <v>EMBASSY</v>
          </cell>
          <cell r="E5394">
            <v>41443.999810194604</v>
          </cell>
          <cell r="F5394" t="str">
            <v>EMBASSY</v>
          </cell>
          <cell r="G5394">
            <v>41453.8105</v>
          </cell>
          <cell r="H5394" t="str">
            <v>-</v>
          </cell>
          <cell r="I5394" t="str">
            <v>-</v>
          </cell>
          <cell r="J5394">
            <v>41448.905155097302</v>
          </cell>
          <cell r="K5394" t="str">
            <v>Mid Cap</v>
          </cell>
        </row>
        <row r="5395">
          <cell r="C5395" t="str">
            <v>INE0CCU25019</v>
          </cell>
          <cell r="D5395" t="str">
            <v>MINDSPACE</v>
          </cell>
          <cell r="E5395">
            <v>30707.548477433193</v>
          </cell>
          <cell r="F5395" t="str">
            <v>MINDSPACE</v>
          </cell>
          <cell r="G5395">
            <v>29750.196800000002</v>
          </cell>
          <cell r="H5395" t="str">
            <v>-</v>
          </cell>
          <cell r="I5395" t="str">
            <v>-</v>
          </cell>
          <cell r="J5395">
            <v>30228.872638716595</v>
          </cell>
          <cell r="K5395" t="str">
            <v>Small Cap</v>
          </cell>
        </row>
        <row r="5396">
          <cell r="C5396" t="str">
            <v>INE0FDU25010</v>
          </cell>
          <cell r="D5396" t="str">
            <v xml:space="preserve">BIRET </v>
          </cell>
          <cell r="E5396">
            <v>25612.910225346146</v>
          </cell>
          <cell r="F5396" t="str">
            <v>BIRET</v>
          </cell>
          <cell r="G5396">
            <v>25608.975999999999</v>
          </cell>
          <cell r="H5396" t="str">
            <v>-</v>
          </cell>
          <cell r="I5396" t="str">
            <v>-</v>
          </cell>
          <cell r="J5396">
            <v>25610.943112673071</v>
          </cell>
          <cell r="K5396" t="str">
            <v>Small Cap</v>
          </cell>
        </row>
        <row r="5397">
          <cell r="C5397" t="str">
            <v>INE0NDH25011</v>
          </cell>
          <cell r="D5397" t="str">
            <v>NXST</v>
          </cell>
          <cell r="E5397">
            <v>24210.53325</v>
          </cell>
          <cell r="F5397" t="str">
            <v>NXST</v>
          </cell>
          <cell r="G5397">
            <v>24188.338500000002</v>
          </cell>
          <cell r="H5397" t="str">
            <v>-</v>
          </cell>
          <cell r="I5397" t="str">
            <v>-</v>
          </cell>
          <cell r="J5397">
            <v>24199.435875000003</v>
          </cell>
          <cell r="K5397" t="str">
            <v>Small Cap</v>
          </cell>
        </row>
        <row r="5398">
          <cell r="C5398" t="str">
            <v>INE1JAR25012</v>
          </cell>
          <cell r="D5398" t="str">
            <v>KRT</v>
          </cell>
          <cell r="E5398">
            <v>55228.007363407451</v>
          </cell>
          <cell r="F5398" t="str">
            <v>KRT</v>
          </cell>
          <cell r="G5398">
            <v>55250.844499999999</v>
          </cell>
          <cell r="H5398" t="str">
            <v>-</v>
          </cell>
          <cell r="I5398" t="str">
            <v>-</v>
          </cell>
          <cell r="J5398">
            <v>55239.425931703721</v>
          </cell>
          <cell r="K5398" t="str">
            <v>Mid Cap</v>
          </cell>
        </row>
        <row r="5399">
          <cell r="C5399" t="str">
            <v>INE19RO25013</v>
          </cell>
          <cell r="D5399" t="str">
            <v>PSPLATINA</v>
          </cell>
          <cell r="E5399">
            <v>346.73634281818181</v>
          </cell>
          <cell r="F5399" t="str">
            <v>-</v>
          </cell>
          <cell r="G5399" t="str">
            <v>-</v>
          </cell>
          <cell r="H5399" t="str">
            <v>-</v>
          </cell>
          <cell r="I5399" t="str">
            <v>-</v>
          </cell>
          <cell r="J5399">
            <v>346.73634281818181</v>
          </cell>
          <cell r="K5399" t="str">
            <v>Small Cap</v>
          </cell>
        </row>
        <row r="5400">
          <cell r="C5400" t="str">
            <v>INE19RO25021</v>
          </cell>
          <cell r="D5400" t="str">
            <v>PSTITANIA</v>
          </cell>
          <cell r="E5400">
            <v>473.9677696666667</v>
          </cell>
          <cell r="F5400" t="str">
            <v>-</v>
          </cell>
          <cell r="G5400" t="str">
            <v>-</v>
          </cell>
          <cell r="H5400" t="str">
            <v>-</v>
          </cell>
          <cell r="I5400" t="str">
            <v>-</v>
          </cell>
          <cell r="J5400">
            <v>473.9677696666667</v>
          </cell>
          <cell r="K5400" t="str">
            <v>Small Cap</v>
          </cell>
        </row>
        <row r="5401">
          <cell r="C5401" t="str">
            <v>INE0JVH01012</v>
          </cell>
          <cell r="D5401" t="str">
            <v>HANNAH</v>
          </cell>
          <cell r="E5401">
            <v>148.833166191</v>
          </cell>
          <cell r="F5401" t="str">
            <v>-</v>
          </cell>
          <cell r="G5401" t="str">
            <v>-</v>
          </cell>
          <cell r="H5401" t="str">
            <v>-</v>
          </cell>
          <cell r="I5401" t="str">
            <v>-</v>
          </cell>
          <cell r="J5401">
            <v>148.833166191</v>
          </cell>
          <cell r="K5401" t="str">
            <v>Small Cap</v>
          </cell>
        </row>
        <row r="5402">
          <cell r="C5402" t="str">
            <v>INE0T1301023</v>
          </cell>
          <cell r="D5402" t="str">
            <v>KASTURI</v>
          </cell>
          <cell r="E5402">
            <v>67.603893450947382</v>
          </cell>
          <cell r="F5402" t="str">
            <v>-</v>
          </cell>
          <cell r="G5402" t="str">
            <v>-</v>
          </cell>
          <cell r="H5402" t="str">
            <v>-</v>
          </cell>
          <cell r="I5402" t="str">
            <v>-</v>
          </cell>
          <cell r="J5402">
            <v>67.603893450947382</v>
          </cell>
          <cell r="K5402" t="str">
            <v>Small Cap</v>
          </cell>
        </row>
        <row r="5403">
          <cell r="C5403" t="str">
            <v>INE163401016</v>
          </cell>
          <cell r="D5403" t="str">
            <v>KANISHK</v>
          </cell>
          <cell r="E5403">
            <v>58.757440000000003</v>
          </cell>
          <cell r="F5403" t="str">
            <v>-</v>
          </cell>
          <cell r="G5403" t="str">
            <v>-</v>
          </cell>
          <cell r="H5403" t="str">
            <v>-</v>
          </cell>
          <cell r="I5403" t="str">
            <v>-</v>
          </cell>
          <cell r="J5403">
            <v>58.757440000000003</v>
          </cell>
          <cell r="K5403" t="str">
            <v>Small Cap</v>
          </cell>
        </row>
        <row r="5404">
          <cell r="C5404" t="str">
            <v>INE1KVQ01019</v>
          </cell>
          <cell r="D5404" t="str">
            <v>ANL</v>
          </cell>
          <cell r="E5404">
            <v>130.57127058823531</v>
          </cell>
          <cell r="F5404" t="str">
            <v>-</v>
          </cell>
          <cell r="G5404" t="str">
            <v>-</v>
          </cell>
          <cell r="H5404" t="str">
            <v>-</v>
          </cell>
          <cell r="I5404" t="str">
            <v>-</v>
          </cell>
          <cell r="J5404">
            <v>130.57127058823531</v>
          </cell>
          <cell r="K5404" t="str">
            <v>Small Cap</v>
          </cell>
        </row>
        <row r="5405">
          <cell r="C5405" t="str">
            <v>INE2B5L01011</v>
          </cell>
          <cell r="D5405" t="str">
            <v>MSAFE</v>
          </cell>
          <cell r="E5405">
            <v>271.88666666666677</v>
          </cell>
          <cell r="F5405" t="str">
            <v>-</v>
          </cell>
          <cell r="G5405" t="str">
            <v>-</v>
          </cell>
          <cell r="H5405" t="str">
            <v>-</v>
          </cell>
          <cell r="I5405" t="str">
            <v>-</v>
          </cell>
          <cell r="J5405">
            <v>271.88666666666677</v>
          </cell>
          <cell r="K5405" t="str">
            <v>Small Cap</v>
          </cell>
        </row>
        <row r="5406">
          <cell r="C5406" t="str">
            <v>INE1N9E01015</v>
          </cell>
          <cell r="D5406" t="str">
            <v>PANHR</v>
          </cell>
          <cell r="E5406">
            <v>48.001390903090901</v>
          </cell>
          <cell r="F5406" t="str">
            <v>-</v>
          </cell>
          <cell r="G5406" t="str">
            <v>-</v>
          </cell>
          <cell r="H5406" t="str">
            <v>-</v>
          </cell>
          <cell r="I5406" t="str">
            <v>-</v>
          </cell>
          <cell r="J5406">
            <v>48.001390903090901</v>
          </cell>
          <cell r="K5406" t="str">
            <v>Small Cap</v>
          </cell>
        </row>
        <row r="5407">
          <cell r="C5407" t="str">
            <v>INE2KCE01013</v>
          </cell>
          <cell r="D5407" t="str">
            <v>KWIL </v>
          </cell>
          <cell r="E5407">
            <v>6447.7483411804005</v>
          </cell>
          <cell r="F5407" t="str">
            <v>KWIL</v>
          </cell>
          <cell r="G5407">
            <v>6437.4101000000001</v>
          </cell>
          <cell r="H5407" t="str">
            <v>-</v>
          </cell>
          <cell r="I5407" t="str">
            <v>-</v>
          </cell>
          <cell r="J5407">
            <v>6442.5792205901998</v>
          </cell>
          <cell r="K5407" t="str">
            <v>Small Cap</v>
          </cell>
        </row>
        <row r="5408">
          <cell r="C5408" t="str">
            <v>INE501X01029</v>
          </cell>
          <cell r="D5408" t="str">
            <v>AYE</v>
          </cell>
          <cell r="E5408">
            <v>3101.3378708220002</v>
          </cell>
          <cell r="F5408" t="str">
            <v>AYE</v>
          </cell>
          <cell r="G5408">
            <v>3099.5117</v>
          </cell>
          <cell r="H5408" t="str">
            <v>-</v>
          </cell>
          <cell r="I5408" t="str">
            <v>-</v>
          </cell>
          <cell r="J5408">
            <v>3100.4247854109999</v>
          </cell>
          <cell r="K5408" t="str">
            <v>Small Cap</v>
          </cell>
        </row>
        <row r="5409">
          <cell r="C5409" t="str">
            <v>INE212S01015</v>
          </cell>
          <cell r="D5409" t="str">
            <v>FRACTAL</v>
          </cell>
          <cell r="E5409">
            <v>14459.170547184</v>
          </cell>
          <cell r="F5409" t="str">
            <v>FRACTAL</v>
          </cell>
          <cell r="G5409">
            <v>14467.252899999999</v>
          </cell>
          <cell r="H5409" t="str">
            <v>-</v>
          </cell>
          <cell r="I5409" t="str">
            <v>-</v>
          </cell>
          <cell r="J5409">
            <v>14463.211723592</v>
          </cell>
          <cell r="K5409" t="str">
            <v>Small Cap</v>
          </cell>
        </row>
        <row r="5410">
          <cell r="C5410" t="str">
            <v>INE0OU201013</v>
          </cell>
          <cell r="D5410" t="str">
            <v>DCMSIL </v>
          </cell>
          <cell r="E5410">
            <v>512.79959897833328</v>
          </cell>
          <cell r="F5410" t="str">
            <v>DCMSIL</v>
          </cell>
          <cell r="G5410">
            <v>513.07989999999995</v>
          </cell>
          <cell r="H5410" t="str">
            <v>-</v>
          </cell>
          <cell r="I5410" t="str">
            <v>-</v>
          </cell>
          <cell r="J5410">
            <v>512.93974948916662</v>
          </cell>
          <cell r="K5410" t="str">
            <v>Small Cap</v>
          </cell>
        </row>
        <row r="5411">
          <cell r="C5411" t="str">
            <v>INE0OFM01015</v>
          </cell>
          <cell r="D5411" t="str">
            <v>DSFCL </v>
          </cell>
          <cell r="E5411">
            <v>342.29491637833331</v>
          </cell>
          <cell r="F5411" t="str">
            <v>DSFCL</v>
          </cell>
          <cell r="G5411">
            <v>342.13060000000002</v>
          </cell>
          <cell r="H5411" t="str">
            <v>-</v>
          </cell>
          <cell r="I5411" t="str">
            <v>-</v>
          </cell>
          <cell r="J5411">
            <v>342.21275818916666</v>
          </cell>
          <cell r="K5411" t="str">
            <v>Small Cap</v>
          </cell>
        </row>
        <row r="5412">
          <cell r="C5412" t="str">
            <v>INE1W3Q01011</v>
          </cell>
          <cell r="D5412" t="str">
            <v>FIL</v>
          </cell>
          <cell r="E5412">
            <v>167.75972104125</v>
          </cell>
          <cell r="F5412" t="str">
            <v>-</v>
          </cell>
          <cell r="G5412" t="str">
            <v>-</v>
          </cell>
          <cell r="H5412" t="str">
            <v>-</v>
          </cell>
          <cell r="I5412" t="str">
            <v>-</v>
          </cell>
          <cell r="J5412">
            <v>167.75972104125</v>
          </cell>
          <cell r="K5412" t="str">
            <v>Small Cap</v>
          </cell>
        </row>
        <row r="5413">
          <cell r="C5413" t="str">
            <v>INE1O6P01016</v>
          </cell>
          <cell r="D5413" t="str">
            <v>YASHHTEJ</v>
          </cell>
          <cell r="E5413">
            <v>183.521286</v>
          </cell>
          <cell r="F5413" t="str">
            <v>-</v>
          </cell>
          <cell r="G5413" t="str">
            <v>-</v>
          </cell>
          <cell r="H5413" t="str">
            <v>-</v>
          </cell>
          <cell r="I5413" t="str">
            <v>-</v>
          </cell>
          <cell r="J5413">
            <v>183.521286</v>
          </cell>
          <cell r="K5413" t="str">
            <v>Small Cap</v>
          </cell>
        </row>
        <row r="5414">
          <cell r="C5414" t="str">
            <v>INE0P8B01020</v>
          </cell>
          <cell r="D5414" t="str">
            <v>GAUDIUMIVF</v>
          </cell>
          <cell r="E5414">
            <v>585.78884243200002</v>
          </cell>
          <cell r="F5414" t="str">
            <v>GAUDIUMIVF</v>
          </cell>
          <cell r="G5414">
            <v>584.1875</v>
          </cell>
          <cell r="H5414" t="str">
            <v>-</v>
          </cell>
          <cell r="I5414" t="str">
            <v>-</v>
          </cell>
          <cell r="J5414">
            <v>584.98817121599996</v>
          </cell>
          <cell r="K5414" t="str">
            <v>Small Cap</v>
          </cell>
        </row>
        <row r="5415">
          <cell r="C5415" t="str">
            <v>INE947T01022</v>
          </cell>
          <cell r="D5415" t="str">
            <v>-</v>
          </cell>
          <cell r="E5415" t="str">
            <v>-</v>
          </cell>
          <cell r="F5415" t="str">
            <v>GICL</v>
          </cell>
          <cell r="G5415">
            <v>556.20439999999996</v>
          </cell>
          <cell r="H5415" t="str">
            <v>-</v>
          </cell>
          <cell r="I5415" t="str">
            <v>-</v>
          </cell>
          <cell r="J5415">
            <v>556.20439999999996</v>
          </cell>
          <cell r="K5415" t="str">
            <v>Small Cap</v>
          </cell>
        </row>
        <row r="5416">
          <cell r="C5416" t="str">
            <v>INE016Q01014</v>
          </cell>
          <cell r="D5416" t="str">
            <v>-</v>
          </cell>
          <cell r="E5416" t="str">
            <v>-</v>
          </cell>
          <cell r="F5416" t="str">
            <v>CEINSYS</v>
          </cell>
          <cell r="G5416">
            <v>1757.1745000000001</v>
          </cell>
          <cell r="H5416" t="str">
            <v>-</v>
          </cell>
          <cell r="I5416" t="str">
            <v>-</v>
          </cell>
          <cell r="J5416">
            <v>1757.1745000000001</v>
          </cell>
          <cell r="K5416" t="str">
            <v>Small Cap</v>
          </cell>
        </row>
        <row r="5417">
          <cell r="C5417" t="str">
            <v>INE0B9A01018</v>
          </cell>
          <cell r="D5417" t="str">
            <v>-</v>
          </cell>
          <cell r="E5417" t="str">
            <v>-</v>
          </cell>
          <cell r="F5417" t="str">
            <v>BONLON</v>
          </cell>
          <cell r="G5417">
            <v>63.357100000000003</v>
          </cell>
          <cell r="H5417" t="str">
            <v>-</v>
          </cell>
          <cell r="I5417" t="str">
            <v>-</v>
          </cell>
          <cell r="J5417">
            <v>63.357100000000003</v>
          </cell>
          <cell r="K5417" t="str">
            <v>Small Cap</v>
          </cell>
        </row>
        <row r="5418">
          <cell r="C5418" t="str">
            <v>INE750R01016</v>
          </cell>
          <cell r="D5418" t="str">
            <v>-</v>
          </cell>
          <cell r="E5418" t="str">
            <v>-</v>
          </cell>
          <cell r="F5418" t="str">
            <v>AARNAV</v>
          </cell>
          <cell r="G5418">
            <v>116.4237</v>
          </cell>
          <cell r="H5418" t="str">
            <v>-</v>
          </cell>
          <cell r="I5418" t="str">
            <v>-</v>
          </cell>
          <cell r="J5418">
            <v>116.4237</v>
          </cell>
          <cell r="K5418" t="str">
            <v>Small Cap</v>
          </cell>
        </row>
        <row r="5419">
          <cell r="C5419" t="str">
            <v>INE887D01016</v>
          </cell>
          <cell r="D5419" t="str">
            <v>-</v>
          </cell>
          <cell r="E5419" t="str">
            <v>-</v>
          </cell>
          <cell r="F5419" t="str">
            <v>TCC</v>
          </cell>
          <cell r="G5419">
            <v>2173.2997999999998</v>
          </cell>
          <cell r="H5419" t="str">
            <v>-</v>
          </cell>
          <cell r="I5419" t="str">
            <v>-</v>
          </cell>
          <cell r="J5419">
            <v>2173.2997999999998</v>
          </cell>
          <cell r="K5419" t="str">
            <v>Small Cap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EB91-BAB6-4CF0-BDDB-AC0AEEB5C454}">
  <dimension ref="B1:N112"/>
  <sheetViews>
    <sheetView tabSelected="1" topLeftCell="L1" workbookViewId="0">
      <selection activeCell="U13" sqref="U13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85546875" style="4" bestFit="1" customWidth="1"/>
    <col min="4" max="4" width="27.85546875" style="4" bestFit="1" customWidth="1"/>
    <col min="5" max="5" width="9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1793764</v>
      </c>
      <c r="F7" s="20">
        <v>43827.040000000001</v>
      </c>
      <c r="G7" s="20">
        <v>3.43</v>
      </c>
      <c r="H7" s="20" t="str">
        <f>IFERROR(VLOOKUP($C7,[1]Sheet1!$C$3:$K$5419,9,FALSE),"")</f>
        <v>Mid Cap</v>
      </c>
      <c r="K7" s="21"/>
      <c r="L7" s="21"/>
      <c r="M7" s="21"/>
      <c r="N7" s="21"/>
    </row>
    <row r="8" spans="2:14" x14ac:dyDescent="0.2">
      <c r="B8" s="22" t="s">
        <v>18</v>
      </c>
      <c r="C8" s="19" t="s">
        <v>19</v>
      </c>
      <c r="D8" s="19" t="s">
        <v>20</v>
      </c>
      <c r="E8" s="23">
        <v>782973</v>
      </c>
      <c r="F8" s="20">
        <v>39778.160000000003</v>
      </c>
      <c r="G8" s="20">
        <v>3.12</v>
      </c>
      <c r="H8" s="20" t="str">
        <f>IFERROR(VLOOKUP($C8,[1]Sheet1!$C$3:$K$5419,9,FALSE),"")</f>
        <v>Mid Cap</v>
      </c>
      <c r="K8" s="21"/>
      <c r="L8" s="21"/>
      <c r="M8" s="21"/>
      <c r="N8" s="21"/>
    </row>
    <row r="9" spans="2:14" x14ac:dyDescent="0.2">
      <c r="B9" s="22" t="s">
        <v>21</v>
      </c>
      <c r="C9" s="19" t="s">
        <v>22</v>
      </c>
      <c r="D9" s="19" t="s">
        <v>23</v>
      </c>
      <c r="E9" s="23">
        <v>12186691</v>
      </c>
      <c r="F9" s="20">
        <v>39752.99</v>
      </c>
      <c r="G9" s="20">
        <v>3.11</v>
      </c>
      <c r="H9" s="20" t="str">
        <f>IFERROR(VLOOKUP($C9,[1]Sheet1!$C$3:$K$5419,9,FALSE),"")</f>
        <v>Small Cap</v>
      </c>
      <c r="K9" s="21"/>
      <c r="L9" s="21"/>
      <c r="M9" s="21"/>
      <c r="N9" s="21"/>
    </row>
    <row r="10" spans="2:14" x14ac:dyDescent="0.2">
      <c r="B10" s="22" t="s">
        <v>24</v>
      </c>
      <c r="C10" s="19" t="s">
        <v>25</v>
      </c>
      <c r="D10" s="19" t="s">
        <v>26</v>
      </c>
      <c r="E10" s="23">
        <v>846352</v>
      </c>
      <c r="F10" s="20">
        <v>32586.240000000002</v>
      </c>
      <c r="G10" s="20">
        <v>2.5499999999999998</v>
      </c>
      <c r="H10" s="20" t="str">
        <f>IFERROR(VLOOKUP($C10,[1]Sheet1!$C$3:$K$5419,9,FALSE),"")</f>
        <v>Mid Cap</v>
      </c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23</v>
      </c>
      <c r="E11" s="23">
        <v>11105607</v>
      </c>
      <c r="F11" s="20">
        <v>31434.42</v>
      </c>
      <c r="G11" s="20">
        <v>2.46</v>
      </c>
      <c r="H11" s="20" t="str">
        <f>IFERROR(VLOOKUP($C11,[1]Sheet1!$C$3:$K$5419,9,FALSE),"")</f>
        <v>Small Cap</v>
      </c>
      <c r="K11" s="21"/>
      <c r="L11" s="21"/>
      <c r="M11" s="21"/>
      <c r="N11" s="21"/>
    </row>
    <row r="12" spans="2:14" x14ac:dyDescent="0.2">
      <c r="B12" s="22" t="s">
        <v>29</v>
      </c>
      <c r="C12" s="19" t="s">
        <v>30</v>
      </c>
      <c r="D12" s="19" t="s">
        <v>31</v>
      </c>
      <c r="E12" s="23">
        <v>388029</v>
      </c>
      <c r="F12" s="20">
        <v>30941.43</v>
      </c>
      <c r="G12" s="20">
        <v>2.42</v>
      </c>
      <c r="H12" s="20" t="str">
        <f>IFERROR(VLOOKUP($C12,[1]Sheet1!$C$3:$K$5419,9,FALSE),"")</f>
        <v>Small Cap</v>
      </c>
      <c r="K12" s="24"/>
      <c r="L12" s="24"/>
      <c r="M12" s="24"/>
      <c r="N12" s="24"/>
    </row>
    <row r="13" spans="2:14" x14ac:dyDescent="0.2">
      <c r="B13" s="22" t="s">
        <v>32</v>
      </c>
      <c r="C13" s="19" t="s">
        <v>33</v>
      </c>
      <c r="D13" s="19" t="s">
        <v>34</v>
      </c>
      <c r="E13" s="23">
        <v>1353805</v>
      </c>
      <c r="F13" s="20">
        <v>27800.39</v>
      </c>
      <c r="G13" s="20">
        <v>2.1800000000000002</v>
      </c>
      <c r="H13" s="20" t="str">
        <f>IFERROR(VLOOKUP($C13,[1]Sheet1!$C$3:$K$5419,9,FALSE),"")</f>
        <v>Small Cap</v>
      </c>
      <c r="L13" s="25" t="s">
        <v>35</v>
      </c>
    </row>
    <row r="14" spans="2:14" x14ac:dyDescent="0.2">
      <c r="B14" s="22" t="s">
        <v>36</v>
      </c>
      <c r="C14" s="19" t="s">
        <v>37</v>
      </c>
      <c r="D14" s="19" t="s">
        <v>31</v>
      </c>
      <c r="E14" s="23">
        <v>1274202</v>
      </c>
      <c r="F14" s="20">
        <v>24734.81</v>
      </c>
      <c r="G14" s="20">
        <v>1.94</v>
      </c>
      <c r="H14" s="20" t="str">
        <f>IFERROR(VLOOKUP($C14,[1]Sheet1!$C$3:$K$5419,9,FALSE),"")</f>
        <v>Mid Cap</v>
      </c>
    </row>
    <row r="15" spans="2:14" x14ac:dyDescent="0.2">
      <c r="B15" s="22" t="s">
        <v>38</v>
      </c>
      <c r="C15" s="19" t="s">
        <v>39</v>
      </c>
      <c r="D15" s="19" t="s">
        <v>34</v>
      </c>
      <c r="E15" s="23">
        <v>747040</v>
      </c>
      <c r="F15" s="20">
        <v>22365.63</v>
      </c>
      <c r="G15" s="20">
        <v>1.75</v>
      </c>
      <c r="H15" s="20" t="str">
        <f>IFERROR(VLOOKUP($C15,[1]Sheet1!$C$3:$K$5419,9,FALSE),"")</f>
        <v>Small Cap</v>
      </c>
    </row>
    <row r="16" spans="2:14" x14ac:dyDescent="0.2">
      <c r="B16" s="22" t="s">
        <v>40</v>
      </c>
      <c r="C16" s="19" t="s">
        <v>41</v>
      </c>
      <c r="D16" s="19" t="s">
        <v>23</v>
      </c>
      <c r="E16" s="23">
        <v>2233399</v>
      </c>
      <c r="F16" s="20">
        <v>22121.82</v>
      </c>
      <c r="G16" s="20">
        <v>1.73</v>
      </c>
      <c r="H16" s="20" t="str">
        <f>IFERROR(VLOOKUP($C16,[1]Sheet1!$C$3:$K$5419,9,FALSE),"")</f>
        <v>Mid Cap</v>
      </c>
    </row>
    <row r="17" spans="2:8" x14ac:dyDescent="0.2">
      <c r="B17" s="22" t="s">
        <v>42</v>
      </c>
      <c r="C17" s="19" t="s">
        <v>43</v>
      </c>
      <c r="D17" s="19" t="s">
        <v>44</v>
      </c>
      <c r="E17" s="23">
        <v>1778312</v>
      </c>
      <c r="F17" s="20">
        <v>21798.55</v>
      </c>
      <c r="G17" s="20">
        <v>1.71</v>
      </c>
      <c r="H17" s="20" t="str">
        <f>IFERROR(VLOOKUP($C17,[1]Sheet1!$C$3:$K$5419,9,FALSE),"")</f>
        <v>Small Cap</v>
      </c>
    </row>
    <row r="18" spans="2:8" x14ac:dyDescent="0.2">
      <c r="B18" s="22" t="s">
        <v>45</v>
      </c>
      <c r="C18" s="19" t="s">
        <v>46</v>
      </c>
      <c r="D18" s="19" t="s">
        <v>17</v>
      </c>
      <c r="E18" s="23">
        <v>638582</v>
      </c>
      <c r="F18" s="20">
        <v>19642.14</v>
      </c>
      <c r="G18" s="20">
        <v>1.54</v>
      </c>
      <c r="H18" s="20" t="str">
        <f>IFERROR(VLOOKUP($C18,[1]Sheet1!$C$3:$K$5419,9,FALSE),"")</f>
        <v>Small Cap</v>
      </c>
    </row>
    <row r="19" spans="2:8" x14ac:dyDescent="0.2">
      <c r="B19" s="22" t="s">
        <v>47</v>
      </c>
      <c r="C19" s="19" t="s">
        <v>48</v>
      </c>
      <c r="D19" s="19" t="s">
        <v>49</v>
      </c>
      <c r="E19" s="23">
        <v>2359713</v>
      </c>
      <c r="F19" s="20">
        <v>19461.73</v>
      </c>
      <c r="G19" s="20">
        <v>1.52</v>
      </c>
      <c r="H19" s="20" t="str">
        <f>IFERROR(VLOOKUP($C19,[1]Sheet1!$C$3:$K$5419,9,FALSE),"")</f>
        <v>Small Cap</v>
      </c>
    </row>
    <row r="20" spans="2:8" x14ac:dyDescent="0.2">
      <c r="B20" s="22" t="s">
        <v>50</v>
      </c>
      <c r="C20" s="19" t="s">
        <v>51</v>
      </c>
      <c r="D20" s="19" t="s">
        <v>52</v>
      </c>
      <c r="E20" s="23">
        <v>4267889</v>
      </c>
      <c r="F20" s="20">
        <v>18979.3</v>
      </c>
      <c r="G20" s="20">
        <v>1.49</v>
      </c>
      <c r="H20" s="20" t="str">
        <f>IFERROR(VLOOKUP($C20,[1]Sheet1!$C$3:$K$5419,9,FALSE),"")</f>
        <v>Large Cap</v>
      </c>
    </row>
    <row r="21" spans="2:8" x14ac:dyDescent="0.2">
      <c r="B21" s="22" t="s">
        <v>53</v>
      </c>
      <c r="C21" s="19" t="s">
        <v>54</v>
      </c>
      <c r="D21" s="19" t="s">
        <v>23</v>
      </c>
      <c r="E21" s="23">
        <v>28810442</v>
      </c>
      <c r="F21" s="20">
        <v>18545.28</v>
      </c>
      <c r="G21" s="20">
        <v>1.45</v>
      </c>
      <c r="H21" s="20" t="str">
        <f>IFERROR(VLOOKUP($C21,[1]Sheet1!$C$3:$K$5419,9,FALSE),"")</f>
        <v>Small Cap</v>
      </c>
    </row>
    <row r="22" spans="2:8" x14ac:dyDescent="0.2">
      <c r="B22" s="22" t="s">
        <v>55</v>
      </c>
      <c r="C22" s="19" t="s">
        <v>56</v>
      </c>
      <c r="D22" s="19" t="s">
        <v>49</v>
      </c>
      <c r="E22" s="23">
        <v>1092524</v>
      </c>
      <c r="F22" s="20">
        <v>17852.93</v>
      </c>
      <c r="G22" s="20">
        <v>1.4</v>
      </c>
      <c r="H22" s="20" t="str">
        <f>IFERROR(VLOOKUP($C22,[1]Sheet1!$C$3:$K$5419,9,FALSE),"")</f>
        <v>Mid Cap</v>
      </c>
    </row>
    <row r="23" spans="2:8" x14ac:dyDescent="0.2">
      <c r="B23" s="22" t="s">
        <v>57</v>
      </c>
      <c r="C23" s="19" t="s">
        <v>58</v>
      </c>
      <c r="D23" s="19" t="s">
        <v>59</v>
      </c>
      <c r="E23" s="23">
        <v>44296278</v>
      </c>
      <c r="F23" s="20">
        <v>17519.18</v>
      </c>
      <c r="G23" s="20">
        <v>1.37</v>
      </c>
      <c r="H23" s="20" t="str">
        <f>IFERROR(VLOOKUP($C23,[1]Sheet1!$C$3:$K$5419,9,FALSE),"")</f>
        <v>Small Cap</v>
      </c>
    </row>
    <row r="24" spans="2:8" x14ac:dyDescent="0.2">
      <c r="B24" s="22" t="s">
        <v>60</v>
      </c>
      <c r="C24" s="19" t="s">
        <v>61</v>
      </c>
      <c r="D24" s="19" t="s">
        <v>62</v>
      </c>
      <c r="E24" s="23">
        <v>1338657</v>
      </c>
      <c r="F24" s="20">
        <v>17271.349999999999</v>
      </c>
      <c r="G24" s="20">
        <v>1.35</v>
      </c>
      <c r="H24" s="20" t="str">
        <f>IFERROR(VLOOKUP($C24,[1]Sheet1!$C$3:$K$5419,9,FALSE),"")</f>
        <v>Small Cap</v>
      </c>
    </row>
    <row r="25" spans="2:8" x14ac:dyDescent="0.2">
      <c r="B25" s="22" t="s">
        <v>63</v>
      </c>
      <c r="C25" s="19" t="s">
        <v>64</v>
      </c>
      <c r="D25" s="19" t="s">
        <v>17</v>
      </c>
      <c r="E25" s="23">
        <v>2515080</v>
      </c>
      <c r="F25" s="20">
        <v>17042.18</v>
      </c>
      <c r="G25" s="20">
        <v>1.33</v>
      </c>
      <c r="H25" s="20" t="str">
        <f>IFERROR(VLOOKUP($C25,[1]Sheet1!$C$3:$K$5419,9,FALSE),"")</f>
        <v>Small Cap</v>
      </c>
    </row>
    <row r="26" spans="2:8" x14ac:dyDescent="0.2">
      <c r="B26" s="22" t="s">
        <v>65</v>
      </c>
      <c r="C26" s="19" t="s">
        <v>66</v>
      </c>
      <c r="D26" s="19" t="s">
        <v>31</v>
      </c>
      <c r="E26" s="23">
        <v>5320202</v>
      </c>
      <c r="F26" s="20">
        <v>16662.87</v>
      </c>
      <c r="G26" s="20">
        <v>1.3</v>
      </c>
      <c r="H26" s="20" t="str">
        <f>IFERROR(VLOOKUP($C26,[1]Sheet1!$C$3:$K$5419,9,FALSE),"")</f>
        <v>Small Cap</v>
      </c>
    </row>
    <row r="27" spans="2:8" x14ac:dyDescent="0.2">
      <c r="B27" s="22" t="s">
        <v>67</v>
      </c>
      <c r="C27" s="19" t="s">
        <v>68</v>
      </c>
      <c r="D27" s="19" t="s">
        <v>69</v>
      </c>
      <c r="E27" s="23">
        <v>1910926</v>
      </c>
      <c r="F27" s="20">
        <v>16533.330000000002</v>
      </c>
      <c r="G27" s="20">
        <v>1.29</v>
      </c>
      <c r="H27" s="20" t="str">
        <f>IFERROR(VLOOKUP($C27,[1]Sheet1!$C$3:$K$5419,9,FALSE),"")</f>
        <v>Small Cap</v>
      </c>
    </row>
    <row r="28" spans="2:8" x14ac:dyDescent="0.2">
      <c r="B28" s="22" t="s">
        <v>70</v>
      </c>
      <c r="C28" s="19" t="s">
        <v>71</v>
      </c>
      <c r="D28" s="19" t="s">
        <v>72</v>
      </c>
      <c r="E28" s="23">
        <v>6691859</v>
      </c>
      <c r="F28" s="20">
        <v>16482.05</v>
      </c>
      <c r="G28" s="20">
        <v>1.29</v>
      </c>
      <c r="H28" s="20" t="str">
        <f>IFERROR(VLOOKUP($C28,[1]Sheet1!$C$3:$K$5419,9,FALSE),"")</f>
        <v>Large Cap</v>
      </c>
    </row>
    <row r="29" spans="2:8" x14ac:dyDescent="0.2">
      <c r="B29" s="22" t="s">
        <v>73</v>
      </c>
      <c r="C29" s="19" t="s">
        <v>74</v>
      </c>
      <c r="D29" s="19" t="s">
        <v>23</v>
      </c>
      <c r="E29" s="23">
        <v>28163189</v>
      </c>
      <c r="F29" s="20">
        <v>16351.55</v>
      </c>
      <c r="G29" s="20">
        <v>1.28</v>
      </c>
      <c r="H29" s="20" t="str">
        <f>IFERROR(VLOOKUP($C29,[1]Sheet1!$C$3:$K$5419,9,FALSE),"")</f>
        <v>Small Cap</v>
      </c>
    </row>
    <row r="30" spans="2:8" x14ac:dyDescent="0.2">
      <c r="B30" s="22" t="s">
        <v>75</v>
      </c>
      <c r="C30" s="19" t="s">
        <v>76</v>
      </c>
      <c r="D30" s="19" t="s">
        <v>77</v>
      </c>
      <c r="E30" s="23">
        <v>1425455</v>
      </c>
      <c r="F30" s="20">
        <v>16233.08</v>
      </c>
      <c r="G30" s="20">
        <v>1.27</v>
      </c>
      <c r="H30" s="20" t="str">
        <f>IFERROR(VLOOKUP($C30,[1]Sheet1!$C$3:$K$5419,9,FALSE),"")</f>
        <v>Mid Cap</v>
      </c>
    </row>
    <row r="31" spans="2:8" x14ac:dyDescent="0.2">
      <c r="B31" s="22" t="s">
        <v>78</v>
      </c>
      <c r="C31" s="19" t="s">
        <v>79</v>
      </c>
      <c r="D31" s="19" t="s">
        <v>80</v>
      </c>
      <c r="E31" s="23">
        <v>3676689</v>
      </c>
      <c r="F31" s="20">
        <v>15934.77</v>
      </c>
      <c r="G31" s="20">
        <v>1.25</v>
      </c>
      <c r="H31" s="20" t="str">
        <f>IFERROR(VLOOKUP($C31,[1]Sheet1!$C$3:$K$5419,9,FALSE),"")</f>
        <v>Small Cap</v>
      </c>
    </row>
    <row r="32" spans="2:8" x14ac:dyDescent="0.2">
      <c r="B32" s="22" t="s">
        <v>81</v>
      </c>
      <c r="C32" s="19" t="s">
        <v>82</v>
      </c>
      <c r="D32" s="19" t="s">
        <v>83</v>
      </c>
      <c r="E32" s="23">
        <v>585346</v>
      </c>
      <c r="F32" s="20">
        <v>15508.74</v>
      </c>
      <c r="G32" s="20">
        <v>1.21</v>
      </c>
      <c r="H32" s="20" t="str">
        <f>IFERROR(VLOOKUP($C32,[1]Sheet1!$C$3:$K$5419,9,FALSE),"")</f>
        <v>Mid Cap</v>
      </c>
    </row>
    <row r="33" spans="2:8" x14ac:dyDescent="0.2">
      <c r="B33" s="22" t="s">
        <v>84</v>
      </c>
      <c r="C33" s="19" t="s">
        <v>85</v>
      </c>
      <c r="D33" s="19" t="s">
        <v>86</v>
      </c>
      <c r="E33" s="23">
        <v>1105214</v>
      </c>
      <c r="F33" s="20">
        <v>15418.84</v>
      </c>
      <c r="G33" s="20">
        <v>1.21</v>
      </c>
      <c r="H33" s="20" t="str">
        <f>IFERROR(VLOOKUP($C33,[1]Sheet1!$C$3:$K$5419,9,FALSE),"")</f>
        <v>Small Cap</v>
      </c>
    </row>
    <row r="34" spans="2:8" x14ac:dyDescent="0.2">
      <c r="B34" s="22" t="s">
        <v>87</v>
      </c>
      <c r="C34" s="19" t="s">
        <v>88</v>
      </c>
      <c r="D34" s="19" t="s">
        <v>49</v>
      </c>
      <c r="E34" s="23">
        <v>1198495</v>
      </c>
      <c r="F34" s="20">
        <v>15163.36</v>
      </c>
      <c r="G34" s="20">
        <v>1.19</v>
      </c>
      <c r="H34" s="20" t="str">
        <f>IFERROR(VLOOKUP($C34,[1]Sheet1!$C$3:$K$5419,9,FALSE),"")</f>
        <v>Small Cap</v>
      </c>
    </row>
    <row r="35" spans="2:8" x14ac:dyDescent="0.2">
      <c r="B35" s="22" t="s">
        <v>89</v>
      </c>
      <c r="C35" s="19" t="s">
        <v>90</v>
      </c>
      <c r="D35" s="19" t="s">
        <v>34</v>
      </c>
      <c r="E35" s="23">
        <v>817455</v>
      </c>
      <c r="F35" s="20">
        <v>14895.67</v>
      </c>
      <c r="G35" s="20">
        <v>1.17</v>
      </c>
      <c r="H35" s="20" t="str">
        <f>IFERROR(VLOOKUP($C35,[1]Sheet1!$C$3:$K$5419,9,FALSE),"")</f>
        <v>Small Cap</v>
      </c>
    </row>
    <row r="36" spans="2:8" x14ac:dyDescent="0.2">
      <c r="B36" s="22" t="s">
        <v>91</v>
      </c>
      <c r="C36" s="19" t="s">
        <v>92</v>
      </c>
      <c r="D36" s="19" t="s">
        <v>49</v>
      </c>
      <c r="E36" s="23">
        <v>1495000</v>
      </c>
      <c r="F36" s="20">
        <v>14888.71</v>
      </c>
      <c r="G36" s="20">
        <v>1.17</v>
      </c>
      <c r="H36" s="20" t="str">
        <f>IFERROR(VLOOKUP($C36,[1]Sheet1!$C$3:$K$5419,9,FALSE),"")</f>
        <v>Large Cap</v>
      </c>
    </row>
    <row r="37" spans="2:8" x14ac:dyDescent="0.2">
      <c r="B37" s="22" t="s">
        <v>93</v>
      </c>
      <c r="C37" s="19" t="s">
        <v>94</v>
      </c>
      <c r="D37" s="19" t="s">
        <v>31</v>
      </c>
      <c r="E37" s="23">
        <v>304497</v>
      </c>
      <c r="F37" s="20">
        <v>14878.94</v>
      </c>
      <c r="G37" s="20">
        <v>1.17</v>
      </c>
      <c r="H37" s="20" t="str">
        <f>IFERROR(VLOOKUP($C37,[1]Sheet1!$C$3:$K$5419,9,FALSE),"")</f>
        <v>Small Cap</v>
      </c>
    </row>
    <row r="38" spans="2:8" x14ac:dyDescent="0.2">
      <c r="B38" s="22" t="s">
        <v>95</v>
      </c>
      <c r="C38" s="19" t="s">
        <v>96</v>
      </c>
      <c r="D38" s="19" t="s">
        <v>49</v>
      </c>
      <c r="E38" s="23">
        <v>1717975</v>
      </c>
      <c r="F38" s="20">
        <v>14489.4</v>
      </c>
      <c r="G38" s="20">
        <v>1.1299999999999999</v>
      </c>
      <c r="H38" s="20" t="str">
        <f>IFERROR(VLOOKUP($C38,[1]Sheet1!$C$3:$K$5419,9,FALSE),"")</f>
        <v>Small Cap</v>
      </c>
    </row>
    <row r="39" spans="2:8" x14ac:dyDescent="0.2">
      <c r="B39" s="22" t="s">
        <v>97</v>
      </c>
      <c r="C39" s="19" t="s">
        <v>98</v>
      </c>
      <c r="D39" s="19" t="s">
        <v>99</v>
      </c>
      <c r="E39" s="23">
        <v>4078974</v>
      </c>
      <c r="F39" s="20">
        <v>14464.04</v>
      </c>
      <c r="G39" s="20">
        <v>1.1299999999999999</v>
      </c>
      <c r="H39" s="20" t="str">
        <f>IFERROR(VLOOKUP($C39,[1]Sheet1!$C$3:$K$5419,9,FALSE),"")</f>
        <v>Mid Cap</v>
      </c>
    </row>
    <row r="40" spans="2:8" x14ac:dyDescent="0.2">
      <c r="B40" s="22" t="s">
        <v>100</v>
      </c>
      <c r="C40" s="19" t="s">
        <v>101</v>
      </c>
      <c r="D40" s="19" t="s">
        <v>80</v>
      </c>
      <c r="E40" s="23">
        <v>296081</v>
      </c>
      <c r="F40" s="20">
        <v>14292.42</v>
      </c>
      <c r="G40" s="20">
        <v>1.1200000000000001</v>
      </c>
      <c r="H40" s="20" t="str">
        <f>IFERROR(VLOOKUP($C40,[1]Sheet1!$C$3:$K$5419,9,FALSE),"")</f>
        <v>Large Cap</v>
      </c>
    </row>
    <row r="41" spans="2:8" x14ac:dyDescent="0.2">
      <c r="B41" s="22" t="s">
        <v>102</v>
      </c>
      <c r="C41" s="19" t="s">
        <v>103</v>
      </c>
      <c r="D41" s="19" t="s">
        <v>77</v>
      </c>
      <c r="E41" s="23">
        <v>743790</v>
      </c>
      <c r="F41" s="20">
        <v>14160.27</v>
      </c>
      <c r="G41" s="20">
        <v>1.1100000000000001</v>
      </c>
      <c r="H41" s="20" t="str">
        <f>IFERROR(VLOOKUP($C41,[1]Sheet1!$C$3:$K$5419,9,FALSE),"")</f>
        <v>Small Cap</v>
      </c>
    </row>
    <row r="42" spans="2:8" x14ac:dyDescent="0.2">
      <c r="B42" s="22" t="s">
        <v>104</v>
      </c>
      <c r="C42" s="19" t="s">
        <v>105</v>
      </c>
      <c r="D42" s="19" t="s">
        <v>59</v>
      </c>
      <c r="E42" s="23">
        <v>1008900</v>
      </c>
      <c r="F42" s="20">
        <v>13894.57</v>
      </c>
      <c r="G42" s="20">
        <v>1.0900000000000001</v>
      </c>
      <c r="H42" s="20" t="str">
        <f>IFERROR(VLOOKUP($C42,[1]Sheet1!$C$3:$K$5419,9,FALSE),"")</f>
        <v>Small Cap</v>
      </c>
    </row>
    <row r="43" spans="2:8" x14ac:dyDescent="0.2">
      <c r="B43" s="22" t="s">
        <v>106</v>
      </c>
      <c r="C43" s="19" t="s">
        <v>107</v>
      </c>
      <c r="D43" s="19" t="s">
        <v>108</v>
      </c>
      <c r="E43" s="23">
        <v>1927364</v>
      </c>
      <c r="F43" s="20">
        <v>13762.34</v>
      </c>
      <c r="G43" s="20">
        <v>1.08</v>
      </c>
      <c r="H43" s="20" t="str">
        <f>IFERROR(VLOOKUP($C43,[1]Sheet1!$C$3:$K$5419,9,FALSE),"")</f>
        <v>Small Cap</v>
      </c>
    </row>
    <row r="44" spans="2:8" x14ac:dyDescent="0.2">
      <c r="B44" s="22" t="s">
        <v>109</v>
      </c>
      <c r="C44" s="19" t="s">
        <v>110</v>
      </c>
      <c r="D44" s="19" t="s">
        <v>111</v>
      </c>
      <c r="E44" s="23">
        <v>8694821</v>
      </c>
      <c r="F44" s="20">
        <v>13750.86</v>
      </c>
      <c r="G44" s="20">
        <v>1.08</v>
      </c>
      <c r="H44" s="20" t="str">
        <f>IFERROR(VLOOKUP($C44,[1]Sheet1!$C$3:$K$5419,9,FALSE),"")</f>
        <v>Small Cap</v>
      </c>
    </row>
    <row r="45" spans="2:8" x14ac:dyDescent="0.2">
      <c r="B45" s="22" t="s">
        <v>112</v>
      </c>
      <c r="C45" s="19" t="s">
        <v>113</v>
      </c>
      <c r="D45" s="19" t="s">
        <v>114</v>
      </c>
      <c r="E45" s="23">
        <v>3516063</v>
      </c>
      <c r="F45" s="20">
        <v>13716.16</v>
      </c>
      <c r="G45" s="20">
        <v>1.07</v>
      </c>
      <c r="H45" s="20" t="str">
        <f>IFERROR(VLOOKUP($C45,[1]Sheet1!$C$3:$K$5419,9,FALSE),"")</f>
        <v>Small Cap</v>
      </c>
    </row>
    <row r="46" spans="2:8" x14ac:dyDescent="0.2">
      <c r="B46" s="22" t="s">
        <v>115</v>
      </c>
      <c r="C46" s="19" t="s">
        <v>116</v>
      </c>
      <c r="D46" s="19" t="s">
        <v>20</v>
      </c>
      <c r="E46" s="23">
        <v>6249380</v>
      </c>
      <c r="F46" s="20">
        <v>13565.53</v>
      </c>
      <c r="G46" s="20">
        <v>1.06</v>
      </c>
      <c r="H46" s="20" t="str">
        <f>IFERROR(VLOOKUP($C46,[1]Sheet1!$C$3:$K$5419,9,FALSE),"")</f>
        <v>Small Cap</v>
      </c>
    </row>
    <row r="47" spans="2:8" x14ac:dyDescent="0.2">
      <c r="B47" s="22" t="s">
        <v>117</v>
      </c>
      <c r="C47" s="19" t="s">
        <v>118</v>
      </c>
      <c r="D47" s="19" t="s">
        <v>44</v>
      </c>
      <c r="E47" s="23">
        <v>2004471</v>
      </c>
      <c r="F47" s="20">
        <v>13370.82</v>
      </c>
      <c r="G47" s="20">
        <v>1.05</v>
      </c>
      <c r="H47" s="20" t="str">
        <f>IFERROR(VLOOKUP($C47,[1]Sheet1!$C$3:$K$5419,9,FALSE),"")</f>
        <v>Large Cap</v>
      </c>
    </row>
    <row r="48" spans="2:8" x14ac:dyDescent="0.2">
      <c r="B48" s="22" t="s">
        <v>119</v>
      </c>
      <c r="C48" s="19" t="s">
        <v>120</v>
      </c>
      <c r="D48" s="19" t="s">
        <v>69</v>
      </c>
      <c r="E48" s="23">
        <v>2066242</v>
      </c>
      <c r="F48" s="20">
        <v>13185.72</v>
      </c>
      <c r="G48" s="20">
        <v>1.03</v>
      </c>
      <c r="H48" s="20" t="str">
        <f>IFERROR(VLOOKUP($C48,[1]Sheet1!$C$3:$K$5419,9,FALSE),"")</f>
        <v>Small Cap</v>
      </c>
    </row>
    <row r="49" spans="2:8" x14ac:dyDescent="0.2">
      <c r="B49" s="22" t="s">
        <v>121</v>
      </c>
      <c r="C49" s="19" t="s">
        <v>122</v>
      </c>
      <c r="D49" s="19" t="s">
        <v>26</v>
      </c>
      <c r="E49" s="23">
        <v>117851</v>
      </c>
      <c r="F49" s="20">
        <v>13176.33</v>
      </c>
      <c r="G49" s="20">
        <v>1.03</v>
      </c>
      <c r="H49" s="20" t="str">
        <f>IFERROR(VLOOKUP($C49,[1]Sheet1!$C$3:$K$5419,9,FALSE),"")</f>
        <v>Mid Cap</v>
      </c>
    </row>
    <row r="50" spans="2:8" x14ac:dyDescent="0.2">
      <c r="B50" s="22" t="s">
        <v>123</v>
      </c>
      <c r="C50" s="19" t="s">
        <v>124</v>
      </c>
      <c r="D50" s="19" t="s">
        <v>114</v>
      </c>
      <c r="E50" s="23">
        <v>963133</v>
      </c>
      <c r="F50" s="20">
        <v>13077.42</v>
      </c>
      <c r="G50" s="20">
        <v>1.02</v>
      </c>
      <c r="H50" s="20" t="str">
        <f>IFERROR(VLOOKUP($C50,[1]Sheet1!$C$3:$K$5419,9,FALSE),"")</f>
        <v>Large Cap</v>
      </c>
    </row>
    <row r="51" spans="2:8" x14ac:dyDescent="0.2">
      <c r="B51" s="22" t="s">
        <v>125</v>
      </c>
      <c r="C51" s="19" t="s">
        <v>126</v>
      </c>
      <c r="D51" s="19" t="s">
        <v>108</v>
      </c>
      <c r="E51" s="23">
        <v>1156767</v>
      </c>
      <c r="F51" s="20">
        <v>13069.15</v>
      </c>
      <c r="G51" s="20">
        <v>1.02</v>
      </c>
      <c r="H51" s="20" t="str">
        <f>IFERROR(VLOOKUP($C51,[1]Sheet1!$C$3:$K$5419,9,FALSE),"")</f>
        <v>Small Cap</v>
      </c>
    </row>
    <row r="52" spans="2:8" x14ac:dyDescent="0.2">
      <c r="B52" s="22" t="s">
        <v>127</v>
      </c>
      <c r="C52" s="19" t="s">
        <v>128</v>
      </c>
      <c r="D52" s="19" t="s">
        <v>80</v>
      </c>
      <c r="E52" s="23">
        <v>973035</v>
      </c>
      <c r="F52" s="20">
        <v>13027.97</v>
      </c>
      <c r="G52" s="20">
        <v>1.02</v>
      </c>
      <c r="H52" s="20" t="str">
        <f>IFERROR(VLOOKUP($C52,[1]Sheet1!$C$3:$K$5419,9,FALSE),"")</f>
        <v>Small Cap</v>
      </c>
    </row>
    <row r="53" spans="2:8" x14ac:dyDescent="0.2">
      <c r="B53" s="22" t="s">
        <v>129</v>
      </c>
      <c r="C53" s="19" t="s">
        <v>130</v>
      </c>
      <c r="D53" s="19" t="s">
        <v>77</v>
      </c>
      <c r="E53" s="23">
        <v>1179607</v>
      </c>
      <c r="F53" s="20">
        <v>12880.72</v>
      </c>
      <c r="G53" s="20">
        <v>1.01</v>
      </c>
      <c r="H53" s="20" t="str">
        <f>IFERROR(VLOOKUP($C53,[1]Sheet1!$C$3:$K$5419,9,FALSE),"")</f>
        <v>Large Cap</v>
      </c>
    </row>
    <row r="54" spans="2:8" x14ac:dyDescent="0.2">
      <c r="B54" s="22" t="s">
        <v>131</v>
      </c>
      <c r="C54" s="19" t="s">
        <v>132</v>
      </c>
      <c r="D54" s="19" t="s">
        <v>49</v>
      </c>
      <c r="E54" s="23">
        <v>1154018</v>
      </c>
      <c r="F54" s="20">
        <v>12499.17</v>
      </c>
      <c r="G54" s="20">
        <v>0.98</v>
      </c>
      <c r="H54" s="20" t="str">
        <f>IFERROR(VLOOKUP($C54,[1]Sheet1!$C$3:$K$5419,9,FALSE),"")</f>
        <v>Small Cap</v>
      </c>
    </row>
    <row r="55" spans="2:8" x14ac:dyDescent="0.2">
      <c r="B55" s="22" t="s">
        <v>133</v>
      </c>
      <c r="C55" s="19" t="s">
        <v>134</v>
      </c>
      <c r="D55" s="19" t="s">
        <v>23</v>
      </c>
      <c r="E55" s="23">
        <v>3903074</v>
      </c>
      <c r="F55" s="20">
        <v>12480.08</v>
      </c>
      <c r="G55" s="20">
        <v>0.98</v>
      </c>
      <c r="H55" s="20" t="str">
        <f>IFERROR(VLOOKUP($C55,[1]Sheet1!$C$3:$K$5419,9,FALSE),"")</f>
        <v>Small Cap</v>
      </c>
    </row>
    <row r="56" spans="2:8" x14ac:dyDescent="0.2">
      <c r="B56" s="22" t="s">
        <v>135</v>
      </c>
      <c r="C56" s="19" t="s">
        <v>136</v>
      </c>
      <c r="D56" s="19" t="s">
        <v>17</v>
      </c>
      <c r="E56" s="23">
        <v>217766</v>
      </c>
      <c r="F56" s="20">
        <v>12044.64</v>
      </c>
      <c r="G56" s="20">
        <v>0.94</v>
      </c>
      <c r="H56" s="20" t="str">
        <f>IFERROR(VLOOKUP($C56,[1]Sheet1!$C$3:$K$5419,9,FALSE),"")</f>
        <v>Small Cap</v>
      </c>
    </row>
    <row r="57" spans="2:8" x14ac:dyDescent="0.2">
      <c r="B57" s="22" t="s">
        <v>137</v>
      </c>
      <c r="C57" s="19" t="s">
        <v>138</v>
      </c>
      <c r="D57" s="19" t="s">
        <v>31</v>
      </c>
      <c r="E57" s="23">
        <v>661830</v>
      </c>
      <c r="F57" s="20">
        <v>11894.41</v>
      </c>
      <c r="G57" s="20">
        <v>0.93</v>
      </c>
      <c r="H57" s="20" t="str">
        <f>IFERROR(VLOOKUP($C57,[1]Sheet1!$C$3:$K$5419,9,FALSE),"")</f>
        <v>Small Cap</v>
      </c>
    </row>
    <row r="58" spans="2:8" x14ac:dyDescent="0.2">
      <c r="B58" s="22" t="s">
        <v>139</v>
      </c>
      <c r="C58" s="19" t="s">
        <v>140</v>
      </c>
      <c r="D58" s="19" t="s">
        <v>20</v>
      </c>
      <c r="E58" s="23">
        <v>468655</v>
      </c>
      <c r="F58" s="20">
        <v>11510.17</v>
      </c>
      <c r="G58" s="20">
        <v>0.9</v>
      </c>
      <c r="H58" s="20" t="str">
        <f>IFERROR(VLOOKUP($C58,[1]Sheet1!$C$3:$K$5419,9,FALSE),"")</f>
        <v>Small Cap</v>
      </c>
    </row>
    <row r="59" spans="2:8" x14ac:dyDescent="0.2">
      <c r="B59" s="22" t="s">
        <v>141</v>
      </c>
      <c r="C59" s="19" t="s">
        <v>142</v>
      </c>
      <c r="D59" s="19" t="s">
        <v>143</v>
      </c>
      <c r="E59" s="23">
        <v>1950052</v>
      </c>
      <c r="F59" s="20">
        <v>11413.65</v>
      </c>
      <c r="G59" s="20">
        <v>0.89</v>
      </c>
      <c r="H59" s="20" t="str">
        <f>IFERROR(VLOOKUP($C59,[1]Sheet1!$C$3:$K$5419,9,FALSE),"")</f>
        <v>Small Cap</v>
      </c>
    </row>
    <row r="60" spans="2:8" x14ac:dyDescent="0.2">
      <c r="B60" s="22" t="s">
        <v>144</v>
      </c>
      <c r="C60" s="19" t="s">
        <v>145</v>
      </c>
      <c r="D60" s="19" t="s">
        <v>17</v>
      </c>
      <c r="E60" s="23">
        <v>8978161</v>
      </c>
      <c r="F60" s="20">
        <v>11280.16</v>
      </c>
      <c r="G60" s="20">
        <v>0.88</v>
      </c>
      <c r="H60" s="20" t="str">
        <f>IFERROR(VLOOKUP($C60,[1]Sheet1!$C$3:$K$5419,9,FALSE),"")</f>
        <v>Small Cap</v>
      </c>
    </row>
    <row r="61" spans="2:8" x14ac:dyDescent="0.2">
      <c r="B61" s="22" t="s">
        <v>146</v>
      </c>
      <c r="C61" s="19" t="s">
        <v>147</v>
      </c>
      <c r="D61" s="19" t="s">
        <v>26</v>
      </c>
      <c r="E61" s="23">
        <v>2262603</v>
      </c>
      <c r="F61" s="20">
        <v>11068.65</v>
      </c>
      <c r="G61" s="20">
        <v>0.87</v>
      </c>
      <c r="H61" s="20" t="str">
        <f>IFERROR(VLOOKUP($C61,[1]Sheet1!$C$3:$K$5419,9,FALSE),"")</f>
        <v>Small Cap</v>
      </c>
    </row>
    <row r="62" spans="2:8" x14ac:dyDescent="0.2">
      <c r="B62" s="22" t="s">
        <v>148</v>
      </c>
      <c r="C62" s="19" t="s">
        <v>149</v>
      </c>
      <c r="D62" s="19" t="s">
        <v>150</v>
      </c>
      <c r="E62" s="23">
        <v>251586</v>
      </c>
      <c r="F62" s="20">
        <v>10962.11</v>
      </c>
      <c r="G62" s="20">
        <v>0.86</v>
      </c>
      <c r="H62" s="20" t="str">
        <f>IFERROR(VLOOKUP($C62,[1]Sheet1!$C$3:$K$5419,9,FALSE),"")</f>
        <v>Mid Cap</v>
      </c>
    </row>
    <row r="63" spans="2:8" x14ac:dyDescent="0.2">
      <c r="B63" s="22" t="s">
        <v>151</v>
      </c>
      <c r="C63" s="19" t="s">
        <v>152</v>
      </c>
      <c r="D63" s="19" t="s">
        <v>150</v>
      </c>
      <c r="E63" s="23">
        <v>3258298</v>
      </c>
      <c r="F63" s="20">
        <v>10892.49</v>
      </c>
      <c r="G63" s="20">
        <v>0.85</v>
      </c>
      <c r="H63" s="20" t="str">
        <f>IFERROR(VLOOKUP($C63,[1]Sheet1!$C$3:$K$5419,9,FALSE),"")</f>
        <v>Small Cap</v>
      </c>
    </row>
    <row r="64" spans="2:8" x14ac:dyDescent="0.2">
      <c r="B64" s="22" t="s">
        <v>153</v>
      </c>
      <c r="C64" s="19" t="s">
        <v>154</v>
      </c>
      <c r="D64" s="19" t="s">
        <v>34</v>
      </c>
      <c r="E64" s="23">
        <v>1629936</v>
      </c>
      <c r="F64" s="20">
        <v>10892.05</v>
      </c>
      <c r="G64" s="20">
        <v>0.85</v>
      </c>
      <c r="H64" s="20" t="str">
        <f>IFERROR(VLOOKUP($C64,[1]Sheet1!$C$3:$K$5419,9,FALSE),"")</f>
        <v>Small Cap</v>
      </c>
    </row>
    <row r="65" spans="2:8" x14ac:dyDescent="0.2">
      <c r="B65" s="22" t="s">
        <v>155</v>
      </c>
      <c r="C65" s="19" t="s">
        <v>156</v>
      </c>
      <c r="D65" s="19" t="s">
        <v>34</v>
      </c>
      <c r="E65" s="23">
        <v>6712333</v>
      </c>
      <c r="F65" s="20">
        <v>10479.969999999999</v>
      </c>
      <c r="G65" s="20">
        <v>0.82</v>
      </c>
      <c r="H65" s="20" t="str">
        <f>IFERROR(VLOOKUP($C65,[1]Sheet1!$C$3:$K$5419,9,FALSE),"")</f>
        <v>Small Cap</v>
      </c>
    </row>
    <row r="66" spans="2:8" x14ac:dyDescent="0.2">
      <c r="B66" s="22" t="s">
        <v>157</v>
      </c>
      <c r="C66" s="19" t="s">
        <v>158</v>
      </c>
      <c r="D66" s="19" t="s">
        <v>159</v>
      </c>
      <c r="E66" s="23">
        <v>3259763</v>
      </c>
      <c r="F66" s="20">
        <v>10222.620000000001</v>
      </c>
      <c r="G66" s="20">
        <v>0.8</v>
      </c>
      <c r="H66" s="20" t="str">
        <f>IFERROR(VLOOKUP($C66,[1]Sheet1!$C$3:$K$5419,9,FALSE),"")</f>
        <v>Large Cap</v>
      </c>
    </row>
    <row r="67" spans="2:8" x14ac:dyDescent="0.2">
      <c r="B67" s="22" t="s">
        <v>160</v>
      </c>
      <c r="C67" s="19" t="s">
        <v>161</v>
      </c>
      <c r="D67" s="19" t="s">
        <v>31</v>
      </c>
      <c r="E67" s="23">
        <v>255707</v>
      </c>
      <c r="F67" s="20">
        <v>10123.950000000001</v>
      </c>
      <c r="G67" s="20">
        <v>0.79</v>
      </c>
      <c r="H67" s="20" t="str">
        <f>IFERROR(VLOOKUP($C67,[1]Sheet1!$C$3:$K$5419,9,FALSE),"")</f>
        <v>Small Cap</v>
      </c>
    </row>
    <row r="68" spans="2:8" x14ac:dyDescent="0.2">
      <c r="B68" s="22" t="s">
        <v>162</v>
      </c>
      <c r="C68" s="19" t="s">
        <v>163</v>
      </c>
      <c r="D68" s="19" t="s">
        <v>164</v>
      </c>
      <c r="E68" s="23">
        <v>1176675</v>
      </c>
      <c r="F68" s="20">
        <v>9654.0300000000007</v>
      </c>
      <c r="G68" s="20">
        <v>0.76</v>
      </c>
      <c r="H68" s="20" t="str">
        <f>IFERROR(VLOOKUP($C68,[1]Sheet1!$C$3:$K$5419,9,FALSE),"")</f>
        <v>Small Cap</v>
      </c>
    </row>
    <row r="69" spans="2:8" x14ac:dyDescent="0.2">
      <c r="B69" s="22" t="s">
        <v>165</v>
      </c>
      <c r="C69" s="19" t="s">
        <v>166</v>
      </c>
      <c r="D69" s="19" t="s">
        <v>167</v>
      </c>
      <c r="E69" s="23">
        <v>747746</v>
      </c>
      <c r="F69" s="20">
        <v>9121.01</v>
      </c>
      <c r="G69" s="20">
        <v>0.71</v>
      </c>
      <c r="H69" s="20" t="str">
        <f>IFERROR(VLOOKUP($C69,[1]Sheet1!$C$3:$K$5419,9,FALSE),"")</f>
        <v>Small Cap</v>
      </c>
    </row>
    <row r="70" spans="2:8" x14ac:dyDescent="0.2">
      <c r="B70" s="22" t="s">
        <v>168</v>
      </c>
      <c r="C70" s="19" t="s">
        <v>169</v>
      </c>
      <c r="D70" s="19" t="s">
        <v>150</v>
      </c>
      <c r="E70" s="23">
        <v>1878955</v>
      </c>
      <c r="F70" s="20">
        <v>8862.09</v>
      </c>
      <c r="G70" s="20">
        <v>0.69</v>
      </c>
      <c r="H70" s="20" t="str">
        <f>IFERROR(VLOOKUP($C70,[1]Sheet1!$C$3:$K$5419,9,FALSE),"")</f>
        <v>Small Cap</v>
      </c>
    </row>
    <row r="71" spans="2:8" x14ac:dyDescent="0.2">
      <c r="B71" s="22" t="s">
        <v>170</v>
      </c>
      <c r="C71" s="19" t="s">
        <v>171</v>
      </c>
      <c r="D71" s="19" t="s">
        <v>44</v>
      </c>
      <c r="E71" s="23">
        <v>1770494</v>
      </c>
      <c r="F71" s="20">
        <v>8761.2900000000009</v>
      </c>
      <c r="G71" s="20">
        <v>0.69</v>
      </c>
      <c r="H71" s="20" t="str">
        <f>IFERROR(VLOOKUP($C71,[1]Sheet1!$C$3:$K$5419,9,FALSE),"")</f>
        <v>Small Cap</v>
      </c>
    </row>
    <row r="72" spans="2:8" x14ac:dyDescent="0.2">
      <c r="B72" s="22" t="s">
        <v>172</v>
      </c>
      <c r="C72" s="19" t="s">
        <v>173</v>
      </c>
      <c r="D72" s="19" t="s">
        <v>72</v>
      </c>
      <c r="E72" s="23">
        <v>1564011</v>
      </c>
      <c r="F72" s="20">
        <v>8661.49</v>
      </c>
      <c r="G72" s="20">
        <v>0.68</v>
      </c>
      <c r="H72" s="20" t="str">
        <f>IFERROR(VLOOKUP($C72,[1]Sheet1!$C$3:$K$5419,9,FALSE),"")</f>
        <v>Small Cap</v>
      </c>
    </row>
    <row r="73" spans="2:8" x14ac:dyDescent="0.2">
      <c r="B73" s="22" t="s">
        <v>174</v>
      </c>
      <c r="C73" s="19" t="s">
        <v>175</v>
      </c>
      <c r="D73" s="19" t="s">
        <v>69</v>
      </c>
      <c r="E73" s="23">
        <v>4130490</v>
      </c>
      <c r="F73" s="20">
        <v>8617.0300000000007</v>
      </c>
      <c r="G73" s="20">
        <v>0.67</v>
      </c>
      <c r="H73" s="20" t="str">
        <f>IFERROR(VLOOKUP($C73,[1]Sheet1!$C$3:$K$5419,9,FALSE),"")</f>
        <v>Small Cap</v>
      </c>
    </row>
    <row r="74" spans="2:8" x14ac:dyDescent="0.2">
      <c r="B74" s="22" t="s">
        <v>176</v>
      </c>
      <c r="C74" s="19" t="s">
        <v>177</v>
      </c>
      <c r="D74" s="19" t="s">
        <v>178</v>
      </c>
      <c r="E74" s="23">
        <v>3373867</v>
      </c>
      <c r="F74" s="20">
        <v>8551.4</v>
      </c>
      <c r="G74" s="20">
        <v>0.67</v>
      </c>
      <c r="H74" s="20" t="str">
        <f>IFERROR(VLOOKUP($C74,[1]Sheet1!$C$3:$K$5419,9,FALSE),"")</f>
        <v>Small Cap</v>
      </c>
    </row>
    <row r="75" spans="2:8" x14ac:dyDescent="0.2">
      <c r="B75" s="22" t="s">
        <v>179</v>
      </c>
      <c r="C75" s="19" t="s">
        <v>180</v>
      </c>
      <c r="D75" s="19" t="s">
        <v>17</v>
      </c>
      <c r="E75" s="23">
        <v>864337</v>
      </c>
      <c r="F75" s="20">
        <v>8533.6</v>
      </c>
      <c r="G75" s="20">
        <v>0.67</v>
      </c>
      <c r="H75" s="20" t="str">
        <f>IFERROR(VLOOKUP($C75,[1]Sheet1!$C$3:$K$5419,9,FALSE),"")</f>
        <v>Small Cap</v>
      </c>
    </row>
    <row r="76" spans="2:8" x14ac:dyDescent="0.2">
      <c r="B76" s="22" t="s">
        <v>181</v>
      </c>
      <c r="C76" s="19" t="s">
        <v>182</v>
      </c>
      <c r="D76" s="19" t="s">
        <v>20</v>
      </c>
      <c r="E76" s="23">
        <v>244148</v>
      </c>
      <c r="F76" s="20">
        <v>8479.02</v>
      </c>
      <c r="G76" s="20">
        <v>0.66</v>
      </c>
      <c r="H76" s="20" t="str">
        <f>IFERROR(VLOOKUP($C76,[1]Sheet1!$C$3:$K$5419,9,FALSE),"")</f>
        <v>Small Cap</v>
      </c>
    </row>
    <row r="77" spans="2:8" x14ac:dyDescent="0.2">
      <c r="B77" s="22" t="s">
        <v>183</v>
      </c>
      <c r="C77" s="19" t="s">
        <v>184</v>
      </c>
      <c r="D77" s="19" t="s">
        <v>59</v>
      </c>
      <c r="E77" s="23">
        <v>906438</v>
      </c>
      <c r="F77" s="20">
        <v>8291.19</v>
      </c>
      <c r="G77" s="20">
        <v>0.65</v>
      </c>
      <c r="H77" s="20" t="str">
        <f>IFERROR(VLOOKUP($C77,[1]Sheet1!$C$3:$K$5419,9,FALSE),"")</f>
        <v>Small Cap</v>
      </c>
    </row>
    <row r="78" spans="2:8" x14ac:dyDescent="0.2">
      <c r="B78" s="22" t="s">
        <v>185</v>
      </c>
      <c r="C78" s="19" t="s">
        <v>186</v>
      </c>
      <c r="D78" s="19" t="s">
        <v>187</v>
      </c>
      <c r="E78" s="23">
        <v>2046726</v>
      </c>
      <c r="F78" s="20">
        <v>8210.44</v>
      </c>
      <c r="G78" s="20">
        <v>0.64</v>
      </c>
      <c r="H78" s="20" t="str">
        <f>IFERROR(VLOOKUP($C78,[1]Sheet1!$C$3:$K$5419,9,FALSE),"")</f>
        <v>Small Cap</v>
      </c>
    </row>
    <row r="79" spans="2:8" x14ac:dyDescent="0.2">
      <c r="B79" s="22" t="s">
        <v>188</v>
      </c>
      <c r="C79" s="19" t="s">
        <v>189</v>
      </c>
      <c r="D79" s="19" t="s">
        <v>20</v>
      </c>
      <c r="E79" s="23">
        <v>1027133</v>
      </c>
      <c r="F79" s="20">
        <v>8134.89</v>
      </c>
      <c r="G79" s="20">
        <v>0.64</v>
      </c>
      <c r="H79" s="20" t="str">
        <f>IFERROR(VLOOKUP($C79,[1]Sheet1!$C$3:$K$5419,9,FALSE),"")</f>
        <v>Small Cap</v>
      </c>
    </row>
    <row r="80" spans="2:8" x14ac:dyDescent="0.2">
      <c r="B80" s="22" t="s">
        <v>190</v>
      </c>
      <c r="C80" s="19" t="s">
        <v>191</v>
      </c>
      <c r="D80" s="19" t="s">
        <v>80</v>
      </c>
      <c r="E80" s="23">
        <v>2764662</v>
      </c>
      <c r="F80" s="20">
        <v>7671.94</v>
      </c>
      <c r="G80" s="20">
        <v>0.6</v>
      </c>
      <c r="H80" s="20" t="str">
        <f>IFERROR(VLOOKUP($C80,[1]Sheet1!$C$3:$K$5419,9,FALSE),"")</f>
        <v>Small Cap</v>
      </c>
    </row>
    <row r="81" spans="2:8" x14ac:dyDescent="0.2">
      <c r="B81" s="22" t="s">
        <v>192</v>
      </c>
      <c r="C81" s="19" t="s">
        <v>193</v>
      </c>
      <c r="D81" s="19" t="s">
        <v>194</v>
      </c>
      <c r="E81" s="23">
        <v>2562532</v>
      </c>
      <c r="F81" s="20">
        <v>7492.84</v>
      </c>
      <c r="G81" s="20">
        <v>0.59</v>
      </c>
      <c r="H81" s="20" t="str">
        <f>IFERROR(VLOOKUP($C81,[1]Sheet1!$C$3:$K$5419,9,FALSE),"")</f>
        <v>Small Cap</v>
      </c>
    </row>
    <row r="82" spans="2:8" x14ac:dyDescent="0.2">
      <c r="B82" s="22" t="s">
        <v>195</v>
      </c>
      <c r="C82" s="19" t="s">
        <v>196</v>
      </c>
      <c r="D82" s="19" t="s">
        <v>34</v>
      </c>
      <c r="E82" s="23">
        <v>2229456</v>
      </c>
      <c r="F82" s="20">
        <v>6910.2</v>
      </c>
      <c r="G82" s="20">
        <v>0.54</v>
      </c>
      <c r="H82" s="20" t="str">
        <f>IFERROR(VLOOKUP($C82,[1]Sheet1!$C$3:$K$5419,9,FALSE),"")</f>
        <v>Small Cap</v>
      </c>
    </row>
    <row r="83" spans="2:8" x14ac:dyDescent="0.2">
      <c r="B83" s="22" t="s">
        <v>197</v>
      </c>
      <c r="C83" s="19" t="s">
        <v>198</v>
      </c>
      <c r="D83" s="19" t="s">
        <v>31</v>
      </c>
      <c r="E83" s="23">
        <v>3073613</v>
      </c>
      <c r="F83" s="20">
        <v>6786.54</v>
      </c>
      <c r="G83" s="20">
        <v>0.53</v>
      </c>
      <c r="H83" s="20" t="str">
        <f>IFERROR(VLOOKUP($C83,[1]Sheet1!$C$3:$K$5419,9,FALSE),"")</f>
        <v>Small Cap</v>
      </c>
    </row>
    <row r="84" spans="2:8" x14ac:dyDescent="0.2">
      <c r="B84" s="22" t="s">
        <v>199</v>
      </c>
      <c r="C84" s="19" t="s">
        <v>200</v>
      </c>
      <c r="D84" s="19" t="s">
        <v>143</v>
      </c>
      <c r="E84" s="23">
        <v>863656</v>
      </c>
      <c r="F84" s="20">
        <v>6673.47</v>
      </c>
      <c r="G84" s="20">
        <v>0.52</v>
      </c>
      <c r="H84" s="20" t="str">
        <f>IFERROR(VLOOKUP($C84,[1]Sheet1!$C$3:$K$5419,9,FALSE),"")</f>
        <v>Small Cap</v>
      </c>
    </row>
    <row r="85" spans="2:8" x14ac:dyDescent="0.2">
      <c r="B85" s="22" t="s">
        <v>201</v>
      </c>
      <c r="C85" s="19" t="s">
        <v>202</v>
      </c>
      <c r="D85" s="19" t="s">
        <v>20</v>
      </c>
      <c r="E85" s="23">
        <v>1125901</v>
      </c>
      <c r="F85" s="20">
        <v>6497.01</v>
      </c>
      <c r="G85" s="20">
        <v>0.51</v>
      </c>
      <c r="H85" s="20" t="str">
        <f>IFERROR(VLOOKUP($C85,[1]Sheet1!$C$3:$K$5419,9,FALSE),"")</f>
        <v>Small Cap</v>
      </c>
    </row>
    <row r="86" spans="2:8" x14ac:dyDescent="0.2">
      <c r="B86" s="22" t="s">
        <v>203</v>
      </c>
      <c r="C86" s="19" t="s">
        <v>204</v>
      </c>
      <c r="D86" s="19" t="s">
        <v>20</v>
      </c>
      <c r="E86" s="23">
        <v>1376829</v>
      </c>
      <c r="F86" s="20">
        <v>5984.39</v>
      </c>
      <c r="G86" s="20">
        <v>0.47</v>
      </c>
      <c r="H86" s="20" t="str">
        <f>IFERROR(VLOOKUP($C86,[1]Sheet1!$C$3:$K$5419,9,FALSE),"")</f>
        <v>Small Cap</v>
      </c>
    </row>
    <row r="87" spans="2:8" x14ac:dyDescent="0.2">
      <c r="B87" s="22" t="s">
        <v>205</v>
      </c>
      <c r="C87" s="19" t="s">
        <v>206</v>
      </c>
      <c r="D87" s="19" t="s">
        <v>178</v>
      </c>
      <c r="E87" s="23">
        <v>245619</v>
      </c>
      <c r="F87" s="20">
        <v>5727.84</v>
      </c>
      <c r="G87" s="20">
        <v>0.45</v>
      </c>
      <c r="H87" s="20" t="str">
        <f>IFERROR(VLOOKUP($C87,[1]Sheet1!$C$3:$K$5419,9,FALSE),"")</f>
        <v>Small Cap</v>
      </c>
    </row>
    <row r="88" spans="2:8" x14ac:dyDescent="0.2">
      <c r="B88" s="22" t="s">
        <v>207</v>
      </c>
      <c r="C88" s="19" t="s">
        <v>208</v>
      </c>
      <c r="D88" s="19" t="s">
        <v>150</v>
      </c>
      <c r="E88" s="23">
        <v>4244280</v>
      </c>
      <c r="F88" s="20">
        <v>5708.98</v>
      </c>
      <c r="G88" s="20">
        <v>0.45</v>
      </c>
      <c r="H88" s="20" t="str">
        <f>IFERROR(VLOOKUP($C88,[1]Sheet1!$C$3:$K$5419,9,FALSE),"")</f>
        <v>Small Cap</v>
      </c>
    </row>
    <row r="89" spans="2:8" x14ac:dyDescent="0.2">
      <c r="B89" s="22" t="s">
        <v>209</v>
      </c>
      <c r="C89" s="19" t="s">
        <v>210</v>
      </c>
      <c r="D89" s="19" t="s">
        <v>211</v>
      </c>
      <c r="E89" s="23">
        <v>1067293</v>
      </c>
      <c r="F89" s="20">
        <v>5296.44</v>
      </c>
      <c r="G89" s="20">
        <v>0.41</v>
      </c>
      <c r="H89" s="20" t="str">
        <f>IFERROR(VLOOKUP($C89,[1]Sheet1!$C$3:$K$5419,9,FALSE),"")</f>
        <v>Small Cap</v>
      </c>
    </row>
    <row r="90" spans="2:8" x14ac:dyDescent="0.2">
      <c r="B90" s="22" t="s">
        <v>212</v>
      </c>
      <c r="C90" s="19" t="s">
        <v>213</v>
      </c>
      <c r="D90" s="19" t="s">
        <v>114</v>
      </c>
      <c r="E90" s="23">
        <v>1340375</v>
      </c>
      <c r="F90" s="20">
        <v>4519.74</v>
      </c>
      <c r="G90" s="20">
        <v>0.35</v>
      </c>
      <c r="H90" s="20" t="str">
        <f>IFERROR(VLOOKUP($C90,[1]Sheet1!$C$3:$K$5419,9,FALSE),"")</f>
        <v>Small Cap</v>
      </c>
    </row>
    <row r="91" spans="2:8" x14ac:dyDescent="0.2">
      <c r="B91" s="22" t="s">
        <v>214</v>
      </c>
      <c r="C91" s="19" t="s">
        <v>215</v>
      </c>
      <c r="D91" s="19" t="s">
        <v>150</v>
      </c>
      <c r="E91" s="23">
        <v>1025958</v>
      </c>
      <c r="F91" s="20">
        <v>4261.32</v>
      </c>
      <c r="G91" s="20">
        <v>0.33</v>
      </c>
      <c r="H91" s="20" t="str">
        <f>IFERROR(VLOOKUP($C91,[1]Sheet1!$C$3:$K$5419,9,FALSE),"")</f>
        <v>Small Cap</v>
      </c>
    </row>
    <row r="92" spans="2:8" x14ac:dyDescent="0.2">
      <c r="B92" s="22" t="s">
        <v>216</v>
      </c>
      <c r="C92" s="19" t="s">
        <v>217</v>
      </c>
      <c r="D92" s="19" t="s">
        <v>114</v>
      </c>
      <c r="E92" s="23">
        <v>93166</v>
      </c>
      <c r="F92" s="20">
        <v>4204.58</v>
      </c>
      <c r="G92" s="20">
        <v>0.33</v>
      </c>
      <c r="H92" s="20" t="str">
        <f>IFERROR(VLOOKUP($C92,[1]Sheet1!$C$3:$K$5419,9,FALSE),"")</f>
        <v>Small Cap</v>
      </c>
    </row>
    <row r="93" spans="2:8" x14ac:dyDescent="0.2">
      <c r="B93" s="22" t="s">
        <v>218</v>
      </c>
      <c r="C93" s="19" t="s">
        <v>219</v>
      </c>
      <c r="D93" s="19" t="s">
        <v>86</v>
      </c>
      <c r="E93" s="23">
        <v>556539</v>
      </c>
      <c r="F93" s="20">
        <v>3862.66</v>
      </c>
      <c r="G93" s="20">
        <v>0.3</v>
      </c>
      <c r="H93" s="20" t="str">
        <f>IFERROR(VLOOKUP($C93,[1]Sheet1!$C$3:$K$5419,9,FALSE),"")</f>
        <v>Small Cap</v>
      </c>
    </row>
    <row r="94" spans="2:8" x14ac:dyDescent="0.2">
      <c r="B94" s="22" t="s">
        <v>220</v>
      </c>
      <c r="C94" s="19" t="s">
        <v>221</v>
      </c>
      <c r="D94" s="19" t="s">
        <v>72</v>
      </c>
      <c r="E94" s="23">
        <v>884166</v>
      </c>
      <c r="F94" s="20">
        <v>3447.81</v>
      </c>
      <c r="G94" s="20">
        <v>0.27</v>
      </c>
      <c r="H94" s="20" t="str">
        <f>IFERROR(VLOOKUP($C94,[1]Sheet1!$C$3:$K$5419,9,FALSE),"")</f>
        <v>Small Cap</v>
      </c>
    </row>
    <row r="95" spans="2:8" x14ac:dyDescent="0.2">
      <c r="B95" s="22" t="s">
        <v>222</v>
      </c>
      <c r="C95" s="19" t="s">
        <v>223</v>
      </c>
      <c r="D95" s="19" t="s">
        <v>17</v>
      </c>
      <c r="E95" s="23">
        <v>96805</v>
      </c>
      <c r="F95" s="20">
        <v>3012.67</v>
      </c>
      <c r="G95" s="20">
        <v>0.24</v>
      </c>
      <c r="H95" s="20" t="str">
        <f>IFERROR(VLOOKUP($C95,[1]Sheet1!$C$3:$K$5419,9,FALSE),"")</f>
        <v>Large Cap</v>
      </c>
    </row>
    <row r="96" spans="2:8" x14ac:dyDescent="0.2">
      <c r="B96" s="22" t="s">
        <v>224</v>
      </c>
      <c r="C96" s="19" t="s">
        <v>225</v>
      </c>
      <c r="D96" s="19" t="s">
        <v>164</v>
      </c>
      <c r="E96" s="23">
        <v>353651</v>
      </c>
      <c r="F96" s="20">
        <v>1124.43</v>
      </c>
      <c r="G96" s="20">
        <v>0.09</v>
      </c>
      <c r="H96" s="20" t="str">
        <f>IFERROR(VLOOKUP($C96,[1]Sheet1!$C$3:$K$5419,9,FALSE),"")</f>
        <v>Small Cap</v>
      </c>
    </row>
    <row r="97" spans="2:9" x14ac:dyDescent="0.2">
      <c r="B97" s="22" t="s">
        <v>226</v>
      </c>
      <c r="C97" s="19" t="s">
        <v>227</v>
      </c>
      <c r="D97" s="19" t="s">
        <v>143</v>
      </c>
      <c r="E97" s="23">
        <v>405320</v>
      </c>
      <c r="F97" s="20">
        <v>838.16</v>
      </c>
      <c r="G97" s="20">
        <v>7.0000000000000007E-2</v>
      </c>
      <c r="H97" s="20" t="str">
        <f>IFERROR(VLOOKUP($C97,[1]Sheet1!$C$3:$K$5419,9,FALSE),"")</f>
        <v>Small Cap</v>
      </c>
    </row>
    <row r="98" spans="2:9" x14ac:dyDescent="0.2">
      <c r="B98" s="26" t="s">
        <v>228</v>
      </c>
      <c r="C98" s="27"/>
      <c r="D98" s="27"/>
      <c r="E98" s="27"/>
      <c r="F98" s="28">
        <f>SUM(F7:F97)</f>
        <v>1241953.8199999996</v>
      </c>
      <c r="G98" s="28">
        <f>SUM(G7:G97)</f>
        <v>97.22</v>
      </c>
      <c r="H98" s="28"/>
      <c r="I98" s="29"/>
    </row>
    <row r="99" spans="2:9" x14ac:dyDescent="0.2">
      <c r="B99" s="30" t="s">
        <v>229</v>
      </c>
      <c r="C99" s="30"/>
      <c r="D99" s="30"/>
      <c r="E99" s="30"/>
      <c r="F99" s="31">
        <f>F98</f>
        <v>1241953.8199999996</v>
      </c>
      <c r="G99" s="31">
        <f>G98</f>
        <v>97.22</v>
      </c>
      <c r="H99" s="31"/>
      <c r="I99" s="29"/>
    </row>
    <row r="100" spans="2:9" x14ac:dyDescent="0.2">
      <c r="B100" s="32" t="s">
        <v>230</v>
      </c>
      <c r="C100" s="33"/>
      <c r="D100" s="33"/>
      <c r="E100" s="33"/>
      <c r="F100" s="34"/>
      <c r="G100" s="34"/>
      <c r="H100" s="34"/>
    </row>
    <row r="101" spans="2:9" x14ac:dyDescent="0.2">
      <c r="B101" s="22" t="s">
        <v>230</v>
      </c>
      <c r="C101" s="19"/>
      <c r="D101" s="19"/>
      <c r="E101" s="19"/>
      <c r="F101" s="20">
        <v>28827.42</v>
      </c>
      <c r="G101" s="20">
        <v>2.2599999999999998</v>
      </c>
      <c r="H101" s="20"/>
    </row>
    <row r="102" spans="2:9" x14ac:dyDescent="0.2">
      <c r="B102" s="26" t="s">
        <v>228</v>
      </c>
      <c r="C102" s="27"/>
      <c r="D102" s="27"/>
      <c r="E102" s="27"/>
      <c r="F102" s="28">
        <f>SUM(F100:F101)</f>
        <v>28827.42</v>
      </c>
      <c r="G102" s="28">
        <f>SUM(G100:G101)</f>
        <v>2.2599999999999998</v>
      </c>
      <c r="H102" s="28"/>
      <c r="I102" s="29"/>
    </row>
    <row r="103" spans="2:9" x14ac:dyDescent="0.2">
      <c r="B103" s="35" t="s">
        <v>229</v>
      </c>
      <c r="C103" s="35"/>
      <c r="D103" s="35"/>
      <c r="E103" s="35"/>
      <c r="F103" s="36">
        <f>F102</f>
        <v>28827.42</v>
      </c>
      <c r="G103" s="36">
        <f>G102</f>
        <v>2.2599999999999998</v>
      </c>
      <c r="H103" s="36"/>
      <c r="I103" s="29"/>
    </row>
    <row r="104" spans="2:9" x14ac:dyDescent="0.2">
      <c r="B104" s="37" t="s">
        <v>231</v>
      </c>
      <c r="C104" s="37"/>
      <c r="D104" s="37"/>
      <c r="E104" s="37"/>
      <c r="F104" s="38">
        <f>F105-(+F99+F103)</f>
        <v>6080.4700000004377</v>
      </c>
      <c r="G104" s="38">
        <f>G105-(+G99+G103)</f>
        <v>0.51999999999999602</v>
      </c>
      <c r="H104" s="38"/>
      <c r="I104" s="29"/>
    </row>
    <row r="105" spans="2:9" x14ac:dyDescent="0.2">
      <c r="B105" s="37" t="s">
        <v>232</v>
      </c>
      <c r="C105" s="37"/>
      <c r="D105" s="37"/>
      <c r="E105" s="37"/>
      <c r="F105" s="38">
        <v>1276861.71</v>
      </c>
      <c r="G105" s="38">
        <v>100</v>
      </c>
      <c r="H105" s="38"/>
      <c r="I105" s="29"/>
    </row>
    <row r="107" spans="2:9" ht="12.75" thickBot="1" x14ac:dyDescent="0.25">
      <c r="B107" s="29"/>
    </row>
    <row r="108" spans="2:9" ht="13.5" thickTop="1" thickBot="1" x14ac:dyDescent="0.25">
      <c r="B108" s="40" t="s">
        <v>233</v>
      </c>
      <c r="C108" s="41" t="s">
        <v>234</v>
      </c>
    </row>
    <row r="109" spans="2:9" ht="12.75" thickTop="1" x14ac:dyDescent="0.2"/>
    <row r="110" spans="2:9" x14ac:dyDescent="0.2">
      <c r="B110" s="29" t="s">
        <v>235</v>
      </c>
    </row>
    <row r="112" spans="2:9" ht="15" x14ac:dyDescent="0.2">
      <c r="B112" s="42" t="s">
        <v>236</v>
      </c>
    </row>
  </sheetData>
  <mergeCells count="5">
    <mergeCell ref="B1:G1"/>
    <mergeCell ref="K5:K12"/>
    <mergeCell ref="L5:L12"/>
    <mergeCell ref="M5:M12"/>
    <mergeCell ref="N5:N12"/>
  </mergeCells>
  <hyperlinks>
    <hyperlink ref="B112" r:id="rId1" xr:uid="{948A5600-4B30-4126-B85E-C99D5A8A75CD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11:34:56</KDate>
  <Classification>MIS INTERNAL</Classification>
  <Subclassification/>
  <HostName>MUMCMP01323</HostName>
  <Domain_User>CANARAROBECOMF/628</Domain_User>
  <IPAdd>10.212.134.107</IPAdd>
  <FilePath>Book7</FilePath>
  <KID>00090FAA0001639086528961288818</KID>
  <UniqueName/>
  <Suggested/>
  <Justification/>
  <KlassifyGUID/>
</Klassify>
</file>

<file path=customXml/itemProps1.xml><?xml version="1.0" encoding="utf-8"?>
<ds:datastoreItem xmlns:ds="http://schemas.openxmlformats.org/officeDocument/2006/customXml" ds:itemID="{85B02299-2EA5-4B78-9300-516321C8FB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2026-03-09T06:04:54Z</dcterms:created>
  <dcterms:modified xsi:type="dcterms:W3CDTF">2026-03-09T06:04:56Z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00090FAA0001639086528961288818</vt:lpwstr>
  </property>
</Properties>
</file>