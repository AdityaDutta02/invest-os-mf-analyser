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1" l="1"/>
  <c r="G39" i="1" s="1"/>
  <c r="F38" i="1"/>
  <c r="F39" i="1" s="1"/>
  <c r="G35" i="1"/>
  <c r="F35" i="1"/>
  <c r="G31" i="1"/>
  <c r="F31" i="1"/>
  <c r="G26" i="1"/>
  <c r="F26" i="1"/>
  <c r="G18" i="1"/>
  <c r="G32" i="1" s="1"/>
  <c r="F18" i="1"/>
  <c r="F32" i="1" s="1"/>
  <c r="G14" i="1"/>
  <c r="G40" i="1" s="1"/>
  <c r="G13" i="1"/>
  <c r="F13" i="1"/>
  <c r="F14" i="1" s="1"/>
  <c r="F40" i="1" s="1"/>
</calcChain>
</file>

<file path=xl/sharedStrings.xml><?xml version="1.0" encoding="utf-8"?>
<sst xmlns="http://schemas.openxmlformats.org/spreadsheetml/2006/main" count="96" uniqueCount="78">
  <si>
    <t>CANARA ROBECO LIQUID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</si>
  <si>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</si>
  <si>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</si>
  <si>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</si>
  <si>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</si>
  <si>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</si>
  <si>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</si>
  <si>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</si>
  <si>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</si>
  <si>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Jun'22</t>
  </si>
  <si>
    <t>Benchmark Risk-o-meter Level- Jun'22</t>
  </si>
  <si>
    <t>Previous Scheme Risk-o-meter Level- May'22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</si>
  <si>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</si>
  <si>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</si>
  <si>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</si>
  <si>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</si>
  <si>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</si>
  <si>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</si>
  <si>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</si>
  <si>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</si>
  <si>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6.99% Small Industries Development Bank Of India (08/08/2022) **</t>
  </si>
  <si>
    <t>INE556F08JN1</t>
  </si>
  <si>
    <t>CARE AAA</t>
  </si>
  <si>
    <t>Relatively Low (Class I)</t>
  </si>
  <si>
    <t>A-I</t>
  </si>
  <si>
    <t>7.42% LIC Housing Finance Ltd (15/07/2022) **</t>
  </si>
  <si>
    <t>INE115A07MG7</t>
  </si>
  <si>
    <t>CRISIL AAA</t>
  </si>
  <si>
    <t>7.18% National Bank For Agriculture &amp; Rural Development (08/08/2022)</t>
  </si>
  <si>
    <t>INE261F08BN5</t>
  </si>
  <si>
    <t>Moderate 
(Class II)</t>
  </si>
  <si>
    <t>5.1121% HDB FINANCIAL SERVICES LTD 26-JUL-22 **</t>
  </si>
  <si>
    <t>INE756I07DJ4</t>
  </si>
  <si>
    <t>8.45% Power Finance Corporation Ltd (11/08/2022) **</t>
  </si>
  <si>
    <t>INE134E08JU5</t>
  </si>
  <si>
    <t>Relatively High (Class III)</t>
  </si>
  <si>
    <t>7.87% Housing Development Finance Corporation Ltd (18/07/2022)</t>
  </si>
  <si>
    <t>INE001A07RW5</t>
  </si>
  <si>
    <t>Sub Total</t>
  </si>
  <si>
    <t>Benchmark: CRISIL Liquid Fund A-I Index</t>
  </si>
  <si>
    <t>Total</t>
  </si>
  <si>
    <t>Money Market Instruments</t>
  </si>
  <si>
    <t>Certificate of Deposit</t>
  </si>
  <si>
    <t>HDFC Bank Ltd (25/07/2022) ** #</t>
  </si>
  <si>
    <t>INE040A16CW6</t>
  </si>
  <si>
    <t>CARE A1+</t>
  </si>
  <si>
    <t>Commercial Paper</t>
  </si>
  <si>
    <t xml:space="preserve">Indian Oil Corporation Ltd (29/07/2022) ** </t>
  </si>
  <si>
    <t>INE242A14WO8</t>
  </si>
  <si>
    <t>ICRA A1+</t>
  </si>
  <si>
    <t xml:space="preserve">NTPC Ltd (11/07/2022) ** </t>
  </si>
  <si>
    <t>INE733E14AV9</t>
  </si>
  <si>
    <t xml:space="preserve">Housing Development Finance Corporation Ltd (20/07/2022) </t>
  </si>
  <si>
    <t>INE001A14YQ9</t>
  </si>
  <si>
    <t>CRISIL A1+</t>
  </si>
  <si>
    <t xml:space="preserve">Bajaj Housing Finance Ltd (20/07/2022) </t>
  </si>
  <si>
    <t>INE377Y14868</t>
  </si>
  <si>
    <t xml:space="preserve">Tata Capital Financial Services Ltd (10/08/2022) ** </t>
  </si>
  <si>
    <t>INE306N14TL6</t>
  </si>
  <si>
    <t xml:space="preserve">LIC Housing Finance Ltd (12/08/2022) ** </t>
  </si>
  <si>
    <t>INE115A14DI8</t>
  </si>
  <si>
    <t>Treasury Bill</t>
  </si>
  <si>
    <t>91 DAYS TREASURY BILLS 21-JUL-22</t>
  </si>
  <si>
    <t>IN002022X031</t>
  </si>
  <si>
    <t xml:space="preserve"> Sovereign</t>
  </si>
  <si>
    <t>182 DAYS TREASURY BILLS 25-AUG-22</t>
  </si>
  <si>
    <t>IN002021Y502</t>
  </si>
  <si>
    <t>91 DAYS TREASURY BILLS 04-AUG-22</t>
  </si>
  <si>
    <t>IN002022X056</t>
  </si>
  <si>
    <t>Government Bonds</t>
  </si>
  <si>
    <t>8.84% ANDHRA PRADESH SDL 18-JUL-22</t>
  </si>
  <si>
    <t>IN1020120078</t>
  </si>
  <si>
    <t>Sovereign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</si>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</sst>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0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24384</xdr:colOff>
      <xdr:row>4</xdr:row>
      <xdr:rowOff>57149</xdr:rowOff>
    </xdr:from>
    <xdr:ext cx="1652015" cy="1400175"/>
    <xdr:pic>
      <xdr:nvPicPr>
        <xdr:cNvPr id="2" name="Picture 1">
          <a:extLst>
            <a:ext uri="{FF2B5EF4-FFF2-40B4-BE49-F238E27FC236}">
              <a16:creationId xmlns:a16="http://schemas.microsoft.com/office/drawing/2014/main" id="{5BF8F619-EAFF-4A81-8F51-4942F7BD0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1284" y="1066799"/>
          <a:ext cx="1652015" cy="1400175"/>
        </a:xfrm>
        <a:prstGeom prst="rect">
          <a:avLst/>
        </a:prstGeom>
      </xdr:spPr>
    </xdr:pic>
    <xdr:clientData/>
  </xdr:oneCellAnchor>
  <xdr:twoCellAnchor editAs="oneCell">
    <xdr:from>
      <xdr:col>9</xdr:col>
      <xdr:colOff>66675</xdr:colOff>
      <xdr:row>4</xdr:row>
      <xdr:rowOff>57150</xdr:rowOff>
    </xdr:from>
    <xdr:to>
      <xdr:col>9</xdr:col>
      <xdr:colOff>1676401</xdr:colOff>
      <xdr:row>10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50C6B-37C2-4A3B-8500-86347AD42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5975" y="1066800"/>
          <a:ext cx="1609726" cy="14192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192318</xdr:colOff>
      <xdr:row>4</xdr:row>
      <xdr:rowOff>90055</xdr:rowOff>
    </xdr:from>
    <xdr:to>
      <xdr:col>10</xdr:col>
      <xdr:colOff>1705516</xdr:colOff>
      <xdr:row>10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420E9D-4EAF-4625-B941-27B674C6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03268" y="1099705"/>
          <a:ext cx="1513198" cy="1338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4"/>
  <sheetViews>
    <sheetView tabSelected="1" workbookViewId="0">
      <selection activeCell="H7" sqref="H7"/>
    </sheetView>
  </sheetViews>
  <sheetFormatPr defaultRowHeight="12"/>
  <cols>
    <col min="1" max="1" width="9.140625" style="4"/>
    <col min="2" max="2" width="58.28515625" style="4" bestFit="1" customWidth="1"/>
    <col min="3" max="3" width="13.85546875" style="4" bestFit="1" customWidth="1"/>
    <col min="4" max="4" width="14.140625" style="4" bestFit="1" customWidth="1"/>
    <col min="5" max="5" width="9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6.5703125" style="3" customWidth="1"/>
    <col min="11" max="11" width="28.28515625" style="3" customWidth="1"/>
    <col min="12" max="12" width="25.85546875" style="3" customWidth="1"/>
    <col min="13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1000</v>
      </c>
      <c r="F7" s="30">
        <v>10016.93</v>
      </c>
      <c r="G7" s="30">
        <v>5.97</v>
      </c>
      <c r="H7" s="30">
        <v>5.04</v>
      </c>
      <c r="J7" s="24"/>
      <c r="K7" s="24"/>
      <c r="L7" s="24"/>
      <c r="N7" s="33" t="s">
        <v>23</v>
      </c>
      <c r="O7" s="34" t="s">
        <v>24</v>
      </c>
      <c r="P7" s="35"/>
      <c r="Q7" s="36"/>
    </row>
    <row r="8" spans="2:17">
      <c r="B8" s="28" t="s">
        <v>25</v>
      </c>
      <c r="C8" s="28" t="s">
        <v>26</v>
      </c>
      <c r="D8" s="28" t="s">
        <v>27</v>
      </c>
      <c r="E8" s="32">
        <v>600</v>
      </c>
      <c r="F8" s="30">
        <v>6004.63</v>
      </c>
      <c r="G8" s="30">
        <v>3.58</v>
      </c>
      <c r="H8" s="30">
        <v>5.05</v>
      </c>
      <c r="J8" s="24"/>
      <c r="K8" s="24"/>
      <c r="L8" s="24"/>
      <c r="N8" s="33"/>
      <c r="O8" s="37"/>
      <c r="P8" s="38"/>
      <c r="Q8" s="39"/>
    </row>
    <row r="9" spans="2:17">
      <c r="B9" s="28" t="s">
        <v>28</v>
      </c>
      <c r="C9" s="28" t="s">
        <v>29</v>
      </c>
      <c r="D9" s="28" t="s">
        <v>27</v>
      </c>
      <c r="E9" s="32">
        <v>500</v>
      </c>
      <c r="F9" s="30">
        <v>5009.07</v>
      </c>
      <c r="G9" s="30">
        <v>2.99</v>
      </c>
      <c r="H9" s="30">
        <v>5.0999999999999996</v>
      </c>
      <c r="J9" s="24"/>
      <c r="K9" s="24"/>
      <c r="L9" s="24"/>
      <c r="N9" s="33" t="s">
        <v>30</v>
      </c>
      <c r="O9" s="36"/>
      <c r="P9" s="36"/>
      <c r="Q9" s="36"/>
    </row>
    <row r="10" spans="2:17">
      <c r="B10" s="28" t="s">
        <v>31</v>
      </c>
      <c r="C10" s="28" t="s">
        <v>32</v>
      </c>
      <c r="D10" s="28" t="s">
        <v>27</v>
      </c>
      <c r="E10" s="32">
        <v>450</v>
      </c>
      <c r="F10" s="30">
        <v>4498.71</v>
      </c>
      <c r="G10" s="30">
        <v>2.68</v>
      </c>
      <c r="H10" s="30">
        <v>5.28</v>
      </c>
      <c r="J10" s="24"/>
      <c r="K10" s="24"/>
      <c r="L10" s="24"/>
      <c r="N10" s="33"/>
      <c r="O10" s="39"/>
      <c r="P10" s="39"/>
      <c r="Q10" s="39"/>
    </row>
    <row r="11" spans="2:17">
      <c r="B11" s="28" t="s">
        <v>33</v>
      </c>
      <c r="C11" s="28" t="s">
        <v>34</v>
      </c>
      <c r="D11" s="28" t="s">
        <v>27</v>
      </c>
      <c r="E11" s="32">
        <v>250</v>
      </c>
      <c r="F11" s="30">
        <v>2508.9899999999998</v>
      </c>
      <c r="G11" s="30">
        <v>1.5</v>
      </c>
      <c r="H11" s="30">
        <v>5.0999999999999996</v>
      </c>
      <c r="J11" s="24"/>
      <c r="K11" s="24"/>
      <c r="L11" s="24"/>
      <c r="N11" s="33" t="s">
        <v>35</v>
      </c>
      <c r="O11" s="36"/>
      <c r="P11" s="36"/>
      <c r="Q11" s="36"/>
    </row>
    <row r="12" spans="2:17">
      <c r="B12" s="28" t="s">
        <v>36</v>
      </c>
      <c r="C12" s="28" t="s">
        <v>37</v>
      </c>
      <c r="D12" s="28" t="s">
        <v>27</v>
      </c>
      <c r="E12" s="32">
        <v>250</v>
      </c>
      <c r="F12" s="30">
        <v>2502.71</v>
      </c>
      <c r="G12" s="30">
        <v>1.49</v>
      </c>
      <c r="H12" s="30">
        <v>5.15</v>
      </c>
      <c r="J12" s="24"/>
      <c r="K12" s="24"/>
      <c r="L12" s="24"/>
      <c r="N12" s="33"/>
      <c r="O12" s="39"/>
      <c r="P12" s="39"/>
      <c r="Q12" s="39"/>
    </row>
    <row r="13" spans="2:17">
      <c r="B13" s="40" t="s">
        <v>38</v>
      </c>
      <c r="C13" s="40"/>
      <c r="D13" s="40"/>
      <c r="E13" s="41"/>
      <c r="F13" s="42">
        <f>SUM(F6:F12)</f>
        <v>30541.040000000001</v>
      </c>
      <c r="G13" s="42">
        <f>SUM(G6:G12)</f>
        <v>18.209999999999997</v>
      </c>
      <c r="H13" s="43"/>
      <c r="K13" s="3" t="s">
        <v>39</v>
      </c>
    </row>
    <row r="14" spans="2:17">
      <c r="B14" s="44" t="s">
        <v>40</v>
      </c>
      <c r="C14" s="44"/>
      <c r="D14" s="44"/>
      <c r="E14" s="45"/>
      <c r="F14" s="46">
        <f>F13</f>
        <v>30541.040000000001</v>
      </c>
      <c r="G14" s="46">
        <f>G13</f>
        <v>18.209999999999997</v>
      </c>
      <c r="H14" s="46"/>
    </row>
    <row r="15" spans="2:17">
      <c r="B15" s="27" t="s">
        <v>41</v>
      </c>
      <c r="C15" s="28"/>
      <c r="D15" s="28"/>
      <c r="E15" s="29"/>
      <c r="F15" s="30"/>
      <c r="G15" s="30"/>
      <c r="H15" s="30"/>
    </row>
    <row r="16" spans="2:17">
      <c r="B16" s="27" t="s">
        <v>42</v>
      </c>
      <c r="C16" s="28"/>
      <c r="D16" s="28"/>
      <c r="E16" s="29"/>
      <c r="F16" s="30"/>
      <c r="G16" s="30"/>
      <c r="H16" s="30"/>
    </row>
    <row r="17" spans="2:8">
      <c r="B17" s="28" t="s">
        <v>43</v>
      </c>
      <c r="C17" s="28" t="s">
        <v>44</v>
      </c>
      <c r="D17" s="28" t="s">
        <v>45</v>
      </c>
      <c r="E17" s="32">
        <v>2000</v>
      </c>
      <c r="F17" s="30">
        <v>9967.7900000000009</v>
      </c>
      <c r="G17" s="30">
        <v>5.95</v>
      </c>
      <c r="H17" s="30">
        <v>4.92</v>
      </c>
    </row>
    <row r="18" spans="2:8">
      <c r="B18" s="27" t="s">
        <v>38</v>
      </c>
      <c r="C18" s="27"/>
      <c r="D18" s="27"/>
      <c r="E18" s="47"/>
      <c r="F18" s="48">
        <f>SUM(F16:F17)</f>
        <v>9967.7900000000009</v>
      </c>
      <c r="G18" s="48">
        <f>SUM(G16:G17)</f>
        <v>5.95</v>
      </c>
      <c r="H18" s="49"/>
    </row>
    <row r="19" spans="2:8">
      <c r="B19" s="27" t="s">
        <v>46</v>
      </c>
      <c r="C19" s="28"/>
      <c r="D19" s="28"/>
      <c r="E19" s="29"/>
      <c r="F19" s="30"/>
      <c r="G19" s="30"/>
      <c r="H19" s="30"/>
    </row>
    <row r="20" spans="2:8">
      <c r="B20" s="28" t="s">
        <v>47</v>
      </c>
      <c r="C20" s="28" t="s">
        <v>48</v>
      </c>
      <c r="D20" s="28" t="s">
        <v>49</v>
      </c>
      <c r="E20" s="32">
        <v>2500</v>
      </c>
      <c r="F20" s="30">
        <v>12453.05</v>
      </c>
      <c r="G20" s="30">
        <v>7.43</v>
      </c>
      <c r="H20" s="30">
        <v>4.92</v>
      </c>
    </row>
    <row r="21" spans="2:8">
      <c r="B21" s="28" t="s">
        <v>50</v>
      </c>
      <c r="C21" s="28" t="s">
        <v>51</v>
      </c>
      <c r="D21" s="28" t="s">
        <v>49</v>
      </c>
      <c r="E21" s="32">
        <v>2000</v>
      </c>
      <c r="F21" s="30">
        <v>9986.73</v>
      </c>
      <c r="G21" s="30">
        <v>5.96</v>
      </c>
      <c r="H21" s="30">
        <v>4.8499999999999996</v>
      </c>
    </row>
    <row r="22" spans="2:8">
      <c r="B22" s="28" t="s">
        <v>52</v>
      </c>
      <c r="C22" s="28" t="s">
        <v>53</v>
      </c>
      <c r="D22" s="28" t="s">
        <v>54</v>
      </c>
      <c r="E22" s="32">
        <v>2000</v>
      </c>
      <c r="F22" s="30">
        <v>9974.0400000000009</v>
      </c>
      <c r="G22" s="30">
        <v>5.95</v>
      </c>
      <c r="H22" s="30">
        <v>5</v>
      </c>
    </row>
    <row r="23" spans="2:8">
      <c r="B23" s="28" t="s">
        <v>55</v>
      </c>
      <c r="C23" s="28" t="s">
        <v>56</v>
      </c>
      <c r="D23" s="28" t="s">
        <v>54</v>
      </c>
      <c r="E23" s="32">
        <v>1000</v>
      </c>
      <c r="F23" s="30">
        <v>4986.63</v>
      </c>
      <c r="G23" s="30">
        <v>2.97</v>
      </c>
      <c r="H23" s="30">
        <v>5.15</v>
      </c>
    </row>
    <row r="24" spans="2:8">
      <c r="B24" s="28" t="s">
        <v>57</v>
      </c>
      <c r="C24" s="28" t="s">
        <v>58</v>
      </c>
      <c r="D24" s="28" t="s">
        <v>49</v>
      </c>
      <c r="E24" s="32">
        <v>500</v>
      </c>
      <c r="F24" s="30">
        <v>2485.29</v>
      </c>
      <c r="G24" s="30">
        <v>1.48</v>
      </c>
      <c r="H24" s="30">
        <v>5.4</v>
      </c>
    </row>
    <row r="25" spans="2:8">
      <c r="B25" s="28" t="s">
        <v>59</v>
      </c>
      <c r="C25" s="28" t="s">
        <v>60</v>
      </c>
      <c r="D25" s="28" t="s">
        <v>54</v>
      </c>
      <c r="E25" s="32">
        <v>500</v>
      </c>
      <c r="F25" s="30">
        <v>2485.06</v>
      </c>
      <c r="G25" s="30">
        <v>1.48</v>
      </c>
      <c r="H25" s="30">
        <v>5.23</v>
      </c>
    </row>
    <row r="26" spans="2:8">
      <c r="B26" s="27" t="s">
        <v>38</v>
      </c>
      <c r="C26" s="27"/>
      <c r="D26" s="27"/>
      <c r="E26" s="47"/>
      <c r="F26" s="48">
        <f>SUM(F19:F25)</f>
        <v>42370.799999999996</v>
      </c>
      <c r="G26" s="48">
        <f>SUM(G19:G25)</f>
        <v>25.27</v>
      </c>
      <c r="H26" s="49"/>
    </row>
    <row r="27" spans="2:8">
      <c r="B27" s="27" t="s">
        <v>61</v>
      </c>
      <c r="C27" s="28"/>
      <c r="D27" s="28"/>
      <c r="E27" s="29"/>
      <c r="F27" s="30"/>
      <c r="G27" s="30"/>
      <c r="H27" s="30"/>
    </row>
    <row r="28" spans="2:8">
      <c r="B28" s="28" t="s">
        <v>62</v>
      </c>
      <c r="C28" s="28" t="s">
        <v>63</v>
      </c>
      <c r="D28" s="28" t="s">
        <v>64</v>
      </c>
      <c r="E28" s="32">
        <v>25000000</v>
      </c>
      <c r="F28" s="30">
        <v>24936.48</v>
      </c>
      <c r="G28" s="30">
        <v>14.87</v>
      </c>
      <c r="H28" s="30">
        <v>4.6500000000000004</v>
      </c>
    </row>
    <row r="29" spans="2:8">
      <c r="B29" s="28" t="s">
        <v>65</v>
      </c>
      <c r="C29" s="28" t="s">
        <v>66</v>
      </c>
      <c r="D29" s="28" t="s">
        <v>64</v>
      </c>
      <c r="E29" s="32">
        <v>10000000</v>
      </c>
      <c r="F29" s="30">
        <v>9927.4500000000007</v>
      </c>
      <c r="G29" s="30">
        <v>5.92</v>
      </c>
      <c r="H29" s="30">
        <v>4.8499999999999996</v>
      </c>
    </row>
    <row r="30" spans="2:8">
      <c r="B30" s="28" t="s">
        <v>67</v>
      </c>
      <c r="C30" s="28" t="s">
        <v>68</v>
      </c>
      <c r="D30" s="28" t="s">
        <v>64</v>
      </c>
      <c r="E30" s="32">
        <v>7500000</v>
      </c>
      <c r="F30" s="30">
        <v>7467.59</v>
      </c>
      <c r="G30" s="30">
        <v>4.45</v>
      </c>
      <c r="H30" s="30">
        <v>4.66</v>
      </c>
    </row>
    <row r="31" spans="2:8">
      <c r="B31" s="40" t="s">
        <v>38</v>
      </c>
      <c r="C31" s="40"/>
      <c r="D31" s="40"/>
      <c r="E31" s="41"/>
      <c r="F31" s="42">
        <f>SUM(F27:F30)</f>
        <v>42331.520000000004</v>
      </c>
      <c r="G31" s="42">
        <f>SUM(G27:G30)</f>
        <v>25.24</v>
      </c>
      <c r="H31" s="43"/>
    </row>
    <row r="32" spans="2:8">
      <c r="B32" s="44" t="s">
        <v>40</v>
      </c>
      <c r="C32" s="44"/>
      <c r="D32" s="44"/>
      <c r="E32" s="45"/>
      <c r="F32" s="46">
        <f>F18+F26+F31</f>
        <v>94670.11</v>
      </c>
      <c r="G32" s="46">
        <f>G18+G26+G31</f>
        <v>56.459999999999994</v>
      </c>
      <c r="H32" s="46"/>
    </row>
    <row r="33" spans="2:8">
      <c r="B33" s="27" t="s">
        <v>69</v>
      </c>
      <c r="C33" s="28"/>
      <c r="D33" s="28"/>
      <c r="E33" s="29"/>
      <c r="F33" s="30"/>
      <c r="G33" s="30"/>
      <c r="H33" s="30"/>
    </row>
    <row r="34" spans="2:8">
      <c r="B34" s="50" t="s">
        <v>70</v>
      </c>
      <c r="C34" s="50" t="s">
        <v>71</v>
      </c>
      <c r="D34" s="50" t="s">
        <v>72</v>
      </c>
      <c r="E34" s="51">
        <v>9000000</v>
      </c>
      <c r="F34" s="52">
        <v>9016.1</v>
      </c>
      <c r="G34" s="52">
        <v>5.38</v>
      </c>
      <c r="H34" s="52">
        <v>4.92</v>
      </c>
    </row>
    <row r="35" spans="2:8">
      <c r="B35" s="53" t="s">
        <v>40</v>
      </c>
      <c r="C35" s="53"/>
      <c r="D35" s="53"/>
      <c r="E35" s="54"/>
      <c r="F35" s="48">
        <f>SUM(F34:F34)</f>
        <v>9016.1</v>
      </c>
      <c r="G35" s="48">
        <f>SUM(G34:G34)</f>
        <v>5.38</v>
      </c>
      <c r="H35" s="48"/>
    </row>
    <row r="36" spans="2:8">
      <c r="B36" s="27" t="s">
        <v>73</v>
      </c>
      <c r="C36" s="28"/>
      <c r="D36" s="28"/>
      <c r="E36" s="29"/>
      <c r="F36" s="30"/>
      <c r="G36" s="30"/>
      <c r="H36" s="30"/>
    </row>
    <row r="37" spans="2:8">
      <c r="B37" s="28" t="s">
        <v>73</v>
      </c>
      <c r="C37" s="28"/>
      <c r="D37" s="28"/>
      <c r="E37" s="29"/>
      <c r="F37" s="30">
        <v>30836.29</v>
      </c>
      <c r="G37" s="30">
        <v>18.39</v>
      </c>
      <c r="H37" s="30"/>
    </row>
    <row r="38" spans="2:8">
      <c r="B38" s="40" t="s">
        <v>38</v>
      </c>
      <c r="C38" s="40"/>
      <c r="D38" s="40"/>
      <c r="E38" s="41"/>
      <c r="F38" s="42">
        <f>SUM(F36:F37)</f>
        <v>30836.29</v>
      </c>
      <c r="G38" s="42">
        <f>SUM(G36:G37)</f>
        <v>18.39</v>
      </c>
      <c r="H38" s="43"/>
    </row>
    <row r="39" spans="2:8">
      <c r="B39" s="55" t="s">
        <v>40</v>
      </c>
      <c r="C39" s="55"/>
      <c r="D39" s="55"/>
      <c r="E39" s="56"/>
      <c r="F39" s="57">
        <f>F38</f>
        <v>30836.29</v>
      </c>
      <c r="G39" s="57">
        <f>G38</f>
        <v>18.39</v>
      </c>
      <c r="H39" s="57"/>
    </row>
    <row r="40" spans="2:8">
      <c r="B40" s="58" t="s">
        <v>74</v>
      </c>
      <c r="C40" s="58"/>
      <c r="D40" s="58"/>
      <c r="E40" s="59"/>
      <c r="F40" s="60">
        <f>F41-(+F14+F32+F35+F39)</f>
        <v>2586.8899999999849</v>
      </c>
      <c r="G40" s="60">
        <f>G41-(+G14+G32+G35+G39)</f>
        <v>1.5600000000000165</v>
      </c>
      <c r="H40" s="60"/>
    </row>
    <row r="41" spans="2:8">
      <c r="B41" s="58" t="s">
        <v>75</v>
      </c>
      <c r="C41" s="58"/>
      <c r="D41" s="58"/>
      <c r="E41" s="59"/>
      <c r="F41" s="60">
        <v>167650.43</v>
      </c>
      <c r="G41" s="60">
        <v>100</v>
      </c>
      <c r="H41" s="60"/>
    </row>
    <row r="43" spans="2:8">
      <c r="B43" s="61" t="s">
        <v>76</v>
      </c>
    </row>
    <row r="44" spans="2:8">
      <c r="B44" s="61" t="s">
        <v>77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12:06:36</KDate>
  <Classification>Public</Classification>
  <Subclassification/>
  <HostName>MUMCMP00935</HostName>
  <Domain_User>CANARAROBECOMF/628</Domain_User>
  <IPAdd>192.9.198.194</IPAdd>
  <FilePath>Book17</FilePath>
  <KID>C025A5607E97637927923962858903</KID>
  <UniqueName/>
  <Suggested/>
  <Justification/>
</Klassify>
</file>

<file path=customXml/itemProps1.xml><?xml version="1.0" encoding="utf-8"?>
<ds:datastoreItem xmlns:ds="http://schemas.openxmlformats.org/officeDocument/2006/customXml" ds:itemID="{7AD50CC7-A27F-41AF-97C6-C7A6BF26C4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2022-07-07T06:36:28Z</dcterms:created>
  <dcterms:modified xsi:type="dcterms:W3CDTF">2022-07-07T06:36:36Z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C025A5607E97637927923962858903</vt:lpwstr>
  </property>
</Properties>
</file>