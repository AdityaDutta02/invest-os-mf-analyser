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un 25\"/>
    </mc:Choice>
  </mc:AlternateContent>
  <xr:revisionPtr revIDLastSave="0" documentId="8_{F4D10D1C-8AA3-4F58-92C6-3F4B7CA98468}" xr6:coauthVersionLast="47" xr6:coauthVersionMax="47" xr10:uidLastSave="{00000000-0000-0000-0000-000000000000}"/>
  <bookViews>
    <workbookView xWindow="-120" yWindow="-120" windowWidth="20730" windowHeight="11040" xr2:uid="{20A85FE3-2475-4E9C-98F4-86522AC1DC41}"/>
  </bookViews>
  <sheets>
    <sheet name="C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/>
  <c r="G48" i="1" s="1"/>
  <c r="F47" i="1"/>
  <c r="F48" i="1" s="1"/>
  <c r="G44" i="1"/>
  <c r="F44" i="1"/>
  <c r="G41" i="1"/>
  <c r="F41" i="1"/>
  <c r="G33" i="1"/>
  <c r="F33" i="1"/>
  <c r="G30" i="1"/>
  <c r="F30" i="1"/>
  <c r="G27" i="1"/>
  <c r="G34" i="1" s="1"/>
  <c r="F27" i="1"/>
  <c r="F34" i="1" s="1"/>
  <c r="F21" i="1"/>
  <c r="G20" i="1"/>
  <c r="G21" i="1" s="1"/>
  <c r="F20" i="1"/>
  <c r="G49" i="1" l="1"/>
  <c r="F4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<sst xmlns="http://schemas.openxmlformats.org/spreadsheetml/2006/main" count="123" uniqueCount="97">
  <si>
    <t>CANARA ROBECO SHORT DURATION FUND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</si>
  <si>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</si>
  <si>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</si>
  <si>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</si>
  <si>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</si>
  <si>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</si>
  <si>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</si>
  <si>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</si>
  <si>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</si>
  <si>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June'25</t>
  </si>
  <si>
    <t>Benchmark Risk-O-Meter Level- June'25</t>
  </si>
  <si>
    <t>Scheme Risk-O-Meter Level- May'25</t>
  </si>
  <si>
    <t>Benchmark Risk-O-Meter Level- May'25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</si>
  <si>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</si>
  <si>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</si>
  <si>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</si>
  <si>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</si>
  <si>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</si>
  <si>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</si>
  <si>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</si>
  <si>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</si>
  <si>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8.44% HDFC Bank Ltd (28/12/2028) **</t>
  </si>
  <si>
    <t>INE040A08393</t>
  </si>
  <si>
    <t>CRISIL AAA</t>
  </si>
  <si>
    <t>Relatively Low (Class I)</t>
  </si>
  <si>
    <t>7.49% Small Industries Development Bank Of India (11/06/2029)</t>
  </si>
  <si>
    <t>INE556F08KX8</t>
  </si>
  <si>
    <t>7.48% National Bank For Agriculture &amp; Rural Development (15/09/2028)</t>
  </si>
  <si>
    <t>INE261F08EO7</t>
  </si>
  <si>
    <t>Moderate 
(Class II)</t>
  </si>
  <si>
    <t>B-II</t>
  </si>
  <si>
    <t>7.45% Indian Railway Finance Corporation Ltd (13/10/2028) **</t>
  </si>
  <si>
    <t>INE053F08320</t>
  </si>
  <si>
    <t>7.9265% LIC HOUSING FINANCE LTD 14-JUL-27 **</t>
  </si>
  <si>
    <t>INE115A07QS3</t>
  </si>
  <si>
    <t>Relatively High (Class III)</t>
  </si>
  <si>
    <t>8.2250%KOTAK MAHINDRA PRIME LTD21-APR-27 **</t>
  </si>
  <si>
    <t>INE916DA7SO7</t>
  </si>
  <si>
    <t>7.50% Grasim industries Ltd (10/06/2027) **</t>
  </si>
  <si>
    <t>INE047A08190</t>
  </si>
  <si>
    <t>Benchmark: CRISIL Short Duration Debt A-II Index</t>
  </si>
  <si>
    <t>7.59% REC Ltd (31/05/2027) **</t>
  </si>
  <si>
    <t>INE020B08FA2</t>
  </si>
  <si>
    <t>7.25% Export-Import Bank Of India (01/02/2027) **</t>
  </si>
  <si>
    <t>INE514E08FJ9</t>
  </si>
  <si>
    <t>7.9237% BAJAJ HOUSING FINANCE LTD 16-MAR-26 **</t>
  </si>
  <si>
    <t>INE377Y07375</t>
  </si>
  <si>
    <t>7.13% Power Finance Corporation Ltd (15/07/2026) **</t>
  </si>
  <si>
    <t>INE134E08LP1</t>
  </si>
  <si>
    <t>7.95% Bajaj Finance Ltd (25/10/2027) **</t>
  </si>
  <si>
    <t>INE296A07SE7</t>
  </si>
  <si>
    <t>7.90% Bajaj Finance Ltd (17/11/2025) **</t>
  </si>
  <si>
    <t>INE296A07SF4</t>
  </si>
  <si>
    <t>Sub Total</t>
  </si>
  <si>
    <t>Total</t>
  </si>
  <si>
    <t>Money Market Instruments</t>
  </si>
  <si>
    <t>Certificate of Deposit</t>
  </si>
  <si>
    <t>Union Bank of India (25/06/2026) ** #</t>
  </si>
  <si>
    <t>INE692A16JQ1</t>
  </si>
  <si>
    <t>IND A1+</t>
  </si>
  <si>
    <t>Punjab National Bank (18/03/2026) ** #</t>
  </si>
  <si>
    <t>INE160A16RK5</t>
  </si>
  <si>
    <t>CARE A1+</t>
  </si>
  <si>
    <t>ICICI Bank Ltd (25/07/2025) ** #</t>
  </si>
  <si>
    <t>INE090AD6170</t>
  </si>
  <si>
    <t>ICRA A1+</t>
  </si>
  <si>
    <t>Commercial Paper</t>
  </si>
  <si>
    <t>LIC Housing Finance Ltd (18/03/2026) **</t>
  </si>
  <si>
    <t>INE115A14FL7</t>
  </si>
  <si>
    <t>CRISIL A1+</t>
  </si>
  <si>
    <t>Treasury Bill</t>
  </si>
  <si>
    <t>364 DTB (08-JAN-2026)</t>
  </si>
  <si>
    <t>IN002024Z396</t>
  </si>
  <si>
    <t xml:space="preserve"> Sovereign</t>
  </si>
  <si>
    <t>Government Bonds</t>
  </si>
  <si>
    <t>8.37% GOI (05/12/2028)</t>
  </si>
  <si>
    <t>IN3120180176</t>
  </si>
  <si>
    <t>Sovereign</t>
  </si>
  <si>
    <t>7.10% GOI 2034 (08-APR-2034)</t>
  </si>
  <si>
    <t>IN0020240019</t>
  </si>
  <si>
    <t>7.18% GOI 2037 (24-JUL-2037)</t>
  </si>
  <si>
    <t>IN0020230077</t>
  </si>
  <si>
    <t>7.32% GOI 2073 (13-NOV-2030)</t>
  </si>
  <si>
    <t>IN0020230135</t>
  </si>
  <si>
    <t>7.86% Karnataka SDL 15-Mar-27</t>
  </si>
  <si>
    <t>IN1920160117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</si>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</sst>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5" xfId="1" applyFont="1" applyFill="1" applyBorder="1" applyAlignment="1">
      <alignment horizontal="center" vertical="center"/>
    </xf>
    <xf numFmtId="164" fontId="3" fillId="3" borderId="10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164" fontId="3" fillId="3" borderId="12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3" fillId="3" borderId="13" xfId="1" applyFont="1" applyFill="1" applyBorder="1" applyAlignment="1">
      <alignment horizontal="center" vertical="center"/>
    </xf>
    <xf numFmtId="164" fontId="3" fillId="3" borderId="0" xfId="1" applyFont="1" applyFill="1" applyAlignment="1"/>
    <xf numFmtId="164" fontId="3" fillId="3" borderId="0" xfId="1" applyFont="1" applyFill="1"/>
    <xf numFmtId="0" fontId="9" fillId="3" borderId="14" xfId="0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3" borderId="0" xfId="0" applyFont="1" applyFill="1"/>
    <xf numFmtId="0" fontId="9" fillId="3" borderId="16" xfId="0" applyFont="1" applyFill="1" applyBorder="1"/>
    <xf numFmtId="4" fontId="9" fillId="3" borderId="16" xfId="0" applyNumberFormat="1" applyFont="1" applyFill="1" applyBorder="1"/>
    <xf numFmtId="4" fontId="9" fillId="3" borderId="17" xfId="0" applyNumberFormat="1" applyFont="1" applyFill="1" applyBorder="1"/>
    <xf numFmtId="4" fontId="9" fillId="3" borderId="11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7" xfId="0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C2815-D686-48AC-BBF3-B618C5A5AF02}">
  <dimension ref="B1:R60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58.28515625" style="3" bestFit="1" customWidth="1"/>
    <col min="3" max="3" width="13.7109375" style="3" bestFit="1" customWidth="1"/>
    <col min="4" max="4" width="22.85546875" style="3" bestFit="1" customWidth="1"/>
    <col min="5" max="5" width="8.855468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9" width="9.140625" style="3"/>
    <col min="10" max="10" width="31.5703125" style="3" customWidth="1"/>
    <col min="11" max="11" width="35.5703125" style="3" customWidth="1"/>
    <col min="12" max="13" width="31.42578125" style="3" customWidth="1"/>
    <col min="14" max="14" width="9.140625" style="3"/>
    <col min="15" max="15" width="12.7109375" style="3" customWidth="1"/>
    <col min="16" max="16384" width="9.140625" style="3"/>
  </cols>
  <sheetData>
    <row r="1" spans="2:18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8" ht="16.5" thickBot="1" x14ac:dyDescent="0.25">
      <c r="B3" s="4" t="s">
        <v>1</v>
      </c>
      <c r="C3" s="5"/>
      <c r="D3" s="6"/>
      <c r="E3" s="6"/>
      <c r="F3" s="7"/>
      <c r="G3" s="7"/>
    </row>
    <row r="4" spans="2:18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O4" s="14" t="s">
        <v>13</v>
      </c>
      <c r="P4" s="15"/>
      <c r="Q4" s="15"/>
      <c r="R4" s="16"/>
    </row>
    <row r="5" spans="2:18" x14ac:dyDescent="0.2">
      <c r="B5" s="17" t="s">
        <v>14</v>
      </c>
      <c r="C5" s="18"/>
      <c r="D5" s="18"/>
      <c r="E5" s="18"/>
      <c r="F5" s="19"/>
      <c r="G5" s="19"/>
      <c r="H5" s="19"/>
      <c r="J5" s="20" t="e" vm="1">
        <v>#VALUE!</v>
      </c>
      <c r="K5" s="21" t="e" vm="2">
        <v>#VALUE!</v>
      </c>
      <c r="L5" s="20" t="e" vm="1">
        <v>#VALUE!</v>
      </c>
      <c r="M5" s="21" t="e" vm="2">
        <v>#VALUE!</v>
      </c>
      <c r="O5" s="22" t="s">
        <v>15</v>
      </c>
      <c r="P5" s="23" t="s">
        <v>16</v>
      </c>
      <c r="Q5" s="23" t="s">
        <v>17</v>
      </c>
      <c r="R5" s="23" t="s">
        <v>18</v>
      </c>
    </row>
    <row r="6" spans="2:18" ht="24" x14ac:dyDescent="0.2">
      <c r="B6" s="24" t="s">
        <v>19</v>
      </c>
      <c r="C6" s="25"/>
      <c r="D6" s="25"/>
      <c r="E6" s="25"/>
      <c r="F6" s="26"/>
      <c r="G6" s="26"/>
      <c r="H6" s="26"/>
      <c r="J6" s="27"/>
      <c r="K6" s="21"/>
      <c r="L6" s="27"/>
      <c r="M6" s="21"/>
      <c r="O6" s="28" t="s">
        <v>20</v>
      </c>
      <c r="P6" s="23"/>
      <c r="Q6" s="23"/>
      <c r="R6" s="23"/>
    </row>
    <row r="7" spans="2:18" x14ac:dyDescent="0.2">
      <c r="B7" s="25" t="s">
        <v>21</v>
      </c>
      <c r="C7" s="25" t="s">
        <v>22</v>
      </c>
      <c r="D7" s="25" t="s">
        <v>23</v>
      </c>
      <c r="E7" s="29">
        <v>250</v>
      </c>
      <c r="F7" s="26">
        <v>2605.6799999999998</v>
      </c>
      <c r="G7" s="26">
        <v>5.6</v>
      </c>
      <c r="H7" s="26">
        <v>7.01</v>
      </c>
      <c r="J7" s="27"/>
      <c r="K7" s="21"/>
      <c r="L7" s="27"/>
      <c r="M7" s="21"/>
      <c r="O7" s="30" t="s">
        <v>24</v>
      </c>
      <c r="P7" s="31"/>
      <c r="Q7" s="31"/>
      <c r="R7" s="31"/>
    </row>
    <row r="8" spans="2:18" x14ac:dyDescent="0.2">
      <c r="B8" s="25" t="s">
        <v>25</v>
      </c>
      <c r="C8" s="25" t="s">
        <v>26</v>
      </c>
      <c r="D8" s="25" t="s">
        <v>23</v>
      </c>
      <c r="E8" s="29">
        <v>2500</v>
      </c>
      <c r="F8" s="26">
        <v>2553.41</v>
      </c>
      <c r="G8" s="26">
        <v>5.48</v>
      </c>
      <c r="H8" s="26">
        <v>6.85</v>
      </c>
      <c r="J8" s="27"/>
      <c r="K8" s="21"/>
      <c r="L8" s="27"/>
      <c r="M8" s="21"/>
      <c r="O8" s="30"/>
      <c r="P8" s="32"/>
      <c r="Q8" s="32"/>
      <c r="R8" s="32"/>
    </row>
    <row r="9" spans="2:18" x14ac:dyDescent="0.2">
      <c r="B9" s="25" t="s">
        <v>27</v>
      </c>
      <c r="C9" s="25" t="s">
        <v>28</v>
      </c>
      <c r="D9" s="25" t="s">
        <v>23</v>
      </c>
      <c r="E9" s="29">
        <v>2500</v>
      </c>
      <c r="F9" s="26">
        <v>2552.1</v>
      </c>
      <c r="G9" s="26">
        <v>5.48</v>
      </c>
      <c r="H9" s="26">
        <v>6.74</v>
      </c>
      <c r="J9" s="27"/>
      <c r="K9" s="21"/>
      <c r="L9" s="27"/>
      <c r="M9" s="21"/>
      <c r="O9" s="30" t="s">
        <v>29</v>
      </c>
      <c r="P9" s="31"/>
      <c r="Q9" s="33" t="s">
        <v>30</v>
      </c>
      <c r="R9" s="31"/>
    </row>
    <row r="10" spans="2:18" x14ac:dyDescent="0.2">
      <c r="B10" s="25" t="s">
        <v>31</v>
      </c>
      <c r="C10" s="25" t="s">
        <v>32</v>
      </c>
      <c r="D10" s="25" t="s">
        <v>23</v>
      </c>
      <c r="E10" s="29">
        <v>2500</v>
      </c>
      <c r="F10" s="26">
        <v>2550.29</v>
      </c>
      <c r="G10" s="26">
        <v>5.48</v>
      </c>
      <c r="H10" s="26">
        <v>6.75</v>
      </c>
      <c r="J10" s="27"/>
      <c r="K10" s="21"/>
      <c r="L10" s="27"/>
      <c r="M10" s="21"/>
      <c r="O10" s="30"/>
      <c r="P10" s="32"/>
      <c r="Q10" s="34"/>
      <c r="R10" s="32"/>
    </row>
    <row r="11" spans="2:18" x14ac:dyDescent="0.2">
      <c r="B11" s="25" t="s">
        <v>33</v>
      </c>
      <c r="C11" s="25" t="s">
        <v>34</v>
      </c>
      <c r="D11" s="25" t="s">
        <v>23</v>
      </c>
      <c r="E11" s="29">
        <v>2500</v>
      </c>
      <c r="F11" s="26">
        <v>2546.0700000000002</v>
      </c>
      <c r="G11" s="26">
        <v>5.47</v>
      </c>
      <c r="H11" s="26">
        <v>6.92</v>
      </c>
      <c r="J11" s="27"/>
      <c r="K11" s="21"/>
      <c r="L11" s="27"/>
      <c r="M11" s="21"/>
      <c r="O11" s="30" t="s">
        <v>35</v>
      </c>
      <c r="P11" s="31"/>
      <c r="Q11" s="31"/>
      <c r="R11" s="31"/>
    </row>
    <row r="12" spans="2:18" x14ac:dyDescent="0.2">
      <c r="B12" s="25" t="s">
        <v>36</v>
      </c>
      <c r="C12" s="25" t="s">
        <v>37</v>
      </c>
      <c r="D12" s="25" t="s">
        <v>23</v>
      </c>
      <c r="E12" s="29">
        <v>2500</v>
      </c>
      <c r="F12" s="26">
        <v>2545.88</v>
      </c>
      <c r="G12" s="26">
        <v>5.47</v>
      </c>
      <c r="H12" s="26">
        <v>7.08</v>
      </c>
      <c r="J12" s="35"/>
      <c r="K12" s="21"/>
      <c r="L12" s="35"/>
      <c r="M12" s="21"/>
      <c r="O12" s="30"/>
      <c r="P12" s="32"/>
      <c r="Q12" s="32"/>
      <c r="R12" s="32"/>
    </row>
    <row r="13" spans="2:18" x14ac:dyDescent="0.2">
      <c r="B13" s="25" t="s">
        <v>38</v>
      </c>
      <c r="C13" s="25" t="s">
        <v>39</v>
      </c>
      <c r="D13" s="25" t="s">
        <v>23</v>
      </c>
      <c r="E13" s="29">
        <v>250</v>
      </c>
      <c r="F13" s="26">
        <v>2544.42</v>
      </c>
      <c r="G13" s="26">
        <v>5.46</v>
      </c>
      <c r="H13" s="26">
        <v>6.49</v>
      </c>
      <c r="J13" s="36"/>
      <c r="K13" s="36" t="s">
        <v>40</v>
      </c>
      <c r="L13" s="37"/>
      <c r="M13" s="37"/>
    </row>
    <row r="14" spans="2:18" x14ac:dyDescent="0.2">
      <c r="B14" s="25" t="s">
        <v>41</v>
      </c>
      <c r="C14" s="25" t="s">
        <v>42</v>
      </c>
      <c r="D14" s="25" t="s">
        <v>23</v>
      </c>
      <c r="E14" s="29">
        <v>2500</v>
      </c>
      <c r="F14" s="26">
        <v>2543.56</v>
      </c>
      <c r="G14" s="26">
        <v>5.46</v>
      </c>
      <c r="H14" s="26">
        <v>6.58</v>
      </c>
    </row>
    <row r="15" spans="2:18" x14ac:dyDescent="0.2">
      <c r="B15" s="25" t="s">
        <v>43</v>
      </c>
      <c r="C15" s="25" t="s">
        <v>44</v>
      </c>
      <c r="D15" s="25" t="s">
        <v>23</v>
      </c>
      <c r="E15" s="29">
        <v>250</v>
      </c>
      <c r="F15" s="26">
        <v>2527.81</v>
      </c>
      <c r="G15" s="26">
        <v>5.43</v>
      </c>
      <c r="H15" s="26">
        <v>6.45</v>
      </c>
    </row>
    <row r="16" spans="2:18" x14ac:dyDescent="0.2">
      <c r="B16" s="25" t="s">
        <v>45</v>
      </c>
      <c r="C16" s="25" t="s">
        <v>46</v>
      </c>
      <c r="D16" s="25" t="s">
        <v>23</v>
      </c>
      <c r="E16" s="29">
        <v>250</v>
      </c>
      <c r="F16" s="26">
        <v>2520.11</v>
      </c>
      <c r="G16" s="26">
        <v>5.41</v>
      </c>
      <c r="H16" s="26">
        <v>6.58</v>
      </c>
    </row>
    <row r="17" spans="2:9" x14ac:dyDescent="0.2">
      <c r="B17" s="25" t="s">
        <v>47</v>
      </c>
      <c r="C17" s="25" t="s">
        <v>48</v>
      </c>
      <c r="D17" s="25" t="s">
        <v>23</v>
      </c>
      <c r="E17" s="29">
        <v>250</v>
      </c>
      <c r="F17" s="26">
        <v>2514.16</v>
      </c>
      <c r="G17" s="26">
        <v>5.4</v>
      </c>
      <c r="H17" s="26">
        <v>6.54</v>
      </c>
    </row>
    <row r="18" spans="2:9" x14ac:dyDescent="0.2">
      <c r="B18" s="25" t="s">
        <v>49</v>
      </c>
      <c r="C18" s="25" t="s">
        <v>50</v>
      </c>
      <c r="D18" s="25" t="s">
        <v>23</v>
      </c>
      <c r="E18" s="29">
        <v>100</v>
      </c>
      <c r="F18" s="26">
        <v>1017.11</v>
      </c>
      <c r="G18" s="26">
        <v>2.1800000000000002</v>
      </c>
      <c r="H18" s="26">
        <v>7.1</v>
      </c>
    </row>
    <row r="19" spans="2:9" x14ac:dyDescent="0.2">
      <c r="B19" s="25" t="s">
        <v>51</v>
      </c>
      <c r="C19" s="25" t="s">
        <v>52</v>
      </c>
      <c r="D19" s="25" t="s">
        <v>23</v>
      </c>
      <c r="E19" s="29">
        <v>50</v>
      </c>
      <c r="F19" s="26">
        <v>501.84</v>
      </c>
      <c r="G19" s="26">
        <v>1.08</v>
      </c>
      <c r="H19" s="26">
        <v>6.59</v>
      </c>
    </row>
    <row r="20" spans="2:9" x14ac:dyDescent="0.2">
      <c r="B20" s="38" t="s">
        <v>53</v>
      </c>
      <c r="C20" s="38"/>
      <c r="D20" s="38"/>
      <c r="E20" s="38"/>
      <c r="F20" s="39">
        <f>SUM(F6:F19)</f>
        <v>29522.440000000002</v>
      </c>
      <c r="G20" s="39">
        <f>SUM(G6:G19)</f>
        <v>63.400000000000006</v>
      </c>
      <c r="H20" s="40"/>
      <c r="I20" s="41"/>
    </row>
    <row r="21" spans="2:9" x14ac:dyDescent="0.2">
      <c r="B21" s="42" t="s">
        <v>54</v>
      </c>
      <c r="C21" s="42"/>
      <c r="D21" s="42"/>
      <c r="E21" s="42"/>
      <c r="F21" s="43">
        <f>F20</f>
        <v>29522.440000000002</v>
      </c>
      <c r="G21" s="43">
        <f>G20</f>
        <v>63.400000000000006</v>
      </c>
      <c r="H21" s="43"/>
      <c r="I21" s="41"/>
    </row>
    <row r="22" spans="2:9" x14ac:dyDescent="0.2">
      <c r="B22" s="24" t="s">
        <v>55</v>
      </c>
      <c r="C22" s="25"/>
      <c r="D22" s="25"/>
      <c r="E22" s="25"/>
      <c r="F22" s="26"/>
      <c r="G22" s="26"/>
      <c r="H22" s="26"/>
    </row>
    <row r="23" spans="2:9" x14ac:dyDescent="0.2">
      <c r="B23" s="24" t="s">
        <v>56</v>
      </c>
      <c r="C23" s="25"/>
      <c r="D23" s="25"/>
      <c r="E23" s="25"/>
      <c r="F23" s="26"/>
      <c r="G23" s="26"/>
      <c r="H23" s="26"/>
    </row>
    <row r="24" spans="2:9" x14ac:dyDescent="0.2">
      <c r="B24" s="25" t="s">
        <v>57</v>
      </c>
      <c r="C24" s="25" t="s">
        <v>58</v>
      </c>
      <c r="D24" s="25" t="s">
        <v>59</v>
      </c>
      <c r="E24" s="29">
        <v>500</v>
      </c>
      <c r="F24" s="26">
        <v>2353.2600000000002</v>
      </c>
      <c r="G24" s="26">
        <v>5.05</v>
      </c>
      <c r="H24" s="26">
        <v>6.34</v>
      </c>
    </row>
    <row r="25" spans="2:9" x14ac:dyDescent="0.2">
      <c r="B25" s="25" t="s">
        <v>60</v>
      </c>
      <c r="C25" s="25" t="s">
        <v>61</v>
      </c>
      <c r="D25" s="25" t="s">
        <v>62</v>
      </c>
      <c r="E25" s="29">
        <v>300</v>
      </c>
      <c r="F25" s="26">
        <v>1436.46</v>
      </c>
      <c r="G25" s="26">
        <v>3.09</v>
      </c>
      <c r="H25" s="26">
        <v>6.21</v>
      </c>
    </row>
    <row r="26" spans="2:9" x14ac:dyDescent="0.2">
      <c r="B26" s="25" t="s">
        <v>63</v>
      </c>
      <c r="C26" s="25" t="s">
        <v>64</v>
      </c>
      <c r="D26" s="25" t="s">
        <v>65</v>
      </c>
      <c r="E26" s="29">
        <v>200</v>
      </c>
      <c r="F26" s="26">
        <v>996.18</v>
      </c>
      <c r="G26" s="26">
        <v>2.14</v>
      </c>
      <c r="H26" s="26">
        <v>5.83</v>
      </c>
    </row>
    <row r="27" spans="2:9" x14ac:dyDescent="0.2">
      <c r="B27" s="24" t="s">
        <v>53</v>
      </c>
      <c r="C27" s="24"/>
      <c r="D27" s="24"/>
      <c r="E27" s="24"/>
      <c r="F27" s="44">
        <f>SUM(F23:F26)</f>
        <v>4785.9000000000005</v>
      </c>
      <c r="G27" s="44">
        <f>SUM(G23:G26)</f>
        <v>10.280000000000001</v>
      </c>
      <c r="H27" s="45"/>
      <c r="I27" s="41"/>
    </row>
    <row r="28" spans="2:9" x14ac:dyDescent="0.2">
      <c r="B28" s="24" t="s">
        <v>66</v>
      </c>
      <c r="C28" s="25"/>
      <c r="D28" s="25"/>
      <c r="E28" s="25"/>
      <c r="F28" s="26"/>
      <c r="G28" s="26"/>
      <c r="H28" s="26"/>
    </row>
    <row r="29" spans="2:9" x14ac:dyDescent="0.2">
      <c r="B29" s="25" t="s">
        <v>67</v>
      </c>
      <c r="C29" s="25" t="s">
        <v>68</v>
      </c>
      <c r="D29" s="25" t="s">
        <v>69</v>
      </c>
      <c r="E29" s="29">
        <v>100</v>
      </c>
      <c r="F29" s="26">
        <v>478.44</v>
      </c>
      <c r="G29" s="26">
        <v>1.03</v>
      </c>
      <c r="H29" s="26">
        <v>6.32</v>
      </c>
    </row>
    <row r="30" spans="2:9" x14ac:dyDescent="0.2">
      <c r="B30" s="24" t="s">
        <v>53</v>
      </c>
      <c r="C30" s="24"/>
      <c r="D30" s="24"/>
      <c r="E30" s="24"/>
      <c r="F30" s="44">
        <f>SUM(F28:F29)</f>
        <v>478.44</v>
      </c>
      <c r="G30" s="44">
        <f>SUM(G28:G29)</f>
        <v>1.03</v>
      </c>
      <c r="H30" s="45"/>
      <c r="I30" s="41"/>
    </row>
    <row r="31" spans="2:9" x14ac:dyDescent="0.2">
      <c r="B31" s="24" t="s">
        <v>70</v>
      </c>
      <c r="C31" s="25"/>
      <c r="D31" s="25"/>
      <c r="E31" s="25"/>
      <c r="F31" s="26"/>
      <c r="G31" s="26"/>
      <c r="H31" s="26"/>
    </row>
    <row r="32" spans="2:9" x14ac:dyDescent="0.2">
      <c r="B32" s="25" t="s">
        <v>71</v>
      </c>
      <c r="C32" s="25" t="s">
        <v>72</v>
      </c>
      <c r="D32" s="25" t="s">
        <v>73</v>
      </c>
      <c r="E32" s="29">
        <v>200000</v>
      </c>
      <c r="F32" s="26">
        <v>194.41</v>
      </c>
      <c r="G32" s="26">
        <v>0.42</v>
      </c>
      <c r="H32" s="26">
        <v>5.5</v>
      </c>
    </row>
    <row r="33" spans="2:9" x14ac:dyDescent="0.2">
      <c r="B33" s="38" t="s">
        <v>53</v>
      </c>
      <c r="C33" s="38"/>
      <c r="D33" s="38"/>
      <c r="E33" s="38"/>
      <c r="F33" s="39">
        <f>SUM(F31:F32)</f>
        <v>194.41</v>
      </c>
      <c r="G33" s="39">
        <f>SUM(G31:G32)</f>
        <v>0.42</v>
      </c>
      <c r="H33" s="40"/>
      <c r="I33" s="41"/>
    </row>
    <row r="34" spans="2:9" x14ac:dyDescent="0.2">
      <c r="B34" s="42" t="s">
        <v>54</v>
      </c>
      <c r="C34" s="42"/>
      <c r="D34" s="42"/>
      <c r="E34" s="42"/>
      <c r="F34" s="43">
        <f>F27+F30+F33</f>
        <v>5458.75</v>
      </c>
      <c r="G34" s="43">
        <f>G27+G30+G33</f>
        <v>11.73</v>
      </c>
      <c r="H34" s="43"/>
      <c r="I34" s="41"/>
    </row>
    <row r="35" spans="2:9" x14ac:dyDescent="0.2">
      <c r="B35" s="24" t="s">
        <v>74</v>
      </c>
      <c r="C35" s="25"/>
      <c r="D35" s="25"/>
      <c r="E35" s="25"/>
      <c r="F35" s="26"/>
      <c r="G35" s="26"/>
      <c r="H35" s="26"/>
    </row>
    <row r="36" spans="2:9" x14ac:dyDescent="0.2">
      <c r="B36" s="25" t="s">
        <v>75</v>
      </c>
      <c r="C36" s="25" t="s">
        <v>76</v>
      </c>
      <c r="D36" s="25" t="s">
        <v>77</v>
      </c>
      <c r="E36" s="29">
        <v>2500000</v>
      </c>
      <c r="F36" s="26">
        <v>2674.18</v>
      </c>
      <c r="G36" s="26">
        <v>5.74</v>
      </c>
      <c r="H36" s="26">
        <v>6.18</v>
      </c>
    </row>
    <row r="37" spans="2:9" x14ac:dyDescent="0.2">
      <c r="B37" s="25" t="s">
        <v>78</v>
      </c>
      <c r="C37" s="25" t="s">
        <v>79</v>
      </c>
      <c r="D37" s="25" t="s">
        <v>77</v>
      </c>
      <c r="E37" s="29">
        <v>2000000</v>
      </c>
      <c r="F37" s="26">
        <v>2090.85</v>
      </c>
      <c r="G37" s="26">
        <v>4.49</v>
      </c>
      <c r="H37" s="26">
        <v>6.52</v>
      </c>
    </row>
    <row r="38" spans="2:9" x14ac:dyDescent="0.2">
      <c r="B38" s="25" t="s">
        <v>80</v>
      </c>
      <c r="C38" s="25" t="s">
        <v>81</v>
      </c>
      <c r="D38" s="25" t="s">
        <v>77</v>
      </c>
      <c r="E38" s="29">
        <v>2000000</v>
      </c>
      <c r="F38" s="26">
        <v>2090.6999999999998</v>
      </c>
      <c r="G38" s="26">
        <v>4.49</v>
      </c>
      <c r="H38" s="26">
        <v>6.74</v>
      </c>
    </row>
    <row r="39" spans="2:9" x14ac:dyDescent="0.2">
      <c r="B39" s="25" t="s">
        <v>82</v>
      </c>
      <c r="C39" s="25" t="s">
        <v>83</v>
      </c>
      <c r="D39" s="25" t="s">
        <v>77</v>
      </c>
      <c r="E39" s="29">
        <v>1500000</v>
      </c>
      <c r="F39" s="26">
        <v>1580.5</v>
      </c>
      <c r="G39" s="26">
        <v>3.39</v>
      </c>
      <c r="H39" s="26">
        <v>6.22</v>
      </c>
    </row>
    <row r="40" spans="2:9" x14ac:dyDescent="0.2">
      <c r="B40" s="46" t="s">
        <v>84</v>
      </c>
      <c r="C40" s="46" t="s">
        <v>85</v>
      </c>
      <c r="D40" s="46" t="s">
        <v>77</v>
      </c>
      <c r="E40" s="47">
        <v>28300</v>
      </c>
      <c r="F40" s="48">
        <v>29.12</v>
      </c>
      <c r="G40" s="48">
        <v>0.06</v>
      </c>
      <c r="H40" s="48">
        <v>6.14</v>
      </c>
    </row>
    <row r="41" spans="2:9" x14ac:dyDescent="0.2">
      <c r="B41" s="49" t="s">
        <v>54</v>
      </c>
      <c r="C41" s="49"/>
      <c r="D41" s="49"/>
      <c r="E41" s="49"/>
      <c r="F41" s="44">
        <f>SUM(F36:F40)</f>
        <v>8465.35</v>
      </c>
      <c r="G41" s="44">
        <f>SUM(G36:G40)</f>
        <v>18.169999999999998</v>
      </c>
      <c r="H41" s="44"/>
      <c r="I41" s="41"/>
    </row>
    <row r="42" spans="2:9" x14ac:dyDescent="0.2">
      <c r="B42" s="24" t="s">
        <v>86</v>
      </c>
      <c r="C42" s="25"/>
      <c r="D42" s="25"/>
      <c r="E42" s="25"/>
      <c r="F42" s="26"/>
      <c r="G42" s="26"/>
      <c r="H42" s="26"/>
    </row>
    <row r="43" spans="2:9" x14ac:dyDescent="0.2">
      <c r="B43" s="46" t="s">
        <v>87</v>
      </c>
      <c r="C43" s="46" t="s">
        <v>88</v>
      </c>
      <c r="D43" s="46" t="s">
        <v>86</v>
      </c>
      <c r="E43" s="47">
        <v>1373.231</v>
      </c>
      <c r="F43" s="48">
        <v>154.4</v>
      </c>
      <c r="G43" s="48">
        <v>0.33</v>
      </c>
      <c r="H43" s="48">
        <v>5.51</v>
      </c>
    </row>
    <row r="44" spans="2:9" x14ac:dyDescent="0.2">
      <c r="B44" s="49" t="s">
        <v>54</v>
      </c>
      <c r="C44" s="49"/>
      <c r="D44" s="49"/>
      <c r="E44" s="49"/>
      <c r="F44" s="44">
        <f>SUM(F43:F43)</f>
        <v>154.4</v>
      </c>
      <c r="G44" s="44">
        <f>SUM(G43:G43)</f>
        <v>0.33</v>
      </c>
      <c r="H44" s="44"/>
      <c r="I44" s="41"/>
    </row>
    <row r="45" spans="2:9" x14ac:dyDescent="0.2">
      <c r="B45" s="24" t="s">
        <v>89</v>
      </c>
      <c r="C45" s="25"/>
      <c r="D45" s="25"/>
      <c r="E45" s="25"/>
      <c r="F45" s="26"/>
      <c r="G45" s="26"/>
      <c r="H45" s="26"/>
    </row>
    <row r="46" spans="2:9" x14ac:dyDescent="0.2">
      <c r="B46" s="25" t="s">
        <v>89</v>
      </c>
      <c r="C46" s="25"/>
      <c r="D46" s="25"/>
      <c r="E46" s="25"/>
      <c r="F46" s="26">
        <v>2021.23</v>
      </c>
      <c r="G46" s="26">
        <v>4.34</v>
      </c>
      <c r="H46" s="26"/>
    </row>
    <row r="47" spans="2:9" x14ac:dyDescent="0.2">
      <c r="B47" s="38" t="s">
        <v>53</v>
      </c>
      <c r="C47" s="38"/>
      <c r="D47" s="38"/>
      <c r="E47" s="38"/>
      <c r="F47" s="39">
        <f>SUM(F45:F46)</f>
        <v>2021.23</v>
      </c>
      <c r="G47" s="39">
        <f>SUM(G45:G46)</f>
        <v>4.34</v>
      </c>
      <c r="H47" s="40"/>
      <c r="I47" s="41"/>
    </row>
    <row r="48" spans="2:9" x14ac:dyDescent="0.2">
      <c r="B48" s="50" t="s">
        <v>54</v>
      </c>
      <c r="C48" s="50"/>
      <c r="D48" s="50"/>
      <c r="E48" s="50"/>
      <c r="F48" s="51">
        <f>F47</f>
        <v>2021.23</v>
      </c>
      <c r="G48" s="51">
        <f>G47</f>
        <v>4.34</v>
      </c>
      <c r="H48" s="51"/>
      <c r="I48" s="41"/>
    </row>
    <row r="49" spans="2:9" x14ac:dyDescent="0.2">
      <c r="B49" s="52" t="s">
        <v>90</v>
      </c>
      <c r="C49" s="52"/>
      <c r="D49" s="52"/>
      <c r="E49" s="52"/>
      <c r="F49" s="53">
        <f>F50-(+F21+F34+F41+F44+F48)</f>
        <v>940.0199999999968</v>
      </c>
      <c r="G49" s="53">
        <f>G50-(+G21+G34+G41+G44+G48)</f>
        <v>2.0299999999999869</v>
      </c>
      <c r="H49" s="53"/>
      <c r="I49" s="41"/>
    </row>
    <row r="50" spans="2:9" x14ac:dyDescent="0.2">
      <c r="B50" s="52" t="s">
        <v>91</v>
      </c>
      <c r="C50" s="52"/>
      <c r="D50" s="52"/>
      <c r="E50" s="52"/>
      <c r="F50" s="53">
        <v>46562.19</v>
      </c>
      <c r="G50" s="53">
        <v>100</v>
      </c>
      <c r="H50" s="53"/>
      <c r="I50" s="41"/>
    </row>
    <row r="52" spans="2:9" x14ac:dyDescent="0.2">
      <c r="B52" s="41" t="s">
        <v>92</v>
      </c>
    </row>
    <row r="53" spans="2:9" x14ac:dyDescent="0.2">
      <c r="B53" s="41" t="s">
        <v>93</v>
      </c>
    </row>
    <row r="54" spans="2:9" ht="12.75" thickBot="1" x14ac:dyDescent="0.25"/>
    <row r="55" spans="2:9" ht="13.5" thickTop="1" thickBot="1" x14ac:dyDescent="0.25">
      <c r="B55" s="54" t="s">
        <v>94</v>
      </c>
      <c r="C55" s="55">
        <v>2.3045</v>
      </c>
    </row>
    <row r="56" spans="2:9" ht="13.5" thickTop="1" thickBot="1" x14ac:dyDescent="0.25"/>
    <row r="57" spans="2:9" ht="13.5" thickTop="1" thickBot="1" x14ac:dyDescent="0.25">
      <c r="B57" s="54" t="s">
        <v>95</v>
      </c>
      <c r="C57" s="56">
        <v>6.5199999999999994E-2</v>
      </c>
    </row>
    <row r="58" spans="2:9" ht="13.5" thickTop="1" thickBot="1" x14ac:dyDescent="0.25"/>
    <row r="59" spans="2:9" ht="13.5" thickTop="1" thickBot="1" x14ac:dyDescent="0.25">
      <c r="B59" s="54" t="s">
        <v>96</v>
      </c>
      <c r="C59" s="55">
        <v>2.4359999999999999</v>
      </c>
    </row>
    <row r="60" spans="2:9" ht="12.75" thickTop="1" x14ac:dyDescent="0.2"/>
  </sheetData>
  <mergeCells count="21">
    <mergeCell ref="O11:O12"/>
    <mergeCell ref="P11:P12"/>
    <mergeCell ref="Q11:Q12"/>
    <mergeCell ref="R11:R12"/>
    <mergeCell ref="P7:P8"/>
    <mergeCell ref="Q7:Q8"/>
    <mergeCell ref="R7:R8"/>
    <mergeCell ref="O9:O10"/>
    <mergeCell ref="P9:P10"/>
    <mergeCell ref="Q9:Q10"/>
    <mergeCell ref="R9:R10"/>
    <mergeCell ref="B1:H1"/>
    <mergeCell ref="O4:R4"/>
    <mergeCell ref="J5:J12"/>
    <mergeCell ref="K5:K12"/>
    <mergeCell ref="L5:L12"/>
    <mergeCell ref="M5:M12"/>
    <mergeCell ref="P5:P6"/>
    <mergeCell ref="Q5:Q6"/>
    <mergeCell ref="R5:R6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2025-07-08T08:18:57Z</dcterms:created>
  <dcterms:modified xsi:type="dcterms:W3CDTF">2025-07-08T08:18:57Z</dcterms:modified>
</cp:coreProperties>
</file>