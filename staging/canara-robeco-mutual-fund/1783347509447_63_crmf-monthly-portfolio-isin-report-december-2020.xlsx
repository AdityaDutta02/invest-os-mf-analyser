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60" windowHeight="7365"/>
  </bookViews>
  <sheets>
    <sheet name="Riskometer" sheetId="25" r:id="rId1"/>
    <sheet name="CRI" sheetId="1" r:id="rId2"/>
    <sheet name="CREDF" sheetId="2" r:id="rId3"/>
    <sheet name="CRETSF" sheetId="3" r:id="rId4"/>
    <sheet name="CREE" sheetId="4" r:id="rId5"/>
    <sheet name="CRCTF" sheetId="5" r:id="rId6"/>
    <sheet name="CRBCEF" sheetId="6" r:id="rId7"/>
    <sheet name="CRSCF" sheetId="7" r:id="rId8"/>
    <sheet name="CREHF" sheetId="8" r:id="rId9"/>
    <sheet name="CRDBF" sheetId="9" r:id="rId10"/>
    <sheet name="CRGILT" sheetId="10" r:id="rId11"/>
    <sheet name="CRINC" sheetId="11" r:id="rId12"/>
    <sheet name="CRSF" sheetId="12" r:id="rId13"/>
    <sheet name="CRCHF" sheetId="13" r:id="rId14"/>
    <sheet name="CRG1988" sheetId="14" r:id="rId15"/>
    <sheet name="CRL" sheetId="15" r:id="rId16"/>
    <sheet name="CRUSTF" sheetId="16" r:id="rId17"/>
    <sheet name="CROF" sheetId="17" r:id="rId18"/>
    <sheet name="CRSDF" sheetId="18" r:id="rId19"/>
    <sheet name="CRCBF" sheetId="19" r:id="rId20"/>
    <sheet name="CRCPOF9" sheetId="20" r:id="rId21"/>
    <sheet name="CRDAF1" sheetId="21" r:id="rId22"/>
    <sheet name="CRFMP8" sheetId="22" r:id="rId23"/>
    <sheet name="CRCPOF10" sheetId="23" r:id="rId24"/>
  </sheets>
  <calcPr calcId="162913"/>
</workbook>
</file>

<file path=xl/calcChain.xml><?xml version="1.0" encoding="utf-8"?>
<calcChain xmlns="http://schemas.openxmlformats.org/spreadsheetml/2006/main">
  <c r="G67" i="23" l="1"/>
  <c r="G68" i="23" s="1"/>
  <c r="F67" i="23"/>
  <c r="F68" i="23" s="1"/>
  <c r="G64" i="23"/>
  <c r="F64" i="23"/>
  <c r="G58" i="23"/>
  <c r="G59" i="23" s="1"/>
  <c r="F58" i="23"/>
  <c r="F59" i="23" s="1"/>
  <c r="G49" i="23"/>
  <c r="F49" i="23"/>
  <c r="G48" i="23"/>
  <c r="F48" i="23"/>
  <c r="G31" i="22"/>
  <c r="F31" i="22"/>
  <c r="G30" i="22"/>
  <c r="F30" i="22"/>
  <c r="G27" i="22"/>
  <c r="F27" i="22"/>
  <c r="G24" i="22"/>
  <c r="F24" i="22"/>
  <c r="G23" i="22"/>
  <c r="F23" i="22"/>
  <c r="G18" i="22"/>
  <c r="G19" i="22" s="1"/>
  <c r="G32" i="22" s="1"/>
  <c r="F18" i="22"/>
  <c r="F19" i="22" s="1"/>
  <c r="F32" i="22" s="1"/>
  <c r="G79" i="21"/>
  <c r="G80" i="21" s="1"/>
  <c r="F79" i="21"/>
  <c r="F80" i="21" s="1"/>
  <c r="G76" i="21"/>
  <c r="F76" i="21"/>
  <c r="G71" i="21"/>
  <c r="G72" i="21" s="1"/>
  <c r="F71" i="21"/>
  <c r="F72" i="21" s="1"/>
  <c r="G66" i="21"/>
  <c r="G67" i="21" s="1"/>
  <c r="F66" i="21"/>
  <c r="F67" i="21" s="1"/>
  <c r="G48" i="21"/>
  <c r="F48" i="21"/>
  <c r="G47" i="21"/>
  <c r="F47" i="21"/>
  <c r="G71" i="20"/>
  <c r="F71" i="20"/>
  <c r="G70" i="20"/>
  <c r="F70" i="20"/>
  <c r="G67" i="20"/>
  <c r="F67" i="20"/>
  <c r="G61" i="20"/>
  <c r="F61" i="20"/>
  <c r="G60" i="20"/>
  <c r="F60" i="20"/>
  <c r="G44" i="20"/>
  <c r="G45" i="20" s="1"/>
  <c r="G72" i="20" s="1"/>
  <c r="F44" i="20"/>
  <c r="F45" i="20" s="1"/>
  <c r="F72" i="20" s="1"/>
  <c r="G56" i="19"/>
  <c r="G57" i="19" s="1"/>
  <c r="F56" i="19"/>
  <c r="F57" i="19" s="1"/>
  <c r="G53" i="19"/>
  <c r="F53" i="19"/>
  <c r="G44" i="19"/>
  <c r="G45" i="19" s="1"/>
  <c r="F44" i="19"/>
  <c r="F45" i="19" s="1"/>
  <c r="G39" i="19"/>
  <c r="G40" i="19" s="1"/>
  <c r="G58" i="19" s="1"/>
  <c r="F39" i="19"/>
  <c r="F40" i="19" s="1"/>
  <c r="F58" i="19" s="1"/>
  <c r="G85" i="18"/>
  <c r="G86" i="18" s="1"/>
  <c r="F85" i="18"/>
  <c r="F86" i="18" s="1"/>
  <c r="G82" i="18"/>
  <c r="F82" i="18"/>
  <c r="G65" i="18"/>
  <c r="G66" i="18" s="1"/>
  <c r="F65" i="18"/>
  <c r="F66" i="18" s="1"/>
  <c r="G58" i="18"/>
  <c r="F58" i="18"/>
  <c r="G57" i="18"/>
  <c r="F57" i="18"/>
  <c r="G8" i="17"/>
  <c r="G9" i="17" s="1"/>
  <c r="F8" i="17"/>
  <c r="F9" i="17" s="1"/>
  <c r="G7" i="17"/>
  <c r="F7" i="17"/>
  <c r="G45" i="16"/>
  <c r="F45" i="16"/>
  <c r="G44" i="16"/>
  <c r="F44" i="16"/>
  <c r="G41" i="16"/>
  <c r="F41" i="16"/>
  <c r="G37" i="16"/>
  <c r="F37" i="16"/>
  <c r="G29" i="16"/>
  <c r="F29" i="16"/>
  <c r="G24" i="16"/>
  <c r="G38" i="16" s="1"/>
  <c r="F24" i="16"/>
  <c r="F38" i="16" s="1"/>
  <c r="G18" i="16"/>
  <c r="G46" i="16" s="1"/>
  <c r="G17" i="16"/>
  <c r="F17" i="16"/>
  <c r="F18" i="16" s="1"/>
  <c r="G35" i="15"/>
  <c r="G34" i="15"/>
  <c r="F34" i="15"/>
  <c r="F35" i="15" s="1"/>
  <c r="F31" i="15"/>
  <c r="G30" i="15"/>
  <c r="F30" i="15"/>
  <c r="G23" i="15"/>
  <c r="F23" i="15"/>
  <c r="G14" i="15"/>
  <c r="G31" i="15" s="1"/>
  <c r="G36" i="15" s="1"/>
  <c r="F14" i="15"/>
  <c r="G11" i="14"/>
  <c r="G12" i="14" s="1"/>
  <c r="F11" i="14"/>
  <c r="F12" i="14" s="1"/>
  <c r="G8" i="14"/>
  <c r="G13" i="14" s="1"/>
  <c r="F8" i="14"/>
  <c r="G75" i="13"/>
  <c r="F75" i="13"/>
  <c r="G74" i="13"/>
  <c r="F74" i="13"/>
  <c r="G71" i="13"/>
  <c r="F71" i="13"/>
  <c r="G61" i="13"/>
  <c r="F61" i="13"/>
  <c r="G60" i="13"/>
  <c r="F60" i="13"/>
  <c r="G55" i="13"/>
  <c r="G56" i="13" s="1"/>
  <c r="F55" i="13"/>
  <c r="F56" i="13" s="1"/>
  <c r="G42" i="13"/>
  <c r="G43" i="13" s="1"/>
  <c r="F42" i="13"/>
  <c r="F43" i="13" s="1"/>
  <c r="F76" i="13" s="1"/>
  <c r="G65" i="12"/>
  <c r="G66" i="12" s="1"/>
  <c r="F65" i="12"/>
  <c r="F66" i="12" s="1"/>
  <c r="G62" i="12"/>
  <c r="F62" i="12"/>
  <c r="G55" i="12"/>
  <c r="F55" i="12"/>
  <c r="G45" i="12"/>
  <c r="F45" i="12"/>
  <c r="G38" i="12"/>
  <c r="G56" i="12" s="1"/>
  <c r="F38" i="12"/>
  <c r="F56" i="12" s="1"/>
  <c r="G29" i="12"/>
  <c r="G30" i="12" s="1"/>
  <c r="F29" i="12"/>
  <c r="F30" i="12" s="1"/>
  <c r="G34" i="11"/>
  <c r="G35" i="11" s="1"/>
  <c r="F34" i="11"/>
  <c r="F35" i="11" s="1"/>
  <c r="G31" i="11"/>
  <c r="F31" i="11"/>
  <c r="G16" i="11"/>
  <c r="G17" i="11" s="1"/>
  <c r="G36" i="11" s="1"/>
  <c r="F16" i="11"/>
  <c r="F17" i="11" s="1"/>
  <c r="G18" i="10"/>
  <c r="G19" i="10" s="1"/>
  <c r="F18" i="10"/>
  <c r="F19" i="10" s="1"/>
  <c r="G15" i="10"/>
  <c r="G20" i="10" s="1"/>
  <c r="F15" i="10"/>
  <c r="G26" i="9"/>
  <c r="F26" i="9"/>
  <c r="G25" i="9"/>
  <c r="F25" i="9"/>
  <c r="G22" i="9"/>
  <c r="F22" i="9"/>
  <c r="G14" i="9"/>
  <c r="F14" i="9"/>
  <c r="G13" i="9"/>
  <c r="F13" i="9"/>
  <c r="G8" i="9"/>
  <c r="G9" i="9" s="1"/>
  <c r="G27" i="9" s="1"/>
  <c r="F8" i="9"/>
  <c r="F9" i="9" s="1"/>
  <c r="F27" i="9" s="1"/>
  <c r="G114" i="8"/>
  <c r="G115" i="8" s="1"/>
  <c r="F114" i="8"/>
  <c r="F115" i="8" s="1"/>
  <c r="G111" i="8"/>
  <c r="F111" i="8"/>
  <c r="G96" i="8"/>
  <c r="G97" i="8" s="1"/>
  <c r="F96" i="8"/>
  <c r="F97" i="8" s="1"/>
  <c r="G60" i="8"/>
  <c r="G61" i="8" s="1"/>
  <c r="F60" i="8"/>
  <c r="F61" i="8" s="1"/>
  <c r="F116" i="8" s="1"/>
  <c r="G67" i="7"/>
  <c r="G68" i="7" s="1"/>
  <c r="F67" i="7"/>
  <c r="F68" i="7" s="1"/>
  <c r="G64" i="7"/>
  <c r="G69" i="7" s="1"/>
  <c r="F64" i="7"/>
  <c r="G63" i="7"/>
  <c r="F63" i="7"/>
  <c r="G56" i="6"/>
  <c r="G55" i="6"/>
  <c r="F55" i="6"/>
  <c r="F56" i="6" s="1"/>
  <c r="G51" i="6"/>
  <c r="G52" i="6" s="1"/>
  <c r="G57" i="6" s="1"/>
  <c r="F51" i="6"/>
  <c r="F52" i="6" s="1"/>
  <c r="G57" i="5"/>
  <c r="G58" i="5" s="1"/>
  <c r="F57" i="5"/>
  <c r="F58" i="5" s="1"/>
  <c r="G53" i="5"/>
  <c r="G54" i="5" s="1"/>
  <c r="G59" i="5" s="1"/>
  <c r="F53" i="5"/>
  <c r="F54" i="5" s="1"/>
  <c r="G69" i="4"/>
  <c r="G70" i="4" s="1"/>
  <c r="F69" i="4"/>
  <c r="F70" i="4" s="1"/>
  <c r="G66" i="4"/>
  <c r="G65" i="4"/>
  <c r="F65" i="4"/>
  <c r="F66" i="4" s="1"/>
  <c r="G64" i="3"/>
  <c r="F64" i="3"/>
  <c r="G63" i="3"/>
  <c r="F63" i="3"/>
  <c r="G59" i="3"/>
  <c r="G60" i="3" s="1"/>
  <c r="G65" i="3" s="1"/>
  <c r="F59" i="3"/>
  <c r="F60" i="3" s="1"/>
  <c r="F65" i="3" s="1"/>
  <c r="G69" i="2"/>
  <c r="G70" i="2" s="1"/>
  <c r="F69" i="2"/>
  <c r="F70" i="2" s="1"/>
  <c r="G65" i="2"/>
  <c r="G66" i="2" s="1"/>
  <c r="F65" i="2"/>
  <c r="F66" i="2" s="1"/>
  <c r="G47" i="1"/>
  <c r="G48" i="1" s="1"/>
  <c r="F47" i="1"/>
  <c r="F48" i="1" s="1"/>
  <c r="F44" i="1"/>
  <c r="F49" i="1" s="1"/>
  <c r="G43" i="1"/>
  <c r="G44" i="1" s="1"/>
  <c r="F43" i="1"/>
  <c r="F69" i="7" l="1"/>
  <c r="F57" i="6"/>
  <c r="F71" i="4"/>
  <c r="F46" i="16"/>
  <c r="F71" i="2"/>
  <c r="G71" i="2"/>
  <c r="G71" i="4"/>
  <c r="F36" i="11"/>
  <c r="F67" i="12"/>
  <c r="F36" i="15"/>
  <c r="G49" i="1"/>
  <c r="G116" i="8"/>
  <c r="G67" i="12"/>
  <c r="G76" i="13"/>
  <c r="F87" i="18"/>
  <c r="F81" i="21"/>
  <c r="F69" i="23"/>
  <c r="F59" i="5"/>
  <c r="F20" i="10"/>
  <c r="F13" i="14"/>
  <c r="G87" i="18"/>
  <c r="G81" i="21"/>
  <c r="G69" i="23"/>
</calcChain>
</file>

<file path=xl/sharedStrings.xml><?xml version="1.0" encoding="utf-8"?>
<sst xmlns="http://schemas.openxmlformats.org/spreadsheetml/2006/main" count="3300" uniqueCount="844">
  <si>
    <t>Name of the Instrument</t>
  </si>
  <si>
    <t>ISIN</t>
  </si>
  <si>
    <t>Quantity</t>
  </si>
  <si>
    <t>Market/Fair Value
 (Rs. in Lacs)</t>
  </si>
  <si>
    <t>% to Net
 Assets</t>
  </si>
  <si>
    <t>Industry / Rating</t>
  </si>
  <si>
    <t>Yield %</t>
  </si>
  <si>
    <t>Monthly Portfolio Statement as on December 31, 2020</t>
  </si>
  <si>
    <t>CANARA ROBECO INFRASTRUCTURE</t>
  </si>
  <si>
    <t>CANARA ROBECO EQUITY DIVERSIFIED FUND</t>
  </si>
  <si>
    <t>CANARA ROBECO EQUITY TAX SAVER FUND</t>
  </si>
  <si>
    <t>CANARA ROBECO EMERGING EQUITIES</t>
  </si>
  <si>
    <t>CANARA ROBECO CONSUMER TRENDS FUND</t>
  </si>
  <si>
    <t>CANARA ROBECO BLUE CHIP EQUITY FUND</t>
  </si>
  <si>
    <t>CANARA ROBECO SMALL CAP FUND</t>
  </si>
  <si>
    <t>CANARA ROBECO EQUITY HYBRID FUND</t>
  </si>
  <si>
    <t>CANARA ROBECO DYNAMIC BOND FUND</t>
  </si>
  <si>
    <t>CANARA ROBECO GILT FUND</t>
  </si>
  <si>
    <t>CANARA ROBECO INCOME FUND</t>
  </si>
  <si>
    <t>CANARA ROBECO SAVINGS FUND</t>
  </si>
  <si>
    <t>CANARA ROBECO CONSERVATIVE HYBRID FUND</t>
  </si>
  <si>
    <t>CANARA ROBECO GILT 1988</t>
  </si>
  <si>
    <t>CANARA ROBECO LIQUID FUND</t>
  </si>
  <si>
    <t>CANARA ROBECO ULTRA SHORT TERM FUND</t>
  </si>
  <si>
    <t>CANARA ROBECO OVERNIGHT FUND</t>
  </si>
  <si>
    <t>CANARA ROBECO SHORT DURATION FUND</t>
  </si>
  <si>
    <t>CANARA ROBECO CORPORATE BOND FUND</t>
  </si>
  <si>
    <t>CANARA ROBECO   CAPITAL  PROTECTION  ORIENTED  FUND– SERIES 9</t>
  </si>
  <si>
    <t>CANARA ROBECO DUAL ADVANTAGE FUND - SERIES 1</t>
  </si>
  <si>
    <t>CANARA ROBECO FIXED MATURITY PLAN SERIES 8</t>
  </si>
  <si>
    <t>CANARA  ROBECO  CAPITAL  PROTECTION  ORIENTED FUND– SERIES 10</t>
  </si>
  <si>
    <t>Equity &amp; Equity related</t>
  </si>
  <si>
    <t>(a) Listed / awaiting listing on Stock Exchanges</t>
  </si>
  <si>
    <t>Larsen &amp; Toubro Ltd</t>
  </si>
  <si>
    <t>INE018A01030</t>
  </si>
  <si>
    <t>Construction Project</t>
  </si>
  <si>
    <t>ICICI Bank Ltd</t>
  </si>
  <si>
    <t>INE090A01021</t>
  </si>
  <si>
    <t>Banks</t>
  </si>
  <si>
    <t>Bharat Electronics Ltd</t>
  </si>
  <si>
    <t>INE263A01024</t>
  </si>
  <si>
    <t>Industrial Capital Goods</t>
  </si>
  <si>
    <t>Honeywell Automation India Ltd</t>
  </si>
  <si>
    <t>INE671A01010</t>
  </si>
  <si>
    <t>KNR Constructions Ltd</t>
  </si>
  <si>
    <t>INE634I01029</t>
  </si>
  <si>
    <t>Construction</t>
  </si>
  <si>
    <t>TCI Express Ltd</t>
  </si>
  <si>
    <t>INE586V01016</t>
  </si>
  <si>
    <t>Transportation</t>
  </si>
  <si>
    <t>Siemens Ltd</t>
  </si>
  <si>
    <t>INE003A01024</t>
  </si>
  <si>
    <t>State Bank of India</t>
  </si>
  <si>
    <t>INE062A01020</t>
  </si>
  <si>
    <t>Voltas Ltd</t>
  </si>
  <si>
    <t>INE226A01021</t>
  </si>
  <si>
    <t>Consumer Durables</t>
  </si>
  <si>
    <t>Sobha Ltd</t>
  </si>
  <si>
    <t>INE671H01015</t>
  </si>
  <si>
    <t>Gujarat Gas Ltd</t>
  </si>
  <si>
    <t>INE844O01030</t>
  </si>
  <si>
    <t>Gas</t>
  </si>
  <si>
    <t>The Ramco Cements Ltd</t>
  </si>
  <si>
    <t>INE331A01037</t>
  </si>
  <si>
    <t>Cement</t>
  </si>
  <si>
    <t>Timken India Ltd</t>
  </si>
  <si>
    <t>INE325A01013</t>
  </si>
  <si>
    <t>Industrial Products</t>
  </si>
  <si>
    <t>Amber Enterprises India Ltd</t>
  </si>
  <si>
    <t>INE371P01015</t>
  </si>
  <si>
    <t>AIA Engineering Ltd</t>
  </si>
  <si>
    <t>INE212H01026</t>
  </si>
  <si>
    <t>ABB India Ltd</t>
  </si>
  <si>
    <t>INE117A01022</t>
  </si>
  <si>
    <t>Crompton Greaves Consumer Electricals Ltd</t>
  </si>
  <si>
    <t>INE299U01018</t>
  </si>
  <si>
    <t>GAIL (India) Ltd</t>
  </si>
  <si>
    <t>INE129A01019</t>
  </si>
  <si>
    <t>Ahluwalia Contracts (India) Ltd</t>
  </si>
  <si>
    <t>INE758C01029</t>
  </si>
  <si>
    <t>Ambuja Cements Ltd</t>
  </si>
  <si>
    <t>INE079A01024</t>
  </si>
  <si>
    <t>Dixon Technologies (India) Ltd</t>
  </si>
  <si>
    <t>INE935N01012</t>
  </si>
  <si>
    <t>Ultratech Cement Ltd</t>
  </si>
  <si>
    <t>INE481G01011</t>
  </si>
  <si>
    <t>Hindustan Petroleum Corporation Ltd</t>
  </si>
  <si>
    <t>INE094A01015</t>
  </si>
  <si>
    <t>Petroleum Products</t>
  </si>
  <si>
    <t>Petronet LNG Ltd</t>
  </si>
  <si>
    <t>INE347G01014</t>
  </si>
  <si>
    <t>Schaeffler India Ltd</t>
  </si>
  <si>
    <t>INE513A01014</t>
  </si>
  <si>
    <t>PNC Infratech Ltd</t>
  </si>
  <si>
    <t>INE195J01029</t>
  </si>
  <si>
    <t>Hindalco Industries Ltd</t>
  </si>
  <si>
    <t>INE038A01020</t>
  </si>
  <si>
    <t>Non - Ferrous Metals</t>
  </si>
  <si>
    <t>Thermax Ltd</t>
  </si>
  <si>
    <t>INE152A01029</t>
  </si>
  <si>
    <t>Indraprastha Gas Ltd</t>
  </si>
  <si>
    <t>INE203G01027</t>
  </si>
  <si>
    <t>Shree Cement Ltd</t>
  </si>
  <si>
    <t>INE070A01015</t>
  </si>
  <si>
    <t>Power Grid Corporation of India Ltd</t>
  </si>
  <si>
    <t>INE752E01010</t>
  </si>
  <si>
    <t>Power</t>
  </si>
  <si>
    <t>Bharti Airtel Ltd</t>
  </si>
  <si>
    <t>INE397D01024</t>
  </si>
  <si>
    <t>Telecom - Services</t>
  </si>
  <si>
    <t>NTPC Ltd</t>
  </si>
  <si>
    <t>INE733E01010</t>
  </si>
  <si>
    <t>Blue Star Ltd</t>
  </si>
  <si>
    <t>INE472A01039</t>
  </si>
  <si>
    <t>Grindwell Norton Ltd</t>
  </si>
  <si>
    <t>INE536A01023</t>
  </si>
  <si>
    <t>Bharat Forge Ltd</t>
  </si>
  <si>
    <t>INE465A01025</t>
  </si>
  <si>
    <t>Sub Total</t>
  </si>
  <si>
    <t>Total</t>
  </si>
  <si>
    <t>TREPS</t>
  </si>
  <si>
    <t>Grand Total</t>
  </si>
  <si>
    <t>Net Receivables / (Payables)</t>
  </si>
  <si>
    <t>HDFC Bank Ltd</t>
  </si>
  <si>
    <t>INE040A01034</t>
  </si>
  <si>
    <t>Infosys Ltd</t>
  </si>
  <si>
    <t>INE009A01021</t>
  </si>
  <si>
    <t>Software</t>
  </si>
  <si>
    <t>Reliance Industries Ltd</t>
  </si>
  <si>
    <t>INE002A01018</t>
  </si>
  <si>
    <t>Tata Consultancy Services Ltd</t>
  </si>
  <si>
    <t>INE467B01029</t>
  </si>
  <si>
    <t>Housing Development Finance Corporation Ltd</t>
  </si>
  <si>
    <t>INE001A01036</t>
  </si>
  <si>
    <t>Finance</t>
  </si>
  <si>
    <t>Bajaj Finance Ltd</t>
  </si>
  <si>
    <t>INE296A01024</t>
  </si>
  <si>
    <t>Axis Bank Ltd</t>
  </si>
  <si>
    <t>INE238A01034</t>
  </si>
  <si>
    <t>Hindustan Unilever Ltd</t>
  </si>
  <si>
    <t>INE030A01027</t>
  </si>
  <si>
    <t>Consumer Non Durables</t>
  </si>
  <si>
    <t>HCL Technologies Ltd</t>
  </si>
  <si>
    <t>INE860A01027</t>
  </si>
  <si>
    <t>Kotak Mahindra Bank Ltd</t>
  </si>
  <si>
    <t>INE237A01028</t>
  </si>
  <si>
    <t>Divi's Laboratories Ltd</t>
  </si>
  <si>
    <t>INE361B01024</t>
  </si>
  <si>
    <t>Pharmaceuticals</t>
  </si>
  <si>
    <t>Maruti Suzuki India Ltd</t>
  </si>
  <si>
    <t>INE585B01010</t>
  </si>
  <si>
    <t>Auto</t>
  </si>
  <si>
    <t>Mahindra &amp; Mahindra Ltd</t>
  </si>
  <si>
    <t>INE101A01026</t>
  </si>
  <si>
    <t>Britannia Industries Ltd</t>
  </si>
  <si>
    <t>INE216A01030</t>
  </si>
  <si>
    <t>PI Industries Ltd</t>
  </si>
  <si>
    <t>INE603J01030</t>
  </si>
  <si>
    <t>Pesticides</t>
  </si>
  <si>
    <t>Titan Co Ltd</t>
  </si>
  <si>
    <t>INE280A01028</t>
  </si>
  <si>
    <t>Cipla Ltd</t>
  </si>
  <si>
    <t>INE059A01026</t>
  </si>
  <si>
    <t>Multi Commodity Exchange Of India Ltd</t>
  </si>
  <si>
    <t>INE745G01035</t>
  </si>
  <si>
    <t>IPCA Laboratories Ltd</t>
  </si>
  <si>
    <t>INE571A01020</t>
  </si>
  <si>
    <t>Atul Ltd</t>
  </si>
  <si>
    <t>INE100A01010</t>
  </si>
  <si>
    <t>Chemicals</t>
  </si>
  <si>
    <t>Polycab India Ltd</t>
  </si>
  <si>
    <t>INE455K01017</t>
  </si>
  <si>
    <t>Hero MotoCorp Ltd</t>
  </si>
  <si>
    <t>INE158A01026</t>
  </si>
  <si>
    <t>Abbott India Ltd</t>
  </si>
  <si>
    <t>INE358A01014</t>
  </si>
  <si>
    <t>Balkrishna Industries Ltd</t>
  </si>
  <si>
    <t>INE787D01026</t>
  </si>
  <si>
    <t>Auto Ancillaries</t>
  </si>
  <si>
    <t>Alkem Laboratories Ltd</t>
  </si>
  <si>
    <t>INE540L01014</t>
  </si>
  <si>
    <t>Whirlpool Of India Ltd</t>
  </si>
  <si>
    <t>INE716A01013</t>
  </si>
  <si>
    <t>Bata India Ltd</t>
  </si>
  <si>
    <t>INE176A01028</t>
  </si>
  <si>
    <t>Navin Fluorine International Ltd</t>
  </si>
  <si>
    <t>INE048G01026</t>
  </si>
  <si>
    <t>Max Financial Services Ltd</t>
  </si>
  <si>
    <t>INE180A01020</t>
  </si>
  <si>
    <t>Asian Paints Ltd</t>
  </si>
  <si>
    <t>INE021A01026</t>
  </si>
  <si>
    <t>Sun Pharmaceutical Industries Ltd</t>
  </si>
  <si>
    <t>INE044A01036</t>
  </si>
  <si>
    <t>Vinati Organics Ltd</t>
  </si>
  <si>
    <t>INE410B01037</t>
  </si>
  <si>
    <t>Dr. Lal Path Labs Ltd</t>
  </si>
  <si>
    <t>INE600L01024</t>
  </si>
  <si>
    <t>Healthcare Services</t>
  </si>
  <si>
    <t>Minda Industries Ltd</t>
  </si>
  <si>
    <t>INE405E01023</t>
  </si>
  <si>
    <t>UTI Asset Management Co Ltd</t>
  </si>
  <si>
    <t>INE094J01016</t>
  </si>
  <si>
    <t>Can Fin Homes Ltd</t>
  </si>
  <si>
    <t>INE477A01020</t>
  </si>
  <si>
    <t>HDFC Life Insurance Co Ltd</t>
  </si>
  <si>
    <t>INE795G01014</t>
  </si>
  <si>
    <t>EPL Ltd</t>
  </si>
  <si>
    <t>INE255A01020</t>
  </si>
  <si>
    <t>SBI Cards and Payment Services Ltd</t>
  </si>
  <si>
    <t>INE018E01016</t>
  </si>
  <si>
    <t>Nestle India Ltd</t>
  </si>
  <si>
    <t>INE239A01016</t>
  </si>
  <si>
    <t>Avenue Supermarts Ltd</t>
  </si>
  <si>
    <t>INE192R01011</t>
  </si>
  <si>
    <t>Retailing</t>
  </si>
  <si>
    <t>ICICI Lombard General Insurance Co Ltd</t>
  </si>
  <si>
    <t>INE765G01017</t>
  </si>
  <si>
    <t>Jubilant Foodworks Ltd</t>
  </si>
  <si>
    <t>INE797F01012</t>
  </si>
  <si>
    <t>Cholamandalam Investment and Finance Co Ltd</t>
  </si>
  <si>
    <t>INE121A01024</t>
  </si>
  <si>
    <t>Bajaj Auto Ltd</t>
  </si>
  <si>
    <t>INE917I01010</t>
  </si>
  <si>
    <t>Indiamart Intermesh Ltd</t>
  </si>
  <si>
    <t>INE933S01016</t>
  </si>
  <si>
    <t>Persistent Systems Ltd</t>
  </si>
  <si>
    <t>INE262H01013</t>
  </si>
  <si>
    <t>Mphasis Ltd</t>
  </si>
  <si>
    <t>INE356A01018</t>
  </si>
  <si>
    <t>Ashok Leyland Ltd</t>
  </si>
  <si>
    <t>INE208A01029</t>
  </si>
  <si>
    <t>ICICI Prudential Life Insurance Co Ltd</t>
  </si>
  <si>
    <t>INE726G01019</t>
  </si>
  <si>
    <t>Larsen &amp; Toubro Infotech Ltd</t>
  </si>
  <si>
    <t>INE214T01019</t>
  </si>
  <si>
    <t>Aarti Industries Ltd</t>
  </si>
  <si>
    <t>INE769A01020</t>
  </si>
  <si>
    <t>Info Edge (India) Ltd</t>
  </si>
  <si>
    <t>INE663F01024</t>
  </si>
  <si>
    <t>Tata Consumer Products Ltd</t>
  </si>
  <si>
    <t>INE192A01025</t>
  </si>
  <si>
    <t>Havells India Ltd</t>
  </si>
  <si>
    <t>INE176B01034</t>
  </si>
  <si>
    <t>Dr. Reddy's Laboratories Ltd</t>
  </si>
  <si>
    <t>INE089A01023</t>
  </si>
  <si>
    <t>J.K. Cement Ltd</t>
  </si>
  <si>
    <t>INE823G01014</t>
  </si>
  <si>
    <t>LIC Housing Finance Ltd</t>
  </si>
  <si>
    <t>INE115A01026</t>
  </si>
  <si>
    <t>MindTree Ltd</t>
  </si>
  <si>
    <t>INE018I01017</t>
  </si>
  <si>
    <t>AU Small Finance Bank Ltd</t>
  </si>
  <si>
    <t>INE949L01017</t>
  </si>
  <si>
    <t>Mahindra &amp; Mahindra Financial Services Ltd</t>
  </si>
  <si>
    <t>INE774D01024</t>
  </si>
  <si>
    <t>Gland Pharma Ltd</t>
  </si>
  <si>
    <t>INE068V01023</t>
  </si>
  <si>
    <t>Kansai Nerolac Paints Ltd</t>
  </si>
  <si>
    <t>INE531A01024</t>
  </si>
  <si>
    <t>Aditya Birla Fashion and Retail Ltd</t>
  </si>
  <si>
    <t>INE647O01011</t>
  </si>
  <si>
    <t>City Union Bank Ltd</t>
  </si>
  <si>
    <t>INE491A01021</t>
  </si>
  <si>
    <t>Computer Age Management Services Ltd</t>
  </si>
  <si>
    <t>INE596I01012</t>
  </si>
  <si>
    <t>Syngene International Ltd</t>
  </si>
  <si>
    <t>INE398R01022</t>
  </si>
  <si>
    <t>Indian Railway Catering And Tourism Corp Ltd</t>
  </si>
  <si>
    <t>INE335Y01012</t>
  </si>
  <si>
    <t>Services</t>
  </si>
  <si>
    <t>Century Textile &amp; Industries Ltd</t>
  </si>
  <si>
    <t>INE055A01016</t>
  </si>
  <si>
    <t>Paper</t>
  </si>
  <si>
    <t>ISGEC Heavy Engineering Ltd</t>
  </si>
  <si>
    <t>INE858B01029</t>
  </si>
  <si>
    <t>IN9647O01019</t>
  </si>
  <si>
    <t>Dabur India Ltd</t>
  </si>
  <si>
    <t>INE016A01026</t>
  </si>
  <si>
    <t>Orient Electric Ltd</t>
  </si>
  <si>
    <t>INE142Z01019</t>
  </si>
  <si>
    <t>Affle India Ltd</t>
  </si>
  <si>
    <t>INE00WC01019</t>
  </si>
  <si>
    <t>Marico Ltd</t>
  </si>
  <si>
    <t>INE196A01026</t>
  </si>
  <si>
    <t>Berger Paints India Ltd</t>
  </si>
  <si>
    <t>INE463A01038</t>
  </si>
  <si>
    <t>Godrej Consumer Products Ltd</t>
  </si>
  <si>
    <t>INE102D01028</t>
  </si>
  <si>
    <t>ITC Ltd</t>
  </si>
  <si>
    <t>INE154A01025</t>
  </si>
  <si>
    <t>National Aluminium Co Ltd</t>
  </si>
  <si>
    <t>INE139A01034</t>
  </si>
  <si>
    <t>Subros Ltd</t>
  </si>
  <si>
    <t>INE287B01021</t>
  </si>
  <si>
    <t>Deepak Nitrite Ltd</t>
  </si>
  <si>
    <t>INE288B01029</t>
  </si>
  <si>
    <t>V-Mart Retail Ltd</t>
  </si>
  <si>
    <t>INE665J01013</t>
  </si>
  <si>
    <t>K.P.R. Mill Ltd</t>
  </si>
  <si>
    <t>INE930H01023</t>
  </si>
  <si>
    <t>Textile Products</t>
  </si>
  <si>
    <t>Rallis India Ltd</t>
  </si>
  <si>
    <t>INE613A01020</t>
  </si>
  <si>
    <t>Central Depository Services (India) Ltd</t>
  </si>
  <si>
    <t>INE736A01011</t>
  </si>
  <si>
    <t>Creditaccess Grameen Ltd</t>
  </si>
  <si>
    <t>INE741K01010</t>
  </si>
  <si>
    <t>Finolex Industries Ltd</t>
  </si>
  <si>
    <t>INE183A01016</t>
  </si>
  <si>
    <t>BSE Ltd</t>
  </si>
  <si>
    <t>INE118H01025</t>
  </si>
  <si>
    <t>NOCIL Ltd</t>
  </si>
  <si>
    <t>INE163A01018</t>
  </si>
  <si>
    <t>Galaxy Surfactants Ltd</t>
  </si>
  <si>
    <t>INE600K01018</t>
  </si>
  <si>
    <t>Gulf Oil Lubricants India Ltd</t>
  </si>
  <si>
    <t>INE635Q01029</t>
  </si>
  <si>
    <t>Greenply Industries Ltd</t>
  </si>
  <si>
    <t>INE461C01038</t>
  </si>
  <si>
    <t>Hindustan Zinc Ltd</t>
  </si>
  <si>
    <t>INE267A01025</t>
  </si>
  <si>
    <t>Blue Dart Express Ltd</t>
  </si>
  <si>
    <t>INE233B01017</t>
  </si>
  <si>
    <t>EID Parry India Ltd</t>
  </si>
  <si>
    <t>INE126A01031</t>
  </si>
  <si>
    <t>Fertilisers</t>
  </si>
  <si>
    <t>The Great Eastern Shipping Co Ltd</t>
  </si>
  <si>
    <t>INE017A01032</t>
  </si>
  <si>
    <t>Indian Energy Exchange Ltd</t>
  </si>
  <si>
    <t>INE022Q01020</t>
  </si>
  <si>
    <t>Dhanuka Agritech Ltd</t>
  </si>
  <si>
    <t>INE435G01025</t>
  </si>
  <si>
    <t>Teamlease Services Ltd</t>
  </si>
  <si>
    <t>INE985S01024</t>
  </si>
  <si>
    <t>Commercial Services</t>
  </si>
  <si>
    <t>J.B. Chemicals &amp; Pharmaceuticals Ltd</t>
  </si>
  <si>
    <t>INE572A01028</t>
  </si>
  <si>
    <t>Metropolis Healthcare Ltd</t>
  </si>
  <si>
    <t>INE112L01020</t>
  </si>
  <si>
    <t>Avanti Feeds Ltd</t>
  </si>
  <si>
    <t>INE871C01038</t>
  </si>
  <si>
    <t>Fine Organic Industries Ltd</t>
  </si>
  <si>
    <t>INE686Y01026</t>
  </si>
  <si>
    <t>Escorts Ltd</t>
  </si>
  <si>
    <t>INE042A01014</t>
  </si>
  <si>
    <t>HeidelbergCement India Ltd</t>
  </si>
  <si>
    <t>INE578A01017</t>
  </si>
  <si>
    <t>Cholamandalam Financial Holdings Ltd</t>
  </si>
  <si>
    <t>INE149A01033</t>
  </si>
  <si>
    <t>Orient Refractories Ltd</t>
  </si>
  <si>
    <t>INE743M01012</t>
  </si>
  <si>
    <t>Cera Sanitaryware Ltd</t>
  </si>
  <si>
    <t>INE739E01017</t>
  </si>
  <si>
    <t>Gujarat State Petronet Ltd</t>
  </si>
  <si>
    <t>INE246F01010</t>
  </si>
  <si>
    <t>Greenlam Industries Ltd</t>
  </si>
  <si>
    <t>INE544R01013</t>
  </si>
  <si>
    <t>SBI Life Insurance Co Ltd</t>
  </si>
  <si>
    <t>INE123W01016</t>
  </si>
  <si>
    <t>Debt Instruments</t>
  </si>
  <si>
    <t>7.87% Housing Development Finance Corporation Ltd (18/07/2022) **</t>
  </si>
  <si>
    <t>INE001A07RW5</t>
  </si>
  <si>
    <t>CRISIL AAA</t>
  </si>
  <si>
    <t>7.40% Power Finance Corporation Ltd (30/09/2021) **</t>
  </si>
  <si>
    <t>INE134E08IM4</t>
  </si>
  <si>
    <t>8.65% Reliance Industries Ltd (11/12/2028)</t>
  </si>
  <si>
    <t>INE002A08567</t>
  </si>
  <si>
    <t>7.17% Reliance Industries Ltd (08/11/2022) **</t>
  </si>
  <si>
    <t>INE002A08500</t>
  </si>
  <si>
    <t>7.22% LIC Housing Finance Ltd (19/11/2021) **</t>
  </si>
  <si>
    <t>INE115A07OP4</t>
  </si>
  <si>
    <t>CARE AAA</t>
  </si>
  <si>
    <t>7.15% Housing Development Finance Corporation Ltd (16/09/2021) **</t>
  </si>
  <si>
    <t>INE001A07RY1</t>
  </si>
  <si>
    <t>5.45% NTPC Ltd (15/10/2025)</t>
  </si>
  <si>
    <t>INE733E08163</t>
  </si>
  <si>
    <t>7.99% Housing Development Finance Corporation Ltd (11/07/2024) **</t>
  </si>
  <si>
    <t>INE001A07RV7</t>
  </si>
  <si>
    <t>8.40% Indian Railway Finance Corporation Ltd (08/01/2029) **</t>
  </si>
  <si>
    <t>INE053F07AZ4</t>
  </si>
  <si>
    <t>7.69% National Bank For Agriculture &amp; Rural Development (29/05/2024) **</t>
  </si>
  <si>
    <t>INE261F08BK1</t>
  </si>
  <si>
    <t>7.75% LIC Housing Finance Ltd (23/07/2024) **</t>
  </si>
  <si>
    <t>INE115A07OL3</t>
  </si>
  <si>
    <t>7.45% REC Ltd (30/11/2022) **</t>
  </si>
  <si>
    <t>INE020B08AP1</t>
  </si>
  <si>
    <t>7.50% Power Finance Corporation Ltd (16/08/2021) **</t>
  </si>
  <si>
    <t>INE134E08IH4</t>
  </si>
  <si>
    <t>7.65% Small Industries Development Bank Of India (15/04/2021) **</t>
  </si>
  <si>
    <t>INE556F08JD2</t>
  </si>
  <si>
    <t>0.00% Sundaram Finance Ltd (15/06/2021) **</t>
  </si>
  <si>
    <t>INE660A07PN1</t>
  </si>
  <si>
    <t>ICRA AAA</t>
  </si>
  <si>
    <t>8.22% National Bank For Agriculture &amp; Rural Development (13/12/2028) **</t>
  </si>
  <si>
    <t>INE261F08AV0</t>
  </si>
  <si>
    <t>8.80% LIC Housing Finance Ltd (25/01/2029) **</t>
  </si>
  <si>
    <t>INE115A07NU6</t>
  </si>
  <si>
    <t>8.35% Indian Railway Finance Corporation Ltd (13/03/2029) **</t>
  </si>
  <si>
    <t>INE053F07BC1</t>
  </si>
  <si>
    <t>8.33% LIC Housing Finance Ltd (31/05/2024) **</t>
  </si>
  <si>
    <t>INE115A07OE8</t>
  </si>
  <si>
    <t>7.79% LIC Housing Finance Ltd (18/10/2024) **</t>
  </si>
  <si>
    <t>INE115A07OM1</t>
  </si>
  <si>
    <t>7.09% REC Ltd (13/12/2022) **</t>
  </si>
  <si>
    <t>INE020B08CD3</t>
  </si>
  <si>
    <t>6.27% Small Industries Development Bank Of India (27/02/2023) **</t>
  </si>
  <si>
    <t>INE556F08JP6</t>
  </si>
  <si>
    <t>8.70% Reliance Industries Ltd (15/06/2021)</t>
  </si>
  <si>
    <t>INE110L07112</t>
  </si>
  <si>
    <t>7.47% Power Finance Corporation Ltd (16/09/2021) **</t>
  </si>
  <si>
    <t>INE134E08IJ0</t>
  </si>
  <si>
    <t>7.70% REC Ltd (15/03/2021) **</t>
  </si>
  <si>
    <t>INE020B08AS5</t>
  </si>
  <si>
    <t>8.30% Reliance Industries Ltd (08/03/2022) **</t>
  </si>
  <si>
    <t>INE002A08575</t>
  </si>
  <si>
    <t>8.30% NTPC Ltd (15/01/2029) **</t>
  </si>
  <si>
    <t>INE733E07KJ7</t>
  </si>
  <si>
    <t>8.13% Power Grid Corporation of India Ltd (25/04/2024) **</t>
  </si>
  <si>
    <t>INE752E07NQ6</t>
  </si>
  <si>
    <t>7.85% Power Finance Corporation Ltd (03/04/2028) **</t>
  </si>
  <si>
    <t>INE134E08JP5</t>
  </si>
  <si>
    <t>7.32% NTPC Ltd (17/07/2029) **</t>
  </si>
  <si>
    <t>INE733E07KL3</t>
  </si>
  <si>
    <t>7.35% Bharat Petroleum Corporation Ltd (10/03/2022) **</t>
  </si>
  <si>
    <t>INE029A07075</t>
  </si>
  <si>
    <t>8.60% National Bank For Agriculture &amp; Rural Development (31/01/2022) **</t>
  </si>
  <si>
    <t>INE261F08AI7</t>
  </si>
  <si>
    <t>Government Bonds</t>
  </si>
  <si>
    <t>6.18% GOI (04/11/2024)</t>
  </si>
  <si>
    <t>IN0020190396</t>
  </si>
  <si>
    <t>Sovereign</t>
  </si>
  <si>
    <t>5.85% GOI (01/12/2030)</t>
  </si>
  <si>
    <t>IN0020200294</t>
  </si>
  <si>
    <t>7.35% GOI (22/06/2024)</t>
  </si>
  <si>
    <t>IN0020090034</t>
  </si>
  <si>
    <t>6.84% GOI (19/12/2022)</t>
  </si>
  <si>
    <t>IN0020160050</t>
  </si>
  <si>
    <t>7.26% GOI (14/01/2029)</t>
  </si>
  <si>
    <t>IN0020180454</t>
  </si>
  <si>
    <t>6.79% GOI (15/05/2027)</t>
  </si>
  <si>
    <t>IN0020170026</t>
  </si>
  <si>
    <t>8.24% GOI (15/02/2027)</t>
  </si>
  <si>
    <t>IN0020060078</t>
  </si>
  <si>
    <t>8.15% GOI (24/11/2026)</t>
  </si>
  <si>
    <t>IN0020140060</t>
  </si>
  <si>
    <t>7.16% GOI (20/09/2050)</t>
  </si>
  <si>
    <t>IN0020200054</t>
  </si>
  <si>
    <t>5.15% GOI (09/11/2025)</t>
  </si>
  <si>
    <t>IN0020200278</t>
  </si>
  <si>
    <t>7.42% Maharashtra SDL 11-May-22</t>
  </si>
  <si>
    <t>IN2220170012</t>
  </si>
  <si>
    <t>5.77% GOI (03/08/2030)</t>
  </si>
  <si>
    <t>IN0020200153</t>
  </si>
  <si>
    <t>8.81% Small Industries Development Bank Of India (25/01/2022) **</t>
  </si>
  <si>
    <t>INE556F08JI1</t>
  </si>
  <si>
    <t>Money Market Instruments</t>
  </si>
  <si>
    <t>Treasury Bill</t>
  </si>
  <si>
    <t>182 DAYS INDIA TREASURY BILLS 28-JAN-21</t>
  </si>
  <si>
    <t>IN002020Y173</t>
  </si>
  <si>
    <t xml:space="preserve"> Sovereign</t>
  </si>
  <si>
    <t>7.17% GOI (08/01/2028)</t>
  </si>
  <si>
    <t>IN0020170174</t>
  </si>
  <si>
    <t>7.57% GOI (17/06/2033)</t>
  </si>
  <si>
    <t>IN0020190065</t>
  </si>
  <si>
    <t>6.79% GOI (26/12/2029)</t>
  </si>
  <si>
    <t>IN0020160118</t>
  </si>
  <si>
    <t>6.68% GOI (17/09/2031)</t>
  </si>
  <si>
    <t>IN0020170042</t>
  </si>
  <si>
    <t>6.45% GOI (07/10/2029)</t>
  </si>
  <si>
    <t>IN0020190362</t>
  </si>
  <si>
    <t>6.22% GOI (16/03/2035)</t>
  </si>
  <si>
    <t>IN0020200245</t>
  </si>
  <si>
    <t>8.13% GOI (22/06/2045)</t>
  </si>
  <si>
    <t>IN0020150044</t>
  </si>
  <si>
    <t>7.48% Indian Railway Finance Corporation Ltd (13/08/2029) **</t>
  </si>
  <si>
    <t>INE053F07BU3</t>
  </si>
  <si>
    <t>7.43% National Bank For Agriculture &amp; Rural Development (31/01/2030) **</t>
  </si>
  <si>
    <t>INE261F08BX4</t>
  </si>
  <si>
    <t>7.50% Housing Development Finance Corporation Ltd (08/01/2025) **</t>
  </si>
  <si>
    <t>INE001A07SE1</t>
  </si>
  <si>
    <t>6.87% National Bank For Agriculture &amp; Rural Development (08/03/2030) **</t>
  </si>
  <si>
    <t>INE261F08CB8</t>
  </si>
  <si>
    <t>8.39% National Bank For Agriculture &amp; Rural Development (19/07/2021)</t>
  </si>
  <si>
    <t>INE261F08AL1</t>
  </si>
  <si>
    <t>6.19% GOI (16/09/2034)</t>
  </si>
  <si>
    <t>IN0020200096</t>
  </si>
  <si>
    <t>6.68% UTTAR PRADESH SDL 16-SEP-30</t>
  </si>
  <si>
    <t>IN3320200097</t>
  </si>
  <si>
    <t>6.50% GUJARAT SDL 11-NOV-30</t>
  </si>
  <si>
    <t>IN1520200206</t>
  </si>
  <si>
    <t>8.47% Maharashtra SDL 10-Feb-26</t>
  </si>
  <si>
    <t>IN2220150188</t>
  </si>
  <si>
    <t>8.2534% LIC Housing Finance Ltd (17/09/2021) **</t>
  </si>
  <si>
    <t>INE115A07OA6</t>
  </si>
  <si>
    <t>7.35% Power Finance Corporation Ltd (15/10/2022) **</t>
  </si>
  <si>
    <t>INE134E08KG2</t>
  </si>
  <si>
    <t>8.18% Power Finance Corporation Ltd (19/03/2022) **</t>
  </si>
  <si>
    <t>INE134E08JW1</t>
  </si>
  <si>
    <t>9.36% Power Finance Corporation Ltd (01/08/2021) **</t>
  </si>
  <si>
    <t>INE134E08DR4</t>
  </si>
  <si>
    <t>7.66% LIC Housing Finance Ltd (21/10/2021) **</t>
  </si>
  <si>
    <t>INE115A07KR8</t>
  </si>
  <si>
    <t>6.32% REC Ltd (31/12/2021) **</t>
  </si>
  <si>
    <t>INE020B08CL6</t>
  </si>
  <si>
    <t>8.32% Reliance Industries Ltd (08/07/2021) **</t>
  </si>
  <si>
    <t>INE110L07070</t>
  </si>
  <si>
    <t>6.57% LIC Housing Finance Ltd (13/07/2021) **</t>
  </si>
  <si>
    <t>INE115A07OT6</t>
  </si>
  <si>
    <t>6.99% Housing Development Finance Corporation Ltd (25/11/2021)</t>
  </si>
  <si>
    <t>INE001A07SC5</t>
  </si>
  <si>
    <t>6.99% Small Industries Development Bank Of India (08/08/2022) **</t>
  </si>
  <si>
    <t>INE556F08JN1</t>
  </si>
  <si>
    <t>4.58% Small Industries Development Bank Of India (18/12/2023) **</t>
  </si>
  <si>
    <t>INE556F08JR2</t>
  </si>
  <si>
    <t>7.49% Power Grid Corporation of India Ltd (25/10/2024) **</t>
  </si>
  <si>
    <t>INE752E08593</t>
  </si>
  <si>
    <t>8.02% Larsen &amp; Toubro Ltd (22/05/2022) **</t>
  </si>
  <si>
    <t>INE018A08AS1</t>
  </si>
  <si>
    <t>6.75% Power Finance Corporation Ltd (22/05/2023) **</t>
  </si>
  <si>
    <t>INE134E08KS7</t>
  </si>
  <si>
    <t>8.13% Power Grid Corporation of India Ltd (25/04/2022) **</t>
  </si>
  <si>
    <t>INE752E07NO1</t>
  </si>
  <si>
    <t>7.24% REC Ltd (31/12/2022) **</t>
  </si>
  <si>
    <t>INE020B08CG6</t>
  </si>
  <si>
    <t>6.98% National Bank For Agriculture &amp; Rural Development (19/09/2022) **</t>
  </si>
  <si>
    <t>INE261F08BO3</t>
  </si>
  <si>
    <t>7.24% LIC Housing Finance Ltd (23/08/2021)</t>
  </si>
  <si>
    <t>INE115A07OK5</t>
  </si>
  <si>
    <t>Certificate of Deposit</t>
  </si>
  <si>
    <t>Bank of Baroda (01/06/2021) ** #</t>
  </si>
  <si>
    <t>INE028A16CG4</t>
  </si>
  <si>
    <t>IND A1+</t>
  </si>
  <si>
    <t>National Bank For Agriculture &amp; Rural Development (17/06/2021) ** #</t>
  </si>
  <si>
    <t>INE261F16546</t>
  </si>
  <si>
    <t>Axis Bank Ltd (22/10/2021) ** #</t>
  </si>
  <si>
    <t>INE238A166U3</t>
  </si>
  <si>
    <t>CRISIL A1+</t>
  </si>
  <si>
    <t>Axis Bank Ltd (10/03/2021) #</t>
  </si>
  <si>
    <t>INE238A165U5</t>
  </si>
  <si>
    <t>Axis Bank Ltd (12/02/2021) ** #</t>
  </si>
  <si>
    <t>INE238A161U4</t>
  </si>
  <si>
    <t>Commercial Paper</t>
  </si>
  <si>
    <t>Sundaram Finance Ltd (18/03/2021) ** #</t>
  </si>
  <si>
    <t>INE660A14VN5</t>
  </si>
  <si>
    <t>ICRA A1+</t>
  </si>
  <si>
    <t>Housing Development Finance Corporation Ltd (10/03/2021) ** #</t>
  </si>
  <si>
    <t>INE001A14WM2</t>
  </si>
  <si>
    <t>Reliance Industries Ltd (02/03/2021) ** #</t>
  </si>
  <si>
    <t>INE002A14EM8</t>
  </si>
  <si>
    <t>Larsen &amp; Toubro Ltd (25/03/2021) #</t>
  </si>
  <si>
    <t>INE018A14ID4</t>
  </si>
  <si>
    <t>Reliance Industries Ltd (15/06/2021) ** #</t>
  </si>
  <si>
    <t>INE002A14FP8</t>
  </si>
  <si>
    <t>CARE A1+</t>
  </si>
  <si>
    <t>182 DAYS INDIA TREASURY BILLS 24-JUN-21</t>
  </si>
  <si>
    <t>IN002020Y389</t>
  </si>
  <si>
    <t>364 DAYS INDIA TREASURY BILLS 15-APR-21</t>
  </si>
  <si>
    <t>IN002020Z022</t>
  </si>
  <si>
    <t>364 DAYS INDIA TREASURY BILLS 29-JUL-21</t>
  </si>
  <si>
    <t>IN002020Z170</t>
  </si>
  <si>
    <t>364 DAYS INDIA TREASURY BILLS 22-JUL-21</t>
  </si>
  <si>
    <t>IN002020Z162</t>
  </si>
  <si>
    <t>91 DAYS INDIA TREASURY BILLS 14-JAN-21</t>
  </si>
  <si>
    <t>IN002020X290</t>
  </si>
  <si>
    <t>364 DAYS INDIA TREASURY BILLS 08-APR-21</t>
  </si>
  <si>
    <t>IN002020Z014</t>
  </si>
  <si>
    <t>182 DAYS INDIA TREASURY BILLS 29-APR-21</t>
  </si>
  <si>
    <t>IN002020Y298</t>
  </si>
  <si>
    <t>364 DAYS INDIA TREASURY BILLS 07-MAY-21</t>
  </si>
  <si>
    <t>IN002020Z055</t>
  </si>
  <si>
    <t>5.54% GOI (15/10/2021)</t>
  </si>
  <si>
    <t>IN2120200059</t>
  </si>
  <si>
    <t>7.68% GOI (15/12/2023)</t>
  </si>
  <si>
    <t>IN0020150010</t>
  </si>
  <si>
    <t>9.23% GUJARAT SDL 23-NOV-21</t>
  </si>
  <si>
    <t>IN1520110090</t>
  </si>
  <si>
    <t>#  Unlisted Security</t>
  </si>
  <si>
    <t>L&amp;T Technology Services Ltd</t>
  </si>
  <si>
    <t>INE010V01017</t>
  </si>
  <si>
    <t>Dalmia Bharat Ltd</t>
  </si>
  <si>
    <t>INE00R701025</t>
  </si>
  <si>
    <t>Transport Corporation of India Ltd</t>
  </si>
  <si>
    <t>INE688A01022</t>
  </si>
  <si>
    <t>8.95% Reliance Industries Ltd (09/11/2028)</t>
  </si>
  <si>
    <t>INE002A08542</t>
  </si>
  <si>
    <t>364 DAYS INDIA TREASURY BILLS 23-SEP-21</t>
  </si>
  <si>
    <t>IN002020Z253</t>
  </si>
  <si>
    <t>6.58% UTTAR PRADESH SDL 25-NOV-30</t>
  </si>
  <si>
    <t>IN3320200188</t>
  </si>
  <si>
    <t>8.49% Punjab SDL Uday 31-Mar-22</t>
  </si>
  <si>
    <t>IN2820150273</t>
  </si>
  <si>
    <t>7.72% GOI (26/10/2055)</t>
  </si>
  <si>
    <t>IN0020150077</t>
  </si>
  <si>
    <t>7.59% GOI (11/01/2026)</t>
  </si>
  <si>
    <t>IN0020150093</t>
  </si>
  <si>
    <t>Small Industries Development Bank of India (14/01/2021) ** #</t>
  </si>
  <si>
    <t>INE556F16796</t>
  </si>
  <si>
    <t>Bank of Baroda (11/02/2021) ** #</t>
  </si>
  <si>
    <t>INE028A16BX1</t>
  </si>
  <si>
    <t>National Bank For Agriculture &amp; Rural Development (14/01/2021) #</t>
  </si>
  <si>
    <t>INE261F16462</t>
  </si>
  <si>
    <t>Axis Bank Ltd (04/01/2021) ** #</t>
  </si>
  <si>
    <t>INE238A163T2</t>
  </si>
  <si>
    <t>Kotak Mahindra Bank Ltd (11/01/2021) #</t>
  </si>
  <si>
    <t>INE237A161M2</t>
  </si>
  <si>
    <t>ICICI Bank Ltd (15/01/2021) ** #</t>
  </si>
  <si>
    <t>INE090A164W1</t>
  </si>
  <si>
    <t>Small Industries Development Bank of India (20/01/2021) #</t>
  </si>
  <si>
    <t>INE556F16804</t>
  </si>
  <si>
    <t>Housing Development Finance Corporation Ltd (13/01/2021) ** #</t>
  </si>
  <si>
    <t>INE001A14WG4</t>
  </si>
  <si>
    <t>Indian Oil Corporation Ltd (04/01/2021) ** #</t>
  </si>
  <si>
    <t>INE242A14SM0</t>
  </si>
  <si>
    <t>Reliance Industries Ltd (22/01/2021) #</t>
  </si>
  <si>
    <t>INE002A14GJ9</t>
  </si>
  <si>
    <t>LIC Housing Finance Ltd (22/01/2021) #</t>
  </si>
  <si>
    <t>INE115A14CK6</t>
  </si>
  <si>
    <t>NTPC Ltd (22/01/2021) ** #</t>
  </si>
  <si>
    <t>INE733E14930</t>
  </si>
  <si>
    <t>182 DAYS INDIA TREASURY BILLS 07-JAN-21</t>
  </si>
  <si>
    <t>IN002020Y140</t>
  </si>
  <si>
    <t>91 DAYS INDIA TREASURY BILLS 07-JAN-21</t>
  </si>
  <si>
    <t>IN002020X282</t>
  </si>
  <si>
    <t>182 DAYS INDIA TREASURY BILLS 14-JAN-21</t>
  </si>
  <si>
    <t>IN002020Y157</t>
  </si>
  <si>
    <t>7.67% LIC Housing Finance Ltd (29/07/2021) **</t>
  </si>
  <si>
    <t>INE115A07LX4</t>
  </si>
  <si>
    <t>7.20% Power Grid Corporation of India Ltd (21/12/2021) **</t>
  </si>
  <si>
    <t>INE752E07OD2</t>
  </si>
  <si>
    <t>7.06% Housing Development Finance Corporation Ltd (13/12/2021) **</t>
  </si>
  <si>
    <t>INE001A07SL6</t>
  </si>
  <si>
    <t>7.10% Power Finance Corporation Ltd (08/08/2022) **</t>
  </si>
  <si>
    <t>INE134E08JD1</t>
  </si>
  <si>
    <t>8.70% Reliance Industries Ltd (16/07/2021) **</t>
  </si>
  <si>
    <t>INE110L07120</t>
  </si>
  <si>
    <t>9.4041% L&amp;T Housing Finance Ltd (11/10/2021) **</t>
  </si>
  <si>
    <t>INE476M07BQ0</t>
  </si>
  <si>
    <t>National Bank For Agriculture &amp; Rural Development (27/07/2021) ** #</t>
  </si>
  <si>
    <t>INE261F16553</t>
  </si>
  <si>
    <t>Reliance Industries Ltd (25/02/2021) ** #</t>
  </si>
  <si>
    <t>INE002A14GT8</t>
  </si>
  <si>
    <t>182 DAYS INDIA TREASURY BILLS 18-FEB-21</t>
  </si>
  <si>
    <t>IN002020Y207</t>
  </si>
  <si>
    <t>6.17% GOI (15/07/2021)</t>
  </si>
  <si>
    <t>IN0020190099</t>
  </si>
  <si>
    <t>5.05% Indian Oil Corporation Ltd (25/11/2022) **</t>
  </si>
  <si>
    <t>INE242A08460</t>
  </si>
  <si>
    <t>6.59% Indian Railway Finance Corporation Ltd (14/04/2023) **</t>
  </si>
  <si>
    <t>INE053F07BZ2</t>
  </si>
  <si>
    <t>7.42% Power Finance Corporation Ltd (19/11/2024) **</t>
  </si>
  <si>
    <t>INE134E08KH0</t>
  </si>
  <si>
    <t>7.20% Housing Development Finance Corporation Ltd (13/04/2023) **</t>
  </si>
  <si>
    <t>INE001A07SJ0</t>
  </si>
  <si>
    <t>7.4450% LIC HOUSING FINANCE LTD13-JAN-23 **</t>
  </si>
  <si>
    <t>INE115A07OJ7</t>
  </si>
  <si>
    <t>6.70% National Bank For Agriculture &amp; Rural Development (11/11/2022) **</t>
  </si>
  <si>
    <t>INE261F08BQ8</t>
  </si>
  <si>
    <t>5.32% National Housing Bank (01/09/2023) **</t>
  </si>
  <si>
    <t>INE557F08FK3</t>
  </si>
  <si>
    <t>7.16% Power Finance Corporation Ltd (24/04/2025) **</t>
  </si>
  <si>
    <t>INE134E08KP3</t>
  </si>
  <si>
    <t>7.95% Small Industries Development Bank Of India (26/04/2022) **</t>
  </si>
  <si>
    <t>INE556F08JK7</t>
  </si>
  <si>
    <t>8.15% REC Ltd (10/06/2022) **</t>
  </si>
  <si>
    <t>INE020B08BT1</t>
  </si>
  <si>
    <t>7.87% Larsen &amp; Toubro Ltd (18/04/2022) **</t>
  </si>
  <si>
    <t>INE018A08AR3</t>
  </si>
  <si>
    <t>6.80% Small Industries Development Bank Of India (29/09/2022) **</t>
  </si>
  <si>
    <t>INE556F08JO9</t>
  </si>
  <si>
    <t>6.72% Power Finance Corporation Ltd (09/06/2023) **</t>
  </si>
  <si>
    <t>INE134E08KW9</t>
  </si>
  <si>
    <t>5.40% Housing Development Finance Corporation Ltd (11/08/2023) **</t>
  </si>
  <si>
    <t>INE001A07SP7</t>
  </si>
  <si>
    <t>7.20% Power Grid Corporation of India Ltd (09/08/2027) **</t>
  </si>
  <si>
    <t>INE752E07OG5</t>
  </si>
  <si>
    <t>7.85% LIC Housing Finance Ltd (23/09/2022) **</t>
  </si>
  <si>
    <t>INE115A07OG3</t>
  </si>
  <si>
    <t>7.85% National Bank For Agriculture &amp; Rural Development (23/05/2022) **</t>
  </si>
  <si>
    <t>INE261F08BJ3</t>
  </si>
  <si>
    <t>7.00% Reliance Industries Ltd (31/08/2022) **</t>
  </si>
  <si>
    <t>INE002A08476</t>
  </si>
  <si>
    <t>6.93% UltraTech Cement Ltd (25/11/2021) **</t>
  </si>
  <si>
    <t>INE481G08032</t>
  </si>
  <si>
    <t>7.5438%Kotak Mahindra Prime Ltd (08/01/2021) **</t>
  </si>
  <si>
    <t>INE916DA7PE4</t>
  </si>
  <si>
    <t>8.40% Power Grid Corporation of India Ltd (14/09/2021) **</t>
  </si>
  <si>
    <t>INE752E07MZ9</t>
  </si>
  <si>
    <t>8.40% Power Grid Corporation of India Ltd (27/05/2027) **</t>
  </si>
  <si>
    <t>INE752E07MT2</t>
  </si>
  <si>
    <t>8.40% Power Grid Corporation of India Ltd (27/05/2026) **</t>
  </si>
  <si>
    <t>INE752E07MS4</t>
  </si>
  <si>
    <t>8.50% National Bank For Agriculture &amp; Rural Development (31/01/2023) **</t>
  </si>
  <si>
    <t>INE261F08AT4</t>
  </si>
  <si>
    <t>7.55% Indian Railway Finance Corporation Ltd (12/04/2030) **</t>
  </si>
  <si>
    <t>INE053F07BY5</t>
  </si>
  <si>
    <t>8.50% LIC Housing Finance Ltd (20/06/2022) **</t>
  </si>
  <si>
    <t>INE115A07OD0</t>
  </si>
  <si>
    <t>6.72% NTPC Ltd (24/11/2021) **</t>
  </si>
  <si>
    <t>INE733E07KH1</t>
  </si>
  <si>
    <t>8.10% NTPC Ltd (27/05/2021) **</t>
  </si>
  <si>
    <t>INE733E07KB4</t>
  </si>
  <si>
    <t>8.58% Housing Development Finance Corporation Ltd (18/03/2022)</t>
  </si>
  <si>
    <t>INE001A07RS3</t>
  </si>
  <si>
    <t>364 DAYS INDIA TREASURY BILLS 16-SEP-21</t>
  </si>
  <si>
    <t>IN002020Z246</t>
  </si>
  <si>
    <t>364 DAYS INDIA TREASURY BILLS 05-AUG-21</t>
  </si>
  <si>
    <t>IN002020Z188</t>
  </si>
  <si>
    <t>8.75% UTTAR PRADESH SDL 11-JAN-22</t>
  </si>
  <si>
    <t>IN3320110130</t>
  </si>
  <si>
    <t>8.62% MAHARASHTRA SDL 06-MAR-23</t>
  </si>
  <si>
    <t>IN2220120116</t>
  </si>
  <si>
    <t>8.85% MAHARASHTRA SDL 18-JUL-22</t>
  </si>
  <si>
    <t>IN2220120017</t>
  </si>
  <si>
    <t>8.84% TAMILNADU SDL 18-JUL-22</t>
  </si>
  <si>
    <t>IN3120120032</t>
  </si>
  <si>
    <t>8.27% Rajasthan SDL 23-Jun-22</t>
  </si>
  <si>
    <t>IN2920160081</t>
  </si>
  <si>
    <t>8.21% Haryana SDL Uday 31-Mar-22</t>
  </si>
  <si>
    <t>IN1620150145</t>
  </si>
  <si>
    <t>8.88% GUJARAT SDL 06-JUN-22</t>
  </si>
  <si>
    <t>IN1520120032</t>
  </si>
  <si>
    <t>8.21% Rajasthan Uday 31-Mar-21</t>
  </si>
  <si>
    <t>IN2920150405</t>
  </si>
  <si>
    <t>7.86% Karnataka SDL 15-Mar-27</t>
  </si>
  <si>
    <t>IN1920160117</t>
  </si>
  <si>
    <t>7.40% LIC Housing Finance Ltd (06/09/2024) **</t>
  </si>
  <si>
    <t>INE115A07ML7</t>
  </si>
  <si>
    <t>6.60% REC Ltd (21/03/2022) **</t>
  </si>
  <si>
    <t>INE020B08CV5</t>
  </si>
  <si>
    <t>9.35% Power Grid Corporation of India Ltd (29/08/2023) **</t>
  </si>
  <si>
    <t>INE752E07IT0</t>
  </si>
  <si>
    <t>7.60% Grasim Industries Ltd (04/06/2024) **</t>
  </si>
  <si>
    <t>INE047A08158</t>
  </si>
  <si>
    <t>7.50% Indian Railway Finance Corporation Ltd (07/09/2029) **</t>
  </si>
  <si>
    <t>INE053F07BW9</t>
  </si>
  <si>
    <t>7.40% National Bank For Agriculture &amp; Rural Development (19/03/2030) **</t>
  </si>
  <si>
    <t>INE261F08CC6</t>
  </si>
  <si>
    <t>7.28% Housing Development Finance Corporation Ltd (26/09/2022) **</t>
  </si>
  <si>
    <t>INE001A07RZ8</t>
  </si>
  <si>
    <t>7.80% LIC Housing Finance Ltd (03/05/2022) **</t>
  </si>
  <si>
    <t>INE115A07LQ8</t>
  </si>
  <si>
    <t>7.25% Housing Development Finance Corporation Ltd (17/06/2030) **</t>
  </si>
  <si>
    <t>INE001A07SO0</t>
  </si>
  <si>
    <t>0.00% Aditya Birla Finance Ltd (12/10/2021) **</t>
  </si>
  <si>
    <t>INE860H07GD2</t>
  </si>
  <si>
    <t>8.84% MAHARASHTRA SDL 17-OCT-22</t>
  </si>
  <si>
    <t>IN2220120058</t>
  </si>
  <si>
    <t>9.25% UTTAR PRADESH SDL 23-NOV-21</t>
  </si>
  <si>
    <t>IN3320110106</t>
  </si>
  <si>
    <t>8.72% MAHARASHTRA SDL 11-JAN-22</t>
  </si>
  <si>
    <t>IN2220110083</t>
  </si>
  <si>
    <t>6.70% GUJARAT SDL 23-SEP-30</t>
  </si>
  <si>
    <t>IN1520200156</t>
  </si>
  <si>
    <t>0.00% Kotak Mahindra Prime Ltd (29/03/2021) **</t>
  </si>
  <si>
    <t>INE916DA7PK1</t>
  </si>
  <si>
    <t>0.00% HDB Financial Services Ltd (06/04/2021) **</t>
  </si>
  <si>
    <t>INE756I07BW1</t>
  </si>
  <si>
    <t>7.65% Indian Railway Finance Corporation Ltd (15/03/2021) **</t>
  </si>
  <si>
    <t>INE053F07AK6</t>
  </si>
  <si>
    <t>7.73% Power Finance Corporation Ltd (12/03/2021) **</t>
  </si>
  <si>
    <t>INE134E08JJ8</t>
  </si>
  <si>
    <t>0.00% Mahindra &amp; Mahindra Financial Services Ltd (07/04/2021) **</t>
  </si>
  <si>
    <t>INE774D07RY7</t>
  </si>
  <si>
    <t>IND AAA</t>
  </si>
  <si>
    <t>8.33% NTPC Ltd (24/02/2021) **</t>
  </si>
  <si>
    <t>INE733E07JZ5</t>
  </si>
  <si>
    <t>8.75% LIC Housing Finance Ltd (12/02/2021) **</t>
  </si>
  <si>
    <t>INE115A07JB4</t>
  </si>
  <si>
    <t>8.75% Housing Development Finance Corporation Ltd (04/03/2021) **</t>
  </si>
  <si>
    <t>INE001A07OO9</t>
  </si>
  <si>
    <t>7.88% LIC Housing Finance Ltd (28/01/2021) **</t>
  </si>
  <si>
    <t>INE115A07MT0</t>
  </si>
  <si>
    <t>0.00% LIC Housing Finance Ltd (25/03/2021) **</t>
  </si>
  <si>
    <t>INE115A07MX2</t>
  </si>
  <si>
    <t>7.73% Power Finance Corporation Ltd (05/04/2021) **</t>
  </si>
  <si>
    <t>INE134E08JK6</t>
  </si>
  <si>
    <t>8.39% Rajasthan SDL 15-Mar-21</t>
  </si>
  <si>
    <t>IN2920150306</t>
  </si>
  <si>
    <t>8.43% Uttar Pradesh SDL Uday 29-Mar-21</t>
  </si>
  <si>
    <t>IN3320150656</t>
  </si>
  <si>
    <t>8.51% Uttar Pradesh SDL Uday 21-Mar-21</t>
  </si>
  <si>
    <t>IN3320150532</t>
  </si>
  <si>
    <t>HDFC Asset Management Company Ltd</t>
  </si>
  <si>
    <t>INE127D01025</t>
  </si>
  <si>
    <t>V.I.P. Industries Ltd</t>
  </si>
  <si>
    <t>INE054A01027</t>
  </si>
  <si>
    <t>7.73% REC Ltd (15/06/2021) **</t>
  </si>
  <si>
    <t>INE020B08AW7</t>
  </si>
  <si>
    <t>7.5320% Mahindra &amp; Mahin Fin Ser (29/01/2021) **</t>
  </si>
  <si>
    <t>INE774D07RV3</t>
  </si>
  <si>
    <t>7.93% Power Grid Corporation of India Ltd (20/05/2021) **</t>
  </si>
  <si>
    <t>INE752E07KS8</t>
  </si>
  <si>
    <t>8.71% HDB Financial Services Ltd (17/05/2021) **</t>
  </si>
  <si>
    <t>INE756I07CQ1</t>
  </si>
  <si>
    <t>8.50% LIC Housing Finance Ltd (05/01/2021) **</t>
  </si>
  <si>
    <t>INE115A07IO9</t>
  </si>
  <si>
    <t>9.57% Indian Railway Finance Corporation Ltd (31/05/2021) **</t>
  </si>
  <si>
    <t>INE053F09HR2</t>
  </si>
  <si>
    <t>9.64% Power Grid Corporation of India Ltd (31/05/2021) **</t>
  </si>
  <si>
    <t>INE752E07IG7</t>
  </si>
  <si>
    <t>7.18% REC Ltd (21/05/2021) **</t>
  </si>
  <si>
    <t>INE020B08AO4</t>
  </si>
  <si>
    <t>7.94% GOI (24/05/2021)</t>
  </si>
  <si>
    <t>IN0020060318</t>
  </si>
  <si>
    <t>10.25% GOI (30/05/2021)</t>
  </si>
  <si>
    <t>IN0020010040</t>
  </si>
  <si>
    <t>8.62% GUJARAT SDL 07-SEP-21</t>
  </si>
  <si>
    <t>IN1520110066</t>
  </si>
  <si>
    <t>7.95% LIC Housing Finance Ltd (24/03/2022) **</t>
  </si>
  <si>
    <t>INE115A07LM7</t>
  </si>
  <si>
    <t>8.99% GUJARAT SDL 14-MAR-22</t>
  </si>
  <si>
    <t>IN1520110132</t>
  </si>
  <si>
    <t>**  Non Traded Security</t>
  </si>
  <si>
    <t>Product Labeling ( Risk-o-meter) in Canara Robeco Mutual Fund schemes</t>
  </si>
  <si>
    <t>Sr No.</t>
  </si>
  <si>
    <t>Fund Name</t>
  </si>
  <si>
    <r>
      <t xml:space="preserve">Product Labelling
</t>
    </r>
    <r>
      <rPr>
        <sz val="12"/>
        <color theme="1"/>
        <rFont val="Taz SemiLight"/>
        <family val="2"/>
      </rPr>
      <t>This product is suitable for investors who are seeking*:</t>
    </r>
  </si>
  <si>
    <t>Existing Risk-o-meter Level</t>
  </si>
  <si>
    <t>Revised Risk-o-meter Level</t>
  </si>
  <si>
    <t>• Capital appreciation over long term
• Investing predominantly in equities and equity related instruments of large cap companies</t>
  </si>
  <si>
    <t>• Capital appreciation over long term
• Investment in equity and equity related instruments across large cap, mid cap, small cap stocks</t>
  </si>
  <si>
    <t>• Capital appreciation over long term
• Investing predominantly in equities and equity related instruments of both large cap and mid cap companies</t>
  </si>
  <si>
    <t>• Capital appreciation over long term
• Investment in equity and equity related securities with a statutory lock in of 3 years and tax benefit</t>
  </si>
  <si>
    <t>• Capital appreciation over long term
• Investing predominantly in equities and equity
related instruments of small cap companies</t>
  </si>
  <si>
    <t>• Capital appreciation over long term
• Investing in equities and equity related instruments of companies following the Infrastructure Theme</t>
  </si>
  <si>
    <t>• Capital appreciation over long term
• Investing in equity and equity related securities of companies following the Consumption and Financial Theme</t>
  </si>
  <si>
    <t>•  Regular income over short  term that may be in line with the overnight call rates
•  Investment in Overnight Securities</t>
  </si>
  <si>
    <t>•  Income/ Capital appreciation while maintaining a level of high liquidity
• Investment in a mix of Debt and Money Market instruments with maturity of upto 91 days only</t>
  </si>
  <si>
    <t>• Income/ Capital appreciation over ultra-short term through a low risk strategy
• Investment in a mix of Debt and Money Market instruments such that the Macaulay duration of the portfolio is between 3 months and 6 months</t>
  </si>
  <si>
    <t xml:space="preserve">• Income / Capital appreciation through a low duration strategy
• Investment in debt &amp; money market instruments such that the Macaulay duration of the portfolio is between 6 months and 12 months </t>
  </si>
  <si>
    <t>• Income / capital appreciation over short term
•Investment in debt &amp; money market instruments such that the Macaulay duration of the portfolio is between 1 year and 3 years</t>
  </si>
  <si>
    <t>• Income / capital appreciation through a low credit risk strategy
• Investment in a portfolio constituted predominantly of AA+ and above rated corporate bonds</t>
  </si>
  <si>
    <t>• Income/ Capital appreciation by dynamically managing duration
• Investment in Debt and Money Market securities across duration</t>
  </si>
  <si>
    <t>• Income / Capital appreciation over Medium to Long term
• Investment in debt &amp; money market instruments such that the Macaulay duration of the portfolio is between 4 years and 7 years (Portfolio Macaulay duration under anticipated adverse situation is 1 year to 7 years)</t>
  </si>
  <si>
    <t>• Risk free return (except interest rate risk) and long term capital appreciation
•  Investment in government securities across maturity</t>
  </si>
  <si>
    <t xml:space="preserve">• Income / Capital appreciation over medium term to long term.
• Investment predominantly in debt and money market instruments and small portion in equity </t>
  </si>
  <si>
    <t>•  Income/capital appreciation over long term
•  Investment predominantly in equity and equity related instruments and a small portion in debt and money market instruments</t>
  </si>
  <si>
    <t>CANARA ROBECO CAPITAL PROTECTION ORIENTED FUND– SERIES 9</t>
  </si>
  <si>
    <t>• Capital protection at maturity and capital appreciation over medium term
• Investment in debt and money market securities (70%-100%) and equity and equity related instruments (0%-30%)</t>
  </si>
  <si>
    <t>CANARA ROBECO CAPITAL PROTECTION ORIENTED FUND– SERIES 10</t>
  </si>
  <si>
    <t>• Income/ Capital appreciation over long term
• Investment primarily in Debt and Money Market instruments for regular returns &amp; equity and equity-related instruments for capital appreciation</t>
  </si>
  <si>
    <t>• Generate income over the tenure of the scheme
• Generate income by investing in debt and money market instruments</t>
  </si>
  <si>
    <t>*Investors should consult their financial advisers if in doubt about whether the product is suitable for them.</t>
  </si>
  <si>
    <t>Note: The risk-o-meter level of respective schemes are revised based on the Notice-cum-Addendum No.43, dated 8th January 2021. However, there is no change in the product labelling of the schemes.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</si>
</sst>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b/>
      <sz val="9"/>
      <color indexed="7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Taz SemiLight"/>
      <family val="2"/>
    </font>
    <font>
      <sz val="10"/>
      <color theme="1"/>
      <name val="Taz SemiLight"/>
      <family val="2"/>
    </font>
    <font>
      <b/>
      <sz val="12"/>
      <color theme="1"/>
      <name val="Taz SemiLight"/>
      <family val="2"/>
    </font>
    <font>
      <sz val="12"/>
      <color theme="1"/>
      <name val="Taz SemiLight"/>
      <family val="2"/>
    </font>
    <font>
      <b/>
      <sz val="10"/>
      <color theme="1"/>
      <name val="Taz SemiLight"/>
      <family val="2"/>
    </font>
    <font>
      <u/>
      <sz val="11"/>
      <color theme="10"/>
      <name val="Calibri"/>
      <family val="2"/>
      <scheme val="minor"/>
    </font>
    <font>
      <sz val="10"/>
      <name val="Taz SemiLight"/>
      <family val="2"/>
    </font>
    <font>
      <sz val="10"/>
      <color rgb="FFFF0000"/>
      <name val="Taz SemiLight"/>
      <family val="2"/>
    </font>
    <font>
      <i/>
      <sz val="10"/>
      <color theme="1"/>
      <name val="Taz SemiLight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4" fillId="0" borderId="0" applyNumberFormat="0" applyFill="0" applyBorder="0" applyAlignment="0" applyProtection="0"/>
  </cellStyleXfs>
  <cellXfs count="77">
    <xf numFmtId="0" fontId="0" fillId="0" borderId="0" xfId="0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NumberFormat="1" applyFont="1" applyFill="1" applyAlignment="1">
      <alignment horizontal="left" vertical="top" wrapText="1"/>
    </xf>
    <xf numFmtId="4" fontId="5" fillId="2" borderId="0" xfId="0" applyNumberFormat="1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/>
    <xf numFmtId="4" fontId="6" fillId="2" borderId="0" xfId="0" applyNumberFormat="1" applyFont="1" applyFill="1"/>
    <xf numFmtId="0" fontId="7" fillId="2" borderId="0" xfId="0" applyFont="1" applyFill="1"/>
    <xf numFmtId="4" fontId="7" fillId="2" borderId="0" xfId="0" applyNumberFormat="1" applyFont="1" applyFill="1"/>
    <xf numFmtId="4" fontId="7" fillId="2" borderId="4" xfId="0" applyNumberFormat="1" applyFont="1" applyFill="1" applyBorder="1"/>
    <xf numFmtId="0" fontId="7" fillId="2" borderId="5" xfId="0" applyFont="1" applyFill="1" applyBorder="1"/>
    <xf numFmtId="0" fontId="6" fillId="2" borderId="6" xfId="0" applyFont="1" applyFill="1" applyBorder="1"/>
    <xf numFmtId="0" fontId="6" fillId="2" borderId="6" xfId="0" applyNumberFormat="1" applyFont="1" applyFill="1" applyBorder="1"/>
    <xf numFmtId="4" fontId="6" fillId="2" borderId="6" xfId="0" applyNumberFormat="1" applyFont="1" applyFill="1" applyBorder="1"/>
    <xf numFmtId="4" fontId="6" fillId="2" borderId="7" xfId="0" applyNumberFormat="1" applyFont="1" applyFill="1" applyBorder="1"/>
    <xf numFmtId="0" fontId="7" fillId="2" borderId="8" xfId="0" applyFont="1" applyFill="1" applyBorder="1"/>
    <xf numFmtId="0" fontId="6" fillId="2" borderId="9" xfId="0" applyFont="1" applyFill="1" applyBorder="1"/>
    <xf numFmtId="0" fontId="6" fillId="2" borderId="9" xfId="0" applyNumberFormat="1" applyFont="1" applyFill="1" applyBorder="1"/>
    <xf numFmtId="4" fontId="6" fillId="2" borderId="9" xfId="0" applyNumberFormat="1" applyFont="1" applyFill="1" applyBorder="1"/>
    <xf numFmtId="4" fontId="6" fillId="2" borderId="10" xfId="0" applyNumberFormat="1" applyFont="1" applyFill="1" applyBorder="1"/>
    <xf numFmtId="0" fontId="6" fillId="2" borderId="8" xfId="0" applyFont="1" applyFill="1" applyBorder="1"/>
    <xf numFmtId="3" fontId="6" fillId="2" borderId="9" xfId="0" applyNumberFormat="1" applyFont="1" applyFill="1" applyBorder="1"/>
    <xf numFmtId="0" fontId="7" fillId="2" borderId="11" xfId="0" applyFont="1" applyFill="1" applyBorder="1"/>
    <xf numFmtId="0" fontId="7" fillId="2" borderId="12" xfId="0" applyFont="1" applyFill="1" applyBorder="1"/>
    <xf numFmtId="0" fontId="7" fillId="2" borderId="12" xfId="0" applyNumberFormat="1" applyFont="1" applyFill="1" applyBorder="1"/>
    <xf numFmtId="4" fontId="7" fillId="2" borderId="13" xfId="0" applyNumberFormat="1" applyFont="1" applyFill="1" applyBorder="1"/>
    <xf numFmtId="4" fontId="7" fillId="2" borderId="14" xfId="0" applyNumberFormat="1" applyFont="1" applyFill="1" applyBorder="1"/>
    <xf numFmtId="0" fontId="7" fillId="2" borderId="15" xfId="0" applyFont="1" applyFill="1" applyBorder="1"/>
    <xf numFmtId="0" fontId="7" fillId="2" borderId="15" xfId="0" applyNumberFormat="1" applyFont="1" applyFill="1" applyBorder="1"/>
    <xf numFmtId="4" fontId="7" fillId="2" borderId="15" xfId="0" applyNumberFormat="1" applyFont="1" applyFill="1" applyBorder="1"/>
    <xf numFmtId="0" fontId="7" fillId="2" borderId="16" xfId="0" applyFont="1" applyFill="1" applyBorder="1"/>
    <xf numFmtId="0" fontId="7" fillId="2" borderId="16" xfId="0" applyNumberFormat="1" applyFont="1" applyFill="1" applyBorder="1"/>
    <xf numFmtId="4" fontId="7" fillId="2" borderId="16" xfId="0" applyNumberFormat="1" applyFont="1" applyFill="1" applyBorder="1"/>
    <xf numFmtId="0" fontId="7" fillId="2" borderId="17" xfId="0" applyFont="1" applyFill="1" applyBorder="1"/>
    <xf numFmtId="0" fontId="6" fillId="2" borderId="18" xfId="0" applyFont="1" applyFill="1" applyBorder="1"/>
    <xf numFmtId="0" fontId="6" fillId="2" borderId="18" xfId="0" applyNumberFormat="1" applyFont="1" applyFill="1" applyBorder="1"/>
    <xf numFmtId="4" fontId="6" fillId="2" borderId="18" xfId="0" applyNumberFormat="1" applyFont="1" applyFill="1" applyBorder="1"/>
    <xf numFmtId="0" fontId="7" fillId="2" borderId="4" xfId="0" applyFont="1" applyFill="1" applyBorder="1"/>
    <xf numFmtId="0" fontId="7" fillId="2" borderId="4" xfId="0" applyNumberFormat="1" applyFont="1" applyFill="1" applyBorder="1"/>
    <xf numFmtId="0" fontId="7" fillId="2" borderId="18" xfId="0" applyFont="1" applyFill="1" applyBorder="1"/>
    <xf numFmtId="0" fontId="7" fillId="2" borderId="9" xfId="0" applyFont="1" applyFill="1" applyBorder="1"/>
    <xf numFmtId="4" fontId="7" fillId="2" borderId="12" xfId="0" applyNumberFormat="1" applyFont="1" applyFill="1" applyBorder="1"/>
    <xf numFmtId="0" fontId="7" fillId="2" borderId="19" xfId="0" applyFont="1" applyFill="1" applyBorder="1"/>
    <xf numFmtId="0" fontId="7" fillId="2" borderId="19" xfId="0" applyNumberFormat="1" applyFont="1" applyFill="1" applyBorder="1"/>
    <xf numFmtId="4" fontId="7" fillId="2" borderId="19" xfId="0" applyNumberFormat="1" applyFont="1" applyFill="1" applyBorder="1"/>
    <xf numFmtId="0" fontId="6" fillId="2" borderId="20" xfId="0" applyFont="1" applyFill="1" applyBorder="1"/>
    <xf numFmtId="3" fontId="6" fillId="2" borderId="20" xfId="0" applyNumberFormat="1" applyFont="1" applyFill="1" applyBorder="1"/>
    <xf numFmtId="4" fontId="6" fillId="2" borderId="20" xfId="0" applyNumberFormat="1" applyFont="1" applyFill="1" applyBorder="1"/>
    <xf numFmtId="0" fontId="7" fillId="2" borderId="21" xfId="0" applyFont="1" applyFill="1" applyBorder="1"/>
    <xf numFmtId="0" fontId="7" fillId="2" borderId="21" xfId="0" applyNumberFormat="1" applyFont="1" applyFill="1" applyBorder="1"/>
    <xf numFmtId="4" fontId="7" fillId="2" borderId="21" xfId="0" applyNumberFormat="1" applyFont="1" applyFill="1" applyBorder="1"/>
    <xf numFmtId="0" fontId="7" fillId="2" borderId="6" xfId="0" applyFont="1" applyFill="1" applyBorder="1"/>
    <xf numFmtId="0" fontId="7" fillId="2" borderId="9" xfId="0" applyNumberFormat="1" applyFont="1" applyFill="1" applyBorder="1"/>
    <xf numFmtId="4" fontId="7" fillId="2" borderId="9" xfId="0" applyNumberFormat="1" applyFont="1" applyFill="1" applyBorder="1"/>
    <xf numFmtId="0" fontId="1" fillId="3" borderId="2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/>
    </xf>
    <xf numFmtId="0" fontId="10" fillId="0" borderId="0" xfId="0" applyFont="1"/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3" fillId="4" borderId="4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justify" vertical="center" wrapText="1"/>
    </xf>
    <xf numFmtId="0" fontId="15" fillId="4" borderId="4" xfId="2" applyFont="1" applyFill="1" applyBorder="1" applyAlignment="1">
      <alignment horizontal="center"/>
    </xf>
    <xf numFmtId="2" fontId="16" fillId="4" borderId="4" xfId="0" applyNumberFormat="1" applyFont="1" applyFill="1" applyBorder="1" applyAlignment="1">
      <alignment horizontal="center"/>
    </xf>
    <xf numFmtId="2" fontId="10" fillId="4" borderId="4" xfId="0" applyNumberFormat="1" applyFont="1" applyFill="1" applyBorder="1" applyAlignment="1">
      <alignment horizontal="center"/>
    </xf>
    <xf numFmtId="0" fontId="17" fillId="0" borderId="4" xfId="0" applyFont="1" applyBorder="1" applyAlignment="1">
      <alignment horizontal="left"/>
    </xf>
    <xf numFmtId="0" fontId="17" fillId="0" borderId="4" xfId="0" applyFont="1" applyBorder="1" applyAlignment="1">
      <alignment horizontal="left" wrapText="1"/>
    </xf>
    <xf numFmtId="0" fontId="10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wrapText="1"/>
    </xf>
  </cellXfs>
  <cellStyles count="3">
    <cellStyle name="Hyperlink" xfId="2" builtinId="8"/>
    <cellStyle name="Normal" xfId="0" builtinId="0"/>
    <cellStyle name="Normal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2</xdr:row>
      <xdr:rowOff>38100</xdr:rowOff>
    </xdr:from>
    <xdr:to>
      <xdr:col>3</xdr:col>
      <xdr:colOff>1867063</xdr:colOff>
      <xdr:row>2</xdr:row>
      <xdr:rowOff>1244127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CE3EB9-600B-4887-99C9-BA8296489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8375" y="876300"/>
          <a:ext cx="1819438" cy="1206027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</xdr:row>
      <xdr:rowOff>28031</xdr:rowOff>
    </xdr:from>
    <xdr:to>
      <xdr:col>3</xdr:col>
      <xdr:colOff>1887757</xdr:colOff>
      <xdr:row>3</xdr:row>
      <xdr:rowOff>1247774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983E70-813C-4377-9F88-7D8917A1F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8375" y="2123531"/>
          <a:ext cx="1840132" cy="1219743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4</xdr:row>
      <xdr:rowOff>19048</xdr:rowOff>
    </xdr:from>
    <xdr:to>
      <xdr:col>3</xdr:col>
      <xdr:colOff>1887100</xdr:colOff>
      <xdr:row>4</xdr:row>
      <xdr:rowOff>1314449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8604C6-FB5D-4382-80B5-DB4FEFAA5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3390898"/>
          <a:ext cx="1868050" cy="1295401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5</xdr:row>
      <xdr:rowOff>19048</xdr:rowOff>
    </xdr:from>
    <xdr:to>
      <xdr:col>3</xdr:col>
      <xdr:colOff>1896625</xdr:colOff>
      <xdr:row>5</xdr:row>
      <xdr:rowOff>1314449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0DF8CD-D93B-46F2-AA7D-66F79AE91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4714873"/>
          <a:ext cx="1868050" cy="129540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</xdr:row>
      <xdr:rowOff>19050</xdr:rowOff>
    </xdr:from>
    <xdr:to>
      <xdr:col>4</xdr:col>
      <xdr:colOff>1150</xdr:colOff>
      <xdr:row>7</xdr:row>
      <xdr:rowOff>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58F6A17-0CB0-4387-89B7-F43732C92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6029325"/>
          <a:ext cx="1868050" cy="129540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</xdr:row>
      <xdr:rowOff>28575</xdr:rowOff>
    </xdr:from>
    <xdr:to>
      <xdr:col>3</xdr:col>
      <xdr:colOff>1895475</xdr:colOff>
      <xdr:row>7</xdr:row>
      <xdr:rowOff>1247386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6D5187B-0CFD-48CD-8939-EB0DD5D5D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7353300"/>
          <a:ext cx="1876425" cy="1218811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8</xdr:row>
      <xdr:rowOff>19050</xdr:rowOff>
    </xdr:from>
    <xdr:to>
      <xdr:col>4</xdr:col>
      <xdr:colOff>0</xdr:colOff>
      <xdr:row>8</xdr:row>
      <xdr:rowOff>1237861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7980D86-A92F-44AE-851C-64C8D3962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8601075"/>
          <a:ext cx="1876425" cy="1218811"/>
        </a:xfrm>
        <a:prstGeom prst="rect">
          <a:avLst/>
        </a:prstGeom>
      </xdr:spPr>
    </xdr:pic>
    <xdr:clientData/>
  </xdr:twoCellAnchor>
  <xdr:twoCellAnchor editAs="oneCell">
    <xdr:from>
      <xdr:col>3</xdr:col>
      <xdr:colOff>28576</xdr:colOff>
      <xdr:row>9</xdr:row>
      <xdr:rowOff>19051</xdr:rowOff>
    </xdr:from>
    <xdr:to>
      <xdr:col>3</xdr:col>
      <xdr:colOff>1893052</xdr:colOff>
      <xdr:row>9</xdr:row>
      <xdr:rowOff>1219201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493B082-8455-4594-99C7-9612F3C06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6" y="9848851"/>
          <a:ext cx="1864476" cy="12001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10</xdr:row>
      <xdr:rowOff>19051</xdr:rowOff>
    </xdr:from>
    <xdr:to>
      <xdr:col>3</xdr:col>
      <xdr:colOff>1883527</xdr:colOff>
      <xdr:row>10</xdr:row>
      <xdr:rowOff>1219201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E250E3B-499C-45C8-8B4B-1C6EA2FC4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1" y="11096626"/>
          <a:ext cx="1864476" cy="12001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11</xdr:row>
      <xdr:rowOff>28576</xdr:rowOff>
    </xdr:from>
    <xdr:to>
      <xdr:col>3</xdr:col>
      <xdr:colOff>1883527</xdr:colOff>
      <xdr:row>11</xdr:row>
      <xdr:rowOff>1228726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BD053A5-D7B2-4942-AF0F-DE6A156B8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1" y="12344401"/>
          <a:ext cx="1864476" cy="12001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12</xdr:row>
      <xdr:rowOff>19050</xdr:rowOff>
    </xdr:from>
    <xdr:to>
      <xdr:col>3</xdr:col>
      <xdr:colOff>1895475</xdr:colOff>
      <xdr:row>12</xdr:row>
      <xdr:rowOff>1230041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8EDE95C-054B-4604-B7EE-1055E6E7B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3573125"/>
          <a:ext cx="1876425" cy="121099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13</xdr:row>
      <xdr:rowOff>19050</xdr:rowOff>
    </xdr:from>
    <xdr:to>
      <xdr:col>3</xdr:col>
      <xdr:colOff>1895475</xdr:colOff>
      <xdr:row>13</xdr:row>
      <xdr:rowOff>1230041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A131D66-179E-4BAC-A227-06077BE6A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4811375"/>
          <a:ext cx="1876425" cy="121099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14</xdr:row>
      <xdr:rowOff>19050</xdr:rowOff>
    </xdr:from>
    <xdr:to>
      <xdr:col>3</xdr:col>
      <xdr:colOff>1890305</xdr:colOff>
      <xdr:row>14</xdr:row>
      <xdr:rowOff>1219200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FAAB982-E2CA-4EC9-8771-34F1F5185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1" y="16059150"/>
          <a:ext cx="1871254" cy="120015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28576</xdr:colOff>
      <xdr:row>15</xdr:row>
      <xdr:rowOff>38100</xdr:rowOff>
    </xdr:from>
    <xdr:to>
      <xdr:col>3</xdr:col>
      <xdr:colOff>1899830</xdr:colOff>
      <xdr:row>15</xdr:row>
      <xdr:rowOff>1238250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FE89838-42BE-425F-8C71-82C123290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6" y="17316450"/>
          <a:ext cx="1871254" cy="12001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16</xdr:row>
      <xdr:rowOff>28575</xdr:rowOff>
    </xdr:from>
    <xdr:to>
      <xdr:col>3</xdr:col>
      <xdr:colOff>1890305</xdr:colOff>
      <xdr:row>16</xdr:row>
      <xdr:rowOff>1228725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7FE0158-0D3A-4B99-A0AA-C12A2E16B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1" y="18573750"/>
          <a:ext cx="1871254" cy="12001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17</xdr:row>
      <xdr:rowOff>19050</xdr:rowOff>
    </xdr:from>
    <xdr:to>
      <xdr:col>3</xdr:col>
      <xdr:colOff>1890305</xdr:colOff>
      <xdr:row>17</xdr:row>
      <xdr:rowOff>1219200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E0B3BBC-7CEE-41C8-A38D-8F9E7DB50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1" y="19812000"/>
          <a:ext cx="1871254" cy="120015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18</xdr:row>
      <xdr:rowOff>19050</xdr:rowOff>
    </xdr:from>
    <xdr:to>
      <xdr:col>3</xdr:col>
      <xdr:colOff>1896625</xdr:colOff>
      <xdr:row>18</xdr:row>
      <xdr:rowOff>1314451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0E8455C-D422-4D80-A9E0-AFCD56673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21050250"/>
          <a:ext cx="1868050" cy="1295401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19</xdr:row>
      <xdr:rowOff>38100</xdr:rowOff>
    </xdr:from>
    <xdr:to>
      <xdr:col>3</xdr:col>
      <xdr:colOff>1896625</xdr:colOff>
      <xdr:row>19</xdr:row>
      <xdr:rowOff>1333501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6EAFB50-877A-49FF-AA39-73F9F1B65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22412325"/>
          <a:ext cx="1868050" cy="129540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20</xdr:row>
      <xdr:rowOff>28575</xdr:rowOff>
    </xdr:from>
    <xdr:to>
      <xdr:col>3</xdr:col>
      <xdr:colOff>1895475</xdr:colOff>
      <xdr:row>20</xdr:row>
      <xdr:rowOff>1239566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11EE9D6-29E1-403B-BC0F-F7190F402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23745825"/>
          <a:ext cx="1876425" cy="121099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21</xdr:row>
      <xdr:rowOff>19050</xdr:rowOff>
    </xdr:from>
    <xdr:to>
      <xdr:col>3</xdr:col>
      <xdr:colOff>1895475</xdr:colOff>
      <xdr:row>21</xdr:row>
      <xdr:rowOff>1230041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DD23472-58EF-4B4C-8CE9-19DC5FF80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25003125"/>
          <a:ext cx="1876425" cy="121099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22</xdr:row>
      <xdr:rowOff>28575</xdr:rowOff>
    </xdr:from>
    <xdr:to>
      <xdr:col>3</xdr:col>
      <xdr:colOff>1895475</xdr:colOff>
      <xdr:row>22</xdr:row>
      <xdr:rowOff>1239566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9A0A8E9-9953-454E-9D53-12874C78D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26269950"/>
          <a:ext cx="1876425" cy="121099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23</xdr:row>
      <xdr:rowOff>28575</xdr:rowOff>
    </xdr:from>
    <xdr:to>
      <xdr:col>3</xdr:col>
      <xdr:colOff>1890304</xdr:colOff>
      <xdr:row>23</xdr:row>
      <xdr:rowOff>1228725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B134153-C94B-4640-BE62-971EC736B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27536775"/>
          <a:ext cx="1871254" cy="12001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2</xdr:row>
      <xdr:rowOff>19050</xdr:rowOff>
    </xdr:from>
    <xdr:to>
      <xdr:col>4</xdr:col>
      <xdr:colOff>1790701</xdr:colOff>
      <xdr:row>3</xdr:row>
      <xdr:rowOff>3487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CCFB478-06E3-49A6-96F3-171A5480B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1" y="857250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3</xdr:row>
      <xdr:rowOff>19050</xdr:rowOff>
    </xdr:from>
    <xdr:to>
      <xdr:col>4</xdr:col>
      <xdr:colOff>1790701</xdr:colOff>
      <xdr:row>3</xdr:row>
      <xdr:rowOff>1260787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349D267-CDBC-4EA7-BDF2-5DDD416F0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1" y="2114550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4</xdr:row>
      <xdr:rowOff>38100</xdr:rowOff>
    </xdr:from>
    <xdr:to>
      <xdr:col>4</xdr:col>
      <xdr:colOff>1800225</xdr:colOff>
      <xdr:row>4</xdr:row>
      <xdr:rowOff>1304925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9A6F56F-B752-4122-8452-7F307BAC5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340995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5</xdr:row>
      <xdr:rowOff>28575</xdr:rowOff>
    </xdr:from>
    <xdr:to>
      <xdr:col>4</xdr:col>
      <xdr:colOff>1790700</xdr:colOff>
      <xdr:row>5</xdr:row>
      <xdr:rowOff>1295400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136DBFF-C5EF-4570-BE12-CAC3FC14F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472440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6</xdr:row>
      <xdr:rowOff>28575</xdr:rowOff>
    </xdr:from>
    <xdr:to>
      <xdr:col>4</xdr:col>
      <xdr:colOff>1800225</xdr:colOff>
      <xdr:row>6</xdr:row>
      <xdr:rowOff>1295400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6B18D38-0FB8-421F-9317-9F6C18955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603885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7</xdr:row>
      <xdr:rowOff>19050</xdr:rowOff>
    </xdr:from>
    <xdr:to>
      <xdr:col>4</xdr:col>
      <xdr:colOff>1800225</xdr:colOff>
      <xdr:row>7</xdr:row>
      <xdr:rowOff>1238249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5E961AF-68EE-4D83-B7F5-77B33DEE5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7343775"/>
          <a:ext cx="1771650" cy="1219199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8</xdr:row>
      <xdr:rowOff>28575</xdr:rowOff>
    </xdr:from>
    <xdr:to>
      <xdr:col>4</xdr:col>
      <xdr:colOff>1790700</xdr:colOff>
      <xdr:row>8</xdr:row>
      <xdr:rowOff>1247774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023F30D-3464-433A-B6EF-B98E15CBD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8610600"/>
          <a:ext cx="1771650" cy="1219199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9</xdr:row>
      <xdr:rowOff>28574</xdr:rowOff>
    </xdr:from>
    <xdr:to>
      <xdr:col>5</xdr:col>
      <xdr:colOff>2019</xdr:colOff>
      <xdr:row>9</xdr:row>
      <xdr:rowOff>1219199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4854270-9C5B-4C2E-8CCD-9798BFB33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799" y="9858374"/>
          <a:ext cx="1792720" cy="119062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10</xdr:row>
      <xdr:rowOff>28574</xdr:rowOff>
    </xdr:from>
    <xdr:to>
      <xdr:col>5</xdr:col>
      <xdr:colOff>0</xdr:colOff>
      <xdr:row>10</xdr:row>
      <xdr:rowOff>1228725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084AB83-4244-4DE4-A20A-6DB638C2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1106149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11</xdr:row>
      <xdr:rowOff>19050</xdr:rowOff>
    </xdr:from>
    <xdr:to>
      <xdr:col>5</xdr:col>
      <xdr:colOff>0</xdr:colOff>
      <xdr:row>11</xdr:row>
      <xdr:rowOff>1219201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BC70AE55-F03C-45EC-8D47-F95D027FD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2334875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12</xdr:row>
      <xdr:rowOff>28575</xdr:rowOff>
    </xdr:from>
    <xdr:to>
      <xdr:col>4</xdr:col>
      <xdr:colOff>1800225</xdr:colOff>
      <xdr:row>12</xdr:row>
      <xdr:rowOff>1228726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6819020-0338-4EEA-92B2-BA5DFA94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5275" y="13582650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13</xdr:row>
      <xdr:rowOff>28575</xdr:rowOff>
    </xdr:from>
    <xdr:to>
      <xdr:col>5</xdr:col>
      <xdr:colOff>0</xdr:colOff>
      <xdr:row>13</xdr:row>
      <xdr:rowOff>1228726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77DE2D3-5B1E-4573-9A39-841BE6936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4820900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14</xdr:row>
      <xdr:rowOff>19049</xdr:rowOff>
    </xdr:from>
    <xdr:to>
      <xdr:col>4</xdr:col>
      <xdr:colOff>1790700</xdr:colOff>
      <xdr:row>14</xdr:row>
      <xdr:rowOff>1219200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79A4A49A-6DD9-4E54-B527-90DB07CF8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6059149"/>
          <a:ext cx="1771650" cy="1200151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15</xdr:row>
      <xdr:rowOff>28576</xdr:rowOff>
    </xdr:from>
    <xdr:to>
      <xdr:col>4</xdr:col>
      <xdr:colOff>1790700</xdr:colOff>
      <xdr:row>15</xdr:row>
      <xdr:rowOff>1238250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4280D61-9B8F-42C0-BF02-7D033C818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7306926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16</xdr:row>
      <xdr:rowOff>19050</xdr:rowOff>
    </xdr:from>
    <xdr:to>
      <xdr:col>4</xdr:col>
      <xdr:colOff>1790700</xdr:colOff>
      <xdr:row>16</xdr:row>
      <xdr:rowOff>1228724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37179BC-CF13-4E57-90D3-350225221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8564225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17</xdr:row>
      <xdr:rowOff>19050</xdr:rowOff>
    </xdr:from>
    <xdr:to>
      <xdr:col>4</xdr:col>
      <xdr:colOff>1790700</xdr:colOff>
      <xdr:row>17</xdr:row>
      <xdr:rowOff>1228724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6CB27B1A-9DE3-4A97-A054-49D98DC62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981200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18</xdr:row>
      <xdr:rowOff>19049</xdr:rowOff>
    </xdr:from>
    <xdr:to>
      <xdr:col>4</xdr:col>
      <xdr:colOff>1790700</xdr:colOff>
      <xdr:row>18</xdr:row>
      <xdr:rowOff>1323975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8A73348D-96F8-4C29-B0E6-671A6065A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21050249"/>
          <a:ext cx="1771650" cy="1304926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22</xdr:row>
      <xdr:rowOff>28574</xdr:rowOff>
    </xdr:from>
    <xdr:to>
      <xdr:col>4</xdr:col>
      <xdr:colOff>1790700</xdr:colOff>
      <xdr:row>22</xdr:row>
      <xdr:rowOff>1257300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B01475A-0BB2-477F-A86D-F37B297CE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26269949"/>
          <a:ext cx="1771650" cy="1228726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19</xdr:row>
      <xdr:rowOff>19049</xdr:rowOff>
    </xdr:from>
    <xdr:to>
      <xdr:col>4</xdr:col>
      <xdr:colOff>1785725</xdr:colOff>
      <xdr:row>20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55E06E5-9281-4D23-B1B3-E2D9FE37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799" y="22393274"/>
          <a:ext cx="1766676" cy="1323976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20</xdr:row>
      <xdr:rowOff>28575</xdr:rowOff>
    </xdr:from>
    <xdr:to>
      <xdr:col>4</xdr:col>
      <xdr:colOff>1800225</xdr:colOff>
      <xdr:row>20</xdr:row>
      <xdr:rowOff>1238249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75A28D33-ADD7-4DC8-8F92-B480DC348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23745825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21</xdr:row>
      <xdr:rowOff>38100</xdr:rowOff>
    </xdr:from>
    <xdr:to>
      <xdr:col>4</xdr:col>
      <xdr:colOff>1790700</xdr:colOff>
      <xdr:row>21</xdr:row>
      <xdr:rowOff>1247774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701E1CED-1925-4A98-9A3C-9E6D0952E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25022175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23</xdr:row>
      <xdr:rowOff>19049</xdr:rowOff>
    </xdr:from>
    <xdr:to>
      <xdr:col>4</xdr:col>
      <xdr:colOff>1790700</xdr:colOff>
      <xdr:row>23</xdr:row>
      <xdr:rowOff>1247775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E76FB4F-CC35-4D89-B2E6-07B08DE9B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799" y="27527249"/>
          <a:ext cx="1771651" cy="12287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zoomScaleNormal="100" workbookViewId="0">
      <selection activeCell="C3" sqref="C3"/>
    </sheetView>
  </sheetViews>
  <sheetFormatPr defaultRowHeight="12.75"/>
  <cols>
    <col min="1" max="1" width="7.7109375" style="75" customWidth="1"/>
    <col min="2" max="2" width="32.28515625" style="76" customWidth="1"/>
    <col min="3" max="3" width="50" style="64" customWidth="1"/>
    <col min="4" max="4" width="28.5703125" style="64" customWidth="1"/>
    <col min="5" max="5" width="27.140625" style="64" customWidth="1"/>
    <col min="6" max="16384" width="9.140625" style="64"/>
  </cols>
  <sheetData>
    <row r="1" spans="1:5" ht="20.25">
      <c r="A1" s="63" t="s">
        <v>813</v>
      </c>
      <c r="B1" s="63"/>
      <c r="C1" s="63"/>
      <c r="D1" s="63"/>
      <c r="E1" s="63"/>
    </row>
    <row r="2" spans="1:5" ht="45.75">
      <c r="A2" s="65" t="s">
        <v>814</v>
      </c>
      <c r="B2" s="65" t="s">
        <v>815</v>
      </c>
      <c r="C2" s="66" t="s">
        <v>816</v>
      </c>
      <c r="D2" s="65" t="s">
        <v>817</v>
      </c>
      <c r="E2" s="65" t="s">
        <v>818</v>
      </c>
    </row>
    <row r="3" spans="1:5" ht="99" customHeight="1">
      <c r="A3" s="67">
        <v>1</v>
      </c>
      <c r="B3" s="68" t="s">
        <v>13</v>
      </c>
      <c r="C3" s="68" t="s">
        <v>819</v>
      </c>
      <c r="D3" s="69"/>
      <c r="E3" s="70"/>
    </row>
    <row r="4" spans="1:5" ht="100.5" customHeight="1">
      <c r="A4" s="67">
        <v>2</v>
      </c>
      <c r="B4" s="68" t="s">
        <v>9</v>
      </c>
      <c r="C4" s="68" t="s">
        <v>820</v>
      </c>
      <c r="D4" s="69"/>
      <c r="E4" s="70"/>
    </row>
    <row r="5" spans="1:5" ht="104.25" customHeight="1">
      <c r="A5" s="67">
        <v>3</v>
      </c>
      <c r="B5" s="68" t="s">
        <v>11</v>
      </c>
      <c r="C5" s="68" t="s">
        <v>821</v>
      </c>
      <c r="D5" s="69"/>
      <c r="E5" s="70"/>
    </row>
    <row r="6" spans="1:5" ht="103.5" customHeight="1">
      <c r="A6" s="67">
        <v>4</v>
      </c>
      <c r="B6" s="68" t="s">
        <v>10</v>
      </c>
      <c r="C6" s="68" t="s">
        <v>822</v>
      </c>
      <c r="D6" s="69"/>
      <c r="E6" s="70"/>
    </row>
    <row r="7" spans="1:5" ht="103.5" customHeight="1">
      <c r="A7" s="67">
        <v>5</v>
      </c>
      <c r="B7" s="68" t="s">
        <v>14</v>
      </c>
      <c r="C7" s="68" t="s">
        <v>823</v>
      </c>
      <c r="D7" s="69"/>
      <c r="E7" s="70"/>
    </row>
    <row r="8" spans="1:5" ht="99" customHeight="1">
      <c r="A8" s="67">
        <v>6</v>
      </c>
      <c r="B8" s="68" t="s">
        <v>8</v>
      </c>
      <c r="C8" s="68" t="s">
        <v>824</v>
      </c>
      <c r="D8" s="69"/>
      <c r="E8" s="70"/>
    </row>
    <row r="9" spans="1:5" ht="98.25" customHeight="1">
      <c r="A9" s="67">
        <v>7</v>
      </c>
      <c r="B9" s="68" t="s">
        <v>12</v>
      </c>
      <c r="C9" s="68" t="s">
        <v>825</v>
      </c>
      <c r="D9" s="69"/>
      <c r="E9" s="70"/>
    </row>
    <row r="10" spans="1:5" ht="98.25" customHeight="1">
      <c r="A10" s="67">
        <v>8</v>
      </c>
      <c r="B10" s="68" t="s">
        <v>24</v>
      </c>
      <c r="C10" s="68" t="s">
        <v>826</v>
      </c>
      <c r="D10" s="69"/>
      <c r="E10" s="71"/>
    </row>
    <row r="11" spans="1:5" ht="97.5" customHeight="1">
      <c r="A11" s="67">
        <v>9</v>
      </c>
      <c r="B11" s="68" t="s">
        <v>22</v>
      </c>
      <c r="C11" s="68" t="s">
        <v>827</v>
      </c>
      <c r="D11" s="69"/>
      <c r="E11" s="70"/>
    </row>
    <row r="12" spans="1:5" ht="97.5" customHeight="1">
      <c r="A12" s="67">
        <v>10</v>
      </c>
      <c r="B12" s="68" t="s">
        <v>23</v>
      </c>
      <c r="C12" s="68" t="s">
        <v>828</v>
      </c>
      <c r="D12" s="69"/>
      <c r="E12" s="70"/>
    </row>
    <row r="13" spans="1:5" ht="97.5" customHeight="1">
      <c r="A13" s="67">
        <v>11</v>
      </c>
      <c r="B13" s="68" t="s">
        <v>19</v>
      </c>
      <c r="C13" s="68" t="s">
        <v>829</v>
      </c>
      <c r="D13" s="69"/>
      <c r="E13" s="70"/>
    </row>
    <row r="14" spans="1:5" ht="98.25" customHeight="1">
      <c r="A14" s="67">
        <v>12</v>
      </c>
      <c r="B14" s="68" t="s">
        <v>25</v>
      </c>
      <c r="C14" s="68" t="s">
        <v>830</v>
      </c>
      <c r="D14" s="69"/>
      <c r="E14" s="70"/>
    </row>
    <row r="15" spans="1:5" ht="97.5" customHeight="1">
      <c r="A15" s="67">
        <v>13</v>
      </c>
      <c r="B15" s="68" t="s">
        <v>26</v>
      </c>
      <c r="C15" s="68" t="s">
        <v>831</v>
      </c>
      <c r="D15" s="69"/>
      <c r="E15" s="71"/>
    </row>
    <row r="16" spans="1:5" ht="99.75" customHeight="1">
      <c r="A16" s="67">
        <v>14</v>
      </c>
      <c r="B16" s="68" t="s">
        <v>16</v>
      </c>
      <c r="C16" s="68" t="s">
        <v>832</v>
      </c>
      <c r="D16" s="69"/>
      <c r="E16" s="71"/>
    </row>
    <row r="17" spans="1:5" ht="98.25" customHeight="1">
      <c r="A17" s="67">
        <v>15</v>
      </c>
      <c r="B17" s="68" t="s">
        <v>18</v>
      </c>
      <c r="C17" s="68" t="s">
        <v>833</v>
      </c>
      <c r="D17" s="69"/>
      <c r="E17" s="71"/>
    </row>
    <row r="18" spans="1:5" ht="97.5" customHeight="1">
      <c r="A18" s="67">
        <v>16</v>
      </c>
      <c r="B18" s="68" t="s">
        <v>17</v>
      </c>
      <c r="C18" s="68" t="s">
        <v>834</v>
      </c>
      <c r="D18" s="69"/>
      <c r="E18" s="71"/>
    </row>
    <row r="19" spans="1:5" ht="105.75" customHeight="1">
      <c r="A19" s="67">
        <v>17</v>
      </c>
      <c r="B19" s="68" t="s">
        <v>20</v>
      </c>
      <c r="C19" s="68" t="s">
        <v>835</v>
      </c>
      <c r="D19" s="69"/>
      <c r="E19" s="71"/>
    </row>
    <row r="20" spans="1:5" ht="105.75" customHeight="1">
      <c r="A20" s="67">
        <v>18</v>
      </c>
      <c r="B20" s="68" t="s">
        <v>15</v>
      </c>
      <c r="C20" s="68" t="s">
        <v>836</v>
      </c>
      <c r="D20" s="69"/>
      <c r="E20" s="70"/>
    </row>
    <row r="21" spans="1:5" ht="99.75" customHeight="1">
      <c r="A21" s="67">
        <v>19</v>
      </c>
      <c r="B21" s="68" t="s">
        <v>837</v>
      </c>
      <c r="C21" s="68" t="s">
        <v>838</v>
      </c>
      <c r="D21" s="69"/>
      <c r="E21" s="70"/>
    </row>
    <row r="22" spans="1:5" ht="99" customHeight="1">
      <c r="A22" s="67">
        <v>20</v>
      </c>
      <c r="B22" s="68" t="s">
        <v>839</v>
      </c>
      <c r="C22" s="68" t="s">
        <v>838</v>
      </c>
      <c r="D22" s="69"/>
      <c r="E22" s="70"/>
    </row>
    <row r="23" spans="1:5" ht="99.75" customHeight="1">
      <c r="A23" s="67">
        <v>21</v>
      </c>
      <c r="B23" s="68" t="s">
        <v>28</v>
      </c>
      <c r="C23" s="68" t="s">
        <v>840</v>
      </c>
      <c r="D23" s="69"/>
      <c r="E23" s="70"/>
    </row>
    <row r="24" spans="1:5" ht="99.75" customHeight="1">
      <c r="A24" s="67">
        <v>22</v>
      </c>
      <c r="B24" s="68" t="s">
        <v>29</v>
      </c>
      <c r="C24" s="68" t="s">
        <v>841</v>
      </c>
      <c r="D24" s="69"/>
      <c r="E24" s="70"/>
    </row>
    <row r="25" spans="1:5" ht="16.5" customHeight="1">
      <c r="A25" s="72" t="s">
        <v>842</v>
      </c>
      <c r="B25" s="72"/>
      <c r="C25" s="72"/>
      <c r="D25" s="72"/>
      <c r="E25" s="72"/>
    </row>
    <row r="26" spans="1:5" ht="15" customHeight="1">
      <c r="A26" s="73" t="s">
        <v>843</v>
      </c>
      <c r="B26" s="73"/>
      <c r="C26" s="73"/>
      <c r="D26" s="73"/>
      <c r="E26" s="73"/>
    </row>
    <row r="28" spans="1:5">
      <c r="A28" s="74"/>
      <c r="B28" s="74"/>
      <c r="C28" s="74"/>
      <c r="D28" s="74"/>
      <c r="E28" s="74"/>
    </row>
    <row r="29" spans="1:5">
      <c r="A29" s="74"/>
      <c r="B29" s="74"/>
      <c r="C29" s="74"/>
      <c r="D29" s="74"/>
      <c r="E29" s="74"/>
    </row>
  </sheetData>
  <mergeCells count="5">
    <mergeCell ref="A1:E1"/>
    <mergeCell ref="A25:E25"/>
    <mergeCell ref="A26:E26"/>
    <mergeCell ref="A28:E28"/>
    <mergeCell ref="A29:E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2"/>
  <sheetViews>
    <sheetView workbookViewId="0">
      <selection activeCell="B6" sqref="B6"/>
    </sheetView>
  </sheetViews>
  <sheetFormatPr defaultRowHeight="12"/>
  <cols>
    <col min="1" max="1" width="9.140625" style="1"/>
    <col min="2" max="2" width="60.85546875" style="1" bestFit="1" customWidth="1"/>
    <col min="3" max="3" width="13.28515625" style="1" bestFit="1" customWidth="1"/>
    <col min="4" max="4" width="20.28515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61" t="s">
        <v>8</v>
      </c>
      <c r="C1" s="62"/>
      <c r="D1" s="62"/>
      <c r="E1" s="62"/>
      <c r="F1" s="62"/>
      <c r="G1" s="62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31</v>
      </c>
      <c r="C5" s="18"/>
      <c r="D5" s="18"/>
      <c r="E5" s="19"/>
      <c r="F5" s="20"/>
      <c r="G5" s="20"/>
    </row>
    <row r="6" spans="2:7">
      <c r="B6" s="22" t="s">
        <v>32</v>
      </c>
      <c r="C6" s="23"/>
      <c r="D6" s="23"/>
      <c r="E6" s="24"/>
      <c r="F6" s="25"/>
      <c r="G6" s="25"/>
    </row>
    <row r="7" spans="2:7">
      <c r="B7" s="27" t="s">
        <v>33</v>
      </c>
      <c r="C7" s="23" t="s">
        <v>34</v>
      </c>
      <c r="D7" s="23" t="s">
        <v>35</v>
      </c>
      <c r="E7" s="28">
        <v>75800</v>
      </c>
      <c r="F7" s="25">
        <v>976</v>
      </c>
      <c r="G7" s="25">
        <v>9.61</v>
      </c>
    </row>
    <row r="8" spans="2:7">
      <c r="B8" s="27" t="s">
        <v>36</v>
      </c>
      <c r="C8" s="23" t="s">
        <v>37</v>
      </c>
      <c r="D8" s="23" t="s">
        <v>38</v>
      </c>
      <c r="E8" s="28">
        <v>110500</v>
      </c>
      <c r="F8" s="25">
        <v>591.23</v>
      </c>
      <c r="G8" s="25">
        <v>5.82</v>
      </c>
    </row>
    <row r="9" spans="2:7">
      <c r="B9" s="27" t="s">
        <v>39</v>
      </c>
      <c r="C9" s="23" t="s">
        <v>40</v>
      </c>
      <c r="D9" s="23" t="s">
        <v>41</v>
      </c>
      <c r="E9" s="28">
        <v>461000</v>
      </c>
      <c r="F9" s="25">
        <v>552.97</v>
      </c>
      <c r="G9" s="25">
        <v>5.44</v>
      </c>
    </row>
    <row r="10" spans="2:7">
      <c r="B10" s="27" t="s">
        <v>42</v>
      </c>
      <c r="C10" s="23" t="s">
        <v>43</v>
      </c>
      <c r="D10" s="23" t="s">
        <v>41</v>
      </c>
      <c r="E10" s="28">
        <v>1320</v>
      </c>
      <c r="F10" s="25">
        <v>489.79</v>
      </c>
      <c r="G10" s="25">
        <v>4.82</v>
      </c>
    </row>
    <row r="11" spans="2:7">
      <c r="B11" s="27" t="s">
        <v>44</v>
      </c>
      <c r="C11" s="23" t="s">
        <v>45</v>
      </c>
      <c r="D11" s="23" t="s">
        <v>46</v>
      </c>
      <c r="E11" s="28">
        <v>145937</v>
      </c>
      <c r="F11" s="25">
        <v>473.42</v>
      </c>
      <c r="G11" s="25">
        <v>4.66</v>
      </c>
    </row>
    <row r="12" spans="2:7">
      <c r="B12" s="27" t="s">
        <v>47</v>
      </c>
      <c r="C12" s="23" t="s">
        <v>48</v>
      </c>
      <c r="D12" s="23" t="s">
        <v>49</v>
      </c>
      <c r="E12" s="28">
        <v>44243</v>
      </c>
      <c r="F12" s="25">
        <v>409.67</v>
      </c>
      <c r="G12" s="25">
        <v>4.03</v>
      </c>
    </row>
    <row r="13" spans="2:7">
      <c r="B13" s="27" t="s">
        <v>50</v>
      </c>
      <c r="C13" s="23" t="s">
        <v>51</v>
      </c>
      <c r="D13" s="23" t="s">
        <v>41</v>
      </c>
      <c r="E13" s="28">
        <v>24000</v>
      </c>
      <c r="F13" s="25">
        <v>378.13</v>
      </c>
      <c r="G13" s="25">
        <v>3.72</v>
      </c>
    </row>
    <row r="14" spans="2:7">
      <c r="B14" s="27" t="s">
        <v>52</v>
      </c>
      <c r="C14" s="23" t="s">
        <v>53</v>
      </c>
      <c r="D14" s="23" t="s">
        <v>38</v>
      </c>
      <c r="E14" s="28">
        <v>137000</v>
      </c>
      <c r="F14" s="25">
        <v>376.68</v>
      </c>
      <c r="G14" s="25">
        <v>3.71</v>
      </c>
    </row>
    <row r="15" spans="2:7">
      <c r="B15" s="27" t="s">
        <v>54</v>
      </c>
      <c r="C15" s="23" t="s">
        <v>55</v>
      </c>
      <c r="D15" s="23" t="s">
        <v>56</v>
      </c>
      <c r="E15" s="28">
        <v>43000</v>
      </c>
      <c r="F15" s="25">
        <v>355.03</v>
      </c>
      <c r="G15" s="25">
        <v>3.5</v>
      </c>
    </row>
    <row r="16" spans="2:7">
      <c r="B16" s="27" t="s">
        <v>57</v>
      </c>
      <c r="C16" s="23" t="s">
        <v>58</v>
      </c>
      <c r="D16" s="23" t="s">
        <v>46</v>
      </c>
      <c r="E16" s="28">
        <v>75000</v>
      </c>
      <c r="F16" s="25">
        <v>310.99</v>
      </c>
      <c r="G16" s="25">
        <v>3.06</v>
      </c>
    </row>
    <row r="17" spans="2:7">
      <c r="B17" s="27" t="s">
        <v>59</v>
      </c>
      <c r="C17" s="23" t="s">
        <v>60</v>
      </c>
      <c r="D17" s="23" t="s">
        <v>61</v>
      </c>
      <c r="E17" s="28">
        <v>82342</v>
      </c>
      <c r="F17" s="25">
        <v>309.94</v>
      </c>
      <c r="G17" s="25">
        <v>3.05</v>
      </c>
    </row>
    <row r="18" spans="2:7">
      <c r="B18" s="27" t="s">
        <v>62</v>
      </c>
      <c r="C18" s="23" t="s">
        <v>63</v>
      </c>
      <c r="D18" s="23" t="s">
        <v>64</v>
      </c>
      <c r="E18" s="28">
        <v>35500</v>
      </c>
      <c r="F18" s="25">
        <v>282.72000000000003</v>
      </c>
      <c r="G18" s="25">
        <v>2.78</v>
      </c>
    </row>
    <row r="19" spans="2:7">
      <c r="B19" s="27" t="s">
        <v>65</v>
      </c>
      <c r="C19" s="23" t="s">
        <v>66</v>
      </c>
      <c r="D19" s="23" t="s">
        <v>67</v>
      </c>
      <c r="E19" s="28">
        <v>20500</v>
      </c>
      <c r="F19" s="25">
        <v>272.58</v>
      </c>
      <c r="G19" s="25">
        <v>2.68</v>
      </c>
    </row>
    <row r="20" spans="2:7">
      <c r="B20" s="27" t="s">
        <v>68</v>
      </c>
      <c r="C20" s="23" t="s">
        <v>69</v>
      </c>
      <c r="D20" s="23" t="s">
        <v>56</v>
      </c>
      <c r="E20" s="28">
        <v>11000</v>
      </c>
      <c r="F20" s="25">
        <v>258.81</v>
      </c>
      <c r="G20" s="25">
        <v>2.5499999999999998</v>
      </c>
    </row>
    <row r="21" spans="2:7">
      <c r="B21" s="27" t="s">
        <v>70</v>
      </c>
      <c r="C21" s="23" t="s">
        <v>71</v>
      </c>
      <c r="D21" s="23" t="s">
        <v>67</v>
      </c>
      <c r="E21" s="28">
        <v>13070</v>
      </c>
      <c r="F21" s="25">
        <v>258.05</v>
      </c>
      <c r="G21" s="25">
        <v>2.54</v>
      </c>
    </row>
    <row r="22" spans="2:7">
      <c r="B22" s="27" t="s">
        <v>72</v>
      </c>
      <c r="C22" s="23" t="s">
        <v>73</v>
      </c>
      <c r="D22" s="23" t="s">
        <v>41</v>
      </c>
      <c r="E22" s="28">
        <v>20500</v>
      </c>
      <c r="F22" s="25">
        <v>248.47</v>
      </c>
      <c r="G22" s="25">
        <v>2.4500000000000002</v>
      </c>
    </row>
    <row r="23" spans="2:7">
      <c r="B23" s="27" t="s">
        <v>74</v>
      </c>
      <c r="C23" s="23" t="s">
        <v>75</v>
      </c>
      <c r="D23" s="23" t="s">
        <v>56</v>
      </c>
      <c r="E23" s="28">
        <v>65000</v>
      </c>
      <c r="F23" s="25">
        <v>247.36</v>
      </c>
      <c r="G23" s="25">
        <v>2.44</v>
      </c>
    </row>
    <row r="24" spans="2:7">
      <c r="B24" s="27" t="s">
        <v>76</v>
      </c>
      <c r="C24" s="23" t="s">
        <v>77</v>
      </c>
      <c r="D24" s="23" t="s">
        <v>61</v>
      </c>
      <c r="E24" s="28">
        <v>200000</v>
      </c>
      <c r="F24" s="25">
        <v>246.5</v>
      </c>
      <c r="G24" s="25">
        <v>2.4300000000000002</v>
      </c>
    </row>
    <row r="25" spans="2:7">
      <c r="B25" s="27" t="s">
        <v>78</v>
      </c>
      <c r="C25" s="23" t="s">
        <v>79</v>
      </c>
      <c r="D25" s="23" t="s">
        <v>46</v>
      </c>
      <c r="E25" s="28">
        <v>85772</v>
      </c>
      <c r="F25" s="25">
        <v>227.77</v>
      </c>
      <c r="G25" s="25">
        <v>2.2400000000000002</v>
      </c>
    </row>
    <row r="26" spans="2:7">
      <c r="B26" s="27" t="s">
        <v>80</v>
      </c>
      <c r="C26" s="23" t="s">
        <v>81</v>
      </c>
      <c r="D26" s="23" t="s">
        <v>64</v>
      </c>
      <c r="E26" s="28">
        <v>85000</v>
      </c>
      <c r="F26" s="25">
        <v>211.52</v>
      </c>
      <c r="G26" s="25">
        <v>2.08</v>
      </c>
    </row>
    <row r="27" spans="2:7">
      <c r="B27" s="27" t="s">
        <v>82</v>
      </c>
      <c r="C27" s="23" t="s">
        <v>83</v>
      </c>
      <c r="D27" s="23" t="s">
        <v>56</v>
      </c>
      <c r="E27" s="28">
        <v>1550</v>
      </c>
      <c r="F27" s="25">
        <v>208.45</v>
      </c>
      <c r="G27" s="25">
        <v>2.0499999999999998</v>
      </c>
    </row>
    <row r="28" spans="2:7">
      <c r="B28" s="27" t="s">
        <v>84</v>
      </c>
      <c r="C28" s="23" t="s">
        <v>85</v>
      </c>
      <c r="D28" s="23" t="s">
        <v>64</v>
      </c>
      <c r="E28" s="28">
        <v>3750</v>
      </c>
      <c r="F28" s="25">
        <v>198.31</v>
      </c>
      <c r="G28" s="25">
        <v>1.95</v>
      </c>
    </row>
    <row r="29" spans="2:7">
      <c r="B29" s="27" t="s">
        <v>86</v>
      </c>
      <c r="C29" s="23" t="s">
        <v>87</v>
      </c>
      <c r="D29" s="23" t="s">
        <v>88</v>
      </c>
      <c r="E29" s="28">
        <v>90000</v>
      </c>
      <c r="F29" s="25">
        <v>196.11</v>
      </c>
      <c r="G29" s="25">
        <v>1.93</v>
      </c>
    </row>
    <row r="30" spans="2:7">
      <c r="B30" s="27" t="s">
        <v>89</v>
      </c>
      <c r="C30" s="23" t="s">
        <v>90</v>
      </c>
      <c r="D30" s="23" t="s">
        <v>61</v>
      </c>
      <c r="E30" s="28">
        <v>75693</v>
      </c>
      <c r="F30" s="25">
        <v>187.42</v>
      </c>
      <c r="G30" s="25">
        <v>1.85</v>
      </c>
    </row>
    <row r="31" spans="2:7">
      <c r="B31" s="27" t="s">
        <v>91</v>
      </c>
      <c r="C31" s="23" t="s">
        <v>92</v>
      </c>
      <c r="D31" s="23" t="s">
        <v>67</v>
      </c>
      <c r="E31" s="28">
        <v>4000</v>
      </c>
      <c r="F31" s="25">
        <v>181.45</v>
      </c>
      <c r="G31" s="25">
        <v>1.79</v>
      </c>
    </row>
    <row r="32" spans="2:7">
      <c r="B32" s="27" t="s">
        <v>93</v>
      </c>
      <c r="C32" s="23" t="s">
        <v>94</v>
      </c>
      <c r="D32" s="23" t="s">
        <v>46</v>
      </c>
      <c r="E32" s="28">
        <v>100000</v>
      </c>
      <c r="F32" s="25">
        <v>176.7</v>
      </c>
      <c r="G32" s="25">
        <v>1.74</v>
      </c>
    </row>
    <row r="33" spans="2:9">
      <c r="B33" s="27" t="s">
        <v>95</v>
      </c>
      <c r="C33" s="23" t="s">
        <v>96</v>
      </c>
      <c r="D33" s="23" t="s">
        <v>97</v>
      </c>
      <c r="E33" s="28">
        <v>65000</v>
      </c>
      <c r="F33" s="25">
        <v>156.36000000000001</v>
      </c>
      <c r="G33" s="25">
        <v>1.54</v>
      </c>
    </row>
    <row r="34" spans="2:9">
      <c r="B34" s="27" t="s">
        <v>98</v>
      </c>
      <c r="C34" s="23" t="s">
        <v>99</v>
      </c>
      <c r="D34" s="23" t="s">
        <v>41</v>
      </c>
      <c r="E34" s="28">
        <v>17201</v>
      </c>
      <c r="F34" s="25">
        <v>156.18</v>
      </c>
      <c r="G34" s="25">
        <v>1.54</v>
      </c>
    </row>
    <row r="35" spans="2:9">
      <c r="B35" s="27" t="s">
        <v>100</v>
      </c>
      <c r="C35" s="23" t="s">
        <v>101</v>
      </c>
      <c r="D35" s="23" t="s">
        <v>61</v>
      </c>
      <c r="E35" s="28">
        <v>29000</v>
      </c>
      <c r="F35" s="25">
        <v>145.68</v>
      </c>
      <c r="G35" s="25">
        <v>1.43</v>
      </c>
    </row>
    <row r="36" spans="2:9">
      <c r="B36" s="27" t="s">
        <v>102</v>
      </c>
      <c r="C36" s="23" t="s">
        <v>103</v>
      </c>
      <c r="D36" s="23" t="s">
        <v>64</v>
      </c>
      <c r="E36" s="28">
        <v>600</v>
      </c>
      <c r="F36" s="25">
        <v>144.08000000000001</v>
      </c>
      <c r="G36" s="25">
        <v>1.42</v>
      </c>
    </row>
    <row r="37" spans="2:9">
      <c r="B37" s="27" t="s">
        <v>104</v>
      </c>
      <c r="C37" s="23" t="s">
        <v>105</v>
      </c>
      <c r="D37" s="23" t="s">
        <v>106</v>
      </c>
      <c r="E37" s="28">
        <v>74558</v>
      </c>
      <c r="F37" s="25">
        <v>141.55000000000001</v>
      </c>
      <c r="G37" s="25">
        <v>1.39</v>
      </c>
    </row>
    <row r="38" spans="2:9">
      <c r="B38" s="27" t="s">
        <v>107</v>
      </c>
      <c r="C38" s="23" t="s">
        <v>108</v>
      </c>
      <c r="D38" s="23" t="s">
        <v>109</v>
      </c>
      <c r="E38" s="28">
        <v>27040</v>
      </c>
      <c r="F38" s="25">
        <v>137.82</v>
      </c>
      <c r="G38" s="25">
        <v>1.36</v>
      </c>
    </row>
    <row r="39" spans="2:9">
      <c r="B39" s="27" t="s">
        <v>110</v>
      </c>
      <c r="C39" s="23" t="s">
        <v>111</v>
      </c>
      <c r="D39" s="23" t="s">
        <v>106</v>
      </c>
      <c r="E39" s="28">
        <v>127600</v>
      </c>
      <c r="F39" s="25">
        <v>126.77</v>
      </c>
      <c r="G39" s="25">
        <v>1.25</v>
      </c>
    </row>
    <row r="40" spans="2:9">
      <c r="B40" s="27" t="s">
        <v>112</v>
      </c>
      <c r="C40" s="23" t="s">
        <v>113</v>
      </c>
      <c r="D40" s="23" t="s">
        <v>56</v>
      </c>
      <c r="E40" s="28">
        <v>15000</v>
      </c>
      <c r="F40" s="25">
        <v>120.17</v>
      </c>
      <c r="G40" s="25">
        <v>1.18</v>
      </c>
    </row>
    <row r="41" spans="2:9">
      <c r="B41" s="27" t="s">
        <v>114</v>
      </c>
      <c r="C41" s="23" t="s">
        <v>115</v>
      </c>
      <c r="D41" s="23" t="s">
        <v>67</v>
      </c>
      <c r="E41" s="28">
        <v>8500</v>
      </c>
      <c r="F41" s="25">
        <v>60.98</v>
      </c>
      <c r="G41" s="25">
        <v>0.6</v>
      </c>
    </row>
    <row r="42" spans="2:9">
      <c r="B42" s="27" t="s">
        <v>116</v>
      </c>
      <c r="C42" s="23" t="s">
        <v>117</v>
      </c>
      <c r="D42" s="23" t="s">
        <v>67</v>
      </c>
      <c r="E42" s="28">
        <v>9000</v>
      </c>
      <c r="F42" s="25">
        <v>47.28</v>
      </c>
      <c r="G42" s="25">
        <v>0.47</v>
      </c>
    </row>
    <row r="43" spans="2:9">
      <c r="B43" s="29" t="s">
        <v>118</v>
      </c>
      <c r="C43" s="30"/>
      <c r="D43" s="30"/>
      <c r="E43" s="31"/>
      <c r="F43" s="32">
        <f>SUM(F7:F42)</f>
        <v>9862.9400000000023</v>
      </c>
      <c r="G43" s="32">
        <f>SUM(G7:G42)</f>
        <v>97.100000000000023</v>
      </c>
      <c r="H43" s="14"/>
      <c r="I43" s="14"/>
    </row>
    <row r="44" spans="2:9">
      <c r="B44" s="37" t="s">
        <v>119</v>
      </c>
      <c r="C44" s="37"/>
      <c r="D44" s="37"/>
      <c r="E44" s="38"/>
      <c r="F44" s="39">
        <f>F43</f>
        <v>9862.9400000000023</v>
      </c>
      <c r="G44" s="39">
        <f>G43</f>
        <v>97.100000000000023</v>
      </c>
      <c r="H44" s="14"/>
      <c r="I44" s="14"/>
    </row>
    <row r="45" spans="2:9">
      <c r="B45" s="40" t="s">
        <v>120</v>
      </c>
      <c r="C45" s="41"/>
      <c r="D45" s="41"/>
      <c r="E45" s="42"/>
      <c r="F45" s="43"/>
      <c r="G45" s="43"/>
    </row>
    <row r="46" spans="2:9">
      <c r="B46" s="27" t="s">
        <v>120</v>
      </c>
      <c r="C46" s="23"/>
      <c r="D46" s="23"/>
      <c r="E46" s="24"/>
      <c r="F46" s="25">
        <v>325.2</v>
      </c>
      <c r="G46" s="25">
        <v>3.2</v>
      </c>
    </row>
    <row r="47" spans="2:9">
      <c r="B47" s="29" t="s">
        <v>118</v>
      </c>
      <c r="C47" s="30"/>
      <c r="D47" s="30"/>
      <c r="E47" s="31"/>
      <c r="F47" s="32">
        <f>SUM(F45:F46)</f>
        <v>325.2</v>
      </c>
      <c r="G47" s="32">
        <f>SUM(G45:G46)</f>
        <v>3.2</v>
      </c>
      <c r="H47" s="14"/>
      <c r="I47" s="14"/>
    </row>
    <row r="48" spans="2:9">
      <c r="B48" s="34" t="s">
        <v>119</v>
      </c>
      <c r="C48" s="34"/>
      <c r="D48" s="34"/>
      <c r="E48" s="35"/>
      <c r="F48" s="36">
        <f>F47</f>
        <v>325.2</v>
      </c>
      <c r="G48" s="36">
        <f>G47</f>
        <v>3.2</v>
      </c>
      <c r="H48" s="14"/>
      <c r="I48" s="14"/>
    </row>
    <row r="49" spans="2:9">
      <c r="B49" s="44" t="s">
        <v>122</v>
      </c>
      <c r="C49" s="44"/>
      <c r="D49" s="44"/>
      <c r="E49" s="45"/>
      <c r="F49" s="16">
        <f>F50-(+F44+F48)</f>
        <v>-31.370000000002619</v>
      </c>
      <c r="G49" s="16">
        <f>G50-(+G44+G48)</f>
        <v>-0.30000000000002558</v>
      </c>
      <c r="H49" s="14"/>
      <c r="I49" s="14"/>
    </row>
    <row r="50" spans="2:9">
      <c r="B50" s="44" t="s">
        <v>121</v>
      </c>
      <c r="C50" s="44"/>
      <c r="D50" s="44"/>
      <c r="E50" s="45"/>
      <c r="F50" s="16">
        <v>10156.77</v>
      </c>
      <c r="G50" s="16">
        <v>100</v>
      </c>
      <c r="H50" s="14"/>
      <c r="I50" s="14"/>
    </row>
    <row r="52" spans="2:9">
      <c r="B52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4"/>
  <sheetViews>
    <sheetView workbookViewId="0">
      <selection activeCell="H1" sqref="H1"/>
    </sheetView>
  </sheetViews>
  <sheetFormatPr defaultRowHeight="12"/>
  <cols>
    <col min="1" max="1" width="9.140625" style="1"/>
    <col min="2" max="2" width="60.8554687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61" t="s">
        <v>9</v>
      </c>
      <c r="C1" s="62"/>
      <c r="D1" s="62"/>
      <c r="E1" s="62"/>
      <c r="F1" s="62"/>
      <c r="G1" s="62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31</v>
      </c>
      <c r="C5" s="18"/>
      <c r="D5" s="18"/>
      <c r="E5" s="19"/>
      <c r="F5" s="20"/>
      <c r="G5" s="20"/>
    </row>
    <row r="6" spans="2:7">
      <c r="B6" s="22" t="s">
        <v>32</v>
      </c>
      <c r="C6" s="23"/>
      <c r="D6" s="23"/>
      <c r="E6" s="24"/>
      <c r="F6" s="25"/>
      <c r="G6" s="25"/>
    </row>
    <row r="7" spans="2:7">
      <c r="B7" s="27" t="s">
        <v>123</v>
      </c>
      <c r="C7" s="23" t="s">
        <v>124</v>
      </c>
      <c r="D7" s="23" t="s">
        <v>38</v>
      </c>
      <c r="E7" s="28">
        <v>1552340</v>
      </c>
      <c r="F7" s="25">
        <v>22296.26</v>
      </c>
      <c r="G7" s="25">
        <v>7.3</v>
      </c>
    </row>
    <row r="8" spans="2:7">
      <c r="B8" s="27" t="s">
        <v>36</v>
      </c>
      <c r="C8" s="23" t="s">
        <v>37</v>
      </c>
      <c r="D8" s="23" t="s">
        <v>38</v>
      </c>
      <c r="E8" s="28">
        <v>4065550</v>
      </c>
      <c r="F8" s="25">
        <v>21752.73</v>
      </c>
      <c r="G8" s="25">
        <v>7.12</v>
      </c>
    </row>
    <row r="9" spans="2:7">
      <c r="B9" s="27" t="s">
        <v>125</v>
      </c>
      <c r="C9" s="23" t="s">
        <v>126</v>
      </c>
      <c r="D9" s="23" t="s">
        <v>127</v>
      </c>
      <c r="E9" s="28">
        <v>1707188</v>
      </c>
      <c r="F9" s="25">
        <v>21438.87</v>
      </c>
      <c r="G9" s="25">
        <v>7.02</v>
      </c>
    </row>
    <row r="10" spans="2:7">
      <c r="B10" s="27" t="s">
        <v>128</v>
      </c>
      <c r="C10" s="23" t="s">
        <v>129</v>
      </c>
      <c r="D10" s="23" t="s">
        <v>88</v>
      </c>
      <c r="E10" s="28">
        <v>827400</v>
      </c>
      <c r="F10" s="25">
        <v>16426.37</v>
      </c>
      <c r="G10" s="25">
        <v>5.38</v>
      </c>
    </row>
    <row r="11" spans="2:7">
      <c r="B11" s="27" t="s">
        <v>130</v>
      </c>
      <c r="C11" s="23" t="s">
        <v>131</v>
      </c>
      <c r="D11" s="23" t="s">
        <v>127</v>
      </c>
      <c r="E11" s="28">
        <v>380100</v>
      </c>
      <c r="F11" s="25">
        <v>10881.31</v>
      </c>
      <c r="G11" s="25">
        <v>3.56</v>
      </c>
    </row>
    <row r="12" spans="2:7">
      <c r="B12" s="27" t="s">
        <v>132</v>
      </c>
      <c r="C12" s="23" t="s">
        <v>133</v>
      </c>
      <c r="D12" s="23" t="s">
        <v>134</v>
      </c>
      <c r="E12" s="28">
        <v>415900</v>
      </c>
      <c r="F12" s="25">
        <v>10641.43</v>
      </c>
      <c r="G12" s="25">
        <v>3.48</v>
      </c>
    </row>
    <row r="13" spans="2:7">
      <c r="B13" s="27" t="s">
        <v>135</v>
      </c>
      <c r="C13" s="23" t="s">
        <v>136</v>
      </c>
      <c r="D13" s="23" t="s">
        <v>134</v>
      </c>
      <c r="E13" s="28">
        <v>187035</v>
      </c>
      <c r="F13" s="25">
        <v>9903.8799999999992</v>
      </c>
      <c r="G13" s="25">
        <v>3.24</v>
      </c>
    </row>
    <row r="14" spans="2:7">
      <c r="B14" s="27" t="s">
        <v>137</v>
      </c>
      <c r="C14" s="23" t="s">
        <v>138</v>
      </c>
      <c r="D14" s="23" t="s">
        <v>38</v>
      </c>
      <c r="E14" s="28">
        <v>1528600</v>
      </c>
      <c r="F14" s="25">
        <v>9484.2000000000007</v>
      </c>
      <c r="G14" s="25">
        <v>3.1</v>
      </c>
    </row>
    <row r="15" spans="2:7">
      <c r="B15" s="27" t="s">
        <v>139</v>
      </c>
      <c r="C15" s="23" t="s">
        <v>140</v>
      </c>
      <c r="D15" s="23" t="s">
        <v>141</v>
      </c>
      <c r="E15" s="28">
        <v>355400</v>
      </c>
      <c r="F15" s="25">
        <v>8513.25</v>
      </c>
      <c r="G15" s="25">
        <v>2.79</v>
      </c>
    </row>
    <row r="16" spans="2:7">
      <c r="B16" s="27" t="s">
        <v>142</v>
      </c>
      <c r="C16" s="23" t="s">
        <v>143</v>
      </c>
      <c r="D16" s="23" t="s">
        <v>127</v>
      </c>
      <c r="E16" s="28">
        <v>750000</v>
      </c>
      <c r="F16" s="25">
        <v>7096.13</v>
      </c>
      <c r="G16" s="25">
        <v>2.3199999999999998</v>
      </c>
    </row>
    <row r="17" spans="2:7">
      <c r="B17" s="27" t="s">
        <v>144</v>
      </c>
      <c r="C17" s="23" t="s">
        <v>145</v>
      </c>
      <c r="D17" s="23" t="s">
        <v>38</v>
      </c>
      <c r="E17" s="28">
        <v>351651</v>
      </c>
      <c r="F17" s="25">
        <v>7017.55</v>
      </c>
      <c r="G17" s="25">
        <v>2.2999999999999998</v>
      </c>
    </row>
    <row r="18" spans="2:7">
      <c r="B18" s="27" t="s">
        <v>107</v>
      </c>
      <c r="C18" s="23" t="s">
        <v>108</v>
      </c>
      <c r="D18" s="23" t="s">
        <v>109</v>
      </c>
      <c r="E18" s="28">
        <v>1147334</v>
      </c>
      <c r="F18" s="25">
        <v>5847.96</v>
      </c>
      <c r="G18" s="25">
        <v>1.91</v>
      </c>
    </row>
    <row r="19" spans="2:7">
      <c r="B19" s="27" t="s">
        <v>54</v>
      </c>
      <c r="C19" s="23" t="s">
        <v>55</v>
      </c>
      <c r="D19" s="23" t="s">
        <v>56</v>
      </c>
      <c r="E19" s="28">
        <v>690429</v>
      </c>
      <c r="F19" s="25">
        <v>5700.53</v>
      </c>
      <c r="G19" s="25">
        <v>1.87</v>
      </c>
    </row>
    <row r="20" spans="2:7">
      <c r="B20" s="27" t="s">
        <v>146</v>
      </c>
      <c r="C20" s="23" t="s">
        <v>147</v>
      </c>
      <c r="D20" s="23" t="s">
        <v>148</v>
      </c>
      <c r="E20" s="28">
        <v>147032</v>
      </c>
      <c r="F20" s="25">
        <v>5648.82</v>
      </c>
      <c r="G20" s="25">
        <v>1.85</v>
      </c>
    </row>
    <row r="21" spans="2:7">
      <c r="B21" s="27" t="s">
        <v>52</v>
      </c>
      <c r="C21" s="23" t="s">
        <v>53</v>
      </c>
      <c r="D21" s="23" t="s">
        <v>38</v>
      </c>
      <c r="E21" s="28">
        <v>2000000</v>
      </c>
      <c r="F21" s="25">
        <v>5499</v>
      </c>
      <c r="G21" s="25">
        <v>1.8</v>
      </c>
    </row>
    <row r="22" spans="2:7">
      <c r="B22" s="27" t="s">
        <v>149</v>
      </c>
      <c r="C22" s="23" t="s">
        <v>150</v>
      </c>
      <c r="D22" s="23" t="s">
        <v>151</v>
      </c>
      <c r="E22" s="28">
        <v>71626</v>
      </c>
      <c r="F22" s="25">
        <v>5479.1</v>
      </c>
      <c r="G22" s="25">
        <v>1.79</v>
      </c>
    </row>
    <row r="23" spans="2:7">
      <c r="B23" s="27" t="s">
        <v>33</v>
      </c>
      <c r="C23" s="23" t="s">
        <v>34</v>
      </c>
      <c r="D23" s="23" t="s">
        <v>35</v>
      </c>
      <c r="E23" s="28">
        <v>397954</v>
      </c>
      <c r="F23" s="25">
        <v>5124.0600000000004</v>
      </c>
      <c r="G23" s="25">
        <v>1.68</v>
      </c>
    </row>
    <row r="24" spans="2:7">
      <c r="B24" s="27" t="s">
        <v>152</v>
      </c>
      <c r="C24" s="23" t="s">
        <v>153</v>
      </c>
      <c r="D24" s="23" t="s">
        <v>151</v>
      </c>
      <c r="E24" s="28">
        <v>695000</v>
      </c>
      <c r="F24" s="25">
        <v>5008.17</v>
      </c>
      <c r="G24" s="25">
        <v>1.64</v>
      </c>
    </row>
    <row r="25" spans="2:7">
      <c r="B25" s="27" t="s">
        <v>84</v>
      </c>
      <c r="C25" s="23" t="s">
        <v>85</v>
      </c>
      <c r="D25" s="23" t="s">
        <v>64</v>
      </c>
      <c r="E25" s="28">
        <v>86971</v>
      </c>
      <c r="F25" s="25">
        <v>4599.16</v>
      </c>
      <c r="G25" s="25">
        <v>1.51</v>
      </c>
    </row>
    <row r="26" spans="2:7">
      <c r="B26" s="27" t="s">
        <v>154</v>
      </c>
      <c r="C26" s="23" t="s">
        <v>155</v>
      </c>
      <c r="D26" s="23" t="s">
        <v>141</v>
      </c>
      <c r="E26" s="28">
        <v>111490</v>
      </c>
      <c r="F26" s="25">
        <v>3987.27</v>
      </c>
      <c r="G26" s="25">
        <v>1.3</v>
      </c>
    </row>
    <row r="27" spans="2:7">
      <c r="B27" s="27" t="s">
        <v>156</v>
      </c>
      <c r="C27" s="23" t="s">
        <v>157</v>
      </c>
      <c r="D27" s="23" t="s">
        <v>158</v>
      </c>
      <c r="E27" s="28">
        <v>174975</v>
      </c>
      <c r="F27" s="25">
        <v>3840.79</v>
      </c>
      <c r="G27" s="25">
        <v>1.26</v>
      </c>
    </row>
    <row r="28" spans="2:7">
      <c r="B28" s="27" t="s">
        <v>42</v>
      </c>
      <c r="C28" s="23" t="s">
        <v>43</v>
      </c>
      <c r="D28" s="23" t="s">
        <v>41</v>
      </c>
      <c r="E28" s="28">
        <v>9910</v>
      </c>
      <c r="F28" s="25">
        <v>3677.12</v>
      </c>
      <c r="G28" s="25">
        <v>1.2</v>
      </c>
    </row>
    <row r="29" spans="2:7">
      <c r="B29" s="27" t="s">
        <v>159</v>
      </c>
      <c r="C29" s="23" t="s">
        <v>160</v>
      </c>
      <c r="D29" s="23" t="s">
        <v>56</v>
      </c>
      <c r="E29" s="28">
        <v>233800</v>
      </c>
      <c r="F29" s="25">
        <v>3664</v>
      </c>
      <c r="G29" s="25">
        <v>1.2</v>
      </c>
    </row>
    <row r="30" spans="2:7">
      <c r="B30" s="27" t="s">
        <v>95</v>
      </c>
      <c r="C30" s="23" t="s">
        <v>96</v>
      </c>
      <c r="D30" s="23" t="s">
        <v>97</v>
      </c>
      <c r="E30" s="28">
        <v>1500000</v>
      </c>
      <c r="F30" s="25">
        <v>3608.25</v>
      </c>
      <c r="G30" s="25">
        <v>1.18</v>
      </c>
    </row>
    <row r="31" spans="2:7">
      <c r="B31" s="27" t="s">
        <v>161</v>
      </c>
      <c r="C31" s="23" t="s">
        <v>162</v>
      </c>
      <c r="D31" s="23" t="s">
        <v>148</v>
      </c>
      <c r="E31" s="28">
        <v>440000</v>
      </c>
      <c r="F31" s="25">
        <v>3607.78</v>
      </c>
      <c r="G31" s="25">
        <v>1.18</v>
      </c>
    </row>
    <row r="32" spans="2:7">
      <c r="B32" s="27" t="s">
        <v>100</v>
      </c>
      <c r="C32" s="23" t="s">
        <v>101</v>
      </c>
      <c r="D32" s="23" t="s">
        <v>61</v>
      </c>
      <c r="E32" s="28">
        <v>688000</v>
      </c>
      <c r="F32" s="25">
        <v>3456.17</v>
      </c>
      <c r="G32" s="25">
        <v>1.1299999999999999</v>
      </c>
    </row>
    <row r="33" spans="2:7">
      <c r="B33" s="27" t="s">
        <v>163</v>
      </c>
      <c r="C33" s="23" t="s">
        <v>164</v>
      </c>
      <c r="D33" s="23" t="s">
        <v>134</v>
      </c>
      <c r="E33" s="28">
        <v>193250</v>
      </c>
      <c r="F33" s="25">
        <v>3344.58</v>
      </c>
      <c r="G33" s="25">
        <v>1.0900000000000001</v>
      </c>
    </row>
    <row r="34" spans="2:7">
      <c r="B34" s="27" t="s">
        <v>165</v>
      </c>
      <c r="C34" s="23" t="s">
        <v>166</v>
      </c>
      <c r="D34" s="23" t="s">
        <v>148</v>
      </c>
      <c r="E34" s="28">
        <v>150659</v>
      </c>
      <c r="F34" s="25">
        <v>3297.62</v>
      </c>
      <c r="G34" s="25">
        <v>1.08</v>
      </c>
    </row>
    <row r="35" spans="2:7">
      <c r="B35" s="27" t="s">
        <v>167</v>
      </c>
      <c r="C35" s="23" t="s">
        <v>168</v>
      </c>
      <c r="D35" s="23" t="s">
        <v>169</v>
      </c>
      <c r="E35" s="28">
        <v>49752</v>
      </c>
      <c r="F35" s="25">
        <v>3199.1</v>
      </c>
      <c r="G35" s="25">
        <v>1.05</v>
      </c>
    </row>
    <row r="36" spans="2:7">
      <c r="B36" s="27" t="s">
        <v>170</v>
      </c>
      <c r="C36" s="23" t="s">
        <v>171</v>
      </c>
      <c r="D36" s="23" t="s">
        <v>67</v>
      </c>
      <c r="E36" s="28">
        <v>305000</v>
      </c>
      <c r="F36" s="25">
        <v>3162.39</v>
      </c>
      <c r="G36" s="25">
        <v>1.03</v>
      </c>
    </row>
    <row r="37" spans="2:7">
      <c r="B37" s="27" t="s">
        <v>47</v>
      </c>
      <c r="C37" s="23" t="s">
        <v>48</v>
      </c>
      <c r="D37" s="23" t="s">
        <v>49</v>
      </c>
      <c r="E37" s="28">
        <v>340979</v>
      </c>
      <c r="F37" s="25">
        <v>3157.3</v>
      </c>
      <c r="G37" s="25">
        <v>1.03</v>
      </c>
    </row>
    <row r="38" spans="2:7">
      <c r="B38" s="27" t="s">
        <v>172</v>
      </c>
      <c r="C38" s="23" t="s">
        <v>173</v>
      </c>
      <c r="D38" s="23" t="s">
        <v>151</v>
      </c>
      <c r="E38" s="28">
        <v>101500</v>
      </c>
      <c r="F38" s="25">
        <v>3156.65</v>
      </c>
      <c r="G38" s="25">
        <v>1.03</v>
      </c>
    </row>
    <row r="39" spans="2:7">
      <c r="B39" s="27" t="s">
        <v>174</v>
      </c>
      <c r="C39" s="23" t="s">
        <v>175</v>
      </c>
      <c r="D39" s="23" t="s">
        <v>148</v>
      </c>
      <c r="E39" s="28">
        <v>19860</v>
      </c>
      <c r="F39" s="25">
        <v>3131.74</v>
      </c>
      <c r="G39" s="25">
        <v>1.02</v>
      </c>
    </row>
    <row r="40" spans="2:7">
      <c r="B40" s="27" t="s">
        <v>176</v>
      </c>
      <c r="C40" s="23" t="s">
        <v>177</v>
      </c>
      <c r="D40" s="23" t="s">
        <v>178</v>
      </c>
      <c r="E40" s="28">
        <v>187500</v>
      </c>
      <c r="F40" s="25">
        <v>3086.81</v>
      </c>
      <c r="G40" s="25">
        <v>1.01</v>
      </c>
    </row>
    <row r="41" spans="2:7">
      <c r="B41" s="27" t="s">
        <v>179</v>
      </c>
      <c r="C41" s="23" t="s">
        <v>180</v>
      </c>
      <c r="D41" s="23" t="s">
        <v>148</v>
      </c>
      <c r="E41" s="28">
        <v>105104</v>
      </c>
      <c r="F41" s="25">
        <v>3075.55</v>
      </c>
      <c r="G41" s="25">
        <v>1.01</v>
      </c>
    </row>
    <row r="42" spans="2:7">
      <c r="B42" s="27" t="s">
        <v>59</v>
      </c>
      <c r="C42" s="23" t="s">
        <v>60</v>
      </c>
      <c r="D42" s="23" t="s">
        <v>61</v>
      </c>
      <c r="E42" s="28">
        <v>814056</v>
      </c>
      <c r="F42" s="25">
        <v>3064.11</v>
      </c>
      <c r="G42" s="25">
        <v>1</v>
      </c>
    </row>
    <row r="43" spans="2:7">
      <c r="B43" s="27" t="s">
        <v>181</v>
      </c>
      <c r="C43" s="23" t="s">
        <v>182</v>
      </c>
      <c r="D43" s="23" t="s">
        <v>56</v>
      </c>
      <c r="E43" s="28">
        <v>116282</v>
      </c>
      <c r="F43" s="25">
        <v>3057.05</v>
      </c>
      <c r="G43" s="25">
        <v>1</v>
      </c>
    </row>
    <row r="44" spans="2:7">
      <c r="B44" s="27" t="s">
        <v>183</v>
      </c>
      <c r="C44" s="23" t="s">
        <v>184</v>
      </c>
      <c r="D44" s="23" t="s">
        <v>56</v>
      </c>
      <c r="E44" s="28">
        <v>185000</v>
      </c>
      <c r="F44" s="25">
        <v>2922.35</v>
      </c>
      <c r="G44" s="25">
        <v>0.96</v>
      </c>
    </row>
    <row r="45" spans="2:7">
      <c r="B45" s="27" t="s">
        <v>185</v>
      </c>
      <c r="C45" s="23" t="s">
        <v>186</v>
      </c>
      <c r="D45" s="23" t="s">
        <v>169</v>
      </c>
      <c r="E45" s="28">
        <v>111780</v>
      </c>
      <c r="F45" s="25">
        <v>2919.92</v>
      </c>
      <c r="G45" s="25">
        <v>0.96</v>
      </c>
    </row>
    <row r="46" spans="2:7">
      <c r="B46" s="27" t="s">
        <v>187</v>
      </c>
      <c r="C46" s="23" t="s">
        <v>188</v>
      </c>
      <c r="D46" s="23" t="s">
        <v>134</v>
      </c>
      <c r="E46" s="28">
        <v>430000</v>
      </c>
      <c r="F46" s="25">
        <v>2902.72</v>
      </c>
      <c r="G46" s="25">
        <v>0.95</v>
      </c>
    </row>
    <row r="47" spans="2:7">
      <c r="B47" s="27" t="s">
        <v>189</v>
      </c>
      <c r="C47" s="23" t="s">
        <v>190</v>
      </c>
      <c r="D47" s="23" t="s">
        <v>141</v>
      </c>
      <c r="E47" s="28">
        <v>104500</v>
      </c>
      <c r="F47" s="25">
        <v>2888.9</v>
      </c>
      <c r="G47" s="25">
        <v>0.95</v>
      </c>
    </row>
    <row r="48" spans="2:7">
      <c r="B48" s="27" t="s">
        <v>116</v>
      </c>
      <c r="C48" s="23" t="s">
        <v>117</v>
      </c>
      <c r="D48" s="23" t="s">
        <v>67</v>
      </c>
      <c r="E48" s="28">
        <v>536750</v>
      </c>
      <c r="F48" s="25">
        <v>2819.55</v>
      </c>
      <c r="G48" s="25">
        <v>0.92</v>
      </c>
    </row>
    <row r="49" spans="2:7">
      <c r="B49" s="27" t="s">
        <v>191</v>
      </c>
      <c r="C49" s="23" t="s">
        <v>192</v>
      </c>
      <c r="D49" s="23" t="s">
        <v>148</v>
      </c>
      <c r="E49" s="28">
        <v>465000</v>
      </c>
      <c r="F49" s="25">
        <v>2754.43</v>
      </c>
      <c r="G49" s="25">
        <v>0.9</v>
      </c>
    </row>
    <row r="50" spans="2:7">
      <c r="B50" s="27" t="s">
        <v>193</v>
      </c>
      <c r="C50" s="23" t="s">
        <v>194</v>
      </c>
      <c r="D50" s="23" t="s">
        <v>169</v>
      </c>
      <c r="E50" s="28">
        <v>225000</v>
      </c>
      <c r="F50" s="25">
        <v>2718.45</v>
      </c>
      <c r="G50" s="25">
        <v>0.89</v>
      </c>
    </row>
    <row r="51" spans="2:7">
      <c r="B51" s="27" t="s">
        <v>195</v>
      </c>
      <c r="C51" s="23" t="s">
        <v>196</v>
      </c>
      <c r="D51" s="23" t="s">
        <v>197</v>
      </c>
      <c r="E51" s="28">
        <v>115394</v>
      </c>
      <c r="F51" s="25">
        <v>2660.12</v>
      </c>
      <c r="G51" s="25">
        <v>0.87</v>
      </c>
    </row>
    <row r="52" spans="2:7">
      <c r="B52" s="27" t="s">
        <v>102</v>
      </c>
      <c r="C52" s="23" t="s">
        <v>103</v>
      </c>
      <c r="D52" s="23" t="s">
        <v>64</v>
      </c>
      <c r="E52" s="28">
        <v>10842</v>
      </c>
      <c r="F52" s="25">
        <v>2603.5100000000002</v>
      </c>
      <c r="G52" s="25">
        <v>0.85</v>
      </c>
    </row>
    <row r="53" spans="2:7">
      <c r="B53" s="27" t="s">
        <v>198</v>
      </c>
      <c r="C53" s="23" t="s">
        <v>199</v>
      </c>
      <c r="D53" s="23" t="s">
        <v>178</v>
      </c>
      <c r="E53" s="28">
        <v>644982</v>
      </c>
      <c r="F53" s="25">
        <v>2575.7399999999998</v>
      </c>
      <c r="G53" s="25">
        <v>0.84</v>
      </c>
    </row>
    <row r="54" spans="2:7">
      <c r="B54" s="27" t="s">
        <v>200</v>
      </c>
      <c r="C54" s="23" t="s">
        <v>201</v>
      </c>
      <c r="D54" s="23" t="s">
        <v>134</v>
      </c>
      <c r="E54" s="28">
        <v>450940</v>
      </c>
      <c r="F54" s="25">
        <v>2506.3200000000002</v>
      </c>
      <c r="G54" s="25">
        <v>0.82</v>
      </c>
    </row>
    <row r="55" spans="2:7">
      <c r="B55" s="27" t="s">
        <v>202</v>
      </c>
      <c r="C55" s="23" t="s">
        <v>203</v>
      </c>
      <c r="D55" s="23" t="s">
        <v>134</v>
      </c>
      <c r="E55" s="28">
        <v>481940</v>
      </c>
      <c r="F55" s="25">
        <v>2406.81</v>
      </c>
      <c r="G55" s="25">
        <v>0.79</v>
      </c>
    </row>
    <row r="56" spans="2:7">
      <c r="B56" s="27" t="s">
        <v>204</v>
      </c>
      <c r="C56" s="23" t="s">
        <v>205</v>
      </c>
      <c r="D56" s="23" t="s">
        <v>134</v>
      </c>
      <c r="E56" s="28">
        <v>345000</v>
      </c>
      <c r="F56" s="25">
        <v>2333.9299999999998</v>
      </c>
      <c r="G56" s="25">
        <v>0.76</v>
      </c>
    </row>
    <row r="57" spans="2:7">
      <c r="B57" s="27" t="s">
        <v>206</v>
      </c>
      <c r="C57" s="23" t="s">
        <v>207</v>
      </c>
      <c r="D57" s="23" t="s">
        <v>67</v>
      </c>
      <c r="E57" s="28">
        <v>870000</v>
      </c>
      <c r="F57" s="25">
        <v>2192.84</v>
      </c>
      <c r="G57" s="25">
        <v>0.72</v>
      </c>
    </row>
    <row r="58" spans="2:7">
      <c r="B58" s="27" t="s">
        <v>70</v>
      </c>
      <c r="C58" s="23" t="s">
        <v>71</v>
      </c>
      <c r="D58" s="23" t="s">
        <v>67</v>
      </c>
      <c r="E58" s="28">
        <v>102400</v>
      </c>
      <c r="F58" s="25">
        <v>2021.73</v>
      </c>
      <c r="G58" s="25">
        <v>0.66</v>
      </c>
    </row>
    <row r="59" spans="2:7">
      <c r="B59" s="27" t="s">
        <v>208</v>
      </c>
      <c r="C59" s="23" t="s">
        <v>209</v>
      </c>
      <c r="D59" s="23" t="s">
        <v>134</v>
      </c>
      <c r="E59" s="28">
        <v>223000</v>
      </c>
      <c r="F59" s="25">
        <v>1897.84</v>
      </c>
      <c r="G59" s="25">
        <v>0.62</v>
      </c>
    </row>
    <row r="60" spans="2:7">
      <c r="B60" s="27" t="s">
        <v>210</v>
      </c>
      <c r="C60" s="23" t="s">
        <v>211</v>
      </c>
      <c r="D60" s="23" t="s">
        <v>141</v>
      </c>
      <c r="E60" s="28">
        <v>8000</v>
      </c>
      <c r="F60" s="25">
        <v>1471.22</v>
      </c>
      <c r="G60" s="25">
        <v>0.48</v>
      </c>
    </row>
    <row r="61" spans="2:7">
      <c r="B61" s="27" t="s">
        <v>212</v>
      </c>
      <c r="C61" s="23" t="s">
        <v>213</v>
      </c>
      <c r="D61" s="23" t="s">
        <v>214</v>
      </c>
      <c r="E61" s="28">
        <v>40000</v>
      </c>
      <c r="F61" s="25">
        <v>1105.44</v>
      </c>
      <c r="G61" s="25">
        <v>0.36</v>
      </c>
    </row>
    <row r="62" spans="2:7">
      <c r="B62" s="27" t="s">
        <v>215</v>
      </c>
      <c r="C62" s="23" t="s">
        <v>216</v>
      </c>
      <c r="D62" s="23" t="s">
        <v>134</v>
      </c>
      <c r="E62" s="28">
        <v>64455</v>
      </c>
      <c r="F62" s="25">
        <v>980.26</v>
      </c>
      <c r="G62" s="25">
        <v>0.32</v>
      </c>
    </row>
    <row r="63" spans="2:7">
      <c r="B63" s="27" t="s">
        <v>217</v>
      </c>
      <c r="C63" s="23" t="s">
        <v>218</v>
      </c>
      <c r="D63" s="23" t="s">
        <v>141</v>
      </c>
      <c r="E63" s="28">
        <v>30200</v>
      </c>
      <c r="F63" s="25">
        <v>842.93</v>
      </c>
      <c r="G63" s="25">
        <v>0.28000000000000003</v>
      </c>
    </row>
    <row r="64" spans="2:7">
      <c r="B64" s="27" t="s">
        <v>219</v>
      </c>
      <c r="C64" s="23" t="s">
        <v>220</v>
      </c>
      <c r="D64" s="23" t="s">
        <v>134</v>
      </c>
      <c r="E64" s="28">
        <v>100000</v>
      </c>
      <c r="F64" s="25">
        <v>387.65</v>
      </c>
      <c r="G64" s="25">
        <v>0.13</v>
      </c>
    </row>
    <row r="65" spans="2:9">
      <c r="B65" s="29" t="s">
        <v>118</v>
      </c>
      <c r="C65" s="30"/>
      <c r="D65" s="30"/>
      <c r="E65" s="31"/>
      <c r="F65" s="32">
        <f>SUM(F7:F64)</f>
        <v>294845.71999999997</v>
      </c>
      <c r="G65" s="32">
        <f>SUM(G7:G64)</f>
        <v>96.490000000000009</v>
      </c>
      <c r="H65" s="14"/>
      <c r="I65" s="14"/>
    </row>
    <row r="66" spans="2:9">
      <c r="B66" s="37" t="s">
        <v>119</v>
      </c>
      <c r="C66" s="37"/>
      <c r="D66" s="37"/>
      <c r="E66" s="38"/>
      <c r="F66" s="39">
        <f>F65</f>
        <v>294845.71999999997</v>
      </c>
      <c r="G66" s="39">
        <f>G65</f>
        <v>96.490000000000009</v>
      </c>
      <c r="H66" s="14"/>
      <c r="I66" s="14"/>
    </row>
    <row r="67" spans="2:9">
      <c r="B67" s="40" t="s">
        <v>120</v>
      </c>
      <c r="C67" s="41"/>
      <c r="D67" s="41"/>
      <c r="E67" s="42"/>
      <c r="F67" s="43"/>
      <c r="G67" s="43"/>
    </row>
    <row r="68" spans="2:9">
      <c r="B68" s="27" t="s">
        <v>120</v>
      </c>
      <c r="C68" s="23"/>
      <c r="D68" s="23"/>
      <c r="E68" s="24"/>
      <c r="F68" s="25">
        <v>11576.65</v>
      </c>
      <c r="G68" s="25">
        <v>3.79</v>
      </c>
    </row>
    <row r="69" spans="2:9">
      <c r="B69" s="29" t="s">
        <v>118</v>
      </c>
      <c r="C69" s="30"/>
      <c r="D69" s="30"/>
      <c r="E69" s="31"/>
      <c r="F69" s="32">
        <f>SUM(F67:F68)</f>
        <v>11576.65</v>
      </c>
      <c r="G69" s="32">
        <f>SUM(G67:G68)</f>
        <v>3.79</v>
      </c>
      <c r="H69" s="14"/>
      <c r="I69" s="14"/>
    </row>
    <row r="70" spans="2:9">
      <c r="B70" s="34" t="s">
        <v>119</v>
      </c>
      <c r="C70" s="34"/>
      <c r="D70" s="34"/>
      <c r="E70" s="35"/>
      <c r="F70" s="36">
        <f>F69</f>
        <v>11576.65</v>
      </c>
      <c r="G70" s="36">
        <f>G69</f>
        <v>3.79</v>
      </c>
      <c r="H70" s="14"/>
      <c r="I70" s="14"/>
    </row>
    <row r="71" spans="2:9">
      <c r="B71" s="44" t="s">
        <v>122</v>
      </c>
      <c r="C71" s="44"/>
      <c r="D71" s="44"/>
      <c r="E71" s="45"/>
      <c r="F71" s="16">
        <f>F72-(+F66+F70)</f>
        <v>-862.22999999998137</v>
      </c>
      <c r="G71" s="16">
        <f>G72-(+G66+G70)</f>
        <v>-0.28000000000001535</v>
      </c>
      <c r="H71" s="14"/>
      <c r="I71" s="14"/>
    </row>
    <row r="72" spans="2:9">
      <c r="B72" s="44" t="s">
        <v>121</v>
      </c>
      <c r="C72" s="44"/>
      <c r="D72" s="44"/>
      <c r="E72" s="45"/>
      <c r="F72" s="16">
        <v>305560.14</v>
      </c>
      <c r="G72" s="16">
        <v>100</v>
      </c>
      <c r="H72" s="14"/>
      <c r="I72" s="14"/>
    </row>
    <row r="74" spans="2:9">
      <c r="B74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8"/>
  <sheetViews>
    <sheetView workbookViewId="0">
      <selection activeCell="H1" sqref="H1"/>
    </sheetView>
  </sheetViews>
  <sheetFormatPr defaultRowHeight="12"/>
  <cols>
    <col min="1" max="1" width="9.140625" style="1"/>
    <col min="2" max="2" width="60.8554687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61" t="s">
        <v>10</v>
      </c>
      <c r="C1" s="62"/>
      <c r="D1" s="62"/>
      <c r="E1" s="62"/>
      <c r="F1" s="62"/>
      <c r="G1" s="62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31</v>
      </c>
      <c r="C5" s="18"/>
      <c r="D5" s="18"/>
      <c r="E5" s="19"/>
      <c r="F5" s="20"/>
      <c r="G5" s="20"/>
    </row>
    <row r="6" spans="2:7">
      <c r="B6" s="22" t="s">
        <v>32</v>
      </c>
      <c r="C6" s="23"/>
      <c r="D6" s="23"/>
      <c r="E6" s="24"/>
      <c r="F6" s="25"/>
      <c r="G6" s="25"/>
    </row>
    <row r="7" spans="2:7">
      <c r="B7" s="27" t="s">
        <v>125</v>
      </c>
      <c r="C7" s="23" t="s">
        <v>126</v>
      </c>
      <c r="D7" s="23" t="s">
        <v>127</v>
      </c>
      <c r="E7" s="28">
        <v>1074500</v>
      </c>
      <c r="F7" s="25">
        <v>13493.57</v>
      </c>
      <c r="G7" s="25">
        <v>9.14</v>
      </c>
    </row>
    <row r="8" spans="2:7">
      <c r="B8" s="27" t="s">
        <v>36</v>
      </c>
      <c r="C8" s="23" t="s">
        <v>37</v>
      </c>
      <c r="D8" s="23" t="s">
        <v>38</v>
      </c>
      <c r="E8" s="28">
        <v>2381000</v>
      </c>
      <c r="F8" s="25">
        <v>12739.54</v>
      </c>
      <c r="G8" s="25">
        <v>8.6300000000000008</v>
      </c>
    </row>
    <row r="9" spans="2:7">
      <c r="B9" s="27" t="s">
        <v>123</v>
      </c>
      <c r="C9" s="23" t="s">
        <v>124</v>
      </c>
      <c r="D9" s="23" t="s">
        <v>38</v>
      </c>
      <c r="E9" s="28">
        <v>692184</v>
      </c>
      <c r="F9" s="25">
        <v>9941.84</v>
      </c>
      <c r="G9" s="25">
        <v>6.74</v>
      </c>
    </row>
    <row r="10" spans="2:7">
      <c r="B10" s="27" t="s">
        <v>135</v>
      </c>
      <c r="C10" s="23" t="s">
        <v>136</v>
      </c>
      <c r="D10" s="23" t="s">
        <v>134</v>
      </c>
      <c r="E10" s="28">
        <v>112450</v>
      </c>
      <c r="F10" s="25">
        <v>5954.45</v>
      </c>
      <c r="G10" s="25">
        <v>4.04</v>
      </c>
    </row>
    <row r="11" spans="2:7">
      <c r="B11" s="27" t="s">
        <v>33</v>
      </c>
      <c r="C11" s="23" t="s">
        <v>34</v>
      </c>
      <c r="D11" s="23" t="s">
        <v>35</v>
      </c>
      <c r="E11" s="28">
        <v>375000</v>
      </c>
      <c r="F11" s="25">
        <v>4828.5</v>
      </c>
      <c r="G11" s="25">
        <v>3.27</v>
      </c>
    </row>
    <row r="12" spans="2:7">
      <c r="B12" s="27" t="s">
        <v>128</v>
      </c>
      <c r="C12" s="23" t="s">
        <v>129</v>
      </c>
      <c r="D12" s="23" t="s">
        <v>88</v>
      </c>
      <c r="E12" s="28">
        <v>219500</v>
      </c>
      <c r="F12" s="25">
        <v>4357.7299999999996</v>
      </c>
      <c r="G12" s="25">
        <v>2.95</v>
      </c>
    </row>
    <row r="13" spans="2:7">
      <c r="B13" s="27" t="s">
        <v>52</v>
      </c>
      <c r="C13" s="23" t="s">
        <v>53</v>
      </c>
      <c r="D13" s="23" t="s">
        <v>38</v>
      </c>
      <c r="E13" s="28">
        <v>1550000</v>
      </c>
      <c r="F13" s="25">
        <v>4261.7299999999996</v>
      </c>
      <c r="G13" s="25">
        <v>2.89</v>
      </c>
    </row>
    <row r="14" spans="2:7">
      <c r="B14" s="27" t="s">
        <v>132</v>
      </c>
      <c r="C14" s="23" t="s">
        <v>133</v>
      </c>
      <c r="D14" s="23" t="s">
        <v>134</v>
      </c>
      <c r="E14" s="28">
        <v>165000</v>
      </c>
      <c r="F14" s="25">
        <v>4221.7700000000004</v>
      </c>
      <c r="G14" s="25">
        <v>2.86</v>
      </c>
    </row>
    <row r="15" spans="2:7">
      <c r="B15" s="27" t="s">
        <v>189</v>
      </c>
      <c r="C15" s="23" t="s">
        <v>190</v>
      </c>
      <c r="D15" s="23" t="s">
        <v>141</v>
      </c>
      <c r="E15" s="28">
        <v>135200</v>
      </c>
      <c r="F15" s="25">
        <v>3737.6</v>
      </c>
      <c r="G15" s="25">
        <v>2.5299999999999998</v>
      </c>
    </row>
    <row r="16" spans="2:7">
      <c r="B16" s="27" t="s">
        <v>130</v>
      </c>
      <c r="C16" s="23" t="s">
        <v>131</v>
      </c>
      <c r="D16" s="23" t="s">
        <v>127</v>
      </c>
      <c r="E16" s="28">
        <v>130000</v>
      </c>
      <c r="F16" s="25">
        <v>3721.58</v>
      </c>
      <c r="G16" s="25">
        <v>2.52</v>
      </c>
    </row>
    <row r="17" spans="2:7">
      <c r="B17" s="27" t="s">
        <v>146</v>
      </c>
      <c r="C17" s="23" t="s">
        <v>147</v>
      </c>
      <c r="D17" s="23" t="s">
        <v>148</v>
      </c>
      <c r="E17" s="28">
        <v>94000</v>
      </c>
      <c r="F17" s="25">
        <v>3611.39</v>
      </c>
      <c r="G17" s="25">
        <v>2.4500000000000002</v>
      </c>
    </row>
    <row r="18" spans="2:7">
      <c r="B18" s="27" t="s">
        <v>137</v>
      </c>
      <c r="C18" s="23" t="s">
        <v>138</v>
      </c>
      <c r="D18" s="23" t="s">
        <v>38</v>
      </c>
      <c r="E18" s="28">
        <v>578000</v>
      </c>
      <c r="F18" s="25">
        <v>3586.2</v>
      </c>
      <c r="G18" s="25">
        <v>2.4300000000000002</v>
      </c>
    </row>
    <row r="19" spans="2:7">
      <c r="B19" s="27" t="s">
        <v>142</v>
      </c>
      <c r="C19" s="23" t="s">
        <v>143</v>
      </c>
      <c r="D19" s="23" t="s">
        <v>127</v>
      </c>
      <c r="E19" s="28">
        <v>370000</v>
      </c>
      <c r="F19" s="25">
        <v>3500.76</v>
      </c>
      <c r="G19" s="25">
        <v>2.37</v>
      </c>
    </row>
    <row r="20" spans="2:7">
      <c r="B20" s="27" t="s">
        <v>54</v>
      </c>
      <c r="C20" s="23" t="s">
        <v>55</v>
      </c>
      <c r="D20" s="23" t="s">
        <v>56</v>
      </c>
      <c r="E20" s="28">
        <v>380000</v>
      </c>
      <c r="F20" s="25">
        <v>3137.47</v>
      </c>
      <c r="G20" s="25">
        <v>2.13</v>
      </c>
    </row>
    <row r="21" spans="2:7">
      <c r="B21" s="27" t="s">
        <v>149</v>
      </c>
      <c r="C21" s="23" t="s">
        <v>150</v>
      </c>
      <c r="D21" s="23" t="s">
        <v>151</v>
      </c>
      <c r="E21" s="28">
        <v>39250</v>
      </c>
      <c r="F21" s="25">
        <v>3002.47</v>
      </c>
      <c r="G21" s="25">
        <v>2.0299999999999998</v>
      </c>
    </row>
    <row r="22" spans="2:7">
      <c r="B22" s="27" t="s">
        <v>95</v>
      </c>
      <c r="C22" s="23" t="s">
        <v>96</v>
      </c>
      <c r="D22" s="23" t="s">
        <v>97</v>
      </c>
      <c r="E22" s="28">
        <v>1100000</v>
      </c>
      <c r="F22" s="25">
        <v>2646.05</v>
      </c>
      <c r="G22" s="25">
        <v>1.79</v>
      </c>
    </row>
    <row r="23" spans="2:7">
      <c r="B23" s="27" t="s">
        <v>221</v>
      </c>
      <c r="C23" s="23" t="s">
        <v>222</v>
      </c>
      <c r="D23" s="23" t="s">
        <v>151</v>
      </c>
      <c r="E23" s="28">
        <v>75000</v>
      </c>
      <c r="F23" s="25">
        <v>2583.04</v>
      </c>
      <c r="G23" s="25">
        <v>1.75</v>
      </c>
    </row>
    <row r="24" spans="2:7">
      <c r="B24" s="27" t="s">
        <v>74</v>
      </c>
      <c r="C24" s="23" t="s">
        <v>75</v>
      </c>
      <c r="D24" s="23" t="s">
        <v>56</v>
      </c>
      <c r="E24" s="28">
        <v>664272</v>
      </c>
      <c r="F24" s="25">
        <v>2527.89</v>
      </c>
      <c r="G24" s="25">
        <v>1.71</v>
      </c>
    </row>
    <row r="25" spans="2:7">
      <c r="B25" s="27" t="s">
        <v>223</v>
      </c>
      <c r="C25" s="23" t="s">
        <v>224</v>
      </c>
      <c r="D25" s="23" t="s">
        <v>127</v>
      </c>
      <c r="E25" s="28">
        <v>38235</v>
      </c>
      <c r="F25" s="25">
        <v>2449.79</v>
      </c>
      <c r="G25" s="25">
        <v>1.66</v>
      </c>
    </row>
    <row r="26" spans="2:7">
      <c r="B26" s="27" t="s">
        <v>217</v>
      </c>
      <c r="C26" s="23" t="s">
        <v>218</v>
      </c>
      <c r="D26" s="23" t="s">
        <v>141</v>
      </c>
      <c r="E26" s="28">
        <v>79700</v>
      </c>
      <c r="F26" s="25">
        <v>2224.5500000000002</v>
      </c>
      <c r="G26" s="25">
        <v>1.51</v>
      </c>
    </row>
    <row r="27" spans="2:7">
      <c r="B27" s="27" t="s">
        <v>225</v>
      </c>
      <c r="C27" s="23" t="s">
        <v>226</v>
      </c>
      <c r="D27" s="23" t="s">
        <v>127</v>
      </c>
      <c r="E27" s="28">
        <v>140000</v>
      </c>
      <c r="F27" s="25">
        <v>2124.0100000000002</v>
      </c>
      <c r="G27" s="25">
        <v>1.44</v>
      </c>
    </row>
    <row r="28" spans="2:7">
      <c r="B28" s="27" t="s">
        <v>227</v>
      </c>
      <c r="C28" s="23" t="s">
        <v>228</v>
      </c>
      <c r="D28" s="23" t="s">
        <v>127</v>
      </c>
      <c r="E28" s="28">
        <v>135500</v>
      </c>
      <c r="F28" s="25">
        <v>2086.63</v>
      </c>
      <c r="G28" s="25">
        <v>1.41</v>
      </c>
    </row>
    <row r="29" spans="2:7">
      <c r="B29" s="27" t="s">
        <v>156</v>
      </c>
      <c r="C29" s="23" t="s">
        <v>157</v>
      </c>
      <c r="D29" s="23" t="s">
        <v>158</v>
      </c>
      <c r="E29" s="28">
        <v>93000</v>
      </c>
      <c r="F29" s="25">
        <v>2041.4</v>
      </c>
      <c r="G29" s="25">
        <v>1.38</v>
      </c>
    </row>
    <row r="30" spans="2:7">
      <c r="B30" s="27" t="s">
        <v>229</v>
      </c>
      <c r="C30" s="23" t="s">
        <v>230</v>
      </c>
      <c r="D30" s="23" t="s">
        <v>151</v>
      </c>
      <c r="E30" s="28">
        <v>2130000</v>
      </c>
      <c r="F30" s="25">
        <v>2033.09</v>
      </c>
      <c r="G30" s="25">
        <v>1.38</v>
      </c>
    </row>
    <row r="31" spans="2:7">
      <c r="B31" s="27" t="s">
        <v>161</v>
      </c>
      <c r="C31" s="23" t="s">
        <v>162</v>
      </c>
      <c r="D31" s="23" t="s">
        <v>148</v>
      </c>
      <c r="E31" s="28">
        <v>245000</v>
      </c>
      <c r="F31" s="25">
        <v>2008.88</v>
      </c>
      <c r="G31" s="25">
        <v>1.36</v>
      </c>
    </row>
    <row r="32" spans="2:7">
      <c r="B32" s="27" t="s">
        <v>231</v>
      </c>
      <c r="C32" s="23" t="s">
        <v>232</v>
      </c>
      <c r="D32" s="23" t="s">
        <v>134</v>
      </c>
      <c r="E32" s="28">
        <v>400000</v>
      </c>
      <c r="F32" s="25">
        <v>1995.4</v>
      </c>
      <c r="G32" s="25">
        <v>1.35</v>
      </c>
    </row>
    <row r="33" spans="2:7">
      <c r="B33" s="27" t="s">
        <v>233</v>
      </c>
      <c r="C33" s="23" t="s">
        <v>234</v>
      </c>
      <c r="D33" s="23" t="s">
        <v>127</v>
      </c>
      <c r="E33" s="28">
        <v>52500</v>
      </c>
      <c r="F33" s="25">
        <v>1921.24</v>
      </c>
      <c r="G33" s="25">
        <v>1.3</v>
      </c>
    </row>
    <row r="34" spans="2:7">
      <c r="B34" s="27" t="s">
        <v>47</v>
      </c>
      <c r="C34" s="23" t="s">
        <v>48</v>
      </c>
      <c r="D34" s="23" t="s">
        <v>49</v>
      </c>
      <c r="E34" s="28">
        <v>201389</v>
      </c>
      <c r="F34" s="25">
        <v>1864.76</v>
      </c>
      <c r="G34" s="25">
        <v>1.26</v>
      </c>
    </row>
    <row r="35" spans="2:7">
      <c r="B35" s="27" t="s">
        <v>42</v>
      </c>
      <c r="C35" s="23" t="s">
        <v>43</v>
      </c>
      <c r="D35" s="23" t="s">
        <v>41</v>
      </c>
      <c r="E35" s="28">
        <v>5016</v>
      </c>
      <c r="F35" s="25">
        <v>1861.19</v>
      </c>
      <c r="G35" s="25">
        <v>1.26</v>
      </c>
    </row>
    <row r="36" spans="2:7">
      <c r="B36" s="27" t="s">
        <v>200</v>
      </c>
      <c r="C36" s="23" t="s">
        <v>201</v>
      </c>
      <c r="D36" s="23" t="s">
        <v>134</v>
      </c>
      <c r="E36" s="28">
        <v>321108</v>
      </c>
      <c r="F36" s="25">
        <v>1784.72</v>
      </c>
      <c r="G36" s="25">
        <v>1.21</v>
      </c>
    </row>
    <row r="37" spans="2:7">
      <c r="B37" s="27" t="s">
        <v>82</v>
      </c>
      <c r="C37" s="23" t="s">
        <v>83</v>
      </c>
      <c r="D37" s="23" t="s">
        <v>56</v>
      </c>
      <c r="E37" s="28">
        <v>12964</v>
      </c>
      <c r="F37" s="25">
        <v>1743.47</v>
      </c>
      <c r="G37" s="25">
        <v>1.18</v>
      </c>
    </row>
    <row r="38" spans="2:7">
      <c r="B38" s="27" t="s">
        <v>235</v>
      </c>
      <c r="C38" s="23" t="s">
        <v>236</v>
      </c>
      <c r="D38" s="23" t="s">
        <v>169</v>
      </c>
      <c r="E38" s="28">
        <v>137781</v>
      </c>
      <c r="F38" s="25">
        <v>1701.32</v>
      </c>
      <c r="G38" s="25">
        <v>1.1499999999999999</v>
      </c>
    </row>
    <row r="39" spans="2:7">
      <c r="B39" s="27" t="s">
        <v>237</v>
      </c>
      <c r="C39" s="23" t="s">
        <v>238</v>
      </c>
      <c r="D39" s="23" t="s">
        <v>127</v>
      </c>
      <c r="E39" s="28">
        <v>35000</v>
      </c>
      <c r="F39" s="25">
        <v>1665.27</v>
      </c>
      <c r="G39" s="25">
        <v>1.1299999999999999</v>
      </c>
    </row>
    <row r="40" spans="2:7">
      <c r="B40" s="27" t="s">
        <v>68</v>
      </c>
      <c r="C40" s="23" t="s">
        <v>69</v>
      </c>
      <c r="D40" s="23" t="s">
        <v>56</v>
      </c>
      <c r="E40" s="28">
        <v>68144</v>
      </c>
      <c r="F40" s="25">
        <v>1603.29</v>
      </c>
      <c r="G40" s="25">
        <v>1.0900000000000001</v>
      </c>
    </row>
    <row r="41" spans="2:7">
      <c r="B41" s="27" t="s">
        <v>239</v>
      </c>
      <c r="C41" s="23" t="s">
        <v>240</v>
      </c>
      <c r="D41" s="23" t="s">
        <v>141</v>
      </c>
      <c r="E41" s="28">
        <v>252000</v>
      </c>
      <c r="F41" s="25">
        <v>1486.55</v>
      </c>
      <c r="G41" s="25">
        <v>1.01</v>
      </c>
    </row>
    <row r="42" spans="2:7">
      <c r="B42" s="27" t="s">
        <v>176</v>
      </c>
      <c r="C42" s="23" t="s">
        <v>177</v>
      </c>
      <c r="D42" s="23" t="s">
        <v>178</v>
      </c>
      <c r="E42" s="28">
        <v>89000</v>
      </c>
      <c r="F42" s="25">
        <v>1465.21</v>
      </c>
      <c r="G42" s="25">
        <v>0.99</v>
      </c>
    </row>
    <row r="43" spans="2:7">
      <c r="B43" s="27" t="s">
        <v>139</v>
      </c>
      <c r="C43" s="23" t="s">
        <v>140</v>
      </c>
      <c r="D43" s="23" t="s">
        <v>141</v>
      </c>
      <c r="E43" s="28">
        <v>60830</v>
      </c>
      <c r="F43" s="25">
        <v>1457.12</v>
      </c>
      <c r="G43" s="25">
        <v>0.99</v>
      </c>
    </row>
    <row r="44" spans="2:7">
      <c r="B44" s="27" t="s">
        <v>241</v>
      </c>
      <c r="C44" s="23" t="s">
        <v>242</v>
      </c>
      <c r="D44" s="23" t="s">
        <v>56</v>
      </c>
      <c r="E44" s="28">
        <v>155000</v>
      </c>
      <c r="F44" s="25">
        <v>1420.03</v>
      </c>
      <c r="G44" s="25">
        <v>0.96</v>
      </c>
    </row>
    <row r="45" spans="2:7">
      <c r="B45" s="27" t="s">
        <v>243</v>
      </c>
      <c r="C45" s="23" t="s">
        <v>244</v>
      </c>
      <c r="D45" s="23" t="s">
        <v>148</v>
      </c>
      <c r="E45" s="28">
        <v>27000</v>
      </c>
      <c r="F45" s="25">
        <v>1405.38</v>
      </c>
      <c r="G45" s="25">
        <v>0.95</v>
      </c>
    </row>
    <row r="46" spans="2:7">
      <c r="B46" s="27" t="s">
        <v>245</v>
      </c>
      <c r="C46" s="23" t="s">
        <v>246</v>
      </c>
      <c r="D46" s="23" t="s">
        <v>64</v>
      </c>
      <c r="E46" s="28">
        <v>70500</v>
      </c>
      <c r="F46" s="25">
        <v>1351.34</v>
      </c>
      <c r="G46" s="25">
        <v>0.92</v>
      </c>
    </row>
    <row r="47" spans="2:7">
      <c r="B47" s="27" t="s">
        <v>193</v>
      </c>
      <c r="C47" s="23" t="s">
        <v>194</v>
      </c>
      <c r="D47" s="23" t="s">
        <v>169</v>
      </c>
      <c r="E47" s="28">
        <v>111563</v>
      </c>
      <c r="F47" s="25">
        <v>1347.9</v>
      </c>
      <c r="G47" s="25">
        <v>0.91</v>
      </c>
    </row>
    <row r="48" spans="2:7">
      <c r="B48" s="27" t="s">
        <v>185</v>
      </c>
      <c r="C48" s="23" t="s">
        <v>186</v>
      </c>
      <c r="D48" s="23" t="s">
        <v>169</v>
      </c>
      <c r="E48" s="28">
        <v>49099</v>
      </c>
      <c r="F48" s="25">
        <v>1282.56</v>
      </c>
      <c r="G48" s="25">
        <v>0.87</v>
      </c>
    </row>
    <row r="49" spans="2:9">
      <c r="B49" s="27" t="s">
        <v>247</v>
      </c>
      <c r="C49" s="23" t="s">
        <v>248</v>
      </c>
      <c r="D49" s="23" t="s">
        <v>134</v>
      </c>
      <c r="E49" s="28">
        <v>340000</v>
      </c>
      <c r="F49" s="25">
        <v>1228.25</v>
      </c>
      <c r="G49" s="25">
        <v>0.83</v>
      </c>
    </row>
    <row r="50" spans="2:9">
      <c r="B50" s="27" t="s">
        <v>116</v>
      </c>
      <c r="C50" s="23" t="s">
        <v>117</v>
      </c>
      <c r="D50" s="23" t="s">
        <v>67</v>
      </c>
      <c r="E50" s="28">
        <v>225000</v>
      </c>
      <c r="F50" s="25">
        <v>1181.93</v>
      </c>
      <c r="G50" s="25">
        <v>0.8</v>
      </c>
    </row>
    <row r="51" spans="2:9">
      <c r="B51" s="27" t="s">
        <v>249</v>
      </c>
      <c r="C51" s="23" t="s">
        <v>250</v>
      </c>
      <c r="D51" s="23" t="s">
        <v>127</v>
      </c>
      <c r="E51" s="28">
        <v>69500</v>
      </c>
      <c r="F51" s="25">
        <v>1153.94</v>
      </c>
      <c r="G51" s="25">
        <v>0.78</v>
      </c>
    </row>
    <row r="52" spans="2:9">
      <c r="B52" s="27" t="s">
        <v>251</v>
      </c>
      <c r="C52" s="23" t="s">
        <v>252</v>
      </c>
      <c r="D52" s="23" t="s">
        <v>38</v>
      </c>
      <c r="E52" s="28">
        <v>120000</v>
      </c>
      <c r="F52" s="25">
        <v>1023.12</v>
      </c>
      <c r="G52" s="25">
        <v>0.69</v>
      </c>
    </row>
    <row r="53" spans="2:9">
      <c r="B53" s="27" t="s">
        <v>112</v>
      </c>
      <c r="C53" s="23" t="s">
        <v>113</v>
      </c>
      <c r="D53" s="23" t="s">
        <v>56</v>
      </c>
      <c r="E53" s="28">
        <v>120510</v>
      </c>
      <c r="F53" s="25">
        <v>965.41</v>
      </c>
      <c r="G53" s="25">
        <v>0.65</v>
      </c>
    </row>
    <row r="54" spans="2:9">
      <c r="B54" s="27" t="s">
        <v>80</v>
      </c>
      <c r="C54" s="23" t="s">
        <v>81</v>
      </c>
      <c r="D54" s="23" t="s">
        <v>64</v>
      </c>
      <c r="E54" s="28">
        <v>360000</v>
      </c>
      <c r="F54" s="25">
        <v>895.86</v>
      </c>
      <c r="G54" s="25">
        <v>0.61</v>
      </c>
    </row>
    <row r="55" spans="2:9">
      <c r="B55" s="27" t="s">
        <v>163</v>
      </c>
      <c r="C55" s="23" t="s">
        <v>164</v>
      </c>
      <c r="D55" s="23" t="s">
        <v>134</v>
      </c>
      <c r="E55" s="28">
        <v>50000</v>
      </c>
      <c r="F55" s="25">
        <v>865.35</v>
      </c>
      <c r="G55" s="25">
        <v>0.59</v>
      </c>
    </row>
    <row r="56" spans="2:9">
      <c r="B56" s="27" t="s">
        <v>165</v>
      </c>
      <c r="C56" s="23" t="s">
        <v>166</v>
      </c>
      <c r="D56" s="23" t="s">
        <v>148</v>
      </c>
      <c r="E56" s="28">
        <v>32000</v>
      </c>
      <c r="F56" s="25">
        <v>700.42</v>
      </c>
      <c r="G56" s="25">
        <v>0.47</v>
      </c>
    </row>
    <row r="57" spans="2:9">
      <c r="B57" s="27" t="s">
        <v>62</v>
      </c>
      <c r="C57" s="23" t="s">
        <v>63</v>
      </c>
      <c r="D57" s="23" t="s">
        <v>64</v>
      </c>
      <c r="E57" s="28">
        <v>80000</v>
      </c>
      <c r="F57" s="25">
        <v>637.12</v>
      </c>
      <c r="G57" s="25">
        <v>0.43</v>
      </c>
    </row>
    <row r="58" spans="2:9">
      <c r="B58" s="27" t="s">
        <v>208</v>
      </c>
      <c r="C58" s="23" t="s">
        <v>209</v>
      </c>
      <c r="D58" s="23" t="s">
        <v>134</v>
      </c>
      <c r="E58" s="28">
        <v>68000</v>
      </c>
      <c r="F58" s="25">
        <v>578.71</v>
      </c>
      <c r="G58" s="25">
        <v>0.39</v>
      </c>
    </row>
    <row r="59" spans="2:9">
      <c r="B59" s="29" t="s">
        <v>118</v>
      </c>
      <c r="C59" s="30"/>
      <c r="D59" s="30"/>
      <c r="E59" s="31"/>
      <c r="F59" s="32">
        <f>SUM(F7:F58)</f>
        <v>143408.78999999995</v>
      </c>
      <c r="G59" s="32">
        <f>SUM(G7:G58)</f>
        <v>97.14</v>
      </c>
      <c r="H59" s="14"/>
      <c r="I59" s="14"/>
    </row>
    <row r="60" spans="2:9">
      <c r="B60" s="37" t="s">
        <v>119</v>
      </c>
      <c r="C60" s="37"/>
      <c r="D60" s="37"/>
      <c r="E60" s="38"/>
      <c r="F60" s="39">
        <f>F59</f>
        <v>143408.78999999995</v>
      </c>
      <c r="G60" s="39">
        <f>G59</f>
        <v>97.14</v>
      </c>
      <c r="H60" s="14"/>
      <c r="I60" s="14"/>
    </row>
    <row r="61" spans="2:9">
      <c r="B61" s="40" t="s">
        <v>120</v>
      </c>
      <c r="C61" s="41"/>
      <c r="D61" s="41"/>
      <c r="E61" s="42"/>
      <c r="F61" s="43"/>
      <c r="G61" s="43"/>
    </row>
    <row r="62" spans="2:9">
      <c r="B62" s="27" t="s">
        <v>120</v>
      </c>
      <c r="C62" s="23"/>
      <c r="D62" s="23"/>
      <c r="E62" s="24"/>
      <c r="F62" s="25">
        <v>4315.71</v>
      </c>
      <c r="G62" s="25">
        <v>2.92</v>
      </c>
    </row>
    <row r="63" spans="2:9">
      <c r="B63" s="29" t="s">
        <v>118</v>
      </c>
      <c r="C63" s="30"/>
      <c r="D63" s="30"/>
      <c r="E63" s="31"/>
      <c r="F63" s="32">
        <f>SUM(F61:F62)</f>
        <v>4315.71</v>
      </c>
      <c r="G63" s="32">
        <f>SUM(G61:G62)</f>
        <v>2.92</v>
      </c>
      <c r="H63" s="14"/>
      <c r="I63" s="14"/>
    </row>
    <row r="64" spans="2:9">
      <c r="B64" s="34" t="s">
        <v>119</v>
      </c>
      <c r="C64" s="34"/>
      <c r="D64" s="34"/>
      <c r="E64" s="35"/>
      <c r="F64" s="36">
        <f>F63</f>
        <v>4315.71</v>
      </c>
      <c r="G64" s="36">
        <f>G63</f>
        <v>2.92</v>
      </c>
      <c r="H64" s="14"/>
      <c r="I64" s="14"/>
    </row>
    <row r="65" spans="2:9">
      <c r="B65" s="44" t="s">
        <v>122</v>
      </c>
      <c r="C65" s="44"/>
      <c r="D65" s="44"/>
      <c r="E65" s="45"/>
      <c r="F65" s="16">
        <f>F66-(+F60+F64)</f>
        <v>-158.27999999994063</v>
      </c>
      <c r="G65" s="16">
        <f>G66-(+G60+G64)</f>
        <v>-6.0000000000002274E-2</v>
      </c>
      <c r="H65" s="14"/>
      <c r="I65" s="14"/>
    </row>
    <row r="66" spans="2:9">
      <c r="B66" s="44" t="s">
        <v>121</v>
      </c>
      <c r="C66" s="44"/>
      <c r="D66" s="44"/>
      <c r="E66" s="45"/>
      <c r="F66" s="16">
        <v>147566.22</v>
      </c>
      <c r="G66" s="16">
        <v>100</v>
      </c>
      <c r="H66" s="14"/>
      <c r="I66" s="14"/>
    </row>
    <row r="68" spans="2:9">
      <c r="B68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4"/>
  <sheetViews>
    <sheetView workbookViewId="0">
      <selection activeCell="H1" sqref="H1"/>
    </sheetView>
  </sheetViews>
  <sheetFormatPr defaultRowHeight="12"/>
  <cols>
    <col min="1" max="1" width="9.140625" style="1"/>
    <col min="2" max="2" width="60.8554687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61" t="s">
        <v>11</v>
      </c>
      <c r="C1" s="62"/>
      <c r="D1" s="62"/>
      <c r="E1" s="62"/>
      <c r="F1" s="62"/>
      <c r="G1" s="62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31</v>
      </c>
      <c r="C5" s="18"/>
      <c r="D5" s="18"/>
      <c r="E5" s="19"/>
      <c r="F5" s="20"/>
      <c r="G5" s="20"/>
    </row>
    <row r="6" spans="2:7">
      <c r="B6" s="22" t="s">
        <v>32</v>
      </c>
      <c r="C6" s="23"/>
      <c r="D6" s="23"/>
      <c r="E6" s="24"/>
      <c r="F6" s="25"/>
      <c r="G6" s="25"/>
    </row>
    <row r="7" spans="2:7">
      <c r="B7" s="27" t="s">
        <v>123</v>
      </c>
      <c r="C7" s="23" t="s">
        <v>124</v>
      </c>
      <c r="D7" s="23" t="s">
        <v>38</v>
      </c>
      <c r="E7" s="28">
        <v>2941000</v>
      </c>
      <c r="F7" s="25">
        <v>42241.58</v>
      </c>
      <c r="G7" s="25">
        <v>5.78</v>
      </c>
    </row>
    <row r="8" spans="2:7">
      <c r="B8" s="27" t="s">
        <v>36</v>
      </c>
      <c r="C8" s="23" t="s">
        <v>37</v>
      </c>
      <c r="D8" s="23" t="s">
        <v>38</v>
      </c>
      <c r="E8" s="28">
        <v>7098000</v>
      </c>
      <c r="F8" s="25">
        <v>37977.85</v>
      </c>
      <c r="G8" s="25">
        <v>5.19</v>
      </c>
    </row>
    <row r="9" spans="2:7">
      <c r="B9" s="27" t="s">
        <v>125</v>
      </c>
      <c r="C9" s="23" t="s">
        <v>126</v>
      </c>
      <c r="D9" s="23" t="s">
        <v>127</v>
      </c>
      <c r="E9" s="28">
        <v>2935000</v>
      </c>
      <c r="F9" s="25">
        <v>36857.730000000003</v>
      </c>
      <c r="G9" s="25">
        <v>5.04</v>
      </c>
    </row>
    <row r="10" spans="2:7">
      <c r="B10" s="27" t="s">
        <v>128</v>
      </c>
      <c r="C10" s="23" t="s">
        <v>129</v>
      </c>
      <c r="D10" s="23" t="s">
        <v>88</v>
      </c>
      <c r="E10" s="28">
        <v>1633000</v>
      </c>
      <c r="F10" s="25">
        <v>32419.95</v>
      </c>
      <c r="G10" s="25">
        <v>4.43</v>
      </c>
    </row>
    <row r="11" spans="2:7">
      <c r="B11" s="27" t="s">
        <v>135</v>
      </c>
      <c r="C11" s="23" t="s">
        <v>136</v>
      </c>
      <c r="D11" s="23" t="s">
        <v>134</v>
      </c>
      <c r="E11" s="28">
        <v>518000</v>
      </c>
      <c r="F11" s="25">
        <v>27429.14</v>
      </c>
      <c r="G11" s="25">
        <v>3.75</v>
      </c>
    </row>
    <row r="12" spans="2:7">
      <c r="B12" s="27" t="s">
        <v>137</v>
      </c>
      <c r="C12" s="23" t="s">
        <v>138</v>
      </c>
      <c r="D12" s="23" t="s">
        <v>38</v>
      </c>
      <c r="E12" s="28">
        <v>4063090</v>
      </c>
      <c r="F12" s="25">
        <v>25209.439999999999</v>
      </c>
      <c r="G12" s="25">
        <v>3.45</v>
      </c>
    </row>
    <row r="13" spans="2:7">
      <c r="B13" s="27" t="s">
        <v>54</v>
      </c>
      <c r="C13" s="23" t="s">
        <v>55</v>
      </c>
      <c r="D13" s="23" t="s">
        <v>56</v>
      </c>
      <c r="E13" s="28">
        <v>2171175</v>
      </c>
      <c r="F13" s="25">
        <v>17926.310000000001</v>
      </c>
      <c r="G13" s="25">
        <v>2.4500000000000002</v>
      </c>
    </row>
    <row r="14" spans="2:7">
      <c r="B14" s="27" t="s">
        <v>107</v>
      </c>
      <c r="C14" s="23" t="s">
        <v>108</v>
      </c>
      <c r="D14" s="23" t="s">
        <v>109</v>
      </c>
      <c r="E14" s="28">
        <v>2989667</v>
      </c>
      <c r="F14" s="25">
        <v>15238.33</v>
      </c>
      <c r="G14" s="25">
        <v>2.08</v>
      </c>
    </row>
    <row r="15" spans="2:7">
      <c r="B15" s="27" t="s">
        <v>198</v>
      </c>
      <c r="C15" s="23" t="s">
        <v>199</v>
      </c>
      <c r="D15" s="23" t="s">
        <v>178</v>
      </c>
      <c r="E15" s="28">
        <v>3794476</v>
      </c>
      <c r="F15" s="25">
        <v>15153.24</v>
      </c>
      <c r="G15" s="25">
        <v>2.0699999999999998</v>
      </c>
    </row>
    <row r="16" spans="2:7">
      <c r="B16" s="27" t="s">
        <v>253</v>
      </c>
      <c r="C16" s="23" t="s">
        <v>254</v>
      </c>
      <c r="D16" s="23" t="s">
        <v>134</v>
      </c>
      <c r="E16" s="28">
        <v>8500000</v>
      </c>
      <c r="F16" s="25">
        <v>14866.5</v>
      </c>
      <c r="G16" s="25">
        <v>2.0299999999999998</v>
      </c>
    </row>
    <row r="17" spans="2:7">
      <c r="B17" s="27" t="s">
        <v>165</v>
      </c>
      <c r="C17" s="23" t="s">
        <v>166</v>
      </c>
      <c r="D17" s="23" t="s">
        <v>148</v>
      </c>
      <c r="E17" s="28">
        <v>656438</v>
      </c>
      <c r="F17" s="25">
        <v>14368.11</v>
      </c>
      <c r="G17" s="25">
        <v>1.96</v>
      </c>
    </row>
    <row r="18" spans="2:7">
      <c r="B18" s="27" t="s">
        <v>100</v>
      </c>
      <c r="C18" s="23" t="s">
        <v>101</v>
      </c>
      <c r="D18" s="23" t="s">
        <v>61</v>
      </c>
      <c r="E18" s="28">
        <v>2835534</v>
      </c>
      <c r="F18" s="25">
        <v>14244.31</v>
      </c>
      <c r="G18" s="25">
        <v>1.95</v>
      </c>
    </row>
    <row r="19" spans="2:7">
      <c r="B19" s="27" t="s">
        <v>59</v>
      </c>
      <c r="C19" s="23" t="s">
        <v>60</v>
      </c>
      <c r="D19" s="23" t="s">
        <v>61</v>
      </c>
      <c r="E19" s="28">
        <v>3769300</v>
      </c>
      <c r="F19" s="25">
        <v>14187.65</v>
      </c>
      <c r="G19" s="25">
        <v>1.94</v>
      </c>
    </row>
    <row r="20" spans="2:7">
      <c r="B20" s="27" t="s">
        <v>167</v>
      </c>
      <c r="C20" s="23" t="s">
        <v>168</v>
      </c>
      <c r="D20" s="23" t="s">
        <v>169</v>
      </c>
      <c r="E20" s="28">
        <v>218427</v>
      </c>
      <c r="F20" s="25">
        <v>14045.07</v>
      </c>
      <c r="G20" s="25">
        <v>1.92</v>
      </c>
    </row>
    <row r="21" spans="2:7">
      <c r="B21" s="27" t="s">
        <v>181</v>
      </c>
      <c r="C21" s="23" t="s">
        <v>182</v>
      </c>
      <c r="D21" s="23" t="s">
        <v>56</v>
      </c>
      <c r="E21" s="28">
        <v>532336</v>
      </c>
      <c r="F21" s="25">
        <v>13995.11</v>
      </c>
      <c r="G21" s="25">
        <v>1.91</v>
      </c>
    </row>
    <row r="22" spans="2:7">
      <c r="B22" s="27" t="s">
        <v>212</v>
      </c>
      <c r="C22" s="23" t="s">
        <v>213</v>
      </c>
      <c r="D22" s="23" t="s">
        <v>214</v>
      </c>
      <c r="E22" s="28">
        <v>493005</v>
      </c>
      <c r="F22" s="25">
        <v>13624.69</v>
      </c>
      <c r="G22" s="25">
        <v>1.86</v>
      </c>
    </row>
    <row r="23" spans="2:7">
      <c r="B23" s="27" t="s">
        <v>219</v>
      </c>
      <c r="C23" s="23" t="s">
        <v>220</v>
      </c>
      <c r="D23" s="23" t="s">
        <v>134</v>
      </c>
      <c r="E23" s="28">
        <v>3099707</v>
      </c>
      <c r="F23" s="25">
        <v>12016.01</v>
      </c>
      <c r="G23" s="25">
        <v>1.64</v>
      </c>
    </row>
    <row r="24" spans="2:7">
      <c r="B24" s="27" t="s">
        <v>183</v>
      </c>
      <c r="C24" s="23" t="s">
        <v>184</v>
      </c>
      <c r="D24" s="23" t="s">
        <v>56</v>
      </c>
      <c r="E24" s="28">
        <v>758211</v>
      </c>
      <c r="F24" s="25">
        <v>11977.08</v>
      </c>
      <c r="G24" s="25">
        <v>1.64</v>
      </c>
    </row>
    <row r="25" spans="2:7">
      <c r="B25" s="27" t="s">
        <v>139</v>
      </c>
      <c r="C25" s="23" t="s">
        <v>140</v>
      </c>
      <c r="D25" s="23" t="s">
        <v>141</v>
      </c>
      <c r="E25" s="28">
        <v>500000</v>
      </c>
      <c r="F25" s="25">
        <v>11977</v>
      </c>
      <c r="G25" s="25">
        <v>1.64</v>
      </c>
    </row>
    <row r="26" spans="2:7">
      <c r="B26" s="27" t="s">
        <v>146</v>
      </c>
      <c r="C26" s="23" t="s">
        <v>147</v>
      </c>
      <c r="D26" s="23" t="s">
        <v>148</v>
      </c>
      <c r="E26" s="28">
        <v>310378</v>
      </c>
      <c r="F26" s="25">
        <v>11924.41</v>
      </c>
      <c r="G26" s="25">
        <v>1.63</v>
      </c>
    </row>
    <row r="27" spans="2:7">
      <c r="B27" s="27" t="s">
        <v>42</v>
      </c>
      <c r="C27" s="23" t="s">
        <v>43</v>
      </c>
      <c r="D27" s="23" t="s">
        <v>41</v>
      </c>
      <c r="E27" s="28">
        <v>32070</v>
      </c>
      <c r="F27" s="25">
        <v>11899.61</v>
      </c>
      <c r="G27" s="25">
        <v>1.63</v>
      </c>
    </row>
    <row r="28" spans="2:7">
      <c r="B28" s="27" t="s">
        <v>255</v>
      </c>
      <c r="C28" s="23" t="s">
        <v>256</v>
      </c>
      <c r="D28" s="23" t="s">
        <v>197</v>
      </c>
      <c r="E28" s="28">
        <v>499184</v>
      </c>
      <c r="F28" s="25">
        <v>11679.66</v>
      </c>
      <c r="G28" s="25">
        <v>1.6</v>
      </c>
    </row>
    <row r="29" spans="2:7">
      <c r="B29" s="27" t="s">
        <v>257</v>
      </c>
      <c r="C29" s="23" t="s">
        <v>258</v>
      </c>
      <c r="D29" s="23" t="s">
        <v>141</v>
      </c>
      <c r="E29" s="28">
        <v>1908216</v>
      </c>
      <c r="F29" s="25">
        <v>11597.18</v>
      </c>
      <c r="G29" s="25">
        <v>1.59</v>
      </c>
    </row>
    <row r="30" spans="2:7">
      <c r="B30" s="27" t="s">
        <v>239</v>
      </c>
      <c r="C30" s="23" t="s">
        <v>240</v>
      </c>
      <c r="D30" s="23" t="s">
        <v>141</v>
      </c>
      <c r="E30" s="28">
        <v>1930000</v>
      </c>
      <c r="F30" s="25">
        <v>11385.07</v>
      </c>
      <c r="G30" s="25">
        <v>1.56</v>
      </c>
    </row>
    <row r="31" spans="2:7">
      <c r="B31" s="27" t="s">
        <v>130</v>
      </c>
      <c r="C31" s="23" t="s">
        <v>131</v>
      </c>
      <c r="D31" s="23" t="s">
        <v>127</v>
      </c>
      <c r="E31" s="28">
        <v>390000</v>
      </c>
      <c r="F31" s="25">
        <v>11164.73</v>
      </c>
      <c r="G31" s="25">
        <v>1.53</v>
      </c>
    </row>
    <row r="32" spans="2:7">
      <c r="B32" s="27" t="s">
        <v>259</v>
      </c>
      <c r="C32" s="23" t="s">
        <v>260</v>
      </c>
      <c r="D32" s="23" t="s">
        <v>214</v>
      </c>
      <c r="E32" s="28">
        <v>6706869</v>
      </c>
      <c r="F32" s="25">
        <v>11106.58</v>
      </c>
      <c r="G32" s="25">
        <v>1.52</v>
      </c>
    </row>
    <row r="33" spans="2:7">
      <c r="B33" s="27" t="s">
        <v>185</v>
      </c>
      <c r="C33" s="23" t="s">
        <v>186</v>
      </c>
      <c r="D33" s="23" t="s">
        <v>169</v>
      </c>
      <c r="E33" s="28">
        <v>423802</v>
      </c>
      <c r="F33" s="25">
        <v>11070.56</v>
      </c>
      <c r="G33" s="25">
        <v>1.51</v>
      </c>
    </row>
    <row r="34" spans="2:7">
      <c r="B34" s="27" t="s">
        <v>208</v>
      </c>
      <c r="C34" s="23" t="s">
        <v>209</v>
      </c>
      <c r="D34" s="23" t="s">
        <v>134</v>
      </c>
      <c r="E34" s="28">
        <v>1289619</v>
      </c>
      <c r="F34" s="25">
        <v>10975.3</v>
      </c>
      <c r="G34" s="25">
        <v>1.5</v>
      </c>
    </row>
    <row r="35" spans="2:7">
      <c r="B35" s="27" t="s">
        <v>176</v>
      </c>
      <c r="C35" s="23" t="s">
        <v>177</v>
      </c>
      <c r="D35" s="23" t="s">
        <v>178</v>
      </c>
      <c r="E35" s="28">
        <v>661072</v>
      </c>
      <c r="F35" s="25">
        <v>10883.23</v>
      </c>
      <c r="G35" s="25">
        <v>1.49</v>
      </c>
    </row>
    <row r="36" spans="2:7">
      <c r="B36" s="27" t="s">
        <v>142</v>
      </c>
      <c r="C36" s="23" t="s">
        <v>143</v>
      </c>
      <c r="D36" s="23" t="s">
        <v>127</v>
      </c>
      <c r="E36" s="28">
        <v>1150000</v>
      </c>
      <c r="F36" s="25">
        <v>10880.73</v>
      </c>
      <c r="G36" s="25">
        <v>1.49</v>
      </c>
    </row>
    <row r="37" spans="2:7">
      <c r="B37" s="27" t="s">
        <v>70</v>
      </c>
      <c r="C37" s="23" t="s">
        <v>71</v>
      </c>
      <c r="D37" s="23" t="s">
        <v>67</v>
      </c>
      <c r="E37" s="28">
        <v>550666</v>
      </c>
      <c r="F37" s="25">
        <v>10872.07</v>
      </c>
      <c r="G37" s="25">
        <v>1.49</v>
      </c>
    </row>
    <row r="38" spans="2:7">
      <c r="B38" s="27" t="s">
        <v>217</v>
      </c>
      <c r="C38" s="23" t="s">
        <v>218</v>
      </c>
      <c r="D38" s="23" t="s">
        <v>141</v>
      </c>
      <c r="E38" s="28">
        <v>388954</v>
      </c>
      <c r="F38" s="25">
        <v>10856.29</v>
      </c>
      <c r="G38" s="25">
        <v>1.48</v>
      </c>
    </row>
    <row r="39" spans="2:7">
      <c r="B39" s="27" t="s">
        <v>152</v>
      </c>
      <c r="C39" s="23" t="s">
        <v>153</v>
      </c>
      <c r="D39" s="23" t="s">
        <v>151</v>
      </c>
      <c r="E39" s="28">
        <v>1500000</v>
      </c>
      <c r="F39" s="25">
        <v>10809</v>
      </c>
      <c r="G39" s="25">
        <v>1.48</v>
      </c>
    </row>
    <row r="40" spans="2:7">
      <c r="B40" s="27" t="s">
        <v>156</v>
      </c>
      <c r="C40" s="23" t="s">
        <v>157</v>
      </c>
      <c r="D40" s="23" t="s">
        <v>158</v>
      </c>
      <c r="E40" s="28">
        <v>468084</v>
      </c>
      <c r="F40" s="25">
        <v>10274.68</v>
      </c>
      <c r="G40" s="25">
        <v>1.41</v>
      </c>
    </row>
    <row r="41" spans="2:7">
      <c r="B41" s="27" t="s">
        <v>261</v>
      </c>
      <c r="C41" s="23" t="s">
        <v>262</v>
      </c>
      <c r="D41" s="23" t="s">
        <v>38</v>
      </c>
      <c r="E41" s="28">
        <v>5492674</v>
      </c>
      <c r="F41" s="25">
        <v>9892.31</v>
      </c>
      <c r="G41" s="25">
        <v>1.35</v>
      </c>
    </row>
    <row r="42" spans="2:7">
      <c r="B42" s="27" t="s">
        <v>170</v>
      </c>
      <c r="C42" s="23" t="s">
        <v>171</v>
      </c>
      <c r="D42" s="23" t="s">
        <v>67</v>
      </c>
      <c r="E42" s="28">
        <v>875000</v>
      </c>
      <c r="F42" s="25">
        <v>9072.44</v>
      </c>
      <c r="G42" s="25">
        <v>1.24</v>
      </c>
    </row>
    <row r="43" spans="2:7">
      <c r="B43" s="27" t="s">
        <v>163</v>
      </c>
      <c r="C43" s="23" t="s">
        <v>164</v>
      </c>
      <c r="D43" s="23" t="s">
        <v>134</v>
      </c>
      <c r="E43" s="28">
        <v>492000</v>
      </c>
      <c r="F43" s="25">
        <v>8515.0400000000009</v>
      </c>
      <c r="G43" s="25">
        <v>1.1599999999999999</v>
      </c>
    </row>
    <row r="44" spans="2:7">
      <c r="B44" s="27" t="s">
        <v>174</v>
      </c>
      <c r="C44" s="23" t="s">
        <v>175</v>
      </c>
      <c r="D44" s="23" t="s">
        <v>148</v>
      </c>
      <c r="E44" s="28">
        <v>53776</v>
      </c>
      <c r="F44" s="25">
        <v>8479.99</v>
      </c>
      <c r="G44" s="25">
        <v>1.1599999999999999</v>
      </c>
    </row>
    <row r="45" spans="2:7">
      <c r="B45" s="27" t="s">
        <v>195</v>
      </c>
      <c r="C45" s="23" t="s">
        <v>196</v>
      </c>
      <c r="D45" s="23" t="s">
        <v>197</v>
      </c>
      <c r="E45" s="28">
        <v>362586</v>
      </c>
      <c r="F45" s="25">
        <v>8358.51</v>
      </c>
      <c r="G45" s="25">
        <v>1.1399999999999999</v>
      </c>
    </row>
    <row r="46" spans="2:7">
      <c r="B46" s="27" t="s">
        <v>62</v>
      </c>
      <c r="C46" s="23" t="s">
        <v>63</v>
      </c>
      <c r="D46" s="23" t="s">
        <v>64</v>
      </c>
      <c r="E46" s="28">
        <v>1024043</v>
      </c>
      <c r="F46" s="25">
        <v>8155.48</v>
      </c>
      <c r="G46" s="25">
        <v>1.1200000000000001</v>
      </c>
    </row>
    <row r="47" spans="2:7">
      <c r="B47" s="27" t="s">
        <v>187</v>
      </c>
      <c r="C47" s="23" t="s">
        <v>188</v>
      </c>
      <c r="D47" s="23" t="s">
        <v>134</v>
      </c>
      <c r="E47" s="28">
        <v>1202802</v>
      </c>
      <c r="F47" s="25">
        <v>8119.51</v>
      </c>
      <c r="G47" s="25">
        <v>1.1100000000000001</v>
      </c>
    </row>
    <row r="48" spans="2:7">
      <c r="B48" s="27" t="s">
        <v>191</v>
      </c>
      <c r="C48" s="23" t="s">
        <v>192</v>
      </c>
      <c r="D48" s="23" t="s">
        <v>148</v>
      </c>
      <c r="E48" s="28">
        <v>1350000</v>
      </c>
      <c r="F48" s="25">
        <v>7996.73</v>
      </c>
      <c r="G48" s="25">
        <v>1.0900000000000001</v>
      </c>
    </row>
    <row r="49" spans="2:7">
      <c r="B49" s="27" t="s">
        <v>116</v>
      </c>
      <c r="C49" s="23" t="s">
        <v>117</v>
      </c>
      <c r="D49" s="23" t="s">
        <v>67</v>
      </c>
      <c r="E49" s="28">
        <v>1506703</v>
      </c>
      <c r="F49" s="25">
        <v>7914.71</v>
      </c>
      <c r="G49" s="25">
        <v>1.08</v>
      </c>
    </row>
    <row r="50" spans="2:7">
      <c r="B50" s="27" t="s">
        <v>154</v>
      </c>
      <c r="C50" s="23" t="s">
        <v>155</v>
      </c>
      <c r="D50" s="23" t="s">
        <v>141</v>
      </c>
      <c r="E50" s="28">
        <v>218012</v>
      </c>
      <c r="F50" s="25">
        <v>7796.87</v>
      </c>
      <c r="G50" s="25">
        <v>1.07</v>
      </c>
    </row>
    <row r="51" spans="2:7">
      <c r="B51" s="27" t="s">
        <v>159</v>
      </c>
      <c r="C51" s="23" t="s">
        <v>160</v>
      </c>
      <c r="D51" s="23" t="s">
        <v>56</v>
      </c>
      <c r="E51" s="28">
        <v>488000</v>
      </c>
      <c r="F51" s="25">
        <v>7647.69</v>
      </c>
      <c r="G51" s="25">
        <v>1.05</v>
      </c>
    </row>
    <row r="52" spans="2:7">
      <c r="B52" s="27" t="s">
        <v>144</v>
      </c>
      <c r="C52" s="23" t="s">
        <v>145</v>
      </c>
      <c r="D52" s="23" t="s">
        <v>38</v>
      </c>
      <c r="E52" s="28">
        <v>374657</v>
      </c>
      <c r="F52" s="25">
        <v>7476.66</v>
      </c>
      <c r="G52" s="25">
        <v>1.02</v>
      </c>
    </row>
    <row r="53" spans="2:7">
      <c r="B53" s="27" t="s">
        <v>247</v>
      </c>
      <c r="C53" s="23" t="s">
        <v>248</v>
      </c>
      <c r="D53" s="23" t="s">
        <v>134</v>
      </c>
      <c r="E53" s="28">
        <v>2000000</v>
      </c>
      <c r="F53" s="25">
        <v>7225</v>
      </c>
      <c r="G53" s="25">
        <v>0.99</v>
      </c>
    </row>
    <row r="54" spans="2:7">
      <c r="B54" s="27" t="s">
        <v>229</v>
      </c>
      <c r="C54" s="23" t="s">
        <v>230</v>
      </c>
      <c r="D54" s="23" t="s">
        <v>151</v>
      </c>
      <c r="E54" s="28">
        <v>7500000</v>
      </c>
      <c r="F54" s="25">
        <v>7158.75</v>
      </c>
      <c r="G54" s="25">
        <v>0.98</v>
      </c>
    </row>
    <row r="55" spans="2:7">
      <c r="B55" s="27" t="s">
        <v>263</v>
      </c>
      <c r="C55" s="23" t="s">
        <v>264</v>
      </c>
      <c r="D55" s="23" t="s">
        <v>134</v>
      </c>
      <c r="E55" s="28">
        <v>375000</v>
      </c>
      <c r="F55" s="25">
        <v>6771.38</v>
      </c>
      <c r="G55" s="25">
        <v>0.93</v>
      </c>
    </row>
    <row r="56" spans="2:7">
      <c r="B56" s="27" t="s">
        <v>265</v>
      </c>
      <c r="C56" s="23" t="s">
        <v>266</v>
      </c>
      <c r="D56" s="23" t="s">
        <v>148</v>
      </c>
      <c r="E56" s="28">
        <v>1029191</v>
      </c>
      <c r="F56" s="25">
        <v>6582.71</v>
      </c>
      <c r="G56" s="25">
        <v>0.9</v>
      </c>
    </row>
    <row r="57" spans="2:7">
      <c r="B57" s="27" t="s">
        <v>267</v>
      </c>
      <c r="C57" s="23" t="s">
        <v>268</v>
      </c>
      <c r="D57" s="23" t="s">
        <v>269</v>
      </c>
      <c r="E57" s="28">
        <v>427028</v>
      </c>
      <c r="F57" s="25">
        <v>6139.81</v>
      </c>
      <c r="G57" s="25">
        <v>0.84</v>
      </c>
    </row>
    <row r="58" spans="2:7">
      <c r="B58" s="27" t="s">
        <v>193</v>
      </c>
      <c r="C58" s="23" t="s">
        <v>194</v>
      </c>
      <c r="D58" s="23" t="s">
        <v>169</v>
      </c>
      <c r="E58" s="28">
        <v>494365</v>
      </c>
      <c r="F58" s="25">
        <v>5972.92</v>
      </c>
      <c r="G58" s="25">
        <v>0.82</v>
      </c>
    </row>
    <row r="59" spans="2:7">
      <c r="B59" s="27" t="s">
        <v>270</v>
      </c>
      <c r="C59" s="23" t="s">
        <v>271</v>
      </c>
      <c r="D59" s="23" t="s">
        <v>272</v>
      </c>
      <c r="E59" s="28">
        <v>1196805</v>
      </c>
      <c r="F59" s="25">
        <v>4917.67</v>
      </c>
      <c r="G59" s="25">
        <v>0.67</v>
      </c>
    </row>
    <row r="60" spans="2:7">
      <c r="B60" s="27" t="s">
        <v>84</v>
      </c>
      <c r="C60" s="23" t="s">
        <v>85</v>
      </c>
      <c r="D60" s="23" t="s">
        <v>64</v>
      </c>
      <c r="E60" s="28">
        <v>80000</v>
      </c>
      <c r="F60" s="25">
        <v>4230.5200000000004</v>
      </c>
      <c r="G60" s="25">
        <v>0.57999999999999996</v>
      </c>
    </row>
    <row r="61" spans="2:7">
      <c r="B61" s="27" t="s">
        <v>249</v>
      </c>
      <c r="C61" s="23" t="s">
        <v>250</v>
      </c>
      <c r="D61" s="23" t="s">
        <v>127</v>
      </c>
      <c r="E61" s="28">
        <v>211479</v>
      </c>
      <c r="F61" s="25">
        <v>3511.29</v>
      </c>
      <c r="G61" s="25">
        <v>0.48</v>
      </c>
    </row>
    <row r="62" spans="2:7">
      <c r="B62" s="27" t="s">
        <v>47</v>
      </c>
      <c r="C62" s="23" t="s">
        <v>48</v>
      </c>
      <c r="D62" s="23" t="s">
        <v>49</v>
      </c>
      <c r="E62" s="28">
        <v>378781</v>
      </c>
      <c r="F62" s="25">
        <v>3507.32</v>
      </c>
      <c r="G62" s="25">
        <v>0.48</v>
      </c>
    </row>
    <row r="63" spans="2:7">
      <c r="B63" s="27" t="s">
        <v>273</v>
      </c>
      <c r="C63" s="23" t="s">
        <v>274</v>
      </c>
      <c r="D63" s="23" t="s">
        <v>41</v>
      </c>
      <c r="E63" s="28">
        <v>498790</v>
      </c>
      <c r="F63" s="25">
        <v>1645.76</v>
      </c>
      <c r="G63" s="25">
        <v>0.23</v>
      </c>
    </row>
    <row r="64" spans="2:7">
      <c r="B64" s="27" t="s">
        <v>259</v>
      </c>
      <c r="C64" s="23" t="s">
        <v>275</v>
      </c>
      <c r="D64" s="23" t="s">
        <v>214</v>
      </c>
      <c r="E64" s="28">
        <v>767000</v>
      </c>
      <c r="F64" s="25">
        <v>794.23</v>
      </c>
      <c r="G64" s="25">
        <v>0.11</v>
      </c>
    </row>
    <row r="65" spans="2:9">
      <c r="B65" s="29" t="s">
        <v>118</v>
      </c>
      <c r="C65" s="30"/>
      <c r="D65" s="30"/>
      <c r="E65" s="31"/>
      <c r="F65" s="32">
        <f>SUM(F7:F64)</f>
        <v>711017.5</v>
      </c>
      <c r="G65" s="32">
        <f>SUM(G7:G64)</f>
        <v>97.240000000000009</v>
      </c>
      <c r="H65" s="14"/>
      <c r="I65" s="14"/>
    </row>
    <row r="66" spans="2:9">
      <c r="B66" s="37" t="s">
        <v>119</v>
      </c>
      <c r="C66" s="37"/>
      <c r="D66" s="37"/>
      <c r="E66" s="38"/>
      <c r="F66" s="39">
        <f>F65</f>
        <v>711017.5</v>
      </c>
      <c r="G66" s="39">
        <f>G65</f>
        <v>97.240000000000009</v>
      </c>
      <c r="H66" s="14"/>
      <c r="I66" s="14"/>
    </row>
    <row r="67" spans="2:9">
      <c r="B67" s="40" t="s">
        <v>120</v>
      </c>
      <c r="C67" s="41"/>
      <c r="D67" s="41"/>
      <c r="E67" s="42"/>
      <c r="F67" s="43"/>
      <c r="G67" s="43"/>
    </row>
    <row r="68" spans="2:9">
      <c r="B68" s="27" t="s">
        <v>120</v>
      </c>
      <c r="C68" s="23"/>
      <c r="D68" s="23"/>
      <c r="E68" s="24"/>
      <c r="F68" s="25">
        <v>21743.96</v>
      </c>
      <c r="G68" s="25">
        <v>2.97</v>
      </c>
    </row>
    <row r="69" spans="2:9">
      <c r="B69" s="29" t="s">
        <v>118</v>
      </c>
      <c r="C69" s="30"/>
      <c r="D69" s="30"/>
      <c r="E69" s="31"/>
      <c r="F69" s="32">
        <f>SUM(F67:F68)</f>
        <v>21743.96</v>
      </c>
      <c r="G69" s="32">
        <f>SUM(G67:G68)</f>
        <v>2.97</v>
      </c>
      <c r="H69" s="14"/>
      <c r="I69" s="14"/>
    </row>
    <row r="70" spans="2:9">
      <c r="B70" s="34" t="s">
        <v>119</v>
      </c>
      <c r="C70" s="34"/>
      <c r="D70" s="34"/>
      <c r="E70" s="35"/>
      <c r="F70" s="36">
        <f>F69</f>
        <v>21743.96</v>
      </c>
      <c r="G70" s="36">
        <f>G69</f>
        <v>2.97</v>
      </c>
      <c r="H70" s="14"/>
      <c r="I70" s="14"/>
    </row>
    <row r="71" spans="2:9">
      <c r="B71" s="44" t="s">
        <v>122</v>
      </c>
      <c r="C71" s="44"/>
      <c r="D71" s="44"/>
      <c r="E71" s="45"/>
      <c r="F71" s="16">
        <f>F72-(+F66+F70)</f>
        <v>-1476.2099999999627</v>
      </c>
      <c r="G71" s="16">
        <f>G72-(+G66+G70)</f>
        <v>-0.21000000000000796</v>
      </c>
      <c r="H71" s="14"/>
      <c r="I71" s="14"/>
    </row>
    <row r="72" spans="2:9">
      <c r="B72" s="44" t="s">
        <v>121</v>
      </c>
      <c r="C72" s="44"/>
      <c r="D72" s="44"/>
      <c r="E72" s="45"/>
      <c r="F72" s="16">
        <v>731285.25</v>
      </c>
      <c r="G72" s="16">
        <v>100</v>
      </c>
      <c r="H72" s="14"/>
      <c r="I72" s="14"/>
    </row>
    <row r="74" spans="2:9">
      <c r="B74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2"/>
  <sheetViews>
    <sheetView workbookViewId="0">
      <selection activeCell="H2" sqref="H1:H1048576"/>
    </sheetView>
  </sheetViews>
  <sheetFormatPr defaultRowHeight="12"/>
  <cols>
    <col min="1" max="1" width="9.140625" style="1"/>
    <col min="2" max="2" width="60.85546875" style="1" bestFit="1" customWidth="1"/>
    <col min="3" max="3" width="13.85546875" style="1" bestFit="1" customWidth="1"/>
    <col min="4" max="4" width="21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61" t="s">
        <v>12</v>
      </c>
      <c r="C1" s="62"/>
      <c r="D1" s="62"/>
      <c r="E1" s="62"/>
      <c r="F1" s="62"/>
      <c r="G1" s="62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31</v>
      </c>
      <c r="C5" s="18"/>
      <c r="D5" s="18"/>
      <c r="E5" s="19"/>
      <c r="F5" s="20"/>
      <c r="G5" s="20"/>
    </row>
    <row r="6" spans="2:7">
      <c r="B6" s="22" t="s">
        <v>32</v>
      </c>
      <c r="C6" s="23"/>
      <c r="D6" s="23"/>
      <c r="E6" s="24"/>
      <c r="F6" s="25"/>
      <c r="G6" s="25"/>
    </row>
    <row r="7" spans="2:7">
      <c r="B7" s="27" t="s">
        <v>36</v>
      </c>
      <c r="C7" s="23" t="s">
        <v>37</v>
      </c>
      <c r="D7" s="23" t="s">
        <v>38</v>
      </c>
      <c r="E7" s="28">
        <v>642000</v>
      </c>
      <c r="F7" s="25">
        <v>3435.02</v>
      </c>
      <c r="G7" s="25">
        <v>6.98</v>
      </c>
    </row>
    <row r="8" spans="2:7">
      <c r="B8" s="27" t="s">
        <v>123</v>
      </c>
      <c r="C8" s="23" t="s">
        <v>124</v>
      </c>
      <c r="D8" s="23" t="s">
        <v>38</v>
      </c>
      <c r="E8" s="28">
        <v>230800</v>
      </c>
      <c r="F8" s="25">
        <v>3314.98</v>
      </c>
      <c r="G8" s="25">
        <v>6.73</v>
      </c>
    </row>
    <row r="9" spans="2:7">
      <c r="B9" s="27" t="s">
        <v>135</v>
      </c>
      <c r="C9" s="23" t="s">
        <v>136</v>
      </c>
      <c r="D9" s="23" t="s">
        <v>134</v>
      </c>
      <c r="E9" s="28">
        <v>47175</v>
      </c>
      <c r="F9" s="25">
        <v>2498.0100000000002</v>
      </c>
      <c r="G9" s="25">
        <v>5.07</v>
      </c>
    </row>
    <row r="10" spans="2:7">
      <c r="B10" s="27" t="s">
        <v>189</v>
      </c>
      <c r="C10" s="23" t="s">
        <v>190</v>
      </c>
      <c r="D10" s="23" t="s">
        <v>141</v>
      </c>
      <c r="E10" s="28">
        <v>78175</v>
      </c>
      <c r="F10" s="25">
        <v>2161.15</v>
      </c>
      <c r="G10" s="25">
        <v>4.3899999999999997</v>
      </c>
    </row>
    <row r="11" spans="2:7">
      <c r="B11" s="27" t="s">
        <v>54</v>
      </c>
      <c r="C11" s="23" t="s">
        <v>55</v>
      </c>
      <c r="D11" s="23" t="s">
        <v>56</v>
      </c>
      <c r="E11" s="28">
        <v>252500</v>
      </c>
      <c r="F11" s="25">
        <v>2084.77</v>
      </c>
      <c r="G11" s="25">
        <v>4.2300000000000004</v>
      </c>
    </row>
    <row r="12" spans="2:7">
      <c r="B12" s="27" t="s">
        <v>217</v>
      </c>
      <c r="C12" s="23" t="s">
        <v>218</v>
      </c>
      <c r="D12" s="23" t="s">
        <v>141</v>
      </c>
      <c r="E12" s="28">
        <v>73500</v>
      </c>
      <c r="F12" s="25">
        <v>2051.5</v>
      </c>
      <c r="G12" s="25">
        <v>4.17</v>
      </c>
    </row>
    <row r="13" spans="2:7">
      <c r="B13" s="27" t="s">
        <v>239</v>
      </c>
      <c r="C13" s="23" t="s">
        <v>240</v>
      </c>
      <c r="D13" s="23" t="s">
        <v>141</v>
      </c>
      <c r="E13" s="28">
        <v>285000</v>
      </c>
      <c r="F13" s="25">
        <v>1681.22</v>
      </c>
      <c r="G13" s="25">
        <v>3.41</v>
      </c>
    </row>
    <row r="14" spans="2:7">
      <c r="B14" s="27" t="s">
        <v>132</v>
      </c>
      <c r="C14" s="23" t="s">
        <v>133</v>
      </c>
      <c r="D14" s="23" t="s">
        <v>134</v>
      </c>
      <c r="E14" s="28">
        <v>60000</v>
      </c>
      <c r="F14" s="25">
        <v>1535.19</v>
      </c>
      <c r="G14" s="25">
        <v>3.12</v>
      </c>
    </row>
    <row r="15" spans="2:7">
      <c r="B15" s="27" t="s">
        <v>149</v>
      </c>
      <c r="C15" s="23" t="s">
        <v>150</v>
      </c>
      <c r="D15" s="23" t="s">
        <v>151</v>
      </c>
      <c r="E15" s="28">
        <v>19250</v>
      </c>
      <c r="F15" s="25">
        <v>1472.55</v>
      </c>
      <c r="G15" s="25">
        <v>2.99</v>
      </c>
    </row>
    <row r="16" spans="2:7">
      <c r="B16" s="27" t="s">
        <v>52</v>
      </c>
      <c r="C16" s="23" t="s">
        <v>53</v>
      </c>
      <c r="D16" s="23" t="s">
        <v>38</v>
      </c>
      <c r="E16" s="28">
        <v>527755</v>
      </c>
      <c r="F16" s="25">
        <v>1451.06</v>
      </c>
      <c r="G16" s="25">
        <v>2.95</v>
      </c>
    </row>
    <row r="17" spans="2:7">
      <c r="B17" s="27" t="s">
        <v>241</v>
      </c>
      <c r="C17" s="23" t="s">
        <v>242</v>
      </c>
      <c r="D17" s="23" t="s">
        <v>56</v>
      </c>
      <c r="E17" s="28">
        <v>145000</v>
      </c>
      <c r="F17" s="25">
        <v>1328.42</v>
      </c>
      <c r="G17" s="25">
        <v>2.7</v>
      </c>
    </row>
    <row r="18" spans="2:7">
      <c r="B18" s="27" t="s">
        <v>74</v>
      </c>
      <c r="C18" s="23" t="s">
        <v>75</v>
      </c>
      <c r="D18" s="23" t="s">
        <v>56</v>
      </c>
      <c r="E18" s="28">
        <v>338791</v>
      </c>
      <c r="F18" s="25">
        <v>1289.27</v>
      </c>
      <c r="G18" s="25">
        <v>2.62</v>
      </c>
    </row>
    <row r="19" spans="2:7">
      <c r="B19" s="27" t="s">
        <v>223</v>
      </c>
      <c r="C19" s="23" t="s">
        <v>224</v>
      </c>
      <c r="D19" s="23" t="s">
        <v>127</v>
      </c>
      <c r="E19" s="28">
        <v>19660</v>
      </c>
      <c r="F19" s="25">
        <v>1259.6600000000001</v>
      </c>
      <c r="G19" s="25">
        <v>2.56</v>
      </c>
    </row>
    <row r="20" spans="2:7">
      <c r="B20" s="27" t="s">
        <v>139</v>
      </c>
      <c r="C20" s="23" t="s">
        <v>140</v>
      </c>
      <c r="D20" s="23" t="s">
        <v>141</v>
      </c>
      <c r="E20" s="28">
        <v>44850</v>
      </c>
      <c r="F20" s="25">
        <v>1074.3399999999999</v>
      </c>
      <c r="G20" s="25">
        <v>2.1800000000000002</v>
      </c>
    </row>
    <row r="21" spans="2:7">
      <c r="B21" s="27" t="s">
        <v>276</v>
      </c>
      <c r="C21" s="23" t="s">
        <v>277</v>
      </c>
      <c r="D21" s="23" t="s">
        <v>141</v>
      </c>
      <c r="E21" s="28">
        <v>200000</v>
      </c>
      <c r="F21" s="25">
        <v>1068</v>
      </c>
      <c r="G21" s="25">
        <v>2.17</v>
      </c>
    </row>
    <row r="22" spans="2:7">
      <c r="B22" s="27" t="s">
        <v>82</v>
      </c>
      <c r="C22" s="23" t="s">
        <v>83</v>
      </c>
      <c r="D22" s="23" t="s">
        <v>56</v>
      </c>
      <c r="E22" s="28">
        <v>7901</v>
      </c>
      <c r="F22" s="25">
        <v>1062.57</v>
      </c>
      <c r="G22" s="25">
        <v>2.16</v>
      </c>
    </row>
    <row r="23" spans="2:7">
      <c r="B23" s="27" t="s">
        <v>221</v>
      </c>
      <c r="C23" s="23" t="s">
        <v>222</v>
      </c>
      <c r="D23" s="23" t="s">
        <v>151</v>
      </c>
      <c r="E23" s="28">
        <v>29500</v>
      </c>
      <c r="F23" s="25">
        <v>1015.99</v>
      </c>
      <c r="G23" s="25">
        <v>2.06</v>
      </c>
    </row>
    <row r="24" spans="2:7">
      <c r="B24" s="27" t="s">
        <v>278</v>
      </c>
      <c r="C24" s="23" t="s">
        <v>279</v>
      </c>
      <c r="D24" s="23" t="s">
        <v>56</v>
      </c>
      <c r="E24" s="28">
        <v>438587</v>
      </c>
      <c r="F24" s="25">
        <v>985.5</v>
      </c>
      <c r="G24" s="25">
        <v>2</v>
      </c>
    </row>
    <row r="25" spans="2:7">
      <c r="B25" s="27" t="s">
        <v>68</v>
      </c>
      <c r="C25" s="23" t="s">
        <v>69</v>
      </c>
      <c r="D25" s="23" t="s">
        <v>56</v>
      </c>
      <c r="E25" s="28">
        <v>41870</v>
      </c>
      <c r="F25" s="25">
        <v>985.12</v>
      </c>
      <c r="G25" s="25">
        <v>2</v>
      </c>
    </row>
    <row r="26" spans="2:7">
      <c r="B26" s="27" t="s">
        <v>237</v>
      </c>
      <c r="C26" s="23" t="s">
        <v>238</v>
      </c>
      <c r="D26" s="23" t="s">
        <v>127</v>
      </c>
      <c r="E26" s="28">
        <v>20499</v>
      </c>
      <c r="F26" s="25">
        <v>975.32</v>
      </c>
      <c r="G26" s="25">
        <v>1.98</v>
      </c>
    </row>
    <row r="27" spans="2:7">
      <c r="B27" s="27" t="s">
        <v>112</v>
      </c>
      <c r="C27" s="23" t="s">
        <v>113</v>
      </c>
      <c r="D27" s="23" t="s">
        <v>56</v>
      </c>
      <c r="E27" s="28">
        <v>105000</v>
      </c>
      <c r="F27" s="25">
        <v>841.16</v>
      </c>
      <c r="G27" s="25">
        <v>1.71</v>
      </c>
    </row>
    <row r="28" spans="2:7">
      <c r="B28" s="27" t="s">
        <v>154</v>
      </c>
      <c r="C28" s="23" t="s">
        <v>155</v>
      </c>
      <c r="D28" s="23" t="s">
        <v>141</v>
      </c>
      <c r="E28" s="28">
        <v>23500</v>
      </c>
      <c r="F28" s="25">
        <v>840.44</v>
      </c>
      <c r="G28" s="25">
        <v>1.71</v>
      </c>
    </row>
    <row r="29" spans="2:7">
      <c r="B29" s="27" t="s">
        <v>280</v>
      </c>
      <c r="C29" s="23" t="s">
        <v>281</v>
      </c>
      <c r="D29" s="23" t="s">
        <v>127</v>
      </c>
      <c r="E29" s="28">
        <v>21597</v>
      </c>
      <c r="F29" s="25">
        <v>816.8</v>
      </c>
      <c r="G29" s="25">
        <v>1.66</v>
      </c>
    </row>
    <row r="30" spans="2:7">
      <c r="B30" s="27" t="s">
        <v>282</v>
      </c>
      <c r="C30" s="23" t="s">
        <v>283</v>
      </c>
      <c r="D30" s="23" t="s">
        <v>141</v>
      </c>
      <c r="E30" s="28">
        <v>202500</v>
      </c>
      <c r="F30" s="25">
        <v>815.37</v>
      </c>
      <c r="G30" s="25">
        <v>1.66</v>
      </c>
    </row>
    <row r="31" spans="2:7">
      <c r="B31" s="27" t="s">
        <v>251</v>
      </c>
      <c r="C31" s="23" t="s">
        <v>252</v>
      </c>
      <c r="D31" s="23" t="s">
        <v>38</v>
      </c>
      <c r="E31" s="28">
        <v>88500</v>
      </c>
      <c r="F31" s="25">
        <v>754.55</v>
      </c>
      <c r="G31" s="25">
        <v>1.53</v>
      </c>
    </row>
    <row r="32" spans="2:7">
      <c r="B32" s="27" t="s">
        <v>128</v>
      </c>
      <c r="C32" s="23" t="s">
        <v>129</v>
      </c>
      <c r="D32" s="23" t="s">
        <v>88</v>
      </c>
      <c r="E32" s="28">
        <v>38000</v>
      </c>
      <c r="F32" s="25">
        <v>754.41</v>
      </c>
      <c r="G32" s="25">
        <v>1.53</v>
      </c>
    </row>
    <row r="33" spans="2:7">
      <c r="B33" s="27" t="s">
        <v>247</v>
      </c>
      <c r="C33" s="23" t="s">
        <v>248</v>
      </c>
      <c r="D33" s="23" t="s">
        <v>134</v>
      </c>
      <c r="E33" s="28">
        <v>200000</v>
      </c>
      <c r="F33" s="25">
        <v>722.5</v>
      </c>
      <c r="G33" s="25">
        <v>1.47</v>
      </c>
    </row>
    <row r="34" spans="2:7">
      <c r="B34" s="27" t="s">
        <v>229</v>
      </c>
      <c r="C34" s="23" t="s">
        <v>230</v>
      </c>
      <c r="D34" s="23" t="s">
        <v>151</v>
      </c>
      <c r="E34" s="28">
        <v>750000</v>
      </c>
      <c r="F34" s="25">
        <v>715.88</v>
      </c>
      <c r="G34" s="25">
        <v>1.45</v>
      </c>
    </row>
    <row r="35" spans="2:7">
      <c r="B35" s="27" t="s">
        <v>137</v>
      </c>
      <c r="C35" s="23" t="s">
        <v>138</v>
      </c>
      <c r="D35" s="23" t="s">
        <v>38</v>
      </c>
      <c r="E35" s="28">
        <v>115000</v>
      </c>
      <c r="F35" s="25">
        <v>713.52</v>
      </c>
      <c r="G35" s="25">
        <v>1.45</v>
      </c>
    </row>
    <row r="36" spans="2:7">
      <c r="B36" s="27" t="s">
        <v>200</v>
      </c>
      <c r="C36" s="23" t="s">
        <v>201</v>
      </c>
      <c r="D36" s="23" t="s">
        <v>134</v>
      </c>
      <c r="E36" s="28">
        <v>126054</v>
      </c>
      <c r="F36" s="25">
        <v>700.61</v>
      </c>
      <c r="G36" s="25">
        <v>1.42</v>
      </c>
    </row>
    <row r="37" spans="2:7">
      <c r="B37" s="27" t="s">
        <v>284</v>
      </c>
      <c r="C37" s="23" t="s">
        <v>285</v>
      </c>
      <c r="D37" s="23" t="s">
        <v>141</v>
      </c>
      <c r="E37" s="28">
        <v>91000</v>
      </c>
      <c r="F37" s="25">
        <v>691.1</v>
      </c>
      <c r="G37" s="25">
        <v>1.4</v>
      </c>
    </row>
    <row r="38" spans="2:7">
      <c r="B38" s="27" t="s">
        <v>257</v>
      </c>
      <c r="C38" s="23" t="s">
        <v>258</v>
      </c>
      <c r="D38" s="23" t="s">
        <v>141</v>
      </c>
      <c r="E38" s="28">
        <v>112000</v>
      </c>
      <c r="F38" s="25">
        <v>680.68</v>
      </c>
      <c r="G38" s="25">
        <v>1.38</v>
      </c>
    </row>
    <row r="39" spans="2:7">
      <c r="B39" s="27" t="s">
        <v>210</v>
      </c>
      <c r="C39" s="23" t="s">
        <v>211</v>
      </c>
      <c r="D39" s="23" t="s">
        <v>141</v>
      </c>
      <c r="E39" s="28">
        <v>3400</v>
      </c>
      <c r="F39" s="25">
        <v>625.27</v>
      </c>
      <c r="G39" s="25">
        <v>1.27</v>
      </c>
    </row>
    <row r="40" spans="2:7">
      <c r="B40" s="27" t="s">
        <v>146</v>
      </c>
      <c r="C40" s="23" t="s">
        <v>147</v>
      </c>
      <c r="D40" s="23" t="s">
        <v>148</v>
      </c>
      <c r="E40" s="28">
        <v>15625</v>
      </c>
      <c r="F40" s="25">
        <v>600.29999999999995</v>
      </c>
      <c r="G40" s="25">
        <v>1.22</v>
      </c>
    </row>
    <row r="41" spans="2:7">
      <c r="B41" s="27" t="s">
        <v>176</v>
      </c>
      <c r="C41" s="23" t="s">
        <v>177</v>
      </c>
      <c r="D41" s="23" t="s">
        <v>178</v>
      </c>
      <c r="E41" s="28">
        <v>35000</v>
      </c>
      <c r="F41" s="25">
        <v>576.21</v>
      </c>
      <c r="G41" s="25">
        <v>1.17</v>
      </c>
    </row>
    <row r="42" spans="2:7">
      <c r="B42" s="27" t="s">
        <v>156</v>
      </c>
      <c r="C42" s="23" t="s">
        <v>157</v>
      </c>
      <c r="D42" s="23" t="s">
        <v>158</v>
      </c>
      <c r="E42" s="28">
        <v>26082</v>
      </c>
      <c r="F42" s="25">
        <v>572.51</v>
      </c>
      <c r="G42" s="25">
        <v>1.1599999999999999</v>
      </c>
    </row>
    <row r="43" spans="2:7">
      <c r="B43" s="27" t="s">
        <v>212</v>
      </c>
      <c r="C43" s="23" t="s">
        <v>213</v>
      </c>
      <c r="D43" s="23" t="s">
        <v>214</v>
      </c>
      <c r="E43" s="28">
        <v>20000</v>
      </c>
      <c r="F43" s="25">
        <v>552.72</v>
      </c>
      <c r="G43" s="25">
        <v>1.1200000000000001</v>
      </c>
    </row>
    <row r="44" spans="2:7">
      <c r="B44" s="27" t="s">
        <v>181</v>
      </c>
      <c r="C44" s="23" t="s">
        <v>182</v>
      </c>
      <c r="D44" s="23" t="s">
        <v>56</v>
      </c>
      <c r="E44" s="28">
        <v>20750</v>
      </c>
      <c r="F44" s="25">
        <v>545.52</v>
      </c>
      <c r="G44" s="25">
        <v>1.1100000000000001</v>
      </c>
    </row>
    <row r="45" spans="2:7">
      <c r="B45" s="27" t="s">
        <v>231</v>
      </c>
      <c r="C45" s="23" t="s">
        <v>232</v>
      </c>
      <c r="D45" s="23" t="s">
        <v>134</v>
      </c>
      <c r="E45" s="28">
        <v>105000</v>
      </c>
      <c r="F45" s="25">
        <v>523.79</v>
      </c>
      <c r="G45" s="25">
        <v>1.06</v>
      </c>
    </row>
    <row r="46" spans="2:7">
      <c r="B46" s="27" t="s">
        <v>259</v>
      </c>
      <c r="C46" s="23" t="s">
        <v>260</v>
      </c>
      <c r="D46" s="23" t="s">
        <v>214</v>
      </c>
      <c r="E46" s="28">
        <v>305000</v>
      </c>
      <c r="F46" s="25">
        <v>505.08</v>
      </c>
      <c r="G46" s="25">
        <v>1.03</v>
      </c>
    </row>
    <row r="47" spans="2:7">
      <c r="B47" s="27" t="s">
        <v>204</v>
      </c>
      <c r="C47" s="23" t="s">
        <v>205</v>
      </c>
      <c r="D47" s="23" t="s">
        <v>134</v>
      </c>
      <c r="E47" s="28">
        <v>72000</v>
      </c>
      <c r="F47" s="25">
        <v>487.08</v>
      </c>
      <c r="G47" s="25">
        <v>0.99</v>
      </c>
    </row>
    <row r="48" spans="2:7">
      <c r="B48" s="27" t="s">
        <v>161</v>
      </c>
      <c r="C48" s="23" t="s">
        <v>162</v>
      </c>
      <c r="D48" s="23" t="s">
        <v>148</v>
      </c>
      <c r="E48" s="28">
        <v>57500</v>
      </c>
      <c r="F48" s="25">
        <v>471.47</v>
      </c>
      <c r="G48" s="25">
        <v>0.96</v>
      </c>
    </row>
    <row r="49" spans="2:9">
      <c r="B49" s="27" t="s">
        <v>163</v>
      </c>
      <c r="C49" s="23" t="s">
        <v>164</v>
      </c>
      <c r="D49" s="23" t="s">
        <v>134</v>
      </c>
      <c r="E49" s="28">
        <v>26000</v>
      </c>
      <c r="F49" s="25">
        <v>449.98</v>
      </c>
      <c r="G49" s="25">
        <v>0.91</v>
      </c>
    </row>
    <row r="50" spans="2:9">
      <c r="B50" s="27" t="s">
        <v>286</v>
      </c>
      <c r="C50" s="23" t="s">
        <v>287</v>
      </c>
      <c r="D50" s="23" t="s">
        <v>141</v>
      </c>
      <c r="E50" s="28">
        <v>49000</v>
      </c>
      <c r="F50" s="25">
        <v>362.67</v>
      </c>
      <c r="G50" s="25">
        <v>0.74</v>
      </c>
    </row>
    <row r="51" spans="2:9">
      <c r="B51" s="27" t="s">
        <v>208</v>
      </c>
      <c r="C51" s="23" t="s">
        <v>209</v>
      </c>
      <c r="D51" s="23" t="s">
        <v>134</v>
      </c>
      <c r="E51" s="28">
        <v>42500</v>
      </c>
      <c r="F51" s="25">
        <v>361.7</v>
      </c>
      <c r="G51" s="25">
        <v>0.73</v>
      </c>
    </row>
    <row r="52" spans="2:9">
      <c r="B52" s="27" t="s">
        <v>206</v>
      </c>
      <c r="C52" s="23" t="s">
        <v>207</v>
      </c>
      <c r="D52" s="23" t="s">
        <v>67</v>
      </c>
      <c r="E52" s="28">
        <v>125000</v>
      </c>
      <c r="F52" s="25">
        <v>315.06</v>
      </c>
      <c r="G52" s="25">
        <v>0.64</v>
      </c>
    </row>
    <row r="53" spans="2:9">
      <c r="B53" s="29" t="s">
        <v>118</v>
      </c>
      <c r="C53" s="30"/>
      <c r="D53" s="30"/>
      <c r="E53" s="31"/>
      <c r="F53" s="32">
        <f>SUM(F7:F52)</f>
        <v>48726.020000000011</v>
      </c>
      <c r="G53" s="32">
        <f>SUM(G7:G52)</f>
        <v>98.949999999999989</v>
      </c>
      <c r="H53" s="14"/>
      <c r="I53" s="14"/>
    </row>
    <row r="54" spans="2:9">
      <c r="B54" s="37" t="s">
        <v>119</v>
      </c>
      <c r="C54" s="37"/>
      <c r="D54" s="37"/>
      <c r="E54" s="38"/>
      <c r="F54" s="39">
        <f>F53</f>
        <v>48726.020000000011</v>
      </c>
      <c r="G54" s="39">
        <f>G53</f>
        <v>98.949999999999989</v>
      </c>
      <c r="H54" s="14"/>
      <c r="I54" s="14"/>
    </row>
    <row r="55" spans="2:9">
      <c r="B55" s="40" t="s">
        <v>120</v>
      </c>
      <c r="C55" s="41"/>
      <c r="D55" s="41"/>
      <c r="E55" s="42"/>
      <c r="F55" s="43"/>
      <c r="G55" s="43"/>
    </row>
    <row r="56" spans="2:9">
      <c r="B56" s="27" t="s">
        <v>120</v>
      </c>
      <c r="C56" s="23"/>
      <c r="D56" s="23"/>
      <c r="E56" s="24"/>
      <c r="F56" s="25">
        <v>785.23</v>
      </c>
      <c r="G56" s="25">
        <v>1.59</v>
      </c>
    </row>
    <row r="57" spans="2:9">
      <c r="B57" s="29" t="s">
        <v>118</v>
      </c>
      <c r="C57" s="30"/>
      <c r="D57" s="30"/>
      <c r="E57" s="31"/>
      <c r="F57" s="32">
        <f>SUM(F55:F56)</f>
        <v>785.23</v>
      </c>
      <c r="G57" s="32">
        <f>SUM(G55:G56)</f>
        <v>1.59</v>
      </c>
      <c r="H57" s="14"/>
      <c r="I57" s="14"/>
    </row>
    <row r="58" spans="2:9">
      <c r="B58" s="34" t="s">
        <v>119</v>
      </c>
      <c r="C58" s="34"/>
      <c r="D58" s="34"/>
      <c r="E58" s="35"/>
      <c r="F58" s="36">
        <f>F57</f>
        <v>785.23</v>
      </c>
      <c r="G58" s="36">
        <f>G57</f>
        <v>1.59</v>
      </c>
      <c r="H58" s="14"/>
      <c r="I58" s="14"/>
    </row>
    <row r="59" spans="2:9">
      <c r="B59" s="44" t="s">
        <v>122</v>
      </c>
      <c r="C59" s="44"/>
      <c r="D59" s="44"/>
      <c r="E59" s="45"/>
      <c r="F59" s="16">
        <f>F60-(+F54+F58)</f>
        <v>-269.5800000000163</v>
      </c>
      <c r="G59" s="16">
        <f>G60-(+G54+G58)</f>
        <v>-0.53999999999999204</v>
      </c>
      <c r="H59" s="14"/>
      <c r="I59" s="14"/>
    </row>
    <row r="60" spans="2:9">
      <c r="B60" s="44" t="s">
        <v>121</v>
      </c>
      <c r="C60" s="44"/>
      <c r="D60" s="44"/>
      <c r="E60" s="45"/>
      <c r="F60" s="16">
        <v>49241.67</v>
      </c>
      <c r="G60" s="16">
        <v>100</v>
      </c>
      <c r="H60" s="14"/>
      <c r="I60" s="14"/>
    </row>
    <row r="62" spans="2:9">
      <c r="B62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0"/>
  <sheetViews>
    <sheetView workbookViewId="0">
      <selection activeCell="H1" sqref="H1"/>
    </sheetView>
  </sheetViews>
  <sheetFormatPr defaultRowHeight="12"/>
  <cols>
    <col min="1" max="1" width="9.140625" style="1"/>
    <col min="2" max="2" width="60.8554687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61" t="s">
        <v>13</v>
      </c>
      <c r="C1" s="62"/>
      <c r="D1" s="62"/>
      <c r="E1" s="62"/>
      <c r="F1" s="62"/>
      <c r="G1" s="62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31</v>
      </c>
      <c r="C5" s="18"/>
      <c r="D5" s="18"/>
      <c r="E5" s="19"/>
      <c r="F5" s="20"/>
      <c r="G5" s="20"/>
    </row>
    <row r="6" spans="2:7">
      <c r="B6" s="22" t="s">
        <v>32</v>
      </c>
      <c r="C6" s="23"/>
      <c r="D6" s="23"/>
      <c r="E6" s="24"/>
      <c r="F6" s="25"/>
      <c r="G6" s="25"/>
    </row>
    <row r="7" spans="2:7">
      <c r="B7" s="27" t="s">
        <v>123</v>
      </c>
      <c r="C7" s="23" t="s">
        <v>124</v>
      </c>
      <c r="D7" s="23" t="s">
        <v>38</v>
      </c>
      <c r="E7" s="28">
        <v>819700</v>
      </c>
      <c r="F7" s="25">
        <v>11773.35</v>
      </c>
      <c r="G7" s="25">
        <v>8.6300000000000008</v>
      </c>
    </row>
    <row r="8" spans="2:7">
      <c r="B8" s="27" t="s">
        <v>125</v>
      </c>
      <c r="C8" s="23" t="s">
        <v>126</v>
      </c>
      <c r="D8" s="23" t="s">
        <v>127</v>
      </c>
      <c r="E8" s="28">
        <v>884142</v>
      </c>
      <c r="F8" s="25">
        <v>11103.06</v>
      </c>
      <c r="G8" s="25">
        <v>8.14</v>
      </c>
    </row>
    <row r="9" spans="2:7">
      <c r="B9" s="27" t="s">
        <v>36</v>
      </c>
      <c r="C9" s="23" t="s">
        <v>37</v>
      </c>
      <c r="D9" s="23" t="s">
        <v>38</v>
      </c>
      <c r="E9" s="28">
        <v>1870600</v>
      </c>
      <c r="F9" s="25">
        <v>10008.65</v>
      </c>
      <c r="G9" s="25">
        <v>7.34</v>
      </c>
    </row>
    <row r="10" spans="2:7">
      <c r="B10" s="27" t="s">
        <v>128</v>
      </c>
      <c r="C10" s="23" t="s">
        <v>129</v>
      </c>
      <c r="D10" s="23" t="s">
        <v>88</v>
      </c>
      <c r="E10" s="28">
        <v>472250</v>
      </c>
      <c r="F10" s="25">
        <v>9375.58</v>
      </c>
      <c r="G10" s="25">
        <v>6.87</v>
      </c>
    </row>
    <row r="11" spans="2:7">
      <c r="B11" s="27" t="s">
        <v>132</v>
      </c>
      <c r="C11" s="23" t="s">
        <v>133</v>
      </c>
      <c r="D11" s="23" t="s">
        <v>134</v>
      </c>
      <c r="E11" s="28">
        <v>253450</v>
      </c>
      <c r="F11" s="25">
        <v>6484.9</v>
      </c>
      <c r="G11" s="25">
        <v>4.75</v>
      </c>
    </row>
    <row r="12" spans="2:7">
      <c r="B12" s="27" t="s">
        <v>130</v>
      </c>
      <c r="C12" s="23" t="s">
        <v>131</v>
      </c>
      <c r="D12" s="23" t="s">
        <v>127</v>
      </c>
      <c r="E12" s="28">
        <v>172050</v>
      </c>
      <c r="F12" s="25">
        <v>4925.3599999999997</v>
      </c>
      <c r="G12" s="25">
        <v>3.61</v>
      </c>
    </row>
    <row r="13" spans="2:7">
      <c r="B13" s="27" t="s">
        <v>142</v>
      </c>
      <c r="C13" s="23" t="s">
        <v>143</v>
      </c>
      <c r="D13" s="23" t="s">
        <v>127</v>
      </c>
      <c r="E13" s="28">
        <v>507000</v>
      </c>
      <c r="F13" s="25">
        <v>4796.9799999999996</v>
      </c>
      <c r="G13" s="25">
        <v>3.52</v>
      </c>
    </row>
    <row r="14" spans="2:7">
      <c r="B14" s="27" t="s">
        <v>135</v>
      </c>
      <c r="C14" s="23" t="s">
        <v>136</v>
      </c>
      <c r="D14" s="23" t="s">
        <v>134</v>
      </c>
      <c r="E14" s="28">
        <v>80934</v>
      </c>
      <c r="F14" s="25">
        <v>4285.62</v>
      </c>
      <c r="G14" s="25">
        <v>3.14</v>
      </c>
    </row>
    <row r="15" spans="2:7">
      <c r="B15" s="27" t="s">
        <v>137</v>
      </c>
      <c r="C15" s="23" t="s">
        <v>138</v>
      </c>
      <c r="D15" s="23" t="s">
        <v>38</v>
      </c>
      <c r="E15" s="28">
        <v>689200</v>
      </c>
      <c r="F15" s="25">
        <v>4276.1400000000003</v>
      </c>
      <c r="G15" s="25">
        <v>3.13</v>
      </c>
    </row>
    <row r="16" spans="2:7">
      <c r="B16" s="27" t="s">
        <v>107</v>
      </c>
      <c r="C16" s="23" t="s">
        <v>108</v>
      </c>
      <c r="D16" s="23" t="s">
        <v>109</v>
      </c>
      <c r="E16" s="28">
        <v>833316</v>
      </c>
      <c r="F16" s="25">
        <v>4247.41</v>
      </c>
      <c r="G16" s="25">
        <v>3.11</v>
      </c>
    </row>
    <row r="17" spans="2:7">
      <c r="B17" s="27" t="s">
        <v>149</v>
      </c>
      <c r="C17" s="23" t="s">
        <v>150</v>
      </c>
      <c r="D17" s="23" t="s">
        <v>151</v>
      </c>
      <c r="E17" s="28">
        <v>47900</v>
      </c>
      <c r="F17" s="25">
        <v>3664.16</v>
      </c>
      <c r="G17" s="25">
        <v>2.69</v>
      </c>
    </row>
    <row r="18" spans="2:7">
      <c r="B18" s="27" t="s">
        <v>33</v>
      </c>
      <c r="C18" s="23" t="s">
        <v>34</v>
      </c>
      <c r="D18" s="23" t="s">
        <v>35</v>
      </c>
      <c r="E18" s="28">
        <v>275685</v>
      </c>
      <c r="F18" s="25">
        <v>3549.72</v>
      </c>
      <c r="G18" s="25">
        <v>2.6</v>
      </c>
    </row>
    <row r="19" spans="2:7">
      <c r="B19" s="27" t="s">
        <v>52</v>
      </c>
      <c r="C19" s="23" t="s">
        <v>53</v>
      </c>
      <c r="D19" s="23" t="s">
        <v>38</v>
      </c>
      <c r="E19" s="28">
        <v>1275000</v>
      </c>
      <c r="F19" s="25">
        <v>3505.61</v>
      </c>
      <c r="G19" s="25">
        <v>2.57</v>
      </c>
    </row>
    <row r="20" spans="2:7">
      <c r="B20" s="27" t="s">
        <v>139</v>
      </c>
      <c r="C20" s="23" t="s">
        <v>140</v>
      </c>
      <c r="D20" s="23" t="s">
        <v>141</v>
      </c>
      <c r="E20" s="28">
        <v>129800</v>
      </c>
      <c r="F20" s="25">
        <v>3109.23</v>
      </c>
      <c r="G20" s="25">
        <v>2.2799999999999998</v>
      </c>
    </row>
    <row r="21" spans="2:7">
      <c r="B21" s="27" t="s">
        <v>144</v>
      </c>
      <c r="C21" s="23" t="s">
        <v>145</v>
      </c>
      <c r="D21" s="23" t="s">
        <v>38</v>
      </c>
      <c r="E21" s="28">
        <v>148750</v>
      </c>
      <c r="F21" s="25">
        <v>2968.46</v>
      </c>
      <c r="G21" s="25">
        <v>2.1800000000000002</v>
      </c>
    </row>
    <row r="22" spans="2:7">
      <c r="B22" s="27" t="s">
        <v>84</v>
      </c>
      <c r="C22" s="23" t="s">
        <v>85</v>
      </c>
      <c r="D22" s="23" t="s">
        <v>64</v>
      </c>
      <c r="E22" s="28">
        <v>44652</v>
      </c>
      <c r="F22" s="25">
        <v>2361.2600000000002</v>
      </c>
      <c r="G22" s="25">
        <v>1.73</v>
      </c>
    </row>
    <row r="23" spans="2:7">
      <c r="B23" s="27" t="s">
        <v>146</v>
      </c>
      <c r="C23" s="23" t="s">
        <v>147</v>
      </c>
      <c r="D23" s="23" t="s">
        <v>148</v>
      </c>
      <c r="E23" s="28">
        <v>56981</v>
      </c>
      <c r="F23" s="25">
        <v>2189.15</v>
      </c>
      <c r="G23" s="25">
        <v>1.6</v>
      </c>
    </row>
    <row r="24" spans="2:7">
      <c r="B24" s="27" t="s">
        <v>54</v>
      </c>
      <c r="C24" s="23" t="s">
        <v>55</v>
      </c>
      <c r="D24" s="23" t="s">
        <v>56</v>
      </c>
      <c r="E24" s="28">
        <v>256200</v>
      </c>
      <c r="F24" s="25">
        <v>2115.3200000000002</v>
      </c>
      <c r="G24" s="25">
        <v>1.55</v>
      </c>
    </row>
    <row r="25" spans="2:7">
      <c r="B25" s="27" t="s">
        <v>221</v>
      </c>
      <c r="C25" s="23" t="s">
        <v>222</v>
      </c>
      <c r="D25" s="23" t="s">
        <v>151</v>
      </c>
      <c r="E25" s="28">
        <v>59000</v>
      </c>
      <c r="F25" s="25">
        <v>2031.99</v>
      </c>
      <c r="G25" s="25">
        <v>1.49</v>
      </c>
    </row>
    <row r="26" spans="2:7">
      <c r="B26" s="27" t="s">
        <v>161</v>
      </c>
      <c r="C26" s="23" t="s">
        <v>162</v>
      </c>
      <c r="D26" s="23" t="s">
        <v>148</v>
      </c>
      <c r="E26" s="28">
        <v>242000</v>
      </c>
      <c r="F26" s="25">
        <v>1984.28</v>
      </c>
      <c r="G26" s="25">
        <v>1.45</v>
      </c>
    </row>
    <row r="27" spans="2:7">
      <c r="B27" s="27" t="s">
        <v>74</v>
      </c>
      <c r="C27" s="23" t="s">
        <v>75</v>
      </c>
      <c r="D27" s="23" t="s">
        <v>56</v>
      </c>
      <c r="E27" s="28">
        <v>520000</v>
      </c>
      <c r="F27" s="25">
        <v>1978.86</v>
      </c>
      <c r="G27" s="25">
        <v>1.45</v>
      </c>
    </row>
    <row r="28" spans="2:7">
      <c r="B28" s="27" t="s">
        <v>212</v>
      </c>
      <c r="C28" s="23" t="s">
        <v>213</v>
      </c>
      <c r="D28" s="23" t="s">
        <v>214</v>
      </c>
      <c r="E28" s="28">
        <v>71300</v>
      </c>
      <c r="F28" s="25">
        <v>1970.45</v>
      </c>
      <c r="G28" s="25">
        <v>1.44</v>
      </c>
    </row>
    <row r="29" spans="2:7">
      <c r="B29" s="27" t="s">
        <v>152</v>
      </c>
      <c r="C29" s="23" t="s">
        <v>153</v>
      </c>
      <c r="D29" s="23" t="s">
        <v>151</v>
      </c>
      <c r="E29" s="28">
        <v>267000</v>
      </c>
      <c r="F29" s="25">
        <v>1924</v>
      </c>
      <c r="G29" s="25">
        <v>1.41</v>
      </c>
    </row>
    <row r="30" spans="2:7">
      <c r="B30" s="27" t="s">
        <v>243</v>
      </c>
      <c r="C30" s="23" t="s">
        <v>244</v>
      </c>
      <c r="D30" s="23" t="s">
        <v>148</v>
      </c>
      <c r="E30" s="28">
        <v>36400</v>
      </c>
      <c r="F30" s="25">
        <v>1894.66</v>
      </c>
      <c r="G30" s="25">
        <v>1.39</v>
      </c>
    </row>
    <row r="31" spans="2:7">
      <c r="B31" s="27" t="s">
        <v>154</v>
      </c>
      <c r="C31" s="23" t="s">
        <v>155</v>
      </c>
      <c r="D31" s="23" t="s">
        <v>141</v>
      </c>
      <c r="E31" s="28">
        <v>52094</v>
      </c>
      <c r="F31" s="25">
        <v>1863.06</v>
      </c>
      <c r="G31" s="25">
        <v>1.37</v>
      </c>
    </row>
    <row r="32" spans="2:7">
      <c r="B32" s="27" t="s">
        <v>288</v>
      </c>
      <c r="C32" s="23" t="s">
        <v>289</v>
      </c>
      <c r="D32" s="23" t="s">
        <v>141</v>
      </c>
      <c r="E32" s="28">
        <v>850500</v>
      </c>
      <c r="F32" s="25">
        <v>1777.55</v>
      </c>
      <c r="G32" s="25">
        <v>1.3</v>
      </c>
    </row>
    <row r="33" spans="2:7">
      <c r="B33" s="27" t="s">
        <v>159</v>
      </c>
      <c r="C33" s="23" t="s">
        <v>160</v>
      </c>
      <c r="D33" s="23" t="s">
        <v>56</v>
      </c>
      <c r="E33" s="28">
        <v>109700</v>
      </c>
      <c r="F33" s="25">
        <v>1719.16</v>
      </c>
      <c r="G33" s="25">
        <v>1.26</v>
      </c>
    </row>
    <row r="34" spans="2:7">
      <c r="B34" s="27" t="s">
        <v>239</v>
      </c>
      <c r="C34" s="23" t="s">
        <v>240</v>
      </c>
      <c r="D34" s="23" t="s">
        <v>141</v>
      </c>
      <c r="E34" s="28">
        <v>286324</v>
      </c>
      <c r="F34" s="25">
        <v>1689.03</v>
      </c>
      <c r="G34" s="25">
        <v>1.24</v>
      </c>
    </row>
    <row r="35" spans="2:7">
      <c r="B35" s="27" t="s">
        <v>95</v>
      </c>
      <c r="C35" s="23" t="s">
        <v>96</v>
      </c>
      <c r="D35" s="23" t="s">
        <v>97</v>
      </c>
      <c r="E35" s="28">
        <v>700000</v>
      </c>
      <c r="F35" s="25">
        <v>1683.85</v>
      </c>
      <c r="G35" s="25">
        <v>1.23</v>
      </c>
    </row>
    <row r="36" spans="2:7">
      <c r="B36" s="27" t="s">
        <v>257</v>
      </c>
      <c r="C36" s="23" t="s">
        <v>258</v>
      </c>
      <c r="D36" s="23" t="s">
        <v>141</v>
      </c>
      <c r="E36" s="28">
        <v>240000</v>
      </c>
      <c r="F36" s="25">
        <v>1458.6</v>
      </c>
      <c r="G36" s="25">
        <v>1.07</v>
      </c>
    </row>
    <row r="37" spans="2:7">
      <c r="B37" s="27" t="s">
        <v>189</v>
      </c>
      <c r="C37" s="23" t="s">
        <v>190</v>
      </c>
      <c r="D37" s="23" t="s">
        <v>141</v>
      </c>
      <c r="E37" s="28">
        <v>52100</v>
      </c>
      <c r="F37" s="25">
        <v>1440.3</v>
      </c>
      <c r="G37" s="25">
        <v>1.06</v>
      </c>
    </row>
    <row r="38" spans="2:7">
      <c r="B38" s="27" t="s">
        <v>181</v>
      </c>
      <c r="C38" s="23" t="s">
        <v>182</v>
      </c>
      <c r="D38" s="23" t="s">
        <v>56</v>
      </c>
      <c r="E38" s="28">
        <v>54350</v>
      </c>
      <c r="F38" s="25">
        <v>1428.86</v>
      </c>
      <c r="G38" s="25">
        <v>1.05</v>
      </c>
    </row>
    <row r="39" spans="2:7">
      <c r="B39" s="27" t="s">
        <v>191</v>
      </c>
      <c r="C39" s="23" t="s">
        <v>192</v>
      </c>
      <c r="D39" s="23" t="s">
        <v>148</v>
      </c>
      <c r="E39" s="28">
        <v>229500</v>
      </c>
      <c r="F39" s="25">
        <v>1359.44</v>
      </c>
      <c r="G39" s="25">
        <v>1</v>
      </c>
    </row>
    <row r="40" spans="2:7">
      <c r="B40" s="27" t="s">
        <v>100</v>
      </c>
      <c r="C40" s="23" t="s">
        <v>101</v>
      </c>
      <c r="D40" s="23" t="s">
        <v>61</v>
      </c>
      <c r="E40" s="28">
        <v>270000</v>
      </c>
      <c r="F40" s="25">
        <v>1356.35</v>
      </c>
      <c r="G40" s="25">
        <v>0.99</v>
      </c>
    </row>
    <row r="41" spans="2:7">
      <c r="B41" s="27" t="s">
        <v>174</v>
      </c>
      <c r="C41" s="23" t="s">
        <v>175</v>
      </c>
      <c r="D41" s="23" t="s">
        <v>148</v>
      </c>
      <c r="E41" s="28">
        <v>8035</v>
      </c>
      <c r="F41" s="25">
        <v>1267.05</v>
      </c>
      <c r="G41" s="25">
        <v>0.93</v>
      </c>
    </row>
    <row r="42" spans="2:7">
      <c r="B42" s="27" t="s">
        <v>204</v>
      </c>
      <c r="C42" s="23" t="s">
        <v>205</v>
      </c>
      <c r="D42" s="23" t="s">
        <v>134</v>
      </c>
      <c r="E42" s="28">
        <v>175000</v>
      </c>
      <c r="F42" s="25">
        <v>1183.8800000000001</v>
      </c>
      <c r="G42" s="25">
        <v>0.87</v>
      </c>
    </row>
    <row r="43" spans="2:7">
      <c r="B43" s="27" t="s">
        <v>102</v>
      </c>
      <c r="C43" s="23" t="s">
        <v>103</v>
      </c>
      <c r="D43" s="23" t="s">
        <v>64</v>
      </c>
      <c r="E43" s="28">
        <v>4875</v>
      </c>
      <c r="F43" s="25">
        <v>1170.6400000000001</v>
      </c>
      <c r="G43" s="25">
        <v>0.86</v>
      </c>
    </row>
    <row r="44" spans="2:7">
      <c r="B44" s="27" t="s">
        <v>59</v>
      </c>
      <c r="C44" s="23" t="s">
        <v>60</v>
      </c>
      <c r="D44" s="23" t="s">
        <v>61</v>
      </c>
      <c r="E44" s="28">
        <v>293220</v>
      </c>
      <c r="F44" s="25">
        <v>1103.68</v>
      </c>
      <c r="G44" s="25">
        <v>0.81</v>
      </c>
    </row>
    <row r="45" spans="2:7">
      <c r="B45" s="27" t="s">
        <v>89</v>
      </c>
      <c r="C45" s="23" t="s">
        <v>90</v>
      </c>
      <c r="D45" s="23" t="s">
        <v>61</v>
      </c>
      <c r="E45" s="28">
        <v>426000</v>
      </c>
      <c r="F45" s="25">
        <v>1054.78</v>
      </c>
      <c r="G45" s="25">
        <v>0.77</v>
      </c>
    </row>
    <row r="46" spans="2:7">
      <c r="B46" s="27" t="s">
        <v>215</v>
      </c>
      <c r="C46" s="23" t="s">
        <v>216</v>
      </c>
      <c r="D46" s="23" t="s">
        <v>134</v>
      </c>
      <c r="E46" s="28">
        <v>54786</v>
      </c>
      <c r="F46" s="25">
        <v>833.21</v>
      </c>
      <c r="G46" s="25">
        <v>0.61</v>
      </c>
    </row>
    <row r="47" spans="2:7">
      <c r="B47" s="27" t="s">
        <v>210</v>
      </c>
      <c r="C47" s="23" t="s">
        <v>211</v>
      </c>
      <c r="D47" s="23" t="s">
        <v>141</v>
      </c>
      <c r="E47" s="28">
        <v>4400</v>
      </c>
      <c r="F47" s="25">
        <v>809.17</v>
      </c>
      <c r="G47" s="25">
        <v>0.59</v>
      </c>
    </row>
    <row r="48" spans="2:7">
      <c r="B48" s="27" t="s">
        <v>172</v>
      </c>
      <c r="C48" s="23" t="s">
        <v>173</v>
      </c>
      <c r="D48" s="23" t="s">
        <v>151</v>
      </c>
      <c r="E48" s="28">
        <v>23500</v>
      </c>
      <c r="F48" s="25">
        <v>730.85</v>
      </c>
      <c r="G48" s="25">
        <v>0.54</v>
      </c>
    </row>
    <row r="49" spans="2:9">
      <c r="B49" s="27" t="s">
        <v>195</v>
      </c>
      <c r="C49" s="23" t="s">
        <v>196</v>
      </c>
      <c r="D49" s="23" t="s">
        <v>197</v>
      </c>
      <c r="E49" s="28">
        <v>25498</v>
      </c>
      <c r="F49" s="25">
        <v>587.79</v>
      </c>
      <c r="G49" s="25">
        <v>0.43</v>
      </c>
    </row>
    <row r="50" spans="2:9">
      <c r="B50" s="27" t="s">
        <v>217</v>
      </c>
      <c r="C50" s="23" t="s">
        <v>218</v>
      </c>
      <c r="D50" s="23" t="s">
        <v>141</v>
      </c>
      <c r="E50" s="28">
        <v>12000</v>
      </c>
      <c r="F50" s="25">
        <v>334.94</v>
      </c>
      <c r="G50" s="25">
        <v>0.25</v>
      </c>
    </row>
    <row r="51" spans="2:9">
      <c r="B51" s="29" t="s">
        <v>118</v>
      </c>
      <c r="C51" s="30"/>
      <c r="D51" s="30"/>
      <c r="E51" s="31"/>
      <c r="F51" s="32">
        <f>SUM(F7:F50)</f>
        <v>131376.39000000004</v>
      </c>
      <c r="G51" s="32">
        <f>SUM(G7:G50)</f>
        <v>96.300000000000026</v>
      </c>
      <c r="H51" s="14"/>
      <c r="I51" s="14"/>
    </row>
    <row r="52" spans="2:9">
      <c r="B52" s="37" t="s">
        <v>119</v>
      </c>
      <c r="C52" s="37"/>
      <c r="D52" s="37"/>
      <c r="E52" s="38"/>
      <c r="F52" s="39">
        <f>F51</f>
        <v>131376.39000000004</v>
      </c>
      <c r="G52" s="39">
        <f>G51</f>
        <v>96.300000000000026</v>
      </c>
      <c r="H52" s="14"/>
      <c r="I52" s="14"/>
    </row>
    <row r="53" spans="2:9">
      <c r="B53" s="40" t="s">
        <v>120</v>
      </c>
      <c r="C53" s="41"/>
      <c r="D53" s="41"/>
      <c r="E53" s="42"/>
      <c r="F53" s="43"/>
      <c r="G53" s="43"/>
    </row>
    <row r="54" spans="2:9">
      <c r="B54" s="27" t="s">
        <v>120</v>
      </c>
      <c r="C54" s="23"/>
      <c r="D54" s="23"/>
      <c r="E54" s="24"/>
      <c r="F54" s="25">
        <v>6063.27</v>
      </c>
      <c r="G54" s="25">
        <v>4.4400000000000004</v>
      </c>
    </row>
    <row r="55" spans="2:9">
      <c r="B55" s="29" t="s">
        <v>118</v>
      </c>
      <c r="C55" s="30"/>
      <c r="D55" s="30"/>
      <c r="E55" s="31"/>
      <c r="F55" s="32">
        <f>SUM(F53:F54)</f>
        <v>6063.27</v>
      </c>
      <c r="G55" s="32">
        <f>SUM(G53:G54)</f>
        <v>4.4400000000000004</v>
      </c>
      <c r="H55" s="14"/>
      <c r="I55" s="14"/>
    </row>
    <row r="56" spans="2:9">
      <c r="B56" s="34" t="s">
        <v>119</v>
      </c>
      <c r="C56" s="34"/>
      <c r="D56" s="34"/>
      <c r="E56" s="35"/>
      <c r="F56" s="36">
        <f>F55</f>
        <v>6063.27</v>
      </c>
      <c r="G56" s="36">
        <f>G55</f>
        <v>4.4400000000000004</v>
      </c>
      <c r="H56" s="14"/>
      <c r="I56" s="14"/>
    </row>
    <row r="57" spans="2:9">
      <c r="B57" s="44" t="s">
        <v>122</v>
      </c>
      <c r="C57" s="44"/>
      <c r="D57" s="44"/>
      <c r="E57" s="45"/>
      <c r="F57" s="16">
        <f>F58-(+F52+F56)</f>
        <v>-1005.2300000000396</v>
      </c>
      <c r="G57" s="16">
        <f>G58-(+G52+G56)</f>
        <v>-0.74000000000002331</v>
      </c>
      <c r="H57" s="14"/>
      <c r="I57" s="14"/>
    </row>
    <row r="58" spans="2:9">
      <c r="B58" s="44" t="s">
        <v>121</v>
      </c>
      <c r="C58" s="44"/>
      <c r="D58" s="44"/>
      <c r="E58" s="45"/>
      <c r="F58" s="16">
        <v>136434.43</v>
      </c>
      <c r="G58" s="16">
        <v>100</v>
      </c>
      <c r="H58" s="14"/>
      <c r="I58" s="14"/>
    </row>
    <row r="60" spans="2:9">
      <c r="B60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2"/>
  <sheetViews>
    <sheetView workbookViewId="0">
      <selection activeCell="H1" sqref="H1"/>
    </sheetView>
  </sheetViews>
  <sheetFormatPr defaultRowHeight="12"/>
  <cols>
    <col min="1" max="1" width="9.140625" style="1"/>
    <col min="2" max="2" width="60.8554687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>
      <c r="B1" s="61" t="s">
        <v>14</v>
      </c>
      <c r="C1" s="62"/>
      <c r="D1" s="62"/>
      <c r="E1" s="62"/>
      <c r="F1" s="62"/>
      <c r="G1" s="62"/>
    </row>
    <row r="3" spans="2:7" ht="16.5" thickBot="1">
      <c r="B3" s="2" t="s">
        <v>7</v>
      </c>
      <c r="C3" s="3"/>
      <c r="D3" s="4"/>
      <c r="E3" s="5"/>
      <c r="F3" s="6"/>
      <c r="G3" s="6"/>
    </row>
    <row r="4" spans="2:7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>
      <c r="B5" s="17" t="s">
        <v>31</v>
      </c>
      <c r="C5" s="18"/>
      <c r="D5" s="18"/>
      <c r="E5" s="19"/>
      <c r="F5" s="20"/>
      <c r="G5" s="20"/>
    </row>
    <row r="6" spans="2:7">
      <c r="B6" s="22" t="s">
        <v>32</v>
      </c>
      <c r="C6" s="23"/>
      <c r="D6" s="23"/>
      <c r="E6" s="24"/>
      <c r="F6" s="25"/>
      <c r="G6" s="25"/>
    </row>
    <row r="7" spans="2:7">
      <c r="B7" s="27" t="s">
        <v>225</v>
      </c>
      <c r="C7" s="23" t="s">
        <v>226</v>
      </c>
      <c r="D7" s="23" t="s">
        <v>127</v>
      </c>
      <c r="E7" s="28">
        <v>125030</v>
      </c>
      <c r="F7" s="25">
        <v>1896.89</v>
      </c>
      <c r="G7" s="25">
        <v>2.96</v>
      </c>
    </row>
    <row r="8" spans="2:7">
      <c r="B8" s="27" t="s">
        <v>82</v>
      </c>
      <c r="C8" s="23" t="s">
        <v>83</v>
      </c>
      <c r="D8" s="23" t="s">
        <v>56</v>
      </c>
      <c r="E8" s="28">
        <v>13759</v>
      </c>
      <c r="F8" s="25">
        <v>1850.39</v>
      </c>
      <c r="G8" s="25">
        <v>2.89</v>
      </c>
    </row>
    <row r="9" spans="2:7">
      <c r="B9" s="27" t="s">
        <v>44</v>
      </c>
      <c r="C9" s="23" t="s">
        <v>45</v>
      </c>
      <c r="D9" s="23" t="s">
        <v>46</v>
      </c>
      <c r="E9" s="28">
        <v>544881</v>
      </c>
      <c r="F9" s="25">
        <v>1767.59</v>
      </c>
      <c r="G9" s="25">
        <v>2.76</v>
      </c>
    </row>
    <row r="10" spans="2:7">
      <c r="B10" s="27" t="s">
        <v>290</v>
      </c>
      <c r="C10" s="23" t="s">
        <v>291</v>
      </c>
      <c r="D10" s="23" t="s">
        <v>97</v>
      </c>
      <c r="E10" s="28">
        <v>4085000</v>
      </c>
      <c r="F10" s="25">
        <v>1760.64</v>
      </c>
      <c r="G10" s="25">
        <v>2.75</v>
      </c>
    </row>
    <row r="11" spans="2:7">
      <c r="B11" s="27" t="s">
        <v>263</v>
      </c>
      <c r="C11" s="23" t="s">
        <v>264</v>
      </c>
      <c r="D11" s="23" t="s">
        <v>134</v>
      </c>
      <c r="E11" s="28">
        <v>96496</v>
      </c>
      <c r="F11" s="25">
        <v>1742.43</v>
      </c>
      <c r="G11" s="25">
        <v>2.72</v>
      </c>
    </row>
    <row r="12" spans="2:7">
      <c r="B12" s="27" t="s">
        <v>292</v>
      </c>
      <c r="C12" s="23" t="s">
        <v>293</v>
      </c>
      <c r="D12" s="23" t="s">
        <v>178</v>
      </c>
      <c r="E12" s="28">
        <v>503518</v>
      </c>
      <c r="F12" s="25">
        <v>1727.82</v>
      </c>
      <c r="G12" s="25">
        <v>2.7</v>
      </c>
    </row>
    <row r="13" spans="2:7">
      <c r="B13" s="27" t="s">
        <v>294</v>
      </c>
      <c r="C13" s="23" t="s">
        <v>295</v>
      </c>
      <c r="D13" s="23" t="s">
        <v>169</v>
      </c>
      <c r="E13" s="28">
        <v>182175</v>
      </c>
      <c r="F13" s="25">
        <v>1715.82</v>
      </c>
      <c r="G13" s="25">
        <v>2.68</v>
      </c>
    </row>
    <row r="14" spans="2:7">
      <c r="B14" s="27" t="s">
        <v>91</v>
      </c>
      <c r="C14" s="23" t="s">
        <v>92</v>
      </c>
      <c r="D14" s="23" t="s">
        <v>67</v>
      </c>
      <c r="E14" s="28">
        <v>37710</v>
      </c>
      <c r="F14" s="25">
        <v>1710.62</v>
      </c>
      <c r="G14" s="25">
        <v>2.67</v>
      </c>
    </row>
    <row r="15" spans="2:7">
      <c r="B15" s="27" t="s">
        <v>296</v>
      </c>
      <c r="C15" s="23" t="s">
        <v>297</v>
      </c>
      <c r="D15" s="23" t="s">
        <v>214</v>
      </c>
      <c r="E15" s="28">
        <v>66922</v>
      </c>
      <c r="F15" s="25">
        <v>1701.46</v>
      </c>
      <c r="G15" s="25">
        <v>2.66</v>
      </c>
    </row>
    <row r="16" spans="2:7">
      <c r="B16" s="27" t="s">
        <v>298</v>
      </c>
      <c r="C16" s="23" t="s">
        <v>299</v>
      </c>
      <c r="D16" s="23" t="s">
        <v>300</v>
      </c>
      <c r="E16" s="28">
        <v>174729</v>
      </c>
      <c r="F16" s="25">
        <v>1528.79</v>
      </c>
      <c r="G16" s="25">
        <v>2.39</v>
      </c>
    </row>
    <row r="17" spans="2:7">
      <c r="B17" s="27" t="s">
        <v>206</v>
      </c>
      <c r="C17" s="23" t="s">
        <v>207</v>
      </c>
      <c r="D17" s="23" t="s">
        <v>67</v>
      </c>
      <c r="E17" s="28">
        <v>589685</v>
      </c>
      <c r="F17" s="25">
        <v>1486.3</v>
      </c>
      <c r="G17" s="25">
        <v>2.3199999999999998</v>
      </c>
    </row>
    <row r="18" spans="2:7">
      <c r="B18" s="27" t="s">
        <v>301</v>
      </c>
      <c r="C18" s="23" t="s">
        <v>302</v>
      </c>
      <c r="D18" s="23" t="s">
        <v>158</v>
      </c>
      <c r="E18" s="28">
        <v>527559</v>
      </c>
      <c r="F18" s="25">
        <v>1483.76</v>
      </c>
      <c r="G18" s="25">
        <v>2.3199999999999998</v>
      </c>
    </row>
    <row r="19" spans="2:7">
      <c r="B19" s="27" t="s">
        <v>202</v>
      </c>
      <c r="C19" s="23" t="s">
        <v>203</v>
      </c>
      <c r="D19" s="23" t="s">
        <v>134</v>
      </c>
      <c r="E19" s="28">
        <v>283000</v>
      </c>
      <c r="F19" s="25">
        <v>1413.3</v>
      </c>
      <c r="G19" s="25">
        <v>2.21</v>
      </c>
    </row>
    <row r="20" spans="2:7">
      <c r="B20" s="27" t="s">
        <v>163</v>
      </c>
      <c r="C20" s="23" t="s">
        <v>164</v>
      </c>
      <c r="D20" s="23" t="s">
        <v>134</v>
      </c>
      <c r="E20" s="28">
        <v>81500</v>
      </c>
      <c r="F20" s="25">
        <v>1410.52</v>
      </c>
      <c r="G20" s="25">
        <v>2.2000000000000002</v>
      </c>
    </row>
    <row r="21" spans="2:7">
      <c r="B21" s="27" t="s">
        <v>303</v>
      </c>
      <c r="C21" s="23" t="s">
        <v>304</v>
      </c>
      <c r="D21" s="23" t="s">
        <v>134</v>
      </c>
      <c r="E21" s="28">
        <v>263016</v>
      </c>
      <c r="F21" s="25">
        <v>1402.14</v>
      </c>
      <c r="G21" s="25">
        <v>2.19</v>
      </c>
    </row>
    <row r="22" spans="2:7">
      <c r="B22" s="27" t="s">
        <v>305</v>
      </c>
      <c r="C22" s="23" t="s">
        <v>306</v>
      </c>
      <c r="D22" s="23" t="s">
        <v>134</v>
      </c>
      <c r="E22" s="28">
        <v>181911</v>
      </c>
      <c r="F22" s="25">
        <v>1374.97</v>
      </c>
      <c r="G22" s="25">
        <v>2.15</v>
      </c>
    </row>
    <row r="23" spans="2:7">
      <c r="B23" s="27" t="s">
        <v>307</v>
      </c>
      <c r="C23" s="23" t="s">
        <v>308</v>
      </c>
      <c r="D23" s="23" t="s">
        <v>67</v>
      </c>
      <c r="E23" s="28">
        <v>209466</v>
      </c>
      <c r="F23" s="25">
        <v>1353.26</v>
      </c>
      <c r="G23" s="25">
        <v>2.12</v>
      </c>
    </row>
    <row r="24" spans="2:7">
      <c r="B24" s="27" t="s">
        <v>116</v>
      </c>
      <c r="C24" s="23" t="s">
        <v>117</v>
      </c>
      <c r="D24" s="23" t="s">
        <v>67</v>
      </c>
      <c r="E24" s="28">
        <v>257500</v>
      </c>
      <c r="F24" s="25">
        <v>1352.65</v>
      </c>
      <c r="G24" s="25">
        <v>2.11</v>
      </c>
    </row>
    <row r="25" spans="2:7">
      <c r="B25" s="27" t="s">
        <v>47</v>
      </c>
      <c r="C25" s="23" t="s">
        <v>48</v>
      </c>
      <c r="D25" s="23" t="s">
        <v>49</v>
      </c>
      <c r="E25" s="28">
        <v>143353</v>
      </c>
      <c r="F25" s="25">
        <v>1327.38</v>
      </c>
      <c r="G25" s="25">
        <v>2.0699999999999998</v>
      </c>
    </row>
    <row r="26" spans="2:7">
      <c r="B26" s="27" t="s">
        <v>309</v>
      </c>
      <c r="C26" s="23" t="s">
        <v>310</v>
      </c>
      <c r="D26" s="23" t="s">
        <v>134</v>
      </c>
      <c r="E26" s="28">
        <v>208142</v>
      </c>
      <c r="F26" s="25">
        <v>1288.82</v>
      </c>
      <c r="G26" s="25">
        <v>2.0099999999999998</v>
      </c>
    </row>
    <row r="27" spans="2:7">
      <c r="B27" s="27" t="s">
        <v>65</v>
      </c>
      <c r="C27" s="23" t="s">
        <v>66</v>
      </c>
      <c r="D27" s="23" t="s">
        <v>67</v>
      </c>
      <c r="E27" s="28">
        <v>95771</v>
      </c>
      <c r="F27" s="25">
        <v>1273.42</v>
      </c>
      <c r="G27" s="25">
        <v>1.99</v>
      </c>
    </row>
    <row r="28" spans="2:7">
      <c r="B28" s="27" t="s">
        <v>311</v>
      </c>
      <c r="C28" s="23" t="s">
        <v>312</v>
      </c>
      <c r="D28" s="23" t="s">
        <v>169</v>
      </c>
      <c r="E28" s="28">
        <v>879870</v>
      </c>
      <c r="F28" s="25">
        <v>1263.05</v>
      </c>
      <c r="G28" s="25">
        <v>1.97</v>
      </c>
    </row>
    <row r="29" spans="2:7">
      <c r="B29" s="27" t="s">
        <v>313</v>
      </c>
      <c r="C29" s="23" t="s">
        <v>314</v>
      </c>
      <c r="D29" s="23" t="s">
        <v>169</v>
      </c>
      <c r="E29" s="28">
        <v>62184</v>
      </c>
      <c r="F29" s="25">
        <v>1243.1500000000001</v>
      </c>
      <c r="G29" s="25">
        <v>1.94</v>
      </c>
    </row>
    <row r="30" spans="2:7">
      <c r="B30" s="27" t="s">
        <v>167</v>
      </c>
      <c r="C30" s="23" t="s">
        <v>168</v>
      </c>
      <c r="D30" s="23" t="s">
        <v>169</v>
      </c>
      <c r="E30" s="28">
        <v>18444</v>
      </c>
      <c r="F30" s="25">
        <v>1185.97</v>
      </c>
      <c r="G30" s="25">
        <v>1.85</v>
      </c>
    </row>
    <row r="31" spans="2:7">
      <c r="B31" s="27" t="s">
        <v>70</v>
      </c>
      <c r="C31" s="23" t="s">
        <v>71</v>
      </c>
      <c r="D31" s="23" t="s">
        <v>67</v>
      </c>
      <c r="E31" s="28">
        <v>60004</v>
      </c>
      <c r="F31" s="25">
        <v>1184.69</v>
      </c>
      <c r="G31" s="25">
        <v>1.85</v>
      </c>
    </row>
    <row r="32" spans="2:7">
      <c r="B32" s="27" t="s">
        <v>315</v>
      </c>
      <c r="C32" s="23" t="s">
        <v>316</v>
      </c>
      <c r="D32" s="23" t="s">
        <v>88</v>
      </c>
      <c r="E32" s="28">
        <v>163752</v>
      </c>
      <c r="F32" s="25">
        <v>1177.54</v>
      </c>
      <c r="G32" s="25">
        <v>1.84</v>
      </c>
    </row>
    <row r="33" spans="2:7">
      <c r="B33" s="27" t="s">
        <v>114</v>
      </c>
      <c r="C33" s="23" t="s">
        <v>115</v>
      </c>
      <c r="D33" s="23" t="s">
        <v>67</v>
      </c>
      <c r="E33" s="28">
        <v>149766</v>
      </c>
      <c r="F33" s="25">
        <v>1074.42</v>
      </c>
      <c r="G33" s="25">
        <v>1.68</v>
      </c>
    </row>
    <row r="34" spans="2:7">
      <c r="B34" s="27" t="s">
        <v>249</v>
      </c>
      <c r="C34" s="23" t="s">
        <v>250</v>
      </c>
      <c r="D34" s="23" t="s">
        <v>127</v>
      </c>
      <c r="E34" s="28">
        <v>63700</v>
      </c>
      <c r="F34" s="25">
        <v>1057.6400000000001</v>
      </c>
      <c r="G34" s="25">
        <v>1.65</v>
      </c>
    </row>
    <row r="35" spans="2:7">
      <c r="B35" s="27" t="s">
        <v>42</v>
      </c>
      <c r="C35" s="23" t="s">
        <v>43</v>
      </c>
      <c r="D35" s="23" t="s">
        <v>41</v>
      </c>
      <c r="E35" s="28">
        <v>2850</v>
      </c>
      <c r="F35" s="25">
        <v>1057.5</v>
      </c>
      <c r="G35" s="25">
        <v>1.65</v>
      </c>
    </row>
    <row r="36" spans="2:7">
      <c r="B36" s="27" t="s">
        <v>247</v>
      </c>
      <c r="C36" s="23" t="s">
        <v>248</v>
      </c>
      <c r="D36" s="23" t="s">
        <v>134</v>
      </c>
      <c r="E36" s="28">
        <v>291000</v>
      </c>
      <c r="F36" s="25">
        <v>1051.24</v>
      </c>
      <c r="G36" s="25">
        <v>1.64</v>
      </c>
    </row>
    <row r="37" spans="2:7">
      <c r="B37" s="27" t="s">
        <v>57</v>
      </c>
      <c r="C37" s="23" t="s">
        <v>58</v>
      </c>
      <c r="D37" s="23" t="s">
        <v>46</v>
      </c>
      <c r="E37" s="28">
        <v>249124</v>
      </c>
      <c r="F37" s="25">
        <v>1032.99</v>
      </c>
      <c r="G37" s="25">
        <v>1.61</v>
      </c>
    </row>
    <row r="38" spans="2:7">
      <c r="B38" s="27" t="s">
        <v>317</v>
      </c>
      <c r="C38" s="23" t="s">
        <v>318</v>
      </c>
      <c r="D38" s="23" t="s">
        <v>56</v>
      </c>
      <c r="E38" s="28">
        <v>887584</v>
      </c>
      <c r="F38" s="25">
        <v>1021.61</v>
      </c>
      <c r="G38" s="25">
        <v>1.6</v>
      </c>
    </row>
    <row r="39" spans="2:7">
      <c r="B39" s="27" t="s">
        <v>319</v>
      </c>
      <c r="C39" s="23" t="s">
        <v>320</v>
      </c>
      <c r="D39" s="23" t="s">
        <v>97</v>
      </c>
      <c r="E39" s="28">
        <v>425000</v>
      </c>
      <c r="F39" s="25">
        <v>1015.96</v>
      </c>
      <c r="G39" s="25">
        <v>1.59</v>
      </c>
    </row>
    <row r="40" spans="2:7">
      <c r="B40" s="27" t="s">
        <v>321</v>
      </c>
      <c r="C40" s="23" t="s">
        <v>322</v>
      </c>
      <c r="D40" s="23" t="s">
        <v>49</v>
      </c>
      <c r="E40" s="28">
        <v>24750</v>
      </c>
      <c r="F40" s="25">
        <v>1014.07</v>
      </c>
      <c r="G40" s="25">
        <v>1.58</v>
      </c>
    </row>
    <row r="41" spans="2:7">
      <c r="B41" s="27" t="s">
        <v>323</v>
      </c>
      <c r="C41" s="23" t="s">
        <v>324</v>
      </c>
      <c r="D41" s="23" t="s">
        <v>325</v>
      </c>
      <c r="E41" s="28">
        <v>289000</v>
      </c>
      <c r="F41" s="25">
        <v>993.15</v>
      </c>
      <c r="G41" s="25">
        <v>1.55</v>
      </c>
    </row>
    <row r="42" spans="2:7">
      <c r="B42" s="27" t="s">
        <v>326</v>
      </c>
      <c r="C42" s="23" t="s">
        <v>327</v>
      </c>
      <c r="D42" s="23" t="s">
        <v>49</v>
      </c>
      <c r="E42" s="28">
        <v>364500</v>
      </c>
      <c r="F42" s="25">
        <v>959.36</v>
      </c>
      <c r="G42" s="25">
        <v>1.5</v>
      </c>
    </row>
    <row r="43" spans="2:7">
      <c r="B43" s="27" t="s">
        <v>328</v>
      </c>
      <c r="C43" s="23" t="s">
        <v>329</v>
      </c>
      <c r="D43" s="23" t="s">
        <v>134</v>
      </c>
      <c r="E43" s="28">
        <v>418000</v>
      </c>
      <c r="F43" s="25">
        <v>952.62</v>
      </c>
      <c r="G43" s="25">
        <v>1.49</v>
      </c>
    </row>
    <row r="44" spans="2:7">
      <c r="B44" s="27" t="s">
        <v>330</v>
      </c>
      <c r="C44" s="23" t="s">
        <v>331</v>
      </c>
      <c r="D44" s="23" t="s">
        <v>158</v>
      </c>
      <c r="E44" s="28">
        <v>121927</v>
      </c>
      <c r="F44" s="25">
        <v>937.74</v>
      </c>
      <c r="G44" s="25">
        <v>1.47</v>
      </c>
    </row>
    <row r="45" spans="2:7">
      <c r="B45" s="27" t="s">
        <v>332</v>
      </c>
      <c r="C45" s="23" t="s">
        <v>333</v>
      </c>
      <c r="D45" s="23" t="s">
        <v>334</v>
      </c>
      <c r="E45" s="28">
        <v>35700</v>
      </c>
      <c r="F45" s="25">
        <v>937.59</v>
      </c>
      <c r="G45" s="25">
        <v>1.47</v>
      </c>
    </row>
    <row r="46" spans="2:7">
      <c r="B46" s="27" t="s">
        <v>68</v>
      </c>
      <c r="C46" s="23" t="s">
        <v>69</v>
      </c>
      <c r="D46" s="23" t="s">
        <v>56</v>
      </c>
      <c r="E46" s="28">
        <v>39671</v>
      </c>
      <c r="F46" s="25">
        <v>933.38</v>
      </c>
      <c r="G46" s="25">
        <v>1.46</v>
      </c>
    </row>
    <row r="47" spans="2:7">
      <c r="B47" s="27" t="s">
        <v>335</v>
      </c>
      <c r="C47" s="23" t="s">
        <v>336</v>
      </c>
      <c r="D47" s="23" t="s">
        <v>148</v>
      </c>
      <c r="E47" s="28">
        <v>88266</v>
      </c>
      <c r="F47" s="25">
        <v>897.75</v>
      </c>
      <c r="G47" s="25">
        <v>1.4</v>
      </c>
    </row>
    <row r="48" spans="2:7">
      <c r="B48" s="27" t="s">
        <v>337</v>
      </c>
      <c r="C48" s="23" t="s">
        <v>338</v>
      </c>
      <c r="D48" s="23" t="s">
        <v>197</v>
      </c>
      <c r="E48" s="28">
        <v>44462</v>
      </c>
      <c r="F48" s="25">
        <v>872.03</v>
      </c>
      <c r="G48" s="25">
        <v>1.36</v>
      </c>
    </row>
    <row r="49" spans="2:9">
      <c r="B49" s="27" t="s">
        <v>339</v>
      </c>
      <c r="C49" s="23" t="s">
        <v>340</v>
      </c>
      <c r="D49" s="23" t="s">
        <v>141</v>
      </c>
      <c r="E49" s="28">
        <v>161000</v>
      </c>
      <c r="F49" s="25">
        <v>841.55</v>
      </c>
      <c r="G49" s="25">
        <v>1.32</v>
      </c>
    </row>
    <row r="50" spans="2:9">
      <c r="B50" s="27" t="s">
        <v>193</v>
      </c>
      <c r="C50" s="23" t="s">
        <v>194</v>
      </c>
      <c r="D50" s="23" t="s">
        <v>169</v>
      </c>
      <c r="E50" s="28">
        <v>65800</v>
      </c>
      <c r="F50" s="25">
        <v>795</v>
      </c>
      <c r="G50" s="25">
        <v>1.24</v>
      </c>
    </row>
    <row r="51" spans="2:9">
      <c r="B51" s="27" t="s">
        <v>185</v>
      </c>
      <c r="C51" s="23" t="s">
        <v>186</v>
      </c>
      <c r="D51" s="23" t="s">
        <v>169</v>
      </c>
      <c r="E51" s="28">
        <v>28025</v>
      </c>
      <c r="F51" s="25">
        <v>732.07</v>
      </c>
      <c r="G51" s="25">
        <v>1.1399999999999999</v>
      </c>
    </row>
    <row r="52" spans="2:9">
      <c r="B52" s="27" t="s">
        <v>341</v>
      </c>
      <c r="C52" s="23" t="s">
        <v>342</v>
      </c>
      <c r="D52" s="23" t="s">
        <v>169</v>
      </c>
      <c r="E52" s="28">
        <v>27812</v>
      </c>
      <c r="F52" s="25">
        <v>701.54</v>
      </c>
      <c r="G52" s="25">
        <v>1.1000000000000001</v>
      </c>
    </row>
    <row r="53" spans="2:9">
      <c r="B53" s="27" t="s">
        <v>343</v>
      </c>
      <c r="C53" s="23" t="s">
        <v>344</v>
      </c>
      <c r="D53" s="23" t="s">
        <v>151</v>
      </c>
      <c r="E53" s="28">
        <v>55100</v>
      </c>
      <c r="F53" s="25">
        <v>694.48</v>
      </c>
      <c r="G53" s="25">
        <v>1.0900000000000001</v>
      </c>
    </row>
    <row r="54" spans="2:9">
      <c r="B54" s="27" t="s">
        <v>345</v>
      </c>
      <c r="C54" s="23" t="s">
        <v>346</v>
      </c>
      <c r="D54" s="23" t="s">
        <v>64</v>
      </c>
      <c r="E54" s="28">
        <v>301323</v>
      </c>
      <c r="F54" s="25">
        <v>683.25</v>
      </c>
      <c r="G54" s="25">
        <v>1.07</v>
      </c>
    </row>
    <row r="55" spans="2:9">
      <c r="B55" s="27" t="s">
        <v>347</v>
      </c>
      <c r="C55" s="23" t="s">
        <v>348</v>
      </c>
      <c r="D55" s="23" t="s">
        <v>134</v>
      </c>
      <c r="E55" s="28">
        <v>122153</v>
      </c>
      <c r="F55" s="25">
        <v>654.98</v>
      </c>
      <c r="G55" s="25">
        <v>1.02</v>
      </c>
    </row>
    <row r="56" spans="2:9">
      <c r="B56" s="27" t="s">
        <v>349</v>
      </c>
      <c r="C56" s="23" t="s">
        <v>350</v>
      </c>
      <c r="D56" s="23" t="s">
        <v>67</v>
      </c>
      <c r="E56" s="28">
        <v>255505</v>
      </c>
      <c r="F56" s="25">
        <v>643.87</v>
      </c>
      <c r="G56" s="25">
        <v>1.01</v>
      </c>
    </row>
    <row r="57" spans="2:9">
      <c r="B57" s="27" t="s">
        <v>351</v>
      </c>
      <c r="C57" s="23" t="s">
        <v>352</v>
      </c>
      <c r="D57" s="23" t="s">
        <v>46</v>
      </c>
      <c r="E57" s="28">
        <v>18522</v>
      </c>
      <c r="F57" s="25">
        <v>628.26</v>
      </c>
      <c r="G57" s="25">
        <v>0.98</v>
      </c>
    </row>
    <row r="58" spans="2:9">
      <c r="B58" s="27" t="s">
        <v>198</v>
      </c>
      <c r="C58" s="23" t="s">
        <v>199</v>
      </c>
      <c r="D58" s="23" t="s">
        <v>178</v>
      </c>
      <c r="E58" s="28">
        <v>140000</v>
      </c>
      <c r="F58" s="25">
        <v>559.09</v>
      </c>
      <c r="G58" s="25">
        <v>0.87</v>
      </c>
    </row>
    <row r="59" spans="2:9">
      <c r="B59" s="27" t="s">
        <v>353</v>
      </c>
      <c r="C59" s="23" t="s">
        <v>354</v>
      </c>
      <c r="D59" s="23" t="s">
        <v>61</v>
      </c>
      <c r="E59" s="28">
        <v>208500</v>
      </c>
      <c r="F59" s="25">
        <v>462.04</v>
      </c>
      <c r="G59" s="25">
        <v>0.72</v>
      </c>
    </row>
    <row r="60" spans="2:9">
      <c r="B60" s="27" t="s">
        <v>170</v>
      </c>
      <c r="C60" s="23" t="s">
        <v>171</v>
      </c>
      <c r="D60" s="23" t="s">
        <v>67</v>
      </c>
      <c r="E60" s="28">
        <v>44000</v>
      </c>
      <c r="F60" s="25">
        <v>456.21</v>
      </c>
      <c r="G60" s="25">
        <v>0.71</v>
      </c>
    </row>
    <row r="61" spans="2:9">
      <c r="B61" s="27" t="s">
        <v>112</v>
      </c>
      <c r="C61" s="23" t="s">
        <v>113</v>
      </c>
      <c r="D61" s="23" t="s">
        <v>56</v>
      </c>
      <c r="E61" s="28">
        <v>52000</v>
      </c>
      <c r="F61" s="25">
        <v>416.57</v>
      </c>
      <c r="G61" s="25">
        <v>0.65</v>
      </c>
    </row>
    <row r="62" spans="2:9">
      <c r="B62" s="27" t="s">
        <v>355</v>
      </c>
      <c r="C62" s="23" t="s">
        <v>356</v>
      </c>
      <c r="D62" s="23" t="s">
        <v>56</v>
      </c>
      <c r="E62" s="28">
        <v>30000</v>
      </c>
      <c r="F62" s="25">
        <v>232.98</v>
      </c>
      <c r="G62" s="25">
        <v>0.36</v>
      </c>
    </row>
    <row r="63" spans="2:9">
      <c r="B63" s="29" t="s">
        <v>118</v>
      </c>
      <c r="C63" s="30"/>
      <c r="D63" s="30"/>
      <c r="E63" s="31"/>
      <c r="F63" s="32">
        <f>SUM(F7:F62)</f>
        <v>62934.310000000012</v>
      </c>
      <c r="G63" s="32">
        <f>SUM(G7:G62)</f>
        <v>98.299999999999969</v>
      </c>
      <c r="H63" s="14"/>
      <c r="I63" s="14"/>
    </row>
    <row r="64" spans="2:9">
      <c r="B64" s="37" t="s">
        <v>119</v>
      </c>
      <c r="C64" s="37"/>
      <c r="D64" s="37"/>
      <c r="E64" s="38"/>
      <c r="F64" s="39">
        <f>F63</f>
        <v>62934.310000000012</v>
      </c>
      <c r="G64" s="39">
        <f>G63</f>
        <v>98.299999999999969</v>
      </c>
      <c r="H64" s="14"/>
      <c r="I64" s="14"/>
    </row>
    <row r="65" spans="2:9">
      <c r="B65" s="40" t="s">
        <v>120</v>
      </c>
      <c r="C65" s="41"/>
      <c r="D65" s="41"/>
      <c r="E65" s="42"/>
      <c r="F65" s="43"/>
      <c r="G65" s="43"/>
    </row>
    <row r="66" spans="2:9">
      <c r="B66" s="27" t="s">
        <v>120</v>
      </c>
      <c r="C66" s="23"/>
      <c r="D66" s="23"/>
      <c r="E66" s="24"/>
      <c r="F66" s="25">
        <v>1152.3499999999999</v>
      </c>
      <c r="G66" s="25">
        <v>1.8</v>
      </c>
    </row>
    <row r="67" spans="2:9">
      <c r="B67" s="29" t="s">
        <v>118</v>
      </c>
      <c r="C67" s="30"/>
      <c r="D67" s="30"/>
      <c r="E67" s="31"/>
      <c r="F67" s="32">
        <f>SUM(F65:F66)</f>
        <v>1152.3499999999999</v>
      </c>
      <c r="G67" s="32">
        <f>SUM(G65:G66)</f>
        <v>1.8</v>
      </c>
      <c r="H67" s="14"/>
      <c r="I67" s="14"/>
    </row>
    <row r="68" spans="2:9">
      <c r="B68" s="34" t="s">
        <v>119</v>
      </c>
      <c r="C68" s="34"/>
      <c r="D68" s="34"/>
      <c r="E68" s="35"/>
      <c r="F68" s="36">
        <f>F67</f>
        <v>1152.3499999999999</v>
      </c>
      <c r="G68" s="36">
        <f>G67</f>
        <v>1.8</v>
      </c>
      <c r="H68" s="14"/>
      <c r="I68" s="14"/>
    </row>
    <row r="69" spans="2:9">
      <c r="B69" s="44" t="s">
        <v>122</v>
      </c>
      <c r="C69" s="44"/>
      <c r="D69" s="44"/>
      <c r="E69" s="45"/>
      <c r="F69" s="16">
        <f>F70-(+F64+F68)</f>
        <v>-105.20000000001164</v>
      </c>
      <c r="G69" s="16">
        <f>G70-(+G64+G68)</f>
        <v>-9.9999999999965894E-2</v>
      </c>
      <c r="H69" s="14"/>
      <c r="I69" s="14"/>
    </row>
    <row r="70" spans="2:9">
      <c r="B70" s="44" t="s">
        <v>121</v>
      </c>
      <c r="C70" s="44"/>
      <c r="D70" s="44"/>
      <c r="E70" s="45"/>
      <c r="F70" s="16">
        <v>63981.46</v>
      </c>
      <c r="G70" s="16">
        <v>100</v>
      </c>
      <c r="H70" s="14"/>
      <c r="I70" s="14"/>
    </row>
    <row r="72" spans="2:9">
      <c r="B72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19"/>
  <sheetViews>
    <sheetView workbookViewId="0">
      <selection activeCell="I1" sqref="I1"/>
    </sheetView>
  </sheetViews>
  <sheetFormatPr defaultRowHeight="12"/>
  <cols>
    <col min="1" max="1" width="9.140625" style="1"/>
    <col min="2" max="2" width="60.85546875" style="1" bestFit="1" customWidth="1"/>
    <col min="3" max="3" width="13.8554687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61" t="s">
        <v>15</v>
      </c>
      <c r="C1" s="62"/>
      <c r="D1" s="62"/>
      <c r="E1" s="62"/>
      <c r="F1" s="62"/>
      <c r="G1" s="62"/>
      <c r="H1" s="62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17" t="s">
        <v>31</v>
      </c>
      <c r="C5" s="18"/>
      <c r="D5" s="18"/>
      <c r="E5" s="19"/>
      <c r="F5" s="20"/>
      <c r="G5" s="20"/>
      <c r="H5" s="21"/>
    </row>
    <row r="6" spans="2:8">
      <c r="B6" s="22" t="s">
        <v>32</v>
      </c>
      <c r="C6" s="23"/>
      <c r="D6" s="23"/>
      <c r="E6" s="24"/>
      <c r="F6" s="25"/>
      <c r="G6" s="25"/>
      <c r="H6" s="26"/>
    </row>
    <row r="7" spans="2:8">
      <c r="B7" s="27" t="s">
        <v>123</v>
      </c>
      <c r="C7" s="23" t="s">
        <v>124</v>
      </c>
      <c r="D7" s="23" t="s">
        <v>38</v>
      </c>
      <c r="E7" s="28">
        <v>1929950</v>
      </c>
      <c r="F7" s="25">
        <v>27719.87</v>
      </c>
      <c r="G7" s="25">
        <v>6.65</v>
      </c>
      <c r="H7" s="26"/>
    </row>
    <row r="8" spans="2:8">
      <c r="B8" s="27" t="s">
        <v>125</v>
      </c>
      <c r="C8" s="23" t="s">
        <v>126</v>
      </c>
      <c r="D8" s="23" t="s">
        <v>127</v>
      </c>
      <c r="E8" s="28">
        <v>1970472</v>
      </c>
      <c r="F8" s="25">
        <v>24745.19</v>
      </c>
      <c r="G8" s="25">
        <v>5.93</v>
      </c>
      <c r="H8" s="26"/>
    </row>
    <row r="9" spans="2:8">
      <c r="B9" s="27" t="s">
        <v>36</v>
      </c>
      <c r="C9" s="23" t="s">
        <v>37</v>
      </c>
      <c r="D9" s="23" t="s">
        <v>38</v>
      </c>
      <c r="E9" s="28">
        <v>4403600</v>
      </c>
      <c r="F9" s="25">
        <v>23561.46</v>
      </c>
      <c r="G9" s="25">
        <v>5.65</v>
      </c>
      <c r="H9" s="26"/>
    </row>
    <row r="10" spans="2:8">
      <c r="B10" s="27" t="s">
        <v>128</v>
      </c>
      <c r="C10" s="23" t="s">
        <v>129</v>
      </c>
      <c r="D10" s="23" t="s">
        <v>88</v>
      </c>
      <c r="E10" s="28">
        <v>856900</v>
      </c>
      <c r="F10" s="25">
        <v>17012.04</v>
      </c>
      <c r="G10" s="25">
        <v>4.08</v>
      </c>
      <c r="H10" s="26"/>
    </row>
    <row r="11" spans="2:8">
      <c r="B11" s="27" t="s">
        <v>137</v>
      </c>
      <c r="C11" s="23" t="s">
        <v>138</v>
      </c>
      <c r="D11" s="23" t="s">
        <v>38</v>
      </c>
      <c r="E11" s="28">
        <v>2038100</v>
      </c>
      <c r="F11" s="25">
        <v>12645.39</v>
      </c>
      <c r="G11" s="25">
        <v>3.03</v>
      </c>
      <c r="H11" s="26"/>
    </row>
    <row r="12" spans="2:8">
      <c r="B12" s="27" t="s">
        <v>130</v>
      </c>
      <c r="C12" s="23" t="s">
        <v>131</v>
      </c>
      <c r="D12" s="23" t="s">
        <v>127</v>
      </c>
      <c r="E12" s="28">
        <v>408200</v>
      </c>
      <c r="F12" s="25">
        <v>11685.75</v>
      </c>
      <c r="G12" s="25">
        <v>2.8</v>
      </c>
      <c r="H12" s="26"/>
    </row>
    <row r="13" spans="2:8">
      <c r="B13" s="27" t="s">
        <v>132</v>
      </c>
      <c r="C13" s="23" t="s">
        <v>133</v>
      </c>
      <c r="D13" s="23" t="s">
        <v>134</v>
      </c>
      <c r="E13" s="28">
        <v>408000</v>
      </c>
      <c r="F13" s="25">
        <v>10439.290000000001</v>
      </c>
      <c r="G13" s="25">
        <v>2.5</v>
      </c>
      <c r="H13" s="26"/>
    </row>
    <row r="14" spans="2:8">
      <c r="B14" s="27" t="s">
        <v>135</v>
      </c>
      <c r="C14" s="23" t="s">
        <v>136</v>
      </c>
      <c r="D14" s="23" t="s">
        <v>134</v>
      </c>
      <c r="E14" s="28">
        <v>183908</v>
      </c>
      <c r="F14" s="25">
        <v>9738.2999999999993</v>
      </c>
      <c r="G14" s="25">
        <v>2.34</v>
      </c>
      <c r="H14" s="26"/>
    </row>
    <row r="15" spans="2:8">
      <c r="B15" s="27" t="s">
        <v>139</v>
      </c>
      <c r="C15" s="23" t="s">
        <v>140</v>
      </c>
      <c r="D15" s="23" t="s">
        <v>141</v>
      </c>
      <c r="E15" s="28">
        <v>356800</v>
      </c>
      <c r="F15" s="25">
        <v>8546.7900000000009</v>
      </c>
      <c r="G15" s="25">
        <v>2.0499999999999998</v>
      </c>
      <c r="H15" s="26"/>
    </row>
    <row r="16" spans="2:8">
      <c r="B16" s="27" t="s">
        <v>142</v>
      </c>
      <c r="C16" s="23" t="s">
        <v>143</v>
      </c>
      <c r="D16" s="23" t="s">
        <v>127</v>
      </c>
      <c r="E16" s="28">
        <v>820000</v>
      </c>
      <c r="F16" s="25">
        <v>7758.43</v>
      </c>
      <c r="G16" s="25">
        <v>1.86</v>
      </c>
      <c r="H16" s="26"/>
    </row>
    <row r="17" spans="2:8">
      <c r="B17" s="27" t="s">
        <v>107</v>
      </c>
      <c r="C17" s="23" t="s">
        <v>108</v>
      </c>
      <c r="D17" s="23" t="s">
        <v>109</v>
      </c>
      <c r="E17" s="28">
        <v>1471515</v>
      </c>
      <c r="F17" s="25">
        <v>7500.31</v>
      </c>
      <c r="G17" s="25">
        <v>1.8</v>
      </c>
      <c r="H17" s="26"/>
    </row>
    <row r="18" spans="2:8">
      <c r="B18" s="27" t="s">
        <v>149</v>
      </c>
      <c r="C18" s="23" t="s">
        <v>150</v>
      </c>
      <c r="D18" s="23" t="s">
        <v>151</v>
      </c>
      <c r="E18" s="28">
        <v>87848</v>
      </c>
      <c r="F18" s="25">
        <v>6720.02</v>
      </c>
      <c r="G18" s="25">
        <v>1.61</v>
      </c>
      <c r="H18" s="26"/>
    </row>
    <row r="19" spans="2:8">
      <c r="B19" s="27" t="s">
        <v>144</v>
      </c>
      <c r="C19" s="23" t="s">
        <v>145</v>
      </c>
      <c r="D19" s="23" t="s">
        <v>38</v>
      </c>
      <c r="E19" s="28">
        <v>312829</v>
      </c>
      <c r="F19" s="25">
        <v>6242.82</v>
      </c>
      <c r="G19" s="25">
        <v>1.5</v>
      </c>
      <c r="H19" s="26"/>
    </row>
    <row r="20" spans="2:8">
      <c r="B20" s="27" t="s">
        <v>33</v>
      </c>
      <c r="C20" s="23" t="s">
        <v>34</v>
      </c>
      <c r="D20" s="23" t="s">
        <v>35</v>
      </c>
      <c r="E20" s="28">
        <v>476418</v>
      </c>
      <c r="F20" s="25">
        <v>6134.36</v>
      </c>
      <c r="G20" s="25">
        <v>1.47</v>
      </c>
      <c r="H20" s="26"/>
    </row>
    <row r="21" spans="2:8">
      <c r="B21" s="27" t="s">
        <v>84</v>
      </c>
      <c r="C21" s="23" t="s">
        <v>85</v>
      </c>
      <c r="D21" s="23" t="s">
        <v>64</v>
      </c>
      <c r="E21" s="28">
        <v>112621</v>
      </c>
      <c r="F21" s="25">
        <v>5955.57</v>
      </c>
      <c r="G21" s="25">
        <v>1.43</v>
      </c>
      <c r="H21" s="26"/>
    </row>
    <row r="22" spans="2:8">
      <c r="B22" s="27" t="s">
        <v>54</v>
      </c>
      <c r="C22" s="23" t="s">
        <v>55</v>
      </c>
      <c r="D22" s="23" t="s">
        <v>56</v>
      </c>
      <c r="E22" s="28">
        <v>712573</v>
      </c>
      <c r="F22" s="25">
        <v>5883.36</v>
      </c>
      <c r="G22" s="25">
        <v>1.41</v>
      </c>
      <c r="H22" s="26"/>
    </row>
    <row r="23" spans="2:8">
      <c r="B23" s="27" t="s">
        <v>152</v>
      </c>
      <c r="C23" s="23" t="s">
        <v>153</v>
      </c>
      <c r="D23" s="23" t="s">
        <v>151</v>
      </c>
      <c r="E23" s="28">
        <v>800000</v>
      </c>
      <c r="F23" s="25">
        <v>5764.8</v>
      </c>
      <c r="G23" s="25">
        <v>1.38</v>
      </c>
      <c r="H23" s="26"/>
    </row>
    <row r="24" spans="2:8">
      <c r="B24" s="27" t="s">
        <v>146</v>
      </c>
      <c r="C24" s="23" t="s">
        <v>147</v>
      </c>
      <c r="D24" s="23" t="s">
        <v>148</v>
      </c>
      <c r="E24" s="28">
        <v>119608</v>
      </c>
      <c r="F24" s="25">
        <v>4595.22</v>
      </c>
      <c r="G24" s="25">
        <v>1.1000000000000001</v>
      </c>
      <c r="H24" s="26"/>
    </row>
    <row r="25" spans="2:8">
      <c r="B25" s="27" t="s">
        <v>154</v>
      </c>
      <c r="C25" s="23" t="s">
        <v>155</v>
      </c>
      <c r="D25" s="23" t="s">
        <v>141</v>
      </c>
      <c r="E25" s="28">
        <v>125266</v>
      </c>
      <c r="F25" s="25">
        <v>4479.95</v>
      </c>
      <c r="G25" s="25">
        <v>1.07</v>
      </c>
      <c r="H25" s="26"/>
    </row>
    <row r="26" spans="2:8">
      <c r="B26" s="27" t="s">
        <v>167</v>
      </c>
      <c r="C26" s="23" t="s">
        <v>168</v>
      </c>
      <c r="D26" s="23" t="s">
        <v>169</v>
      </c>
      <c r="E26" s="28">
        <v>65109</v>
      </c>
      <c r="F26" s="25">
        <v>4186.57</v>
      </c>
      <c r="G26" s="25">
        <v>1</v>
      </c>
      <c r="H26" s="26"/>
    </row>
    <row r="27" spans="2:8">
      <c r="B27" s="27" t="s">
        <v>255</v>
      </c>
      <c r="C27" s="23" t="s">
        <v>256</v>
      </c>
      <c r="D27" s="23" t="s">
        <v>197</v>
      </c>
      <c r="E27" s="28">
        <v>173610</v>
      </c>
      <c r="F27" s="25">
        <v>4062.04</v>
      </c>
      <c r="G27" s="25">
        <v>0.97</v>
      </c>
      <c r="H27" s="26"/>
    </row>
    <row r="28" spans="2:8">
      <c r="B28" s="27" t="s">
        <v>185</v>
      </c>
      <c r="C28" s="23" t="s">
        <v>186</v>
      </c>
      <c r="D28" s="23" t="s">
        <v>169</v>
      </c>
      <c r="E28" s="28">
        <v>151968</v>
      </c>
      <c r="F28" s="25">
        <v>3969.71</v>
      </c>
      <c r="G28" s="25">
        <v>0.95</v>
      </c>
      <c r="H28" s="26"/>
    </row>
    <row r="29" spans="2:8">
      <c r="B29" s="27" t="s">
        <v>221</v>
      </c>
      <c r="C29" s="23" t="s">
        <v>222</v>
      </c>
      <c r="D29" s="23" t="s">
        <v>151</v>
      </c>
      <c r="E29" s="28">
        <v>115000</v>
      </c>
      <c r="F29" s="25">
        <v>3960.66</v>
      </c>
      <c r="G29" s="25">
        <v>0.95</v>
      </c>
      <c r="H29" s="26"/>
    </row>
    <row r="30" spans="2:8">
      <c r="B30" s="27" t="s">
        <v>159</v>
      </c>
      <c r="C30" s="23" t="s">
        <v>160</v>
      </c>
      <c r="D30" s="23" t="s">
        <v>56</v>
      </c>
      <c r="E30" s="28">
        <v>251700</v>
      </c>
      <c r="F30" s="25">
        <v>3944.52</v>
      </c>
      <c r="G30" s="25">
        <v>0.95</v>
      </c>
      <c r="H30" s="26"/>
    </row>
    <row r="31" spans="2:8">
      <c r="B31" s="27" t="s">
        <v>42</v>
      </c>
      <c r="C31" s="23" t="s">
        <v>43</v>
      </c>
      <c r="D31" s="23" t="s">
        <v>41</v>
      </c>
      <c r="E31" s="28">
        <v>10146</v>
      </c>
      <c r="F31" s="25">
        <v>3764.68</v>
      </c>
      <c r="G31" s="25">
        <v>0.9</v>
      </c>
      <c r="H31" s="26"/>
    </row>
    <row r="32" spans="2:8">
      <c r="B32" s="27" t="s">
        <v>212</v>
      </c>
      <c r="C32" s="23" t="s">
        <v>213</v>
      </c>
      <c r="D32" s="23" t="s">
        <v>214</v>
      </c>
      <c r="E32" s="28">
        <v>135840</v>
      </c>
      <c r="F32" s="25">
        <v>3754.07</v>
      </c>
      <c r="G32" s="25">
        <v>0.9</v>
      </c>
      <c r="H32" s="26"/>
    </row>
    <row r="33" spans="2:8">
      <c r="B33" s="27" t="s">
        <v>357</v>
      </c>
      <c r="C33" s="23" t="s">
        <v>358</v>
      </c>
      <c r="D33" s="23" t="s">
        <v>134</v>
      </c>
      <c r="E33" s="28">
        <v>405000</v>
      </c>
      <c r="F33" s="25">
        <v>3662.21</v>
      </c>
      <c r="G33" s="25">
        <v>0.88</v>
      </c>
      <c r="H33" s="26"/>
    </row>
    <row r="34" spans="2:8">
      <c r="B34" s="27" t="s">
        <v>165</v>
      </c>
      <c r="C34" s="23" t="s">
        <v>166</v>
      </c>
      <c r="D34" s="23" t="s">
        <v>148</v>
      </c>
      <c r="E34" s="28">
        <v>165637</v>
      </c>
      <c r="F34" s="25">
        <v>3625.46</v>
      </c>
      <c r="G34" s="25">
        <v>0.87</v>
      </c>
      <c r="H34" s="26"/>
    </row>
    <row r="35" spans="2:8">
      <c r="B35" s="27" t="s">
        <v>189</v>
      </c>
      <c r="C35" s="23" t="s">
        <v>190</v>
      </c>
      <c r="D35" s="23" t="s">
        <v>141</v>
      </c>
      <c r="E35" s="28">
        <v>130100</v>
      </c>
      <c r="F35" s="25">
        <v>3596.61</v>
      </c>
      <c r="G35" s="25">
        <v>0.86</v>
      </c>
      <c r="H35" s="26"/>
    </row>
    <row r="36" spans="2:8">
      <c r="B36" s="27" t="s">
        <v>174</v>
      </c>
      <c r="C36" s="23" t="s">
        <v>175</v>
      </c>
      <c r="D36" s="23" t="s">
        <v>148</v>
      </c>
      <c r="E36" s="28">
        <v>22696</v>
      </c>
      <c r="F36" s="25">
        <v>3578.95</v>
      </c>
      <c r="G36" s="25">
        <v>0.86</v>
      </c>
      <c r="H36" s="26"/>
    </row>
    <row r="37" spans="2:8">
      <c r="B37" s="27" t="s">
        <v>161</v>
      </c>
      <c r="C37" s="23" t="s">
        <v>162</v>
      </c>
      <c r="D37" s="23" t="s">
        <v>148</v>
      </c>
      <c r="E37" s="28">
        <v>430000</v>
      </c>
      <c r="F37" s="25">
        <v>3525.79</v>
      </c>
      <c r="G37" s="25">
        <v>0.85</v>
      </c>
      <c r="H37" s="26"/>
    </row>
    <row r="38" spans="2:8">
      <c r="B38" s="27" t="s">
        <v>100</v>
      </c>
      <c r="C38" s="23" t="s">
        <v>101</v>
      </c>
      <c r="D38" s="23" t="s">
        <v>61</v>
      </c>
      <c r="E38" s="28">
        <v>695000</v>
      </c>
      <c r="F38" s="25">
        <v>3491.33</v>
      </c>
      <c r="G38" s="25">
        <v>0.84</v>
      </c>
      <c r="H38" s="26"/>
    </row>
    <row r="39" spans="2:8">
      <c r="B39" s="27" t="s">
        <v>156</v>
      </c>
      <c r="C39" s="23" t="s">
        <v>157</v>
      </c>
      <c r="D39" s="23" t="s">
        <v>158</v>
      </c>
      <c r="E39" s="28">
        <v>152248</v>
      </c>
      <c r="F39" s="25">
        <v>3341.92</v>
      </c>
      <c r="G39" s="25">
        <v>0.8</v>
      </c>
      <c r="H39" s="26"/>
    </row>
    <row r="40" spans="2:8">
      <c r="B40" s="27" t="s">
        <v>170</v>
      </c>
      <c r="C40" s="23" t="s">
        <v>171</v>
      </c>
      <c r="D40" s="23" t="s">
        <v>67</v>
      </c>
      <c r="E40" s="28">
        <v>307305</v>
      </c>
      <c r="F40" s="25">
        <v>3186.29</v>
      </c>
      <c r="G40" s="25">
        <v>0.76</v>
      </c>
      <c r="H40" s="26"/>
    </row>
    <row r="41" spans="2:8">
      <c r="B41" s="27" t="s">
        <v>116</v>
      </c>
      <c r="C41" s="23" t="s">
        <v>117</v>
      </c>
      <c r="D41" s="23" t="s">
        <v>67</v>
      </c>
      <c r="E41" s="28">
        <v>605000</v>
      </c>
      <c r="F41" s="25">
        <v>3178.07</v>
      </c>
      <c r="G41" s="25">
        <v>0.76</v>
      </c>
      <c r="H41" s="26"/>
    </row>
    <row r="42" spans="2:8">
      <c r="B42" s="27" t="s">
        <v>181</v>
      </c>
      <c r="C42" s="23" t="s">
        <v>182</v>
      </c>
      <c r="D42" s="23" t="s">
        <v>56</v>
      </c>
      <c r="E42" s="28">
        <v>120256</v>
      </c>
      <c r="F42" s="25">
        <v>3161.53</v>
      </c>
      <c r="G42" s="25">
        <v>0.76</v>
      </c>
      <c r="H42" s="26"/>
    </row>
    <row r="43" spans="2:8">
      <c r="B43" s="27" t="s">
        <v>253</v>
      </c>
      <c r="C43" s="23" t="s">
        <v>254</v>
      </c>
      <c r="D43" s="23" t="s">
        <v>134</v>
      </c>
      <c r="E43" s="28">
        <v>1800000</v>
      </c>
      <c r="F43" s="25">
        <v>3148.2</v>
      </c>
      <c r="G43" s="25">
        <v>0.76</v>
      </c>
      <c r="H43" s="26"/>
    </row>
    <row r="44" spans="2:8">
      <c r="B44" s="27" t="s">
        <v>247</v>
      </c>
      <c r="C44" s="23" t="s">
        <v>248</v>
      </c>
      <c r="D44" s="23" t="s">
        <v>134</v>
      </c>
      <c r="E44" s="28">
        <v>800000</v>
      </c>
      <c r="F44" s="25">
        <v>2890</v>
      </c>
      <c r="G44" s="25">
        <v>0.69</v>
      </c>
      <c r="H44" s="26"/>
    </row>
    <row r="45" spans="2:8">
      <c r="B45" s="27" t="s">
        <v>59</v>
      </c>
      <c r="C45" s="23" t="s">
        <v>60</v>
      </c>
      <c r="D45" s="23" t="s">
        <v>61</v>
      </c>
      <c r="E45" s="28">
        <v>767498</v>
      </c>
      <c r="F45" s="25">
        <v>2888.86</v>
      </c>
      <c r="G45" s="25">
        <v>0.69</v>
      </c>
      <c r="H45" s="26"/>
    </row>
    <row r="46" spans="2:8">
      <c r="B46" s="27" t="s">
        <v>259</v>
      </c>
      <c r="C46" s="23" t="s">
        <v>260</v>
      </c>
      <c r="D46" s="23" t="s">
        <v>214</v>
      </c>
      <c r="E46" s="28">
        <v>1735947</v>
      </c>
      <c r="F46" s="25">
        <v>2874.73</v>
      </c>
      <c r="G46" s="25">
        <v>0.69</v>
      </c>
      <c r="H46" s="26"/>
    </row>
    <row r="47" spans="2:8">
      <c r="B47" s="27" t="s">
        <v>176</v>
      </c>
      <c r="C47" s="23" t="s">
        <v>177</v>
      </c>
      <c r="D47" s="23" t="s">
        <v>178</v>
      </c>
      <c r="E47" s="28">
        <v>172946</v>
      </c>
      <c r="F47" s="25">
        <v>2847.21</v>
      </c>
      <c r="G47" s="25">
        <v>0.68</v>
      </c>
      <c r="H47" s="26"/>
    </row>
    <row r="48" spans="2:8">
      <c r="B48" s="27" t="s">
        <v>163</v>
      </c>
      <c r="C48" s="23" t="s">
        <v>164</v>
      </c>
      <c r="D48" s="23" t="s">
        <v>134</v>
      </c>
      <c r="E48" s="28">
        <v>161500</v>
      </c>
      <c r="F48" s="25">
        <v>2795.08</v>
      </c>
      <c r="G48" s="25">
        <v>0.67</v>
      </c>
      <c r="H48" s="26"/>
    </row>
    <row r="49" spans="2:10">
      <c r="B49" s="27" t="s">
        <v>191</v>
      </c>
      <c r="C49" s="23" t="s">
        <v>192</v>
      </c>
      <c r="D49" s="23" t="s">
        <v>148</v>
      </c>
      <c r="E49" s="28">
        <v>465000</v>
      </c>
      <c r="F49" s="25">
        <v>2754.43</v>
      </c>
      <c r="G49" s="25">
        <v>0.66</v>
      </c>
      <c r="H49" s="26"/>
    </row>
    <row r="50" spans="2:10">
      <c r="B50" s="27" t="s">
        <v>198</v>
      </c>
      <c r="C50" s="23" t="s">
        <v>199</v>
      </c>
      <c r="D50" s="23" t="s">
        <v>178</v>
      </c>
      <c r="E50" s="28">
        <v>670000</v>
      </c>
      <c r="F50" s="25">
        <v>2675.65</v>
      </c>
      <c r="G50" s="25">
        <v>0.64</v>
      </c>
      <c r="H50" s="26"/>
    </row>
    <row r="51" spans="2:10">
      <c r="B51" s="27" t="s">
        <v>102</v>
      </c>
      <c r="C51" s="23" t="s">
        <v>103</v>
      </c>
      <c r="D51" s="23" t="s">
        <v>64</v>
      </c>
      <c r="E51" s="28">
        <v>10920</v>
      </c>
      <c r="F51" s="25">
        <v>2622.24</v>
      </c>
      <c r="G51" s="25">
        <v>0.63</v>
      </c>
      <c r="H51" s="26"/>
    </row>
    <row r="52" spans="2:10">
      <c r="B52" s="27" t="s">
        <v>210</v>
      </c>
      <c r="C52" s="23" t="s">
        <v>211</v>
      </c>
      <c r="D52" s="23" t="s">
        <v>141</v>
      </c>
      <c r="E52" s="28">
        <v>14000</v>
      </c>
      <c r="F52" s="25">
        <v>2574.64</v>
      </c>
      <c r="G52" s="25">
        <v>0.62</v>
      </c>
      <c r="H52" s="26"/>
    </row>
    <row r="53" spans="2:10">
      <c r="B53" s="27" t="s">
        <v>195</v>
      </c>
      <c r="C53" s="23" t="s">
        <v>196</v>
      </c>
      <c r="D53" s="23" t="s">
        <v>197</v>
      </c>
      <c r="E53" s="28">
        <v>100721</v>
      </c>
      <c r="F53" s="25">
        <v>2321.87</v>
      </c>
      <c r="G53" s="25">
        <v>0.56000000000000005</v>
      </c>
      <c r="H53" s="26"/>
    </row>
    <row r="54" spans="2:10">
      <c r="B54" s="27" t="s">
        <v>70</v>
      </c>
      <c r="C54" s="23" t="s">
        <v>71</v>
      </c>
      <c r="D54" s="23" t="s">
        <v>67</v>
      </c>
      <c r="E54" s="28">
        <v>99535</v>
      </c>
      <c r="F54" s="25">
        <v>1965.17</v>
      </c>
      <c r="G54" s="25">
        <v>0.47</v>
      </c>
      <c r="H54" s="26"/>
    </row>
    <row r="55" spans="2:10">
      <c r="B55" s="27" t="s">
        <v>217</v>
      </c>
      <c r="C55" s="23" t="s">
        <v>218</v>
      </c>
      <c r="D55" s="23" t="s">
        <v>141</v>
      </c>
      <c r="E55" s="28">
        <v>51117</v>
      </c>
      <c r="F55" s="25">
        <v>1426.75</v>
      </c>
      <c r="G55" s="25">
        <v>0.34</v>
      </c>
      <c r="H55" s="26"/>
    </row>
    <row r="56" spans="2:10">
      <c r="B56" s="27" t="s">
        <v>179</v>
      </c>
      <c r="C56" s="23" t="s">
        <v>180</v>
      </c>
      <c r="D56" s="23" t="s">
        <v>148</v>
      </c>
      <c r="E56" s="28">
        <v>43290</v>
      </c>
      <c r="F56" s="25">
        <v>1266.75</v>
      </c>
      <c r="G56" s="25">
        <v>0.3</v>
      </c>
      <c r="H56" s="26"/>
    </row>
    <row r="57" spans="2:10">
      <c r="B57" s="27" t="s">
        <v>172</v>
      </c>
      <c r="C57" s="23" t="s">
        <v>173</v>
      </c>
      <c r="D57" s="23" t="s">
        <v>151</v>
      </c>
      <c r="E57" s="28">
        <v>40500</v>
      </c>
      <c r="F57" s="25">
        <v>1259.55</v>
      </c>
      <c r="G57" s="25">
        <v>0.3</v>
      </c>
      <c r="H57" s="26"/>
    </row>
    <row r="58" spans="2:10">
      <c r="B58" s="27" t="s">
        <v>62</v>
      </c>
      <c r="C58" s="23" t="s">
        <v>63</v>
      </c>
      <c r="D58" s="23" t="s">
        <v>64</v>
      </c>
      <c r="E58" s="28">
        <v>150000</v>
      </c>
      <c r="F58" s="25">
        <v>1194.5999999999999</v>
      </c>
      <c r="G58" s="25">
        <v>0.28999999999999998</v>
      </c>
      <c r="H58" s="26"/>
    </row>
    <row r="59" spans="2:10">
      <c r="B59" s="27" t="s">
        <v>215</v>
      </c>
      <c r="C59" s="23" t="s">
        <v>216</v>
      </c>
      <c r="D59" s="23" t="s">
        <v>134</v>
      </c>
      <c r="E59" s="28">
        <v>54000</v>
      </c>
      <c r="F59" s="25">
        <v>821.26</v>
      </c>
      <c r="G59" s="25">
        <v>0.2</v>
      </c>
      <c r="H59" s="26"/>
    </row>
    <row r="60" spans="2:10">
      <c r="B60" s="29" t="s">
        <v>118</v>
      </c>
      <c r="C60" s="30"/>
      <c r="D60" s="30"/>
      <c r="E60" s="31"/>
      <c r="F60" s="32">
        <f>SUM(F7:F59)</f>
        <v>307446.31999999995</v>
      </c>
      <c r="G60" s="32">
        <f>SUM(G7:G59)</f>
        <v>73.710000000000008</v>
      </c>
      <c r="H60" s="33"/>
      <c r="I60" s="14"/>
      <c r="J60" s="14"/>
    </row>
    <row r="61" spans="2:10">
      <c r="B61" s="37" t="s">
        <v>119</v>
      </c>
      <c r="C61" s="37"/>
      <c r="D61" s="37"/>
      <c r="E61" s="38"/>
      <c r="F61" s="39">
        <f>F60</f>
        <v>307446.31999999995</v>
      </c>
      <c r="G61" s="39">
        <f>G60</f>
        <v>73.710000000000008</v>
      </c>
      <c r="H61" s="15"/>
      <c r="I61" s="14"/>
      <c r="J61" s="14"/>
    </row>
    <row r="62" spans="2:10">
      <c r="B62" s="46" t="s">
        <v>359</v>
      </c>
      <c r="C62" s="41"/>
      <c r="D62" s="41"/>
      <c r="E62" s="42"/>
      <c r="F62" s="43"/>
      <c r="G62" s="43"/>
      <c r="H62" s="43"/>
    </row>
    <row r="63" spans="2:10">
      <c r="B63" s="47" t="s">
        <v>32</v>
      </c>
      <c r="C63" s="23"/>
      <c r="D63" s="23"/>
      <c r="E63" s="24"/>
      <c r="F63" s="25"/>
      <c r="G63" s="25"/>
      <c r="H63" s="25"/>
    </row>
    <row r="64" spans="2:10">
      <c r="B64" s="23" t="s">
        <v>360</v>
      </c>
      <c r="C64" s="23" t="s">
        <v>361</v>
      </c>
      <c r="D64" s="23" t="s">
        <v>362</v>
      </c>
      <c r="E64" s="28">
        <v>450</v>
      </c>
      <c r="F64" s="25">
        <v>4723.41</v>
      </c>
      <c r="G64" s="25">
        <v>1.1299999999999999</v>
      </c>
      <c r="H64" s="25">
        <v>4.4400000000000004</v>
      </c>
    </row>
    <row r="65" spans="2:8">
      <c r="B65" s="23" t="s">
        <v>363</v>
      </c>
      <c r="C65" s="23" t="s">
        <v>364</v>
      </c>
      <c r="D65" s="23" t="s">
        <v>362</v>
      </c>
      <c r="E65" s="28">
        <v>350</v>
      </c>
      <c r="F65" s="25">
        <v>3595.07</v>
      </c>
      <c r="G65" s="25">
        <v>0.86</v>
      </c>
      <c r="H65" s="25">
        <v>3.6</v>
      </c>
    </row>
    <row r="66" spans="2:8">
      <c r="B66" s="23" t="s">
        <v>365</v>
      </c>
      <c r="C66" s="23" t="s">
        <v>366</v>
      </c>
      <c r="D66" s="23" t="s">
        <v>362</v>
      </c>
      <c r="E66" s="28">
        <v>300</v>
      </c>
      <c r="F66" s="25">
        <v>3419.82</v>
      </c>
      <c r="G66" s="25">
        <v>0.82</v>
      </c>
      <c r="H66" s="25">
        <v>6.35</v>
      </c>
    </row>
    <row r="67" spans="2:8">
      <c r="B67" s="23" t="s">
        <v>367</v>
      </c>
      <c r="C67" s="23" t="s">
        <v>368</v>
      </c>
      <c r="D67" s="23" t="s">
        <v>362</v>
      </c>
      <c r="E67" s="28">
        <v>250</v>
      </c>
      <c r="F67" s="25">
        <v>2625.15</v>
      </c>
      <c r="G67" s="25">
        <v>0.63</v>
      </c>
      <c r="H67" s="25">
        <v>4.29</v>
      </c>
    </row>
    <row r="68" spans="2:8">
      <c r="B68" s="23" t="s">
        <v>369</v>
      </c>
      <c r="C68" s="23" t="s">
        <v>370</v>
      </c>
      <c r="D68" s="23" t="s">
        <v>371</v>
      </c>
      <c r="E68" s="28">
        <v>250</v>
      </c>
      <c r="F68" s="25">
        <v>2565.67</v>
      </c>
      <c r="G68" s="25">
        <v>0.62</v>
      </c>
      <c r="H68" s="25">
        <v>4.1100000000000003</v>
      </c>
    </row>
    <row r="69" spans="2:8">
      <c r="B69" s="23" t="s">
        <v>372</v>
      </c>
      <c r="C69" s="23" t="s">
        <v>373</v>
      </c>
      <c r="D69" s="23" t="s">
        <v>362</v>
      </c>
      <c r="E69" s="28">
        <v>250</v>
      </c>
      <c r="F69" s="25">
        <v>2557.1799999999998</v>
      </c>
      <c r="G69" s="25">
        <v>0.61</v>
      </c>
      <c r="H69" s="25">
        <v>3.76</v>
      </c>
    </row>
    <row r="70" spans="2:8">
      <c r="B70" s="23" t="s">
        <v>374</v>
      </c>
      <c r="C70" s="23" t="s">
        <v>375</v>
      </c>
      <c r="D70" s="23" t="s">
        <v>362</v>
      </c>
      <c r="E70" s="28">
        <v>250</v>
      </c>
      <c r="F70" s="25">
        <v>2510.7600000000002</v>
      </c>
      <c r="G70" s="25">
        <v>0.6</v>
      </c>
      <c r="H70" s="25">
        <v>5.34</v>
      </c>
    </row>
    <row r="71" spans="2:8">
      <c r="B71" s="23" t="s">
        <v>376</v>
      </c>
      <c r="C71" s="23" t="s">
        <v>377</v>
      </c>
      <c r="D71" s="23" t="s">
        <v>362</v>
      </c>
      <c r="E71" s="28">
        <v>200</v>
      </c>
      <c r="F71" s="25">
        <v>2158.56</v>
      </c>
      <c r="G71" s="25">
        <v>0.52</v>
      </c>
      <c r="H71" s="25">
        <v>5.44</v>
      </c>
    </row>
    <row r="72" spans="2:8">
      <c r="B72" s="23" t="s">
        <v>378</v>
      </c>
      <c r="C72" s="23" t="s">
        <v>379</v>
      </c>
      <c r="D72" s="23" t="s">
        <v>362</v>
      </c>
      <c r="E72" s="28">
        <v>150</v>
      </c>
      <c r="F72" s="25">
        <v>1672.14</v>
      </c>
      <c r="G72" s="25">
        <v>0.4</v>
      </c>
      <c r="H72" s="25">
        <v>6.52</v>
      </c>
    </row>
    <row r="73" spans="2:8">
      <c r="B73" s="23" t="s">
        <v>380</v>
      </c>
      <c r="C73" s="23" t="s">
        <v>381</v>
      </c>
      <c r="D73" s="23" t="s">
        <v>362</v>
      </c>
      <c r="E73" s="28">
        <v>150</v>
      </c>
      <c r="F73" s="25">
        <v>1630.17</v>
      </c>
      <c r="G73" s="25">
        <v>0.39</v>
      </c>
      <c r="H73" s="25">
        <v>4.8499999999999996</v>
      </c>
    </row>
    <row r="74" spans="2:8">
      <c r="B74" s="23" t="s">
        <v>382</v>
      </c>
      <c r="C74" s="23" t="s">
        <v>383</v>
      </c>
      <c r="D74" s="23" t="s">
        <v>362</v>
      </c>
      <c r="E74" s="28">
        <v>150</v>
      </c>
      <c r="F74" s="25">
        <v>1602.89</v>
      </c>
      <c r="G74" s="25">
        <v>0.38</v>
      </c>
      <c r="H74" s="25">
        <v>5.56</v>
      </c>
    </row>
    <row r="75" spans="2:8">
      <c r="B75" s="23" t="s">
        <v>384</v>
      </c>
      <c r="C75" s="23" t="s">
        <v>385</v>
      </c>
      <c r="D75" s="23" t="s">
        <v>362</v>
      </c>
      <c r="E75" s="28">
        <v>150</v>
      </c>
      <c r="F75" s="25">
        <v>1580.59</v>
      </c>
      <c r="G75" s="25">
        <v>0.38</v>
      </c>
      <c r="H75" s="25">
        <v>4.45</v>
      </c>
    </row>
    <row r="76" spans="2:8">
      <c r="B76" s="23" t="s">
        <v>386</v>
      </c>
      <c r="C76" s="23" t="s">
        <v>387</v>
      </c>
      <c r="D76" s="23" t="s">
        <v>362</v>
      </c>
      <c r="E76" s="28">
        <v>150</v>
      </c>
      <c r="F76" s="25">
        <v>1534.76</v>
      </c>
      <c r="G76" s="25">
        <v>0.37</v>
      </c>
      <c r="H76" s="25">
        <v>3.61</v>
      </c>
    </row>
    <row r="77" spans="2:8">
      <c r="B77" s="23" t="s">
        <v>388</v>
      </c>
      <c r="C77" s="23" t="s">
        <v>389</v>
      </c>
      <c r="D77" s="23" t="s">
        <v>371</v>
      </c>
      <c r="E77" s="28">
        <v>150</v>
      </c>
      <c r="F77" s="25">
        <v>1516.86</v>
      </c>
      <c r="G77" s="25">
        <v>0.36</v>
      </c>
      <c r="H77" s="25">
        <v>3.51</v>
      </c>
    </row>
    <row r="78" spans="2:8">
      <c r="B78" s="23" t="s">
        <v>390</v>
      </c>
      <c r="C78" s="23" t="s">
        <v>391</v>
      </c>
      <c r="D78" s="23" t="s">
        <v>392</v>
      </c>
      <c r="E78" s="28">
        <v>152</v>
      </c>
      <c r="F78" s="25">
        <v>1493.83</v>
      </c>
      <c r="G78" s="25">
        <v>0.36</v>
      </c>
      <c r="H78" s="25">
        <v>3.85</v>
      </c>
    </row>
    <row r="79" spans="2:8">
      <c r="B79" s="23" t="s">
        <v>393</v>
      </c>
      <c r="C79" s="23" t="s">
        <v>394</v>
      </c>
      <c r="D79" s="23" t="s">
        <v>362</v>
      </c>
      <c r="E79" s="28">
        <v>112</v>
      </c>
      <c r="F79" s="25">
        <v>1252.3800000000001</v>
      </c>
      <c r="G79" s="25">
        <v>0.3</v>
      </c>
      <c r="H79" s="25">
        <v>6.41</v>
      </c>
    </row>
    <row r="80" spans="2:8">
      <c r="B80" s="23" t="s">
        <v>395</v>
      </c>
      <c r="C80" s="23" t="s">
        <v>396</v>
      </c>
      <c r="D80" s="23" t="s">
        <v>362</v>
      </c>
      <c r="E80" s="28">
        <v>100</v>
      </c>
      <c r="F80" s="25">
        <v>1117.02</v>
      </c>
      <c r="G80" s="25">
        <v>0.27</v>
      </c>
      <c r="H80" s="25">
        <v>6.86</v>
      </c>
    </row>
    <row r="81" spans="2:10">
      <c r="B81" s="23" t="s">
        <v>397</v>
      </c>
      <c r="C81" s="23" t="s">
        <v>398</v>
      </c>
      <c r="D81" s="23" t="s">
        <v>362</v>
      </c>
      <c r="E81" s="28">
        <v>100</v>
      </c>
      <c r="F81" s="25">
        <v>1113.68</v>
      </c>
      <c r="G81" s="25">
        <v>0.27</v>
      </c>
      <c r="H81" s="25">
        <v>6.52</v>
      </c>
    </row>
    <row r="82" spans="2:10">
      <c r="B82" s="23" t="s">
        <v>399</v>
      </c>
      <c r="C82" s="23" t="s">
        <v>400</v>
      </c>
      <c r="D82" s="23" t="s">
        <v>362</v>
      </c>
      <c r="E82" s="28">
        <v>100</v>
      </c>
      <c r="F82" s="25">
        <v>1085.19</v>
      </c>
      <c r="G82" s="25">
        <v>0.26</v>
      </c>
      <c r="H82" s="25">
        <v>5.5</v>
      </c>
    </row>
    <row r="83" spans="2:10">
      <c r="B83" s="23" t="s">
        <v>401</v>
      </c>
      <c r="C83" s="23" t="s">
        <v>402</v>
      </c>
      <c r="D83" s="23" t="s">
        <v>362</v>
      </c>
      <c r="E83" s="28">
        <v>100</v>
      </c>
      <c r="F83" s="25">
        <v>1074.28</v>
      </c>
      <c r="G83" s="25">
        <v>0.26</v>
      </c>
      <c r="H83" s="25">
        <v>5.56</v>
      </c>
    </row>
    <row r="84" spans="2:10">
      <c r="B84" s="23" t="s">
        <v>403</v>
      </c>
      <c r="C84" s="23" t="s">
        <v>404</v>
      </c>
      <c r="D84" s="23" t="s">
        <v>362</v>
      </c>
      <c r="E84" s="28">
        <v>100</v>
      </c>
      <c r="F84" s="25">
        <v>1048.1600000000001</v>
      </c>
      <c r="G84" s="25">
        <v>0.25</v>
      </c>
      <c r="H84" s="25">
        <v>4.45</v>
      </c>
    </row>
    <row r="85" spans="2:10">
      <c r="B85" s="23" t="s">
        <v>405</v>
      </c>
      <c r="C85" s="23" t="s">
        <v>406</v>
      </c>
      <c r="D85" s="23" t="s">
        <v>392</v>
      </c>
      <c r="E85" s="28">
        <v>100</v>
      </c>
      <c r="F85" s="25">
        <v>1037.81</v>
      </c>
      <c r="G85" s="25">
        <v>0.25</v>
      </c>
      <c r="H85" s="25">
        <v>4.3899999999999997</v>
      </c>
    </row>
    <row r="86" spans="2:10">
      <c r="B86" s="23" t="s">
        <v>407</v>
      </c>
      <c r="C86" s="23" t="s">
        <v>408</v>
      </c>
      <c r="D86" s="23" t="s">
        <v>362</v>
      </c>
      <c r="E86" s="28">
        <v>100</v>
      </c>
      <c r="F86" s="25">
        <v>1021.95</v>
      </c>
      <c r="G86" s="25">
        <v>0.25</v>
      </c>
      <c r="H86" s="25">
        <v>3.62</v>
      </c>
    </row>
    <row r="87" spans="2:10">
      <c r="B87" s="23" t="s">
        <v>409</v>
      </c>
      <c r="C87" s="23" t="s">
        <v>410</v>
      </c>
      <c r="D87" s="23" t="s">
        <v>362</v>
      </c>
      <c r="E87" s="28">
        <v>69</v>
      </c>
      <c r="F87" s="25">
        <v>708.08</v>
      </c>
      <c r="G87" s="25">
        <v>0.17</v>
      </c>
      <c r="H87" s="25">
        <v>3.6</v>
      </c>
    </row>
    <row r="88" spans="2:10">
      <c r="B88" s="23" t="s">
        <v>411</v>
      </c>
      <c r="C88" s="23" t="s">
        <v>412</v>
      </c>
      <c r="D88" s="23" t="s">
        <v>362</v>
      </c>
      <c r="E88" s="28">
        <v>70</v>
      </c>
      <c r="F88" s="25">
        <v>706.09</v>
      </c>
      <c r="G88" s="25">
        <v>0.17</v>
      </c>
      <c r="H88" s="25">
        <v>3.19</v>
      </c>
    </row>
    <row r="89" spans="2:10">
      <c r="B89" s="23" t="s">
        <v>413</v>
      </c>
      <c r="C89" s="23" t="s">
        <v>414</v>
      </c>
      <c r="D89" s="23" t="s">
        <v>362</v>
      </c>
      <c r="E89" s="28">
        <v>60</v>
      </c>
      <c r="F89" s="25">
        <v>629.19000000000005</v>
      </c>
      <c r="G89" s="25">
        <v>0.15</v>
      </c>
      <c r="H89" s="25">
        <v>3.98</v>
      </c>
    </row>
    <row r="90" spans="2:10">
      <c r="B90" s="23" t="s">
        <v>415</v>
      </c>
      <c r="C90" s="23" t="s">
        <v>416</v>
      </c>
      <c r="D90" s="23" t="s">
        <v>362</v>
      </c>
      <c r="E90" s="28">
        <v>50</v>
      </c>
      <c r="F90" s="25">
        <v>557.5</v>
      </c>
      <c r="G90" s="25">
        <v>0.13</v>
      </c>
      <c r="H90" s="25">
        <v>6.42</v>
      </c>
    </row>
    <row r="91" spans="2:10">
      <c r="B91" s="23" t="s">
        <v>417</v>
      </c>
      <c r="C91" s="23" t="s">
        <v>418</v>
      </c>
      <c r="D91" s="23" t="s">
        <v>362</v>
      </c>
      <c r="E91" s="28">
        <v>50</v>
      </c>
      <c r="F91" s="25">
        <v>550.74</v>
      </c>
      <c r="G91" s="25">
        <v>0.13</v>
      </c>
      <c r="H91" s="25">
        <v>4.7300000000000004</v>
      </c>
    </row>
    <row r="92" spans="2:10">
      <c r="B92" s="23" t="s">
        <v>419</v>
      </c>
      <c r="C92" s="23" t="s">
        <v>420</v>
      </c>
      <c r="D92" s="23" t="s">
        <v>362</v>
      </c>
      <c r="E92" s="28">
        <v>50</v>
      </c>
      <c r="F92" s="25">
        <v>534.92999999999995</v>
      </c>
      <c r="G92" s="25">
        <v>0.13</v>
      </c>
      <c r="H92" s="25">
        <v>6.73</v>
      </c>
    </row>
    <row r="93" spans="2:10">
      <c r="B93" s="23" t="s">
        <v>421</v>
      </c>
      <c r="C93" s="23" t="s">
        <v>422</v>
      </c>
      <c r="D93" s="23" t="s">
        <v>362</v>
      </c>
      <c r="E93" s="28">
        <v>50</v>
      </c>
      <c r="F93" s="25">
        <v>528.53</v>
      </c>
      <c r="G93" s="25">
        <v>0.13</v>
      </c>
      <c r="H93" s="25">
        <v>6.42</v>
      </c>
    </row>
    <row r="94" spans="2:10">
      <c r="B94" s="23" t="s">
        <v>423</v>
      </c>
      <c r="C94" s="23" t="s">
        <v>424</v>
      </c>
      <c r="D94" s="23" t="s">
        <v>362</v>
      </c>
      <c r="E94" s="28">
        <v>50</v>
      </c>
      <c r="F94" s="25">
        <v>516.33000000000004</v>
      </c>
      <c r="G94" s="25">
        <v>0.12</v>
      </c>
      <c r="H94" s="25">
        <v>4.54</v>
      </c>
    </row>
    <row r="95" spans="2:10">
      <c r="B95" s="23" t="s">
        <v>425</v>
      </c>
      <c r="C95" s="23" t="s">
        <v>426</v>
      </c>
      <c r="D95" s="23" t="s">
        <v>362</v>
      </c>
      <c r="E95" s="28">
        <v>10</v>
      </c>
      <c r="F95" s="25">
        <v>104.82</v>
      </c>
      <c r="G95" s="25">
        <v>0.03</v>
      </c>
      <c r="H95" s="25">
        <v>3.95</v>
      </c>
    </row>
    <row r="96" spans="2:10">
      <c r="B96" s="30" t="s">
        <v>118</v>
      </c>
      <c r="C96" s="30"/>
      <c r="D96" s="30"/>
      <c r="E96" s="31"/>
      <c r="F96" s="32">
        <f>SUM(F63:F95)</f>
        <v>48773.539999999994</v>
      </c>
      <c r="G96" s="32">
        <f>SUM(G63:G95)</f>
        <v>11.7</v>
      </c>
      <c r="H96" s="48"/>
      <c r="I96" s="14"/>
      <c r="J96" s="14"/>
    </row>
    <row r="97" spans="2:10">
      <c r="B97" s="49" t="s">
        <v>119</v>
      </c>
      <c r="C97" s="49"/>
      <c r="D97" s="49"/>
      <c r="E97" s="50"/>
      <c r="F97" s="51">
        <f>F96</f>
        <v>48773.539999999994</v>
      </c>
      <c r="G97" s="51">
        <f>G96</f>
        <v>11.7</v>
      </c>
      <c r="H97" s="51"/>
      <c r="I97" s="14"/>
      <c r="J97" s="14"/>
    </row>
    <row r="98" spans="2:10">
      <c r="B98" s="47" t="s">
        <v>427</v>
      </c>
      <c r="C98" s="23"/>
      <c r="D98" s="23"/>
      <c r="E98" s="24"/>
      <c r="F98" s="25"/>
      <c r="G98" s="25"/>
      <c r="H98" s="25"/>
    </row>
    <row r="99" spans="2:10">
      <c r="B99" s="23" t="s">
        <v>428</v>
      </c>
      <c r="C99" s="23" t="s">
        <v>429</v>
      </c>
      <c r="D99" s="23" t="s">
        <v>430</v>
      </c>
      <c r="E99" s="28">
        <v>4000000</v>
      </c>
      <c r="F99" s="25">
        <v>4196.72</v>
      </c>
      <c r="G99" s="25">
        <v>1.01</v>
      </c>
      <c r="H99" s="25">
        <v>4.76</v>
      </c>
    </row>
    <row r="100" spans="2:10">
      <c r="B100" s="23" t="s">
        <v>431</v>
      </c>
      <c r="C100" s="23" t="s">
        <v>432</v>
      </c>
      <c r="D100" s="23" t="s">
        <v>430</v>
      </c>
      <c r="E100" s="28">
        <v>3000000</v>
      </c>
      <c r="F100" s="25">
        <v>2995.99</v>
      </c>
      <c r="G100" s="25">
        <v>0.72</v>
      </c>
      <c r="H100" s="25">
        <v>5.87</v>
      </c>
    </row>
    <row r="101" spans="2:10">
      <c r="B101" s="23" t="s">
        <v>433</v>
      </c>
      <c r="C101" s="23" t="s">
        <v>434</v>
      </c>
      <c r="D101" s="23" t="s">
        <v>430</v>
      </c>
      <c r="E101" s="28">
        <v>1500000</v>
      </c>
      <c r="F101" s="25">
        <v>1629</v>
      </c>
      <c r="G101" s="25">
        <v>0.39</v>
      </c>
      <c r="H101" s="25">
        <v>4.6399999999999997</v>
      </c>
    </row>
    <row r="102" spans="2:10">
      <c r="B102" s="23" t="s">
        <v>435</v>
      </c>
      <c r="C102" s="23" t="s">
        <v>436</v>
      </c>
      <c r="D102" s="23" t="s">
        <v>430</v>
      </c>
      <c r="E102" s="28">
        <v>1500000</v>
      </c>
      <c r="F102" s="25">
        <v>1583.66</v>
      </c>
      <c r="G102" s="25">
        <v>0.38</v>
      </c>
      <c r="H102" s="25">
        <v>3.87</v>
      </c>
    </row>
    <row r="103" spans="2:10">
      <c r="B103" s="23" t="s">
        <v>437</v>
      </c>
      <c r="C103" s="23" t="s">
        <v>438</v>
      </c>
      <c r="D103" s="23" t="s">
        <v>430</v>
      </c>
      <c r="E103" s="28">
        <v>1000000</v>
      </c>
      <c r="F103" s="25">
        <v>1083.4000000000001</v>
      </c>
      <c r="G103" s="25">
        <v>0.26</v>
      </c>
      <c r="H103" s="25">
        <v>5.94</v>
      </c>
    </row>
    <row r="104" spans="2:10">
      <c r="B104" s="23" t="s">
        <v>439</v>
      </c>
      <c r="C104" s="23" t="s">
        <v>440</v>
      </c>
      <c r="D104" s="23" t="s">
        <v>430</v>
      </c>
      <c r="E104" s="28">
        <v>1000000</v>
      </c>
      <c r="F104" s="25">
        <v>1066.0899999999999</v>
      </c>
      <c r="G104" s="25">
        <v>0.26</v>
      </c>
      <c r="H104" s="25">
        <v>5.54</v>
      </c>
    </row>
    <row r="105" spans="2:10">
      <c r="B105" s="23" t="s">
        <v>441</v>
      </c>
      <c r="C105" s="23" t="s">
        <v>442</v>
      </c>
      <c r="D105" s="23" t="s">
        <v>430</v>
      </c>
      <c r="E105" s="28">
        <v>500000</v>
      </c>
      <c r="F105" s="25">
        <v>567.89</v>
      </c>
      <c r="G105" s="25">
        <v>0.14000000000000001</v>
      </c>
      <c r="H105" s="25">
        <v>5.59</v>
      </c>
    </row>
    <row r="106" spans="2:10">
      <c r="B106" s="23" t="s">
        <v>443</v>
      </c>
      <c r="C106" s="23" t="s">
        <v>444</v>
      </c>
      <c r="D106" s="23" t="s">
        <v>430</v>
      </c>
      <c r="E106" s="28">
        <v>500000</v>
      </c>
      <c r="F106" s="25">
        <v>566</v>
      </c>
      <c r="G106" s="25">
        <v>0.14000000000000001</v>
      </c>
      <c r="H106" s="25">
        <v>5.5</v>
      </c>
    </row>
    <row r="107" spans="2:10">
      <c r="B107" s="23" t="s">
        <v>445</v>
      </c>
      <c r="C107" s="23" t="s">
        <v>446</v>
      </c>
      <c r="D107" s="23" t="s">
        <v>430</v>
      </c>
      <c r="E107" s="28">
        <v>500000</v>
      </c>
      <c r="F107" s="25">
        <v>540.33000000000004</v>
      </c>
      <c r="G107" s="25">
        <v>0.13</v>
      </c>
      <c r="H107" s="25">
        <v>6.54</v>
      </c>
    </row>
    <row r="108" spans="2:10">
      <c r="B108" s="23" t="s">
        <v>447</v>
      </c>
      <c r="C108" s="23" t="s">
        <v>448</v>
      </c>
      <c r="D108" s="23" t="s">
        <v>430</v>
      </c>
      <c r="E108" s="28">
        <v>250000</v>
      </c>
      <c r="F108" s="25">
        <v>250.51</v>
      </c>
      <c r="G108" s="25">
        <v>0.06</v>
      </c>
      <c r="H108" s="25">
        <v>5.0999999999999996</v>
      </c>
    </row>
    <row r="109" spans="2:10">
      <c r="B109" s="23" t="s">
        <v>449</v>
      </c>
      <c r="C109" s="23" t="s">
        <v>450</v>
      </c>
      <c r="D109" s="23" t="s">
        <v>430</v>
      </c>
      <c r="E109" s="28">
        <v>191700</v>
      </c>
      <c r="F109" s="25">
        <v>200.33</v>
      </c>
      <c r="G109" s="25">
        <v>0.05</v>
      </c>
      <c r="H109" s="25">
        <v>3.99</v>
      </c>
    </row>
    <row r="110" spans="2:10">
      <c r="B110" s="52" t="s">
        <v>451</v>
      </c>
      <c r="C110" s="52" t="s">
        <v>452</v>
      </c>
      <c r="D110" s="52" t="s">
        <v>430</v>
      </c>
      <c r="E110" s="53">
        <v>100000</v>
      </c>
      <c r="F110" s="54">
        <v>99.11</v>
      </c>
      <c r="G110" s="54">
        <v>0.02</v>
      </c>
      <c r="H110" s="54">
        <v>5.89</v>
      </c>
    </row>
    <row r="111" spans="2:10">
      <c r="B111" s="55" t="s">
        <v>119</v>
      </c>
      <c r="C111" s="55"/>
      <c r="D111" s="55"/>
      <c r="E111" s="56"/>
      <c r="F111" s="57">
        <f>SUM(F99:F110)</f>
        <v>14779.029999999999</v>
      </c>
      <c r="G111" s="57">
        <f>SUM(G99:G110)</f>
        <v>3.5599999999999996</v>
      </c>
      <c r="H111" s="57"/>
      <c r="I111" s="14"/>
      <c r="J111" s="14"/>
    </row>
    <row r="112" spans="2:10">
      <c r="B112" s="47" t="s">
        <v>120</v>
      </c>
      <c r="C112" s="23"/>
      <c r="D112" s="23"/>
      <c r="E112" s="24"/>
      <c r="F112" s="25"/>
      <c r="G112" s="25"/>
      <c r="H112" s="25"/>
    </row>
    <row r="113" spans="2:10">
      <c r="B113" s="23" t="s">
        <v>120</v>
      </c>
      <c r="C113" s="23"/>
      <c r="D113" s="23"/>
      <c r="E113" s="24"/>
      <c r="F113" s="25">
        <v>46699.62</v>
      </c>
      <c r="G113" s="25">
        <v>11.2</v>
      </c>
      <c r="H113" s="25"/>
    </row>
    <row r="114" spans="2:10">
      <c r="B114" s="30" t="s">
        <v>118</v>
      </c>
      <c r="C114" s="30"/>
      <c r="D114" s="30"/>
      <c r="E114" s="31"/>
      <c r="F114" s="32">
        <f>SUM(F112:F113)</f>
        <v>46699.62</v>
      </c>
      <c r="G114" s="32">
        <f>SUM(G112:G113)</f>
        <v>11.2</v>
      </c>
      <c r="H114" s="48"/>
      <c r="I114" s="14"/>
      <c r="J114" s="14"/>
    </row>
    <row r="115" spans="2:10">
      <c r="B115" s="34" t="s">
        <v>119</v>
      </c>
      <c r="C115" s="34"/>
      <c r="D115" s="34"/>
      <c r="E115" s="35"/>
      <c r="F115" s="36">
        <f>F114</f>
        <v>46699.62</v>
      </c>
      <c r="G115" s="36">
        <f>G114</f>
        <v>11.2</v>
      </c>
      <c r="H115" s="36"/>
      <c r="I115" s="14"/>
      <c r="J115" s="14"/>
    </row>
    <row r="116" spans="2:10">
      <c r="B116" s="44" t="s">
        <v>122</v>
      </c>
      <c r="C116" s="44"/>
      <c r="D116" s="44"/>
      <c r="E116" s="45"/>
      <c r="F116" s="16">
        <f>F117-(+F61+F97+F111+F115)</f>
        <v>-742.30999999988126</v>
      </c>
      <c r="G116" s="16">
        <f>G117-(+G61+G97+G111+G115)</f>
        <v>-0.17000000000001592</v>
      </c>
      <c r="H116" s="16"/>
      <c r="I116" s="14"/>
      <c r="J116" s="14"/>
    </row>
    <row r="117" spans="2:10">
      <c r="B117" s="44" t="s">
        <v>121</v>
      </c>
      <c r="C117" s="44"/>
      <c r="D117" s="44"/>
      <c r="E117" s="45"/>
      <c r="F117" s="16">
        <v>416956.2</v>
      </c>
      <c r="G117" s="16">
        <v>100</v>
      </c>
      <c r="H117" s="16"/>
      <c r="I117" s="14"/>
      <c r="J117" s="14"/>
    </row>
    <row r="119" spans="2:10">
      <c r="B119" s="14" t="s">
        <v>812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0"/>
  <sheetViews>
    <sheetView workbookViewId="0">
      <selection activeCell="F30" sqref="F30"/>
    </sheetView>
  </sheetViews>
  <sheetFormatPr defaultRowHeight="12"/>
  <cols>
    <col min="1" max="1" width="9.140625" style="1"/>
    <col min="2" max="2" width="60.8554687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61" t="s">
        <v>16</v>
      </c>
      <c r="C1" s="62"/>
      <c r="D1" s="62"/>
      <c r="E1" s="62"/>
      <c r="F1" s="62"/>
      <c r="G1" s="62"/>
      <c r="H1" s="62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58" t="s">
        <v>359</v>
      </c>
      <c r="C5" s="18"/>
      <c r="D5" s="18"/>
      <c r="E5" s="19"/>
      <c r="F5" s="20"/>
      <c r="G5" s="20"/>
      <c r="H5" s="20"/>
    </row>
    <row r="6" spans="2:10">
      <c r="B6" s="47" t="s">
        <v>32</v>
      </c>
      <c r="C6" s="23"/>
      <c r="D6" s="23"/>
      <c r="E6" s="24"/>
      <c r="F6" s="25"/>
      <c r="G6" s="25"/>
      <c r="H6" s="25"/>
    </row>
    <row r="7" spans="2:10">
      <c r="B7" s="23" t="s">
        <v>453</v>
      </c>
      <c r="C7" s="23" t="s">
        <v>454</v>
      </c>
      <c r="D7" s="23" t="s">
        <v>371</v>
      </c>
      <c r="E7" s="28">
        <v>50</v>
      </c>
      <c r="F7" s="25">
        <v>525.34</v>
      </c>
      <c r="G7" s="25">
        <v>4.42</v>
      </c>
      <c r="H7" s="25">
        <v>3.86</v>
      </c>
    </row>
    <row r="8" spans="2:10">
      <c r="B8" s="30" t="s">
        <v>118</v>
      </c>
      <c r="C8" s="30"/>
      <c r="D8" s="30"/>
      <c r="E8" s="31"/>
      <c r="F8" s="32">
        <f>SUM(F6:F7)</f>
        <v>525.34</v>
      </c>
      <c r="G8" s="32">
        <f>SUM(G6:G7)</f>
        <v>4.42</v>
      </c>
      <c r="H8" s="48"/>
      <c r="I8" s="14"/>
      <c r="J8" s="14"/>
    </row>
    <row r="9" spans="2:10">
      <c r="B9" s="49" t="s">
        <v>119</v>
      </c>
      <c r="C9" s="49"/>
      <c r="D9" s="49"/>
      <c r="E9" s="50"/>
      <c r="F9" s="51">
        <f>F8</f>
        <v>525.34</v>
      </c>
      <c r="G9" s="51">
        <f>G8</f>
        <v>4.42</v>
      </c>
      <c r="H9" s="51"/>
      <c r="I9" s="14"/>
      <c r="J9" s="14"/>
    </row>
    <row r="10" spans="2:10">
      <c r="B10" s="47" t="s">
        <v>455</v>
      </c>
      <c r="C10" s="23"/>
      <c r="D10" s="23"/>
      <c r="E10" s="24"/>
      <c r="F10" s="25"/>
      <c r="G10" s="25"/>
      <c r="H10" s="25"/>
    </row>
    <row r="11" spans="2:10">
      <c r="B11" s="47" t="s">
        <v>456</v>
      </c>
      <c r="C11" s="23"/>
      <c r="D11" s="23"/>
      <c r="E11" s="24"/>
      <c r="F11" s="25"/>
      <c r="G11" s="25"/>
      <c r="H11" s="25"/>
    </row>
    <row r="12" spans="2:10">
      <c r="B12" s="23" t="s">
        <v>457</v>
      </c>
      <c r="C12" s="23" t="s">
        <v>458</v>
      </c>
      <c r="D12" s="23" t="s">
        <v>459</v>
      </c>
      <c r="E12" s="28">
        <v>2000000</v>
      </c>
      <c r="F12" s="25">
        <v>1995.65</v>
      </c>
      <c r="G12" s="25">
        <v>16.809999999999999</v>
      </c>
      <c r="H12" s="25">
        <v>2.95</v>
      </c>
    </row>
    <row r="13" spans="2:10">
      <c r="B13" s="30" t="s">
        <v>118</v>
      </c>
      <c r="C13" s="30"/>
      <c r="D13" s="30"/>
      <c r="E13" s="31"/>
      <c r="F13" s="32">
        <f>SUM(F11:F12)</f>
        <v>1995.65</v>
      </c>
      <c r="G13" s="32">
        <f>SUM(G11:G12)</f>
        <v>16.809999999999999</v>
      </c>
      <c r="H13" s="48"/>
      <c r="I13" s="14"/>
      <c r="J13" s="14"/>
    </row>
    <row r="14" spans="2:10">
      <c r="B14" s="49" t="s">
        <v>119</v>
      </c>
      <c r="C14" s="49"/>
      <c r="D14" s="49"/>
      <c r="E14" s="50"/>
      <c r="F14" s="51">
        <f>+F13</f>
        <v>1995.65</v>
      </c>
      <c r="G14" s="51">
        <f>+G13</f>
        <v>16.809999999999999</v>
      </c>
      <c r="H14" s="51"/>
      <c r="I14" s="14"/>
      <c r="J14" s="14"/>
    </row>
    <row r="15" spans="2:10">
      <c r="B15" s="47" t="s">
        <v>427</v>
      </c>
      <c r="C15" s="23"/>
      <c r="D15" s="23"/>
      <c r="E15" s="24"/>
      <c r="F15" s="25"/>
      <c r="G15" s="25"/>
      <c r="H15" s="25"/>
    </row>
    <row r="16" spans="2:10">
      <c r="B16" s="23" t="s">
        <v>460</v>
      </c>
      <c r="C16" s="23" t="s">
        <v>461</v>
      </c>
      <c r="D16" s="23" t="s">
        <v>430</v>
      </c>
      <c r="E16" s="28">
        <v>2850000</v>
      </c>
      <c r="F16" s="25">
        <v>3084.61</v>
      </c>
      <c r="G16" s="25">
        <v>25.98</v>
      </c>
      <c r="H16" s="25">
        <v>5.73</v>
      </c>
    </row>
    <row r="17" spans="2:10">
      <c r="B17" s="23" t="s">
        <v>462</v>
      </c>
      <c r="C17" s="23" t="s">
        <v>463</v>
      </c>
      <c r="D17" s="23" t="s">
        <v>430</v>
      </c>
      <c r="E17" s="28">
        <v>1350000</v>
      </c>
      <c r="F17" s="25">
        <v>1498.5</v>
      </c>
      <c r="G17" s="25">
        <v>12.62</v>
      </c>
      <c r="H17" s="25">
        <v>6.28</v>
      </c>
    </row>
    <row r="18" spans="2:10">
      <c r="B18" s="23" t="s">
        <v>451</v>
      </c>
      <c r="C18" s="23" t="s">
        <v>452</v>
      </c>
      <c r="D18" s="23" t="s">
        <v>430</v>
      </c>
      <c r="E18" s="28">
        <v>1000000</v>
      </c>
      <c r="F18" s="25">
        <v>991.08</v>
      </c>
      <c r="G18" s="25">
        <v>8.35</v>
      </c>
      <c r="H18" s="25">
        <v>5.89</v>
      </c>
    </row>
    <row r="19" spans="2:10">
      <c r="B19" s="23" t="s">
        <v>464</v>
      </c>
      <c r="C19" s="23" t="s">
        <v>465</v>
      </c>
      <c r="D19" s="23" t="s">
        <v>430</v>
      </c>
      <c r="E19" s="28">
        <v>500000</v>
      </c>
      <c r="F19" s="25">
        <v>527.5</v>
      </c>
      <c r="G19" s="25">
        <v>4.4400000000000004</v>
      </c>
      <c r="H19" s="25">
        <v>5.99</v>
      </c>
    </row>
    <row r="20" spans="2:10">
      <c r="B20" s="23" t="s">
        <v>431</v>
      </c>
      <c r="C20" s="23" t="s">
        <v>432</v>
      </c>
      <c r="D20" s="23" t="s">
        <v>430</v>
      </c>
      <c r="E20" s="28">
        <v>500000</v>
      </c>
      <c r="F20" s="25">
        <v>499.33</v>
      </c>
      <c r="G20" s="25">
        <v>4.21</v>
      </c>
      <c r="H20" s="25">
        <v>5.87</v>
      </c>
    </row>
    <row r="21" spans="2:10">
      <c r="B21" s="52" t="s">
        <v>466</v>
      </c>
      <c r="C21" s="52" t="s">
        <v>467</v>
      </c>
      <c r="D21" s="52" t="s">
        <v>430</v>
      </c>
      <c r="E21" s="53">
        <v>23200</v>
      </c>
      <c r="F21" s="54">
        <v>24.17</v>
      </c>
      <c r="G21" s="54">
        <v>0.2</v>
      </c>
      <c r="H21" s="54">
        <v>6.14</v>
      </c>
    </row>
    <row r="22" spans="2:10">
      <c r="B22" s="55" t="s">
        <v>119</v>
      </c>
      <c r="C22" s="55"/>
      <c r="D22" s="55"/>
      <c r="E22" s="56"/>
      <c r="F22" s="57">
        <f>SUM(F16:F21)</f>
        <v>6625.1900000000005</v>
      </c>
      <c r="G22" s="57">
        <f>SUM(G16:G21)</f>
        <v>55.800000000000004</v>
      </c>
      <c r="H22" s="57"/>
      <c r="I22" s="14"/>
      <c r="J22" s="14"/>
    </row>
    <row r="23" spans="2:10">
      <c r="B23" s="47" t="s">
        <v>120</v>
      </c>
      <c r="C23" s="23"/>
      <c r="D23" s="23"/>
      <c r="E23" s="24"/>
      <c r="F23" s="25"/>
      <c r="G23" s="25"/>
      <c r="H23" s="25"/>
    </row>
    <row r="24" spans="2:10">
      <c r="B24" s="23" t="s">
        <v>120</v>
      </c>
      <c r="C24" s="23"/>
      <c r="D24" s="23"/>
      <c r="E24" s="24"/>
      <c r="F24" s="25">
        <v>1950.39</v>
      </c>
      <c r="G24" s="25">
        <v>16.420000000000002</v>
      </c>
      <c r="H24" s="25"/>
    </row>
    <row r="25" spans="2:10">
      <c r="B25" s="30" t="s">
        <v>118</v>
      </c>
      <c r="C25" s="30"/>
      <c r="D25" s="30"/>
      <c r="E25" s="31"/>
      <c r="F25" s="32">
        <f>SUM(F23:F24)</f>
        <v>1950.39</v>
      </c>
      <c r="G25" s="32">
        <f>SUM(G23:G24)</f>
        <v>16.420000000000002</v>
      </c>
      <c r="H25" s="48"/>
      <c r="I25" s="14"/>
      <c r="J25" s="14"/>
    </row>
    <row r="26" spans="2:10">
      <c r="B26" s="34" t="s">
        <v>119</v>
      </c>
      <c r="C26" s="34"/>
      <c r="D26" s="34"/>
      <c r="E26" s="35"/>
      <c r="F26" s="36">
        <f>F25</f>
        <v>1950.39</v>
      </c>
      <c r="G26" s="36">
        <f>G25</f>
        <v>16.420000000000002</v>
      </c>
      <c r="H26" s="36"/>
      <c r="I26" s="14"/>
      <c r="J26" s="14"/>
    </row>
    <row r="27" spans="2:10">
      <c r="B27" s="44" t="s">
        <v>122</v>
      </c>
      <c r="C27" s="44"/>
      <c r="D27" s="44"/>
      <c r="E27" s="45"/>
      <c r="F27" s="16">
        <f>F28-(+F9+F14+F22+F26)</f>
        <v>777.79000000000087</v>
      </c>
      <c r="G27" s="16">
        <f>G28-(+G9+G14+G22+G26)</f>
        <v>6.5499999999999972</v>
      </c>
      <c r="H27" s="16"/>
      <c r="I27" s="14"/>
      <c r="J27" s="14"/>
    </row>
    <row r="28" spans="2:10">
      <c r="B28" s="44" t="s">
        <v>121</v>
      </c>
      <c r="C28" s="44"/>
      <c r="D28" s="44"/>
      <c r="E28" s="45"/>
      <c r="F28" s="16">
        <v>11874.36</v>
      </c>
      <c r="G28" s="16">
        <v>100</v>
      </c>
      <c r="H28" s="16"/>
      <c r="I28" s="14"/>
      <c r="J28" s="14"/>
    </row>
    <row r="30" spans="2:10">
      <c r="B30" s="14" t="s">
        <v>812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workbookViewId="0">
      <selection activeCell="B23" sqref="B23"/>
    </sheetView>
  </sheetViews>
  <sheetFormatPr defaultRowHeight="12"/>
  <cols>
    <col min="1" max="1" width="9.140625" style="1"/>
    <col min="2" max="2" width="60.8554687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61" t="s">
        <v>17</v>
      </c>
      <c r="C1" s="62"/>
      <c r="D1" s="62"/>
      <c r="E1" s="62"/>
      <c r="F1" s="62"/>
      <c r="G1" s="62"/>
      <c r="H1" s="62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58" t="s">
        <v>427</v>
      </c>
      <c r="C5" s="18"/>
      <c r="D5" s="18"/>
      <c r="E5" s="19"/>
      <c r="F5" s="20"/>
      <c r="G5" s="20"/>
      <c r="H5" s="20"/>
    </row>
    <row r="6" spans="2:10">
      <c r="B6" s="23" t="s">
        <v>451</v>
      </c>
      <c r="C6" s="23" t="s">
        <v>452</v>
      </c>
      <c r="D6" s="23" t="s">
        <v>430</v>
      </c>
      <c r="E6" s="28">
        <v>2900000</v>
      </c>
      <c r="F6" s="25">
        <v>2874.14</v>
      </c>
      <c r="G6" s="25">
        <v>21.16</v>
      </c>
      <c r="H6" s="25">
        <v>5.89</v>
      </c>
    </row>
    <row r="7" spans="2:10">
      <c r="B7" s="23" t="s">
        <v>431</v>
      </c>
      <c r="C7" s="23" t="s">
        <v>432</v>
      </c>
      <c r="D7" s="23" t="s">
        <v>430</v>
      </c>
      <c r="E7" s="28">
        <v>2500000</v>
      </c>
      <c r="F7" s="25">
        <v>2496.66</v>
      </c>
      <c r="G7" s="25">
        <v>18.38</v>
      </c>
      <c r="H7" s="25">
        <v>5.87</v>
      </c>
    </row>
    <row r="8" spans="2:10">
      <c r="B8" s="23" t="s">
        <v>435</v>
      </c>
      <c r="C8" s="23" t="s">
        <v>436</v>
      </c>
      <c r="D8" s="23" t="s">
        <v>430</v>
      </c>
      <c r="E8" s="28">
        <v>2000000</v>
      </c>
      <c r="F8" s="25">
        <v>2111.5500000000002</v>
      </c>
      <c r="G8" s="25">
        <v>15.54</v>
      </c>
      <c r="H8" s="25">
        <v>3.87</v>
      </c>
    </row>
    <row r="9" spans="2:10">
      <c r="B9" s="23" t="s">
        <v>460</v>
      </c>
      <c r="C9" s="23" t="s">
        <v>461</v>
      </c>
      <c r="D9" s="23" t="s">
        <v>430</v>
      </c>
      <c r="E9" s="28">
        <v>1823300</v>
      </c>
      <c r="F9" s="25">
        <v>1973.39</v>
      </c>
      <c r="G9" s="25">
        <v>14.53</v>
      </c>
      <c r="H9" s="25">
        <v>5.73</v>
      </c>
    </row>
    <row r="10" spans="2:10">
      <c r="B10" s="23" t="s">
        <v>462</v>
      </c>
      <c r="C10" s="23" t="s">
        <v>463</v>
      </c>
      <c r="D10" s="23" t="s">
        <v>430</v>
      </c>
      <c r="E10" s="28">
        <v>1150000</v>
      </c>
      <c r="F10" s="25">
        <v>1276.5</v>
      </c>
      <c r="G10" s="25">
        <v>9.4</v>
      </c>
      <c r="H10" s="25">
        <v>6.28</v>
      </c>
    </row>
    <row r="11" spans="2:10">
      <c r="B11" s="23" t="s">
        <v>464</v>
      </c>
      <c r="C11" s="23" t="s">
        <v>465</v>
      </c>
      <c r="D11" s="23" t="s">
        <v>430</v>
      </c>
      <c r="E11" s="28">
        <v>500000</v>
      </c>
      <c r="F11" s="25">
        <v>527.5</v>
      </c>
      <c r="G11" s="25">
        <v>3.88</v>
      </c>
      <c r="H11" s="25">
        <v>5.99</v>
      </c>
    </row>
    <row r="12" spans="2:10">
      <c r="B12" s="23" t="s">
        <v>468</v>
      </c>
      <c r="C12" s="23" t="s">
        <v>469</v>
      </c>
      <c r="D12" s="23" t="s">
        <v>430</v>
      </c>
      <c r="E12" s="28">
        <v>500000</v>
      </c>
      <c r="F12" s="25">
        <v>516.58000000000004</v>
      </c>
      <c r="G12" s="25">
        <v>3.8</v>
      </c>
      <c r="H12" s="25">
        <v>5.96</v>
      </c>
    </row>
    <row r="13" spans="2:10">
      <c r="B13" s="23" t="s">
        <v>470</v>
      </c>
      <c r="C13" s="23" t="s">
        <v>471</v>
      </c>
      <c r="D13" s="23" t="s">
        <v>430</v>
      </c>
      <c r="E13" s="28">
        <v>420100</v>
      </c>
      <c r="F13" s="25">
        <v>418.35</v>
      </c>
      <c r="G13" s="25">
        <v>3.08</v>
      </c>
      <c r="H13" s="25">
        <v>6.26</v>
      </c>
    </row>
    <row r="14" spans="2:10">
      <c r="B14" s="52" t="s">
        <v>472</v>
      </c>
      <c r="C14" s="52" t="s">
        <v>473</v>
      </c>
      <c r="D14" s="52" t="s">
        <v>430</v>
      </c>
      <c r="E14" s="53">
        <v>10000</v>
      </c>
      <c r="F14" s="54">
        <v>11.93</v>
      </c>
      <c r="G14" s="54">
        <v>0.09</v>
      </c>
      <c r="H14" s="54">
        <v>6.54</v>
      </c>
    </row>
    <row r="15" spans="2:10">
      <c r="B15" s="55" t="s">
        <v>119</v>
      </c>
      <c r="C15" s="55"/>
      <c r="D15" s="55"/>
      <c r="E15" s="56"/>
      <c r="F15" s="57">
        <f>SUM(F6:F14)</f>
        <v>12206.6</v>
      </c>
      <c r="G15" s="57">
        <f>SUM(G6:G14)</f>
        <v>89.86</v>
      </c>
      <c r="H15" s="57"/>
      <c r="I15" s="14"/>
      <c r="J15" s="14"/>
    </row>
    <row r="16" spans="2:10">
      <c r="B16" s="47" t="s">
        <v>120</v>
      </c>
      <c r="C16" s="23"/>
      <c r="D16" s="23"/>
      <c r="E16" s="24"/>
      <c r="F16" s="25"/>
      <c r="G16" s="25"/>
      <c r="H16" s="25"/>
    </row>
    <row r="17" spans="2:10">
      <c r="B17" s="23" t="s">
        <v>120</v>
      </c>
      <c r="C17" s="23"/>
      <c r="D17" s="23"/>
      <c r="E17" s="24"/>
      <c r="F17" s="25">
        <v>850.96</v>
      </c>
      <c r="G17" s="25">
        <v>6.26</v>
      </c>
      <c r="H17" s="25"/>
    </row>
    <row r="18" spans="2:10">
      <c r="B18" s="30" t="s">
        <v>118</v>
      </c>
      <c r="C18" s="30"/>
      <c r="D18" s="30"/>
      <c r="E18" s="31"/>
      <c r="F18" s="32">
        <f>SUM(F16:F17)</f>
        <v>850.96</v>
      </c>
      <c r="G18" s="32">
        <f>SUM(G16:G17)</f>
        <v>6.26</v>
      </c>
      <c r="H18" s="48"/>
      <c r="I18" s="14"/>
      <c r="J18" s="14"/>
    </row>
    <row r="19" spans="2:10">
      <c r="B19" s="34" t="s">
        <v>119</v>
      </c>
      <c r="C19" s="34"/>
      <c r="D19" s="34"/>
      <c r="E19" s="35"/>
      <c r="F19" s="36">
        <f>F18</f>
        <v>850.96</v>
      </c>
      <c r="G19" s="36">
        <f>G18</f>
        <v>6.26</v>
      </c>
      <c r="H19" s="36"/>
      <c r="I19" s="14"/>
      <c r="J19" s="14"/>
    </row>
    <row r="20" spans="2:10">
      <c r="B20" s="44" t="s">
        <v>122</v>
      </c>
      <c r="C20" s="44"/>
      <c r="D20" s="44"/>
      <c r="E20" s="45"/>
      <c r="F20" s="16">
        <f>F21-(+F15+F19)</f>
        <v>526.49999999999818</v>
      </c>
      <c r="G20" s="16">
        <f>G21-(+G15+G19)</f>
        <v>3.8799999999999955</v>
      </c>
      <c r="H20" s="16"/>
      <c r="I20" s="14"/>
      <c r="J20" s="14"/>
    </row>
    <row r="21" spans="2:10">
      <c r="B21" s="44" t="s">
        <v>121</v>
      </c>
      <c r="C21" s="44"/>
      <c r="D21" s="44"/>
      <c r="E21" s="45"/>
      <c r="F21" s="16">
        <v>13584.06</v>
      </c>
      <c r="G21" s="16">
        <v>100</v>
      </c>
      <c r="H21" s="16"/>
      <c r="I21" s="14"/>
      <c r="J21" s="14"/>
    </row>
    <row r="23" spans="2:10">
      <c r="B23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9"/>
  <sheetViews>
    <sheetView workbookViewId="0">
      <selection activeCell="F4" sqref="F4"/>
    </sheetView>
  </sheetViews>
  <sheetFormatPr defaultRowHeight="12"/>
  <cols>
    <col min="1" max="1" width="9.140625" style="1"/>
    <col min="2" max="2" width="60.85546875" style="1" bestFit="1" customWidth="1"/>
    <col min="3" max="3" width="13.570312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61" t="s">
        <v>18</v>
      </c>
      <c r="C1" s="62"/>
      <c r="D1" s="62"/>
      <c r="E1" s="62"/>
      <c r="F1" s="62"/>
      <c r="G1" s="62"/>
      <c r="H1" s="62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58" t="s">
        <v>359</v>
      </c>
      <c r="C5" s="18"/>
      <c r="D5" s="18"/>
      <c r="E5" s="19"/>
      <c r="F5" s="20"/>
      <c r="G5" s="20"/>
      <c r="H5" s="20"/>
    </row>
    <row r="6" spans="2:10">
      <c r="B6" s="47" t="s">
        <v>32</v>
      </c>
      <c r="C6" s="23"/>
      <c r="D6" s="23"/>
      <c r="E6" s="24"/>
      <c r="F6" s="25"/>
      <c r="G6" s="25"/>
      <c r="H6" s="25"/>
    </row>
    <row r="7" spans="2:10">
      <c r="B7" s="23" t="s">
        <v>474</v>
      </c>
      <c r="C7" s="23" t="s">
        <v>475</v>
      </c>
      <c r="D7" s="23" t="s">
        <v>362</v>
      </c>
      <c r="E7" s="28">
        <v>100</v>
      </c>
      <c r="F7" s="25">
        <v>1062.8800000000001</v>
      </c>
      <c r="G7" s="25">
        <v>6.88</v>
      </c>
      <c r="H7" s="25">
        <v>6.5</v>
      </c>
    </row>
    <row r="8" spans="2:10">
      <c r="B8" s="23" t="s">
        <v>365</v>
      </c>
      <c r="C8" s="23" t="s">
        <v>366</v>
      </c>
      <c r="D8" s="23" t="s">
        <v>362</v>
      </c>
      <c r="E8" s="28">
        <v>50</v>
      </c>
      <c r="F8" s="25">
        <v>569.97</v>
      </c>
      <c r="G8" s="25">
        <v>3.69</v>
      </c>
      <c r="H8" s="25">
        <v>6.35</v>
      </c>
    </row>
    <row r="9" spans="2:10">
      <c r="B9" s="23" t="s">
        <v>395</v>
      </c>
      <c r="C9" s="23" t="s">
        <v>396</v>
      </c>
      <c r="D9" s="23" t="s">
        <v>362</v>
      </c>
      <c r="E9" s="28">
        <v>50</v>
      </c>
      <c r="F9" s="25">
        <v>558.51</v>
      </c>
      <c r="G9" s="25">
        <v>3.62</v>
      </c>
      <c r="H9" s="25">
        <v>6.86</v>
      </c>
    </row>
    <row r="10" spans="2:10">
      <c r="B10" s="23" t="s">
        <v>376</v>
      </c>
      <c r="C10" s="23" t="s">
        <v>377</v>
      </c>
      <c r="D10" s="23" t="s">
        <v>362</v>
      </c>
      <c r="E10" s="28">
        <v>50</v>
      </c>
      <c r="F10" s="25">
        <v>539.64</v>
      </c>
      <c r="G10" s="25">
        <v>3.49</v>
      </c>
      <c r="H10" s="25">
        <v>5.44</v>
      </c>
    </row>
    <row r="11" spans="2:10">
      <c r="B11" s="23" t="s">
        <v>476</v>
      </c>
      <c r="C11" s="23" t="s">
        <v>477</v>
      </c>
      <c r="D11" s="23" t="s">
        <v>392</v>
      </c>
      <c r="E11" s="28">
        <v>50</v>
      </c>
      <c r="F11" s="25">
        <v>532.22</v>
      </c>
      <c r="G11" s="25">
        <v>3.45</v>
      </c>
      <c r="H11" s="25">
        <v>6.58</v>
      </c>
    </row>
    <row r="12" spans="2:10">
      <c r="B12" s="23" t="s">
        <v>478</v>
      </c>
      <c r="C12" s="23" t="s">
        <v>479</v>
      </c>
      <c r="D12" s="23" t="s">
        <v>362</v>
      </c>
      <c r="E12" s="28">
        <v>50</v>
      </c>
      <c r="F12" s="25">
        <v>530.97</v>
      </c>
      <c r="G12" s="25">
        <v>3.44</v>
      </c>
      <c r="H12" s="25">
        <v>5.73</v>
      </c>
    </row>
    <row r="13" spans="2:10">
      <c r="B13" s="23" t="s">
        <v>367</v>
      </c>
      <c r="C13" s="23" t="s">
        <v>368</v>
      </c>
      <c r="D13" s="23" t="s">
        <v>362</v>
      </c>
      <c r="E13" s="28">
        <v>50</v>
      </c>
      <c r="F13" s="25">
        <v>525.03</v>
      </c>
      <c r="G13" s="25">
        <v>3.4</v>
      </c>
      <c r="H13" s="25">
        <v>4.29</v>
      </c>
    </row>
    <row r="14" spans="2:10">
      <c r="B14" s="23" t="s">
        <v>480</v>
      </c>
      <c r="C14" s="23" t="s">
        <v>481</v>
      </c>
      <c r="D14" s="23" t="s">
        <v>392</v>
      </c>
      <c r="E14" s="28">
        <v>50</v>
      </c>
      <c r="F14" s="25">
        <v>513.30999999999995</v>
      </c>
      <c r="G14" s="25">
        <v>3.32</v>
      </c>
      <c r="H14" s="25">
        <v>6.58</v>
      </c>
    </row>
    <row r="15" spans="2:10">
      <c r="B15" s="23" t="s">
        <v>482</v>
      </c>
      <c r="C15" s="23" t="s">
        <v>483</v>
      </c>
      <c r="D15" s="23" t="s">
        <v>362</v>
      </c>
      <c r="E15" s="28">
        <v>20</v>
      </c>
      <c r="F15" s="25">
        <v>205.04</v>
      </c>
      <c r="G15" s="25">
        <v>1.33</v>
      </c>
      <c r="H15" s="25">
        <v>3.56</v>
      </c>
    </row>
    <row r="16" spans="2:10">
      <c r="B16" s="30" t="s">
        <v>118</v>
      </c>
      <c r="C16" s="30"/>
      <c r="D16" s="30"/>
      <c r="E16" s="31"/>
      <c r="F16" s="32">
        <f>SUM(F6:F15)</f>
        <v>5037.5700000000006</v>
      </c>
      <c r="G16" s="32">
        <f>SUM(G6:G15)</f>
        <v>32.619999999999997</v>
      </c>
      <c r="H16" s="48"/>
      <c r="I16" s="14"/>
      <c r="J16" s="14"/>
    </row>
    <row r="17" spans="2:10">
      <c r="B17" s="49" t="s">
        <v>119</v>
      </c>
      <c r="C17" s="49"/>
      <c r="D17" s="49"/>
      <c r="E17" s="50"/>
      <c r="F17" s="51">
        <f>F16</f>
        <v>5037.5700000000006</v>
      </c>
      <c r="G17" s="51">
        <f>G16</f>
        <v>32.619999999999997</v>
      </c>
      <c r="H17" s="51"/>
      <c r="I17" s="14"/>
      <c r="J17" s="14"/>
    </row>
    <row r="18" spans="2:10">
      <c r="B18" s="47" t="s">
        <v>427</v>
      </c>
      <c r="C18" s="23"/>
      <c r="D18" s="23"/>
      <c r="E18" s="24"/>
      <c r="F18" s="25"/>
      <c r="G18" s="25"/>
      <c r="H18" s="25"/>
    </row>
    <row r="19" spans="2:10">
      <c r="B19" s="23" t="s">
        <v>431</v>
      </c>
      <c r="C19" s="23" t="s">
        <v>432</v>
      </c>
      <c r="D19" s="23" t="s">
        <v>430</v>
      </c>
      <c r="E19" s="28">
        <v>1500000</v>
      </c>
      <c r="F19" s="25">
        <v>1498</v>
      </c>
      <c r="G19" s="25">
        <v>9.6999999999999993</v>
      </c>
      <c r="H19" s="25">
        <v>5.87</v>
      </c>
    </row>
    <row r="20" spans="2:10">
      <c r="B20" s="23" t="s">
        <v>460</v>
      </c>
      <c r="C20" s="23" t="s">
        <v>461</v>
      </c>
      <c r="D20" s="23" t="s">
        <v>430</v>
      </c>
      <c r="E20" s="28">
        <v>1000000</v>
      </c>
      <c r="F20" s="25">
        <v>1082.32</v>
      </c>
      <c r="G20" s="25">
        <v>7.01</v>
      </c>
      <c r="H20" s="25">
        <v>5.73</v>
      </c>
    </row>
    <row r="21" spans="2:10">
      <c r="B21" s="23" t="s">
        <v>470</v>
      </c>
      <c r="C21" s="23" t="s">
        <v>471</v>
      </c>
      <c r="D21" s="23" t="s">
        <v>430</v>
      </c>
      <c r="E21" s="28">
        <v>1000000</v>
      </c>
      <c r="F21" s="25">
        <v>995.84</v>
      </c>
      <c r="G21" s="25">
        <v>6.45</v>
      </c>
      <c r="H21" s="25">
        <v>6.26</v>
      </c>
    </row>
    <row r="22" spans="2:10">
      <c r="B22" s="23" t="s">
        <v>484</v>
      </c>
      <c r="C22" s="23" t="s">
        <v>485</v>
      </c>
      <c r="D22" s="23" t="s">
        <v>430</v>
      </c>
      <c r="E22" s="28">
        <v>1000000</v>
      </c>
      <c r="F22" s="25">
        <v>995.29</v>
      </c>
      <c r="G22" s="25">
        <v>6.45</v>
      </c>
      <c r="H22" s="25">
        <v>6.24</v>
      </c>
    </row>
    <row r="23" spans="2:10">
      <c r="B23" s="23" t="s">
        <v>437</v>
      </c>
      <c r="C23" s="23" t="s">
        <v>438</v>
      </c>
      <c r="D23" s="23" t="s">
        <v>430</v>
      </c>
      <c r="E23" s="28">
        <v>500000</v>
      </c>
      <c r="F23" s="25">
        <v>541.70000000000005</v>
      </c>
      <c r="G23" s="25">
        <v>3.51</v>
      </c>
      <c r="H23" s="25">
        <v>5.94</v>
      </c>
    </row>
    <row r="24" spans="2:10">
      <c r="B24" s="23" t="s">
        <v>445</v>
      </c>
      <c r="C24" s="23" t="s">
        <v>446</v>
      </c>
      <c r="D24" s="23" t="s">
        <v>430</v>
      </c>
      <c r="E24" s="28">
        <v>500000</v>
      </c>
      <c r="F24" s="25">
        <v>540.33000000000004</v>
      </c>
      <c r="G24" s="25">
        <v>3.5</v>
      </c>
      <c r="H24" s="25">
        <v>6.54</v>
      </c>
    </row>
    <row r="25" spans="2:10">
      <c r="B25" s="23" t="s">
        <v>439</v>
      </c>
      <c r="C25" s="23" t="s">
        <v>440</v>
      </c>
      <c r="D25" s="23" t="s">
        <v>430</v>
      </c>
      <c r="E25" s="28">
        <v>500000</v>
      </c>
      <c r="F25" s="25">
        <v>533.04</v>
      </c>
      <c r="G25" s="25">
        <v>3.45</v>
      </c>
      <c r="H25" s="25">
        <v>5.54</v>
      </c>
    </row>
    <row r="26" spans="2:10">
      <c r="B26" s="23" t="s">
        <v>428</v>
      </c>
      <c r="C26" s="23" t="s">
        <v>429</v>
      </c>
      <c r="D26" s="23" t="s">
        <v>430</v>
      </c>
      <c r="E26" s="28">
        <v>500000</v>
      </c>
      <c r="F26" s="25">
        <v>524.59</v>
      </c>
      <c r="G26" s="25">
        <v>3.4</v>
      </c>
      <c r="H26" s="25">
        <v>4.76</v>
      </c>
    </row>
    <row r="27" spans="2:10">
      <c r="B27" s="23" t="s">
        <v>486</v>
      </c>
      <c r="C27" s="23" t="s">
        <v>487</v>
      </c>
      <c r="D27" s="23" t="s">
        <v>430</v>
      </c>
      <c r="E27" s="28">
        <v>500000</v>
      </c>
      <c r="F27" s="25">
        <v>506.19</v>
      </c>
      <c r="G27" s="25">
        <v>3.28</v>
      </c>
      <c r="H27" s="25">
        <v>6.5</v>
      </c>
    </row>
    <row r="28" spans="2:10">
      <c r="B28" s="23" t="s">
        <v>488</v>
      </c>
      <c r="C28" s="23" t="s">
        <v>489</v>
      </c>
      <c r="D28" s="23" t="s">
        <v>430</v>
      </c>
      <c r="E28" s="28">
        <v>500000</v>
      </c>
      <c r="F28" s="25">
        <v>501.82</v>
      </c>
      <c r="G28" s="25">
        <v>3.25</v>
      </c>
      <c r="H28" s="25">
        <v>6.45</v>
      </c>
    </row>
    <row r="29" spans="2:10">
      <c r="B29" s="23" t="s">
        <v>447</v>
      </c>
      <c r="C29" s="23" t="s">
        <v>448</v>
      </c>
      <c r="D29" s="23" t="s">
        <v>430</v>
      </c>
      <c r="E29" s="28">
        <v>500000</v>
      </c>
      <c r="F29" s="25">
        <v>501.02</v>
      </c>
      <c r="G29" s="25">
        <v>3.24</v>
      </c>
      <c r="H29" s="25">
        <v>5.0999999999999996</v>
      </c>
    </row>
    <row r="30" spans="2:10">
      <c r="B30" s="52" t="s">
        <v>490</v>
      </c>
      <c r="C30" s="52" t="s">
        <v>491</v>
      </c>
      <c r="D30" s="52" t="s">
        <v>430</v>
      </c>
      <c r="E30" s="53">
        <v>28000</v>
      </c>
      <c r="F30" s="54">
        <v>31.47</v>
      </c>
      <c r="G30" s="54">
        <v>0.2</v>
      </c>
      <c r="H30" s="54">
        <v>5.65</v>
      </c>
    </row>
    <row r="31" spans="2:10">
      <c r="B31" s="55" t="s">
        <v>119</v>
      </c>
      <c r="C31" s="55"/>
      <c r="D31" s="55"/>
      <c r="E31" s="56"/>
      <c r="F31" s="57">
        <f>SUM(F19:F30)</f>
        <v>8251.6099999999988</v>
      </c>
      <c r="G31" s="57">
        <f>SUM(G19:G30)</f>
        <v>53.440000000000005</v>
      </c>
      <c r="H31" s="57"/>
      <c r="I31" s="14"/>
      <c r="J31" s="14"/>
    </row>
    <row r="32" spans="2:10">
      <c r="B32" s="47" t="s">
        <v>120</v>
      </c>
      <c r="C32" s="23"/>
      <c r="D32" s="23"/>
      <c r="E32" s="24"/>
      <c r="F32" s="25"/>
      <c r="G32" s="25"/>
      <c r="H32" s="25"/>
    </row>
    <row r="33" spans="2:10">
      <c r="B33" s="23" t="s">
        <v>120</v>
      </c>
      <c r="C33" s="23"/>
      <c r="D33" s="23"/>
      <c r="E33" s="24"/>
      <c r="F33" s="25">
        <v>1826.46</v>
      </c>
      <c r="G33" s="25">
        <v>11.83</v>
      </c>
      <c r="H33" s="25"/>
    </row>
    <row r="34" spans="2:10">
      <c r="B34" s="30" t="s">
        <v>118</v>
      </c>
      <c r="C34" s="30"/>
      <c r="D34" s="30"/>
      <c r="E34" s="31"/>
      <c r="F34" s="32">
        <f>SUM(F32:F33)</f>
        <v>1826.46</v>
      </c>
      <c r="G34" s="32">
        <f>SUM(G32:G33)</f>
        <v>11.83</v>
      </c>
      <c r="H34" s="48"/>
      <c r="I34" s="14"/>
      <c r="J34" s="14"/>
    </row>
    <row r="35" spans="2:10">
      <c r="B35" s="34" t="s">
        <v>119</v>
      </c>
      <c r="C35" s="34"/>
      <c r="D35" s="34"/>
      <c r="E35" s="35"/>
      <c r="F35" s="36">
        <f>F34</f>
        <v>1826.46</v>
      </c>
      <c r="G35" s="36">
        <f>G34</f>
        <v>11.83</v>
      </c>
      <c r="H35" s="36"/>
      <c r="I35" s="14"/>
      <c r="J35" s="14"/>
    </row>
    <row r="36" spans="2:10">
      <c r="B36" s="44" t="s">
        <v>122</v>
      </c>
      <c r="C36" s="44"/>
      <c r="D36" s="44"/>
      <c r="E36" s="45"/>
      <c r="F36" s="16">
        <f>F37-(+F17+F31+F35)</f>
        <v>327.20000000000073</v>
      </c>
      <c r="G36" s="16">
        <f>G37-(+G17+G31+G35)</f>
        <v>2.1099999999999994</v>
      </c>
      <c r="H36" s="16"/>
      <c r="I36" s="14"/>
      <c r="J36" s="14"/>
    </row>
    <row r="37" spans="2:10">
      <c r="B37" s="44" t="s">
        <v>121</v>
      </c>
      <c r="C37" s="44"/>
      <c r="D37" s="44"/>
      <c r="E37" s="45"/>
      <c r="F37" s="16">
        <v>15442.84</v>
      </c>
      <c r="G37" s="16">
        <v>100</v>
      </c>
      <c r="H37" s="16"/>
      <c r="I37" s="14"/>
      <c r="J37" s="14"/>
    </row>
    <row r="39" spans="2:10">
      <c r="B39" s="14" t="s">
        <v>812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1"/>
  <sheetViews>
    <sheetView workbookViewId="0">
      <selection activeCell="I1" sqref="I1"/>
    </sheetView>
  </sheetViews>
  <sheetFormatPr defaultRowHeight="12"/>
  <cols>
    <col min="1" max="1" width="9.140625" style="1"/>
    <col min="2" max="2" width="60.85546875" style="1" bestFit="1" customWidth="1"/>
    <col min="3" max="3" width="13.8554687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61" t="s">
        <v>19</v>
      </c>
      <c r="C1" s="62"/>
      <c r="D1" s="62"/>
      <c r="E1" s="62"/>
      <c r="F1" s="62"/>
      <c r="G1" s="62"/>
      <c r="H1" s="62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58" t="s">
        <v>359</v>
      </c>
      <c r="C5" s="18"/>
      <c r="D5" s="18"/>
      <c r="E5" s="19"/>
      <c r="F5" s="20"/>
      <c r="G5" s="20"/>
      <c r="H5" s="20"/>
    </row>
    <row r="6" spans="2:8">
      <c r="B6" s="47" t="s">
        <v>32</v>
      </c>
      <c r="C6" s="23"/>
      <c r="D6" s="23"/>
      <c r="E6" s="24"/>
      <c r="F6" s="25"/>
      <c r="G6" s="25"/>
      <c r="H6" s="25"/>
    </row>
    <row r="7" spans="2:8">
      <c r="B7" s="23" t="s">
        <v>492</v>
      </c>
      <c r="C7" s="23" t="s">
        <v>493</v>
      </c>
      <c r="D7" s="23" t="s">
        <v>362</v>
      </c>
      <c r="E7" s="28">
        <v>500</v>
      </c>
      <c r="F7" s="25">
        <v>5152.53</v>
      </c>
      <c r="G7" s="25">
        <v>3.69</v>
      </c>
      <c r="H7" s="25">
        <v>3.76</v>
      </c>
    </row>
    <row r="8" spans="2:8">
      <c r="B8" s="23" t="s">
        <v>384</v>
      </c>
      <c r="C8" s="23" t="s">
        <v>385</v>
      </c>
      <c r="D8" s="23" t="s">
        <v>362</v>
      </c>
      <c r="E8" s="28">
        <v>300</v>
      </c>
      <c r="F8" s="25">
        <v>3161.18</v>
      </c>
      <c r="G8" s="25">
        <v>2.27</v>
      </c>
      <c r="H8" s="25">
        <v>4.45</v>
      </c>
    </row>
    <row r="9" spans="2:8">
      <c r="B9" s="23" t="s">
        <v>494</v>
      </c>
      <c r="C9" s="23" t="s">
        <v>495</v>
      </c>
      <c r="D9" s="23" t="s">
        <v>362</v>
      </c>
      <c r="E9" s="28">
        <v>300</v>
      </c>
      <c r="F9" s="25">
        <v>3145.49</v>
      </c>
      <c r="G9" s="25">
        <v>2.25</v>
      </c>
      <c r="H9" s="25">
        <v>4.45</v>
      </c>
    </row>
    <row r="10" spans="2:8">
      <c r="B10" s="23" t="s">
        <v>496</v>
      </c>
      <c r="C10" s="23" t="s">
        <v>497</v>
      </c>
      <c r="D10" s="23" t="s">
        <v>362</v>
      </c>
      <c r="E10" s="28">
        <v>250</v>
      </c>
      <c r="F10" s="25">
        <v>2616.86</v>
      </c>
      <c r="G10" s="25">
        <v>1.88</v>
      </c>
      <c r="H10" s="25">
        <v>4.12</v>
      </c>
    </row>
    <row r="11" spans="2:8">
      <c r="B11" s="23" t="s">
        <v>498</v>
      </c>
      <c r="C11" s="23" t="s">
        <v>499</v>
      </c>
      <c r="D11" s="23" t="s">
        <v>362</v>
      </c>
      <c r="E11" s="28">
        <v>250</v>
      </c>
      <c r="F11" s="25">
        <v>2580.0700000000002</v>
      </c>
      <c r="G11" s="25">
        <v>1.85</v>
      </c>
      <c r="H11" s="25">
        <v>3.61</v>
      </c>
    </row>
    <row r="12" spans="2:8">
      <c r="B12" s="23" t="s">
        <v>500</v>
      </c>
      <c r="C12" s="23" t="s">
        <v>501</v>
      </c>
      <c r="D12" s="23" t="s">
        <v>371</v>
      </c>
      <c r="E12" s="28">
        <v>250</v>
      </c>
      <c r="F12" s="25">
        <v>2568.98</v>
      </c>
      <c r="G12" s="25">
        <v>1.84</v>
      </c>
      <c r="H12" s="25">
        <v>4.0599999999999996</v>
      </c>
    </row>
    <row r="13" spans="2:8">
      <c r="B13" s="23" t="s">
        <v>502</v>
      </c>
      <c r="C13" s="23" t="s">
        <v>503</v>
      </c>
      <c r="D13" s="23" t="s">
        <v>362</v>
      </c>
      <c r="E13" s="28">
        <v>250</v>
      </c>
      <c r="F13" s="25">
        <v>2559.2199999999998</v>
      </c>
      <c r="G13" s="25">
        <v>1.83</v>
      </c>
      <c r="H13" s="25">
        <v>3.66</v>
      </c>
    </row>
    <row r="14" spans="2:8">
      <c r="B14" s="23" t="s">
        <v>372</v>
      </c>
      <c r="C14" s="23" t="s">
        <v>373</v>
      </c>
      <c r="D14" s="23" t="s">
        <v>362</v>
      </c>
      <c r="E14" s="28">
        <v>250</v>
      </c>
      <c r="F14" s="25">
        <v>2557.1799999999998</v>
      </c>
      <c r="G14" s="25">
        <v>1.83</v>
      </c>
      <c r="H14" s="25">
        <v>3.76</v>
      </c>
    </row>
    <row r="15" spans="2:8">
      <c r="B15" s="23" t="s">
        <v>504</v>
      </c>
      <c r="C15" s="23" t="s">
        <v>505</v>
      </c>
      <c r="D15" s="23" t="s">
        <v>362</v>
      </c>
      <c r="E15" s="28">
        <v>250</v>
      </c>
      <c r="F15" s="25">
        <v>2555.96</v>
      </c>
      <c r="G15" s="25">
        <v>1.83</v>
      </c>
      <c r="H15" s="25">
        <v>3.76</v>
      </c>
    </row>
    <row r="16" spans="2:8">
      <c r="B16" s="23" t="s">
        <v>506</v>
      </c>
      <c r="C16" s="23" t="s">
        <v>507</v>
      </c>
      <c r="D16" s="23" t="s">
        <v>371</v>
      </c>
      <c r="E16" s="28">
        <v>250</v>
      </c>
      <c r="F16" s="25">
        <v>2535.39</v>
      </c>
      <c r="G16" s="25">
        <v>1.82</v>
      </c>
      <c r="H16" s="25">
        <v>3.74</v>
      </c>
    </row>
    <row r="17" spans="2:10">
      <c r="B17" s="23" t="s">
        <v>367</v>
      </c>
      <c r="C17" s="23" t="s">
        <v>368</v>
      </c>
      <c r="D17" s="23" t="s">
        <v>362</v>
      </c>
      <c r="E17" s="28">
        <v>200</v>
      </c>
      <c r="F17" s="25">
        <v>2100.12</v>
      </c>
      <c r="G17" s="25">
        <v>1.51</v>
      </c>
      <c r="H17" s="25">
        <v>4.29</v>
      </c>
    </row>
    <row r="18" spans="2:10">
      <c r="B18" s="23" t="s">
        <v>508</v>
      </c>
      <c r="C18" s="23" t="s">
        <v>509</v>
      </c>
      <c r="D18" s="23" t="s">
        <v>362</v>
      </c>
      <c r="E18" s="28">
        <v>200</v>
      </c>
      <c r="F18" s="25">
        <v>2049.59</v>
      </c>
      <c r="G18" s="25">
        <v>1.47</v>
      </c>
      <c r="H18" s="25">
        <v>4.1100000000000003</v>
      </c>
    </row>
    <row r="19" spans="2:10">
      <c r="B19" s="23" t="s">
        <v>360</v>
      </c>
      <c r="C19" s="23" t="s">
        <v>361</v>
      </c>
      <c r="D19" s="23" t="s">
        <v>362</v>
      </c>
      <c r="E19" s="28">
        <v>150</v>
      </c>
      <c r="F19" s="25">
        <v>1574.47</v>
      </c>
      <c r="G19" s="25">
        <v>1.1299999999999999</v>
      </c>
      <c r="H19" s="25">
        <v>4.4400000000000004</v>
      </c>
    </row>
    <row r="20" spans="2:10">
      <c r="B20" s="23" t="s">
        <v>510</v>
      </c>
      <c r="C20" s="23" t="s">
        <v>511</v>
      </c>
      <c r="D20" s="23" t="s">
        <v>371</v>
      </c>
      <c r="E20" s="28">
        <v>150</v>
      </c>
      <c r="F20" s="25">
        <v>1566.28</v>
      </c>
      <c r="G20" s="25">
        <v>1.1200000000000001</v>
      </c>
      <c r="H20" s="25">
        <v>4.0599999999999996</v>
      </c>
    </row>
    <row r="21" spans="2:10">
      <c r="B21" s="23" t="s">
        <v>512</v>
      </c>
      <c r="C21" s="23" t="s">
        <v>513</v>
      </c>
      <c r="D21" s="23" t="s">
        <v>392</v>
      </c>
      <c r="E21" s="28">
        <v>150</v>
      </c>
      <c r="F21" s="25">
        <v>1501.78</v>
      </c>
      <c r="G21" s="25">
        <v>1.08</v>
      </c>
      <c r="H21" s="25">
        <v>4.53</v>
      </c>
    </row>
    <row r="22" spans="2:10">
      <c r="B22" s="23" t="s">
        <v>514</v>
      </c>
      <c r="C22" s="23" t="s">
        <v>515</v>
      </c>
      <c r="D22" s="23" t="s">
        <v>362</v>
      </c>
      <c r="E22" s="28">
        <v>400</v>
      </c>
      <c r="F22" s="25">
        <v>1310.44</v>
      </c>
      <c r="G22" s="25">
        <v>0.94</v>
      </c>
      <c r="H22" s="25">
        <v>4.79</v>
      </c>
    </row>
    <row r="23" spans="2:10">
      <c r="B23" s="23" t="s">
        <v>516</v>
      </c>
      <c r="C23" s="23" t="s">
        <v>517</v>
      </c>
      <c r="D23" s="23" t="s">
        <v>362</v>
      </c>
      <c r="E23" s="28">
        <v>100</v>
      </c>
      <c r="F23" s="25">
        <v>1052.05</v>
      </c>
      <c r="G23" s="25">
        <v>0.75</v>
      </c>
      <c r="H23" s="25">
        <v>4.0599999999999996</v>
      </c>
    </row>
    <row r="24" spans="2:10">
      <c r="B24" s="23" t="s">
        <v>518</v>
      </c>
      <c r="C24" s="23" t="s">
        <v>519</v>
      </c>
      <c r="D24" s="23" t="s">
        <v>362</v>
      </c>
      <c r="E24" s="28">
        <v>100</v>
      </c>
      <c r="F24" s="25">
        <v>1043.77</v>
      </c>
      <c r="G24" s="25">
        <v>0.75</v>
      </c>
      <c r="H24" s="25">
        <v>4.75</v>
      </c>
    </row>
    <row r="25" spans="2:10">
      <c r="B25" s="23" t="s">
        <v>520</v>
      </c>
      <c r="C25" s="23" t="s">
        <v>521</v>
      </c>
      <c r="D25" s="23" t="s">
        <v>362</v>
      </c>
      <c r="E25" s="28">
        <v>50</v>
      </c>
      <c r="F25" s="25">
        <v>526.29</v>
      </c>
      <c r="G25" s="25">
        <v>0.38</v>
      </c>
      <c r="H25" s="25">
        <v>3.91</v>
      </c>
    </row>
    <row r="26" spans="2:10">
      <c r="B26" s="23" t="s">
        <v>522</v>
      </c>
      <c r="C26" s="23" t="s">
        <v>523</v>
      </c>
      <c r="D26" s="23" t="s">
        <v>362</v>
      </c>
      <c r="E26" s="28">
        <v>50</v>
      </c>
      <c r="F26" s="25">
        <v>526.11</v>
      </c>
      <c r="G26" s="25">
        <v>0.38</v>
      </c>
      <c r="H26" s="25">
        <v>4.45</v>
      </c>
    </row>
    <row r="27" spans="2:10">
      <c r="B27" s="23" t="s">
        <v>524</v>
      </c>
      <c r="C27" s="23" t="s">
        <v>525</v>
      </c>
      <c r="D27" s="23" t="s">
        <v>362</v>
      </c>
      <c r="E27" s="28">
        <v>50</v>
      </c>
      <c r="F27" s="25">
        <v>522.82000000000005</v>
      </c>
      <c r="G27" s="25">
        <v>0.37</v>
      </c>
      <c r="H27" s="25">
        <v>4.1500000000000004</v>
      </c>
    </row>
    <row r="28" spans="2:10">
      <c r="B28" s="23" t="s">
        <v>526</v>
      </c>
      <c r="C28" s="23" t="s">
        <v>527</v>
      </c>
      <c r="D28" s="23" t="s">
        <v>362</v>
      </c>
      <c r="E28" s="28">
        <v>50</v>
      </c>
      <c r="F28" s="25">
        <v>510.62</v>
      </c>
      <c r="G28" s="25">
        <v>0.37</v>
      </c>
      <c r="H28" s="25">
        <v>3.76</v>
      </c>
    </row>
    <row r="29" spans="2:10">
      <c r="B29" s="30" t="s">
        <v>118</v>
      </c>
      <c r="C29" s="30"/>
      <c r="D29" s="30"/>
      <c r="E29" s="31"/>
      <c r="F29" s="32">
        <f>SUM(F6:F28)</f>
        <v>43717.200000000004</v>
      </c>
      <c r="G29" s="32">
        <f>SUM(G6:G28)</f>
        <v>31.34</v>
      </c>
      <c r="H29" s="48"/>
      <c r="I29" s="14"/>
      <c r="J29" s="14"/>
    </row>
    <row r="30" spans="2:10">
      <c r="B30" s="49" t="s">
        <v>119</v>
      </c>
      <c r="C30" s="49"/>
      <c r="D30" s="49"/>
      <c r="E30" s="50"/>
      <c r="F30" s="51">
        <f>F29</f>
        <v>43717.200000000004</v>
      </c>
      <c r="G30" s="51">
        <f>G29</f>
        <v>31.34</v>
      </c>
      <c r="H30" s="51"/>
      <c r="I30" s="14"/>
      <c r="J30" s="14"/>
    </row>
    <row r="31" spans="2:10">
      <c r="B31" s="47" t="s">
        <v>455</v>
      </c>
      <c r="C31" s="23"/>
      <c r="D31" s="23"/>
      <c r="E31" s="24"/>
      <c r="F31" s="25"/>
      <c r="G31" s="25"/>
      <c r="H31" s="25"/>
    </row>
    <row r="32" spans="2:10">
      <c r="B32" s="47" t="s">
        <v>528</v>
      </c>
      <c r="C32" s="23"/>
      <c r="D32" s="23"/>
      <c r="E32" s="24"/>
      <c r="F32" s="25"/>
      <c r="G32" s="25"/>
      <c r="H32" s="25"/>
    </row>
    <row r="33" spans="2:10">
      <c r="B33" s="23" t="s">
        <v>529</v>
      </c>
      <c r="C33" s="23" t="s">
        <v>530</v>
      </c>
      <c r="D33" s="23" t="s">
        <v>531</v>
      </c>
      <c r="E33" s="28">
        <v>10000</v>
      </c>
      <c r="F33" s="25">
        <v>9861.2900000000009</v>
      </c>
      <c r="G33" s="25">
        <v>7.07</v>
      </c>
      <c r="H33" s="25">
        <v>3.4</v>
      </c>
    </row>
    <row r="34" spans="2:10">
      <c r="B34" s="23" t="s">
        <v>532</v>
      </c>
      <c r="C34" s="23" t="s">
        <v>533</v>
      </c>
      <c r="D34" s="23" t="s">
        <v>531</v>
      </c>
      <c r="E34" s="28">
        <v>7500</v>
      </c>
      <c r="F34" s="25">
        <v>7384.12</v>
      </c>
      <c r="G34" s="25">
        <v>5.29</v>
      </c>
      <c r="H34" s="25">
        <v>3.43</v>
      </c>
    </row>
    <row r="35" spans="2:10">
      <c r="B35" s="23" t="s">
        <v>534</v>
      </c>
      <c r="C35" s="23" t="s">
        <v>535</v>
      </c>
      <c r="D35" s="23" t="s">
        <v>536</v>
      </c>
      <c r="E35" s="28">
        <v>7500</v>
      </c>
      <c r="F35" s="25">
        <v>7283.81</v>
      </c>
      <c r="G35" s="25">
        <v>5.22</v>
      </c>
      <c r="H35" s="25">
        <v>3.68</v>
      </c>
    </row>
    <row r="36" spans="2:10">
      <c r="B36" s="23" t="s">
        <v>537</v>
      </c>
      <c r="C36" s="23" t="s">
        <v>538</v>
      </c>
      <c r="D36" s="23" t="s">
        <v>536</v>
      </c>
      <c r="E36" s="28">
        <v>2500</v>
      </c>
      <c r="F36" s="25">
        <v>2485.88</v>
      </c>
      <c r="G36" s="25">
        <v>1.78</v>
      </c>
      <c r="H36" s="25">
        <v>3.05</v>
      </c>
    </row>
    <row r="37" spans="2:10">
      <c r="B37" s="23" t="s">
        <v>539</v>
      </c>
      <c r="C37" s="23" t="s">
        <v>540</v>
      </c>
      <c r="D37" s="23" t="s">
        <v>536</v>
      </c>
      <c r="E37" s="28">
        <v>500</v>
      </c>
      <c r="F37" s="25">
        <v>498.28</v>
      </c>
      <c r="G37" s="25">
        <v>0.36</v>
      </c>
      <c r="H37" s="25">
        <v>3.01</v>
      </c>
    </row>
    <row r="38" spans="2:10">
      <c r="B38" s="47" t="s">
        <v>118</v>
      </c>
      <c r="C38" s="47"/>
      <c r="D38" s="47"/>
      <c r="E38" s="59"/>
      <c r="F38" s="57">
        <f>SUM(F32:F37)</f>
        <v>27513.38</v>
      </c>
      <c r="G38" s="57">
        <f>SUM(G32:G37)</f>
        <v>19.72</v>
      </c>
      <c r="H38" s="60"/>
      <c r="I38" s="14"/>
      <c r="J38" s="14"/>
    </row>
    <row r="39" spans="2:10">
      <c r="B39" s="47" t="s">
        <v>541</v>
      </c>
      <c r="C39" s="23"/>
      <c r="D39" s="23"/>
      <c r="E39" s="24"/>
      <c r="F39" s="25"/>
      <c r="G39" s="25"/>
      <c r="H39" s="25"/>
    </row>
    <row r="40" spans="2:10">
      <c r="B40" s="23" t="s">
        <v>542</v>
      </c>
      <c r="C40" s="23" t="s">
        <v>543</v>
      </c>
      <c r="D40" s="23" t="s">
        <v>544</v>
      </c>
      <c r="E40" s="28">
        <v>1000</v>
      </c>
      <c r="F40" s="25">
        <v>4966.55</v>
      </c>
      <c r="G40" s="25">
        <v>3.56</v>
      </c>
      <c r="H40" s="25">
        <v>3.24</v>
      </c>
    </row>
    <row r="41" spans="2:10">
      <c r="B41" s="23" t="s">
        <v>545</v>
      </c>
      <c r="C41" s="23" t="s">
        <v>546</v>
      </c>
      <c r="D41" s="23" t="s">
        <v>536</v>
      </c>
      <c r="E41" s="28">
        <v>800</v>
      </c>
      <c r="F41" s="25">
        <v>3976.92</v>
      </c>
      <c r="G41" s="25">
        <v>2.85</v>
      </c>
      <c r="H41" s="25">
        <v>3.12</v>
      </c>
    </row>
    <row r="42" spans="2:10">
      <c r="B42" s="23" t="s">
        <v>547</v>
      </c>
      <c r="C42" s="23" t="s">
        <v>548</v>
      </c>
      <c r="D42" s="23" t="s">
        <v>536</v>
      </c>
      <c r="E42" s="28">
        <v>500</v>
      </c>
      <c r="F42" s="25">
        <v>2487.33</v>
      </c>
      <c r="G42" s="25">
        <v>1.78</v>
      </c>
      <c r="H42" s="25">
        <v>3.1</v>
      </c>
    </row>
    <row r="43" spans="2:10">
      <c r="B43" s="23" t="s">
        <v>549</v>
      </c>
      <c r="C43" s="23" t="s">
        <v>550</v>
      </c>
      <c r="D43" s="23" t="s">
        <v>536</v>
      </c>
      <c r="E43" s="28">
        <v>500</v>
      </c>
      <c r="F43" s="25">
        <v>2482.61</v>
      </c>
      <c r="G43" s="25">
        <v>1.78</v>
      </c>
      <c r="H43" s="25">
        <v>3.08</v>
      </c>
    </row>
    <row r="44" spans="2:10">
      <c r="B44" s="23" t="s">
        <v>551</v>
      </c>
      <c r="C44" s="23" t="s">
        <v>552</v>
      </c>
      <c r="D44" s="23" t="s">
        <v>553</v>
      </c>
      <c r="E44" s="28">
        <v>500</v>
      </c>
      <c r="F44" s="25">
        <v>2460.79</v>
      </c>
      <c r="G44" s="25">
        <v>1.76</v>
      </c>
      <c r="H44" s="25">
        <v>3.52</v>
      </c>
    </row>
    <row r="45" spans="2:10">
      <c r="B45" s="47" t="s">
        <v>118</v>
      </c>
      <c r="C45" s="47"/>
      <c r="D45" s="47"/>
      <c r="E45" s="59"/>
      <c r="F45" s="57">
        <f>SUM(F39:F44)</f>
        <v>16374.2</v>
      </c>
      <c r="G45" s="57">
        <f>SUM(G39:G44)</f>
        <v>11.729999999999999</v>
      </c>
      <c r="H45" s="60"/>
      <c r="I45" s="14"/>
      <c r="J45" s="14"/>
    </row>
    <row r="46" spans="2:10">
      <c r="B46" s="47" t="s">
        <v>456</v>
      </c>
      <c r="C46" s="23"/>
      <c r="D46" s="23"/>
      <c r="E46" s="24"/>
      <c r="F46" s="25"/>
      <c r="G46" s="25"/>
      <c r="H46" s="25"/>
    </row>
    <row r="47" spans="2:10">
      <c r="B47" s="23" t="s">
        <v>554</v>
      </c>
      <c r="C47" s="23" t="s">
        <v>555</v>
      </c>
      <c r="D47" s="23" t="s">
        <v>459</v>
      </c>
      <c r="E47" s="28">
        <v>11614700</v>
      </c>
      <c r="F47" s="25">
        <v>11436.46</v>
      </c>
      <c r="G47" s="25">
        <v>8.1999999999999993</v>
      </c>
      <c r="H47" s="25">
        <v>3.27</v>
      </c>
    </row>
    <row r="48" spans="2:10">
      <c r="B48" s="23" t="s">
        <v>556</v>
      </c>
      <c r="C48" s="23" t="s">
        <v>557</v>
      </c>
      <c r="D48" s="23" t="s">
        <v>459</v>
      </c>
      <c r="E48" s="28">
        <v>5000000</v>
      </c>
      <c r="F48" s="25">
        <v>4956.22</v>
      </c>
      <c r="G48" s="25">
        <v>3.55</v>
      </c>
      <c r="H48" s="25">
        <v>3.1</v>
      </c>
    </row>
    <row r="49" spans="2:10">
      <c r="B49" s="23" t="s">
        <v>558</v>
      </c>
      <c r="C49" s="23" t="s">
        <v>559</v>
      </c>
      <c r="D49" s="23" t="s">
        <v>459</v>
      </c>
      <c r="E49" s="28">
        <v>5000000</v>
      </c>
      <c r="F49" s="25">
        <v>4907.07</v>
      </c>
      <c r="G49" s="25">
        <v>3.52</v>
      </c>
      <c r="H49" s="25">
        <v>3.31</v>
      </c>
    </row>
    <row r="50" spans="2:10">
      <c r="B50" s="23" t="s">
        <v>560</v>
      </c>
      <c r="C50" s="23" t="s">
        <v>561</v>
      </c>
      <c r="D50" s="23" t="s">
        <v>459</v>
      </c>
      <c r="E50" s="28">
        <v>4000000</v>
      </c>
      <c r="F50" s="25">
        <v>3928.1</v>
      </c>
      <c r="G50" s="25">
        <v>2.82</v>
      </c>
      <c r="H50" s="25">
        <v>3.31</v>
      </c>
    </row>
    <row r="51" spans="2:10">
      <c r="B51" s="23" t="s">
        <v>562</v>
      </c>
      <c r="C51" s="23" t="s">
        <v>563</v>
      </c>
      <c r="D51" s="23" t="s">
        <v>459</v>
      </c>
      <c r="E51" s="28">
        <v>2500000</v>
      </c>
      <c r="F51" s="25">
        <v>2497.38</v>
      </c>
      <c r="G51" s="25">
        <v>1.79</v>
      </c>
      <c r="H51" s="25">
        <v>2.95</v>
      </c>
    </row>
    <row r="52" spans="2:10">
      <c r="B52" s="23" t="s">
        <v>564</v>
      </c>
      <c r="C52" s="23" t="s">
        <v>565</v>
      </c>
      <c r="D52" s="23" t="s">
        <v>459</v>
      </c>
      <c r="E52" s="28">
        <v>2500000</v>
      </c>
      <c r="F52" s="25">
        <v>2480.16</v>
      </c>
      <c r="G52" s="25">
        <v>1.78</v>
      </c>
      <c r="H52" s="25">
        <v>3.01</v>
      </c>
    </row>
    <row r="53" spans="2:10">
      <c r="B53" s="23" t="s">
        <v>566</v>
      </c>
      <c r="C53" s="23" t="s">
        <v>567</v>
      </c>
      <c r="D53" s="23" t="s">
        <v>459</v>
      </c>
      <c r="E53" s="28">
        <v>2500000</v>
      </c>
      <c r="F53" s="25">
        <v>2475.1999999999998</v>
      </c>
      <c r="G53" s="25">
        <v>1.77</v>
      </c>
      <c r="H53" s="25">
        <v>3.1</v>
      </c>
    </row>
    <row r="54" spans="2:10">
      <c r="B54" s="23" t="s">
        <v>568</v>
      </c>
      <c r="C54" s="23" t="s">
        <v>569</v>
      </c>
      <c r="D54" s="23" t="s">
        <v>459</v>
      </c>
      <c r="E54" s="28">
        <v>2500000</v>
      </c>
      <c r="F54" s="25">
        <v>2472.69</v>
      </c>
      <c r="G54" s="25">
        <v>1.77</v>
      </c>
      <c r="H54" s="25">
        <v>3.2</v>
      </c>
    </row>
    <row r="55" spans="2:10">
      <c r="B55" s="30" t="s">
        <v>118</v>
      </c>
      <c r="C55" s="30"/>
      <c r="D55" s="30"/>
      <c r="E55" s="31"/>
      <c r="F55" s="32">
        <f>SUM(F46:F54)</f>
        <v>35153.279999999999</v>
      </c>
      <c r="G55" s="32">
        <f>SUM(G46:G54)</f>
        <v>25.2</v>
      </c>
      <c r="H55" s="48"/>
      <c r="I55" s="14"/>
      <c r="J55" s="14"/>
    </row>
    <row r="56" spans="2:10">
      <c r="B56" s="49" t="s">
        <v>119</v>
      </c>
      <c r="C56" s="49"/>
      <c r="D56" s="49"/>
      <c r="E56" s="50"/>
      <c r="F56" s="51">
        <f>F38+F45+F55</f>
        <v>79040.86</v>
      </c>
      <c r="G56" s="51">
        <f>G38+G45+G55</f>
        <v>56.649999999999991</v>
      </c>
      <c r="H56" s="51"/>
      <c r="I56" s="14"/>
      <c r="J56" s="14"/>
    </row>
    <row r="57" spans="2:10">
      <c r="B57" s="47" t="s">
        <v>427</v>
      </c>
      <c r="C57" s="23"/>
      <c r="D57" s="23"/>
      <c r="E57" s="24"/>
      <c r="F57" s="25"/>
      <c r="G57" s="25"/>
      <c r="H57" s="25"/>
    </row>
    <row r="58" spans="2:10">
      <c r="B58" s="23" t="s">
        <v>570</v>
      </c>
      <c r="C58" s="23" t="s">
        <v>571</v>
      </c>
      <c r="D58" s="23" t="s">
        <v>430</v>
      </c>
      <c r="E58" s="28">
        <v>6500000</v>
      </c>
      <c r="F58" s="25">
        <v>6597.57</v>
      </c>
      <c r="G58" s="25">
        <v>4.7300000000000004</v>
      </c>
      <c r="H58" s="25">
        <v>3.58</v>
      </c>
    </row>
    <row r="59" spans="2:10">
      <c r="B59" s="23" t="s">
        <v>572</v>
      </c>
      <c r="C59" s="23" t="s">
        <v>573</v>
      </c>
      <c r="D59" s="23" t="s">
        <v>430</v>
      </c>
      <c r="E59" s="28">
        <v>2000000</v>
      </c>
      <c r="F59" s="25">
        <v>2179.59</v>
      </c>
      <c r="G59" s="25">
        <v>1.56</v>
      </c>
      <c r="H59" s="25">
        <v>4.41</v>
      </c>
    </row>
    <row r="60" spans="2:10">
      <c r="B60" s="23" t="s">
        <v>435</v>
      </c>
      <c r="C60" s="23" t="s">
        <v>436</v>
      </c>
      <c r="D60" s="23" t="s">
        <v>430</v>
      </c>
      <c r="E60" s="28">
        <v>1000000</v>
      </c>
      <c r="F60" s="25">
        <v>1055.78</v>
      </c>
      <c r="G60" s="25">
        <v>0.76</v>
      </c>
      <c r="H60" s="25">
        <v>3.87</v>
      </c>
    </row>
    <row r="61" spans="2:10">
      <c r="B61" s="52" t="s">
        <v>574</v>
      </c>
      <c r="C61" s="52" t="s">
        <v>575</v>
      </c>
      <c r="D61" s="52" t="s">
        <v>430</v>
      </c>
      <c r="E61" s="53">
        <v>700000</v>
      </c>
      <c r="F61" s="54">
        <v>734.08</v>
      </c>
      <c r="G61" s="54">
        <v>0.53</v>
      </c>
      <c r="H61" s="54">
        <v>3.64</v>
      </c>
    </row>
    <row r="62" spans="2:10">
      <c r="B62" s="55" t="s">
        <v>119</v>
      </c>
      <c r="C62" s="55"/>
      <c r="D62" s="55"/>
      <c r="E62" s="56"/>
      <c r="F62" s="57">
        <f>SUM(F58:F61)</f>
        <v>10567.02</v>
      </c>
      <c r="G62" s="57">
        <f>SUM(G58:G61)</f>
        <v>7.580000000000001</v>
      </c>
      <c r="H62" s="57"/>
      <c r="I62" s="14"/>
      <c r="J62" s="14"/>
    </row>
    <row r="63" spans="2:10">
      <c r="B63" s="47" t="s">
        <v>120</v>
      </c>
      <c r="C63" s="23"/>
      <c r="D63" s="23"/>
      <c r="E63" s="24"/>
      <c r="F63" s="25"/>
      <c r="G63" s="25"/>
      <c r="H63" s="25"/>
    </row>
    <row r="64" spans="2:10">
      <c r="B64" s="23" t="s">
        <v>120</v>
      </c>
      <c r="C64" s="23"/>
      <c r="D64" s="23"/>
      <c r="E64" s="24"/>
      <c r="F64" s="25">
        <v>4970.1899999999996</v>
      </c>
      <c r="G64" s="25">
        <v>3.56</v>
      </c>
      <c r="H64" s="25"/>
    </row>
    <row r="65" spans="2:10">
      <c r="B65" s="30" t="s">
        <v>118</v>
      </c>
      <c r="C65" s="30"/>
      <c r="D65" s="30"/>
      <c r="E65" s="31"/>
      <c r="F65" s="32">
        <f>SUM(F63:F64)</f>
        <v>4970.1899999999996</v>
      </c>
      <c r="G65" s="32">
        <f>SUM(G63:G64)</f>
        <v>3.56</v>
      </c>
      <c r="H65" s="48"/>
      <c r="I65" s="14"/>
      <c r="J65" s="14"/>
    </row>
    <row r="66" spans="2:10">
      <c r="B66" s="34" t="s">
        <v>119</v>
      </c>
      <c r="C66" s="34"/>
      <c r="D66" s="34"/>
      <c r="E66" s="35"/>
      <c r="F66" s="36">
        <f>F65</f>
        <v>4970.1899999999996</v>
      </c>
      <c r="G66" s="36">
        <f>G65</f>
        <v>3.56</v>
      </c>
      <c r="H66" s="36"/>
      <c r="I66" s="14"/>
      <c r="J66" s="14"/>
    </row>
    <row r="67" spans="2:10">
      <c r="B67" s="44" t="s">
        <v>122</v>
      </c>
      <c r="C67" s="44"/>
      <c r="D67" s="44"/>
      <c r="E67" s="45"/>
      <c r="F67" s="16">
        <f>F68-(+F30+F56+F62+F66)</f>
        <v>1201.4200000000128</v>
      </c>
      <c r="G67" s="16">
        <f>G68-(+G30+G56+G62+G66)</f>
        <v>0.87000000000000455</v>
      </c>
      <c r="H67" s="16"/>
      <c r="I67" s="14"/>
      <c r="J67" s="14"/>
    </row>
    <row r="68" spans="2:10">
      <c r="B68" s="44" t="s">
        <v>121</v>
      </c>
      <c r="C68" s="44"/>
      <c r="D68" s="44"/>
      <c r="E68" s="45"/>
      <c r="F68" s="16">
        <v>139496.69</v>
      </c>
      <c r="G68" s="16">
        <v>100</v>
      </c>
      <c r="H68" s="16"/>
      <c r="I68" s="14"/>
      <c r="J68" s="14"/>
    </row>
    <row r="70" spans="2:10">
      <c r="B70" s="14" t="s">
        <v>812</v>
      </c>
    </row>
    <row r="71" spans="2:10">
      <c r="B71" s="14" t="s">
        <v>576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9"/>
  <sheetViews>
    <sheetView workbookViewId="0">
      <selection activeCell="I1" sqref="I1"/>
    </sheetView>
  </sheetViews>
  <sheetFormatPr defaultRowHeight="12"/>
  <cols>
    <col min="1" max="1" width="9.140625" style="1"/>
    <col min="2" max="2" width="60.8554687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61" t="s">
        <v>20</v>
      </c>
      <c r="C1" s="62"/>
      <c r="D1" s="62"/>
      <c r="E1" s="62"/>
      <c r="F1" s="62"/>
      <c r="G1" s="62"/>
      <c r="H1" s="62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17" t="s">
        <v>31</v>
      </c>
      <c r="C5" s="18"/>
      <c r="D5" s="18"/>
      <c r="E5" s="19"/>
      <c r="F5" s="20"/>
      <c r="G5" s="20"/>
      <c r="H5" s="21"/>
    </row>
    <row r="6" spans="2:8">
      <c r="B6" s="22" t="s">
        <v>32</v>
      </c>
      <c r="C6" s="23"/>
      <c r="D6" s="23"/>
      <c r="E6" s="24"/>
      <c r="F6" s="25"/>
      <c r="G6" s="25"/>
      <c r="H6" s="26"/>
    </row>
    <row r="7" spans="2:8">
      <c r="B7" s="27" t="s">
        <v>135</v>
      </c>
      <c r="C7" s="23" t="s">
        <v>136</v>
      </c>
      <c r="D7" s="23" t="s">
        <v>134</v>
      </c>
      <c r="E7" s="28">
        <v>11000</v>
      </c>
      <c r="F7" s="25">
        <v>582.47</v>
      </c>
      <c r="G7" s="25">
        <v>1.57</v>
      </c>
      <c r="H7" s="26"/>
    </row>
    <row r="8" spans="2:8">
      <c r="B8" s="27" t="s">
        <v>123</v>
      </c>
      <c r="C8" s="23" t="s">
        <v>124</v>
      </c>
      <c r="D8" s="23" t="s">
        <v>38</v>
      </c>
      <c r="E8" s="28">
        <v>40032</v>
      </c>
      <c r="F8" s="25">
        <v>574.98</v>
      </c>
      <c r="G8" s="25">
        <v>1.55</v>
      </c>
      <c r="H8" s="26"/>
    </row>
    <row r="9" spans="2:8">
      <c r="B9" s="27" t="s">
        <v>125</v>
      </c>
      <c r="C9" s="23" t="s">
        <v>126</v>
      </c>
      <c r="D9" s="23" t="s">
        <v>127</v>
      </c>
      <c r="E9" s="28">
        <v>36920</v>
      </c>
      <c r="F9" s="25">
        <v>463.64</v>
      </c>
      <c r="G9" s="25">
        <v>1.25</v>
      </c>
      <c r="H9" s="26"/>
    </row>
    <row r="10" spans="2:8">
      <c r="B10" s="27" t="s">
        <v>36</v>
      </c>
      <c r="C10" s="23" t="s">
        <v>37</v>
      </c>
      <c r="D10" s="23" t="s">
        <v>38</v>
      </c>
      <c r="E10" s="28">
        <v>65914</v>
      </c>
      <c r="F10" s="25">
        <v>352.67</v>
      </c>
      <c r="G10" s="25">
        <v>0.95</v>
      </c>
      <c r="H10" s="26"/>
    </row>
    <row r="11" spans="2:8">
      <c r="B11" s="27" t="s">
        <v>146</v>
      </c>
      <c r="C11" s="23" t="s">
        <v>147</v>
      </c>
      <c r="D11" s="23" t="s">
        <v>148</v>
      </c>
      <c r="E11" s="28">
        <v>9000</v>
      </c>
      <c r="F11" s="25">
        <v>345.77</v>
      </c>
      <c r="G11" s="25">
        <v>0.93</v>
      </c>
      <c r="H11" s="26"/>
    </row>
    <row r="12" spans="2:8">
      <c r="B12" s="27" t="s">
        <v>128</v>
      </c>
      <c r="C12" s="23" t="s">
        <v>129</v>
      </c>
      <c r="D12" s="23" t="s">
        <v>88</v>
      </c>
      <c r="E12" s="28">
        <v>17154</v>
      </c>
      <c r="F12" s="25">
        <v>340.56</v>
      </c>
      <c r="G12" s="25">
        <v>0.92</v>
      </c>
      <c r="H12" s="26"/>
    </row>
    <row r="13" spans="2:8">
      <c r="B13" s="27" t="s">
        <v>137</v>
      </c>
      <c r="C13" s="23" t="s">
        <v>138</v>
      </c>
      <c r="D13" s="23" t="s">
        <v>38</v>
      </c>
      <c r="E13" s="28">
        <v>54062</v>
      </c>
      <c r="F13" s="25">
        <v>335.43</v>
      </c>
      <c r="G13" s="25">
        <v>0.91</v>
      </c>
      <c r="H13" s="26"/>
    </row>
    <row r="14" spans="2:8">
      <c r="B14" s="27" t="s">
        <v>577</v>
      </c>
      <c r="C14" s="23" t="s">
        <v>578</v>
      </c>
      <c r="D14" s="23" t="s">
        <v>127</v>
      </c>
      <c r="E14" s="28">
        <v>13069</v>
      </c>
      <c r="F14" s="25">
        <v>305.76</v>
      </c>
      <c r="G14" s="25">
        <v>0.83</v>
      </c>
      <c r="H14" s="26"/>
    </row>
    <row r="15" spans="2:8">
      <c r="B15" s="27" t="s">
        <v>255</v>
      </c>
      <c r="C15" s="23" t="s">
        <v>256</v>
      </c>
      <c r="D15" s="23" t="s">
        <v>197</v>
      </c>
      <c r="E15" s="28">
        <v>12870</v>
      </c>
      <c r="F15" s="25">
        <v>301.13</v>
      </c>
      <c r="G15" s="25">
        <v>0.81</v>
      </c>
      <c r="H15" s="26"/>
    </row>
    <row r="16" spans="2:8">
      <c r="B16" s="27" t="s">
        <v>212</v>
      </c>
      <c r="C16" s="23" t="s">
        <v>213</v>
      </c>
      <c r="D16" s="23" t="s">
        <v>214</v>
      </c>
      <c r="E16" s="28">
        <v>10000</v>
      </c>
      <c r="F16" s="25">
        <v>276.36</v>
      </c>
      <c r="G16" s="25">
        <v>0.75</v>
      </c>
      <c r="H16" s="26"/>
    </row>
    <row r="17" spans="2:8">
      <c r="B17" s="27" t="s">
        <v>130</v>
      </c>
      <c r="C17" s="23" t="s">
        <v>131</v>
      </c>
      <c r="D17" s="23" t="s">
        <v>127</v>
      </c>
      <c r="E17" s="28">
        <v>9242</v>
      </c>
      <c r="F17" s="25">
        <v>264.58</v>
      </c>
      <c r="G17" s="25">
        <v>0.71</v>
      </c>
      <c r="H17" s="26"/>
    </row>
    <row r="18" spans="2:8">
      <c r="B18" s="27" t="s">
        <v>181</v>
      </c>
      <c r="C18" s="23" t="s">
        <v>182</v>
      </c>
      <c r="D18" s="23" t="s">
        <v>56</v>
      </c>
      <c r="E18" s="28">
        <v>10000</v>
      </c>
      <c r="F18" s="25">
        <v>262.89999999999998</v>
      </c>
      <c r="G18" s="25">
        <v>0.71</v>
      </c>
      <c r="H18" s="26"/>
    </row>
    <row r="19" spans="2:8">
      <c r="B19" s="27" t="s">
        <v>100</v>
      </c>
      <c r="C19" s="23" t="s">
        <v>101</v>
      </c>
      <c r="D19" s="23" t="s">
        <v>61</v>
      </c>
      <c r="E19" s="28">
        <v>50000</v>
      </c>
      <c r="F19" s="25">
        <v>251.18</v>
      </c>
      <c r="G19" s="25">
        <v>0.68</v>
      </c>
      <c r="H19" s="26"/>
    </row>
    <row r="20" spans="2:8">
      <c r="B20" s="27" t="s">
        <v>144</v>
      </c>
      <c r="C20" s="23" t="s">
        <v>145</v>
      </c>
      <c r="D20" s="23" t="s">
        <v>38</v>
      </c>
      <c r="E20" s="28">
        <v>12450</v>
      </c>
      <c r="F20" s="25">
        <v>248.45</v>
      </c>
      <c r="G20" s="25">
        <v>0.67</v>
      </c>
      <c r="H20" s="26"/>
    </row>
    <row r="21" spans="2:8">
      <c r="B21" s="27" t="s">
        <v>167</v>
      </c>
      <c r="C21" s="23" t="s">
        <v>168</v>
      </c>
      <c r="D21" s="23" t="s">
        <v>169</v>
      </c>
      <c r="E21" s="28">
        <v>3715</v>
      </c>
      <c r="F21" s="25">
        <v>238.88</v>
      </c>
      <c r="G21" s="25">
        <v>0.64</v>
      </c>
      <c r="H21" s="26"/>
    </row>
    <row r="22" spans="2:8">
      <c r="B22" s="27" t="s">
        <v>259</v>
      </c>
      <c r="C22" s="23" t="s">
        <v>260</v>
      </c>
      <c r="D22" s="23" t="s">
        <v>214</v>
      </c>
      <c r="E22" s="28">
        <v>140000</v>
      </c>
      <c r="F22" s="25">
        <v>231.84</v>
      </c>
      <c r="G22" s="25">
        <v>0.63</v>
      </c>
      <c r="H22" s="26"/>
    </row>
    <row r="23" spans="2:8">
      <c r="B23" s="27" t="s">
        <v>165</v>
      </c>
      <c r="C23" s="23" t="s">
        <v>166</v>
      </c>
      <c r="D23" s="23" t="s">
        <v>148</v>
      </c>
      <c r="E23" s="28">
        <v>10000</v>
      </c>
      <c r="F23" s="25">
        <v>218.88</v>
      </c>
      <c r="G23" s="25">
        <v>0.59</v>
      </c>
      <c r="H23" s="26"/>
    </row>
    <row r="24" spans="2:8">
      <c r="B24" s="27" t="s">
        <v>159</v>
      </c>
      <c r="C24" s="23" t="s">
        <v>160</v>
      </c>
      <c r="D24" s="23" t="s">
        <v>56</v>
      </c>
      <c r="E24" s="28">
        <v>13700</v>
      </c>
      <c r="F24" s="25">
        <v>214.7</v>
      </c>
      <c r="G24" s="25">
        <v>0.57999999999999996</v>
      </c>
      <c r="H24" s="26"/>
    </row>
    <row r="25" spans="2:8">
      <c r="B25" s="27" t="s">
        <v>163</v>
      </c>
      <c r="C25" s="23" t="s">
        <v>164</v>
      </c>
      <c r="D25" s="23" t="s">
        <v>134</v>
      </c>
      <c r="E25" s="28">
        <v>12000</v>
      </c>
      <c r="F25" s="25">
        <v>207.68</v>
      </c>
      <c r="G25" s="25">
        <v>0.56000000000000005</v>
      </c>
      <c r="H25" s="26"/>
    </row>
    <row r="26" spans="2:8">
      <c r="B26" s="27" t="s">
        <v>107</v>
      </c>
      <c r="C26" s="23" t="s">
        <v>108</v>
      </c>
      <c r="D26" s="23" t="s">
        <v>109</v>
      </c>
      <c r="E26" s="28">
        <v>40000</v>
      </c>
      <c r="F26" s="25">
        <v>203.88</v>
      </c>
      <c r="G26" s="25">
        <v>0.55000000000000004</v>
      </c>
      <c r="H26" s="26"/>
    </row>
    <row r="27" spans="2:8">
      <c r="B27" s="27" t="s">
        <v>187</v>
      </c>
      <c r="C27" s="23" t="s">
        <v>188</v>
      </c>
      <c r="D27" s="23" t="s">
        <v>134</v>
      </c>
      <c r="E27" s="28">
        <v>30000</v>
      </c>
      <c r="F27" s="25">
        <v>202.52</v>
      </c>
      <c r="G27" s="25">
        <v>0.55000000000000004</v>
      </c>
      <c r="H27" s="26"/>
    </row>
    <row r="28" spans="2:8">
      <c r="B28" s="27" t="s">
        <v>579</v>
      </c>
      <c r="C28" s="23" t="s">
        <v>580</v>
      </c>
      <c r="D28" s="23" t="s">
        <v>64</v>
      </c>
      <c r="E28" s="28">
        <v>18000</v>
      </c>
      <c r="F28" s="25">
        <v>194.36</v>
      </c>
      <c r="G28" s="25">
        <v>0.52</v>
      </c>
      <c r="H28" s="26"/>
    </row>
    <row r="29" spans="2:8">
      <c r="B29" s="27" t="s">
        <v>59</v>
      </c>
      <c r="C29" s="23" t="s">
        <v>60</v>
      </c>
      <c r="D29" s="23" t="s">
        <v>61</v>
      </c>
      <c r="E29" s="28">
        <v>50000</v>
      </c>
      <c r="F29" s="25">
        <v>188.2</v>
      </c>
      <c r="G29" s="25">
        <v>0.51</v>
      </c>
      <c r="H29" s="26"/>
    </row>
    <row r="30" spans="2:8">
      <c r="B30" s="27" t="s">
        <v>176</v>
      </c>
      <c r="C30" s="23" t="s">
        <v>177</v>
      </c>
      <c r="D30" s="23" t="s">
        <v>178</v>
      </c>
      <c r="E30" s="28">
        <v>11400</v>
      </c>
      <c r="F30" s="25">
        <v>187.68</v>
      </c>
      <c r="G30" s="25">
        <v>0.51</v>
      </c>
      <c r="H30" s="26"/>
    </row>
    <row r="31" spans="2:8">
      <c r="B31" s="27" t="s">
        <v>193</v>
      </c>
      <c r="C31" s="23" t="s">
        <v>194</v>
      </c>
      <c r="D31" s="23" t="s">
        <v>169</v>
      </c>
      <c r="E31" s="28">
        <v>15000</v>
      </c>
      <c r="F31" s="25">
        <v>181.23</v>
      </c>
      <c r="G31" s="25">
        <v>0.49</v>
      </c>
      <c r="H31" s="26"/>
    </row>
    <row r="32" spans="2:8">
      <c r="B32" s="27" t="s">
        <v>208</v>
      </c>
      <c r="C32" s="23" t="s">
        <v>209</v>
      </c>
      <c r="D32" s="23" t="s">
        <v>134</v>
      </c>
      <c r="E32" s="28">
        <v>19736</v>
      </c>
      <c r="F32" s="25">
        <v>167.96</v>
      </c>
      <c r="G32" s="25">
        <v>0.45</v>
      </c>
      <c r="H32" s="26"/>
    </row>
    <row r="33" spans="2:10">
      <c r="B33" s="27" t="s">
        <v>217</v>
      </c>
      <c r="C33" s="23" t="s">
        <v>218</v>
      </c>
      <c r="D33" s="23" t="s">
        <v>141</v>
      </c>
      <c r="E33" s="28">
        <v>6000</v>
      </c>
      <c r="F33" s="25">
        <v>167.47</v>
      </c>
      <c r="G33" s="25">
        <v>0.45</v>
      </c>
      <c r="H33" s="26"/>
    </row>
    <row r="34" spans="2:10">
      <c r="B34" s="27" t="s">
        <v>149</v>
      </c>
      <c r="C34" s="23" t="s">
        <v>150</v>
      </c>
      <c r="D34" s="23" t="s">
        <v>151</v>
      </c>
      <c r="E34" s="28">
        <v>2150</v>
      </c>
      <c r="F34" s="25">
        <v>164.47</v>
      </c>
      <c r="G34" s="25">
        <v>0.44</v>
      </c>
      <c r="H34" s="26"/>
    </row>
    <row r="35" spans="2:10">
      <c r="B35" s="27" t="s">
        <v>198</v>
      </c>
      <c r="C35" s="23" t="s">
        <v>199</v>
      </c>
      <c r="D35" s="23" t="s">
        <v>178</v>
      </c>
      <c r="E35" s="28">
        <v>39500</v>
      </c>
      <c r="F35" s="25">
        <v>157.74</v>
      </c>
      <c r="G35" s="25">
        <v>0.43</v>
      </c>
      <c r="H35" s="26"/>
    </row>
    <row r="36" spans="2:10">
      <c r="B36" s="27" t="s">
        <v>170</v>
      </c>
      <c r="C36" s="23" t="s">
        <v>171</v>
      </c>
      <c r="D36" s="23" t="s">
        <v>67</v>
      </c>
      <c r="E36" s="28">
        <v>15000</v>
      </c>
      <c r="F36" s="25">
        <v>155.53</v>
      </c>
      <c r="G36" s="25">
        <v>0.42</v>
      </c>
      <c r="H36" s="26"/>
    </row>
    <row r="37" spans="2:10">
      <c r="B37" s="27" t="s">
        <v>47</v>
      </c>
      <c r="C37" s="23" t="s">
        <v>48</v>
      </c>
      <c r="D37" s="23" t="s">
        <v>49</v>
      </c>
      <c r="E37" s="28">
        <v>15966</v>
      </c>
      <c r="F37" s="25">
        <v>147.84</v>
      </c>
      <c r="G37" s="25">
        <v>0.4</v>
      </c>
      <c r="H37" s="26"/>
    </row>
    <row r="38" spans="2:10">
      <c r="B38" s="27" t="s">
        <v>154</v>
      </c>
      <c r="C38" s="23" t="s">
        <v>155</v>
      </c>
      <c r="D38" s="23" t="s">
        <v>141</v>
      </c>
      <c r="E38" s="28">
        <v>4000</v>
      </c>
      <c r="F38" s="25">
        <v>143.05000000000001</v>
      </c>
      <c r="G38" s="25">
        <v>0.39</v>
      </c>
      <c r="H38" s="26"/>
    </row>
    <row r="39" spans="2:10">
      <c r="B39" s="27" t="s">
        <v>139</v>
      </c>
      <c r="C39" s="23" t="s">
        <v>140</v>
      </c>
      <c r="D39" s="23" t="s">
        <v>141</v>
      </c>
      <c r="E39" s="28">
        <v>5597</v>
      </c>
      <c r="F39" s="25">
        <v>134.07</v>
      </c>
      <c r="G39" s="25">
        <v>0.36</v>
      </c>
      <c r="H39" s="26"/>
    </row>
    <row r="40" spans="2:10">
      <c r="B40" s="27" t="s">
        <v>581</v>
      </c>
      <c r="C40" s="23" t="s">
        <v>582</v>
      </c>
      <c r="D40" s="23" t="s">
        <v>49</v>
      </c>
      <c r="E40" s="28">
        <v>28230</v>
      </c>
      <c r="F40" s="25">
        <v>70.959999999999994</v>
      </c>
      <c r="G40" s="25">
        <v>0.19</v>
      </c>
      <c r="H40" s="26"/>
    </row>
    <row r="41" spans="2:10">
      <c r="B41" s="27" t="s">
        <v>259</v>
      </c>
      <c r="C41" s="23" t="s">
        <v>275</v>
      </c>
      <c r="D41" s="23" t="s">
        <v>214</v>
      </c>
      <c r="E41" s="28">
        <v>15000</v>
      </c>
      <c r="F41" s="25">
        <v>15.53</v>
      </c>
      <c r="G41" s="25">
        <v>0.04</v>
      </c>
      <c r="H41" s="26"/>
    </row>
    <row r="42" spans="2:10">
      <c r="B42" s="29" t="s">
        <v>118</v>
      </c>
      <c r="C42" s="30"/>
      <c r="D42" s="30"/>
      <c r="E42" s="31"/>
      <c r="F42" s="32">
        <f>SUM(F7:F41)</f>
        <v>8500.35</v>
      </c>
      <c r="G42" s="32">
        <f>SUM(G7:G41)</f>
        <v>22.940000000000005</v>
      </c>
      <c r="H42" s="33"/>
      <c r="I42" s="14"/>
      <c r="J42" s="14"/>
    </row>
    <row r="43" spans="2:10">
      <c r="B43" s="37" t="s">
        <v>119</v>
      </c>
      <c r="C43" s="37"/>
      <c r="D43" s="37"/>
      <c r="E43" s="38"/>
      <c r="F43" s="39">
        <f>F42</f>
        <v>8500.35</v>
      </c>
      <c r="G43" s="39">
        <f>G42</f>
        <v>22.940000000000005</v>
      </c>
      <c r="H43" s="15"/>
      <c r="I43" s="14"/>
      <c r="J43" s="14"/>
    </row>
    <row r="44" spans="2:10">
      <c r="B44" s="46" t="s">
        <v>359</v>
      </c>
      <c r="C44" s="41"/>
      <c r="D44" s="41"/>
      <c r="E44" s="42"/>
      <c r="F44" s="43"/>
      <c r="G44" s="43"/>
      <c r="H44" s="43"/>
    </row>
    <row r="45" spans="2:10">
      <c r="B45" s="47" t="s">
        <v>32</v>
      </c>
      <c r="C45" s="23"/>
      <c r="D45" s="23"/>
      <c r="E45" s="24"/>
      <c r="F45" s="25"/>
      <c r="G45" s="25"/>
      <c r="H45" s="25"/>
    </row>
    <row r="46" spans="2:10">
      <c r="B46" s="23" t="s">
        <v>395</v>
      </c>
      <c r="C46" s="23" t="s">
        <v>396</v>
      </c>
      <c r="D46" s="23" t="s">
        <v>362</v>
      </c>
      <c r="E46" s="28">
        <v>150</v>
      </c>
      <c r="F46" s="25">
        <v>1675.52</v>
      </c>
      <c r="G46" s="25">
        <v>4.5199999999999996</v>
      </c>
      <c r="H46" s="25">
        <v>6.86</v>
      </c>
    </row>
    <row r="47" spans="2:10">
      <c r="B47" s="23" t="s">
        <v>397</v>
      </c>
      <c r="C47" s="23" t="s">
        <v>398</v>
      </c>
      <c r="D47" s="23" t="s">
        <v>362</v>
      </c>
      <c r="E47" s="28">
        <v>100</v>
      </c>
      <c r="F47" s="25">
        <v>1113.68</v>
      </c>
      <c r="G47" s="25">
        <v>3.01</v>
      </c>
      <c r="H47" s="25">
        <v>6.52</v>
      </c>
    </row>
    <row r="48" spans="2:10">
      <c r="B48" s="23" t="s">
        <v>376</v>
      </c>
      <c r="C48" s="23" t="s">
        <v>377</v>
      </c>
      <c r="D48" s="23" t="s">
        <v>362</v>
      </c>
      <c r="E48" s="28">
        <v>100</v>
      </c>
      <c r="F48" s="25">
        <v>1079.28</v>
      </c>
      <c r="G48" s="25">
        <v>2.91</v>
      </c>
      <c r="H48" s="25">
        <v>5.44</v>
      </c>
    </row>
    <row r="49" spans="2:10">
      <c r="B49" s="23" t="s">
        <v>478</v>
      </c>
      <c r="C49" s="23" t="s">
        <v>479</v>
      </c>
      <c r="D49" s="23" t="s">
        <v>362</v>
      </c>
      <c r="E49" s="28">
        <v>100</v>
      </c>
      <c r="F49" s="25">
        <v>1061.94</v>
      </c>
      <c r="G49" s="25">
        <v>2.87</v>
      </c>
      <c r="H49" s="25">
        <v>5.73</v>
      </c>
    </row>
    <row r="50" spans="2:10">
      <c r="B50" s="23" t="s">
        <v>384</v>
      </c>
      <c r="C50" s="23" t="s">
        <v>385</v>
      </c>
      <c r="D50" s="23" t="s">
        <v>362</v>
      </c>
      <c r="E50" s="28">
        <v>100</v>
      </c>
      <c r="F50" s="25">
        <v>1053.73</v>
      </c>
      <c r="G50" s="25">
        <v>2.84</v>
      </c>
      <c r="H50" s="25">
        <v>4.45</v>
      </c>
    </row>
    <row r="51" spans="2:10">
      <c r="B51" s="23" t="s">
        <v>386</v>
      </c>
      <c r="C51" s="23" t="s">
        <v>387</v>
      </c>
      <c r="D51" s="23" t="s">
        <v>362</v>
      </c>
      <c r="E51" s="28">
        <v>100</v>
      </c>
      <c r="F51" s="25">
        <v>1023.17</v>
      </c>
      <c r="G51" s="25">
        <v>2.76</v>
      </c>
      <c r="H51" s="25">
        <v>3.61</v>
      </c>
    </row>
    <row r="52" spans="2:10">
      <c r="B52" s="23" t="s">
        <v>583</v>
      </c>
      <c r="C52" s="23" t="s">
        <v>584</v>
      </c>
      <c r="D52" s="23" t="s">
        <v>362</v>
      </c>
      <c r="E52" s="28">
        <v>50</v>
      </c>
      <c r="F52" s="25">
        <v>578.59</v>
      </c>
      <c r="G52" s="25">
        <v>1.56</v>
      </c>
      <c r="H52" s="25">
        <v>6.34</v>
      </c>
    </row>
    <row r="53" spans="2:10">
      <c r="B53" s="23" t="s">
        <v>380</v>
      </c>
      <c r="C53" s="23" t="s">
        <v>381</v>
      </c>
      <c r="D53" s="23" t="s">
        <v>362</v>
      </c>
      <c r="E53" s="28">
        <v>50</v>
      </c>
      <c r="F53" s="25">
        <v>543.39</v>
      </c>
      <c r="G53" s="25">
        <v>1.47</v>
      </c>
      <c r="H53" s="25">
        <v>4.8499999999999996</v>
      </c>
    </row>
    <row r="54" spans="2:10">
      <c r="B54" s="23" t="s">
        <v>363</v>
      </c>
      <c r="C54" s="23" t="s">
        <v>364</v>
      </c>
      <c r="D54" s="23" t="s">
        <v>362</v>
      </c>
      <c r="E54" s="28">
        <v>50</v>
      </c>
      <c r="F54" s="25">
        <v>513.58000000000004</v>
      </c>
      <c r="G54" s="25">
        <v>1.39</v>
      </c>
      <c r="H54" s="25">
        <v>3.6</v>
      </c>
    </row>
    <row r="55" spans="2:10">
      <c r="B55" s="30" t="s">
        <v>118</v>
      </c>
      <c r="C55" s="30"/>
      <c r="D55" s="30"/>
      <c r="E55" s="31"/>
      <c r="F55" s="32">
        <f>SUM(F45:F54)</f>
        <v>8642.880000000001</v>
      </c>
      <c r="G55" s="32">
        <f>SUM(G45:G54)</f>
        <v>23.329999999999995</v>
      </c>
      <c r="H55" s="48"/>
      <c r="I55" s="14"/>
      <c r="J55" s="14"/>
    </row>
    <row r="56" spans="2:10">
      <c r="B56" s="49" t="s">
        <v>119</v>
      </c>
      <c r="C56" s="49"/>
      <c r="D56" s="49"/>
      <c r="E56" s="50"/>
      <c r="F56" s="51">
        <f>F55</f>
        <v>8642.880000000001</v>
      </c>
      <c r="G56" s="51">
        <f>G55</f>
        <v>23.329999999999995</v>
      </c>
      <c r="H56" s="51"/>
      <c r="I56" s="14"/>
      <c r="J56" s="14"/>
    </row>
    <row r="57" spans="2:10">
      <c r="B57" s="47" t="s">
        <v>455</v>
      </c>
      <c r="C57" s="23"/>
      <c r="D57" s="23"/>
      <c r="E57" s="24"/>
      <c r="F57" s="25"/>
      <c r="G57" s="25"/>
      <c r="H57" s="25"/>
    </row>
    <row r="58" spans="2:10">
      <c r="B58" s="47" t="s">
        <v>456</v>
      </c>
      <c r="C58" s="23"/>
      <c r="D58" s="23"/>
      <c r="E58" s="24"/>
      <c r="F58" s="25"/>
      <c r="G58" s="25"/>
      <c r="H58" s="25"/>
    </row>
    <row r="59" spans="2:10">
      <c r="B59" s="23" t="s">
        <v>585</v>
      </c>
      <c r="C59" s="23" t="s">
        <v>586</v>
      </c>
      <c r="D59" s="23" t="s">
        <v>459</v>
      </c>
      <c r="E59" s="28">
        <v>3250000</v>
      </c>
      <c r="F59" s="25">
        <v>3172.38</v>
      </c>
      <c r="G59" s="25">
        <v>8.56</v>
      </c>
      <c r="H59" s="25">
        <v>3.37</v>
      </c>
    </row>
    <row r="60" spans="2:10">
      <c r="B60" s="30" t="s">
        <v>118</v>
      </c>
      <c r="C60" s="30"/>
      <c r="D60" s="30"/>
      <c r="E60" s="31"/>
      <c r="F60" s="32">
        <f>SUM(F58:F59)</f>
        <v>3172.38</v>
      </c>
      <c r="G60" s="32">
        <f>SUM(G58:G59)</f>
        <v>8.56</v>
      </c>
      <c r="H60" s="48"/>
      <c r="I60" s="14"/>
      <c r="J60" s="14"/>
    </row>
    <row r="61" spans="2:10">
      <c r="B61" s="49" t="s">
        <v>119</v>
      </c>
      <c r="C61" s="49"/>
      <c r="D61" s="49"/>
      <c r="E61" s="50"/>
      <c r="F61" s="51">
        <f>+F60</f>
        <v>3172.38</v>
      </c>
      <c r="G61" s="51">
        <f>+G60</f>
        <v>8.56</v>
      </c>
      <c r="H61" s="51"/>
      <c r="I61" s="14"/>
      <c r="J61" s="14"/>
    </row>
    <row r="62" spans="2:10">
      <c r="B62" s="47" t="s">
        <v>427</v>
      </c>
      <c r="C62" s="23"/>
      <c r="D62" s="23"/>
      <c r="E62" s="24"/>
      <c r="F62" s="25"/>
      <c r="G62" s="25"/>
      <c r="H62" s="25"/>
    </row>
    <row r="63" spans="2:10">
      <c r="B63" s="23" t="s">
        <v>435</v>
      </c>
      <c r="C63" s="23" t="s">
        <v>436</v>
      </c>
      <c r="D63" s="23" t="s">
        <v>430</v>
      </c>
      <c r="E63" s="28">
        <v>3500000</v>
      </c>
      <c r="F63" s="25">
        <v>3695.21</v>
      </c>
      <c r="G63" s="25">
        <v>9.9700000000000006</v>
      </c>
      <c r="H63" s="25">
        <v>3.87</v>
      </c>
    </row>
    <row r="64" spans="2:10">
      <c r="B64" s="23" t="s">
        <v>431</v>
      </c>
      <c r="C64" s="23" t="s">
        <v>432</v>
      </c>
      <c r="D64" s="23" t="s">
        <v>430</v>
      </c>
      <c r="E64" s="28">
        <v>3000000</v>
      </c>
      <c r="F64" s="25">
        <v>2995.99</v>
      </c>
      <c r="G64" s="25">
        <v>8.09</v>
      </c>
      <c r="H64" s="25">
        <v>5.87</v>
      </c>
    </row>
    <row r="65" spans="2:10">
      <c r="B65" s="23" t="s">
        <v>587</v>
      </c>
      <c r="C65" s="23" t="s">
        <v>588</v>
      </c>
      <c r="D65" s="23" t="s">
        <v>430</v>
      </c>
      <c r="E65" s="28">
        <v>1000000</v>
      </c>
      <c r="F65" s="25">
        <v>1005.39</v>
      </c>
      <c r="G65" s="25">
        <v>2.71</v>
      </c>
      <c r="H65" s="25">
        <v>6.5</v>
      </c>
    </row>
    <row r="66" spans="2:10">
      <c r="B66" s="23" t="s">
        <v>484</v>
      </c>
      <c r="C66" s="23" t="s">
        <v>485</v>
      </c>
      <c r="D66" s="23" t="s">
        <v>430</v>
      </c>
      <c r="E66" s="28">
        <v>1000000</v>
      </c>
      <c r="F66" s="25">
        <v>995.29</v>
      </c>
      <c r="G66" s="25">
        <v>2.69</v>
      </c>
      <c r="H66" s="25">
        <v>6.24</v>
      </c>
    </row>
    <row r="67" spans="2:10">
      <c r="B67" s="23" t="s">
        <v>589</v>
      </c>
      <c r="C67" s="23" t="s">
        <v>590</v>
      </c>
      <c r="D67" s="23" t="s">
        <v>430</v>
      </c>
      <c r="E67" s="28">
        <v>800000</v>
      </c>
      <c r="F67" s="25">
        <v>841.59</v>
      </c>
      <c r="G67" s="25">
        <v>2.27</v>
      </c>
      <c r="H67" s="25">
        <v>4.16</v>
      </c>
    </row>
    <row r="68" spans="2:10">
      <c r="B68" s="23" t="s">
        <v>470</v>
      </c>
      <c r="C68" s="23" t="s">
        <v>471</v>
      </c>
      <c r="D68" s="23" t="s">
        <v>430</v>
      </c>
      <c r="E68" s="28">
        <v>500000</v>
      </c>
      <c r="F68" s="25">
        <v>497.92</v>
      </c>
      <c r="G68" s="25">
        <v>1.34</v>
      </c>
      <c r="H68" s="25">
        <v>6.26</v>
      </c>
    </row>
    <row r="69" spans="2:10">
      <c r="B69" s="23" t="s">
        <v>447</v>
      </c>
      <c r="C69" s="23" t="s">
        <v>448</v>
      </c>
      <c r="D69" s="23" t="s">
        <v>430</v>
      </c>
      <c r="E69" s="28">
        <v>250000</v>
      </c>
      <c r="F69" s="25">
        <v>250.51</v>
      </c>
      <c r="G69" s="25">
        <v>0.68</v>
      </c>
      <c r="H69" s="25">
        <v>5.0999999999999996</v>
      </c>
    </row>
    <row r="70" spans="2:10">
      <c r="B70" s="52" t="s">
        <v>591</v>
      </c>
      <c r="C70" s="52" t="s">
        <v>592</v>
      </c>
      <c r="D70" s="52" t="s">
        <v>430</v>
      </c>
      <c r="E70" s="53">
        <v>800</v>
      </c>
      <c r="F70" s="54">
        <v>0.93</v>
      </c>
      <c r="G70" s="54">
        <v>0</v>
      </c>
      <c r="H70" s="54">
        <v>6.53</v>
      </c>
    </row>
    <row r="71" spans="2:10">
      <c r="B71" s="55" t="s">
        <v>119</v>
      </c>
      <c r="C71" s="55"/>
      <c r="D71" s="55"/>
      <c r="E71" s="56"/>
      <c r="F71" s="57">
        <f>SUM(F63:F70)</f>
        <v>10282.830000000002</v>
      </c>
      <c r="G71" s="57">
        <f>SUM(G63:G70)</f>
        <v>27.750000000000004</v>
      </c>
      <c r="H71" s="57"/>
      <c r="I71" s="14"/>
      <c r="J71" s="14"/>
    </row>
    <row r="72" spans="2:10">
      <c r="B72" s="47" t="s">
        <v>120</v>
      </c>
      <c r="C72" s="23"/>
      <c r="D72" s="23"/>
      <c r="E72" s="24"/>
      <c r="F72" s="25"/>
      <c r="G72" s="25"/>
      <c r="H72" s="25"/>
    </row>
    <row r="73" spans="2:10">
      <c r="B73" s="23" t="s">
        <v>120</v>
      </c>
      <c r="C73" s="23"/>
      <c r="D73" s="23"/>
      <c r="E73" s="24"/>
      <c r="F73" s="25">
        <v>6294.98</v>
      </c>
      <c r="G73" s="25">
        <v>16.989999999999998</v>
      </c>
      <c r="H73" s="25"/>
    </row>
    <row r="74" spans="2:10">
      <c r="B74" s="30" t="s">
        <v>118</v>
      </c>
      <c r="C74" s="30"/>
      <c r="D74" s="30"/>
      <c r="E74" s="31"/>
      <c r="F74" s="32">
        <f>SUM(F72:F73)</f>
        <v>6294.98</v>
      </c>
      <c r="G74" s="32">
        <f>SUM(G72:G73)</f>
        <v>16.989999999999998</v>
      </c>
      <c r="H74" s="48"/>
      <c r="I74" s="14"/>
      <c r="J74" s="14"/>
    </row>
    <row r="75" spans="2:10">
      <c r="B75" s="34" t="s">
        <v>119</v>
      </c>
      <c r="C75" s="34"/>
      <c r="D75" s="34"/>
      <c r="E75" s="35"/>
      <c r="F75" s="36">
        <f>F74</f>
        <v>6294.98</v>
      </c>
      <c r="G75" s="36">
        <f>G74</f>
        <v>16.989999999999998</v>
      </c>
      <c r="H75" s="36"/>
      <c r="I75" s="14"/>
      <c r="J75" s="14"/>
    </row>
    <row r="76" spans="2:10">
      <c r="B76" s="44" t="s">
        <v>122</v>
      </c>
      <c r="C76" s="44"/>
      <c r="D76" s="44"/>
      <c r="E76" s="45"/>
      <c r="F76" s="16">
        <f>F77-(+F43+F56+F61+F71+F75)</f>
        <v>152.30999999999767</v>
      </c>
      <c r="G76" s="16">
        <f>G77-(+G43+G56+G61+G71+G75)</f>
        <v>0.43000000000000682</v>
      </c>
      <c r="H76" s="16"/>
      <c r="I76" s="14"/>
      <c r="J76" s="14"/>
    </row>
    <row r="77" spans="2:10">
      <c r="B77" s="44" t="s">
        <v>121</v>
      </c>
      <c r="C77" s="44"/>
      <c r="D77" s="44"/>
      <c r="E77" s="45"/>
      <c r="F77" s="16">
        <v>37045.730000000003</v>
      </c>
      <c r="G77" s="16">
        <v>100</v>
      </c>
      <c r="H77" s="16"/>
      <c r="I77" s="14"/>
      <c r="J77" s="14"/>
    </row>
    <row r="79" spans="2:10">
      <c r="B79" s="14" t="s">
        <v>812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workbookViewId="0">
      <selection activeCell="B6" sqref="B6"/>
    </sheetView>
  </sheetViews>
  <sheetFormatPr defaultRowHeight="12"/>
  <cols>
    <col min="1" max="1" width="9.140625" style="1"/>
    <col min="2" max="2" width="60.8554687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61" t="s">
        <v>21</v>
      </c>
      <c r="C1" s="62"/>
      <c r="D1" s="62"/>
      <c r="E1" s="62"/>
      <c r="F1" s="62"/>
      <c r="G1" s="62"/>
      <c r="H1" s="62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58" t="s">
        <v>427</v>
      </c>
      <c r="C5" s="18"/>
      <c r="D5" s="18"/>
      <c r="E5" s="19"/>
      <c r="F5" s="20"/>
      <c r="G5" s="20"/>
      <c r="H5" s="20"/>
    </row>
    <row r="6" spans="2:10">
      <c r="B6" s="23" t="s">
        <v>439</v>
      </c>
      <c r="C6" s="23" t="s">
        <v>440</v>
      </c>
      <c r="D6" s="23" t="s">
        <v>430</v>
      </c>
      <c r="E6" s="28">
        <v>1500000</v>
      </c>
      <c r="F6" s="25">
        <v>1599.13</v>
      </c>
      <c r="G6" s="25">
        <v>50.23</v>
      </c>
      <c r="H6" s="25">
        <v>5.54</v>
      </c>
    </row>
    <row r="7" spans="2:10">
      <c r="B7" s="52" t="s">
        <v>593</v>
      </c>
      <c r="C7" s="52" t="s">
        <v>594</v>
      </c>
      <c r="D7" s="52" t="s">
        <v>430</v>
      </c>
      <c r="E7" s="53">
        <v>1000000</v>
      </c>
      <c r="F7" s="54">
        <v>1101.8800000000001</v>
      </c>
      <c r="G7" s="54">
        <v>34.61</v>
      </c>
      <c r="H7" s="54">
        <v>5.26</v>
      </c>
    </row>
    <row r="8" spans="2:10">
      <c r="B8" s="55" t="s">
        <v>119</v>
      </c>
      <c r="C8" s="55"/>
      <c r="D8" s="55"/>
      <c r="E8" s="56"/>
      <c r="F8" s="57">
        <f>SUM(F6:F7)</f>
        <v>2701.01</v>
      </c>
      <c r="G8" s="57">
        <f>SUM(G6:G7)</f>
        <v>84.84</v>
      </c>
      <c r="H8" s="57"/>
      <c r="I8" s="14"/>
      <c r="J8" s="14"/>
    </row>
    <row r="9" spans="2:10">
      <c r="B9" s="47" t="s">
        <v>120</v>
      </c>
      <c r="C9" s="23"/>
      <c r="D9" s="23"/>
      <c r="E9" s="24"/>
      <c r="F9" s="25"/>
      <c r="G9" s="25"/>
      <c r="H9" s="25"/>
    </row>
    <row r="10" spans="2:10">
      <c r="B10" s="23" t="s">
        <v>120</v>
      </c>
      <c r="C10" s="23"/>
      <c r="D10" s="23"/>
      <c r="E10" s="24"/>
      <c r="F10" s="25">
        <v>417.6</v>
      </c>
      <c r="G10" s="25">
        <v>13.12</v>
      </c>
      <c r="H10" s="25"/>
    </row>
    <row r="11" spans="2:10">
      <c r="B11" s="30" t="s">
        <v>118</v>
      </c>
      <c r="C11" s="30"/>
      <c r="D11" s="30"/>
      <c r="E11" s="31"/>
      <c r="F11" s="32">
        <f>SUM(F9:F10)</f>
        <v>417.6</v>
      </c>
      <c r="G11" s="32">
        <f>SUM(G9:G10)</f>
        <v>13.12</v>
      </c>
      <c r="H11" s="48"/>
      <c r="I11" s="14"/>
      <c r="J11" s="14"/>
    </row>
    <row r="12" spans="2:10">
      <c r="B12" s="34" t="s">
        <v>119</v>
      </c>
      <c r="C12" s="34"/>
      <c r="D12" s="34"/>
      <c r="E12" s="35"/>
      <c r="F12" s="36">
        <f>F11</f>
        <v>417.6</v>
      </c>
      <c r="G12" s="36">
        <f>G11</f>
        <v>13.12</v>
      </c>
      <c r="H12" s="36"/>
      <c r="I12" s="14"/>
      <c r="J12" s="14"/>
    </row>
    <row r="13" spans="2:10">
      <c r="B13" s="44" t="s">
        <v>122</v>
      </c>
      <c r="C13" s="44"/>
      <c r="D13" s="44"/>
      <c r="E13" s="45"/>
      <c r="F13" s="16">
        <f>F14-(+F8+F12)</f>
        <v>65.089999999999691</v>
      </c>
      <c r="G13" s="16">
        <f>G14-(+G8+G12)</f>
        <v>2.039999999999992</v>
      </c>
      <c r="H13" s="16"/>
      <c r="I13" s="14"/>
      <c r="J13" s="14"/>
    </row>
    <row r="14" spans="2:10">
      <c r="B14" s="44" t="s">
        <v>121</v>
      </c>
      <c r="C14" s="44"/>
      <c r="D14" s="44"/>
      <c r="E14" s="45"/>
      <c r="F14" s="16">
        <v>3183.7</v>
      </c>
      <c r="G14" s="16">
        <v>100</v>
      </c>
      <c r="H14" s="16"/>
      <c r="I14" s="14"/>
      <c r="J14" s="14"/>
    </row>
    <row r="16" spans="2:10">
      <c r="B16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0"/>
  <sheetViews>
    <sheetView workbookViewId="0">
      <selection activeCell="F4" sqref="F4"/>
    </sheetView>
  </sheetViews>
  <sheetFormatPr defaultRowHeight="12"/>
  <cols>
    <col min="1" max="1" width="9.140625" style="1"/>
    <col min="2" max="2" width="60.85546875" style="1" bestFit="1" customWidth="1"/>
    <col min="3" max="3" width="13.8554687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61" t="s">
        <v>22</v>
      </c>
      <c r="C1" s="62"/>
      <c r="D1" s="62"/>
      <c r="E1" s="62"/>
      <c r="F1" s="62"/>
      <c r="G1" s="62"/>
      <c r="H1" s="62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58" t="s">
        <v>455</v>
      </c>
      <c r="C5" s="18"/>
      <c r="D5" s="18"/>
      <c r="E5" s="19"/>
      <c r="F5" s="20"/>
      <c r="G5" s="20"/>
      <c r="H5" s="20"/>
    </row>
    <row r="6" spans="2:10">
      <c r="B6" s="47" t="s">
        <v>528</v>
      </c>
      <c r="C6" s="23"/>
      <c r="D6" s="23"/>
      <c r="E6" s="24"/>
      <c r="F6" s="25"/>
      <c r="G6" s="25"/>
      <c r="H6" s="25"/>
    </row>
    <row r="7" spans="2:10">
      <c r="B7" s="23" t="s">
        <v>595</v>
      </c>
      <c r="C7" s="23" t="s">
        <v>596</v>
      </c>
      <c r="D7" s="23" t="s">
        <v>536</v>
      </c>
      <c r="E7" s="28">
        <v>10000</v>
      </c>
      <c r="F7" s="25">
        <v>9989.5</v>
      </c>
      <c r="G7" s="25">
        <v>6.24</v>
      </c>
      <c r="H7" s="25">
        <v>2.95</v>
      </c>
    </row>
    <row r="8" spans="2:10">
      <c r="B8" s="23" t="s">
        <v>597</v>
      </c>
      <c r="C8" s="23" t="s">
        <v>598</v>
      </c>
      <c r="D8" s="23" t="s">
        <v>531</v>
      </c>
      <c r="E8" s="28">
        <v>10000</v>
      </c>
      <c r="F8" s="25">
        <v>9966.59</v>
      </c>
      <c r="G8" s="25">
        <v>6.22</v>
      </c>
      <c r="H8" s="25">
        <v>2.98</v>
      </c>
    </row>
    <row r="9" spans="2:10">
      <c r="B9" s="23" t="s">
        <v>599</v>
      </c>
      <c r="C9" s="23" t="s">
        <v>600</v>
      </c>
      <c r="D9" s="23" t="s">
        <v>531</v>
      </c>
      <c r="E9" s="28">
        <v>7500</v>
      </c>
      <c r="F9" s="25">
        <v>7492.07</v>
      </c>
      <c r="G9" s="25">
        <v>4.68</v>
      </c>
      <c r="H9" s="25">
        <v>2.97</v>
      </c>
    </row>
    <row r="10" spans="2:10">
      <c r="B10" s="23" t="s">
        <v>601</v>
      </c>
      <c r="C10" s="23" t="s">
        <v>602</v>
      </c>
      <c r="D10" s="23" t="s">
        <v>544</v>
      </c>
      <c r="E10" s="28">
        <v>5000</v>
      </c>
      <c r="F10" s="25">
        <v>4998.79</v>
      </c>
      <c r="G10" s="25">
        <v>3.12</v>
      </c>
      <c r="H10" s="25">
        <v>2.95</v>
      </c>
    </row>
    <row r="11" spans="2:10">
      <c r="B11" s="23" t="s">
        <v>603</v>
      </c>
      <c r="C11" s="23" t="s">
        <v>604</v>
      </c>
      <c r="D11" s="23" t="s">
        <v>536</v>
      </c>
      <c r="E11" s="28">
        <v>5000</v>
      </c>
      <c r="F11" s="25">
        <v>4995.97</v>
      </c>
      <c r="G11" s="25">
        <v>3.12</v>
      </c>
      <c r="H11" s="25">
        <v>2.95</v>
      </c>
    </row>
    <row r="12" spans="2:10">
      <c r="B12" s="23" t="s">
        <v>605</v>
      </c>
      <c r="C12" s="23" t="s">
        <v>606</v>
      </c>
      <c r="D12" s="23" t="s">
        <v>544</v>
      </c>
      <c r="E12" s="28">
        <v>2500</v>
      </c>
      <c r="F12" s="25">
        <v>2497.1799999999998</v>
      </c>
      <c r="G12" s="25">
        <v>1.56</v>
      </c>
      <c r="H12" s="25">
        <v>2.95</v>
      </c>
    </row>
    <row r="13" spans="2:10">
      <c r="B13" s="23" t="s">
        <v>607</v>
      </c>
      <c r="C13" s="23" t="s">
        <v>608</v>
      </c>
      <c r="D13" s="23" t="s">
        <v>536</v>
      </c>
      <c r="E13" s="28">
        <v>2500</v>
      </c>
      <c r="F13" s="25">
        <v>2496.17</v>
      </c>
      <c r="G13" s="25">
        <v>1.56</v>
      </c>
      <c r="H13" s="25">
        <v>2.95</v>
      </c>
    </row>
    <row r="14" spans="2:10">
      <c r="B14" s="47" t="s">
        <v>118</v>
      </c>
      <c r="C14" s="47"/>
      <c r="D14" s="47"/>
      <c r="E14" s="59"/>
      <c r="F14" s="57">
        <f>SUM(F6:F13)</f>
        <v>42436.27</v>
      </c>
      <c r="G14" s="57">
        <f>SUM(G6:G13)</f>
        <v>26.5</v>
      </c>
      <c r="H14" s="60"/>
      <c r="I14" s="14"/>
      <c r="J14" s="14"/>
    </row>
    <row r="15" spans="2:10">
      <c r="B15" s="47" t="s">
        <v>541</v>
      </c>
      <c r="C15" s="23"/>
      <c r="D15" s="23"/>
      <c r="E15" s="24"/>
      <c r="F15" s="25"/>
      <c r="G15" s="25"/>
      <c r="H15" s="25"/>
    </row>
    <row r="16" spans="2:10">
      <c r="B16" s="23" t="s">
        <v>609</v>
      </c>
      <c r="C16" s="23" t="s">
        <v>610</v>
      </c>
      <c r="D16" s="23" t="s">
        <v>536</v>
      </c>
      <c r="E16" s="28">
        <v>2500</v>
      </c>
      <c r="F16" s="25">
        <v>12487.48</v>
      </c>
      <c r="G16" s="25">
        <v>7.8</v>
      </c>
      <c r="H16" s="25">
        <v>3.05</v>
      </c>
    </row>
    <row r="17" spans="2:10">
      <c r="B17" s="23" t="s">
        <v>611</v>
      </c>
      <c r="C17" s="23" t="s">
        <v>612</v>
      </c>
      <c r="D17" s="23" t="s">
        <v>544</v>
      </c>
      <c r="E17" s="28">
        <v>2000</v>
      </c>
      <c r="F17" s="25">
        <v>9997.5499999999993</v>
      </c>
      <c r="G17" s="25">
        <v>6.24</v>
      </c>
      <c r="H17" s="25">
        <v>2.98</v>
      </c>
    </row>
    <row r="18" spans="2:10">
      <c r="B18" s="23" t="s">
        <v>613</v>
      </c>
      <c r="C18" s="23" t="s">
        <v>614</v>
      </c>
      <c r="D18" s="23" t="s">
        <v>553</v>
      </c>
      <c r="E18" s="28">
        <v>1000</v>
      </c>
      <c r="F18" s="25">
        <v>4991.33</v>
      </c>
      <c r="G18" s="25">
        <v>3.12</v>
      </c>
      <c r="H18" s="25">
        <v>3.02</v>
      </c>
    </row>
    <row r="19" spans="2:10">
      <c r="B19" s="23" t="s">
        <v>615</v>
      </c>
      <c r="C19" s="23" t="s">
        <v>616</v>
      </c>
      <c r="D19" s="23" t="s">
        <v>544</v>
      </c>
      <c r="E19" s="28">
        <v>1000</v>
      </c>
      <c r="F19" s="25">
        <v>4991.24</v>
      </c>
      <c r="G19" s="25">
        <v>3.12</v>
      </c>
      <c r="H19" s="25">
        <v>3.05</v>
      </c>
    </row>
    <row r="20" spans="2:10">
      <c r="B20" s="23" t="s">
        <v>547</v>
      </c>
      <c r="C20" s="23" t="s">
        <v>548</v>
      </c>
      <c r="D20" s="23" t="s">
        <v>536</v>
      </c>
      <c r="E20" s="28">
        <v>1000</v>
      </c>
      <c r="F20" s="25">
        <v>4974.6499999999996</v>
      </c>
      <c r="G20" s="25">
        <v>3.11</v>
      </c>
      <c r="H20" s="25">
        <v>3.1</v>
      </c>
    </row>
    <row r="21" spans="2:10">
      <c r="B21" s="23" t="s">
        <v>617</v>
      </c>
      <c r="C21" s="23" t="s">
        <v>618</v>
      </c>
      <c r="D21" s="23" t="s">
        <v>536</v>
      </c>
      <c r="E21" s="28">
        <v>700</v>
      </c>
      <c r="F21" s="25">
        <v>3494.01</v>
      </c>
      <c r="G21" s="25">
        <v>2.1800000000000002</v>
      </c>
      <c r="H21" s="25">
        <v>2.98</v>
      </c>
    </row>
    <row r="22" spans="2:10">
      <c r="B22" s="23" t="s">
        <v>542</v>
      </c>
      <c r="C22" s="23" t="s">
        <v>543</v>
      </c>
      <c r="D22" s="23" t="s">
        <v>544</v>
      </c>
      <c r="E22" s="28">
        <v>500</v>
      </c>
      <c r="F22" s="25">
        <v>2483.27</v>
      </c>
      <c r="G22" s="25">
        <v>1.55</v>
      </c>
      <c r="H22" s="25">
        <v>3.24</v>
      </c>
    </row>
    <row r="23" spans="2:10">
      <c r="B23" s="47" t="s">
        <v>118</v>
      </c>
      <c r="C23" s="47"/>
      <c r="D23" s="47"/>
      <c r="E23" s="59"/>
      <c r="F23" s="57">
        <f>SUM(F15:F22)</f>
        <v>43419.53</v>
      </c>
      <c r="G23" s="57">
        <f>SUM(G15:G22)</f>
        <v>27.12</v>
      </c>
      <c r="H23" s="60"/>
      <c r="I23" s="14"/>
      <c r="J23" s="14"/>
    </row>
    <row r="24" spans="2:10">
      <c r="B24" s="47" t="s">
        <v>456</v>
      </c>
      <c r="C24" s="23"/>
      <c r="D24" s="23"/>
      <c r="E24" s="24"/>
      <c r="F24" s="25"/>
      <c r="G24" s="25"/>
      <c r="H24" s="25"/>
    </row>
    <row r="25" spans="2:10">
      <c r="B25" s="23" t="s">
        <v>619</v>
      </c>
      <c r="C25" s="23" t="s">
        <v>620</v>
      </c>
      <c r="D25" s="23" t="s">
        <v>459</v>
      </c>
      <c r="E25" s="28">
        <v>25000000</v>
      </c>
      <c r="F25" s="25">
        <v>24988.080000000002</v>
      </c>
      <c r="G25" s="25">
        <v>15.6</v>
      </c>
      <c r="H25" s="25">
        <v>2.9</v>
      </c>
    </row>
    <row r="26" spans="2:10">
      <c r="B26" s="23" t="s">
        <v>562</v>
      </c>
      <c r="C26" s="23" t="s">
        <v>563</v>
      </c>
      <c r="D26" s="23" t="s">
        <v>459</v>
      </c>
      <c r="E26" s="28">
        <v>15000000</v>
      </c>
      <c r="F26" s="25">
        <v>14984.25</v>
      </c>
      <c r="G26" s="25">
        <v>9.35</v>
      </c>
      <c r="H26" s="25">
        <v>2.95</v>
      </c>
    </row>
    <row r="27" spans="2:10">
      <c r="B27" s="23" t="s">
        <v>457</v>
      </c>
      <c r="C27" s="23" t="s">
        <v>458</v>
      </c>
      <c r="D27" s="23" t="s">
        <v>459</v>
      </c>
      <c r="E27" s="28">
        <v>15000000</v>
      </c>
      <c r="F27" s="25">
        <v>14967.35</v>
      </c>
      <c r="G27" s="25">
        <v>9.34</v>
      </c>
      <c r="H27" s="25">
        <v>2.95</v>
      </c>
    </row>
    <row r="28" spans="2:10">
      <c r="B28" s="23" t="s">
        <v>621</v>
      </c>
      <c r="C28" s="23" t="s">
        <v>622</v>
      </c>
      <c r="D28" s="23" t="s">
        <v>459</v>
      </c>
      <c r="E28" s="28">
        <v>10000000</v>
      </c>
      <c r="F28" s="25">
        <v>9995.15</v>
      </c>
      <c r="G28" s="25">
        <v>6.24</v>
      </c>
      <c r="H28" s="25">
        <v>2.95</v>
      </c>
    </row>
    <row r="29" spans="2:10">
      <c r="B29" s="23" t="s">
        <v>623</v>
      </c>
      <c r="C29" s="23" t="s">
        <v>624</v>
      </c>
      <c r="D29" s="23" t="s">
        <v>459</v>
      </c>
      <c r="E29" s="28">
        <v>2500000</v>
      </c>
      <c r="F29" s="25">
        <v>2497.38</v>
      </c>
      <c r="G29" s="25">
        <v>1.56</v>
      </c>
      <c r="H29" s="25">
        <v>2.95</v>
      </c>
    </row>
    <row r="30" spans="2:10">
      <c r="B30" s="30" t="s">
        <v>118</v>
      </c>
      <c r="C30" s="30"/>
      <c r="D30" s="30"/>
      <c r="E30" s="31"/>
      <c r="F30" s="32">
        <f>SUM(F24:F29)</f>
        <v>67432.210000000006</v>
      </c>
      <c r="G30" s="32">
        <f>SUM(G24:G29)</f>
        <v>42.09</v>
      </c>
      <c r="H30" s="48"/>
      <c r="I30" s="14"/>
      <c r="J30" s="14"/>
    </row>
    <row r="31" spans="2:10">
      <c r="B31" s="49" t="s">
        <v>119</v>
      </c>
      <c r="C31" s="49"/>
      <c r="D31" s="49"/>
      <c r="E31" s="50"/>
      <c r="F31" s="51">
        <f>F14+F23+F30</f>
        <v>153288.01</v>
      </c>
      <c r="G31" s="51">
        <f>G14+G23+G30</f>
        <v>95.710000000000008</v>
      </c>
      <c r="H31" s="51"/>
      <c r="I31" s="14"/>
      <c r="J31" s="14"/>
    </row>
    <row r="32" spans="2:10">
      <c r="B32" s="47" t="s">
        <v>120</v>
      </c>
      <c r="C32" s="23"/>
      <c r="D32" s="23"/>
      <c r="E32" s="24"/>
      <c r="F32" s="25"/>
      <c r="G32" s="25"/>
      <c r="H32" s="25"/>
    </row>
    <row r="33" spans="2:10">
      <c r="B33" s="23" t="s">
        <v>120</v>
      </c>
      <c r="C33" s="23"/>
      <c r="D33" s="23"/>
      <c r="E33" s="24"/>
      <c r="F33" s="25">
        <v>6713.72</v>
      </c>
      <c r="G33" s="25">
        <v>4.1900000000000004</v>
      </c>
      <c r="H33" s="25"/>
    </row>
    <row r="34" spans="2:10">
      <c r="B34" s="30" t="s">
        <v>118</v>
      </c>
      <c r="C34" s="30"/>
      <c r="D34" s="30"/>
      <c r="E34" s="31"/>
      <c r="F34" s="32">
        <f>SUM(F32:F33)</f>
        <v>6713.72</v>
      </c>
      <c r="G34" s="32">
        <f>SUM(G32:G33)</f>
        <v>4.1900000000000004</v>
      </c>
      <c r="H34" s="48"/>
      <c r="I34" s="14"/>
      <c r="J34" s="14"/>
    </row>
    <row r="35" spans="2:10">
      <c r="B35" s="34" t="s">
        <v>119</v>
      </c>
      <c r="C35" s="34"/>
      <c r="D35" s="34"/>
      <c r="E35" s="35"/>
      <c r="F35" s="36">
        <f>F34</f>
        <v>6713.72</v>
      </c>
      <c r="G35" s="36">
        <f>G34</f>
        <v>4.1900000000000004</v>
      </c>
      <c r="H35" s="36"/>
      <c r="I35" s="14"/>
      <c r="J35" s="14"/>
    </row>
    <row r="36" spans="2:10">
      <c r="B36" s="44" t="s">
        <v>122</v>
      </c>
      <c r="C36" s="44"/>
      <c r="D36" s="44"/>
      <c r="E36" s="45"/>
      <c r="F36" s="16">
        <f>F37-(+F31+F35)</f>
        <v>181.23999999999069</v>
      </c>
      <c r="G36" s="16">
        <f>G37-(+G31+G35)</f>
        <v>9.9999999999994316E-2</v>
      </c>
      <c r="H36" s="16"/>
      <c r="I36" s="14"/>
      <c r="J36" s="14"/>
    </row>
    <row r="37" spans="2:10">
      <c r="B37" s="44" t="s">
        <v>121</v>
      </c>
      <c r="C37" s="44"/>
      <c r="D37" s="44"/>
      <c r="E37" s="45"/>
      <c r="F37" s="16">
        <v>160182.97</v>
      </c>
      <c r="G37" s="16">
        <v>100</v>
      </c>
      <c r="H37" s="16"/>
      <c r="I37" s="14"/>
      <c r="J37" s="14"/>
    </row>
    <row r="39" spans="2:10">
      <c r="B39" s="14" t="s">
        <v>812</v>
      </c>
    </row>
    <row r="40" spans="2:10">
      <c r="B40" s="14" t="s">
        <v>576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0"/>
  <sheetViews>
    <sheetView workbookViewId="0">
      <selection activeCell="F6" sqref="F6"/>
    </sheetView>
  </sheetViews>
  <sheetFormatPr defaultRowHeight="12"/>
  <cols>
    <col min="1" max="1" width="9.140625" style="1"/>
    <col min="2" max="2" width="60.85546875" style="1" bestFit="1" customWidth="1"/>
    <col min="3" max="3" width="13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61" t="s">
        <v>23</v>
      </c>
      <c r="C1" s="62"/>
      <c r="D1" s="62"/>
      <c r="E1" s="62"/>
      <c r="F1" s="62"/>
      <c r="G1" s="62"/>
      <c r="H1" s="62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58" t="s">
        <v>359</v>
      </c>
      <c r="C5" s="18"/>
      <c r="D5" s="18"/>
      <c r="E5" s="19"/>
      <c r="F5" s="20"/>
      <c r="G5" s="20"/>
      <c r="H5" s="20"/>
    </row>
    <row r="6" spans="2:8">
      <c r="B6" s="47" t="s">
        <v>32</v>
      </c>
      <c r="C6" s="23"/>
      <c r="D6" s="23"/>
      <c r="E6" s="24"/>
      <c r="F6" s="25"/>
      <c r="G6" s="25"/>
      <c r="H6" s="25"/>
    </row>
    <row r="7" spans="2:8">
      <c r="B7" s="23" t="s">
        <v>625</v>
      </c>
      <c r="C7" s="23" t="s">
        <v>626</v>
      </c>
      <c r="D7" s="23" t="s">
        <v>362</v>
      </c>
      <c r="E7" s="28">
        <v>150</v>
      </c>
      <c r="F7" s="25">
        <v>1532.15</v>
      </c>
      <c r="G7" s="25">
        <v>3.33</v>
      </c>
      <c r="H7" s="25">
        <v>3.74</v>
      </c>
    </row>
    <row r="8" spans="2:8">
      <c r="B8" s="23" t="s">
        <v>627</v>
      </c>
      <c r="C8" s="23" t="s">
        <v>628</v>
      </c>
      <c r="D8" s="23" t="s">
        <v>362</v>
      </c>
      <c r="E8" s="28">
        <v>100</v>
      </c>
      <c r="F8" s="25">
        <v>1033.03</v>
      </c>
      <c r="G8" s="25">
        <v>2.25</v>
      </c>
      <c r="H8" s="25">
        <v>3.67</v>
      </c>
    </row>
    <row r="9" spans="2:8">
      <c r="B9" s="23" t="s">
        <v>629</v>
      </c>
      <c r="C9" s="23" t="s">
        <v>630</v>
      </c>
      <c r="D9" s="23" t="s">
        <v>362</v>
      </c>
      <c r="E9" s="28">
        <v>100</v>
      </c>
      <c r="F9" s="25">
        <v>1026.8699999999999</v>
      </c>
      <c r="G9" s="25">
        <v>2.23</v>
      </c>
      <c r="H9" s="25">
        <v>4.1100000000000003</v>
      </c>
    </row>
    <row r="10" spans="2:8">
      <c r="B10" s="23" t="s">
        <v>631</v>
      </c>
      <c r="C10" s="23" t="s">
        <v>632</v>
      </c>
      <c r="D10" s="23" t="s">
        <v>362</v>
      </c>
      <c r="E10" s="28">
        <v>50</v>
      </c>
      <c r="F10" s="25">
        <v>520.24</v>
      </c>
      <c r="G10" s="25">
        <v>1.1299999999999999</v>
      </c>
      <c r="H10" s="25">
        <v>4.4000000000000004</v>
      </c>
    </row>
    <row r="11" spans="2:8">
      <c r="B11" s="23" t="s">
        <v>363</v>
      </c>
      <c r="C11" s="23" t="s">
        <v>364</v>
      </c>
      <c r="D11" s="23" t="s">
        <v>362</v>
      </c>
      <c r="E11" s="28">
        <v>50</v>
      </c>
      <c r="F11" s="25">
        <v>513.58000000000004</v>
      </c>
      <c r="G11" s="25">
        <v>1.1200000000000001</v>
      </c>
      <c r="H11" s="25">
        <v>3.6</v>
      </c>
    </row>
    <row r="12" spans="2:8">
      <c r="B12" s="23" t="s">
        <v>633</v>
      </c>
      <c r="C12" s="23" t="s">
        <v>634</v>
      </c>
      <c r="D12" s="23" t="s">
        <v>362</v>
      </c>
      <c r="E12" s="28">
        <v>50</v>
      </c>
      <c r="F12" s="25">
        <v>512.66</v>
      </c>
      <c r="G12" s="25">
        <v>1.1200000000000001</v>
      </c>
      <c r="H12" s="25">
        <v>3.76</v>
      </c>
    </row>
    <row r="13" spans="2:8">
      <c r="B13" s="23" t="s">
        <v>508</v>
      </c>
      <c r="C13" s="23" t="s">
        <v>509</v>
      </c>
      <c r="D13" s="23" t="s">
        <v>362</v>
      </c>
      <c r="E13" s="28">
        <v>50</v>
      </c>
      <c r="F13" s="25">
        <v>512.4</v>
      </c>
      <c r="G13" s="25">
        <v>1.1100000000000001</v>
      </c>
      <c r="H13" s="25">
        <v>4.1100000000000003</v>
      </c>
    </row>
    <row r="14" spans="2:8">
      <c r="B14" s="23" t="s">
        <v>386</v>
      </c>
      <c r="C14" s="23" t="s">
        <v>387</v>
      </c>
      <c r="D14" s="23" t="s">
        <v>362</v>
      </c>
      <c r="E14" s="28">
        <v>50</v>
      </c>
      <c r="F14" s="25">
        <v>511.59</v>
      </c>
      <c r="G14" s="25">
        <v>1.1100000000000001</v>
      </c>
      <c r="H14" s="25">
        <v>3.61</v>
      </c>
    </row>
    <row r="15" spans="2:8">
      <c r="B15" s="23" t="s">
        <v>504</v>
      </c>
      <c r="C15" s="23" t="s">
        <v>505</v>
      </c>
      <c r="D15" s="23" t="s">
        <v>362</v>
      </c>
      <c r="E15" s="28">
        <v>50</v>
      </c>
      <c r="F15" s="25">
        <v>511.19</v>
      </c>
      <c r="G15" s="25">
        <v>1.1100000000000001</v>
      </c>
      <c r="H15" s="25">
        <v>3.76</v>
      </c>
    </row>
    <row r="16" spans="2:8">
      <c r="B16" s="23" t="s">
        <v>635</v>
      </c>
      <c r="C16" s="23" t="s">
        <v>636</v>
      </c>
      <c r="D16" s="23" t="s">
        <v>392</v>
      </c>
      <c r="E16" s="28">
        <v>20</v>
      </c>
      <c r="F16" s="25">
        <v>207.26</v>
      </c>
      <c r="G16" s="25">
        <v>0.45</v>
      </c>
      <c r="H16" s="25">
        <v>3.81</v>
      </c>
    </row>
    <row r="17" spans="2:10">
      <c r="B17" s="30" t="s">
        <v>118</v>
      </c>
      <c r="C17" s="30"/>
      <c r="D17" s="30"/>
      <c r="E17" s="31"/>
      <c r="F17" s="32">
        <f>SUM(F6:F16)</f>
        <v>6880.9699999999993</v>
      </c>
      <c r="G17" s="32">
        <f>SUM(G6:G16)</f>
        <v>14.96</v>
      </c>
      <c r="H17" s="48"/>
      <c r="I17" s="14"/>
      <c r="J17" s="14"/>
    </row>
    <row r="18" spans="2:10">
      <c r="B18" s="49" t="s">
        <v>119</v>
      </c>
      <c r="C18" s="49"/>
      <c r="D18" s="49"/>
      <c r="E18" s="50"/>
      <c r="F18" s="51">
        <f>F17</f>
        <v>6880.9699999999993</v>
      </c>
      <c r="G18" s="51">
        <f>G17</f>
        <v>14.96</v>
      </c>
      <c r="H18" s="51"/>
      <c r="I18" s="14"/>
      <c r="J18" s="14"/>
    </row>
    <row r="19" spans="2:10">
      <c r="B19" s="47" t="s">
        <v>455</v>
      </c>
      <c r="C19" s="23"/>
      <c r="D19" s="23"/>
      <c r="E19" s="24"/>
      <c r="F19" s="25"/>
      <c r="G19" s="25"/>
      <c r="H19" s="25"/>
    </row>
    <row r="20" spans="2:10">
      <c r="B20" s="47" t="s">
        <v>528</v>
      </c>
      <c r="C20" s="23"/>
      <c r="D20" s="23"/>
      <c r="E20" s="24"/>
      <c r="F20" s="25"/>
      <c r="G20" s="25"/>
      <c r="H20" s="25"/>
    </row>
    <row r="21" spans="2:10">
      <c r="B21" s="23" t="s">
        <v>529</v>
      </c>
      <c r="C21" s="23" t="s">
        <v>530</v>
      </c>
      <c r="D21" s="23" t="s">
        <v>531</v>
      </c>
      <c r="E21" s="28">
        <v>2500</v>
      </c>
      <c r="F21" s="25">
        <v>2465.3200000000002</v>
      </c>
      <c r="G21" s="25">
        <v>5.36</v>
      </c>
      <c r="H21" s="25">
        <v>3.4</v>
      </c>
    </row>
    <row r="22" spans="2:10">
      <c r="B22" s="23" t="s">
        <v>637</v>
      </c>
      <c r="C22" s="23" t="s">
        <v>638</v>
      </c>
      <c r="D22" s="23" t="s">
        <v>531</v>
      </c>
      <c r="E22" s="28">
        <v>2500</v>
      </c>
      <c r="F22" s="25">
        <v>2451.34</v>
      </c>
      <c r="G22" s="25">
        <v>5.33</v>
      </c>
      <c r="H22" s="25">
        <v>3.5</v>
      </c>
    </row>
    <row r="23" spans="2:10">
      <c r="B23" s="23" t="s">
        <v>534</v>
      </c>
      <c r="C23" s="23" t="s">
        <v>535</v>
      </c>
      <c r="D23" s="23" t="s">
        <v>536</v>
      </c>
      <c r="E23" s="28">
        <v>2500</v>
      </c>
      <c r="F23" s="25">
        <v>2427.94</v>
      </c>
      <c r="G23" s="25">
        <v>5.28</v>
      </c>
      <c r="H23" s="25">
        <v>3.68</v>
      </c>
    </row>
    <row r="24" spans="2:10">
      <c r="B24" s="47" t="s">
        <v>118</v>
      </c>
      <c r="C24" s="47"/>
      <c r="D24" s="47"/>
      <c r="E24" s="59"/>
      <c r="F24" s="57">
        <f>SUM(F20:F23)</f>
        <v>7344.6</v>
      </c>
      <c r="G24" s="57">
        <f>SUM(G20:G23)</f>
        <v>15.970000000000002</v>
      </c>
      <c r="H24" s="60"/>
      <c r="I24" s="14"/>
      <c r="J24" s="14"/>
    </row>
    <row r="25" spans="2:10">
      <c r="B25" s="47" t="s">
        <v>541</v>
      </c>
      <c r="C25" s="23"/>
      <c r="D25" s="23"/>
      <c r="E25" s="24"/>
      <c r="F25" s="25"/>
      <c r="G25" s="25"/>
      <c r="H25" s="25"/>
    </row>
    <row r="26" spans="2:10">
      <c r="B26" s="23" t="s">
        <v>639</v>
      </c>
      <c r="C26" s="23" t="s">
        <v>640</v>
      </c>
      <c r="D26" s="23" t="s">
        <v>536</v>
      </c>
      <c r="E26" s="28">
        <v>500</v>
      </c>
      <c r="F26" s="25">
        <v>2488.4499999999998</v>
      </c>
      <c r="G26" s="25">
        <v>5.41</v>
      </c>
      <c r="H26" s="25">
        <v>3.08</v>
      </c>
    </row>
    <row r="27" spans="2:10">
      <c r="B27" s="23" t="s">
        <v>542</v>
      </c>
      <c r="C27" s="23" t="s">
        <v>543</v>
      </c>
      <c r="D27" s="23" t="s">
        <v>544</v>
      </c>
      <c r="E27" s="28">
        <v>500</v>
      </c>
      <c r="F27" s="25">
        <v>2483.27</v>
      </c>
      <c r="G27" s="25">
        <v>5.4</v>
      </c>
      <c r="H27" s="25">
        <v>3.24</v>
      </c>
    </row>
    <row r="28" spans="2:10">
      <c r="B28" s="23" t="s">
        <v>617</v>
      </c>
      <c r="C28" s="23" t="s">
        <v>618</v>
      </c>
      <c r="D28" s="23" t="s">
        <v>536</v>
      </c>
      <c r="E28" s="28">
        <v>300</v>
      </c>
      <c r="F28" s="25">
        <v>1497.43</v>
      </c>
      <c r="G28" s="25">
        <v>3.26</v>
      </c>
      <c r="H28" s="25">
        <v>2.98</v>
      </c>
    </row>
    <row r="29" spans="2:10">
      <c r="B29" s="47" t="s">
        <v>118</v>
      </c>
      <c r="C29" s="47"/>
      <c r="D29" s="47"/>
      <c r="E29" s="59"/>
      <c r="F29" s="57">
        <f>SUM(F25:F28)</f>
        <v>6469.15</v>
      </c>
      <c r="G29" s="57">
        <f>SUM(G25:G28)</f>
        <v>14.07</v>
      </c>
      <c r="H29" s="60"/>
      <c r="I29" s="14"/>
      <c r="J29" s="14"/>
    </row>
    <row r="30" spans="2:10">
      <c r="B30" s="47" t="s">
        <v>456</v>
      </c>
      <c r="C30" s="23"/>
      <c r="D30" s="23"/>
      <c r="E30" s="24"/>
      <c r="F30" s="25"/>
      <c r="G30" s="25"/>
      <c r="H30" s="25"/>
    </row>
    <row r="31" spans="2:10">
      <c r="B31" s="23" t="s">
        <v>556</v>
      </c>
      <c r="C31" s="23" t="s">
        <v>557</v>
      </c>
      <c r="D31" s="23" t="s">
        <v>459</v>
      </c>
      <c r="E31" s="28">
        <v>7000000</v>
      </c>
      <c r="F31" s="25">
        <v>6938.71</v>
      </c>
      <c r="G31" s="25">
        <v>15.1</v>
      </c>
      <c r="H31" s="25">
        <v>3.1</v>
      </c>
    </row>
    <row r="32" spans="2:10">
      <c r="B32" s="23" t="s">
        <v>621</v>
      </c>
      <c r="C32" s="23" t="s">
        <v>622</v>
      </c>
      <c r="D32" s="23" t="s">
        <v>459</v>
      </c>
      <c r="E32" s="28">
        <v>5000000</v>
      </c>
      <c r="F32" s="25">
        <v>4997.58</v>
      </c>
      <c r="G32" s="25">
        <v>10.87</v>
      </c>
      <c r="H32" s="25">
        <v>2.95</v>
      </c>
    </row>
    <row r="33" spans="2:10">
      <c r="B33" s="23" t="s">
        <v>562</v>
      </c>
      <c r="C33" s="23" t="s">
        <v>563</v>
      </c>
      <c r="D33" s="23" t="s">
        <v>459</v>
      </c>
      <c r="E33" s="28">
        <v>2500000</v>
      </c>
      <c r="F33" s="25">
        <v>2497.38</v>
      </c>
      <c r="G33" s="25">
        <v>5.43</v>
      </c>
      <c r="H33" s="25">
        <v>2.95</v>
      </c>
    </row>
    <row r="34" spans="2:10">
      <c r="B34" s="23" t="s">
        <v>641</v>
      </c>
      <c r="C34" s="23" t="s">
        <v>642</v>
      </c>
      <c r="D34" s="23" t="s">
        <v>459</v>
      </c>
      <c r="E34" s="28">
        <v>2500000</v>
      </c>
      <c r="F34" s="25">
        <v>2490.34</v>
      </c>
      <c r="G34" s="25">
        <v>5.42</v>
      </c>
      <c r="H34" s="25">
        <v>2.95</v>
      </c>
    </row>
    <row r="35" spans="2:10">
      <c r="B35" s="23" t="s">
        <v>566</v>
      </c>
      <c r="C35" s="23" t="s">
        <v>567</v>
      </c>
      <c r="D35" s="23" t="s">
        <v>459</v>
      </c>
      <c r="E35" s="28">
        <v>2500000</v>
      </c>
      <c r="F35" s="25">
        <v>2475.1999999999998</v>
      </c>
      <c r="G35" s="25">
        <v>5.39</v>
      </c>
      <c r="H35" s="25">
        <v>3.1</v>
      </c>
    </row>
    <row r="36" spans="2:10">
      <c r="B36" s="23" t="s">
        <v>560</v>
      </c>
      <c r="C36" s="23" t="s">
        <v>561</v>
      </c>
      <c r="D36" s="23" t="s">
        <v>459</v>
      </c>
      <c r="E36" s="28">
        <v>2000000</v>
      </c>
      <c r="F36" s="25">
        <v>1964.05</v>
      </c>
      <c r="G36" s="25">
        <v>4.2699999999999996</v>
      </c>
      <c r="H36" s="25">
        <v>3.31</v>
      </c>
    </row>
    <row r="37" spans="2:10">
      <c r="B37" s="30" t="s">
        <v>118</v>
      </c>
      <c r="C37" s="30"/>
      <c r="D37" s="30"/>
      <c r="E37" s="31"/>
      <c r="F37" s="32">
        <f>SUM(F30:F36)</f>
        <v>21363.260000000002</v>
      </c>
      <c r="G37" s="32">
        <f>SUM(G30:G36)</f>
        <v>46.480000000000004</v>
      </c>
      <c r="H37" s="48"/>
      <c r="I37" s="14"/>
      <c r="J37" s="14"/>
    </row>
    <row r="38" spans="2:10">
      <c r="B38" s="49" t="s">
        <v>119</v>
      </c>
      <c r="C38" s="49"/>
      <c r="D38" s="49"/>
      <c r="E38" s="50"/>
      <c r="F38" s="51">
        <f>F24+F29+F37</f>
        <v>35177.01</v>
      </c>
      <c r="G38" s="51">
        <f>G24+G29+G37</f>
        <v>76.52000000000001</v>
      </c>
      <c r="H38" s="51"/>
      <c r="I38" s="14"/>
      <c r="J38" s="14"/>
    </row>
    <row r="39" spans="2:10">
      <c r="B39" s="47" t="s">
        <v>427</v>
      </c>
      <c r="C39" s="23"/>
      <c r="D39" s="23"/>
      <c r="E39" s="24"/>
      <c r="F39" s="25"/>
      <c r="G39" s="25"/>
      <c r="H39" s="25"/>
    </row>
    <row r="40" spans="2:10">
      <c r="B40" s="52" t="s">
        <v>643</v>
      </c>
      <c r="C40" s="52" t="s">
        <v>644</v>
      </c>
      <c r="D40" s="52" t="s">
        <v>430</v>
      </c>
      <c r="E40" s="53">
        <v>500000</v>
      </c>
      <c r="F40" s="54">
        <v>507.32</v>
      </c>
      <c r="G40" s="54">
        <v>1.1000000000000001</v>
      </c>
      <c r="H40" s="54">
        <v>3.41</v>
      </c>
    </row>
    <row r="41" spans="2:10">
      <c r="B41" s="55" t="s">
        <v>119</v>
      </c>
      <c r="C41" s="55"/>
      <c r="D41" s="55"/>
      <c r="E41" s="56"/>
      <c r="F41" s="57">
        <f>SUM(F40:F40)</f>
        <v>507.32</v>
      </c>
      <c r="G41" s="57">
        <f>SUM(G40:G40)</f>
        <v>1.1000000000000001</v>
      </c>
      <c r="H41" s="57"/>
      <c r="I41" s="14"/>
      <c r="J41" s="14"/>
    </row>
    <row r="42" spans="2:10">
      <c r="B42" s="47" t="s">
        <v>120</v>
      </c>
      <c r="C42" s="23"/>
      <c r="D42" s="23"/>
      <c r="E42" s="24"/>
      <c r="F42" s="25"/>
      <c r="G42" s="25"/>
      <c r="H42" s="25"/>
    </row>
    <row r="43" spans="2:10">
      <c r="B43" s="23" t="s">
        <v>120</v>
      </c>
      <c r="C43" s="23"/>
      <c r="D43" s="23"/>
      <c r="E43" s="24"/>
      <c r="F43" s="25">
        <v>3098.09</v>
      </c>
      <c r="G43" s="25">
        <v>6.74</v>
      </c>
      <c r="H43" s="25"/>
    </row>
    <row r="44" spans="2:10">
      <c r="B44" s="30" t="s">
        <v>118</v>
      </c>
      <c r="C44" s="30"/>
      <c r="D44" s="30"/>
      <c r="E44" s="31"/>
      <c r="F44" s="32">
        <f>SUM(F42:F43)</f>
        <v>3098.09</v>
      </c>
      <c r="G44" s="32">
        <f>SUM(G42:G43)</f>
        <v>6.74</v>
      </c>
      <c r="H44" s="48"/>
      <c r="I44" s="14"/>
      <c r="J44" s="14"/>
    </row>
    <row r="45" spans="2:10">
      <c r="B45" s="34" t="s">
        <v>119</v>
      </c>
      <c r="C45" s="34"/>
      <c r="D45" s="34"/>
      <c r="E45" s="35"/>
      <c r="F45" s="36">
        <f>F44</f>
        <v>3098.09</v>
      </c>
      <c r="G45" s="36">
        <f>G44</f>
        <v>6.74</v>
      </c>
      <c r="H45" s="36"/>
      <c r="I45" s="14"/>
      <c r="J45" s="14"/>
    </row>
    <row r="46" spans="2:10">
      <c r="B46" s="44" t="s">
        <v>122</v>
      </c>
      <c r="C46" s="44"/>
      <c r="D46" s="44"/>
      <c r="E46" s="45"/>
      <c r="F46" s="16">
        <f>F47-(+F18+F38+F41+F45)</f>
        <v>295.19000000000233</v>
      </c>
      <c r="G46" s="16">
        <f>G47-(+G18+G38+G41+G45)</f>
        <v>0.67999999999999261</v>
      </c>
      <c r="H46" s="16"/>
      <c r="I46" s="14"/>
      <c r="J46" s="14"/>
    </row>
    <row r="47" spans="2:10">
      <c r="B47" s="44" t="s">
        <v>121</v>
      </c>
      <c r="C47" s="44"/>
      <c r="D47" s="44"/>
      <c r="E47" s="45"/>
      <c r="F47" s="16">
        <v>45958.58</v>
      </c>
      <c r="G47" s="16">
        <v>100</v>
      </c>
      <c r="H47" s="16"/>
      <c r="I47" s="14"/>
      <c r="J47" s="14"/>
    </row>
    <row r="49" spans="2:2">
      <c r="B49" s="14" t="s">
        <v>812</v>
      </c>
    </row>
    <row r="50" spans="2:2">
      <c r="B50" s="14" t="s">
        <v>576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2"/>
  <sheetViews>
    <sheetView workbookViewId="0">
      <selection activeCell="F12" sqref="F12"/>
    </sheetView>
  </sheetViews>
  <sheetFormatPr defaultRowHeight="12"/>
  <cols>
    <col min="1" max="1" width="9.140625" style="1"/>
    <col min="2" max="2" width="60.85546875" style="1" bestFit="1" customWidth="1"/>
    <col min="3" max="3" width="4.14062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>
      <c r="B1" s="61" t="s">
        <v>24</v>
      </c>
      <c r="C1" s="62"/>
      <c r="D1" s="62"/>
      <c r="E1" s="62"/>
      <c r="F1" s="62"/>
      <c r="G1" s="62"/>
      <c r="H1" s="62"/>
    </row>
    <row r="3" spans="2:10" ht="16.5" thickBot="1">
      <c r="B3" s="2" t="s">
        <v>7</v>
      </c>
      <c r="C3" s="3"/>
      <c r="D3" s="4"/>
      <c r="E3" s="5"/>
      <c r="F3" s="6"/>
      <c r="G3" s="6"/>
    </row>
    <row r="4" spans="2:10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>
      <c r="B5" s="17" t="s">
        <v>120</v>
      </c>
      <c r="C5" s="18"/>
      <c r="D5" s="18"/>
      <c r="E5" s="19"/>
      <c r="F5" s="20"/>
      <c r="G5" s="20"/>
      <c r="H5" s="21"/>
    </row>
    <row r="6" spans="2:10">
      <c r="B6" s="27" t="s">
        <v>120</v>
      </c>
      <c r="C6" s="23"/>
      <c r="D6" s="23"/>
      <c r="E6" s="24"/>
      <c r="F6" s="25">
        <v>11823.17</v>
      </c>
      <c r="G6" s="25">
        <v>99.27</v>
      </c>
      <c r="H6" s="26"/>
    </row>
    <row r="7" spans="2:10">
      <c r="B7" s="29" t="s">
        <v>118</v>
      </c>
      <c r="C7" s="30"/>
      <c r="D7" s="30"/>
      <c r="E7" s="31"/>
      <c r="F7" s="32">
        <f>SUM(F5:F6)</f>
        <v>11823.17</v>
      </c>
      <c r="G7" s="32">
        <f>SUM(G5:G6)</f>
        <v>99.27</v>
      </c>
      <c r="H7" s="33"/>
      <c r="I7" s="14"/>
      <c r="J7" s="14"/>
    </row>
    <row r="8" spans="2:10">
      <c r="B8" s="34" t="s">
        <v>119</v>
      </c>
      <c r="C8" s="34"/>
      <c r="D8" s="34"/>
      <c r="E8" s="35"/>
      <c r="F8" s="36">
        <f>F7</f>
        <v>11823.17</v>
      </c>
      <c r="G8" s="36">
        <f>G7</f>
        <v>99.27</v>
      </c>
      <c r="H8" s="36"/>
      <c r="I8" s="14"/>
      <c r="J8" s="14"/>
    </row>
    <row r="9" spans="2:10">
      <c r="B9" s="44" t="s">
        <v>122</v>
      </c>
      <c r="C9" s="44"/>
      <c r="D9" s="44"/>
      <c r="E9" s="45"/>
      <c r="F9" s="16">
        <f>F10-(+F8)</f>
        <v>85.610000000000582</v>
      </c>
      <c r="G9" s="16">
        <f>G10-(+G8)</f>
        <v>0.73000000000000398</v>
      </c>
      <c r="H9" s="16"/>
      <c r="I9" s="14"/>
      <c r="J9" s="14"/>
    </row>
    <row r="10" spans="2:10">
      <c r="B10" s="44" t="s">
        <v>121</v>
      </c>
      <c r="C10" s="44"/>
      <c r="D10" s="44"/>
      <c r="E10" s="45"/>
      <c r="F10" s="16">
        <v>11908.78</v>
      </c>
      <c r="G10" s="16">
        <v>100</v>
      </c>
      <c r="H10" s="16"/>
      <c r="I10" s="14"/>
      <c r="J10" s="14"/>
    </row>
    <row r="12" spans="2:10">
      <c r="B12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0"/>
  <sheetViews>
    <sheetView workbookViewId="0">
      <selection activeCell="I1" sqref="I1"/>
    </sheetView>
  </sheetViews>
  <sheetFormatPr defaultRowHeight="12"/>
  <cols>
    <col min="1" max="1" width="9.140625" style="1"/>
    <col min="2" max="2" width="60.8554687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61" t="s">
        <v>25</v>
      </c>
      <c r="C1" s="62"/>
      <c r="D1" s="62"/>
      <c r="E1" s="62"/>
      <c r="F1" s="62"/>
      <c r="G1" s="62"/>
      <c r="H1" s="62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58" t="s">
        <v>359</v>
      </c>
      <c r="C5" s="18"/>
      <c r="D5" s="18"/>
      <c r="E5" s="19"/>
      <c r="F5" s="20"/>
      <c r="G5" s="20"/>
      <c r="H5" s="20"/>
    </row>
    <row r="6" spans="2:8">
      <c r="B6" s="47" t="s">
        <v>32</v>
      </c>
      <c r="C6" s="23"/>
      <c r="D6" s="23"/>
      <c r="E6" s="24"/>
      <c r="F6" s="25"/>
      <c r="G6" s="25"/>
      <c r="H6" s="25"/>
    </row>
    <row r="7" spans="2:8">
      <c r="B7" s="23" t="s">
        <v>403</v>
      </c>
      <c r="C7" s="23" t="s">
        <v>404</v>
      </c>
      <c r="D7" s="23" t="s">
        <v>362</v>
      </c>
      <c r="E7" s="28">
        <v>450</v>
      </c>
      <c r="F7" s="25">
        <v>4716.74</v>
      </c>
      <c r="G7" s="25">
        <v>4.1500000000000004</v>
      </c>
      <c r="H7" s="25">
        <v>4.45</v>
      </c>
    </row>
    <row r="8" spans="2:8">
      <c r="B8" s="23" t="s">
        <v>645</v>
      </c>
      <c r="C8" s="23" t="s">
        <v>646</v>
      </c>
      <c r="D8" s="23" t="s">
        <v>362</v>
      </c>
      <c r="E8" s="28">
        <v>400</v>
      </c>
      <c r="F8" s="25">
        <v>4054.28</v>
      </c>
      <c r="G8" s="25">
        <v>3.57</v>
      </c>
      <c r="H8" s="25">
        <v>4.29</v>
      </c>
    </row>
    <row r="9" spans="2:8">
      <c r="B9" s="23" t="s">
        <v>367</v>
      </c>
      <c r="C9" s="23" t="s">
        <v>368</v>
      </c>
      <c r="D9" s="23" t="s">
        <v>362</v>
      </c>
      <c r="E9" s="28">
        <v>350</v>
      </c>
      <c r="F9" s="25">
        <v>3675.2</v>
      </c>
      <c r="G9" s="25">
        <v>3.23</v>
      </c>
      <c r="H9" s="25">
        <v>4.29</v>
      </c>
    </row>
    <row r="10" spans="2:8">
      <c r="B10" s="23" t="s">
        <v>647</v>
      </c>
      <c r="C10" s="23" t="s">
        <v>648</v>
      </c>
      <c r="D10" s="23" t="s">
        <v>371</v>
      </c>
      <c r="E10" s="28">
        <v>350</v>
      </c>
      <c r="F10" s="25">
        <v>3659.12</v>
      </c>
      <c r="G10" s="25">
        <v>3.22</v>
      </c>
      <c r="H10" s="25">
        <v>4.46</v>
      </c>
    </row>
    <row r="11" spans="2:8">
      <c r="B11" s="23" t="s">
        <v>649</v>
      </c>
      <c r="C11" s="23" t="s">
        <v>650</v>
      </c>
      <c r="D11" s="23" t="s">
        <v>362</v>
      </c>
      <c r="E11" s="28">
        <v>250</v>
      </c>
      <c r="F11" s="25">
        <v>2661.05</v>
      </c>
      <c r="G11" s="25">
        <v>2.34</v>
      </c>
      <c r="H11" s="25">
        <v>5.53</v>
      </c>
    </row>
    <row r="12" spans="2:8">
      <c r="B12" s="23" t="s">
        <v>651</v>
      </c>
      <c r="C12" s="23" t="s">
        <v>652</v>
      </c>
      <c r="D12" s="23" t="s">
        <v>362</v>
      </c>
      <c r="E12" s="28">
        <v>250</v>
      </c>
      <c r="F12" s="25">
        <v>2628.04</v>
      </c>
      <c r="G12" s="25">
        <v>2.31</v>
      </c>
      <c r="H12" s="25">
        <v>4.76</v>
      </c>
    </row>
    <row r="13" spans="2:8">
      <c r="B13" s="23" t="s">
        <v>653</v>
      </c>
      <c r="C13" s="23" t="s">
        <v>654</v>
      </c>
      <c r="D13" s="23" t="s">
        <v>362</v>
      </c>
      <c r="E13" s="28">
        <v>250</v>
      </c>
      <c r="F13" s="25">
        <v>2624.85</v>
      </c>
      <c r="G13" s="25">
        <v>2.31</v>
      </c>
      <c r="H13" s="25">
        <v>4.8099999999999996</v>
      </c>
    </row>
    <row r="14" spans="2:8">
      <c r="B14" s="23" t="s">
        <v>524</v>
      </c>
      <c r="C14" s="23" t="s">
        <v>525</v>
      </c>
      <c r="D14" s="23" t="s">
        <v>362</v>
      </c>
      <c r="E14" s="28">
        <v>250</v>
      </c>
      <c r="F14" s="25">
        <v>2614.12</v>
      </c>
      <c r="G14" s="25">
        <v>2.2999999999999998</v>
      </c>
      <c r="H14" s="25">
        <v>4.1500000000000004</v>
      </c>
    </row>
    <row r="15" spans="2:8">
      <c r="B15" s="23" t="s">
        <v>655</v>
      </c>
      <c r="C15" s="23" t="s">
        <v>656</v>
      </c>
      <c r="D15" s="23" t="s">
        <v>362</v>
      </c>
      <c r="E15" s="28">
        <v>250</v>
      </c>
      <c r="F15" s="25">
        <v>2606.5100000000002</v>
      </c>
      <c r="G15" s="25">
        <v>2.29</v>
      </c>
      <c r="H15" s="25">
        <v>4.26</v>
      </c>
    </row>
    <row r="16" spans="2:8">
      <c r="B16" s="23" t="s">
        <v>372</v>
      </c>
      <c r="C16" s="23" t="s">
        <v>373</v>
      </c>
      <c r="D16" s="23" t="s">
        <v>362</v>
      </c>
      <c r="E16" s="28">
        <v>250</v>
      </c>
      <c r="F16" s="25">
        <v>2557.1799999999998</v>
      </c>
      <c r="G16" s="25">
        <v>2.25</v>
      </c>
      <c r="H16" s="25">
        <v>3.76</v>
      </c>
    </row>
    <row r="17" spans="2:8">
      <c r="B17" s="23" t="s">
        <v>657</v>
      </c>
      <c r="C17" s="23" t="s">
        <v>658</v>
      </c>
      <c r="D17" s="23" t="s">
        <v>362</v>
      </c>
      <c r="E17" s="28">
        <v>250</v>
      </c>
      <c r="F17" s="25">
        <v>2553.34</v>
      </c>
      <c r="G17" s="25">
        <v>2.25</v>
      </c>
      <c r="H17" s="25">
        <v>4.45</v>
      </c>
    </row>
    <row r="18" spans="2:8">
      <c r="B18" s="23" t="s">
        <v>659</v>
      </c>
      <c r="C18" s="23" t="s">
        <v>660</v>
      </c>
      <c r="D18" s="23" t="s">
        <v>362</v>
      </c>
      <c r="E18" s="28">
        <v>200</v>
      </c>
      <c r="F18" s="25">
        <v>2106.08</v>
      </c>
      <c r="G18" s="25">
        <v>1.85</v>
      </c>
      <c r="H18" s="25">
        <v>5.73</v>
      </c>
    </row>
    <row r="19" spans="2:8">
      <c r="B19" s="23" t="s">
        <v>661</v>
      </c>
      <c r="C19" s="23" t="s">
        <v>662</v>
      </c>
      <c r="D19" s="23" t="s">
        <v>392</v>
      </c>
      <c r="E19" s="28">
        <v>200</v>
      </c>
      <c r="F19" s="25">
        <v>2100.46</v>
      </c>
      <c r="G19" s="25">
        <v>1.85</v>
      </c>
      <c r="H19" s="25">
        <v>3.93</v>
      </c>
    </row>
    <row r="20" spans="2:8">
      <c r="B20" s="23" t="s">
        <v>512</v>
      </c>
      <c r="C20" s="23" t="s">
        <v>513</v>
      </c>
      <c r="D20" s="23" t="s">
        <v>392</v>
      </c>
      <c r="E20" s="28">
        <v>200</v>
      </c>
      <c r="F20" s="25">
        <v>2002.37</v>
      </c>
      <c r="G20" s="25">
        <v>1.76</v>
      </c>
      <c r="H20" s="25">
        <v>4.53</v>
      </c>
    </row>
    <row r="21" spans="2:8">
      <c r="B21" s="23" t="s">
        <v>401</v>
      </c>
      <c r="C21" s="23" t="s">
        <v>402</v>
      </c>
      <c r="D21" s="23" t="s">
        <v>362</v>
      </c>
      <c r="E21" s="28">
        <v>150</v>
      </c>
      <c r="F21" s="25">
        <v>1611.42</v>
      </c>
      <c r="G21" s="25">
        <v>1.42</v>
      </c>
      <c r="H21" s="25">
        <v>5.56</v>
      </c>
    </row>
    <row r="22" spans="2:8">
      <c r="B22" s="23" t="s">
        <v>382</v>
      </c>
      <c r="C22" s="23" t="s">
        <v>383</v>
      </c>
      <c r="D22" s="23" t="s">
        <v>362</v>
      </c>
      <c r="E22" s="28">
        <v>150</v>
      </c>
      <c r="F22" s="25">
        <v>1602.89</v>
      </c>
      <c r="G22" s="25">
        <v>1.41</v>
      </c>
      <c r="H22" s="25">
        <v>5.56</v>
      </c>
    </row>
    <row r="23" spans="2:8">
      <c r="B23" s="23" t="s">
        <v>384</v>
      </c>
      <c r="C23" s="23" t="s">
        <v>385</v>
      </c>
      <c r="D23" s="23" t="s">
        <v>362</v>
      </c>
      <c r="E23" s="28">
        <v>150</v>
      </c>
      <c r="F23" s="25">
        <v>1580.59</v>
      </c>
      <c r="G23" s="25">
        <v>1.39</v>
      </c>
      <c r="H23" s="25">
        <v>4.45</v>
      </c>
    </row>
    <row r="24" spans="2:8">
      <c r="B24" s="23" t="s">
        <v>663</v>
      </c>
      <c r="C24" s="23" t="s">
        <v>664</v>
      </c>
      <c r="D24" s="23" t="s">
        <v>362</v>
      </c>
      <c r="E24" s="28">
        <v>150</v>
      </c>
      <c r="F24" s="25">
        <v>1576.99</v>
      </c>
      <c r="G24" s="25">
        <v>1.39</v>
      </c>
      <c r="H24" s="25">
        <v>4.3600000000000003</v>
      </c>
    </row>
    <row r="25" spans="2:8">
      <c r="B25" s="23" t="s">
        <v>665</v>
      </c>
      <c r="C25" s="23" t="s">
        <v>666</v>
      </c>
      <c r="D25" s="23" t="s">
        <v>362</v>
      </c>
      <c r="E25" s="28">
        <v>150</v>
      </c>
      <c r="F25" s="25">
        <v>1570.22</v>
      </c>
      <c r="G25" s="25">
        <v>1.38</v>
      </c>
      <c r="H25" s="25">
        <v>4.0599999999999996</v>
      </c>
    </row>
    <row r="26" spans="2:8">
      <c r="B26" s="23" t="s">
        <v>496</v>
      </c>
      <c r="C26" s="23" t="s">
        <v>497</v>
      </c>
      <c r="D26" s="23" t="s">
        <v>362</v>
      </c>
      <c r="E26" s="28">
        <v>150</v>
      </c>
      <c r="F26" s="25">
        <v>1570.12</v>
      </c>
      <c r="G26" s="25">
        <v>1.38</v>
      </c>
      <c r="H26" s="25">
        <v>4.12</v>
      </c>
    </row>
    <row r="27" spans="2:8">
      <c r="B27" s="23" t="s">
        <v>667</v>
      </c>
      <c r="C27" s="23" t="s">
        <v>668</v>
      </c>
      <c r="D27" s="23" t="s">
        <v>371</v>
      </c>
      <c r="E27" s="28">
        <v>150</v>
      </c>
      <c r="F27" s="25">
        <v>1567.44</v>
      </c>
      <c r="G27" s="25">
        <v>1.38</v>
      </c>
      <c r="H27" s="25">
        <v>4.0599999999999996</v>
      </c>
    </row>
    <row r="28" spans="2:8">
      <c r="B28" s="23" t="s">
        <v>669</v>
      </c>
      <c r="C28" s="23" t="s">
        <v>670</v>
      </c>
      <c r="D28" s="23" t="s">
        <v>362</v>
      </c>
      <c r="E28" s="28">
        <v>150</v>
      </c>
      <c r="F28" s="25">
        <v>1565.93</v>
      </c>
      <c r="G28" s="25">
        <v>1.38</v>
      </c>
      <c r="H28" s="25">
        <v>4.75</v>
      </c>
    </row>
    <row r="29" spans="2:8">
      <c r="B29" s="23" t="s">
        <v>671</v>
      </c>
      <c r="C29" s="23" t="s">
        <v>672</v>
      </c>
      <c r="D29" s="23" t="s">
        <v>362</v>
      </c>
      <c r="E29" s="28">
        <v>150</v>
      </c>
      <c r="F29" s="25">
        <v>1520.77</v>
      </c>
      <c r="G29" s="25">
        <v>1.34</v>
      </c>
      <c r="H29" s="25">
        <v>4.8099999999999996</v>
      </c>
    </row>
    <row r="30" spans="2:8">
      <c r="B30" s="23" t="s">
        <v>374</v>
      </c>
      <c r="C30" s="23" t="s">
        <v>375</v>
      </c>
      <c r="D30" s="23" t="s">
        <v>362</v>
      </c>
      <c r="E30" s="28">
        <v>150</v>
      </c>
      <c r="F30" s="25">
        <v>1506.45</v>
      </c>
      <c r="G30" s="25">
        <v>1.33</v>
      </c>
      <c r="H30" s="25">
        <v>5.34</v>
      </c>
    </row>
    <row r="31" spans="2:8">
      <c r="B31" s="23" t="s">
        <v>673</v>
      </c>
      <c r="C31" s="23" t="s">
        <v>674</v>
      </c>
      <c r="D31" s="23" t="s">
        <v>362</v>
      </c>
      <c r="E31" s="28">
        <v>100</v>
      </c>
      <c r="F31" s="25">
        <v>1067.27</v>
      </c>
      <c r="G31" s="25">
        <v>0.94</v>
      </c>
      <c r="H31" s="25">
        <v>5.93</v>
      </c>
    </row>
    <row r="32" spans="2:8">
      <c r="B32" s="23" t="s">
        <v>675</v>
      </c>
      <c r="C32" s="23" t="s">
        <v>676</v>
      </c>
      <c r="D32" s="23" t="s">
        <v>362</v>
      </c>
      <c r="E32" s="28">
        <v>100</v>
      </c>
      <c r="F32" s="25">
        <v>1054.72</v>
      </c>
      <c r="G32" s="25">
        <v>0.93</v>
      </c>
      <c r="H32" s="25">
        <v>4.47</v>
      </c>
    </row>
    <row r="33" spans="2:8">
      <c r="B33" s="23" t="s">
        <v>522</v>
      </c>
      <c r="C33" s="23" t="s">
        <v>523</v>
      </c>
      <c r="D33" s="23" t="s">
        <v>362</v>
      </c>
      <c r="E33" s="28">
        <v>100</v>
      </c>
      <c r="F33" s="25">
        <v>1052.21</v>
      </c>
      <c r="G33" s="25">
        <v>0.93</v>
      </c>
      <c r="H33" s="25">
        <v>4.45</v>
      </c>
    </row>
    <row r="34" spans="2:8">
      <c r="B34" s="23" t="s">
        <v>516</v>
      </c>
      <c r="C34" s="23" t="s">
        <v>517</v>
      </c>
      <c r="D34" s="23" t="s">
        <v>362</v>
      </c>
      <c r="E34" s="28">
        <v>100</v>
      </c>
      <c r="F34" s="25">
        <v>1052.05</v>
      </c>
      <c r="G34" s="25">
        <v>0.93</v>
      </c>
      <c r="H34" s="25">
        <v>4.0599999999999996</v>
      </c>
    </row>
    <row r="35" spans="2:8">
      <c r="B35" s="23" t="s">
        <v>677</v>
      </c>
      <c r="C35" s="23" t="s">
        <v>678</v>
      </c>
      <c r="D35" s="23" t="s">
        <v>362</v>
      </c>
      <c r="E35" s="28">
        <v>100</v>
      </c>
      <c r="F35" s="25">
        <v>1049.76</v>
      </c>
      <c r="G35" s="25">
        <v>0.92</v>
      </c>
      <c r="H35" s="25">
        <v>4.07</v>
      </c>
    </row>
    <row r="36" spans="2:8">
      <c r="B36" s="23" t="s">
        <v>679</v>
      </c>
      <c r="C36" s="23" t="s">
        <v>680</v>
      </c>
      <c r="D36" s="23" t="s">
        <v>362</v>
      </c>
      <c r="E36" s="28">
        <v>100</v>
      </c>
      <c r="F36" s="25">
        <v>1044.26</v>
      </c>
      <c r="G36" s="25">
        <v>0.92</v>
      </c>
      <c r="H36" s="25">
        <v>4.17</v>
      </c>
    </row>
    <row r="37" spans="2:8">
      <c r="B37" s="23" t="s">
        <v>510</v>
      </c>
      <c r="C37" s="23" t="s">
        <v>511</v>
      </c>
      <c r="D37" s="23" t="s">
        <v>371</v>
      </c>
      <c r="E37" s="28">
        <v>100</v>
      </c>
      <c r="F37" s="25">
        <v>1044.19</v>
      </c>
      <c r="G37" s="25">
        <v>0.92</v>
      </c>
      <c r="H37" s="25">
        <v>4.0599999999999996</v>
      </c>
    </row>
    <row r="38" spans="2:8">
      <c r="B38" s="23" t="s">
        <v>681</v>
      </c>
      <c r="C38" s="23" t="s">
        <v>682</v>
      </c>
      <c r="D38" s="23" t="s">
        <v>362</v>
      </c>
      <c r="E38" s="28">
        <v>100</v>
      </c>
      <c r="F38" s="25">
        <v>1026.2</v>
      </c>
      <c r="G38" s="25">
        <v>0.9</v>
      </c>
      <c r="H38" s="25">
        <v>3.89</v>
      </c>
    </row>
    <row r="39" spans="2:8">
      <c r="B39" s="23" t="s">
        <v>482</v>
      </c>
      <c r="C39" s="23" t="s">
        <v>483</v>
      </c>
      <c r="D39" s="23" t="s">
        <v>362</v>
      </c>
      <c r="E39" s="28">
        <v>100</v>
      </c>
      <c r="F39" s="25">
        <v>1025.22</v>
      </c>
      <c r="G39" s="25">
        <v>0.9</v>
      </c>
      <c r="H39" s="25">
        <v>3.56</v>
      </c>
    </row>
    <row r="40" spans="2:8">
      <c r="B40" s="23" t="s">
        <v>683</v>
      </c>
      <c r="C40" s="23" t="s">
        <v>684</v>
      </c>
      <c r="D40" s="23" t="s">
        <v>362</v>
      </c>
      <c r="E40" s="28">
        <v>100</v>
      </c>
      <c r="F40" s="25">
        <v>1000.76</v>
      </c>
      <c r="G40" s="25">
        <v>0.88</v>
      </c>
      <c r="H40" s="25">
        <v>3.78</v>
      </c>
    </row>
    <row r="41" spans="2:8">
      <c r="B41" s="23" t="s">
        <v>685</v>
      </c>
      <c r="C41" s="23" t="s">
        <v>686</v>
      </c>
      <c r="D41" s="23" t="s">
        <v>362</v>
      </c>
      <c r="E41" s="28">
        <v>70</v>
      </c>
      <c r="F41" s="25">
        <v>722.58</v>
      </c>
      <c r="G41" s="25">
        <v>0.64</v>
      </c>
      <c r="H41" s="25">
        <v>3.61</v>
      </c>
    </row>
    <row r="42" spans="2:8">
      <c r="B42" s="23" t="s">
        <v>365</v>
      </c>
      <c r="C42" s="23" t="s">
        <v>366</v>
      </c>
      <c r="D42" s="23" t="s">
        <v>362</v>
      </c>
      <c r="E42" s="28">
        <v>50</v>
      </c>
      <c r="F42" s="25">
        <v>569.97</v>
      </c>
      <c r="G42" s="25">
        <v>0.5</v>
      </c>
      <c r="H42" s="25">
        <v>6.35</v>
      </c>
    </row>
    <row r="43" spans="2:8">
      <c r="B43" s="23" t="s">
        <v>687</v>
      </c>
      <c r="C43" s="23" t="s">
        <v>688</v>
      </c>
      <c r="D43" s="23" t="s">
        <v>362</v>
      </c>
      <c r="E43" s="28">
        <v>50</v>
      </c>
      <c r="F43" s="25">
        <v>563.92999999999995</v>
      </c>
      <c r="G43" s="25">
        <v>0.5</v>
      </c>
      <c r="H43" s="25">
        <v>5.93</v>
      </c>
    </row>
    <row r="44" spans="2:8">
      <c r="B44" s="23" t="s">
        <v>689</v>
      </c>
      <c r="C44" s="23" t="s">
        <v>690</v>
      </c>
      <c r="D44" s="23" t="s">
        <v>362</v>
      </c>
      <c r="E44" s="28">
        <v>50</v>
      </c>
      <c r="F44" s="25">
        <v>558.91</v>
      </c>
      <c r="G44" s="25">
        <v>0.49</v>
      </c>
      <c r="H44" s="25">
        <v>5.79</v>
      </c>
    </row>
    <row r="45" spans="2:8">
      <c r="B45" s="23" t="s">
        <v>415</v>
      </c>
      <c r="C45" s="23" t="s">
        <v>416</v>
      </c>
      <c r="D45" s="23" t="s">
        <v>362</v>
      </c>
      <c r="E45" s="28">
        <v>50</v>
      </c>
      <c r="F45" s="25">
        <v>557.5</v>
      </c>
      <c r="G45" s="25">
        <v>0.49</v>
      </c>
      <c r="H45" s="25">
        <v>6.42</v>
      </c>
    </row>
    <row r="46" spans="2:8">
      <c r="B46" s="23" t="s">
        <v>397</v>
      </c>
      <c r="C46" s="23" t="s">
        <v>398</v>
      </c>
      <c r="D46" s="23" t="s">
        <v>362</v>
      </c>
      <c r="E46" s="28">
        <v>50</v>
      </c>
      <c r="F46" s="25">
        <v>556.84</v>
      </c>
      <c r="G46" s="25">
        <v>0.49</v>
      </c>
      <c r="H46" s="25">
        <v>6.52</v>
      </c>
    </row>
    <row r="47" spans="2:8">
      <c r="B47" s="23" t="s">
        <v>691</v>
      </c>
      <c r="C47" s="23" t="s">
        <v>692</v>
      </c>
      <c r="D47" s="23" t="s">
        <v>362</v>
      </c>
      <c r="E47" s="28">
        <v>50</v>
      </c>
      <c r="F47" s="25">
        <v>539.78</v>
      </c>
      <c r="G47" s="25">
        <v>0.47</v>
      </c>
      <c r="H47" s="25">
        <v>4.41</v>
      </c>
    </row>
    <row r="48" spans="2:8">
      <c r="B48" s="23" t="s">
        <v>376</v>
      </c>
      <c r="C48" s="23" t="s">
        <v>377</v>
      </c>
      <c r="D48" s="23" t="s">
        <v>362</v>
      </c>
      <c r="E48" s="28">
        <v>50</v>
      </c>
      <c r="F48" s="25">
        <v>539.64</v>
      </c>
      <c r="G48" s="25">
        <v>0.47</v>
      </c>
      <c r="H48" s="25">
        <v>5.44</v>
      </c>
    </row>
    <row r="49" spans="2:10">
      <c r="B49" s="23" t="s">
        <v>693</v>
      </c>
      <c r="C49" s="23" t="s">
        <v>694</v>
      </c>
      <c r="D49" s="23" t="s">
        <v>371</v>
      </c>
      <c r="E49" s="28">
        <v>50</v>
      </c>
      <c r="F49" s="25">
        <v>533.17999999999995</v>
      </c>
      <c r="G49" s="25">
        <v>0.47</v>
      </c>
      <c r="H49" s="25">
        <v>6.57</v>
      </c>
    </row>
    <row r="50" spans="2:10">
      <c r="B50" s="23" t="s">
        <v>474</v>
      </c>
      <c r="C50" s="23" t="s">
        <v>475</v>
      </c>
      <c r="D50" s="23" t="s">
        <v>362</v>
      </c>
      <c r="E50" s="28">
        <v>50</v>
      </c>
      <c r="F50" s="25">
        <v>531.44000000000005</v>
      </c>
      <c r="G50" s="25">
        <v>0.47</v>
      </c>
      <c r="H50" s="25">
        <v>6.5</v>
      </c>
    </row>
    <row r="51" spans="2:10">
      <c r="B51" s="23" t="s">
        <v>695</v>
      </c>
      <c r="C51" s="23" t="s">
        <v>696</v>
      </c>
      <c r="D51" s="23" t="s">
        <v>362</v>
      </c>
      <c r="E51" s="28">
        <v>50</v>
      </c>
      <c r="F51" s="25">
        <v>528.41999999999996</v>
      </c>
      <c r="G51" s="25">
        <v>0.46</v>
      </c>
      <c r="H51" s="25">
        <v>4.38</v>
      </c>
    </row>
    <row r="52" spans="2:10">
      <c r="B52" s="23" t="s">
        <v>697</v>
      </c>
      <c r="C52" s="23" t="s">
        <v>698</v>
      </c>
      <c r="D52" s="23" t="s">
        <v>362</v>
      </c>
      <c r="E52" s="28">
        <v>50</v>
      </c>
      <c r="F52" s="25">
        <v>513</v>
      </c>
      <c r="G52" s="25">
        <v>0.45</v>
      </c>
      <c r="H52" s="25">
        <v>3.7</v>
      </c>
    </row>
    <row r="53" spans="2:10">
      <c r="B53" s="23" t="s">
        <v>699</v>
      </c>
      <c r="C53" s="23" t="s">
        <v>700</v>
      </c>
      <c r="D53" s="23" t="s">
        <v>362</v>
      </c>
      <c r="E53" s="28">
        <v>50</v>
      </c>
      <c r="F53" s="25">
        <v>508.76</v>
      </c>
      <c r="G53" s="25">
        <v>0.45</v>
      </c>
      <c r="H53" s="25">
        <v>3.52</v>
      </c>
    </row>
    <row r="54" spans="2:10">
      <c r="B54" s="23" t="s">
        <v>514</v>
      </c>
      <c r="C54" s="23" t="s">
        <v>515</v>
      </c>
      <c r="D54" s="23" t="s">
        <v>362</v>
      </c>
      <c r="E54" s="28">
        <v>100</v>
      </c>
      <c r="F54" s="25">
        <v>327.61</v>
      </c>
      <c r="G54" s="25">
        <v>0.28999999999999998</v>
      </c>
      <c r="H54" s="25">
        <v>4.79</v>
      </c>
    </row>
    <row r="55" spans="2:10">
      <c r="B55" s="23" t="s">
        <v>625</v>
      </c>
      <c r="C55" s="23" t="s">
        <v>626</v>
      </c>
      <c r="D55" s="23" t="s">
        <v>362</v>
      </c>
      <c r="E55" s="28">
        <v>20</v>
      </c>
      <c r="F55" s="25">
        <v>204.29</v>
      </c>
      <c r="G55" s="25">
        <v>0.18</v>
      </c>
      <c r="H55" s="25">
        <v>3.74</v>
      </c>
    </row>
    <row r="56" spans="2:10">
      <c r="B56" s="23" t="s">
        <v>701</v>
      </c>
      <c r="C56" s="23" t="s">
        <v>702</v>
      </c>
      <c r="D56" s="23" t="s">
        <v>362</v>
      </c>
      <c r="E56" s="28">
        <v>10</v>
      </c>
      <c r="F56" s="25">
        <v>105.03</v>
      </c>
      <c r="G56" s="25">
        <v>0.09</v>
      </c>
      <c r="H56" s="25">
        <v>4.2</v>
      </c>
    </row>
    <row r="57" spans="2:10">
      <c r="B57" s="30" t="s">
        <v>118</v>
      </c>
      <c r="C57" s="30"/>
      <c r="D57" s="30"/>
      <c r="E57" s="31"/>
      <c r="F57" s="32">
        <f>SUM(F6:F56)</f>
        <v>74509.679999999964</v>
      </c>
      <c r="G57" s="32">
        <f>SUM(G6:G56)</f>
        <v>65.560000000000031</v>
      </c>
      <c r="H57" s="48"/>
      <c r="I57" s="14"/>
      <c r="J57" s="14"/>
    </row>
    <row r="58" spans="2:10">
      <c r="B58" s="49" t="s">
        <v>119</v>
      </c>
      <c r="C58" s="49"/>
      <c r="D58" s="49"/>
      <c r="E58" s="50"/>
      <c r="F58" s="51">
        <f>F57</f>
        <v>74509.679999999964</v>
      </c>
      <c r="G58" s="51">
        <f>G57</f>
        <v>65.560000000000031</v>
      </c>
      <c r="H58" s="51"/>
      <c r="I58" s="14"/>
      <c r="J58" s="14"/>
    </row>
    <row r="59" spans="2:10">
      <c r="B59" s="47" t="s">
        <v>455</v>
      </c>
      <c r="C59" s="23"/>
      <c r="D59" s="23"/>
      <c r="E59" s="24"/>
      <c r="F59" s="25"/>
      <c r="G59" s="25"/>
      <c r="H59" s="25"/>
    </row>
    <row r="60" spans="2:10">
      <c r="B60" s="47" t="s">
        <v>456</v>
      </c>
      <c r="C60" s="23"/>
      <c r="D60" s="23"/>
      <c r="E60" s="24"/>
      <c r="F60" s="25"/>
      <c r="G60" s="25"/>
      <c r="H60" s="25"/>
    </row>
    <row r="61" spans="2:10">
      <c r="B61" s="23" t="s">
        <v>558</v>
      </c>
      <c r="C61" s="23" t="s">
        <v>559</v>
      </c>
      <c r="D61" s="23" t="s">
        <v>459</v>
      </c>
      <c r="E61" s="28">
        <v>5000000</v>
      </c>
      <c r="F61" s="25">
        <v>4907.07</v>
      </c>
      <c r="G61" s="25">
        <v>4.32</v>
      </c>
      <c r="H61" s="25">
        <v>3.31</v>
      </c>
    </row>
    <row r="62" spans="2:10">
      <c r="B62" s="23" t="s">
        <v>703</v>
      </c>
      <c r="C62" s="23" t="s">
        <v>704</v>
      </c>
      <c r="D62" s="23" t="s">
        <v>459</v>
      </c>
      <c r="E62" s="28">
        <v>5000000</v>
      </c>
      <c r="F62" s="25">
        <v>4883.67</v>
      </c>
      <c r="G62" s="25">
        <v>4.3</v>
      </c>
      <c r="H62" s="25">
        <v>3.37</v>
      </c>
    </row>
    <row r="63" spans="2:10">
      <c r="B63" s="23" t="s">
        <v>560</v>
      </c>
      <c r="C63" s="23" t="s">
        <v>561</v>
      </c>
      <c r="D63" s="23" t="s">
        <v>459</v>
      </c>
      <c r="E63" s="28">
        <v>3000000</v>
      </c>
      <c r="F63" s="25">
        <v>2946.08</v>
      </c>
      <c r="G63" s="25">
        <v>2.59</v>
      </c>
      <c r="H63" s="25">
        <v>3.31</v>
      </c>
    </row>
    <row r="64" spans="2:10">
      <c r="B64" s="23" t="s">
        <v>705</v>
      </c>
      <c r="C64" s="23" t="s">
        <v>706</v>
      </c>
      <c r="D64" s="23" t="s">
        <v>459</v>
      </c>
      <c r="E64" s="28">
        <v>1000000</v>
      </c>
      <c r="F64" s="25">
        <v>980.59</v>
      </c>
      <c r="G64" s="25">
        <v>0.86</v>
      </c>
      <c r="H64" s="25">
        <v>3.35</v>
      </c>
    </row>
    <row r="65" spans="2:10">
      <c r="B65" s="30" t="s">
        <v>118</v>
      </c>
      <c r="C65" s="30"/>
      <c r="D65" s="30"/>
      <c r="E65" s="31"/>
      <c r="F65" s="32">
        <f>SUM(F60:F64)</f>
        <v>13717.41</v>
      </c>
      <c r="G65" s="32">
        <f>SUM(G60:G64)</f>
        <v>12.07</v>
      </c>
      <c r="H65" s="48"/>
      <c r="I65" s="14"/>
      <c r="J65" s="14"/>
    </row>
    <row r="66" spans="2:10">
      <c r="B66" s="49" t="s">
        <v>119</v>
      </c>
      <c r="C66" s="49"/>
      <c r="D66" s="49"/>
      <c r="E66" s="50"/>
      <c r="F66" s="51">
        <f>+F65</f>
        <v>13717.41</v>
      </c>
      <c r="G66" s="51">
        <f>+G65</f>
        <v>12.07</v>
      </c>
      <c r="H66" s="51"/>
      <c r="I66" s="14"/>
      <c r="J66" s="14"/>
    </row>
    <row r="67" spans="2:10">
      <c r="B67" s="47" t="s">
        <v>427</v>
      </c>
      <c r="C67" s="23"/>
      <c r="D67" s="23"/>
      <c r="E67" s="24"/>
      <c r="F67" s="25"/>
      <c r="G67" s="25"/>
      <c r="H67" s="25"/>
    </row>
    <row r="68" spans="2:10">
      <c r="B68" s="23" t="s">
        <v>435</v>
      </c>
      <c r="C68" s="23" t="s">
        <v>436</v>
      </c>
      <c r="D68" s="23" t="s">
        <v>430</v>
      </c>
      <c r="E68" s="28">
        <v>3500000</v>
      </c>
      <c r="F68" s="25">
        <v>3695.21</v>
      </c>
      <c r="G68" s="25">
        <v>3.25</v>
      </c>
      <c r="H68" s="25">
        <v>3.87</v>
      </c>
    </row>
    <row r="69" spans="2:10">
      <c r="B69" s="23" t="s">
        <v>428</v>
      </c>
      <c r="C69" s="23" t="s">
        <v>429</v>
      </c>
      <c r="D69" s="23" t="s">
        <v>430</v>
      </c>
      <c r="E69" s="28">
        <v>3000000</v>
      </c>
      <c r="F69" s="25">
        <v>3147.54</v>
      </c>
      <c r="G69" s="25">
        <v>2.77</v>
      </c>
      <c r="H69" s="25">
        <v>4.76</v>
      </c>
    </row>
    <row r="70" spans="2:10">
      <c r="B70" s="23" t="s">
        <v>707</v>
      </c>
      <c r="C70" s="23" t="s">
        <v>708</v>
      </c>
      <c r="D70" s="23" t="s">
        <v>430</v>
      </c>
      <c r="E70" s="28">
        <v>2000000</v>
      </c>
      <c r="F70" s="25">
        <v>2096.86</v>
      </c>
      <c r="G70" s="25">
        <v>1.84</v>
      </c>
      <c r="H70" s="25">
        <v>3.9</v>
      </c>
    </row>
    <row r="71" spans="2:10">
      <c r="B71" s="23" t="s">
        <v>431</v>
      </c>
      <c r="C71" s="23" t="s">
        <v>432</v>
      </c>
      <c r="D71" s="23" t="s">
        <v>430</v>
      </c>
      <c r="E71" s="28">
        <v>2000000</v>
      </c>
      <c r="F71" s="25">
        <v>1997.33</v>
      </c>
      <c r="G71" s="25">
        <v>1.76</v>
      </c>
      <c r="H71" s="25">
        <v>5.87</v>
      </c>
    </row>
    <row r="72" spans="2:10">
      <c r="B72" s="23" t="s">
        <v>709</v>
      </c>
      <c r="C72" s="23" t="s">
        <v>710</v>
      </c>
      <c r="D72" s="23" t="s">
        <v>430</v>
      </c>
      <c r="E72" s="28">
        <v>1000000</v>
      </c>
      <c r="F72" s="25">
        <v>1089.08</v>
      </c>
      <c r="G72" s="25">
        <v>0.96</v>
      </c>
      <c r="H72" s="25">
        <v>4.29</v>
      </c>
    </row>
    <row r="73" spans="2:10">
      <c r="B73" s="23" t="s">
        <v>433</v>
      </c>
      <c r="C73" s="23" t="s">
        <v>434</v>
      </c>
      <c r="D73" s="23" t="s">
        <v>430</v>
      </c>
      <c r="E73" s="28">
        <v>1000000</v>
      </c>
      <c r="F73" s="25">
        <v>1086</v>
      </c>
      <c r="G73" s="25">
        <v>0.96</v>
      </c>
      <c r="H73" s="25">
        <v>4.6399999999999997</v>
      </c>
    </row>
    <row r="74" spans="2:10">
      <c r="B74" s="23" t="s">
        <v>711</v>
      </c>
      <c r="C74" s="23" t="s">
        <v>712</v>
      </c>
      <c r="D74" s="23" t="s">
        <v>430</v>
      </c>
      <c r="E74" s="28">
        <v>500000</v>
      </c>
      <c r="F74" s="25">
        <v>535.26</v>
      </c>
      <c r="G74" s="25">
        <v>0.47</v>
      </c>
      <c r="H74" s="25">
        <v>4.0999999999999996</v>
      </c>
    </row>
    <row r="75" spans="2:10">
      <c r="B75" s="23" t="s">
        <v>713</v>
      </c>
      <c r="C75" s="23" t="s">
        <v>714</v>
      </c>
      <c r="D75" s="23" t="s">
        <v>430</v>
      </c>
      <c r="E75" s="28">
        <v>500000</v>
      </c>
      <c r="F75" s="25">
        <v>535.19000000000005</v>
      </c>
      <c r="G75" s="25">
        <v>0.47</v>
      </c>
      <c r="H75" s="25">
        <v>4.0999999999999996</v>
      </c>
    </row>
    <row r="76" spans="2:10">
      <c r="B76" s="23" t="s">
        <v>715</v>
      </c>
      <c r="C76" s="23" t="s">
        <v>716</v>
      </c>
      <c r="D76" s="23" t="s">
        <v>430</v>
      </c>
      <c r="E76" s="28">
        <v>500000</v>
      </c>
      <c r="F76" s="25">
        <v>527.92999999999995</v>
      </c>
      <c r="G76" s="25">
        <v>0.46</v>
      </c>
      <c r="H76" s="25">
        <v>4.33</v>
      </c>
    </row>
    <row r="77" spans="2:10">
      <c r="B77" s="23" t="s">
        <v>589</v>
      </c>
      <c r="C77" s="23" t="s">
        <v>590</v>
      </c>
      <c r="D77" s="23" t="s">
        <v>430</v>
      </c>
      <c r="E77" s="28">
        <v>500000</v>
      </c>
      <c r="F77" s="25">
        <v>525.99</v>
      </c>
      <c r="G77" s="25">
        <v>0.46</v>
      </c>
      <c r="H77" s="25">
        <v>4.16</v>
      </c>
    </row>
    <row r="78" spans="2:10">
      <c r="B78" s="23" t="s">
        <v>717</v>
      </c>
      <c r="C78" s="23" t="s">
        <v>718</v>
      </c>
      <c r="D78" s="23" t="s">
        <v>430</v>
      </c>
      <c r="E78" s="28">
        <v>500000</v>
      </c>
      <c r="F78" s="25">
        <v>524.30999999999995</v>
      </c>
      <c r="G78" s="25">
        <v>0.46</v>
      </c>
      <c r="H78" s="25">
        <v>4.16</v>
      </c>
    </row>
    <row r="79" spans="2:10">
      <c r="B79" s="23" t="s">
        <v>719</v>
      </c>
      <c r="C79" s="23" t="s">
        <v>720</v>
      </c>
      <c r="D79" s="23" t="s">
        <v>430</v>
      </c>
      <c r="E79" s="28">
        <v>400000</v>
      </c>
      <c r="F79" s="25">
        <v>426.45</v>
      </c>
      <c r="G79" s="25">
        <v>0.38</v>
      </c>
      <c r="H79" s="25">
        <v>4.07</v>
      </c>
    </row>
    <row r="80" spans="2:10">
      <c r="B80" s="23" t="s">
        <v>721</v>
      </c>
      <c r="C80" s="23" t="s">
        <v>722</v>
      </c>
      <c r="D80" s="23" t="s">
        <v>430</v>
      </c>
      <c r="E80" s="28">
        <v>178000</v>
      </c>
      <c r="F80" s="25">
        <v>180.1</v>
      </c>
      <c r="G80" s="25">
        <v>0.16</v>
      </c>
      <c r="H80" s="25">
        <v>3.32</v>
      </c>
    </row>
    <row r="81" spans="2:10">
      <c r="B81" s="52" t="s">
        <v>723</v>
      </c>
      <c r="C81" s="52" t="s">
        <v>724</v>
      </c>
      <c r="D81" s="52" t="s">
        <v>430</v>
      </c>
      <c r="E81" s="53">
        <v>28300</v>
      </c>
      <c r="F81" s="54">
        <v>30.92</v>
      </c>
      <c r="G81" s="54">
        <v>0.03</v>
      </c>
      <c r="H81" s="54">
        <v>6.05</v>
      </c>
    </row>
    <row r="82" spans="2:10">
      <c r="B82" s="55" t="s">
        <v>119</v>
      </c>
      <c r="C82" s="55"/>
      <c r="D82" s="55"/>
      <c r="E82" s="56"/>
      <c r="F82" s="57">
        <f>SUM(F68:F81)</f>
        <v>16398.170000000002</v>
      </c>
      <c r="G82" s="57">
        <f>SUM(G68:G81)</f>
        <v>14.430000000000003</v>
      </c>
      <c r="H82" s="57"/>
      <c r="I82" s="14"/>
      <c r="J82" s="14"/>
    </row>
    <row r="83" spans="2:10">
      <c r="B83" s="47" t="s">
        <v>120</v>
      </c>
      <c r="C83" s="23"/>
      <c r="D83" s="23"/>
      <c r="E83" s="24"/>
      <c r="F83" s="25"/>
      <c r="G83" s="25"/>
      <c r="H83" s="25"/>
    </row>
    <row r="84" spans="2:10">
      <c r="B84" s="23" t="s">
        <v>120</v>
      </c>
      <c r="C84" s="23"/>
      <c r="D84" s="23"/>
      <c r="E84" s="24"/>
      <c r="F84" s="25">
        <v>5284.21</v>
      </c>
      <c r="G84" s="25">
        <v>4.6500000000000004</v>
      </c>
      <c r="H84" s="25"/>
    </row>
    <row r="85" spans="2:10">
      <c r="B85" s="30" t="s">
        <v>118</v>
      </c>
      <c r="C85" s="30"/>
      <c r="D85" s="30"/>
      <c r="E85" s="31"/>
      <c r="F85" s="32">
        <f>SUM(F83:F84)</f>
        <v>5284.21</v>
      </c>
      <c r="G85" s="32">
        <f>SUM(G83:G84)</f>
        <v>4.6500000000000004</v>
      </c>
      <c r="H85" s="48"/>
      <c r="I85" s="14"/>
      <c r="J85" s="14"/>
    </row>
    <row r="86" spans="2:10">
      <c r="B86" s="34" t="s">
        <v>119</v>
      </c>
      <c r="C86" s="34"/>
      <c r="D86" s="34"/>
      <c r="E86" s="35"/>
      <c r="F86" s="36">
        <f>F85</f>
        <v>5284.21</v>
      </c>
      <c r="G86" s="36">
        <f>G85</f>
        <v>4.6500000000000004</v>
      </c>
      <c r="H86" s="36"/>
      <c r="I86" s="14"/>
      <c r="J86" s="14"/>
    </row>
    <row r="87" spans="2:10">
      <c r="B87" s="44" t="s">
        <v>122</v>
      </c>
      <c r="C87" s="44"/>
      <c r="D87" s="44"/>
      <c r="E87" s="45"/>
      <c r="F87" s="16">
        <f>F88-(+F58+F66+F82+F86)</f>
        <v>3744.8400000000256</v>
      </c>
      <c r="G87" s="16">
        <f>G88-(+G58+G66+G82+G86)</f>
        <v>3.2899999999999636</v>
      </c>
      <c r="H87" s="16"/>
      <c r="I87" s="14"/>
      <c r="J87" s="14"/>
    </row>
    <row r="88" spans="2:10">
      <c r="B88" s="44" t="s">
        <v>121</v>
      </c>
      <c r="C88" s="44"/>
      <c r="D88" s="44"/>
      <c r="E88" s="45"/>
      <c r="F88" s="16">
        <v>113654.31</v>
      </c>
      <c r="G88" s="16">
        <v>100</v>
      </c>
      <c r="H88" s="16"/>
      <c r="I88" s="14"/>
      <c r="J88" s="14"/>
    </row>
    <row r="90" spans="2:10">
      <c r="B90" s="14" t="s">
        <v>812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1"/>
  <sheetViews>
    <sheetView workbookViewId="0">
      <selection activeCell="J1" sqref="J1"/>
    </sheetView>
  </sheetViews>
  <sheetFormatPr defaultRowHeight="12"/>
  <cols>
    <col min="1" max="1" width="9.140625" style="1"/>
    <col min="2" max="2" width="60.8554687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61" t="s">
        <v>26</v>
      </c>
      <c r="C1" s="62"/>
      <c r="D1" s="62"/>
      <c r="E1" s="62"/>
      <c r="F1" s="62"/>
      <c r="G1" s="62"/>
      <c r="H1" s="62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58" t="s">
        <v>359</v>
      </c>
      <c r="C5" s="18"/>
      <c r="D5" s="18"/>
      <c r="E5" s="19"/>
      <c r="F5" s="20"/>
      <c r="G5" s="20"/>
      <c r="H5" s="20"/>
    </row>
    <row r="6" spans="2:8">
      <c r="B6" s="47" t="s">
        <v>32</v>
      </c>
      <c r="C6" s="23"/>
      <c r="D6" s="23"/>
      <c r="E6" s="24"/>
      <c r="F6" s="25"/>
      <c r="G6" s="25"/>
      <c r="H6" s="25"/>
    </row>
    <row r="7" spans="2:8">
      <c r="B7" s="23" t="s">
        <v>645</v>
      </c>
      <c r="C7" s="23" t="s">
        <v>646</v>
      </c>
      <c r="D7" s="23" t="s">
        <v>362</v>
      </c>
      <c r="E7" s="28">
        <v>250</v>
      </c>
      <c r="F7" s="25">
        <v>2533.9299999999998</v>
      </c>
      <c r="G7" s="25">
        <v>7.61</v>
      </c>
      <c r="H7" s="25">
        <v>4.29</v>
      </c>
    </row>
    <row r="8" spans="2:8">
      <c r="B8" s="23" t="s">
        <v>415</v>
      </c>
      <c r="C8" s="23" t="s">
        <v>416</v>
      </c>
      <c r="D8" s="23" t="s">
        <v>362</v>
      </c>
      <c r="E8" s="28">
        <v>150</v>
      </c>
      <c r="F8" s="25">
        <v>1672.49</v>
      </c>
      <c r="G8" s="25">
        <v>5.03</v>
      </c>
      <c r="H8" s="25">
        <v>6.42</v>
      </c>
    </row>
    <row r="9" spans="2:8">
      <c r="B9" s="23" t="s">
        <v>673</v>
      </c>
      <c r="C9" s="23" t="s">
        <v>674</v>
      </c>
      <c r="D9" s="23" t="s">
        <v>362</v>
      </c>
      <c r="E9" s="28">
        <v>150</v>
      </c>
      <c r="F9" s="25">
        <v>1600.9</v>
      </c>
      <c r="G9" s="25">
        <v>4.8099999999999996</v>
      </c>
      <c r="H9" s="25">
        <v>5.93</v>
      </c>
    </row>
    <row r="10" spans="2:8">
      <c r="B10" s="23" t="s">
        <v>403</v>
      </c>
      <c r="C10" s="23" t="s">
        <v>404</v>
      </c>
      <c r="D10" s="23" t="s">
        <v>362</v>
      </c>
      <c r="E10" s="28">
        <v>150</v>
      </c>
      <c r="F10" s="25">
        <v>1572.25</v>
      </c>
      <c r="G10" s="25">
        <v>4.72</v>
      </c>
      <c r="H10" s="25">
        <v>4.45</v>
      </c>
    </row>
    <row r="11" spans="2:8">
      <c r="B11" s="23" t="s">
        <v>512</v>
      </c>
      <c r="C11" s="23" t="s">
        <v>513</v>
      </c>
      <c r="D11" s="23" t="s">
        <v>392</v>
      </c>
      <c r="E11" s="28">
        <v>150</v>
      </c>
      <c r="F11" s="25">
        <v>1501.78</v>
      </c>
      <c r="G11" s="25">
        <v>4.51</v>
      </c>
      <c r="H11" s="25">
        <v>4.53</v>
      </c>
    </row>
    <row r="12" spans="2:8">
      <c r="B12" s="23" t="s">
        <v>365</v>
      </c>
      <c r="C12" s="23" t="s">
        <v>366</v>
      </c>
      <c r="D12" s="23" t="s">
        <v>362</v>
      </c>
      <c r="E12" s="28">
        <v>100</v>
      </c>
      <c r="F12" s="25">
        <v>1139.94</v>
      </c>
      <c r="G12" s="25">
        <v>3.43</v>
      </c>
      <c r="H12" s="25">
        <v>6.35</v>
      </c>
    </row>
    <row r="13" spans="2:8">
      <c r="B13" s="23" t="s">
        <v>725</v>
      </c>
      <c r="C13" s="23" t="s">
        <v>726</v>
      </c>
      <c r="D13" s="23" t="s">
        <v>362</v>
      </c>
      <c r="E13" s="28">
        <v>100</v>
      </c>
      <c r="F13" s="25">
        <v>1059.49</v>
      </c>
      <c r="G13" s="25">
        <v>3.18</v>
      </c>
      <c r="H13" s="25">
        <v>5.56</v>
      </c>
    </row>
    <row r="14" spans="2:8">
      <c r="B14" s="23" t="s">
        <v>669</v>
      </c>
      <c r="C14" s="23" t="s">
        <v>670</v>
      </c>
      <c r="D14" s="23" t="s">
        <v>362</v>
      </c>
      <c r="E14" s="28">
        <v>100</v>
      </c>
      <c r="F14" s="25">
        <v>1043.95</v>
      </c>
      <c r="G14" s="25">
        <v>3.14</v>
      </c>
      <c r="H14" s="25">
        <v>4.75</v>
      </c>
    </row>
    <row r="15" spans="2:8">
      <c r="B15" s="23" t="s">
        <v>727</v>
      </c>
      <c r="C15" s="23" t="s">
        <v>728</v>
      </c>
      <c r="D15" s="23" t="s">
        <v>362</v>
      </c>
      <c r="E15" s="28">
        <v>100</v>
      </c>
      <c r="F15" s="25">
        <v>1028.1199999999999</v>
      </c>
      <c r="G15" s="25">
        <v>3.09</v>
      </c>
      <c r="H15" s="25">
        <v>4.17</v>
      </c>
    </row>
    <row r="16" spans="2:8">
      <c r="B16" s="23" t="s">
        <v>480</v>
      </c>
      <c r="C16" s="23" t="s">
        <v>481</v>
      </c>
      <c r="D16" s="23" t="s">
        <v>392</v>
      </c>
      <c r="E16" s="28">
        <v>100</v>
      </c>
      <c r="F16" s="25">
        <v>1026.6199999999999</v>
      </c>
      <c r="G16" s="25">
        <v>3.08</v>
      </c>
      <c r="H16" s="25">
        <v>6.58</v>
      </c>
    </row>
    <row r="17" spans="2:8">
      <c r="B17" s="23" t="s">
        <v>374</v>
      </c>
      <c r="C17" s="23" t="s">
        <v>375</v>
      </c>
      <c r="D17" s="23" t="s">
        <v>362</v>
      </c>
      <c r="E17" s="28">
        <v>100</v>
      </c>
      <c r="F17" s="25">
        <v>1004.3</v>
      </c>
      <c r="G17" s="25">
        <v>3.02</v>
      </c>
      <c r="H17" s="25">
        <v>5.34</v>
      </c>
    </row>
    <row r="18" spans="2:8">
      <c r="B18" s="23" t="s">
        <v>583</v>
      </c>
      <c r="C18" s="23" t="s">
        <v>584</v>
      </c>
      <c r="D18" s="23" t="s">
        <v>362</v>
      </c>
      <c r="E18" s="28">
        <v>50</v>
      </c>
      <c r="F18" s="25">
        <v>578.59</v>
      </c>
      <c r="G18" s="25">
        <v>1.74</v>
      </c>
      <c r="H18" s="25">
        <v>6.34</v>
      </c>
    </row>
    <row r="19" spans="2:8">
      <c r="B19" s="23" t="s">
        <v>729</v>
      </c>
      <c r="C19" s="23" t="s">
        <v>730</v>
      </c>
      <c r="D19" s="23" t="s">
        <v>362</v>
      </c>
      <c r="E19" s="28">
        <v>50</v>
      </c>
      <c r="F19" s="25">
        <v>559.99</v>
      </c>
      <c r="G19" s="25">
        <v>1.68</v>
      </c>
      <c r="H19" s="25">
        <v>4.45</v>
      </c>
    </row>
    <row r="20" spans="2:8">
      <c r="B20" s="23" t="s">
        <v>380</v>
      </c>
      <c r="C20" s="23" t="s">
        <v>381</v>
      </c>
      <c r="D20" s="23" t="s">
        <v>362</v>
      </c>
      <c r="E20" s="28">
        <v>50</v>
      </c>
      <c r="F20" s="25">
        <v>543.39</v>
      </c>
      <c r="G20" s="25">
        <v>1.63</v>
      </c>
      <c r="H20" s="25">
        <v>4.8499999999999996</v>
      </c>
    </row>
    <row r="21" spans="2:8">
      <c r="B21" s="23" t="s">
        <v>691</v>
      </c>
      <c r="C21" s="23" t="s">
        <v>692</v>
      </c>
      <c r="D21" s="23" t="s">
        <v>362</v>
      </c>
      <c r="E21" s="28">
        <v>50</v>
      </c>
      <c r="F21" s="25">
        <v>539.78</v>
      </c>
      <c r="G21" s="25">
        <v>1.62</v>
      </c>
      <c r="H21" s="25">
        <v>4.41</v>
      </c>
    </row>
    <row r="22" spans="2:8">
      <c r="B22" s="23" t="s">
        <v>376</v>
      </c>
      <c r="C22" s="23" t="s">
        <v>377</v>
      </c>
      <c r="D22" s="23" t="s">
        <v>362</v>
      </c>
      <c r="E22" s="28">
        <v>50</v>
      </c>
      <c r="F22" s="25">
        <v>539.64</v>
      </c>
      <c r="G22" s="25">
        <v>1.62</v>
      </c>
      <c r="H22" s="25">
        <v>5.44</v>
      </c>
    </row>
    <row r="23" spans="2:8">
      <c r="B23" s="23" t="s">
        <v>731</v>
      </c>
      <c r="C23" s="23" t="s">
        <v>732</v>
      </c>
      <c r="D23" s="23" t="s">
        <v>362</v>
      </c>
      <c r="E23" s="28">
        <v>50</v>
      </c>
      <c r="F23" s="25">
        <v>538.22</v>
      </c>
      <c r="G23" s="25">
        <v>1.62</v>
      </c>
      <c r="H23" s="25">
        <v>5.09</v>
      </c>
    </row>
    <row r="24" spans="2:8">
      <c r="B24" s="23" t="s">
        <v>382</v>
      </c>
      <c r="C24" s="23" t="s">
        <v>383</v>
      </c>
      <c r="D24" s="23" t="s">
        <v>362</v>
      </c>
      <c r="E24" s="28">
        <v>50</v>
      </c>
      <c r="F24" s="25">
        <v>534.29999999999995</v>
      </c>
      <c r="G24" s="25">
        <v>1.61</v>
      </c>
      <c r="H24" s="25">
        <v>5.56</v>
      </c>
    </row>
    <row r="25" spans="2:8">
      <c r="B25" s="23" t="s">
        <v>733</v>
      </c>
      <c r="C25" s="23" t="s">
        <v>734</v>
      </c>
      <c r="D25" s="23" t="s">
        <v>362</v>
      </c>
      <c r="E25" s="28">
        <v>50</v>
      </c>
      <c r="F25" s="25">
        <v>532.29</v>
      </c>
      <c r="G25" s="25">
        <v>1.6</v>
      </c>
      <c r="H25" s="25">
        <v>6.5</v>
      </c>
    </row>
    <row r="26" spans="2:8">
      <c r="B26" s="23" t="s">
        <v>735</v>
      </c>
      <c r="C26" s="23" t="s">
        <v>736</v>
      </c>
      <c r="D26" s="23" t="s">
        <v>392</v>
      </c>
      <c r="E26" s="28">
        <v>50</v>
      </c>
      <c r="F26" s="25">
        <v>531.5</v>
      </c>
      <c r="G26" s="25">
        <v>1.6</v>
      </c>
      <c r="H26" s="25">
        <v>6.59</v>
      </c>
    </row>
    <row r="27" spans="2:8">
      <c r="B27" s="23" t="s">
        <v>474</v>
      </c>
      <c r="C27" s="23" t="s">
        <v>475</v>
      </c>
      <c r="D27" s="23" t="s">
        <v>362</v>
      </c>
      <c r="E27" s="28">
        <v>50</v>
      </c>
      <c r="F27" s="25">
        <v>531.44000000000005</v>
      </c>
      <c r="G27" s="25">
        <v>1.6</v>
      </c>
      <c r="H27" s="25">
        <v>6.5</v>
      </c>
    </row>
    <row r="28" spans="2:8">
      <c r="B28" s="23" t="s">
        <v>659</v>
      </c>
      <c r="C28" s="23" t="s">
        <v>660</v>
      </c>
      <c r="D28" s="23" t="s">
        <v>362</v>
      </c>
      <c r="E28" s="28">
        <v>50</v>
      </c>
      <c r="F28" s="25">
        <v>526.52</v>
      </c>
      <c r="G28" s="25">
        <v>1.58</v>
      </c>
      <c r="H28" s="25">
        <v>5.73</v>
      </c>
    </row>
    <row r="29" spans="2:8">
      <c r="B29" s="23" t="s">
        <v>520</v>
      </c>
      <c r="C29" s="23" t="s">
        <v>521</v>
      </c>
      <c r="D29" s="23" t="s">
        <v>362</v>
      </c>
      <c r="E29" s="28">
        <v>50</v>
      </c>
      <c r="F29" s="25">
        <v>526.29</v>
      </c>
      <c r="G29" s="25">
        <v>1.58</v>
      </c>
      <c r="H29" s="25">
        <v>3.91</v>
      </c>
    </row>
    <row r="30" spans="2:8">
      <c r="B30" s="23" t="s">
        <v>367</v>
      </c>
      <c r="C30" s="23" t="s">
        <v>368</v>
      </c>
      <c r="D30" s="23" t="s">
        <v>362</v>
      </c>
      <c r="E30" s="28">
        <v>50</v>
      </c>
      <c r="F30" s="25">
        <v>525.03</v>
      </c>
      <c r="G30" s="25">
        <v>1.58</v>
      </c>
      <c r="H30" s="25">
        <v>4.29</v>
      </c>
    </row>
    <row r="31" spans="2:8">
      <c r="B31" s="23" t="s">
        <v>360</v>
      </c>
      <c r="C31" s="23" t="s">
        <v>361</v>
      </c>
      <c r="D31" s="23" t="s">
        <v>362</v>
      </c>
      <c r="E31" s="28">
        <v>50</v>
      </c>
      <c r="F31" s="25">
        <v>524.82000000000005</v>
      </c>
      <c r="G31" s="25">
        <v>1.58</v>
      </c>
      <c r="H31" s="25">
        <v>4.4400000000000004</v>
      </c>
    </row>
    <row r="32" spans="2:8">
      <c r="B32" s="23" t="s">
        <v>737</v>
      </c>
      <c r="C32" s="23" t="s">
        <v>738</v>
      </c>
      <c r="D32" s="23" t="s">
        <v>362</v>
      </c>
      <c r="E32" s="28">
        <v>50</v>
      </c>
      <c r="F32" s="25">
        <v>523.05999999999995</v>
      </c>
      <c r="G32" s="25">
        <v>1.57</v>
      </c>
      <c r="H32" s="25">
        <v>4.4400000000000004</v>
      </c>
    </row>
    <row r="33" spans="2:10">
      <c r="B33" s="23" t="s">
        <v>739</v>
      </c>
      <c r="C33" s="23" t="s">
        <v>740</v>
      </c>
      <c r="D33" s="23" t="s">
        <v>362</v>
      </c>
      <c r="E33" s="28">
        <v>50</v>
      </c>
      <c r="F33" s="25">
        <v>521.52</v>
      </c>
      <c r="G33" s="25">
        <v>1.57</v>
      </c>
      <c r="H33" s="25">
        <v>4.38</v>
      </c>
    </row>
    <row r="34" spans="2:10">
      <c r="B34" s="23" t="s">
        <v>741</v>
      </c>
      <c r="C34" s="23" t="s">
        <v>742</v>
      </c>
      <c r="D34" s="23" t="s">
        <v>362</v>
      </c>
      <c r="E34" s="28">
        <v>50</v>
      </c>
      <c r="F34" s="25">
        <v>518.88</v>
      </c>
      <c r="G34" s="25">
        <v>1.56</v>
      </c>
      <c r="H34" s="25">
        <v>6.69</v>
      </c>
    </row>
    <row r="35" spans="2:10">
      <c r="B35" s="23" t="s">
        <v>508</v>
      </c>
      <c r="C35" s="23" t="s">
        <v>509</v>
      </c>
      <c r="D35" s="23" t="s">
        <v>362</v>
      </c>
      <c r="E35" s="28">
        <v>50</v>
      </c>
      <c r="F35" s="25">
        <v>512.4</v>
      </c>
      <c r="G35" s="25">
        <v>1.54</v>
      </c>
      <c r="H35" s="25">
        <v>4.1100000000000003</v>
      </c>
    </row>
    <row r="36" spans="2:10">
      <c r="B36" s="23" t="s">
        <v>386</v>
      </c>
      <c r="C36" s="23" t="s">
        <v>387</v>
      </c>
      <c r="D36" s="23" t="s">
        <v>362</v>
      </c>
      <c r="E36" s="28">
        <v>50</v>
      </c>
      <c r="F36" s="25">
        <v>511.59</v>
      </c>
      <c r="G36" s="25">
        <v>1.54</v>
      </c>
      <c r="H36" s="25">
        <v>3.61</v>
      </c>
    </row>
    <row r="37" spans="2:10">
      <c r="B37" s="23" t="s">
        <v>657</v>
      </c>
      <c r="C37" s="23" t="s">
        <v>658</v>
      </c>
      <c r="D37" s="23" t="s">
        <v>362</v>
      </c>
      <c r="E37" s="28">
        <v>50</v>
      </c>
      <c r="F37" s="25">
        <v>510.67</v>
      </c>
      <c r="G37" s="25">
        <v>1.53</v>
      </c>
      <c r="H37" s="25">
        <v>4.45</v>
      </c>
    </row>
    <row r="38" spans="2:10">
      <c r="B38" s="23" t="s">
        <v>743</v>
      </c>
      <c r="C38" s="23" t="s">
        <v>744</v>
      </c>
      <c r="D38" s="23" t="s">
        <v>392</v>
      </c>
      <c r="E38" s="28">
        <v>20</v>
      </c>
      <c r="F38" s="25">
        <v>251.72</v>
      </c>
      <c r="G38" s="25">
        <v>0.76</v>
      </c>
      <c r="H38" s="25">
        <v>5.0999999999999996</v>
      </c>
    </row>
    <row r="39" spans="2:10">
      <c r="B39" s="30" t="s">
        <v>118</v>
      </c>
      <c r="C39" s="30"/>
      <c r="D39" s="30"/>
      <c r="E39" s="31"/>
      <c r="F39" s="32">
        <f>SUM(F6:F38)</f>
        <v>26065.410000000003</v>
      </c>
      <c r="G39" s="32">
        <f>SUM(G6:G38)</f>
        <v>78.33</v>
      </c>
      <c r="H39" s="48"/>
      <c r="I39" s="14"/>
      <c r="J39" s="14"/>
    </row>
    <row r="40" spans="2:10">
      <c r="B40" s="49" t="s">
        <v>119</v>
      </c>
      <c r="C40" s="49"/>
      <c r="D40" s="49"/>
      <c r="E40" s="50"/>
      <c r="F40" s="51">
        <f>F39</f>
        <v>26065.410000000003</v>
      </c>
      <c r="G40" s="51">
        <f>G39</f>
        <v>78.33</v>
      </c>
      <c r="H40" s="51"/>
      <c r="I40" s="14"/>
      <c r="J40" s="14"/>
    </row>
    <row r="41" spans="2:10">
      <c r="B41" s="47" t="s">
        <v>455</v>
      </c>
      <c r="C41" s="23"/>
      <c r="D41" s="23"/>
      <c r="E41" s="24"/>
      <c r="F41" s="25"/>
      <c r="G41" s="25"/>
      <c r="H41" s="25"/>
    </row>
    <row r="42" spans="2:10">
      <c r="B42" s="47" t="s">
        <v>456</v>
      </c>
      <c r="C42" s="23"/>
      <c r="D42" s="23"/>
      <c r="E42" s="24"/>
      <c r="F42" s="25"/>
      <c r="G42" s="25"/>
      <c r="H42" s="25"/>
    </row>
    <row r="43" spans="2:10">
      <c r="B43" s="23" t="s">
        <v>585</v>
      </c>
      <c r="C43" s="23" t="s">
        <v>586</v>
      </c>
      <c r="D43" s="23" t="s">
        <v>459</v>
      </c>
      <c r="E43" s="28">
        <v>500000</v>
      </c>
      <c r="F43" s="25">
        <v>488.06</v>
      </c>
      <c r="G43" s="25">
        <v>1.47</v>
      </c>
      <c r="H43" s="25">
        <v>3.37</v>
      </c>
    </row>
    <row r="44" spans="2:10">
      <c r="B44" s="30" t="s">
        <v>118</v>
      </c>
      <c r="C44" s="30"/>
      <c r="D44" s="30"/>
      <c r="E44" s="31"/>
      <c r="F44" s="32">
        <f>SUM(F42:F43)</f>
        <v>488.06</v>
      </c>
      <c r="G44" s="32">
        <f>SUM(G42:G43)</f>
        <v>1.47</v>
      </c>
      <c r="H44" s="48"/>
      <c r="I44" s="14"/>
      <c r="J44" s="14"/>
    </row>
    <row r="45" spans="2:10">
      <c r="B45" s="49" t="s">
        <v>119</v>
      </c>
      <c r="C45" s="49"/>
      <c r="D45" s="49"/>
      <c r="E45" s="50"/>
      <c r="F45" s="51">
        <f>+F44</f>
        <v>488.06</v>
      </c>
      <c r="G45" s="51">
        <f>+G44</f>
        <v>1.47</v>
      </c>
      <c r="H45" s="51"/>
      <c r="I45" s="14"/>
      <c r="J45" s="14"/>
    </row>
    <row r="46" spans="2:10">
      <c r="B46" s="47" t="s">
        <v>427</v>
      </c>
      <c r="C46" s="23"/>
      <c r="D46" s="23"/>
      <c r="E46" s="24"/>
      <c r="F46" s="25"/>
      <c r="G46" s="25"/>
      <c r="H46" s="25"/>
    </row>
    <row r="47" spans="2:10">
      <c r="B47" s="23" t="s">
        <v>435</v>
      </c>
      <c r="C47" s="23" t="s">
        <v>436</v>
      </c>
      <c r="D47" s="23" t="s">
        <v>430</v>
      </c>
      <c r="E47" s="28">
        <v>2000000</v>
      </c>
      <c r="F47" s="25">
        <v>2111.5500000000002</v>
      </c>
      <c r="G47" s="25">
        <v>6.34</v>
      </c>
      <c r="H47" s="25">
        <v>3.87</v>
      </c>
    </row>
    <row r="48" spans="2:10">
      <c r="B48" s="23" t="s">
        <v>745</v>
      </c>
      <c r="C48" s="23" t="s">
        <v>746</v>
      </c>
      <c r="D48" s="23" t="s">
        <v>430</v>
      </c>
      <c r="E48" s="28">
        <v>500000</v>
      </c>
      <c r="F48" s="25">
        <v>540.1</v>
      </c>
      <c r="G48" s="25">
        <v>1.62</v>
      </c>
      <c r="H48" s="25">
        <v>4.1500000000000004</v>
      </c>
    </row>
    <row r="49" spans="2:10">
      <c r="B49" s="23" t="s">
        <v>747</v>
      </c>
      <c r="C49" s="23" t="s">
        <v>748</v>
      </c>
      <c r="D49" s="23" t="s">
        <v>430</v>
      </c>
      <c r="E49" s="28">
        <v>500000</v>
      </c>
      <c r="F49" s="25">
        <v>524.4</v>
      </c>
      <c r="G49" s="25">
        <v>1.58</v>
      </c>
      <c r="H49" s="25">
        <v>3.65</v>
      </c>
    </row>
    <row r="50" spans="2:10">
      <c r="B50" s="23" t="s">
        <v>749</v>
      </c>
      <c r="C50" s="23" t="s">
        <v>750</v>
      </c>
      <c r="D50" s="23" t="s">
        <v>430</v>
      </c>
      <c r="E50" s="28">
        <v>500000</v>
      </c>
      <c r="F50" s="25">
        <v>524.12</v>
      </c>
      <c r="G50" s="25">
        <v>1.57</v>
      </c>
      <c r="H50" s="25">
        <v>3.89</v>
      </c>
    </row>
    <row r="51" spans="2:10">
      <c r="B51" s="23" t="s">
        <v>751</v>
      </c>
      <c r="C51" s="23" t="s">
        <v>752</v>
      </c>
      <c r="D51" s="23" t="s">
        <v>430</v>
      </c>
      <c r="E51" s="28">
        <v>500000</v>
      </c>
      <c r="F51" s="25">
        <v>508.94</v>
      </c>
      <c r="G51" s="25">
        <v>1.53</v>
      </c>
      <c r="H51" s="25">
        <v>6.45</v>
      </c>
    </row>
    <row r="52" spans="2:10">
      <c r="B52" s="52" t="s">
        <v>715</v>
      </c>
      <c r="C52" s="52" t="s">
        <v>716</v>
      </c>
      <c r="D52" s="52" t="s">
        <v>430</v>
      </c>
      <c r="E52" s="53">
        <v>48000</v>
      </c>
      <c r="F52" s="54">
        <v>50.68</v>
      </c>
      <c r="G52" s="54">
        <v>0.15</v>
      </c>
      <c r="H52" s="54">
        <v>4.33</v>
      </c>
    </row>
    <row r="53" spans="2:10">
      <c r="B53" s="55" t="s">
        <v>119</v>
      </c>
      <c r="C53" s="55"/>
      <c r="D53" s="55"/>
      <c r="E53" s="56"/>
      <c r="F53" s="57">
        <f>SUM(F47:F52)</f>
        <v>4259.79</v>
      </c>
      <c r="G53" s="57">
        <f>SUM(G47:G52)</f>
        <v>12.79</v>
      </c>
      <c r="H53" s="57"/>
      <c r="I53" s="14"/>
      <c r="J53" s="14"/>
    </row>
    <row r="54" spans="2:10">
      <c r="B54" s="47" t="s">
        <v>120</v>
      </c>
      <c r="C54" s="23"/>
      <c r="D54" s="23"/>
      <c r="E54" s="24"/>
      <c r="F54" s="25"/>
      <c r="G54" s="25"/>
      <c r="H54" s="25"/>
    </row>
    <row r="55" spans="2:10">
      <c r="B55" s="23" t="s">
        <v>120</v>
      </c>
      <c r="C55" s="23"/>
      <c r="D55" s="23"/>
      <c r="E55" s="24"/>
      <c r="F55" s="25">
        <v>1652.96</v>
      </c>
      <c r="G55" s="25">
        <v>4.97</v>
      </c>
      <c r="H55" s="25"/>
    </row>
    <row r="56" spans="2:10">
      <c r="B56" s="30" t="s">
        <v>118</v>
      </c>
      <c r="C56" s="30"/>
      <c r="D56" s="30"/>
      <c r="E56" s="31"/>
      <c r="F56" s="32">
        <f>SUM(F54:F55)</f>
        <v>1652.96</v>
      </c>
      <c r="G56" s="32">
        <f>SUM(G54:G55)</f>
        <v>4.97</v>
      </c>
      <c r="H56" s="48"/>
      <c r="I56" s="14"/>
      <c r="J56" s="14"/>
    </row>
    <row r="57" spans="2:10">
      <c r="B57" s="34" t="s">
        <v>119</v>
      </c>
      <c r="C57" s="34"/>
      <c r="D57" s="34"/>
      <c r="E57" s="35"/>
      <c r="F57" s="36">
        <f>F56</f>
        <v>1652.96</v>
      </c>
      <c r="G57" s="36">
        <f>G56</f>
        <v>4.97</v>
      </c>
      <c r="H57" s="36"/>
      <c r="I57" s="14"/>
      <c r="J57" s="14"/>
    </row>
    <row r="58" spans="2:10">
      <c r="B58" s="44" t="s">
        <v>122</v>
      </c>
      <c r="C58" s="44"/>
      <c r="D58" s="44"/>
      <c r="E58" s="45"/>
      <c r="F58" s="16">
        <f>F59-(+F40+F45+F53+F57)</f>
        <v>814.76999999999316</v>
      </c>
      <c r="G58" s="16">
        <f>G59-(+G40+G45+G53+G57)</f>
        <v>2.4399999999999977</v>
      </c>
      <c r="H58" s="16"/>
      <c r="I58" s="14"/>
      <c r="J58" s="14"/>
    </row>
    <row r="59" spans="2:10">
      <c r="B59" s="44" t="s">
        <v>121</v>
      </c>
      <c r="C59" s="44"/>
      <c r="D59" s="44"/>
      <c r="E59" s="45"/>
      <c r="F59" s="16">
        <v>33280.99</v>
      </c>
      <c r="G59" s="16">
        <v>100</v>
      </c>
      <c r="H59" s="16"/>
      <c r="I59" s="14"/>
      <c r="J59" s="14"/>
    </row>
    <row r="61" spans="2:10">
      <c r="B61" s="14" t="s">
        <v>812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5"/>
  <sheetViews>
    <sheetView workbookViewId="0">
      <selection activeCell="I1" sqref="I1"/>
    </sheetView>
  </sheetViews>
  <sheetFormatPr defaultRowHeight="12"/>
  <cols>
    <col min="1" max="1" width="9.140625" style="1"/>
    <col min="2" max="2" width="60.8554687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61" t="s">
        <v>27</v>
      </c>
      <c r="C1" s="62"/>
      <c r="D1" s="62"/>
      <c r="E1" s="62"/>
      <c r="F1" s="62"/>
      <c r="G1" s="62"/>
      <c r="H1" s="62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17" t="s">
        <v>31</v>
      </c>
      <c r="C5" s="18"/>
      <c r="D5" s="18"/>
      <c r="E5" s="19"/>
      <c r="F5" s="20"/>
      <c r="G5" s="20"/>
      <c r="H5" s="21"/>
    </row>
    <row r="6" spans="2:8">
      <c r="B6" s="22" t="s">
        <v>32</v>
      </c>
      <c r="C6" s="23"/>
      <c r="D6" s="23"/>
      <c r="E6" s="24"/>
      <c r="F6" s="25"/>
      <c r="G6" s="25"/>
      <c r="H6" s="26"/>
    </row>
    <row r="7" spans="2:8">
      <c r="B7" s="27" t="s">
        <v>123</v>
      </c>
      <c r="C7" s="23" t="s">
        <v>124</v>
      </c>
      <c r="D7" s="23" t="s">
        <v>38</v>
      </c>
      <c r="E7" s="28">
        <v>54540</v>
      </c>
      <c r="F7" s="25">
        <v>783.36</v>
      </c>
      <c r="G7" s="25">
        <v>1.29</v>
      </c>
      <c r="H7" s="26"/>
    </row>
    <row r="8" spans="2:8">
      <c r="B8" s="27" t="s">
        <v>128</v>
      </c>
      <c r="C8" s="23" t="s">
        <v>129</v>
      </c>
      <c r="D8" s="23" t="s">
        <v>88</v>
      </c>
      <c r="E8" s="28">
        <v>37280</v>
      </c>
      <c r="F8" s="25">
        <v>740.12</v>
      </c>
      <c r="G8" s="25">
        <v>1.22</v>
      </c>
      <c r="H8" s="26"/>
    </row>
    <row r="9" spans="2:8">
      <c r="B9" s="27" t="s">
        <v>125</v>
      </c>
      <c r="C9" s="23" t="s">
        <v>126</v>
      </c>
      <c r="D9" s="23" t="s">
        <v>127</v>
      </c>
      <c r="E9" s="28">
        <v>57360</v>
      </c>
      <c r="F9" s="25">
        <v>720.33</v>
      </c>
      <c r="G9" s="25">
        <v>1.18</v>
      </c>
      <c r="H9" s="26"/>
    </row>
    <row r="10" spans="2:8">
      <c r="B10" s="27" t="s">
        <v>36</v>
      </c>
      <c r="C10" s="23" t="s">
        <v>37</v>
      </c>
      <c r="D10" s="23" t="s">
        <v>38</v>
      </c>
      <c r="E10" s="28">
        <v>109000</v>
      </c>
      <c r="F10" s="25">
        <v>583.20000000000005</v>
      </c>
      <c r="G10" s="25">
        <v>0.96</v>
      </c>
      <c r="H10" s="26"/>
    </row>
    <row r="11" spans="2:8">
      <c r="B11" s="27" t="s">
        <v>144</v>
      </c>
      <c r="C11" s="23" t="s">
        <v>145</v>
      </c>
      <c r="D11" s="23" t="s">
        <v>38</v>
      </c>
      <c r="E11" s="28">
        <v>27040</v>
      </c>
      <c r="F11" s="25">
        <v>539.61</v>
      </c>
      <c r="G11" s="25">
        <v>0.89</v>
      </c>
      <c r="H11" s="26"/>
    </row>
    <row r="12" spans="2:8">
      <c r="B12" s="27" t="s">
        <v>130</v>
      </c>
      <c r="C12" s="23" t="s">
        <v>131</v>
      </c>
      <c r="D12" s="23" t="s">
        <v>127</v>
      </c>
      <c r="E12" s="28">
        <v>17000</v>
      </c>
      <c r="F12" s="25">
        <v>486.67</v>
      </c>
      <c r="G12" s="25">
        <v>0.8</v>
      </c>
      <c r="H12" s="26"/>
    </row>
    <row r="13" spans="2:8">
      <c r="B13" s="27" t="s">
        <v>132</v>
      </c>
      <c r="C13" s="23" t="s">
        <v>133</v>
      </c>
      <c r="D13" s="23" t="s">
        <v>134</v>
      </c>
      <c r="E13" s="28">
        <v>18080</v>
      </c>
      <c r="F13" s="25">
        <v>462.6</v>
      </c>
      <c r="G13" s="25">
        <v>0.76</v>
      </c>
      <c r="H13" s="26"/>
    </row>
    <row r="14" spans="2:8">
      <c r="B14" s="27" t="s">
        <v>139</v>
      </c>
      <c r="C14" s="23" t="s">
        <v>140</v>
      </c>
      <c r="D14" s="23" t="s">
        <v>141</v>
      </c>
      <c r="E14" s="28">
        <v>17860</v>
      </c>
      <c r="F14" s="25">
        <v>427.82</v>
      </c>
      <c r="G14" s="25">
        <v>0.7</v>
      </c>
      <c r="H14" s="26"/>
    </row>
    <row r="15" spans="2:8">
      <c r="B15" s="27" t="s">
        <v>179</v>
      </c>
      <c r="C15" s="23" t="s">
        <v>180</v>
      </c>
      <c r="D15" s="23" t="s">
        <v>148</v>
      </c>
      <c r="E15" s="28">
        <v>9000</v>
      </c>
      <c r="F15" s="25">
        <v>263.36</v>
      </c>
      <c r="G15" s="25">
        <v>0.43</v>
      </c>
      <c r="H15" s="26"/>
    </row>
    <row r="16" spans="2:8">
      <c r="B16" s="27" t="s">
        <v>137</v>
      </c>
      <c r="C16" s="23" t="s">
        <v>138</v>
      </c>
      <c r="D16" s="23" t="s">
        <v>38</v>
      </c>
      <c r="E16" s="28">
        <v>41500</v>
      </c>
      <c r="F16" s="25">
        <v>257.49</v>
      </c>
      <c r="G16" s="25">
        <v>0.42</v>
      </c>
      <c r="H16" s="26"/>
    </row>
    <row r="17" spans="2:8">
      <c r="B17" s="27" t="s">
        <v>47</v>
      </c>
      <c r="C17" s="23" t="s">
        <v>48</v>
      </c>
      <c r="D17" s="23" t="s">
        <v>49</v>
      </c>
      <c r="E17" s="28">
        <v>27500</v>
      </c>
      <c r="F17" s="25">
        <v>254.64</v>
      </c>
      <c r="G17" s="25">
        <v>0.42</v>
      </c>
      <c r="H17" s="26"/>
    </row>
    <row r="18" spans="2:8">
      <c r="B18" s="27" t="s">
        <v>135</v>
      </c>
      <c r="C18" s="23" t="s">
        <v>136</v>
      </c>
      <c r="D18" s="23" t="s">
        <v>134</v>
      </c>
      <c r="E18" s="28">
        <v>4500</v>
      </c>
      <c r="F18" s="25">
        <v>238.28</v>
      </c>
      <c r="G18" s="25">
        <v>0.39</v>
      </c>
      <c r="H18" s="26"/>
    </row>
    <row r="19" spans="2:8">
      <c r="B19" s="27" t="s">
        <v>89</v>
      </c>
      <c r="C19" s="23" t="s">
        <v>90</v>
      </c>
      <c r="D19" s="23" t="s">
        <v>61</v>
      </c>
      <c r="E19" s="28">
        <v>88660</v>
      </c>
      <c r="F19" s="25">
        <v>219.52</v>
      </c>
      <c r="G19" s="25">
        <v>0.36</v>
      </c>
      <c r="H19" s="26"/>
    </row>
    <row r="20" spans="2:8">
      <c r="B20" s="27" t="s">
        <v>296</v>
      </c>
      <c r="C20" s="23" t="s">
        <v>297</v>
      </c>
      <c r="D20" s="23" t="s">
        <v>214</v>
      </c>
      <c r="E20" s="28">
        <v>8067</v>
      </c>
      <c r="F20" s="25">
        <v>205.1</v>
      </c>
      <c r="G20" s="25">
        <v>0.34</v>
      </c>
      <c r="H20" s="26"/>
    </row>
    <row r="21" spans="2:8">
      <c r="B21" s="27" t="s">
        <v>257</v>
      </c>
      <c r="C21" s="23" t="s">
        <v>258</v>
      </c>
      <c r="D21" s="23" t="s">
        <v>141</v>
      </c>
      <c r="E21" s="28">
        <v>32500</v>
      </c>
      <c r="F21" s="25">
        <v>197.52</v>
      </c>
      <c r="G21" s="25">
        <v>0.32</v>
      </c>
      <c r="H21" s="26"/>
    </row>
    <row r="22" spans="2:8">
      <c r="B22" s="27" t="s">
        <v>54</v>
      </c>
      <c r="C22" s="23" t="s">
        <v>55</v>
      </c>
      <c r="D22" s="23" t="s">
        <v>56</v>
      </c>
      <c r="E22" s="28">
        <v>23580</v>
      </c>
      <c r="F22" s="25">
        <v>194.69</v>
      </c>
      <c r="G22" s="25">
        <v>0.32</v>
      </c>
      <c r="H22" s="26"/>
    </row>
    <row r="23" spans="2:8">
      <c r="B23" s="27" t="s">
        <v>102</v>
      </c>
      <c r="C23" s="23" t="s">
        <v>103</v>
      </c>
      <c r="D23" s="23" t="s">
        <v>64</v>
      </c>
      <c r="E23" s="28">
        <v>800</v>
      </c>
      <c r="F23" s="25">
        <v>192.11</v>
      </c>
      <c r="G23" s="25">
        <v>0.32</v>
      </c>
      <c r="H23" s="26"/>
    </row>
    <row r="24" spans="2:8">
      <c r="B24" s="27" t="s">
        <v>107</v>
      </c>
      <c r="C24" s="23" t="s">
        <v>108</v>
      </c>
      <c r="D24" s="23" t="s">
        <v>109</v>
      </c>
      <c r="E24" s="28">
        <v>36600</v>
      </c>
      <c r="F24" s="25">
        <v>186.55</v>
      </c>
      <c r="G24" s="25">
        <v>0.31</v>
      </c>
      <c r="H24" s="26"/>
    </row>
    <row r="25" spans="2:8">
      <c r="B25" s="27" t="s">
        <v>152</v>
      </c>
      <c r="C25" s="23" t="s">
        <v>153</v>
      </c>
      <c r="D25" s="23" t="s">
        <v>151</v>
      </c>
      <c r="E25" s="28">
        <v>20000</v>
      </c>
      <c r="F25" s="25">
        <v>144.12</v>
      </c>
      <c r="G25" s="25">
        <v>0.24</v>
      </c>
      <c r="H25" s="26"/>
    </row>
    <row r="26" spans="2:8">
      <c r="B26" s="27" t="s">
        <v>249</v>
      </c>
      <c r="C26" s="23" t="s">
        <v>250</v>
      </c>
      <c r="D26" s="23" t="s">
        <v>127</v>
      </c>
      <c r="E26" s="28">
        <v>8500</v>
      </c>
      <c r="F26" s="25">
        <v>141.13</v>
      </c>
      <c r="G26" s="25">
        <v>0.23</v>
      </c>
      <c r="H26" s="26"/>
    </row>
    <row r="27" spans="2:8">
      <c r="B27" s="27" t="s">
        <v>154</v>
      </c>
      <c r="C27" s="23" t="s">
        <v>155</v>
      </c>
      <c r="D27" s="23" t="s">
        <v>141</v>
      </c>
      <c r="E27" s="28">
        <v>3750</v>
      </c>
      <c r="F27" s="25">
        <v>134.11000000000001</v>
      </c>
      <c r="G27" s="25">
        <v>0.22</v>
      </c>
      <c r="H27" s="26"/>
    </row>
    <row r="28" spans="2:8">
      <c r="B28" s="27" t="s">
        <v>100</v>
      </c>
      <c r="C28" s="23" t="s">
        <v>101</v>
      </c>
      <c r="D28" s="23" t="s">
        <v>61</v>
      </c>
      <c r="E28" s="28">
        <v>26000</v>
      </c>
      <c r="F28" s="25">
        <v>130.61000000000001</v>
      </c>
      <c r="G28" s="25">
        <v>0.21</v>
      </c>
      <c r="H28" s="26"/>
    </row>
    <row r="29" spans="2:8">
      <c r="B29" s="27" t="s">
        <v>84</v>
      </c>
      <c r="C29" s="23" t="s">
        <v>85</v>
      </c>
      <c r="D29" s="23" t="s">
        <v>64</v>
      </c>
      <c r="E29" s="28">
        <v>2300</v>
      </c>
      <c r="F29" s="25">
        <v>121.63</v>
      </c>
      <c r="G29" s="25">
        <v>0.2</v>
      </c>
      <c r="H29" s="26"/>
    </row>
    <row r="30" spans="2:8">
      <c r="B30" s="27" t="s">
        <v>243</v>
      </c>
      <c r="C30" s="23" t="s">
        <v>244</v>
      </c>
      <c r="D30" s="23" t="s">
        <v>148</v>
      </c>
      <c r="E30" s="28">
        <v>2200</v>
      </c>
      <c r="F30" s="25">
        <v>114.51</v>
      </c>
      <c r="G30" s="25">
        <v>0.19</v>
      </c>
      <c r="H30" s="26"/>
    </row>
    <row r="31" spans="2:8">
      <c r="B31" s="27" t="s">
        <v>149</v>
      </c>
      <c r="C31" s="23" t="s">
        <v>150</v>
      </c>
      <c r="D31" s="23" t="s">
        <v>151</v>
      </c>
      <c r="E31" s="28">
        <v>1466</v>
      </c>
      <c r="F31" s="25">
        <v>112.14</v>
      </c>
      <c r="G31" s="25">
        <v>0.18</v>
      </c>
      <c r="H31" s="26"/>
    </row>
    <row r="32" spans="2:8">
      <c r="B32" s="27" t="s">
        <v>181</v>
      </c>
      <c r="C32" s="23" t="s">
        <v>182</v>
      </c>
      <c r="D32" s="23" t="s">
        <v>56</v>
      </c>
      <c r="E32" s="28">
        <v>4100</v>
      </c>
      <c r="F32" s="25">
        <v>107.79</v>
      </c>
      <c r="G32" s="25">
        <v>0.18</v>
      </c>
      <c r="H32" s="26"/>
    </row>
    <row r="33" spans="2:10">
      <c r="B33" s="27" t="s">
        <v>116</v>
      </c>
      <c r="C33" s="23" t="s">
        <v>117</v>
      </c>
      <c r="D33" s="23" t="s">
        <v>67</v>
      </c>
      <c r="E33" s="28">
        <v>20000</v>
      </c>
      <c r="F33" s="25">
        <v>105.06</v>
      </c>
      <c r="G33" s="25">
        <v>0.17</v>
      </c>
      <c r="H33" s="26"/>
    </row>
    <row r="34" spans="2:10">
      <c r="B34" s="27" t="s">
        <v>357</v>
      </c>
      <c r="C34" s="23" t="s">
        <v>358</v>
      </c>
      <c r="D34" s="23" t="s">
        <v>134</v>
      </c>
      <c r="E34" s="28">
        <v>11000</v>
      </c>
      <c r="F34" s="25">
        <v>99.47</v>
      </c>
      <c r="G34" s="25">
        <v>0.16</v>
      </c>
      <c r="H34" s="26"/>
    </row>
    <row r="35" spans="2:10">
      <c r="B35" s="27" t="s">
        <v>276</v>
      </c>
      <c r="C35" s="23" t="s">
        <v>277</v>
      </c>
      <c r="D35" s="23" t="s">
        <v>141</v>
      </c>
      <c r="E35" s="28">
        <v>18000</v>
      </c>
      <c r="F35" s="25">
        <v>96.12</v>
      </c>
      <c r="G35" s="25">
        <v>0.16</v>
      </c>
      <c r="H35" s="26"/>
    </row>
    <row r="36" spans="2:10">
      <c r="B36" s="27" t="s">
        <v>142</v>
      </c>
      <c r="C36" s="23" t="s">
        <v>143</v>
      </c>
      <c r="D36" s="23" t="s">
        <v>127</v>
      </c>
      <c r="E36" s="28">
        <v>10000</v>
      </c>
      <c r="F36" s="25">
        <v>94.62</v>
      </c>
      <c r="G36" s="25">
        <v>0.16</v>
      </c>
      <c r="H36" s="26"/>
    </row>
    <row r="37" spans="2:10">
      <c r="B37" s="27" t="s">
        <v>91</v>
      </c>
      <c r="C37" s="23" t="s">
        <v>92</v>
      </c>
      <c r="D37" s="23" t="s">
        <v>67</v>
      </c>
      <c r="E37" s="28">
        <v>2000</v>
      </c>
      <c r="F37" s="25">
        <v>90.73</v>
      </c>
      <c r="G37" s="25">
        <v>0.15</v>
      </c>
      <c r="H37" s="26"/>
    </row>
    <row r="38" spans="2:10">
      <c r="B38" s="27" t="s">
        <v>239</v>
      </c>
      <c r="C38" s="23" t="s">
        <v>240</v>
      </c>
      <c r="D38" s="23" t="s">
        <v>141</v>
      </c>
      <c r="E38" s="28">
        <v>15000</v>
      </c>
      <c r="F38" s="25">
        <v>88.49</v>
      </c>
      <c r="G38" s="25">
        <v>0.15</v>
      </c>
      <c r="H38" s="26"/>
    </row>
    <row r="39" spans="2:10">
      <c r="B39" s="27" t="s">
        <v>288</v>
      </c>
      <c r="C39" s="23" t="s">
        <v>289</v>
      </c>
      <c r="D39" s="23" t="s">
        <v>141</v>
      </c>
      <c r="E39" s="28">
        <v>36000</v>
      </c>
      <c r="F39" s="25">
        <v>75.239999999999995</v>
      </c>
      <c r="G39" s="25">
        <v>0.12</v>
      </c>
      <c r="H39" s="26"/>
    </row>
    <row r="40" spans="2:10">
      <c r="B40" s="27" t="s">
        <v>206</v>
      </c>
      <c r="C40" s="23" t="s">
        <v>207</v>
      </c>
      <c r="D40" s="23" t="s">
        <v>67</v>
      </c>
      <c r="E40" s="28">
        <v>26977</v>
      </c>
      <c r="F40" s="25">
        <v>68</v>
      </c>
      <c r="G40" s="25">
        <v>0.11</v>
      </c>
      <c r="H40" s="26"/>
    </row>
    <row r="41" spans="2:10">
      <c r="B41" s="27" t="s">
        <v>42</v>
      </c>
      <c r="C41" s="23" t="s">
        <v>43</v>
      </c>
      <c r="D41" s="23" t="s">
        <v>41</v>
      </c>
      <c r="E41" s="28">
        <v>150</v>
      </c>
      <c r="F41" s="25">
        <v>55.66</v>
      </c>
      <c r="G41" s="25">
        <v>0.09</v>
      </c>
      <c r="H41" s="26"/>
    </row>
    <row r="42" spans="2:10">
      <c r="B42" s="27" t="s">
        <v>225</v>
      </c>
      <c r="C42" s="23" t="s">
        <v>226</v>
      </c>
      <c r="D42" s="23" t="s">
        <v>127</v>
      </c>
      <c r="E42" s="28">
        <v>2400</v>
      </c>
      <c r="F42" s="25">
        <v>36.409999999999997</v>
      </c>
      <c r="G42" s="25">
        <v>0.06</v>
      </c>
      <c r="H42" s="26"/>
    </row>
    <row r="43" spans="2:10">
      <c r="B43" s="27" t="s">
        <v>167</v>
      </c>
      <c r="C43" s="23" t="s">
        <v>168</v>
      </c>
      <c r="D43" s="23" t="s">
        <v>169</v>
      </c>
      <c r="E43" s="28">
        <v>342</v>
      </c>
      <c r="F43" s="25">
        <v>21.99</v>
      </c>
      <c r="G43" s="25">
        <v>0.04</v>
      </c>
      <c r="H43" s="26"/>
    </row>
    <row r="44" spans="2:10">
      <c r="B44" s="29" t="s">
        <v>118</v>
      </c>
      <c r="C44" s="30"/>
      <c r="D44" s="30"/>
      <c r="E44" s="31"/>
      <c r="F44" s="32">
        <f>SUM(F7:F43)</f>
        <v>8790.8000000000011</v>
      </c>
      <c r="G44" s="32">
        <f>SUM(G7:G43)</f>
        <v>14.45</v>
      </c>
      <c r="H44" s="33"/>
      <c r="I44" s="14"/>
      <c r="J44" s="14"/>
    </row>
    <row r="45" spans="2:10">
      <c r="B45" s="37" t="s">
        <v>119</v>
      </c>
      <c r="C45" s="37"/>
      <c r="D45" s="37"/>
      <c r="E45" s="38"/>
      <c r="F45" s="39">
        <f>F44</f>
        <v>8790.8000000000011</v>
      </c>
      <c r="G45" s="39">
        <f>G44</f>
        <v>14.45</v>
      </c>
      <c r="H45" s="15"/>
      <c r="I45" s="14"/>
      <c r="J45" s="14"/>
    </row>
    <row r="46" spans="2:10">
      <c r="B46" s="46" t="s">
        <v>359</v>
      </c>
      <c r="C46" s="41"/>
      <c r="D46" s="41"/>
      <c r="E46" s="42"/>
      <c r="F46" s="43"/>
      <c r="G46" s="43"/>
      <c r="H46" s="43"/>
    </row>
    <row r="47" spans="2:10">
      <c r="B47" s="47" t="s">
        <v>32</v>
      </c>
      <c r="C47" s="23"/>
      <c r="D47" s="23"/>
      <c r="E47" s="24"/>
      <c r="F47" s="25"/>
      <c r="G47" s="25"/>
      <c r="H47" s="25"/>
    </row>
    <row r="48" spans="2:10">
      <c r="B48" s="23" t="s">
        <v>753</v>
      </c>
      <c r="C48" s="23" t="s">
        <v>754</v>
      </c>
      <c r="D48" s="23" t="s">
        <v>362</v>
      </c>
      <c r="E48" s="28">
        <v>485</v>
      </c>
      <c r="F48" s="25">
        <v>6150.94</v>
      </c>
      <c r="G48" s="25">
        <v>10.119999999999999</v>
      </c>
      <c r="H48" s="25">
        <v>3.33</v>
      </c>
    </row>
    <row r="49" spans="2:10">
      <c r="B49" s="23" t="s">
        <v>755</v>
      </c>
      <c r="C49" s="23" t="s">
        <v>756</v>
      </c>
      <c r="D49" s="23" t="s">
        <v>362</v>
      </c>
      <c r="E49" s="28">
        <v>480</v>
      </c>
      <c r="F49" s="25">
        <v>6049.48</v>
      </c>
      <c r="G49" s="25">
        <v>9.9499999999999993</v>
      </c>
      <c r="H49" s="25">
        <v>3.65</v>
      </c>
    </row>
    <row r="50" spans="2:10">
      <c r="B50" s="23" t="s">
        <v>757</v>
      </c>
      <c r="C50" s="23" t="s">
        <v>758</v>
      </c>
      <c r="D50" s="23" t="s">
        <v>362</v>
      </c>
      <c r="E50" s="28">
        <v>500</v>
      </c>
      <c r="F50" s="25">
        <v>5044.9799999999996</v>
      </c>
      <c r="G50" s="25">
        <v>8.3000000000000007</v>
      </c>
      <c r="H50" s="25">
        <v>3.13</v>
      </c>
    </row>
    <row r="51" spans="2:10">
      <c r="B51" s="23" t="s">
        <v>411</v>
      </c>
      <c r="C51" s="23" t="s">
        <v>412</v>
      </c>
      <c r="D51" s="23" t="s">
        <v>362</v>
      </c>
      <c r="E51" s="28">
        <v>450</v>
      </c>
      <c r="F51" s="25">
        <v>4539.1499999999996</v>
      </c>
      <c r="G51" s="25">
        <v>7.47</v>
      </c>
      <c r="H51" s="25">
        <v>3.19</v>
      </c>
    </row>
    <row r="52" spans="2:10">
      <c r="B52" s="23" t="s">
        <v>759</v>
      </c>
      <c r="C52" s="23" t="s">
        <v>760</v>
      </c>
      <c r="D52" s="23" t="s">
        <v>362</v>
      </c>
      <c r="E52" s="28">
        <v>400</v>
      </c>
      <c r="F52" s="25">
        <v>4034.44</v>
      </c>
      <c r="G52" s="25">
        <v>6.64</v>
      </c>
      <c r="H52" s="25">
        <v>3.07</v>
      </c>
    </row>
    <row r="53" spans="2:10">
      <c r="B53" s="23" t="s">
        <v>761</v>
      </c>
      <c r="C53" s="23" t="s">
        <v>762</v>
      </c>
      <c r="D53" s="23" t="s">
        <v>763</v>
      </c>
      <c r="E53" s="28">
        <v>250</v>
      </c>
      <c r="F53" s="25">
        <v>3141.29</v>
      </c>
      <c r="G53" s="25">
        <v>5.17</v>
      </c>
      <c r="H53" s="25">
        <v>3.84</v>
      </c>
    </row>
    <row r="54" spans="2:10">
      <c r="B54" s="23" t="s">
        <v>764</v>
      </c>
      <c r="C54" s="23" t="s">
        <v>765</v>
      </c>
      <c r="D54" s="23" t="s">
        <v>362</v>
      </c>
      <c r="E54" s="28">
        <v>250</v>
      </c>
      <c r="F54" s="25">
        <v>2518.65</v>
      </c>
      <c r="G54" s="25">
        <v>4.1399999999999997</v>
      </c>
      <c r="H54" s="25">
        <v>3.13</v>
      </c>
    </row>
    <row r="55" spans="2:10">
      <c r="B55" s="23" t="s">
        <v>766</v>
      </c>
      <c r="C55" s="23" t="s">
        <v>767</v>
      </c>
      <c r="D55" s="23" t="s">
        <v>362</v>
      </c>
      <c r="E55" s="28">
        <v>250</v>
      </c>
      <c r="F55" s="25">
        <v>2515.21</v>
      </c>
      <c r="G55" s="25">
        <v>4.1399999999999997</v>
      </c>
      <c r="H55" s="25">
        <v>3.33</v>
      </c>
    </row>
    <row r="56" spans="2:10">
      <c r="B56" s="23" t="s">
        <v>768</v>
      </c>
      <c r="C56" s="23" t="s">
        <v>769</v>
      </c>
      <c r="D56" s="23" t="s">
        <v>362</v>
      </c>
      <c r="E56" s="28">
        <v>15</v>
      </c>
      <c r="F56" s="25">
        <v>1513.59</v>
      </c>
      <c r="G56" s="25">
        <v>2.4900000000000002</v>
      </c>
      <c r="H56" s="25">
        <v>3.24</v>
      </c>
    </row>
    <row r="57" spans="2:10">
      <c r="B57" s="23" t="s">
        <v>770</v>
      </c>
      <c r="C57" s="23" t="s">
        <v>771</v>
      </c>
      <c r="D57" s="23" t="s">
        <v>362</v>
      </c>
      <c r="E57" s="28">
        <v>150</v>
      </c>
      <c r="F57" s="25">
        <v>1505.06</v>
      </c>
      <c r="G57" s="25">
        <v>2.48</v>
      </c>
      <c r="H57" s="25">
        <v>3.23</v>
      </c>
    </row>
    <row r="58" spans="2:10">
      <c r="B58" s="23" t="s">
        <v>772</v>
      </c>
      <c r="C58" s="23" t="s">
        <v>773</v>
      </c>
      <c r="D58" s="23" t="s">
        <v>362</v>
      </c>
      <c r="E58" s="28">
        <v>80</v>
      </c>
      <c r="F58" s="25">
        <v>1008.67</v>
      </c>
      <c r="G58" s="25">
        <v>1.66</v>
      </c>
      <c r="H58" s="25">
        <v>3.23</v>
      </c>
    </row>
    <row r="59" spans="2:10">
      <c r="B59" s="23" t="s">
        <v>774</v>
      </c>
      <c r="C59" s="23" t="s">
        <v>775</v>
      </c>
      <c r="D59" s="23" t="s">
        <v>362</v>
      </c>
      <c r="E59" s="28">
        <v>50</v>
      </c>
      <c r="F59" s="25">
        <v>505.37</v>
      </c>
      <c r="G59" s="25">
        <v>0.83</v>
      </c>
      <c r="H59" s="25">
        <v>3.34</v>
      </c>
    </row>
    <row r="60" spans="2:10">
      <c r="B60" s="30" t="s">
        <v>118</v>
      </c>
      <c r="C60" s="30"/>
      <c r="D60" s="30"/>
      <c r="E60" s="31"/>
      <c r="F60" s="32">
        <f>SUM(F47:F59)</f>
        <v>38526.829999999994</v>
      </c>
      <c r="G60" s="32">
        <f>SUM(G47:G59)</f>
        <v>63.39</v>
      </c>
      <c r="H60" s="48"/>
      <c r="I60" s="14"/>
      <c r="J60" s="14"/>
    </row>
    <row r="61" spans="2:10">
      <c r="B61" s="49" t="s">
        <v>119</v>
      </c>
      <c r="C61" s="49"/>
      <c r="D61" s="49"/>
      <c r="E61" s="50"/>
      <c r="F61" s="51">
        <f>F60</f>
        <v>38526.829999999994</v>
      </c>
      <c r="G61" s="51">
        <f>G60</f>
        <v>63.39</v>
      </c>
      <c r="H61" s="51"/>
      <c r="I61" s="14"/>
      <c r="J61" s="14"/>
    </row>
    <row r="62" spans="2:10">
      <c r="B62" s="47" t="s">
        <v>427</v>
      </c>
      <c r="C62" s="23"/>
      <c r="D62" s="23"/>
      <c r="E62" s="24"/>
      <c r="F62" s="25"/>
      <c r="G62" s="25"/>
      <c r="H62" s="25"/>
    </row>
    <row r="63" spans="2:10">
      <c r="B63" s="23" t="s">
        <v>776</v>
      </c>
      <c r="C63" s="23" t="s">
        <v>777</v>
      </c>
      <c r="D63" s="23" t="s">
        <v>430</v>
      </c>
      <c r="E63" s="28">
        <v>2575000</v>
      </c>
      <c r="F63" s="25">
        <v>2601.4499999999998</v>
      </c>
      <c r="G63" s="25">
        <v>4.28</v>
      </c>
      <c r="H63" s="25">
        <v>3.25</v>
      </c>
    </row>
    <row r="64" spans="2:10">
      <c r="B64" s="23" t="s">
        <v>778</v>
      </c>
      <c r="C64" s="23" t="s">
        <v>779</v>
      </c>
      <c r="D64" s="23" t="s">
        <v>430</v>
      </c>
      <c r="E64" s="28">
        <v>2500000</v>
      </c>
      <c r="F64" s="25">
        <v>2530.7600000000002</v>
      </c>
      <c r="G64" s="25">
        <v>4.16</v>
      </c>
      <c r="H64" s="25">
        <v>3.26</v>
      </c>
    </row>
    <row r="65" spans="2:10">
      <c r="B65" s="23" t="s">
        <v>721</v>
      </c>
      <c r="C65" s="23" t="s">
        <v>722</v>
      </c>
      <c r="D65" s="23" t="s">
        <v>430</v>
      </c>
      <c r="E65" s="28">
        <v>1703000</v>
      </c>
      <c r="F65" s="25">
        <v>1723.12</v>
      </c>
      <c r="G65" s="25">
        <v>2.83</v>
      </c>
      <c r="H65" s="25">
        <v>3.32</v>
      </c>
    </row>
    <row r="66" spans="2:10">
      <c r="B66" s="52" t="s">
        <v>780</v>
      </c>
      <c r="C66" s="52" t="s">
        <v>781</v>
      </c>
      <c r="D66" s="52" t="s">
        <v>430</v>
      </c>
      <c r="E66" s="53">
        <v>1500000</v>
      </c>
      <c r="F66" s="54">
        <v>1517.04</v>
      </c>
      <c r="G66" s="54">
        <v>2.5</v>
      </c>
      <c r="H66" s="54">
        <v>3.25</v>
      </c>
    </row>
    <row r="67" spans="2:10">
      <c r="B67" s="55" t="s">
        <v>119</v>
      </c>
      <c r="C67" s="55"/>
      <c r="D67" s="55"/>
      <c r="E67" s="56"/>
      <c r="F67" s="57">
        <f>SUM(F63:F66)</f>
        <v>8372.369999999999</v>
      </c>
      <c r="G67" s="57">
        <f>SUM(G63:G66)</f>
        <v>13.770000000000001</v>
      </c>
      <c r="H67" s="57"/>
      <c r="I67" s="14"/>
      <c r="J67" s="14"/>
    </row>
    <row r="68" spans="2:10">
      <c r="B68" s="47" t="s">
        <v>120</v>
      </c>
      <c r="C68" s="23"/>
      <c r="D68" s="23"/>
      <c r="E68" s="24"/>
      <c r="F68" s="25"/>
      <c r="G68" s="25"/>
      <c r="H68" s="25"/>
    </row>
    <row r="69" spans="2:10">
      <c r="B69" s="23" t="s">
        <v>120</v>
      </c>
      <c r="C69" s="23"/>
      <c r="D69" s="23"/>
      <c r="E69" s="24"/>
      <c r="F69" s="25">
        <v>3660.81</v>
      </c>
      <c r="G69" s="25">
        <v>6.02</v>
      </c>
      <c r="H69" s="25"/>
    </row>
    <row r="70" spans="2:10">
      <c r="B70" s="30" t="s">
        <v>118</v>
      </c>
      <c r="C70" s="30"/>
      <c r="D70" s="30"/>
      <c r="E70" s="31"/>
      <c r="F70" s="32">
        <f>SUM(F68:F69)</f>
        <v>3660.81</v>
      </c>
      <c r="G70" s="32">
        <f>SUM(G68:G69)</f>
        <v>6.02</v>
      </c>
      <c r="H70" s="48"/>
      <c r="I70" s="14"/>
      <c r="J70" s="14"/>
    </row>
    <row r="71" spans="2:10">
      <c r="B71" s="34" t="s">
        <v>119</v>
      </c>
      <c r="C71" s="34"/>
      <c r="D71" s="34"/>
      <c r="E71" s="35"/>
      <c r="F71" s="36">
        <f>F70</f>
        <v>3660.81</v>
      </c>
      <c r="G71" s="36">
        <f>G70</f>
        <v>6.02</v>
      </c>
      <c r="H71" s="36"/>
      <c r="I71" s="14"/>
      <c r="J71" s="14"/>
    </row>
    <row r="72" spans="2:10">
      <c r="B72" s="44" t="s">
        <v>122</v>
      </c>
      <c r="C72" s="44"/>
      <c r="D72" s="44"/>
      <c r="E72" s="45"/>
      <c r="F72" s="16">
        <f>F73-(+F45+F61+F67+F71)</f>
        <v>1447.5400000000009</v>
      </c>
      <c r="G72" s="16">
        <f>G73-(+G45+G61+G67+G71)</f>
        <v>2.3700000000000045</v>
      </c>
      <c r="H72" s="16"/>
      <c r="I72" s="14"/>
      <c r="J72" s="14"/>
    </row>
    <row r="73" spans="2:10">
      <c r="B73" s="44" t="s">
        <v>121</v>
      </c>
      <c r="C73" s="44"/>
      <c r="D73" s="44"/>
      <c r="E73" s="45"/>
      <c r="F73" s="16">
        <v>60798.35</v>
      </c>
      <c r="G73" s="16">
        <v>100</v>
      </c>
      <c r="H73" s="16"/>
      <c r="I73" s="14"/>
      <c r="J73" s="14"/>
    </row>
    <row r="75" spans="2:10">
      <c r="B75" s="14" t="s">
        <v>812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5"/>
  <sheetViews>
    <sheetView workbookViewId="0">
      <selection activeCell="I1" sqref="I1"/>
    </sheetView>
  </sheetViews>
  <sheetFormatPr defaultRowHeight="12"/>
  <cols>
    <col min="1" max="1" width="9.140625" style="1"/>
    <col min="2" max="2" width="60.85546875" style="1" bestFit="1" customWidth="1"/>
    <col min="3" max="3" width="13.710937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61" t="s">
        <v>28</v>
      </c>
      <c r="C1" s="62"/>
      <c r="D1" s="62"/>
      <c r="E1" s="62"/>
      <c r="F1" s="62"/>
      <c r="G1" s="62"/>
      <c r="H1" s="62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17" t="s">
        <v>31</v>
      </c>
      <c r="C5" s="18"/>
      <c r="D5" s="18"/>
      <c r="E5" s="19"/>
      <c r="F5" s="20"/>
      <c r="G5" s="20"/>
      <c r="H5" s="21"/>
    </row>
    <row r="6" spans="2:8">
      <c r="B6" s="22" t="s">
        <v>32</v>
      </c>
      <c r="C6" s="23"/>
      <c r="D6" s="23"/>
      <c r="E6" s="24"/>
      <c r="F6" s="25"/>
      <c r="G6" s="25"/>
      <c r="H6" s="26"/>
    </row>
    <row r="7" spans="2:8">
      <c r="B7" s="27" t="s">
        <v>125</v>
      </c>
      <c r="C7" s="23" t="s">
        <v>126</v>
      </c>
      <c r="D7" s="23" t="s">
        <v>127</v>
      </c>
      <c r="E7" s="28">
        <v>95000</v>
      </c>
      <c r="F7" s="25">
        <v>1193.01</v>
      </c>
      <c r="G7" s="25">
        <v>2.58</v>
      </c>
      <c r="H7" s="26"/>
    </row>
    <row r="8" spans="2:8">
      <c r="B8" s="27" t="s">
        <v>123</v>
      </c>
      <c r="C8" s="23" t="s">
        <v>124</v>
      </c>
      <c r="D8" s="23" t="s">
        <v>38</v>
      </c>
      <c r="E8" s="28">
        <v>74220</v>
      </c>
      <c r="F8" s="25">
        <v>1066.02</v>
      </c>
      <c r="G8" s="25">
        <v>2.31</v>
      </c>
      <c r="H8" s="26"/>
    </row>
    <row r="9" spans="2:8">
      <c r="B9" s="27" t="s">
        <v>128</v>
      </c>
      <c r="C9" s="23" t="s">
        <v>129</v>
      </c>
      <c r="D9" s="23" t="s">
        <v>88</v>
      </c>
      <c r="E9" s="28">
        <v>51030</v>
      </c>
      <c r="F9" s="25">
        <v>1013.1</v>
      </c>
      <c r="G9" s="25">
        <v>2.19</v>
      </c>
      <c r="H9" s="26"/>
    </row>
    <row r="10" spans="2:8">
      <c r="B10" s="27" t="s">
        <v>36</v>
      </c>
      <c r="C10" s="23" t="s">
        <v>37</v>
      </c>
      <c r="D10" s="23" t="s">
        <v>38</v>
      </c>
      <c r="E10" s="28">
        <v>167300</v>
      </c>
      <c r="F10" s="25">
        <v>895.14</v>
      </c>
      <c r="G10" s="25">
        <v>1.94</v>
      </c>
      <c r="H10" s="26"/>
    </row>
    <row r="11" spans="2:8">
      <c r="B11" s="27" t="s">
        <v>137</v>
      </c>
      <c r="C11" s="23" t="s">
        <v>138</v>
      </c>
      <c r="D11" s="23" t="s">
        <v>38</v>
      </c>
      <c r="E11" s="28">
        <v>126600</v>
      </c>
      <c r="F11" s="25">
        <v>785.49</v>
      </c>
      <c r="G11" s="25">
        <v>1.7</v>
      </c>
      <c r="H11" s="26"/>
    </row>
    <row r="12" spans="2:8">
      <c r="B12" s="27" t="s">
        <v>144</v>
      </c>
      <c r="C12" s="23" t="s">
        <v>145</v>
      </c>
      <c r="D12" s="23" t="s">
        <v>38</v>
      </c>
      <c r="E12" s="28">
        <v>27200</v>
      </c>
      <c r="F12" s="25">
        <v>542.79999999999995</v>
      </c>
      <c r="G12" s="25">
        <v>1.17</v>
      </c>
      <c r="H12" s="26"/>
    </row>
    <row r="13" spans="2:8">
      <c r="B13" s="27" t="s">
        <v>243</v>
      </c>
      <c r="C13" s="23" t="s">
        <v>244</v>
      </c>
      <c r="D13" s="23" t="s">
        <v>148</v>
      </c>
      <c r="E13" s="28">
        <v>10000</v>
      </c>
      <c r="F13" s="25">
        <v>520.51</v>
      </c>
      <c r="G13" s="25">
        <v>1.1299999999999999</v>
      </c>
      <c r="H13" s="26"/>
    </row>
    <row r="14" spans="2:8">
      <c r="B14" s="27" t="s">
        <v>139</v>
      </c>
      <c r="C14" s="23" t="s">
        <v>140</v>
      </c>
      <c r="D14" s="23" t="s">
        <v>141</v>
      </c>
      <c r="E14" s="28">
        <v>19525</v>
      </c>
      <c r="F14" s="25">
        <v>467.7</v>
      </c>
      <c r="G14" s="25">
        <v>1.01</v>
      </c>
      <c r="H14" s="26"/>
    </row>
    <row r="15" spans="2:8">
      <c r="B15" s="27" t="s">
        <v>130</v>
      </c>
      <c r="C15" s="23" t="s">
        <v>131</v>
      </c>
      <c r="D15" s="23" t="s">
        <v>127</v>
      </c>
      <c r="E15" s="28">
        <v>15400</v>
      </c>
      <c r="F15" s="25">
        <v>440.86</v>
      </c>
      <c r="G15" s="25">
        <v>0.95</v>
      </c>
      <c r="H15" s="26"/>
    </row>
    <row r="16" spans="2:8">
      <c r="B16" s="27" t="s">
        <v>107</v>
      </c>
      <c r="C16" s="23" t="s">
        <v>108</v>
      </c>
      <c r="D16" s="23" t="s">
        <v>109</v>
      </c>
      <c r="E16" s="28">
        <v>80000</v>
      </c>
      <c r="F16" s="25">
        <v>407.76</v>
      </c>
      <c r="G16" s="25">
        <v>0.88</v>
      </c>
      <c r="H16" s="26"/>
    </row>
    <row r="17" spans="2:8">
      <c r="B17" s="27" t="s">
        <v>782</v>
      </c>
      <c r="C17" s="23" t="s">
        <v>783</v>
      </c>
      <c r="D17" s="23" t="s">
        <v>134</v>
      </c>
      <c r="E17" s="28">
        <v>13300</v>
      </c>
      <c r="F17" s="25">
        <v>388.09</v>
      </c>
      <c r="G17" s="25">
        <v>0.84</v>
      </c>
      <c r="H17" s="26"/>
    </row>
    <row r="18" spans="2:8">
      <c r="B18" s="27" t="s">
        <v>215</v>
      </c>
      <c r="C18" s="23" t="s">
        <v>216</v>
      </c>
      <c r="D18" s="23" t="s">
        <v>134</v>
      </c>
      <c r="E18" s="28">
        <v>25300</v>
      </c>
      <c r="F18" s="25">
        <v>384.78</v>
      </c>
      <c r="G18" s="25">
        <v>0.83</v>
      </c>
      <c r="H18" s="26"/>
    </row>
    <row r="19" spans="2:8">
      <c r="B19" s="27" t="s">
        <v>135</v>
      </c>
      <c r="C19" s="23" t="s">
        <v>136</v>
      </c>
      <c r="D19" s="23" t="s">
        <v>134</v>
      </c>
      <c r="E19" s="28">
        <v>6325</v>
      </c>
      <c r="F19" s="25">
        <v>334.92</v>
      </c>
      <c r="G19" s="25">
        <v>0.72</v>
      </c>
      <c r="H19" s="26"/>
    </row>
    <row r="20" spans="2:8">
      <c r="B20" s="27" t="s">
        <v>249</v>
      </c>
      <c r="C20" s="23" t="s">
        <v>250</v>
      </c>
      <c r="D20" s="23" t="s">
        <v>127</v>
      </c>
      <c r="E20" s="28">
        <v>20000</v>
      </c>
      <c r="F20" s="25">
        <v>332.07</v>
      </c>
      <c r="G20" s="25">
        <v>0.72</v>
      </c>
      <c r="H20" s="26"/>
    </row>
    <row r="21" spans="2:8">
      <c r="B21" s="27" t="s">
        <v>132</v>
      </c>
      <c r="C21" s="23" t="s">
        <v>133</v>
      </c>
      <c r="D21" s="23" t="s">
        <v>134</v>
      </c>
      <c r="E21" s="28">
        <v>12020</v>
      </c>
      <c r="F21" s="25">
        <v>307.55</v>
      </c>
      <c r="G21" s="25">
        <v>0.67</v>
      </c>
      <c r="H21" s="26"/>
    </row>
    <row r="22" spans="2:8">
      <c r="B22" s="27" t="s">
        <v>257</v>
      </c>
      <c r="C22" s="23" t="s">
        <v>258</v>
      </c>
      <c r="D22" s="23" t="s">
        <v>141</v>
      </c>
      <c r="E22" s="28">
        <v>50000</v>
      </c>
      <c r="F22" s="25">
        <v>303.88</v>
      </c>
      <c r="G22" s="25">
        <v>0.66</v>
      </c>
      <c r="H22" s="26"/>
    </row>
    <row r="23" spans="2:8">
      <c r="B23" s="27" t="s">
        <v>54</v>
      </c>
      <c r="C23" s="23" t="s">
        <v>55</v>
      </c>
      <c r="D23" s="23" t="s">
        <v>56</v>
      </c>
      <c r="E23" s="28">
        <v>36600</v>
      </c>
      <c r="F23" s="25">
        <v>302.19</v>
      </c>
      <c r="G23" s="25">
        <v>0.65</v>
      </c>
      <c r="H23" s="26"/>
    </row>
    <row r="24" spans="2:8">
      <c r="B24" s="27" t="s">
        <v>204</v>
      </c>
      <c r="C24" s="23" t="s">
        <v>205</v>
      </c>
      <c r="D24" s="23" t="s">
        <v>134</v>
      </c>
      <c r="E24" s="28">
        <v>44150</v>
      </c>
      <c r="F24" s="25">
        <v>298.67</v>
      </c>
      <c r="G24" s="25">
        <v>0.65</v>
      </c>
      <c r="H24" s="26"/>
    </row>
    <row r="25" spans="2:8">
      <c r="B25" s="27" t="s">
        <v>189</v>
      </c>
      <c r="C25" s="23" t="s">
        <v>190</v>
      </c>
      <c r="D25" s="23" t="s">
        <v>141</v>
      </c>
      <c r="E25" s="28">
        <v>10720</v>
      </c>
      <c r="F25" s="25">
        <v>296.35000000000002</v>
      </c>
      <c r="G25" s="25">
        <v>0.64</v>
      </c>
      <c r="H25" s="26"/>
    </row>
    <row r="26" spans="2:8">
      <c r="B26" s="27" t="s">
        <v>239</v>
      </c>
      <c r="C26" s="23" t="s">
        <v>240</v>
      </c>
      <c r="D26" s="23" t="s">
        <v>141</v>
      </c>
      <c r="E26" s="28">
        <v>50000</v>
      </c>
      <c r="F26" s="25">
        <v>294.95</v>
      </c>
      <c r="G26" s="25">
        <v>0.64</v>
      </c>
      <c r="H26" s="26"/>
    </row>
    <row r="27" spans="2:8">
      <c r="B27" s="27" t="s">
        <v>33</v>
      </c>
      <c r="C27" s="23" t="s">
        <v>34</v>
      </c>
      <c r="D27" s="23" t="s">
        <v>35</v>
      </c>
      <c r="E27" s="28">
        <v>20460</v>
      </c>
      <c r="F27" s="25">
        <v>263.44</v>
      </c>
      <c r="G27" s="25">
        <v>0.56999999999999995</v>
      </c>
      <c r="H27" s="26"/>
    </row>
    <row r="28" spans="2:8">
      <c r="B28" s="27" t="s">
        <v>152</v>
      </c>
      <c r="C28" s="23" t="s">
        <v>153</v>
      </c>
      <c r="D28" s="23" t="s">
        <v>151</v>
      </c>
      <c r="E28" s="28">
        <v>33000</v>
      </c>
      <c r="F28" s="25">
        <v>237.8</v>
      </c>
      <c r="G28" s="25">
        <v>0.51</v>
      </c>
      <c r="H28" s="26"/>
    </row>
    <row r="29" spans="2:8">
      <c r="B29" s="27" t="s">
        <v>149</v>
      </c>
      <c r="C29" s="23" t="s">
        <v>150</v>
      </c>
      <c r="D29" s="23" t="s">
        <v>151</v>
      </c>
      <c r="E29" s="28">
        <v>3070</v>
      </c>
      <c r="F29" s="25">
        <v>234.84</v>
      </c>
      <c r="G29" s="25">
        <v>0.51</v>
      </c>
      <c r="H29" s="26"/>
    </row>
    <row r="30" spans="2:8">
      <c r="B30" s="27" t="s">
        <v>156</v>
      </c>
      <c r="C30" s="23" t="s">
        <v>157</v>
      </c>
      <c r="D30" s="23" t="s">
        <v>158</v>
      </c>
      <c r="E30" s="28">
        <v>10000</v>
      </c>
      <c r="F30" s="25">
        <v>219.51</v>
      </c>
      <c r="G30" s="25">
        <v>0.47</v>
      </c>
      <c r="H30" s="26"/>
    </row>
    <row r="31" spans="2:8">
      <c r="B31" s="27" t="s">
        <v>276</v>
      </c>
      <c r="C31" s="23" t="s">
        <v>277</v>
      </c>
      <c r="D31" s="23" t="s">
        <v>141</v>
      </c>
      <c r="E31" s="28">
        <v>40160</v>
      </c>
      <c r="F31" s="25">
        <v>214.45</v>
      </c>
      <c r="G31" s="25">
        <v>0.46</v>
      </c>
      <c r="H31" s="26"/>
    </row>
    <row r="32" spans="2:8">
      <c r="B32" s="27" t="s">
        <v>84</v>
      </c>
      <c r="C32" s="23" t="s">
        <v>85</v>
      </c>
      <c r="D32" s="23" t="s">
        <v>64</v>
      </c>
      <c r="E32" s="28">
        <v>3200</v>
      </c>
      <c r="F32" s="25">
        <v>169.22</v>
      </c>
      <c r="G32" s="25">
        <v>0.37</v>
      </c>
      <c r="H32" s="26"/>
    </row>
    <row r="33" spans="2:10">
      <c r="B33" s="27" t="s">
        <v>102</v>
      </c>
      <c r="C33" s="23" t="s">
        <v>103</v>
      </c>
      <c r="D33" s="23" t="s">
        <v>64</v>
      </c>
      <c r="E33" s="28">
        <v>700</v>
      </c>
      <c r="F33" s="25">
        <v>168.09</v>
      </c>
      <c r="G33" s="25">
        <v>0.36</v>
      </c>
      <c r="H33" s="26"/>
    </row>
    <row r="34" spans="2:10">
      <c r="B34" s="27" t="s">
        <v>784</v>
      </c>
      <c r="C34" s="23" t="s">
        <v>785</v>
      </c>
      <c r="D34" s="23" t="s">
        <v>56</v>
      </c>
      <c r="E34" s="28">
        <v>40740</v>
      </c>
      <c r="F34" s="25">
        <v>148.5</v>
      </c>
      <c r="G34" s="25">
        <v>0.32</v>
      </c>
      <c r="H34" s="26"/>
    </row>
    <row r="35" spans="2:10">
      <c r="B35" s="27" t="s">
        <v>142</v>
      </c>
      <c r="C35" s="23" t="s">
        <v>143</v>
      </c>
      <c r="D35" s="23" t="s">
        <v>127</v>
      </c>
      <c r="E35" s="28">
        <v>15500</v>
      </c>
      <c r="F35" s="25">
        <v>146.65</v>
      </c>
      <c r="G35" s="25">
        <v>0.32</v>
      </c>
      <c r="H35" s="26"/>
    </row>
    <row r="36" spans="2:10">
      <c r="B36" s="27" t="s">
        <v>116</v>
      </c>
      <c r="C36" s="23" t="s">
        <v>117</v>
      </c>
      <c r="D36" s="23" t="s">
        <v>67</v>
      </c>
      <c r="E36" s="28">
        <v>27000</v>
      </c>
      <c r="F36" s="25">
        <v>141.83000000000001</v>
      </c>
      <c r="G36" s="25">
        <v>0.31</v>
      </c>
      <c r="H36" s="26"/>
    </row>
    <row r="37" spans="2:10">
      <c r="B37" s="27" t="s">
        <v>212</v>
      </c>
      <c r="C37" s="23" t="s">
        <v>213</v>
      </c>
      <c r="D37" s="23" t="s">
        <v>214</v>
      </c>
      <c r="E37" s="28">
        <v>4950</v>
      </c>
      <c r="F37" s="25">
        <v>136.80000000000001</v>
      </c>
      <c r="G37" s="25">
        <v>0.3</v>
      </c>
      <c r="H37" s="26"/>
    </row>
    <row r="38" spans="2:10">
      <c r="B38" s="27" t="s">
        <v>225</v>
      </c>
      <c r="C38" s="23" t="s">
        <v>226</v>
      </c>
      <c r="D38" s="23" t="s">
        <v>127</v>
      </c>
      <c r="E38" s="28">
        <v>9000</v>
      </c>
      <c r="F38" s="25">
        <v>136.54</v>
      </c>
      <c r="G38" s="25">
        <v>0.3</v>
      </c>
      <c r="H38" s="26"/>
    </row>
    <row r="39" spans="2:10">
      <c r="B39" s="27" t="s">
        <v>288</v>
      </c>
      <c r="C39" s="23" t="s">
        <v>289</v>
      </c>
      <c r="D39" s="23" t="s">
        <v>141</v>
      </c>
      <c r="E39" s="28">
        <v>60000</v>
      </c>
      <c r="F39" s="25">
        <v>125.4</v>
      </c>
      <c r="G39" s="25">
        <v>0.27</v>
      </c>
      <c r="H39" s="26"/>
    </row>
    <row r="40" spans="2:10">
      <c r="B40" s="27" t="s">
        <v>91</v>
      </c>
      <c r="C40" s="23" t="s">
        <v>92</v>
      </c>
      <c r="D40" s="23" t="s">
        <v>67</v>
      </c>
      <c r="E40" s="28">
        <v>2500</v>
      </c>
      <c r="F40" s="25">
        <v>113.41</v>
      </c>
      <c r="G40" s="25">
        <v>0.25</v>
      </c>
      <c r="H40" s="26"/>
    </row>
    <row r="41" spans="2:10">
      <c r="B41" s="27" t="s">
        <v>154</v>
      </c>
      <c r="C41" s="23" t="s">
        <v>155</v>
      </c>
      <c r="D41" s="23" t="s">
        <v>141</v>
      </c>
      <c r="E41" s="28">
        <v>2700</v>
      </c>
      <c r="F41" s="25">
        <v>96.56</v>
      </c>
      <c r="G41" s="25">
        <v>0.21</v>
      </c>
      <c r="H41" s="26"/>
    </row>
    <row r="42" spans="2:10">
      <c r="B42" s="27" t="s">
        <v>95</v>
      </c>
      <c r="C42" s="23" t="s">
        <v>96</v>
      </c>
      <c r="D42" s="23" t="s">
        <v>97</v>
      </c>
      <c r="E42" s="28">
        <v>40000</v>
      </c>
      <c r="F42" s="25">
        <v>96.22</v>
      </c>
      <c r="G42" s="25">
        <v>0.21</v>
      </c>
      <c r="H42" s="26"/>
    </row>
    <row r="43" spans="2:10">
      <c r="B43" s="27" t="s">
        <v>159</v>
      </c>
      <c r="C43" s="23" t="s">
        <v>160</v>
      </c>
      <c r="D43" s="23" t="s">
        <v>56</v>
      </c>
      <c r="E43" s="28">
        <v>5400</v>
      </c>
      <c r="F43" s="25">
        <v>84.63</v>
      </c>
      <c r="G43" s="25">
        <v>0.18</v>
      </c>
      <c r="H43" s="26"/>
    </row>
    <row r="44" spans="2:10">
      <c r="B44" s="27" t="s">
        <v>206</v>
      </c>
      <c r="C44" s="23" t="s">
        <v>207</v>
      </c>
      <c r="D44" s="23" t="s">
        <v>67</v>
      </c>
      <c r="E44" s="28">
        <v>26301</v>
      </c>
      <c r="F44" s="25">
        <v>66.290000000000006</v>
      </c>
      <c r="G44" s="25">
        <v>0.14000000000000001</v>
      </c>
      <c r="H44" s="26"/>
    </row>
    <row r="45" spans="2:10">
      <c r="B45" s="27" t="s">
        <v>181</v>
      </c>
      <c r="C45" s="23" t="s">
        <v>182</v>
      </c>
      <c r="D45" s="23" t="s">
        <v>56</v>
      </c>
      <c r="E45" s="28">
        <v>1744</v>
      </c>
      <c r="F45" s="25">
        <v>45.85</v>
      </c>
      <c r="G45" s="25">
        <v>0.1</v>
      </c>
      <c r="H45" s="26"/>
    </row>
    <row r="46" spans="2:10">
      <c r="B46" s="27" t="s">
        <v>208</v>
      </c>
      <c r="C46" s="23" t="s">
        <v>209</v>
      </c>
      <c r="D46" s="23" t="s">
        <v>134</v>
      </c>
      <c r="E46" s="28">
        <v>3475</v>
      </c>
      <c r="F46" s="25">
        <v>29.57</v>
      </c>
      <c r="G46" s="25">
        <v>0.06</v>
      </c>
      <c r="H46" s="26"/>
    </row>
    <row r="47" spans="2:10">
      <c r="B47" s="29" t="s">
        <v>118</v>
      </c>
      <c r="C47" s="30"/>
      <c r="D47" s="30"/>
      <c r="E47" s="31"/>
      <c r="F47" s="32">
        <f>SUM(F7:F46)</f>
        <v>13451.439999999997</v>
      </c>
      <c r="G47" s="32">
        <f>SUM(G7:G46)</f>
        <v>29.1</v>
      </c>
      <c r="H47" s="33"/>
      <c r="I47" s="14"/>
      <c r="J47" s="14"/>
    </row>
    <row r="48" spans="2:10">
      <c r="B48" s="37" t="s">
        <v>119</v>
      </c>
      <c r="C48" s="37"/>
      <c r="D48" s="37"/>
      <c r="E48" s="38"/>
      <c r="F48" s="39">
        <f>F47</f>
        <v>13451.439999999997</v>
      </c>
      <c r="G48" s="39">
        <f>G47</f>
        <v>29.1</v>
      </c>
      <c r="H48" s="15"/>
      <c r="I48" s="14"/>
      <c r="J48" s="14"/>
    </row>
    <row r="49" spans="2:8">
      <c r="B49" s="46" t="s">
        <v>359</v>
      </c>
      <c r="C49" s="41"/>
      <c r="D49" s="41"/>
      <c r="E49" s="42"/>
      <c r="F49" s="43"/>
      <c r="G49" s="43"/>
      <c r="H49" s="43"/>
    </row>
    <row r="50" spans="2:8">
      <c r="B50" s="47" t="s">
        <v>32</v>
      </c>
      <c r="C50" s="23"/>
      <c r="D50" s="23"/>
      <c r="E50" s="24"/>
      <c r="F50" s="25"/>
      <c r="G50" s="25"/>
      <c r="H50" s="25"/>
    </row>
    <row r="51" spans="2:8">
      <c r="B51" s="23" t="s">
        <v>390</v>
      </c>
      <c r="C51" s="23" t="s">
        <v>391</v>
      </c>
      <c r="D51" s="23" t="s">
        <v>392</v>
      </c>
      <c r="E51" s="28">
        <v>400</v>
      </c>
      <c r="F51" s="25">
        <v>3931.14</v>
      </c>
      <c r="G51" s="25">
        <v>8.51</v>
      </c>
      <c r="H51" s="25">
        <v>3.85</v>
      </c>
    </row>
    <row r="52" spans="2:8">
      <c r="B52" s="23" t="s">
        <v>786</v>
      </c>
      <c r="C52" s="23" t="s">
        <v>787</v>
      </c>
      <c r="D52" s="23" t="s">
        <v>362</v>
      </c>
      <c r="E52" s="28">
        <v>300</v>
      </c>
      <c r="F52" s="25">
        <v>3054.32</v>
      </c>
      <c r="G52" s="25">
        <v>6.61</v>
      </c>
      <c r="H52" s="25">
        <v>3.54</v>
      </c>
    </row>
    <row r="53" spans="2:8">
      <c r="B53" s="23" t="s">
        <v>788</v>
      </c>
      <c r="C53" s="23" t="s">
        <v>789</v>
      </c>
      <c r="D53" s="23" t="s">
        <v>763</v>
      </c>
      <c r="E53" s="28">
        <v>300</v>
      </c>
      <c r="F53" s="25">
        <v>3009.65</v>
      </c>
      <c r="G53" s="25">
        <v>6.51</v>
      </c>
      <c r="H53" s="25">
        <v>3.43</v>
      </c>
    </row>
    <row r="54" spans="2:8">
      <c r="B54" s="23" t="s">
        <v>757</v>
      </c>
      <c r="C54" s="23" t="s">
        <v>758</v>
      </c>
      <c r="D54" s="23" t="s">
        <v>362</v>
      </c>
      <c r="E54" s="28">
        <v>270</v>
      </c>
      <c r="F54" s="25">
        <v>2724.29</v>
      </c>
      <c r="G54" s="25">
        <v>5.89</v>
      </c>
      <c r="H54" s="25">
        <v>3.13</v>
      </c>
    </row>
    <row r="55" spans="2:8">
      <c r="B55" s="23" t="s">
        <v>407</v>
      </c>
      <c r="C55" s="23" t="s">
        <v>408</v>
      </c>
      <c r="D55" s="23" t="s">
        <v>362</v>
      </c>
      <c r="E55" s="28">
        <v>250</v>
      </c>
      <c r="F55" s="25">
        <v>2554.87</v>
      </c>
      <c r="G55" s="25">
        <v>5.53</v>
      </c>
      <c r="H55" s="25">
        <v>3.62</v>
      </c>
    </row>
    <row r="56" spans="2:8">
      <c r="B56" s="23" t="s">
        <v>388</v>
      </c>
      <c r="C56" s="23" t="s">
        <v>389</v>
      </c>
      <c r="D56" s="23" t="s">
        <v>371</v>
      </c>
      <c r="E56" s="28">
        <v>210</v>
      </c>
      <c r="F56" s="25">
        <v>2123.61</v>
      </c>
      <c r="G56" s="25">
        <v>4.59</v>
      </c>
      <c r="H56" s="25">
        <v>3.51</v>
      </c>
    </row>
    <row r="57" spans="2:8">
      <c r="B57" s="23" t="s">
        <v>790</v>
      </c>
      <c r="C57" s="23" t="s">
        <v>791</v>
      </c>
      <c r="D57" s="23" t="s">
        <v>362</v>
      </c>
      <c r="E57" s="28">
        <v>200</v>
      </c>
      <c r="F57" s="25">
        <v>2032.29</v>
      </c>
      <c r="G57" s="25">
        <v>4.4000000000000004</v>
      </c>
      <c r="H57" s="25">
        <v>3.49</v>
      </c>
    </row>
    <row r="58" spans="2:8">
      <c r="B58" s="23" t="s">
        <v>792</v>
      </c>
      <c r="C58" s="23" t="s">
        <v>793</v>
      </c>
      <c r="D58" s="23" t="s">
        <v>362</v>
      </c>
      <c r="E58" s="28">
        <v>150</v>
      </c>
      <c r="F58" s="25">
        <v>1526</v>
      </c>
      <c r="G58" s="25">
        <v>3.3</v>
      </c>
      <c r="H58" s="25">
        <v>3.82</v>
      </c>
    </row>
    <row r="59" spans="2:8">
      <c r="B59" s="23" t="s">
        <v>794</v>
      </c>
      <c r="C59" s="23" t="s">
        <v>795</v>
      </c>
      <c r="D59" s="23" t="s">
        <v>362</v>
      </c>
      <c r="E59" s="28">
        <v>150</v>
      </c>
      <c r="F59" s="25">
        <v>1500.83</v>
      </c>
      <c r="G59" s="25">
        <v>3.25</v>
      </c>
      <c r="H59" s="25">
        <v>4.13</v>
      </c>
    </row>
    <row r="60" spans="2:8">
      <c r="B60" s="23" t="s">
        <v>796</v>
      </c>
      <c r="C60" s="23" t="s">
        <v>797</v>
      </c>
      <c r="D60" s="23" t="s">
        <v>362</v>
      </c>
      <c r="E60" s="28">
        <v>100</v>
      </c>
      <c r="F60" s="25">
        <v>1025.03</v>
      </c>
      <c r="G60" s="25">
        <v>2.2200000000000002</v>
      </c>
      <c r="H60" s="25">
        <v>3.37</v>
      </c>
    </row>
    <row r="61" spans="2:8">
      <c r="B61" s="23" t="s">
        <v>768</v>
      </c>
      <c r="C61" s="23" t="s">
        <v>769</v>
      </c>
      <c r="D61" s="23" t="s">
        <v>362</v>
      </c>
      <c r="E61" s="28">
        <v>9</v>
      </c>
      <c r="F61" s="25">
        <v>908.15</v>
      </c>
      <c r="G61" s="25">
        <v>1.96</v>
      </c>
      <c r="H61" s="25">
        <v>3.24</v>
      </c>
    </row>
    <row r="62" spans="2:8">
      <c r="B62" s="23" t="s">
        <v>798</v>
      </c>
      <c r="C62" s="23" t="s">
        <v>799</v>
      </c>
      <c r="D62" s="23" t="s">
        <v>362</v>
      </c>
      <c r="E62" s="28">
        <v>40</v>
      </c>
      <c r="F62" s="25">
        <v>512.11</v>
      </c>
      <c r="G62" s="25">
        <v>1.1100000000000001</v>
      </c>
      <c r="H62" s="25">
        <v>3.5</v>
      </c>
    </row>
    <row r="63" spans="2:8">
      <c r="B63" s="23" t="s">
        <v>699</v>
      </c>
      <c r="C63" s="23" t="s">
        <v>700</v>
      </c>
      <c r="D63" s="23" t="s">
        <v>362</v>
      </c>
      <c r="E63" s="28">
        <v>50</v>
      </c>
      <c r="F63" s="25">
        <v>508.76</v>
      </c>
      <c r="G63" s="25">
        <v>1.1000000000000001</v>
      </c>
      <c r="H63" s="25">
        <v>3.52</v>
      </c>
    </row>
    <row r="64" spans="2:8">
      <c r="B64" s="23" t="s">
        <v>800</v>
      </c>
      <c r="C64" s="23" t="s">
        <v>801</v>
      </c>
      <c r="D64" s="23" t="s">
        <v>362</v>
      </c>
      <c r="E64" s="28">
        <v>50</v>
      </c>
      <c r="F64" s="25">
        <v>506.65</v>
      </c>
      <c r="G64" s="25">
        <v>1.1000000000000001</v>
      </c>
      <c r="H64" s="25">
        <v>3.54</v>
      </c>
    </row>
    <row r="65" spans="2:10">
      <c r="B65" s="23" t="s">
        <v>764</v>
      </c>
      <c r="C65" s="23" t="s">
        <v>765</v>
      </c>
      <c r="D65" s="23" t="s">
        <v>362</v>
      </c>
      <c r="E65" s="28">
        <v>50</v>
      </c>
      <c r="F65" s="25">
        <v>503.73</v>
      </c>
      <c r="G65" s="25">
        <v>1.0900000000000001</v>
      </c>
      <c r="H65" s="25">
        <v>3.13</v>
      </c>
    </row>
    <row r="66" spans="2:10">
      <c r="B66" s="30" t="s">
        <v>118</v>
      </c>
      <c r="C66" s="30"/>
      <c r="D66" s="30"/>
      <c r="E66" s="31"/>
      <c r="F66" s="32">
        <f>SUM(F50:F65)</f>
        <v>26421.43</v>
      </c>
      <c r="G66" s="32">
        <f>SUM(G50:G65)</f>
        <v>57.17</v>
      </c>
      <c r="H66" s="48"/>
      <c r="I66" s="14"/>
      <c r="J66" s="14"/>
    </row>
    <row r="67" spans="2:10">
      <c r="B67" s="49" t="s">
        <v>119</v>
      </c>
      <c r="C67" s="49"/>
      <c r="D67" s="49"/>
      <c r="E67" s="50"/>
      <c r="F67" s="51">
        <f>F66</f>
        <v>26421.43</v>
      </c>
      <c r="G67" s="51">
        <f>G66</f>
        <v>57.17</v>
      </c>
      <c r="H67" s="51"/>
      <c r="I67" s="14"/>
      <c r="J67" s="14"/>
    </row>
    <row r="68" spans="2:10">
      <c r="B68" s="47" t="s">
        <v>455</v>
      </c>
      <c r="C68" s="23"/>
      <c r="D68" s="23"/>
      <c r="E68" s="24"/>
      <c r="F68" s="25"/>
      <c r="G68" s="25"/>
      <c r="H68" s="25"/>
    </row>
    <row r="69" spans="2:10">
      <c r="B69" s="47" t="s">
        <v>528</v>
      </c>
      <c r="C69" s="23"/>
      <c r="D69" s="23"/>
      <c r="E69" s="24"/>
      <c r="F69" s="25"/>
      <c r="G69" s="25"/>
      <c r="H69" s="25"/>
    </row>
    <row r="70" spans="2:10">
      <c r="B70" s="23" t="s">
        <v>539</v>
      </c>
      <c r="C70" s="23" t="s">
        <v>540</v>
      </c>
      <c r="D70" s="23" t="s">
        <v>536</v>
      </c>
      <c r="E70" s="28">
        <v>2000</v>
      </c>
      <c r="F70" s="25">
        <v>1993.1</v>
      </c>
      <c r="G70" s="25">
        <v>4.3099999999999996</v>
      </c>
      <c r="H70" s="25">
        <v>3.01</v>
      </c>
    </row>
    <row r="71" spans="2:10">
      <c r="B71" s="30" t="s">
        <v>118</v>
      </c>
      <c r="C71" s="30"/>
      <c r="D71" s="30"/>
      <c r="E71" s="31"/>
      <c r="F71" s="32">
        <f>SUM(F69:F70)</f>
        <v>1993.1</v>
      </c>
      <c r="G71" s="32">
        <f>SUM(G69:G70)</f>
        <v>4.3099999999999996</v>
      </c>
      <c r="H71" s="48"/>
      <c r="I71" s="14"/>
      <c r="J71" s="14"/>
    </row>
    <row r="72" spans="2:10">
      <c r="B72" s="49" t="s">
        <v>119</v>
      </c>
      <c r="C72" s="49"/>
      <c r="D72" s="49"/>
      <c r="E72" s="50"/>
      <c r="F72" s="51">
        <f>F71</f>
        <v>1993.1</v>
      </c>
      <c r="G72" s="51">
        <f>G71</f>
        <v>4.3099999999999996</v>
      </c>
      <c r="H72" s="51"/>
      <c r="I72" s="14"/>
      <c r="J72" s="14"/>
    </row>
    <row r="73" spans="2:10">
      <c r="B73" s="47" t="s">
        <v>427</v>
      </c>
      <c r="C73" s="23"/>
      <c r="D73" s="23"/>
      <c r="E73" s="24"/>
      <c r="F73" s="25"/>
      <c r="G73" s="25"/>
      <c r="H73" s="25"/>
    </row>
    <row r="74" spans="2:10">
      <c r="B74" s="23" t="s">
        <v>802</v>
      </c>
      <c r="C74" s="23" t="s">
        <v>803</v>
      </c>
      <c r="D74" s="23" t="s">
        <v>430</v>
      </c>
      <c r="E74" s="28">
        <v>1000000</v>
      </c>
      <c r="F74" s="25">
        <v>1018.27</v>
      </c>
      <c r="G74" s="25">
        <v>2.2000000000000002</v>
      </c>
      <c r="H74" s="25">
        <v>3.26</v>
      </c>
    </row>
    <row r="75" spans="2:10">
      <c r="B75" s="52" t="s">
        <v>804</v>
      </c>
      <c r="C75" s="52" t="s">
        <v>805</v>
      </c>
      <c r="D75" s="52" t="s">
        <v>430</v>
      </c>
      <c r="E75" s="53">
        <v>33000</v>
      </c>
      <c r="F75" s="54">
        <v>33.92</v>
      </c>
      <c r="G75" s="54">
        <v>7.0000000000000007E-2</v>
      </c>
      <c r="H75" s="54">
        <v>3.37</v>
      </c>
    </row>
    <row r="76" spans="2:10">
      <c r="B76" s="55" t="s">
        <v>119</v>
      </c>
      <c r="C76" s="55"/>
      <c r="D76" s="55"/>
      <c r="E76" s="56"/>
      <c r="F76" s="57">
        <f>SUM(F74:F75)</f>
        <v>1052.19</v>
      </c>
      <c r="G76" s="57">
        <f>SUM(G74:G75)</f>
        <v>2.27</v>
      </c>
      <c r="H76" s="57"/>
      <c r="I76" s="14"/>
      <c r="J76" s="14"/>
    </row>
    <row r="77" spans="2:10">
      <c r="B77" s="47" t="s">
        <v>120</v>
      </c>
      <c r="C77" s="23"/>
      <c r="D77" s="23"/>
      <c r="E77" s="24"/>
      <c r="F77" s="25"/>
      <c r="G77" s="25"/>
      <c r="H77" s="25"/>
    </row>
    <row r="78" spans="2:10">
      <c r="B78" s="23" t="s">
        <v>120</v>
      </c>
      <c r="C78" s="23"/>
      <c r="D78" s="23"/>
      <c r="E78" s="24"/>
      <c r="F78" s="25">
        <v>2286.38</v>
      </c>
      <c r="G78" s="25">
        <v>4.95</v>
      </c>
      <c r="H78" s="25"/>
    </row>
    <row r="79" spans="2:10">
      <c r="B79" s="30" t="s">
        <v>118</v>
      </c>
      <c r="C79" s="30"/>
      <c r="D79" s="30"/>
      <c r="E79" s="31"/>
      <c r="F79" s="32">
        <f>SUM(F77:F78)</f>
        <v>2286.38</v>
      </c>
      <c r="G79" s="32">
        <f>SUM(G77:G78)</f>
        <v>4.95</v>
      </c>
      <c r="H79" s="48"/>
      <c r="I79" s="14"/>
      <c r="J79" s="14"/>
    </row>
    <row r="80" spans="2:10">
      <c r="B80" s="34" t="s">
        <v>119</v>
      </c>
      <c r="C80" s="34"/>
      <c r="D80" s="34"/>
      <c r="E80" s="35"/>
      <c r="F80" s="36">
        <f>F79</f>
        <v>2286.38</v>
      </c>
      <c r="G80" s="36">
        <f>G79</f>
        <v>4.95</v>
      </c>
      <c r="H80" s="36"/>
      <c r="I80" s="14"/>
      <c r="J80" s="14"/>
    </row>
    <row r="81" spans="2:10">
      <c r="B81" s="44" t="s">
        <v>122</v>
      </c>
      <c r="C81" s="44"/>
      <c r="D81" s="44"/>
      <c r="E81" s="45"/>
      <c r="F81" s="16">
        <f>F82-(+F48+F67+F72+F76+F80)</f>
        <v>1015.2000000000044</v>
      </c>
      <c r="G81" s="16">
        <f>G82-(+G48+G67+G72+G76+G80)</f>
        <v>2.1999999999999886</v>
      </c>
      <c r="H81" s="16"/>
      <c r="I81" s="14"/>
      <c r="J81" s="14"/>
    </row>
    <row r="82" spans="2:10">
      <c r="B82" s="44" t="s">
        <v>121</v>
      </c>
      <c r="C82" s="44"/>
      <c r="D82" s="44"/>
      <c r="E82" s="45"/>
      <c r="F82" s="16">
        <v>46219.74</v>
      </c>
      <c r="G82" s="16">
        <v>100</v>
      </c>
      <c r="H82" s="16"/>
      <c r="I82" s="14"/>
      <c r="J82" s="14"/>
    </row>
    <row r="84" spans="2:10">
      <c r="B84" s="14" t="s">
        <v>812</v>
      </c>
    </row>
    <row r="85" spans="2:10">
      <c r="B85" s="14" t="s">
        <v>576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5"/>
  <sheetViews>
    <sheetView workbookViewId="0">
      <selection activeCell="I1" sqref="I1"/>
    </sheetView>
  </sheetViews>
  <sheetFormatPr defaultRowHeight="12"/>
  <cols>
    <col min="1" max="1" width="9.140625" style="1"/>
    <col min="2" max="2" width="60.85546875" style="1" bestFit="1" customWidth="1"/>
    <col min="3" max="3" width="13.8554687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61" t="s">
        <v>29</v>
      </c>
      <c r="C1" s="62"/>
      <c r="D1" s="62"/>
      <c r="E1" s="62"/>
      <c r="F1" s="62"/>
      <c r="G1" s="62"/>
      <c r="H1" s="62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58" t="s">
        <v>359</v>
      </c>
      <c r="C5" s="18"/>
      <c r="D5" s="18"/>
      <c r="E5" s="19"/>
      <c r="F5" s="20"/>
      <c r="G5" s="20"/>
      <c r="H5" s="20"/>
    </row>
    <row r="6" spans="2:8">
      <c r="B6" s="47" t="s">
        <v>32</v>
      </c>
      <c r="C6" s="23"/>
      <c r="D6" s="23"/>
      <c r="E6" s="24"/>
      <c r="F6" s="25"/>
      <c r="G6" s="25"/>
      <c r="H6" s="25"/>
    </row>
    <row r="7" spans="2:8">
      <c r="B7" s="23" t="s">
        <v>743</v>
      </c>
      <c r="C7" s="23" t="s">
        <v>744</v>
      </c>
      <c r="D7" s="23" t="s">
        <v>392</v>
      </c>
      <c r="E7" s="28">
        <v>30</v>
      </c>
      <c r="F7" s="25">
        <v>377.58</v>
      </c>
      <c r="G7" s="25">
        <v>10.19</v>
      </c>
      <c r="H7" s="25">
        <v>5.0999999999999996</v>
      </c>
    </row>
    <row r="8" spans="2:8">
      <c r="B8" s="23" t="s">
        <v>390</v>
      </c>
      <c r="C8" s="23" t="s">
        <v>391</v>
      </c>
      <c r="D8" s="23" t="s">
        <v>392</v>
      </c>
      <c r="E8" s="28">
        <v>38</v>
      </c>
      <c r="F8" s="25">
        <v>373.46</v>
      </c>
      <c r="G8" s="25">
        <v>10.08</v>
      </c>
      <c r="H8" s="25">
        <v>3.85</v>
      </c>
    </row>
    <row r="9" spans="2:8">
      <c r="B9" s="23" t="s">
        <v>409</v>
      </c>
      <c r="C9" s="23" t="s">
        <v>410</v>
      </c>
      <c r="D9" s="23" t="s">
        <v>362</v>
      </c>
      <c r="E9" s="28">
        <v>31</v>
      </c>
      <c r="F9" s="25">
        <v>318.12</v>
      </c>
      <c r="G9" s="25">
        <v>8.59</v>
      </c>
      <c r="H9" s="25">
        <v>3.6</v>
      </c>
    </row>
    <row r="10" spans="2:8">
      <c r="B10" s="23" t="s">
        <v>635</v>
      </c>
      <c r="C10" s="23" t="s">
        <v>636</v>
      </c>
      <c r="D10" s="23" t="s">
        <v>392</v>
      </c>
      <c r="E10" s="28">
        <v>30</v>
      </c>
      <c r="F10" s="25">
        <v>310.89</v>
      </c>
      <c r="G10" s="25">
        <v>8.39</v>
      </c>
      <c r="H10" s="25">
        <v>3.81</v>
      </c>
    </row>
    <row r="11" spans="2:8">
      <c r="B11" s="23" t="s">
        <v>685</v>
      </c>
      <c r="C11" s="23" t="s">
        <v>686</v>
      </c>
      <c r="D11" s="23" t="s">
        <v>362</v>
      </c>
      <c r="E11" s="28">
        <v>30</v>
      </c>
      <c r="F11" s="25">
        <v>309.68</v>
      </c>
      <c r="G11" s="25">
        <v>8.36</v>
      </c>
      <c r="H11" s="25">
        <v>3.61</v>
      </c>
    </row>
    <row r="12" spans="2:8">
      <c r="B12" s="23" t="s">
        <v>482</v>
      </c>
      <c r="C12" s="23" t="s">
        <v>483</v>
      </c>
      <c r="D12" s="23" t="s">
        <v>362</v>
      </c>
      <c r="E12" s="28">
        <v>30</v>
      </c>
      <c r="F12" s="25">
        <v>307.57</v>
      </c>
      <c r="G12" s="25">
        <v>8.3000000000000007</v>
      </c>
      <c r="H12" s="25">
        <v>3.56</v>
      </c>
    </row>
    <row r="13" spans="2:8">
      <c r="B13" s="23" t="s">
        <v>625</v>
      </c>
      <c r="C13" s="23" t="s">
        <v>626</v>
      </c>
      <c r="D13" s="23" t="s">
        <v>362</v>
      </c>
      <c r="E13" s="28">
        <v>30</v>
      </c>
      <c r="F13" s="25">
        <v>306.43</v>
      </c>
      <c r="G13" s="25">
        <v>8.27</v>
      </c>
      <c r="H13" s="25">
        <v>3.74</v>
      </c>
    </row>
    <row r="14" spans="2:8">
      <c r="B14" s="23" t="s">
        <v>388</v>
      </c>
      <c r="C14" s="23" t="s">
        <v>389</v>
      </c>
      <c r="D14" s="23" t="s">
        <v>371</v>
      </c>
      <c r="E14" s="28">
        <v>30</v>
      </c>
      <c r="F14" s="25">
        <v>303.37</v>
      </c>
      <c r="G14" s="25">
        <v>8.19</v>
      </c>
      <c r="H14" s="25">
        <v>3.51</v>
      </c>
    </row>
    <row r="15" spans="2:8">
      <c r="B15" s="23" t="s">
        <v>411</v>
      </c>
      <c r="C15" s="23" t="s">
        <v>412</v>
      </c>
      <c r="D15" s="23" t="s">
        <v>362</v>
      </c>
      <c r="E15" s="28">
        <v>30</v>
      </c>
      <c r="F15" s="25">
        <v>302.61</v>
      </c>
      <c r="G15" s="25">
        <v>8.17</v>
      </c>
      <c r="H15" s="25">
        <v>3.19</v>
      </c>
    </row>
    <row r="16" spans="2:8">
      <c r="B16" s="23" t="s">
        <v>633</v>
      </c>
      <c r="C16" s="23" t="s">
        <v>634</v>
      </c>
      <c r="D16" s="23" t="s">
        <v>362</v>
      </c>
      <c r="E16" s="28">
        <v>23</v>
      </c>
      <c r="F16" s="25">
        <v>235.83</v>
      </c>
      <c r="G16" s="25">
        <v>6.37</v>
      </c>
      <c r="H16" s="25">
        <v>3.76</v>
      </c>
    </row>
    <row r="17" spans="2:10">
      <c r="B17" s="23" t="s">
        <v>504</v>
      </c>
      <c r="C17" s="23" t="s">
        <v>505</v>
      </c>
      <c r="D17" s="23" t="s">
        <v>362</v>
      </c>
      <c r="E17" s="28">
        <v>7</v>
      </c>
      <c r="F17" s="25">
        <v>71.569999999999993</v>
      </c>
      <c r="G17" s="25">
        <v>1.93</v>
      </c>
      <c r="H17" s="25">
        <v>3.76</v>
      </c>
    </row>
    <row r="18" spans="2:10">
      <c r="B18" s="30" t="s">
        <v>118</v>
      </c>
      <c r="C18" s="30"/>
      <c r="D18" s="30"/>
      <c r="E18" s="31"/>
      <c r="F18" s="32">
        <f>SUM(F6:F17)</f>
        <v>3217.1099999999997</v>
      </c>
      <c r="G18" s="32">
        <f>SUM(G6:G17)</f>
        <v>86.84</v>
      </c>
      <c r="H18" s="48"/>
      <c r="I18" s="14"/>
      <c r="J18" s="14"/>
    </row>
    <row r="19" spans="2:10">
      <c r="B19" s="49" t="s">
        <v>119</v>
      </c>
      <c r="C19" s="49"/>
      <c r="D19" s="49"/>
      <c r="E19" s="50"/>
      <c r="F19" s="51">
        <f>F18</f>
        <v>3217.1099999999997</v>
      </c>
      <c r="G19" s="51">
        <f>G18</f>
        <v>86.84</v>
      </c>
      <c r="H19" s="51"/>
      <c r="I19" s="14"/>
      <c r="J19" s="14"/>
    </row>
    <row r="20" spans="2:10">
      <c r="B20" s="47" t="s">
        <v>455</v>
      </c>
      <c r="C20" s="23"/>
      <c r="D20" s="23"/>
      <c r="E20" s="24"/>
      <c r="F20" s="25"/>
      <c r="G20" s="25"/>
      <c r="H20" s="25"/>
    </row>
    <row r="21" spans="2:10">
      <c r="B21" s="47" t="s">
        <v>456</v>
      </c>
      <c r="C21" s="23"/>
      <c r="D21" s="23"/>
      <c r="E21" s="24"/>
      <c r="F21" s="25"/>
      <c r="G21" s="25"/>
      <c r="H21" s="25"/>
    </row>
    <row r="22" spans="2:10">
      <c r="B22" s="23" t="s">
        <v>585</v>
      </c>
      <c r="C22" s="23" t="s">
        <v>586</v>
      </c>
      <c r="D22" s="23" t="s">
        <v>459</v>
      </c>
      <c r="E22" s="28">
        <v>250000</v>
      </c>
      <c r="F22" s="25">
        <v>244.03</v>
      </c>
      <c r="G22" s="25">
        <v>6.59</v>
      </c>
      <c r="H22" s="25">
        <v>3.37</v>
      </c>
    </row>
    <row r="23" spans="2:10">
      <c r="B23" s="30" t="s">
        <v>118</v>
      </c>
      <c r="C23" s="30"/>
      <c r="D23" s="30"/>
      <c r="E23" s="31"/>
      <c r="F23" s="32">
        <f>SUM(F21:F22)</f>
        <v>244.03</v>
      </c>
      <c r="G23" s="32">
        <f>SUM(G21:G22)</f>
        <v>6.59</v>
      </c>
      <c r="H23" s="48"/>
      <c r="I23" s="14"/>
      <c r="J23" s="14"/>
    </row>
    <row r="24" spans="2:10">
      <c r="B24" s="49" t="s">
        <v>119</v>
      </c>
      <c r="C24" s="49"/>
      <c r="D24" s="49"/>
      <c r="E24" s="50"/>
      <c r="F24" s="51">
        <f>+F23</f>
        <v>244.03</v>
      </c>
      <c r="G24" s="51">
        <f>+G23</f>
        <v>6.59</v>
      </c>
      <c r="H24" s="51"/>
      <c r="I24" s="14"/>
      <c r="J24" s="14"/>
    </row>
    <row r="25" spans="2:10">
      <c r="B25" s="47" t="s">
        <v>427</v>
      </c>
      <c r="C25" s="23"/>
      <c r="D25" s="23"/>
      <c r="E25" s="24"/>
      <c r="F25" s="25"/>
      <c r="G25" s="25"/>
      <c r="H25" s="25"/>
    </row>
    <row r="26" spans="2:10">
      <c r="B26" s="52" t="s">
        <v>806</v>
      </c>
      <c r="C26" s="52" t="s">
        <v>807</v>
      </c>
      <c r="D26" s="52" t="s">
        <v>430</v>
      </c>
      <c r="E26" s="53">
        <v>33300</v>
      </c>
      <c r="F26" s="54">
        <v>34.43</v>
      </c>
      <c r="G26" s="54">
        <v>0.93</v>
      </c>
      <c r="H26" s="54">
        <v>3.52</v>
      </c>
    </row>
    <row r="27" spans="2:10">
      <c r="B27" s="55" t="s">
        <v>119</v>
      </c>
      <c r="C27" s="55"/>
      <c r="D27" s="55"/>
      <c r="E27" s="56"/>
      <c r="F27" s="57">
        <f>SUM(F26:F26)</f>
        <v>34.43</v>
      </c>
      <c r="G27" s="57">
        <f>SUM(G26:G26)</f>
        <v>0.93</v>
      </c>
      <c r="H27" s="57"/>
      <c r="I27" s="14"/>
      <c r="J27" s="14"/>
    </row>
    <row r="28" spans="2:10">
      <c r="B28" s="47" t="s">
        <v>120</v>
      </c>
      <c r="C28" s="23"/>
      <c r="D28" s="23"/>
      <c r="E28" s="24"/>
      <c r="F28" s="25"/>
      <c r="G28" s="25"/>
      <c r="H28" s="25"/>
    </row>
    <row r="29" spans="2:10">
      <c r="B29" s="23" t="s">
        <v>120</v>
      </c>
      <c r="C29" s="23"/>
      <c r="D29" s="23"/>
      <c r="E29" s="24"/>
      <c r="F29" s="25">
        <v>51.61</v>
      </c>
      <c r="G29" s="25">
        <v>1.39</v>
      </c>
      <c r="H29" s="25"/>
    </row>
    <row r="30" spans="2:10">
      <c r="B30" s="30" t="s">
        <v>118</v>
      </c>
      <c r="C30" s="30"/>
      <c r="D30" s="30"/>
      <c r="E30" s="31"/>
      <c r="F30" s="32">
        <f>SUM(F28:F29)</f>
        <v>51.61</v>
      </c>
      <c r="G30" s="32">
        <f>SUM(G28:G29)</f>
        <v>1.39</v>
      </c>
      <c r="H30" s="48"/>
      <c r="I30" s="14"/>
      <c r="J30" s="14"/>
    </row>
    <row r="31" spans="2:10">
      <c r="B31" s="34" t="s">
        <v>119</v>
      </c>
      <c r="C31" s="34"/>
      <c r="D31" s="34"/>
      <c r="E31" s="35"/>
      <c r="F31" s="36">
        <f>F30</f>
        <v>51.61</v>
      </c>
      <c r="G31" s="36">
        <f>G30</f>
        <v>1.39</v>
      </c>
      <c r="H31" s="36"/>
      <c r="I31" s="14"/>
      <c r="J31" s="14"/>
    </row>
    <row r="32" spans="2:10">
      <c r="B32" s="44" t="s">
        <v>122</v>
      </c>
      <c r="C32" s="44"/>
      <c r="D32" s="44"/>
      <c r="E32" s="45"/>
      <c r="F32" s="16">
        <f>F33-(+F19+F24+F27+F31)</f>
        <v>157.41000000000031</v>
      </c>
      <c r="G32" s="16">
        <f>G33-(+G19+G24+G27+G31)</f>
        <v>4.2499999999999858</v>
      </c>
      <c r="H32" s="16"/>
      <c r="I32" s="14"/>
      <c r="J32" s="14"/>
    </row>
    <row r="33" spans="2:10">
      <c r="B33" s="44" t="s">
        <v>121</v>
      </c>
      <c r="C33" s="44"/>
      <c r="D33" s="44"/>
      <c r="E33" s="45"/>
      <c r="F33" s="16">
        <v>3704.59</v>
      </c>
      <c r="G33" s="16">
        <v>100</v>
      </c>
      <c r="H33" s="16"/>
      <c r="I33" s="14"/>
      <c r="J33" s="14"/>
    </row>
    <row r="35" spans="2:10">
      <c r="B35" s="14" t="s">
        <v>812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2"/>
  <sheetViews>
    <sheetView workbookViewId="0">
      <selection activeCell="B1" sqref="B1:H1"/>
    </sheetView>
  </sheetViews>
  <sheetFormatPr defaultRowHeight="12"/>
  <cols>
    <col min="1" max="1" width="9.140625" style="1"/>
    <col min="2" max="2" width="60.8554687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>
      <c r="B1" s="61" t="s">
        <v>30</v>
      </c>
      <c r="C1" s="62"/>
      <c r="D1" s="62"/>
      <c r="E1" s="62"/>
      <c r="F1" s="62"/>
      <c r="G1" s="62"/>
      <c r="H1" s="62"/>
    </row>
    <row r="3" spans="2:8" ht="16.5" thickBot="1">
      <c r="B3" s="2" t="s">
        <v>7</v>
      </c>
      <c r="C3" s="3"/>
      <c r="D3" s="4"/>
      <c r="E3" s="5"/>
      <c r="F3" s="6"/>
      <c r="G3" s="6"/>
    </row>
    <row r="4" spans="2:8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>
      <c r="B5" s="17" t="s">
        <v>31</v>
      </c>
      <c r="C5" s="18"/>
      <c r="D5" s="18"/>
      <c r="E5" s="19"/>
      <c r="F5" s="20"/>
      <c r="G5" s="20"/>
      <c r="H5" s="21"/>
    </row>
    <row r="6" spans="2:8">
      <c r="B6" s="22" t="s">
        <v>32</v>
      </c>
      <c r="C6" s="23"/>
      <c r="D6" s="23"/>
      <c r="E6" s="24"/>
      <c r="F6" s="25"/>
      <c r="G6" s="25"/>
      <c r="H6" s="26"/>
    </row>
    <row r="7" spans="2:8">
      <c r="B7" s="27" t="s">
        <v>123</v>
      </c>
      <c r="C7" s="23" t="s">
        <v>124</v>
      </c>
      <c r="D7" s="23" t="s">
        <v>38</v>
      </c>
      <c r="E7" s="28">
        <v>24240</v>
      </c>
      <c r="F7" s="25">
        <v>348.16</v>
      </c>
      <c r="G7" s="25">
        <v>1.7</v>
      </c>
      <c r="H7" s="26"/>
    </row>
    <row r="8" spans="2:8">
      <c r="B8" s="27" t="s">
        <v>36</v>
      </c>
      <c r="C8" s="23" t="s">
        <v>37</v>
      </c>
      <c r="D8" s="23" t="s">
        <v>38</v>
      </c>
      <c r="E8" s="28">
        <v>62500</v>
      </c>
      <c r="F8" s="25">
        <v>334.41</v>
      </c>
      <c r="G8" s="25">
        <v>1.64</v>
      </c>
      <c r="H8" s="26"/>
    </row>
    <row r="9" spans="2:8">
      <c r="B9" s="27" t="s">
        <v>125</v>
      </c>
      <c r="C9" s="23" t="s">
        <v>126</v>
      </c>
      <c r="D9" s="23" t="s">
        <v>127</v>
      </c>
      <c r="E9" s="28">
        <v>23000</v>
      </c>
      <c r="F9" s="25">
        <v>288.83</v>
      </c>
      <c r="G9" s="25">
        <v>1.41</v>
      </c>
      <c r="H9" s="26"/>
    </row>
    <row r="10" spans="2:8">
      <c r="B10" s="27" t="s">
        <v>128</v>
      </c>
      <c r="C10" s="23" t="s">
        <v>129</v>
      </c>
      <c r="D10" s="23" t="s">
        <v>88</v>
      </c>
      <c r="E10" s="28">
        <v>13500</v>
      </c>
      <c r="F10" s="25">
        <v>268.02</v>
      </c>
      <c r="G10" s="25">
        <v>1.31</v>
      </c>
      <c r="H10" s="26"/>
    </row>
    <row r="11" spans="2:8">
      <c r="B11" s="27" t="s">
        <v>130</v>
      </c>
      <c r="C11" s="23" t="s">
        <v>131</v>
      </c>
      <c r="D11" s="23" t="s">
        <v>127</v>
      </c>
      <c r="E11" s="28">
        <v>5000</v>
      </c>
      <c r="F11" s="25">
        <v>143.13999999999999</v>
      </c>
      <c r="G11" s="25">
        <v>0.7</v>
      </c>
      <c r="H11" s="26"/>
    </row>
    <row r="12" spans="2:8">
      <c r="B12" s="27" t="s">
        <v>137</v>
      </c>
      <c r="C12" s="23" t="s">
        <v>138</v>
      </c>
      <c r="D12" s="23" t="s">
        <v>38</v>
      </c>
      <c r="E12" s="28">
        <v>22330</v>
      </c>
      <c r="F12" s="25">
        <v>138.55000000000001</v>
      </c>
      <c r="G12" s="25">
        <v>0.68</v>
      </c>
      <c r="H12" s="26"/>
    </row>
    <row r="13" spans="2:8">
      <c r="B13" s="27" t="s">
        <v>139</v>
      </c>
      <c r="C13" s="23" t="s">
        <v>140</v>
      </c>
      <c r="D13" s="23" t="s">
        <v>141</v>
      </c>
      <c r="E13" s="28">
        <v>5730</v>
      </c>
      <c r="F13" s="25">
        <v>137.26</v>
      </c>
      <c r="G13" s="25">
        <v>0.67</v>
      </c>
      <c r="H13" s="26"/>
    </row>
    <row r="14" spans="2:8">
      <c r="B14" s="27" t="s">
        <v>132</v>
      </c>
      <c r="C14" s="23" t="s">
        <v>133</v>
      </c>
      <c r="D14" s="23" t="s">
        <v>134</v>
      </c>
      <c r="E14" s="28">
        <v>4400</v>
      </c>
      <c r="F14" s="25">
        <v>112.58</v>
      </c>
      <c r="G14" s="25">
        <v>0.55000000000000004</v>
      </c>
      <c r="H14" s="26"/>
    </row>
    <row r="15" spans="2:8">
      <c r="B15" s="27" t="s">
        <v>152</v>
      </c>
      <c r="C15" s="23" t="s">
        <v>153</v>
      </c>
      <c r="D15" s="23" t="s">
        <v>151</v>
      </c>
      <c r="E15" s="28">
        <v>14000</v>
      </c>
      <c r="F15" s="25">
        <v>100.88</v>
      </c>
      <c r="G15" s="25">
        <v>0.49</v>
      </c>
      <c r="H15" s="26"/>
    </row>
    <row r="16" spans="2:8">
      <c r="B16" s="27" t="s">
        <v>239</v>
      </c>
      <c r="C16" s="23" t="s">
        <v>240</v>
      </c>
      <c r="D16" s="23" t="s">
        <v>141</v>
      </c>
      <c r="E16" s="28">
        <v>15000</v>
      </c>
      <c r="F16" s="25">
        <v>88.49</v>
      </c>
      <c r="G16" s="25">
        <v>0.43</v>
      </c>
      <c r="H16" s="26"/>
    </row>
    <row r="17" spans="2:8">
      <c r="B17" s="27" t="s">
        <v>294</v>
      </c>
      <c r="C17" s="23" t="s">
        <v>295</v>
      </c>
      <c r="D17" s="23" t="s">
        <v>169</v>
      </c>
      <c r="E17" s="28">
        <v>9330</v>
      </c>
      <c r="F17" s="25">
        <v>87.87</v>
      </c>
      <c r="G17" s="25">
        <v>0.43</v>
      </c>
      <c r="H17" s="26"/>
    </row>
    <row r="18" spans="2:8">
      <c r="B18" s="27" t="s">
        <v>179</v>
      </c>
      <c r="C18" s="23" t="s">
        <v>180</v>
      </c>
      <c r="D18" s="23" t="s">
        <v>148</v>
      </c>
      <c r="E18" s="28">
        <v>3000</v>
      </c>
      <c r="F18" s="25">
        <v>87.79</v>
      </c>
      <c r="G18" s="25">
        <v>0.43</v>
      </c>
      <c r="H18" s="26"/>
    </row>
    <row r="19" spans="2:8">
      <c r="B19" s="27" t="s">
        <v>33</v>
      </c>
      <c r="C19" s="23" t="s">
        <v>34</v>
      </c>
      <c r="D19" s="23" t="s">
        <v>35</v>
      </c>
      <c r="E19" s="28">
        <v>6370</v>
      </c>
      <c r="F19" s="25">
        <v>82.02</v>
      </c>
      <c r="G19" s="25">
        <v>0.4</v>
      </c>
      <c r="H19" s="26"/>
    </row>
    <row r="20" spans="2:8">
      <c r="B20" s="27" t="s">
        <v>107</v>
      </c>
      <c r="C20" s="23" t="s">
        <v>108</v>
      </c>
      <c r="D20" s="23" t="s">
        <v>109</v>
      </c>
      <c r="E20" s="28">
        <v>15700</v>
      </c>
      <c r="F20" s="25">
        <v>80.02</v>
      </c>
      <c r="G20" s="25">
        <v>0.39</v>
      </c>
      <c r="H20" s="26"/>
    </row>
    <row r="21" spans="2:8">
      <c r="B21" s="27" t="s">
        <v>144</v>
      </c>
      <c r="C21" s="23" t="s">
        <v>145</v>
      </c>
      <c r="D21" s="23" t="s">
        <v>38</v>
      </c>
      <c r="E21" s="28">
        <v>4000</v>
      </c>
      <c r="F21" s="25">
        <v>79.819999999999993</v>
      </c>
      <c r="G21" s="25">
        <v>0.39</v>
      </c>
      <c r="H21" s="26"/>
    </row>
    <row r="22" spans="2:8">
      <c r="B22" s="27" t="s">
        <v>54</v>
      </c>
      <c r="C22" s="23" t="s">
        <v>55</v>
      </c>
      <c r="D22" s="23" t="s">
        <v>56</v>
      </c>
      <c r="E22" s="28">
        <v>9400</v>
      </c>
      <c r="F22" s="25">
        <v>77.61</v>
      </c>
      <c r="G22" s="25">
        <v>0.38</v>
      </c>
      <c r="H22" s="26"/>
    </row>
    <row r="23" spans="2:8">
      <c r="B23" s="27" t="s">
        <v>149</v>
      </c>
      <c r="C23" s="23" t="s">
        <v>150</v>
      </c>
      <c r="D23" s="23" t="s">
        <v>151</v>
      </c>
      <c r="E23" s="28">
        <v>1000</v>
      </c>
      <c r="F23" s="25">
        <v>76.5</v>
      </c>
      <c r="G23" s="25">
        <v>0.37</v>
      </c>
      <c r="H23" s="26"/>
    </row>
    <row r="24" spans="2:8">
      <c r="B24" s="27" t="s">
        <v>215</v>
      </c>
      <c r="C24" s="23" t="s">
        <v>216</v>
      </c>
      <c r="D24" s="23" t="s">
        <v>134</v>
      </c>
      <c r="E24" s="28">
        <v>5000</v>
      </c>
      <c r="F24" s="25">
        <v>76.040000000000006</v>
      </c>
      <c r="G24" s="25">
        <v>0.37</v>
      </c>
      <c r="H24" s="26"/>
    </row>
    <row r="25" spans="2:8">
      <c r="B25" s="27" t="s">
        <v>257</v>
      </c>
      <c r="C25" s="23" t="s">
        <v>258</v>
      </c>
      <c r="D25" s="23" t="s">
        <v>141</v>
      </c>
      <c r="E25" s="28">
        <v>12500</v>
      </c>
      <c r="F25" s="25">
        <v>75.97</v>
      </c>
      <c r="G25" s="25">
        <v>0.37</v>
      </c>
      <c r="H25" s="26"/>
    </row>
    <row r="26" spans="2:8">
      <c r="B26" s="27" t="s">
        <v>102</v>
      </c>
      <c r="C26" s="23" t="s">
        <v>103</v>
      </c>
      <c r="D26" s="23" t="s">
        <v>64</v>
      </c>
      <c r="E26" s="28">
        <v>300</v>
      </c>
      <c r="F26" s="25">
        <v>72.040000000000006</v>
      </c>
      <c r="G26" s="25">
        <v>0.35</v>
      </c>
      <c r="H26" s="26"/>
    </row>
    <row r="27" spans="2:8">
      <c r="B27" s="27" t="s">
        <v>135</v>
      </c>
      <c r="C27" s="23" t="s">
        <v>136</v>
      </c>
      <c r="D27" s="23" t="s">
        <v>134</v>
      </c>
      <c r="E27" s="28">
        <v>1250</v>
      </c>
      <c r="F27" s="25">
        <v>66.19</v>
      </c>
      <c r="G27" s="25">
        <v>0.32</v>
      </c>
      <c r="H27" s="26"/>
    </row>
    <row r="28" spans="2:8">
      <c r="B28" s="27" t="s">
        <v>44</v>
      </c>
      <c r="C28" s="23" t="s">
        <v>45</v>
      </c>
      <c r="D28" s="23" t="s">
        <v>46</v>
      </c>
      <c r="E28" s="28">
        <v>20330</v>
      </c>
      <c r="F28" s="25">
        <v>65.95</v>
      </c>
      <c r="G28" s="25">
        <v>0.32</v>
      </c>
      <c r="H28" s="26"/>
    </row>
    <row r="29" spans="2:8">
      <c r="B29" s="27" t="s">
        <v>42</v>
      </c>
      <c r="C29" s="23" t="s">
        <v>43</v>
      </c>
      <c r="D29" s="23" t="s">
        <v>41</v>
      </c>
      <c r="E29" s="28">
        <v>165</v>
      </c>
      <c r="F29" s="25">
        <v>61.22</v>
      </c>
      <c r="G29" s="25">
        <v>0.3</v>
      </c>
      <c r="H29" s="26"/>
    </row>
    <row r="30" spans="2:8">
      <c r="B30" s="27" t="s">
        <v>59</v>
      </c>
      <c r="C30" s="23" t="s">
        <v>60</v>
      </c>
      <c r="D30" s="23" t="s">
        <v>61</v>
      </c>
      <c r="E30" s="28">
        <v>15000</v>
      </c>
      <c r="F30" s="25">
        <v>56.46</v>
      </c>
      <c r="G30" s="25">
        <v>0.28000000000000003</v>
      </c>
      <c r="H30" s="26"/>
    </row>
    <row r="31" spans="2:8">
      <c r="B31" s="27" t="s">
        <v>89</v>
      </c>
      <c r="C31" s="23" t="s">
        <v>90</v>
      </c>
      <c r="D31" s="23" t="s">
        <v>61</v>
      </c>
      <c r="E31" s="28">
        <v>22000</v>
      </c>
      <c r="F31" s="25">
        <v>54.47</v>
      </c>
      <c r="G31" s="25">
        <v>0.27</v>
      </c>
      <c r="H31" s="26"/>
    </row>
    <row r="32" spans="2:8">
      <c r="B32" s="27" t="s">
        <v>249</v>
      </c>
      <c r="C32" s="23" t="s">
        <v>250</v>
      </c>
      <c r="D32" s="23" t="s">
        <v>127</v>
      </c>
      <c r="E32" s="28">
        <v>3200</v>
      </c>
      <c r="F32" s="25">
        <v>53.13</v>
      </c>
      <c r="G32" s="25">
        <v>0.26</v>
      </c>
      <c r="H32" s="26"/>
    </row>
    <row r="33" spans="2:10">
      <c r="B33" s="27" t="s">
        <v>189</v>
      </c>
      <c r="C33" s="23" t="s">
        <v>190</v>
      </c>
      <c r="D33" s="23" t="s">
        <v>141</v>
      </c>
      <c r="E33" s="28">
        <v>1870</v>
      </c>
      <c r="F33" s="25">
        <v>51.7</v>
      </c>
      <c r="G33" s="25">
        <v>0.25</v>
      </c>
      <c r="H33" s="26"/>
    </row>
    <row r="34" spans="2:10">
      <c r="B34" s="27" t="s">
        <v>100</v>
      </c>
      <c r="C34" s="23" t="s">
        <v>101</v>
      </c>
      <c r="D34" s="23" t="s">
        <v>61</v>
      </c>
      <c r="E34" s="28">
        <v>10000</v>
      </c>
      <c r="F34" s="25">
        <v>50.24</v>
      </c>
      <c r="G34" s="25">
        <v>0.25</v>
      </c>
      <c r="H34" s="26"/>
    </row>
    <row r="35" spans="2:10">
      <c r="B35" s="27" t="s">
        <v>84</v>
      </c>
      <c r="C35" s="23" t="s">
        <v>85</v>
      </c>
      <c r="D35" s="23" t="s">
        <v>64</v>
      </c>
      <c r="E35" s="28">
        <v>900</v>
      </c>
      <c r="F35" s="25">
        <v>47.59</v>
      </c>
      <c r="G35" s="25">
        <v>0.23</v>
      </c>
      <c r="H35" s="26"/>
    </row>
    <row r="36" spans="2:10">
      <c r="B36" s="27" t="s">
        <v>181</v>
      </c>
      <c r="C36" s="23" t="s">
        <v>182</v>
      </c>
      <c r="D36" s="23" t="s">
        <v>56</v>
      </c>
      <c r="E36" s="28">
        <v>1600</v>
      </c>
      <c r="F36" s="25">
        <v>42.06</v>
      </c>
      <c r="G36" s="25">
        <v>0.21</v>
      </c>
      <c r="H36" s="26"/>
    </row>
    <row r="37" spans="2:10">
      <c r="B37" s="27" t="s">
        <v>116</v>
      </c>
      <c r="C37" s="23" t="s">
        <v>117</v>
      </c>
      <c r="D37" s="23" t="s">
        <v>67</v>
      </c>
      <c r="E37" s="28">
        <v>8000</v>
      </c>
      <c r="F37" s="25">
        <v>42.02</v>
      </c>
      <c r="G37" s="25">
        <v>0.21</v>
      </c>
      <c r="H37" s="26"/>
    </row>
    <row r="38" spans="2:10">
      <c r="B38" s="27" t="s">
        <v>243</v>
      </c>
      <c r="C38" s="23" t="s">
        <v>244</v>
      </c>
      <c r="D38" s="23" t="s">
        <v>148</v>
      </c>
      <c r="E38" s="28">
        <v>800</v>
      </c>
      <c r="F38" s="25">
        <v>41.64</v>
      </c>
      <c r="G38" s="25">
        <v>0.2</v>
      </c>
      <c r="H38" s="26"/>
    </row>
    <row r="39" spans="2:10">
      <c r="B39" s="27" t="s">
        <v>276</v>
      </c>
      <c r="C39" s="23" t="s">
        <v>277</v>
      </c>
      <c r="D39" s="23" t="s">
        <v>141</v>
      </c>
      <c r="E39" s="28">
        <v>7700</v>
      </c>
      <c r="F39" s="25">
        <v>41.12</v>
      </c>
      <c r="G39" s="25">
        <v>0.2</v>
      </c>
      <c r="H39" s="26"/>
    </row>
    <row r="40" spans="2:10">
      <c r="B40" s="27" t="s">
        <v>296</v>
      </c>
      <c r="C40" s="23" t="s">
        <v>297</v>
      </c>
      <c r="D40" s="23" t="s">
        <v>214</v>
      </c>
      <c r="E40" s="28">
        <v>1500</v>
      </c>
      <c r="F40" s="25">
        <v>38.14</v>
      </c>
      <c r="G40" s="25">
        <v>0.19</v>
      </c>
      <c r="H40" s="26"/>
    </row>
    <row r="41" spans="2:10">
      <c r="B41" s="27" t="s">
        <v>288</v>
      </c>
      <c r="C41" s="23" t="s">
        <v>289</v>
      </c>
      <c r="D41" s="23" t="s">
        <v>141</v>
      </c>
      <c r="E41" s="28">
        <v>18000</v>
      </c>
      <c r="F41" s="25">
        <v>37.619999999999997</v>
      </c>
      <c r="G41" s="25">
        <v>0.18</v>
      </c>
      <c r="H41" s="26"/>
    </row>
    <row r="42" spans="2:10">
      <c r="B42" s="27" t="s">
        <v>225</v>
      </c>
      <c r="C42" s="23" t="s">
        <v>226</v>
      </c>
      <c r="D42" s="23" t="s">
        <v>127</v>
      </c>
      <c r="E42" s="28">
        <v>2400</v>
      </c>
      <c r="F42" s="25">
        <v>36.409999999999997</v>
      </c>
      <c r="G42" s="25">
        <v>0.18</v>
      </c>
      <c r="H42" s="26"/>
    </row>
    <row r="43" spans="2:10">
      <c r="B43" s="27" t="s">
        <v>91</v>
      </c>
      <c r="C43" s="23" t="s">
        <v>92</v>
      </c>
      <c r="D43" s="23" t="s">
        <v>67</v>
      </c>
      <c r="E43" s="28">
        <v>800</v>
      </c>
      <c r="F43" s="25">
        <v>36.29</v>
      </c>
      <c r="G43" s="25">
        <v>0.18</v>
      </c>
      <c r="H43" s="26"/>
    </row>
    <row r="44" spans="2:10">
      <c r="B44" s="27" t="s">
        <v>159</v>
      </c>
      <c r="C44" s="23" t="s">
        <v>160</v>
      </c>
      <c r="D44" s="23" t="s">
        <v>56</v>
      </c>
      <c r="E44" s="28">
        <v>1800</v>
      </c>
      <c r="F44" s="25">
        <v>28.21</v>
      </c>
      <c r="G44" s="25">
        <v>0.14000000000000001</v>
      </c>
      <c r="H44" s="26"/>
    </row>
    <row r="45" spans="2:10">
      <c r="B45" s="27" t="s">
        <v>154</v>
      </c>
      <c r="C45" s="23" t="s">
        <v>155</v>
      </c>
      <c r="D45" s="23" t="s">
        <v>141</v>
      </c>
      <c r="E45" s="28">
        <v>620</v>
      </c>
      <c r="F45" s="25">
        <v>22.17</v>
      </c>
      <c r="G45" s="25">
        <v>0.11</v>
      </c>
      <c r="H45" s="26"/>
    </row>
    <row r="46" spans="2:10">
      <c r="B46" s="27" t="s">
        <v>212</v>
      </c>
      <c r="C46" s="23" t="s">
        <v>213</v>
      </c>
      <c r="D46" s="23" t="s">
        <v>214</v>
      </c>
      <c r="E46" s="28">
        <v>700</v>
      </c>
      <c r="F46" s="25">
        <v>19.350000000000001</v>
      </c>
      <c r="G46" s="25">
        <v>0.09</v>
      </c>
      <c r="H46" s="26"/>
    </row>
    <row r="47" spans="2:10">
      <c r="B47" s="27" t="s">
        <v>208</v>
      </c>
      <c r="C47" s="23" t="s">
        <v>209</v>
      </c>
      <c r="D47" s="23" t="s">
        <v>134</v>
      </c>
      <c r="E47" s="28">
        <v>1121</v>
      </c>
      <c r="F47" s="25">
        <v>9.5399999999999991</v>
      </c>
      <c r="G47" s="25">
        <v>0.05</v>
      </c>
      <c r="H47" s="26"/>
    </row>
    <row r="48" spans="2:10">
      <c r="B48" s="29" t="s">
        <v>118</v>
      </c>
      <c r="C48" s="30"/>
      <c r="D48" s="30"/>
      <c r="E48" s="31"/>
      <c r="F48" s="32">
        <f>SUM(F7:F47)</f>
        <v>3657.5199999999986</v>
      </c>
      <c r="G48" s="32">
        <f>SUM(G7:G47)</f>
        <v>17.880000000000003</v>
      </c>
      <c r="H48" s="33"/>
      <c r="I48" s="14"/>
      <c r="J48" s="14"/>
    </row>
    <row r="49" spans="2:10">
      <c r="B49" s="37" t="s">
        <v>119</v>
      </c>
      <c r="C49" s="37"/>
      <c r="D49" s="37"/>
      <c r="E49" s="38"/>
      <c r="F49" s="39">
        <f>F48</f>
        <v>3657.5199999999986</v>
      </c>
      <c r="G49" s="39">
        <f>G48</f>
        <v>17.880000000000003</v>
      </c>
      <c r="H49" s="15"/>
      <c r="I49" s="14"/>
      <c r="J49" s="14"/>
    </row>
    <row r="50" spans="2:10">
      <c r="B50" s="46" t="s">
        <v>359</v>
      </c>
      <c r="C50" s="41"/>
      <c r="D50" s="41"/>
      <c r="E50" s="42"/>
      <c r="F50" s="43"/>
      <c r="G50" s="43"/>
      <c r="H50" s="43"/>
    </row>
    <row r="51" spans="2:10">
      <c r="B51" s="47" t="s">
        <v>32</v>
      </c>
      <c r="C51" s="23"/>
      <c r="D51" s="23"/>
      <c r="E51" s="24"/>
      <c r="F51" s="25"/>
      <c r="G51" s="25"/>
      <c r="H51" s="25"/>
    </row>
    <row r="52" spans="2:10">
      <c r="B52" s="23" t="s">
        <v>413</v>
      </c>
      <c r="C52" s="23" t="s">
        <v>414</v>
      </c>
      <c r="D52" s="23" t="s">
        <v>362</v>
      </c>
      <c r="E52" s="28">
        <v>150</v>
      </c>
      <c r="F52" s="25">
        <v>1572.97</v>
      </c>
      <c r="G52" s="25">
        <v>7.7</v>
      </c>
      <c r="H52" s="25">
        <v>3.98</v>
      </c>
    </row>
    <row r="53" spans="2:10">
      <c r="B53" s="23" t="s">
        <v>496</v>
      </c>
      <c r="C53" s="23" t="s">
        <v>497</v>
      </c>
      <c r="D53" s="23" t="s">
        <v>362</v>
      </c>
      <c r="E53" s="28">
        <v>150</v>
      </c>
      <c r="F53" s="25">
        <v>1570.12</v>
      </c>
      <c r="G53" s="25">
        <v>7.68</v>
      </c>
      <c r="H53" s="25">
        <v>4.12</v>
      </c>
    </row>
    <row r="54" spans="2:10">
      <c r="B54" s="23" t="s">
        <v>808</v>
      </c>
      <c r="C54" s="23" t="s">
        <v>809</v>
      </c>
      <c r="D54" s="23" t="s">
        <v>362</v>
      </c>
      <c r="E54" s="28">
        <v>150</v>
      </c>
      <c r="F54" s="25">
        <v>1565.38</v>
      </c>
      <c r="G54" s="25">
        <v>7.66</v>
      </c>
      <c r="H54" s="25">
        <v>4.2</v>
      </c>
    </row>
    <row r="55" spans="2:10">
      <c r="B55" s="23" t="s">
        <v>425</v>
      </c>
      <c r="C55" s="23" t="s">
        <v>426</v>
      </c>
      <c r="D55" s="23" t="s">
        <v>362</v>
      </c>
      <c r="E55" s="28">
        <v>140</v>
      </c>
      <c r="F55" s="25">
        <v>1467.48</v>
      </c>
      <c r="G55" s="25">
        <v>7.18</v>
      </c>
      <c r="H55" s="25">
        <v>3.95</v>
      </c>
    </row>
    <row r="56" spans="2:10">
      <c r="B56" s="23" t="s">
        <v>701</v>
      </c>
      <c r="C56" s="23" t="s">
        <v>702</v>
      </c>
      <c r="D56" s="23" t="s">
        <v>362</v>
      </c>
      <c r="E56" s="28">
        <v>100</v>
      </c>
      <c r="F56" s="25">
        <v>1050.28</v>
      </c>
      <c r="G56" s="25">
        <v>5.14</v>
      </c>
      <c r="H56" s="25">
        <v>4.2</v>
      </c>
    </row>
    <row r="57" spans="2:10">
      <c r="B57" s="23" t="s">
        <v>727</v>
      </c>
      <c r="C57" s="23" t="s">
        <v>728</v>
      </c>
      <c r="D57" s="23" t="s">
        <v>362</v>
      </c>
      <c r="E57" s="28">
        <v>100</v>
      </c>
      <c r="F57" s="25">
        <v>1028.1199999999999</v>
      </c>
      <c r="G57" s="25">
        <v>5.03</v>
      </c>
      <c r="H57" s="25">
        <v>4.17</v>
      </c>
    </row>
    <row r="58" spans="2:10">
      <c r="B58" s="30" t="s">
        <v>118</v>
      </c>
      <c r="C58" s="30"/>
      <c r="D58" s="30"/>
      <c r="E58" s="31"/>
      <c r="F58" s="32">
        <f>SUM(F51:F57)</f>
        <v>8254.35</v>
      </c>
      <c r="G58" s="32">
        <f>SUM(G51:G57)</f>
        <v>40.39</v>
      </c>
      <c r="H58" s="48"/>
      <c r="I58" s="14"/>
      <c r="J58" s="14"/>
    </row>
    <row r="59" spans="2:10">
      <c r="B59" s="49" t="s">
        <v>119</v>
      </c>
      <c r="C59" s="49"/>
      <c r="D59" s="49"/>
      <c r="E59" s="50"/>
      <c r="F59" s="51">
        <f>F58</f>
        <v>8254.35</v>
      </c>
      <c r="G59" s="51">
        <f>G58</f>
        <v>40.39</v>
      </c>
      <c r="H59" s="51"/>
      <c r="I59" s="14"/>
      <c r="J59" s="14"/>
    </row>
    <row r="60" spans="2:10">
      <c r="B60" s="47" t="s">
        <v>427</v>
      </c>
      <c r="C60" s="23"/>
      <c r="D60" s="23"/>
      <c r="E60" s="24"/>
      <c r="F60" s="25"/>
      <c r="G60" s="25"/>
      <c r="H60" s="25"/>
    </row>
    <row r="61" spans="2:10">
      <c r="B61" s="23" t="s">
        <v>717</v>
      </c>
      <c r="C61" s="23" t="s">
        <v>718</v>
      </c>
      <c r="D61" s="23" t="s">
        <v>430</v>
      </c>
      <c r="E61" s="28">
        <v>4200000</v>
      </c>
      <c r="F61" s="25">
        <v>4404.22</v>
      </c>
      <c r="G61" s="25">
        <v>21.56</v>
      </c>
      <c r="H61" s="25">
        <v>4.16</v>
      </c>
    </row>
    <row r="62" spans="2:10">
      <c r="B62" s="23" t="s">
        <v>589</v>
      </c>
      <c r="C62" s="23" t="s">
        <v>590</v>
      </c>
      <c r="D62" s="23" t="s">
        <v>430</v>
      </c>
      <c r="E62" s="28">
        <v>2200000</v>
      </c>
      <c r="F62" s="25">
        <v>2314.38</v>
      </c>
      <c r="G62" s="25">
        <v>11.33</v>
      </c>
      <c r="H62" s="25">
        <v>4.16</v>
      </c>
    </row>
    <row r="63" spans="2:10">
      <c r="B63" s="52" t="s">
        <v>810</v>
      </c>
      <c r="C63" s="52" t="s">
        <v>811</v>
      </c>
      <c r="D63" s="52" t="s">
        <v>430</v>
      </c>
      <c r="E63" s="53">
        <v>220000</v>
      </c>
      <c r="F63" s="54">
        <v>233.03</v>
      </c>
      <c r="G63" s="54">
        <v>1.1399999999999999</v>
      </c>
      <c r="H63" s="54">
        <v>3.89</v>
      </c>
    </row>
    <row r="64" spans="2:10">
      <c r="B64" s="55" t="s">
        <v>119</v>
      </c>
      <c r="C64" s="55"/>
      <c r="D64" s="55"/>
      <c r="E64" s="56"/>
      <c r="F64" s="57">
        <f>SUM(F61:F63)</f>
        <v>6951.63</v>
      </c>
      <c r="G64" s="57">
        <f>SUM(G61:G63)</f>
        <v>34.03</v>
      </c>
      <c r="H64" s="57"/>
      <c r="I64" s="14"/>
      <c r="J64" s="14"/>
    </row>
    <row r="65" spans="2:10">
      <c r="B65" s="47" t="s">
        <v>120</v>
      </c>
      <c r="C65" s="23"/>
      <c r="D65" s="23"/>
      <c r="E65" s="24"/>
      <c r="F65" s="25"/>
      <c r="G65" s="25"/>
      <c r="H65" s="25"/>
    </row>
    <row r="66" spans="2:10">
      <c r="B66" s="23" t="s">
        <v>120</v>
      </c>
      <c r="C66" s="23"/>
      <c r="D66" s="23"/>
      <c r="E66" s="24"/>
      <c r="F66" s="25">
        <v>889.59</v>
      </c>
      <c r="G66" s="25">
        <v>4.3499999999999996</v>
      </c>
      <c r="H66" s="25"/>
    </row>
    <row r="67" spans="2:10">
      <c r="B67" s="30" t="s">
        <v>118</v>
      </c>
      <c r="C67" s="30"/>
      <c r="D67" s="30"/>
      <c r="E67" s="31"/>
      <c r="F67" s="32">
        <f>SUM(F65:F66)</f>
        <v>889.59</v>
      </c>
      <c r="G67" s="32">
        <f>SUM(G65:G66)</f>
        <v>4.3499999999999996</v>
      </c>
      <c r="H67" s="48"/>
      <c r="I67" s="14"/>
      <c r="J67" s="14"/>
    </row>
    <row r="68" spans="2:10">
      <c r="B68" s="34" t="s">
        <v>119</v>
      </c>
      <c r="C68" s="34"/>
      <c r="D68" s="34"/>
      <c r="E68" s="35"/>
      <c r="F68" s="36">
        <f>F67</f>
        <v>889.59</v>
      </c>
      <c r="G68" s="36">
        <f>G67</f>
        <v>4.3499999999999996</v>
      </c>
      <c r="H68" s="36"/>
      <c r="I68" s="14"/>
      <c r="J68" s="14"/>
    </row>
    <row r="69" spans="2:10">
      <c r="B69" s="44" t="s">
        <v>122</v>
      </c>
      <c r="C69" s="44"/>
      <c r="D69" s="44"/>
      <c r="E69" s="45"/>
      <c r="F69" s="16">
        <f>F70-(+F49+F59+F64+F68)</f>
        <v>678.79999999999927</v>
      </c>
      <c r="G69" s="16">
        <f>G70-(+G49+G59+G64+G68)</f>
        <v>3.3499999999999943</v>
      </c>
      <c r="H69" s="16"/>
      <c r="I69" s="14"/>
      <c r="J69" s="14"/>
    </row>
    <row r="70" spans="2:10">
      <c r="B70" s="44" t="s">
        <v>121</v>
      </c>
      <c r="C70" s="44"/>
      <c r="D70" s="44"/>
      <c r="E70" s="45"/>
      <c r="F70" s="16">
        <v>20431.89</v>
      </c>
      <c r="G70" s="16">
        <v>100</v>
      </c>
      <c r="H70" s="16"/>
      <c r="I70" s="14"/>
      <c r="J70" s="14"/>
    </row>
    <row r="72" spans="2:10">
      <c r="B72" s="14" t="s">
        <v>812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Riskometer</vt:lpstr>
      <vt:lpstr>CRI</vt:lpstr>
      <vt:lpstr>CREDF</vt:lpstr>
      <vt:lpstr>CRETSF</vt:lpstr>
      <vt:lpstr>CREE</vt:lpstr>
      <vt:lpstr>CRCTF</vt:lpstr>
      <vt:lpstr>CRBCEF</vt:lpstr>
      <vt:lpstr>CRSCF</vt:lpstr>
      <vt:lpstr>CREHF</vt:lpstr>
      <vt:lpstr>CRDBF</vt:lpstr>
      <vt:lpstr>CRGILT</vt:lpstr>
      <vt:lpstr>CRINC</vt:lpstr>
      <vt:lpstr>CRSF</vt:lpstr>
      <vt:lpstr>CRCHF</vt:lpstr>
      <vt:lpstr>CRG1988</vt:lpstr>
      <vt:lpstr>CRL</vt:lpstr>
      <vt:lpstr>CRUSTF</vt:lpstr>
      <vt:lpstr>CROF</vt:lpstr>
      <vt:lpstr>CRSDF</vt:lpstr>
      <vt:lpstr>CRCBF</vt:lpstr>
      <vt:lpstr>CRCPOF9</vt:lpstr>
      <vt:lpstr>CRDAF1</vt:lpstr>
      <vt:lpstr>CRFMP8</vt:lpstr>
      <vt:lpstr>CRCPOF10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2021-01-08T14:26:42Z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CLAPUBLIC</vt:lpwstr>
  </property>
</Properties>
</file>