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Oct 21\"/>
    </mc:Choice>
  </mc:AlternateContent>
  <bookViews>
    <workbookView xWindow="0" yWindow="0" windowWidth="20490" windowHeight="7350"/>
  </bookViews>
  <sheets>
    <sheet name="DB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" l="1"/>
  <c r="G22" i="1" s="1"/>
  <c r="F21" i="1"/>
  <c r="F22" i="1" s="1"/>
  <c r="G18" i="1"/>
  <c r="F18" i="1"/>
  <c r="G10" i="1"/>
  <c r="G23" i="1" s="1"/>
  <c r="F10" i="1"/>
  <c r="F23" i="1" s="1"/>
  <c r="G9" i="1"/>
  <c r="F9" i="1"/>
</calcChain>
</file>

<file path=xl/sharedStrings.xml><?xml version="1.0" encoding="utf-8"?>
<sst xmlns="http://schemas.openxmlformats.org/spreadsheetml/2006/main" count="50" uniqueCount="41">
  <si>
    <t>CANARA ROBECO DYNAMIC BOND FUND</t>
  </si>
  <si>
    <t>Monthly Portfolio Statement as on October 31,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</si>
  <si>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</si>
  <si>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</si>
  <si>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</si>
  <si>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</si>
  <si>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</si>
  <si>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</si>
  <si>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</si>
  <si>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Risk-o-meter Level- Sep'21</t>
  </si>
  <si>
    <t>Revised Risk-o-meter Level- Oct'21</t>
  </si>
  <si>
    <t>Benchmark Risk-o-meter Level- Oct'21</t>
  </si>
  <si>
    <t>Debt Instruments</t>
  </si>
  <si>
    <t>(a) Listed / awaiting listing on Stock Exchanges</t>
  </si>
  <si>
    <t>7.21% Housing Development Finance Corporation Ltd (30/12/2022) **</t>
  </si>
  <si>
    <t>INE001A07SD3</t>
  </si>
  <si>
    <t>CRISIL AAA</t>
  </si>
  <si>
    <t>8.81% Small Industries Development Bank Of India (25/01/2022) **</t>
  </si>
  <si>
    <t>INE556F08JI1</t>
  </si>
  <si>
    <t>CARE AAA</t>
  </si>
  <si>
    <t>Sub Total</t>
  </si>
  <si>
    <t>Total</t>
  </si>
  <si>
    <t>Government Bonds</t>
  </si>
  <si>
    <t>8.79% GOI (08/11/2021)</t>
  </si>
  <si>
    <t>IN0020110030</t>
  </si>
  <si>
    <t>Sovereign</t>
  </si>
  <si>
    <t>6.10% INDIA GOVERNMENT 12-JUL-31</t>
  </si>
  <si>
    <t>IN0020210095</t>
  </si>
  <si>
    <t>Benchmark: CRISIL Composite Bond Fund Index</t>
  </si>
  <si>
    <t>7.57% GOI (17/06/2033)</t>
  </si>
  <si>
    <t>IN0020190065</t>
  </si>
  <si>
    <t>6.67% INDIA GOVERNMENT 15-DEC-35</t>
  </si>
  <si>
    <t>IN0020210152</t>
  </si>
  <si>
    <t>7.17% GOI (08/01/2028)</t>
  </si>
  <si>
    <t>IN0020170174</t>
  </si>
  <si>
    <t>6.68% GOI (17/09/2031)</t>
  </si>
  <si>
    <t>IN0020170042</t>
  </si>
  <si>
    <t>TREPS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</si>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</sst>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4" fontId="2" fillId="3" borderId="0" xfId="0" applyNumberFormat="1" applyFont="1" applyFill="1"/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3" borderId="6" xfId="0" applyFont="1" applyFill="1" applyBorder="1"/>
    <xf numFmtId="0" fontId="2" fillId="3" borderId="6" xfId="0" applyFont="1" applyFill="1" applyBorder="1"/>
    <xf numFmtId="0" fontId="2" fillId="3" borderId="6" xfId="0" applyNumberFormat="1" applyFont="1" applyFill="1" applyBorder="1"/>
    <xf numFmtId="4" fontId="2" fillId="3" borderId="6" xfId="0" applyNumberFormat="1" applyFont="1" applyFill="1" applyBorder="1"/>
    <xf numFmtId="0" fontId="2" fillId="3" borderId="7" xfId="0" applyFont="1" applyFill="1" applyBorder="1" applyAlignment="1">
      <alignment horizontal="center"/>
    </xf>
    <xf numFmtId="0" fontId="8" fillId="3" borderId="8" xfId="0" applyFont="1" applyFill="1" applyBorder="1"/>
    <xf numFmtId="0" fontId="2" fillId="3" borderId="8" xfId="0" applyFont="1" applyFill="1" applyBorder="1"/>
    <xf numFmtId="0" fontId="2" fillId="3" borderId="8" xfId="0" applyNumberFormat="1" applyFont="1" applyFill="1" applyBorder="1"/>
    <xf numFmtId="4" fontId="2" fillId="3" borderId="8" xfId="0" applyNumberFormat="1" applyFont="1" applyFill="1" applyBorder="1"/>
    <xf numFmtId="0" fontId="2" fillId="3" borderId="9" xfId="0" applyFont="1" applyFill="1" applyBorder="1" applyAlignment="1">
      <alignment horizontal="center"/>
    </xf>
    <xf numFmtId="3" fontId="2" fillId="3" borderId="8" xfId="0" applyNumberFormat="1" applyFont="1" applyFill="1" applyBorder="1"/>
    <xf numFmtId="0" fontId="8" fillId="3" borderId="10" xfId="0" applyFont="1" applyFill="1" applyBorder="1"/>
    <xf numFmtId="0" fontId="8" fillId="3" borderId="10" xfId="0" applyNumberFormat="1" applyFont="1" applyFill="1" applyBorder="1"/>
    <xf numFmtId="4" fontId="8" fillId="3" borderId="11" xfId="0" applyNumberFormat="1" applyFont="1" applyFill="1" applyBorder="1"/>
    <xf numFmtId="4" fontId="8" fillId="3" borderId="10" xfId="0" applyNumberFormat="1" applyFont="1" applyFill="1" applyBorder="1"/>
    <xf numFmtId="0" fontId="8" fillId="3" borderId="12" xfId="0" applyFont="1" applyFill="1" applyBorder="1"/>
    <xf numFmtId="0" fontId="8" fillId="3" borderId="12" xfId="0" applyNumberFormat="1" applyFont="1" applyFill="1" applyBorder="1"/>
    <xf numFmtId="4" fontId="8" fillId="3" borderId="12" xfId="0" applyNumberFormat="1" applyFont="1" applyFill="1" applyBorder="1"/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/>
    <xf numFmtId="3" fontId="2" fillId="3" borderId="14" xfId="0" applyNumberFormat="1" applyFont="1" applyFill="1" applyBorder="1"/>
    <xf numFmtId="4" fontId="2" fillId="3" borderId="14" xfId="0" applyNumberFormat="1" applyFont="1" applyFill="1" applyBorder="1"/>
    <xf numFmtId="0" fontId="8" fillId="3" borderId="15" xfId="0" applyFont="1" applyFill="1" applyBorder="1"/>
    <xf numFmtId="0" fontId="8" fillId="3" borderId="15" xfId="0" applyNumberFormat="1" applyFont="1" applyFill="1" applyBorder="1"/>
    <xf numFmtId="4" fontId="8" fillId="3" borderId="15" xfId="0" applyNumberFormat="1" applyFont="1" applyFill="1" applyBorder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6" xfId="0" applyNumberFormat="1" applyFont="1" applyFill="1" applyBorder="1"/>
    <xf numFmtId="0" fontId="8" fillId="3" borderId="5" xfId="0" applyFont="1" applyFill="1" applyBorder="1"/>
    <xf numFmtId="0" fontId="8" fillId="3" borderId="5" xfId="0" applyNumberFormat="1" applyFont="1" applyFill="1" applyBorder="1"/>
    <xf numFmtId="4" fontId="8" fillId="3" borderId="5" xfId="0" applyNumberFormat="1" applyFont="1" applyFill="1" applyBorder="1"/>
    <xf numFmtId="0" fontId="8" fillId="3" borderId="0" xfId="0" applyFont="1" applyFill="1"/>
    <xf numFmtId="0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</xdr:colOff>
      <xdr:row>4</xdr:row>
      <xdr:rowOff>28575</xdr:rowOff>
    </xdr:from>
    <xdr:to>
      <xdr:col>9</xdr:col>
      <xdr:colOff>1676400</xdr:colOff>
      <xdr:row>11</xdr:row>
      <xdr:rowOff>114300</xdr:rowOff>
    </xdr:to>
    <xdr:pic>
      <xdr:nvPicPr>
        <xdr:cNvPr id="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28575</xdr:colOff>
      <xdr:row>4</xdr:row>
      <xdr:rowOff>38100</xdr:rowOff>
    </xdr:from>
    <xdr:to>
      <xdr:col>10</xdr:col>
      <xdr:colOff>1666875</xdr:colOff>
      <xdr:row>11</xdr:row>
      <xdr:rowOff>123825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0" y="1047750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28575</xdr:colOff>
      <xdr:row>4</xdr:row>
      <xdr:rowOff>38100</xdr:rowOff>
    </xdr:from>
    <xdr:to>
      <xdr:col>11</xdr:col>
      <xdr:colOff>1666875</xdr:colOff>
      <xdr:row>11</xdr:row>
      <xdr:rowOff>123825</xdr:rowOff>
    </xdr:to>
    <xdr:pic>
      <xdr:nvPicPr>
        <xdr:cNvPr id="4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5425" y="1047750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6"/>
  <sheetViews>
    <sheetView tabSelected="1" workbookViewId="0">
      <selection activeCell="A4" sqref="A4"/>
    </sheetView>
  </sheetViews>
  <sheetFormatPr defaultRowHeight="12"/>
  <cols>
    <col min="1" max="1" width="9.140625" style="3"/>
    <col min="2" max="2" width="58.28515625" style="3" bestFit="1" customWidth="1"/>
    <col min="3" max="3" width="13.42578125" style="3" bestFit="1" customWidth="1"/>
    <col min="4" max="4" width="14.140625" style="3" bestFit="1" customWidth="1"/>
    <col min="5" max="5" width="8.85546875" style="48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25.85546875" style="3" customWidth="1"/>
    <col min="11" max="11" width="25.28515625" style="3" customWidth="1"/>
    <col min="12" max="12" width="25.570312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  <c r="H1" s="2"/>
    </row>
    <row r="3" spans="2:12" ht="16.5" thickBot="1">
      <c r="B3" s="4" t="s">
        <v>1</v>
      </c>
      <c r="C3" s="5"/>
      <c r="D3" s="6"/>
      <c r="E3" s="7"/>
      <c r="F3" s="8"/>
      <c r="G3" s="8"/>
    </row>
    <row r="4" spans="2:12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2">
      <c r="B5" s="16" t="s">
        <v>12</v>
      </c>
      <c r="C5" s="17"/>
      <c r="D5" s="17"/>
      <c r="E5" s="18"/>
      <c r="F5" s="19"/>
      <c r="G5" s="19"/>
      <c r="H5" s="19"/>
      <c r="J5" s="20"/>
      <c r="K5" s="20"/>
      <c r="L5" s="20"/>
    </row>
    <row r="6" spans="2:12">
      <c r="B6" s="21" t="s">
        <v>13</v>
      </c>
      <c r="C6" s="22"/>
      <c r="D6" s="22"/>
      <c r="E6" s="23"/>
      <c r="F6" s="24"/>
      <c r="G6" s="24"/>
      <c r="H6" s="24"/>
      <c r="J6" s="25"/>
      <c r="K6" s="25"/>
      <c r="L6" s="25"/>
    </row>
    <row r="7" spans="2:12">
      <c r="B7" s="22" t="s">
        <v>14</v>
      </c>
      <c r="C7" s="22" t="s">
        <v>15</v>
      </c>
      <c r="D7" s="22" t="s">
        <v>16</v>
      </c>
      <c r="E7" s="26">
        <v>50</v>
      </c>
      <c r="F7" s="24">
        <v>513.76</v>
      </c>
      <c r="G7" s="24">
        <v>4.05</v>
      </c>
      <c r="H7" s="24">
        <v>4.7</v>
      </c>
      <c r="J7" s="25"/>
      <c r="K7" s="25"/>
      <c r="L7" s="25"/>
    </row>
    <row r="8" spans="2:12">
      <c r="B8" s="22" t="s">
        <v>17</v>
      </c>
      <c r="C8" s="22" t="s">
        <v>18</v>
      </c>
      <c r="D8" s="22" t="s">
        <v>19</v>
      </c>
      <c r="E8" s="26">
        <v>50</v>
      </c>
      <c r="F8" s="24">
        <v>505.55</v>
      </c>
      <c r="G8" s="24">
        <v>3.99</v>
      </c>
      <c r="H8" s="24">
        <v>3.8</v>
      </c>
      <c r="J8" s="25"/>
      <c r="K8" s="25"/>
      <c r="L8" s="25"/>
    </row>
    <row r="9" spans="2:12">
      <c r="B9" s="27" t="s">
        <v>20</v>
      </c>
      <c r="C9" s="27"/>
      <c r="D9" s="27"/>
      <c r="E9" s="28"/>
      <c r="F9" s="29">
        <f>SUM(F6:F8)</f>
        <v>1019.31</v>
      </c>
      <c r="G9" s="29">
        <f>SUM(G6:G8)</f>
        <v>8.0399999999999991</v>
      </c>
      <c r="H9" s="30"/>
      <c r="J9" s="25"/>
      <c r="K9" s="25"/>
      <c r="L9" s="25"/>
    </row>
    <row r="10" spans="2:12">
      <c r="B10" s="31" t="s">
        <v>21</v>
      </c>
      <c r="C10" s="31"/>
      <c r="D10" s="31"/>
      <c r="E10" s="32"/>
      <c r="F10" s="33">
        <f>F9</f>
        <v>1019.31</v>
      </c>
      <c r="G10" s="33">
        <f>G9</f>
        <v>8.0399999999999991</v>
      </c>
      <c r="H10" s="33"/>
      <c r="J10" s="25"/>
      <c r="K10" s="25"/>
      <c r="L10" s="25"/>
    </row>
    <row r="11" spans="2:12">
      <c r="B11" s="21" t="s">
        <v>22</v>
      </c>
      <c r="C11" s="22"/>
      <c r="D11" s="22"/>
      <c r="E11" s="23"/>
      <c r="F11" s="24"/>
      <c r="G11" s="24"/>
      <c r="H11" s="24"/>
      <c r="J11" s="25"/>
      <c r="K11" s="25"/>
      <c r="L11" s="25"/>
    </row>
    <row r="12" spans="2:12">
      <c r="B12" s="22" t="s">
        <v>23</v>
      </c>
      <c r="C12" s="22" t="s">
        <v>24</v>
      </c>
      <c r="D12" s="22" t="s">
        <v>25</v>
      </c>
      <c r="E12" s="26">
        <v>5000000</v>
      </c>
      <c r="F12" s="24">
        <v>5004.8999999999996</v>
      </c>
      <c r="G12" s="24">
        <v>39.47</v>
      </c>
      <c r="H12" s="24">
        <v>4.1100000000000003</v>
      </c>
      <c r="J12" s="34"/>
      <c r="K12" s="34"/>
      <c r="L12" s="34"/>
    </row>
    <row r="13" spans="2:12">
      <c r="B13" s="22" t="s">
        <v>26</v>
      </c>
      <c r="C13" s="22" t="s">
        <v>27</v>
      </c>
      <c r="D13" s="22" t="s">
        <v>25</v>
      </c>
      <c r="E13" s="26">
        <v>2038500</v>
      </c>
      <c r="F13" s="24">
        <v>1996.49</v>
      </c>
      <c r="G13" s="24">
        <v>15.75</v>
      </c>
      <c r="H13" s="24">
        <v>6.39</v>
      </c>
      <c r="L13" s="3" t="s">
        <v>28</v>
      </c>
    </row>
    <row r="14" spans="2:12">
      <c r="B14" s="22" t="s">
        <v>29</v>
      </c>
      <c r="C14" s="22" t="s">
        <v>30</v>
      </c>
      <c r="D14" s="22" t="s">
        <v>25</v>
      </c>
      <c r="E14" s="26">
        <v>600000</v>
      </c>
      <c r="F14" s="24">
        <v>640.20000000000005</v>
      </c>
      <c r="G14" s="24">
        <v>5.05</v>
      </c>
      <c r="H14" s="24">
        <v>6.73</v>
      </c>
    </row>
    <row r="15" spans="2:12">
      <c r="B15" s="22" t="s">
        <v>31</v>
      </c>
      <c r="C15" s="22" t="s">
        <v>32</v>
      </c>
      <c r="D15" s="22" t="s">
        <v>25</v>
      </c>
      <c r="E15" s="26">
        <v>500000</v>
      </c>
      <c r="F15" s="24">
        <v>492.44</v>
      </c>
      <c r="G15" s="24">
        <v>3.88</v>
      </c>
      <c r="H15" s="24">
        <v>6.84</v>
      </c>
    </row>
    <row r="16" spans="2:12">
      <c r="B16" s="22" t="s">
        <v>33</v>
      </c>
      <c r="C16" s="22" t="s">
        <v>34</v>
      </c>
      <c r="D16" s="22" t="s">
        <v>25</v>
      </c>
      <c r="E16" s="26">
        <v>100000</v>
      </c>
      <c r="F16" s="24">
        <v>104.89</v>
      </c>
      <c r="G16" s="24">
        <v>0.83</v>
      </c>
      <c r="H16" s="24">
        <v>6.2</v>
      </c>
    </row>
    <row r="17" spans="2:8">
      <c r="B17" s="35" t="s">
        <v>35</v>
      </c>
      <c r="C17" s="35" t="s">
        <v>36</v>
      </c>
      <c r="D17" s="35" t="s">
        <v>25</v>
      </c>
      <c r="E17" s="36">
        <v>23200</v>
      </c>
      <c r="F17" s="37">
        <v>23.55</v>
      </c>
      <c r="G17" s="37">
        <v>0.19</v>
      </c>
      <c r="H17" s="37">
        <v>6.47</v>
      </c>
    </row>
    <row r="18" spans="2:8">
      <c r="B18" s="38" t="s">
        <v>21</v>
      </c>
      <c r="C18" s="38"/>
      <c r="D18" s="38"/>
      <c r="E18" s="39"/>
      <c r="F18" s="40">
        <f>SUM(F12:F17)</f>
        <v>8262.4699999999975</v>
      </c>
      <c r="G18" s="40">
        <f>SUM(G12:G17)</f>
        <v>65.169999999999987</v>
      </c>
      <c r="H18" s="40"/>
    </row>
    <row r="19" spans="2:8">
      <c r="B19" s="21" t="s">
        <v>37</v>
      </c>
      <c r="C19" s="22"/>
      <c r="D19" s="22"/>
      <c r="E19" s="23"/>
      <c r="F19" s="24"/>
      <c r="G19" s="24"/>
      <c r="H19" s="24"/>
    </row>
    <row r="20" spans="2:8">
      <c r="B20" s="22" t="s">
        <v>37</v>
      </c>
      <c r="C20" s="22"/>
      <c r="D20" s="22"/>
      <c r="E20" s="23"/>
      <c r="F20" s="24">
        <v>3541.73</v>
      </c>
      <c r="G20" s="24">
        <v>27.93</v>
      </c>
      <c r="H20" s="24"/>
    </row>
    <row r="21" spans="2:8">
      <c r="B21" s="27" t="s">
        <v>20</v>
      </c>
      <c r="C21" s="27"/>
      <c r="D21" s="27"/>
      <c r="E21" s="28"/>
      <c r="F21" s="29">
        <f>SUM(F19:F20)</f>
        <v>3541.73</v>
      </c>
      <c r="G21" s="29">
        <f>SUM(G19:G20)</f>
        <v>27.93</v>
      </c>
      <c r="H21" s="30"/>
    </row>
    <row r="22" spans="2:8">
      <c r="B22" s="41" t="s">
        <v>21</v>
      </c>
      <c r="C22" s="41"/>
      <c r="D22" s="41"/>
      <c r="E22" s="42"/>
      <c r="F22" s="43">
        <f>F21</f>
        <v>3541.73</v>
      </c>
      <c r="G22" s="43">
        <f>G21</f>
        <v>27.93</v>
      </c>
      <c r="H22" s="43"/>
    </row>
    <row r="23" spans="2:8">
      <c r="B23" s="44" t="s">
        <v>38</v>
      </c>
      <c r="C23" s="44"/>
      <c r="D23" s="44"/>
      <c r="E23" s="45"/>
      <c r="F23" s="46">
        <f>F24-(+F10+F18+F22)</f>
        <v>-144.12999999999738</v>
      </c>
      <c r="G23" s="46">
        <f>G24-(+G10+G18+G22)</f>
        <v>-1.1399999999999864</v>
      </c>
      <c r="H23" s="46"/>
    </row>
    <row r="24" spans="2:8">
      <c r="B24" s="44" t="s">
        <v>39</v>
      </c>
      <c r="C24" s="44"/>
      <c r="D24" s="44"/>
      <c r="E24" s="45"/>
      <c r="F24" s="46">
        <v>12679.38</v>
      </c>
      <c r="G24" s="46">
        <v>100</v>
      </c>
      <c r="H24" s="46"/>
    </row>
    <row r="26" spans="2:8">
      <c r="B26" s="47" t="s">
        <v>40</v>
      </c>
    </row>
  </sheetData>
  <mergeCells count="4">
    <mergeCell ref="B1:H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2021-11-08T10:39:15Z</dcterms:created>
  <dcterms:modified xsi:type="dcterms:W3CDTF">2021-11-08T10:39:18Z</dcterms:modified>
</cp:coreProperties>
</file>