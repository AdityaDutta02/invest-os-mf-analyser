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pril 2023\"/>
    </mc:Choice>
  </mc:AlternateContent>
  <bookViews>
    <workbookView xWindow="0" yWindow="0" windowWidth="20490" windowHeight="7620"/>
  </bookViews>
  <sheets>
    <sheet name="IN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1" l="1"/>
  <c r="G44" i="1" s="1"/>
  <c r="F43" i="1"/>
  <c r="F44" i="1" s="1"/>
  <c r="G39" i="1"/>
  <c r="G40" i="1" s="1"/>
  <c r="F39" i="1"/>
  <c r="F40" i="1" s="1"/>
  <c r="F45" i="1" s="1"/>
  <c r="G45" i="1" l="1"/>
</calcChain>
</file>

<file path=xl/sharedStrings.xml><?xml version="1.0" encoding="utf-8"?>
<sst xmlns="http://schemas.openxmlformats.org/spreadsheetml/2006/main" count="153" uniqueCount="105">
  <si>
    <t>CANARA ROBECO INFRASTRUCTURE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</si>
  <si>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</si>
  <si>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</si>
  <si>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</si>
  <si>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</si>
  <si>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</si>
  <si>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</si>
  <si>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</si>
  <si>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</si>
  <si>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Apr'23</t>
  </si>
  <si>
    <t>Benchmark Risk-o-meter Level- Apr'23</t>
  </si>
  <si>
    <t>Scheme Risk-o-meter Level- Mar'23</t>
  </si>
  <si>
    <t>Equity &amp; Equity related</t>
  </si>
  <si>
    <t>(a) Listed / awaiting listing on Stock Exchanges</t>
  </si>
  <si>
    <t>Larsen &amp; Toubro Ltd</t>
  </si>
  <si>
    <t>INE018A01030</t>
  </si>
  <si>
    <t>Construction</t>
  </si>
  <si>
    <t>Large Cap</t>
  </si>
  <si>
    <t>Bharat Electronics Ltd</t>
  </si>
  <si>
    <t>INE263A01024</t>
  </si>
  <si>
    <t>Aerospace &amp; Defense</t>
  </si>
  <si>
    <t>ICICI Bank Ltd</t>
  </si>
  <si>
    <t>INE090A01021</t>
  </si>
  <si>
    <t>Banks</t>
  </si>
  <si>
    <t>NTPC Ltd</t>
  </si>
  <si>
    <t>INE733E01010</t>
  </si>
  <si>
    <t>Power</t>
  </si>
  <si>
    <t>State Bank of India</t>
  </si>
  <si>
    <t>INE062A01020</t>
  </si>
  <si>
    <t>Siemens Ltd</t>
  </si>
  <si>
    <t>INE003A01024</t>
  </si>
  <si>
    <t>Electrical Equipment</t>
  </si>
  <si>
    <t>Schaeffler India Ltd</t>
  </si>
  <si>
    <t>INE513A01022</t>
  </si>
  <si>
    <t>Auto Components</t>
  </si>
  <si>
    <t>Mid Cap</t>
  </si>
  <si>
    <t>Benchmark: S&amp;P BSE India Infrastructure TRI</t>
  </si>
  <si>
    <t>Reliance Industries Ltd</t>
  </si>
  <si>
    <t>INE002A01018</t>
  </si>
  <si>
    <t>Petroleum Products</t>
  </si>
  <si>
    <t>Power Grid Corporation of India Ltd</t>
  </si>
  <si>
    <t>INE752E01010</t>
  </si>
  <si>
    <t>ABB India Ltd</t>
  </si>
  <si>
    <t>INE117A01022</t>
  </si>
  <si>
    <t>Interglobe Aviation Ltd</t>
  </si>
  <si>
    <t>INE646L01027</t>
  </si>
  <si>
    <t>Transport Services</t>
  </si>
  <si>
    <t>KNR Constructions Ltd</t>
  </si>
  <si>
    <t>INE634I01029</t>
  </si>
  <si>
    <t>Small Cap</t>
  </si>
  <si>
    <t>Brigade Enterprises Ltd</t>
  </si>
  <si>
    <t>INE791I01019</t>
  </si>
  <si>
    <t>Realty</t>
  </si>
  <si>
    <t>Thermax Ltd</t>
  </si>
  <si>
    <t>INE152A01029</t>
  </si>
  <si>
    <t>Blue Dart Express Ltd</t>
  </si>
  <si>
    <t>INE233B01017</t>
  </si>
  <si>
    <t>Grindwell Norton Ltd</t>
  </si>
  <si>
    <t>INE536A01023</t>
  </si>
  <si>
    <t>Industrial Products</t>
  </si>
  <si>
    <t xml:space="preserve"> Mid Cap</t>
  </si>
  <si>
    <t>Hindalco Industries Ltd</t>
  </si>
  <si>
    <t>INE038A01020</t>
  </si>
  <si>
    <t>Non - Ferrous Metals</t>
  </si>
  <si>
    <t>Honeywell Automation India Ltd</t>
  </si>
  <si>
    <t>INE671A01010</t>
  </si>
  <si>
    <t>Industrial Manufacturing</t>
  </si>
  <si>
    <t>KEC International Ltd</t>
  </si>
  <si>
    <t>INE389H01022</t>
  </si>
  <si>
    <t>Tata Steel Ltd</t>
  </si>
  <si>
    <t>INE081A01020</t>
  </si>
  <si>
    <t>Ferrous Metals</t>
  </si>
  <si>
    <t>VRL Logistics Ltd</t>
  </si>
  <si>
    <t>INE366I01010</t>
  </si>
  <si>
    <t>TCI Express Ltd</t>
  </si>
  <si>
    <t>INE586V01016</t>
  </si>
  <si>
    <t>KEI Industries Ltd</t>
  </si>
  <si>
    <t>INE878B01027</t>
  </si>
  <si>
    <t>Kaynes Technology India Ltd</t>
  </si>
  <si>
    <t>INE918Z01012</t>
  </si>
  <si>
    <t>AIA Engineering Ltd</t>
  </si>
  <si>
    <t>INE212H01026</t>
  </si>
  <si>
    <t>Ultratech Cement Ltd</t>
  </si>
  <si>
    <t>INE481G01011</t>
  </si>
  <si>
    <t>Cement &amp; Cement Products</t>
  </si>
  <si>
    <t>Container Corporation Of India Ltd</t>
  </si>
  <si>
    <t>INE111A01025</t>
  </si>
  <si>
    <t>PNC Infratech Ltd</t>
  </si>
  <si>
    <t>INE195J01029</t>
  </si>
  <si>
    <t>J.K. Cement Ltd</t>
  </si>
  <si>
    <t>INE823G01014</t>
  </si>
  <si>
    <t>Bosch Ltd</t>
  </si>
  <si>
    <t>INE323A01026</t>
  </si>
  <si>
    <t>Timken India Ltd</t>
  </si>
  <si>
    <t>INE325A01013</t>
  </si>
  <si>
    <t>Gujarat Gas Ltd</t>
  </si>
  <si>
    <t>INE844O01030</t>
  </si>
  <si>
    <t>Gas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</si>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</sst>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11" xfId="1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49" fontId="10" fillId="4" borderId="20" xfId="0" applyNumberFormat="1" applyFont="1" applyFill="1" applyBorder="1"/>
    <xf numFmtId="2" fontId="10" fillId="0" borderId="21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172F9-6A70-4B68-8E26-8EB897E29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8073" y="102870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0F6440-3CA7-4EF2-B4DB-6C8E22328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2184" y="105727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CEDC75E0-691F-42F6-9ADB-802E74039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79334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27"/>
  <sheetViews>
    <sheetView tabSelected="1" workbookViewId="0">
      <selection activeCell="A4" sqref="A4"/>
    </sheetView>
  </sheetViews>
  <sheetFormatPr defaultRowHeight="12"/>
  <cols>
    <col min="1" max="1" width="9.140625" style="3"/>
    <col min="2" max="2" width="54.42578125" style="3" bestFit="1" customWidth="1"/>
    <col min="3" max="3" width="13.28515625" style="3" bestFit="1" customWidth="1"/>
    <col min="4" max="4" width="23.42578125" style="3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4.42578125" style="3" customWidth="1"/>
    <col min="9" max="9" width="10" style="4" bestFit="1" customWidth="1"/>
    <col min="10" max="10" width="32.7109375" style="4" customWidth="1"/>
    <col min="11" max="12" width="32.710937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19"/>
      <c r="J5" s="20"/>
      <c r="K5" s="20"/>
      <c r="L5" s="20"/>
    </row>
    <row r="6" spans="2:12">
      <c r="B6" s="21" t="s">
        <v>13</v>
      </c>
      <c r="C6" s="22"/>
      <c r="D6" s="22"/>
      <c r="E6" s="23"/>
      <c r="F6" s="24"/>
      <c r="G6" s="24"/>
      <c r="H6" s="24"/>
      <c r="J6" s="25"/>
      <c r="K6" s="25"/>
      <c r="L6" s="25"/>
    </row>
    <row r="7" spans="2:12">
      <c r="B7" s="26" t="s">
        <v>14</v>
      </c>
      <c r="C7" s="22" t="s">
        <v>15</v>
      </c>
      <c r="D7" s="22" t="s">
        <v>16</v>
      </c>
      <c r="E7" s="27">
        <v>119300</v>
      </c>
      <c r="F7" s="24">
        <v>2820.73</v>
      </c>
      <c r="G7" s="24">
        <v>10.050000000000001</v>
      </c>
      <c r="H7" s="24" t="s">
        <v>17</v>
      </c>
      <c r="J7" s="25"/>
      <c r="K7" s="25"/>
      <c r="L7" s="25"/>
    </row>
    <row r="8" spans="2:12">
      <c r="B8" s="26" t="s">
        <v>18</v>
      </c>
      <c r="C8" s="22" t="s">
        <v>19</v>
      </c>
      <c r="D8" s="22" t="s">
        <v>20</v>
      </c>
      <c r="E8" s="27">
        <v>1889000</v>
      </c>
      <c r="F8" s="24">
        <v>1951.34</v>
      </c>
      <c r="G8" s="24">
        <v>6.96</v>
      </c>
      <c r="H8" s="24" t="s">
        <v>17</v>
      </c>
      <c r="J8" s="25"/>
      <c r="K8" s="25"/>
      <c r="L8" s="25"/>
    </row>
    <row r="9" spans="2:12">
      <c r="B9" s="26" t="s">
        <v>21</v>
      </c>
      <c r="C9" s="22" t="s">
        <v>22</v>
      </c>
      <c r="D9" s="22" t="s">
        <v>23</v>
      </c>
      <c r="E9" s="27">
        <v>187500</v>
      </c>
      <c r="F9" s="24">
        <v>1720.59</v>
      </c>
      <c r="G9" s="24">
        <v>6.13</v>
      </c>
      <c r="H9" s="24" t="s">
        <v>17</v>
      </c>
      <c r="J9" s="25"/>
      <c r="K9" s="25"/>
      <c r="L9" s="25"/>
    </row>
    <row r="10" spans="2:12">
      <c r="B10" s="26" t="s">
        <v>24</v>
      </c>
      <c r="C10" s="22" t="s">
        <v>25</v>
      </c>
      <c r="D10" s="22" t="s">
        <v>26</v>
      </c>
      <c r="E10" s="27">
        <v>974600</v>
      </c>
      <c r="F10" s="24">
        <v>1676.31</v>
      </c>
      <c r="G10" s="24">
        <v>5.98</v>
      </c>
      <c r="H10" s="24" t="s">
        <v>17</v>
      </c>
      <c r="J10" s="25"/>
      <c r="K10" s="25"/>
      <c r="L10" s="25"/>
    </row>
    <row r="11" spans="2:12">
      <c r="B11" s="26" t="s">
        <v>27</v>
      </c>
      <c r="C11" s="22" t="s">
        <v>28</v>
      </c>
      <c r="D11" s="22" t="s">
        <v>23</v>
      </c>
      <c r="E11" s="27">
        <v>257000</v>
      </c>
      <c r="F11" s="24">
        <v>1486.23</v>
      </c>
      <c r="G11" s="24">
        <v>5.3</v>
      </c>
      <c r="H11" s="24" t="s">
        <v>17</v>
      </c>
      <c r="J11" s="25"/>
      <c r="K11" s="25"/>
      <c r="L11" s="25"/>
    </row>
    <row r="12" spans="2:12">
      <c r="B12" s="26" t="s">
        <v>29</v>
      </c>
      <c r="C12" s="22" t="s">
        <v>30</v>
      </c>
      <c r="D12" s="22" t="s">
        <v>31</v>
      </c>
      <c r="E12" s="27">
        <v>37050</v>
      </c>
      <c r="F12" s="24">
        <v>1278.08</v>
      </c>
      <c r="G12" s="24">
        <v>4.5599999999999996</v>
      </c>
      <c r="H12" s="24" t="s">
        <v>17</v>
      </c>
      <c r="J12" s="28"/>
      <c r="K12" s="28"/>
      <c r="L12" s="28"/>
    </row>
    <row r="13" spans="2:12">
      <c r="B13" s="26" t="s">
        <v>32</v>
      </c>
      <c r="C13" s="22" t="s">
        <v>33</v>
      </c>
      <c r="D13" s="22" t="s">
        <v>34</v>
      </c>
      <c r="E13" s="27">
        <v>42499</v>
      </c>
      <c r="F13" s="24">
        <v>1179.2</v>
      </c>
      <c r="G13" s="24">
        <v>4.2</v>
      </c>
      <c r="H13" s="24" t="s">
        <v>35</v>
      </c>
      <c r="K13" s="29" t="s">
        <v>36</v>
      </c>
      <c r="L13" s="4"/>
    </row>
    <row r="14" spans="2:12">
      <c r="B14" s="26" t="s">
        <v>37</v>
      </c>
      <c r="C14" s="22" t="s">
        <v>38</v>
      </c>
      <c r="D14" s="22" t="s">
        <v>39</v>
      </c>
      <c r="E14" s="27">
        <v>47500</v>
      </c>
      <c r="F14" s="24">
        <v>1149.74</v>
      </c>
      <c r="G14" s="24">
        <v>4.0999999999999996</v>
      </c>
      <c r="H14" s="24" t="s">
        <v>17</v>
      </c>
      <c r="K14" s="4"/>
      <c r="L14" s="4"/>
    </row>
    <row r="15" spans="2:12">
      <c r="B15" s="26" t="s">
        <v>40</v>
      </c>
      <c r="C15" s="22" t="s">
        <v>41</v>
      </c>
      <c r="D15" s="22" t="s">
        <v>26</v>
      </c>
      <c r="E15" s="27">
        <v>439410</v>
      </c>
      <c r="F15" s="24">
        <v>1042.5</v>
      </c>
      <c r="G15" s="24">
        <v>3.72</v>
      </c>
      <c r="H15" s="24" t="s">
        <v>17</v>
      </c>
      <c r="K15" s="4"/>
      <c r="L15" s="4"/>
    </row>
    <row r="16" spans="2:12">
      <c r="B16" s="26" t="s">
        <v>42</v>
      </c>
      <c r="C16" s="22" t="s">
        <v>43</v>
      </c>
      <c r="D16" s="22" t="s">
        <v>31</v>
      </c>
      <c r="E16" s="27">
        <v>30250</v>
      </c>
      <c r="F16" s="24">
        <v>1033.93</v>
      </c>
      <c r="G16" s="24">
        <v>3.69</v>
      </c>
      <c r="H16" s="24" t="s">
        <v>17</v>
      </c>
      <c r="K16" s="4"/>
      <c r="L16" s="4"/>
    </row>
    <row r="17" spans="2:12">
      <c r="B17" s="26" t="s">
        <v>44</v>
      </c>
      <c r="C17" s="22" t="s">
        <v>45</v>
      </c>
      <c r="D17" s="22" t="s">
        <v>46</v>
      </c>
      <c r="E17" s="27">
        <v>47500</v>
      </c>
      <c r="F17" s="24">
        <v>959.95</v>
      </c>
      <c r="G17" s="24">
        <v>3.42</v>
      </c>
      <c r="H17" s="24" t="s">
        <v>17</v>
      </c>
      <c r="K17" s="4"/>
      <c r="L17" s="4"/>
    </row>
    <row r="18" spans="2:12">
      <c r="B18" s="26" t="s">
        <v>47</v>
      </c>
      <c r="C18" s="22" t="s">
        <v>48</v>
      </c>
      <c r="D18" s="22" t="s">
        <v>16</v>
      </c>
      <c r="E18" s="27">
        <v>352874</v>
      </c>
      <c r="F18" s="24">
        <v>847.6</v>
      </c>
      <c r="G18" s="24">
        <v>3.02</v>
      </c>
      <c r="H18" s="24" t="s">
        <v>49</v>
      </c>
      <c r="K18" s="4"/>
      <c r="L18" s="4"/>
    </row>
    <row r="19" spans="2:12">
      <c r="B19" s="26" t="s">
        <v>50</v>
      </c>
      <c r="C19" s="22" t="s">
        <v>51</v>
      </c>
      <c r="D19" s="22" t="s">
        <v>52</v>
      </c>
      <c r="E19" s="27">
        <v>160000</v>
      </c>
      <c r="F19" s="24">
        <v>803.04</v>
      </c>
      <c r="G19" s="24">
        <v>2.86</v>
      </c>
      <c r="H19" s="24" t="s">
        <v>49</v>
      </c>
      <c r="K19" s="4"/>
      <c r="L19" s="4"/>
    </row>
    <row r="20" spans="2:12">
      <c r="B20" s="26" t="s">
        <v>53</v>
      </c>
      <c r="C20" s="22" t="s">
        <v>54</v>
      </c>
      <c r="D20" s="22" t="s">
        <v>31</v>
      </c>
      <c r="E20" s="27">
        <v>34520</v>
      </c>
      <c r="F20" s="24">
        <v>789.35</v>
      </c>
      <c r="G20" s="24">
        <v>2.81</v>
      </c>
      <c r="H20" s="24" t="s">
        <v>35</v>
      </c>
      <c r="K20" s="4"/>
      <c r="L20" s="4"/>
    </row>
    <row r="21" spans="2:12">
      <c r="B21" s="26" t="s">
        <v>55</v>
      </c>
      <c r="C21" s="22" t="s">
        <v>56</v>
      </c>
      <c r="D21" s="22" t="s">
        <v>46</v>
      </c>
      <c r="E21" s="27">
        <v>12250</v>
      </c>
      <c r="F21" s="24">
        <v>727.78</v>
      </c>
      <c r="G21" s="24">
        <v>2.59</v>
      </c>
      <c r="H21" s="24" t="s">
        <v>35</v>
      </c>
      <c r="K21" s="4"/>
      <c r="L21" s="4"/>
    </row>
    <row r="22" spans="2:12">
      <c r="B22" s="26" t="s">
        <v>57</v>
      </c>
      <c r="C22" s="22" t="s">
        <v>58</v>
      </c>
      <c r="D22" s="22" t="s">
        <v>59</v>
      </c>
      <c r="E22" s="27">
        <v>36500</v>
      </c>
      <c r="F22" s="24">
        <v>693.65</v>
      </c>
      <c r="G22" s="24">
        <v>2.4700000000000002</v>
      </c>
      <c r="H22" s="24" t="s">
        <v>60</v>
      </c>
      <c r="K22" s="4"/>
      <c r="L22" s="4"/>
    </row>
    <row r="23" spans="2:12">
      <c r="B23" s="26" t="s">
        <v>61</v>
      </c>
      <c r="C23" s="22" t="s">
        <v>62</v>
      </c>
      <c r="D23" s="22" t="s">
        <v>63</v>
      </c>
      <c r="E23" s="27">
        <v>132300</v>
      </c>
      <c r="F23" s="24">
        <v>576.96</v>
      </c>
      <c r="G23" s="24">
        <v>2.06</v>
      </c>
      <c r="H23" s="24" t="s">
        <v>17</v>
      </c>
      <c r="K23" s="4"/>
      <c r="L23" s="4"/>
    </row>
    <row r="24" spans="2:12">
      <c r="B24" s="26" t="s">
        <v>64</v>
      </c>
      <c r="C24" s="22" t="s">
        <v>65</v>
      </c>
      <c r="D24" s="22" t="s">
        <v>66</v>
      </c>
      <c r="E24" s="27">
        <v>1560</v>
      </c>
      <c r="F24" s="24">
        <v>555.29</v>
      </c>
      <c r="G24" s="24">
        <v>1.98</v>
      </c>
      <c r="H24" s="24" t="s">
        <v>35</v>
      </c>
      <c r="K24" s="4"/>
      <c r="L24" s="4"/>
    </row>
    <row r="25" spans="2:12">
      <c r="B25" s="26" t="s">
        <v>67</v>
      </c>
      <c r="C25" s="22" t="s">
        <v>68</v>
      </c>
      <c r="D25" s="22" t="s">
        <v>31</v>
      </c>
      <c r="E25" s="27">
        <v>120500</v>
      </c>
      <c r="F25" s="24">
        <v>553.03</v>
      </c>
      <c r="G25" s="24">
        <v>1.97</v>
      </c>
      <c r="H25" s="24" t="s">
        <v>49</v>
      </c>
      <c r="K25" s="4"/>
      <c r="L25" s="4"/>
    </row>
    <row r="26" spans="2:12">
      <c r="B26" s="26" t="s">
        <v>69</v>
      </c>
      <c r="C26" s="22" t="s">
        <v>70</v>
      </c>
      <c r="D26" s="22" t="s">
        <v>71</v>
      </c>
      <c r="E26" s="27">
        <v>497500</v>
      </c>
      <c r="F26" s="24">
        <v>537.04999999999995</v>
      </c>
      <c r="G26" s="24">
        <v>1.91</v>
      </c>
      <c r="H26" s="24" t="s">
        <v>17</v>
      </c>
      <c r="K26" s="4"/>
      <c r="L26" s="4"/>
    </row>
    <row r="27" spans="2:12">
      <c r="B27" s="26" t="s">
        <v>72</v>
      </c>
      <c r="C27" s="22" t="s">
        <v>73</v>
      </c>
      <c r="D27" s="22" t="s">
        <v>46</v>
      </c>
      <c r="E27" s="27">
        <v>84241</v>
      </c>
      <c r="F27" s="24">
        <v>531.1</v>
      </c>
      <c r="G27" s="24">
        <v>1.89</v>
      </c>
      <c r="H27" s="24" t="s">
        <v>49</v>
      </c>
      <c r="K27" s="4"/>
      <c r="L27" s="4"/>
    </row>
    <row r="28" spans="2:12">
      <c r="B28" s="26" t="s">
        <v>74</v>
      </c>
      <c r="C28" s="22" t="s">
        <v>75</v>
      </c>
      <c r="D28" s="22" t="s">
        <v>46</v>
      </c>
      <c r="E28" s="27">
        <v>33243</v>
      </c>
      <c r="F28" s="24">
        <v>489.92</v>
      </c>
      <c r="G28" s="24">
        <v>1.75</v>
      </c>
      <c r="H28" s="24" t="s">
        <v>49</v>
      </c>
      <c r="K28" s="4"/>
      <c r="L28" s="4"/>
    </row>
    <row r="29" spans="2:12">
      <c r="B29" s="26" t="s">
        <v>76</v>
      </c>
      <c r="C29" s="22" t="s">
        <v>77</v>
      </c>
      <c r="D29" s="22" t="s">
        <v>59</v>
      </c>
      <c r="E29" s="27">
        <v>23500</v>
      </c>
      <c r="F29" s="24">
        <v>445.34</v>
      </c>
      <c r="G29" s="24">
        <v>1.59</v>
      </c>
      <c r="H29" s="24" t="s">
        <v>49</v>
      </c>
      <c r="K29" s="4"/>
      <c r="L29" s="4"/>
    </row>
    <row r="30" spans="2:12">
      <c r="B30" s="26" t="s">
        <v>78</v>
      </c>
      <c r="C30" s="22" t="s">
        <v>79</v>
      </c>
      <c r="D30" s="22" t="s">
        <v>66</v>
      </c>
      <c r="E30" s="27">
        <v>45000</v>
      </c>
      <c r="F30" s="24">
        <v>444.35</v>
      </c>
      <c r="G30" s="24">
        <v>1.58</v>
      </c>
      <c r="H30" s="24" t="s">
        <v>49</v>
      </c>
      <c r="K30" s="4"/>
      <c r="L30" s="4"/>
    </row>
    <row r="31" spans="2:12">
      <c r="B31" s="26" t="s">
        <v>80</v>
      </c>
      <c r="C31" s="22" t="s">
        <v>81</v>
      </c>
      <c r="D31" s="22" t="s">
        <v>59</v>
      </c>
      <c r="E31" s="27">
        <v>15000</v>
      </c>
      <c r="F31" s="24">
        <v>407.81</v>
      </c>
      <c r="G31" s="24">
        <v>1.45</v>
      </c>
      <c r="H31" s="24" t="s">
        <v>35</v>
      </c>
      <c r="K31" s="4"/>
      <c r="L31" s="4"/>
    </row>
    <row r="32" spans="2:12">
      <c r="B32" s="26" t="s">
        <v>82</v>
      </c>
      <c r="C32" s="22" t="s">
        <v>83</v>
      </c>
      <c r="D32" s="22" t="s">
        <v>84</v>
      </c>
      <c r="E32" s="27">
        <v>5350</v>
      </c>
      <c r="F32" s="24">
        <v>404.26</v>
      </c>
      <c r="G32" s="24">
        <v>1.44</v>
      </c>
      <c r="H32" s="24" t="s">
        <v>17</v>
      </c>
      <c r="K32" s="4"/>
      <c r="L32" s="4"/>
    </row>
    <row r="33" spans="2:12">
      <c r="B33" s="26" t="s">
        <v>85</v>
      </c>
      <c r="C33" s="22" t="s">
        <v>86</v>
      </c>
      <c r="D33" s="22" t="s">
        <v>46</v>
      </c>
      <c r="E33" s="27">
        <v>66000</v>
      </c>
      <c r="F33" s="24">
        <v>403.72</v>
      </c>
      <c r="G33" s="24">
        <v>1.44</v>
      </c>
      <c r="H33" s="24" t="s">
        <v>35</v>
      </c>
      <c r="K33" s="4"/>
      <c r="L33" s="4"/>
    </row>
    <row r="34" spans="2:12">
      <c r="B34" s="26" t="s">
        <v>87</v>
      </c>
      <c r="C34" s="22" t="s">
        <v>88</v>
      </c>
      <c r="D34" s="22" t="s">
        <v>16</v>
      </c>
      <c r="E34" s="27">
        <v>121000</v>
      </c>
      <c r="F34" s="24">
        <v>342.91</v>
      </c>
      <c r="G34" s="24">
        <v>1.22</v>
      </c>
      <c r="H34" s="24" t="s">
        <v>49</v>
      </c>
      <c r="K34" s="4"/>
      <c r="L34" s="4"/>
    </row>
    <row r="35" spans="2:12">
      <c r="B35" s="26" t="s">
        <v>89</v>
      </c>
      <c r="C35" s="22" t="s">
        <v>90</v>
      </c>
      <c r="D35" s="22" t="s">
        <v>84</v>
      </c>
      <c r="E35" s="27">
        <v>10500</v>
      </c>
      <c r="F35" s="24">
        <v>314.3</v>
      </c>
      <c r="G35" s="24">
        <v>1.1200000000000001</v>
      </c>
      <c r="H35" s="24" t="s">
        <v>35</v>
      </c>
      <c r="K35" s="4"/>
      <c r="L35" s="4"/>
    </row>
    <row r="36" spans="2:12">
      <c r="B36" s="26" t="s">
        <v>91</v>
      </c>
      <c r="C36" s="22" t="s">
        <v>92</v>
      </c>
      <c r="D36" s="22" t="s">
        <v>34</v>
      </c>
      <c r="E36" s="27">
        <v>1400</v>
      </c>
      <c r="F36" s="24">
        <v>271.20999999999998</v>
      </c>
      <c r="G36" s="24">
        <v>0.97</v>
      </c>
      <c r="H36" s="24" t="s">
        <v>17</v>
      </c>
      <c r="K36" s="4"/>
      <c r="L36" s="4"/>
    </row>
    <row r="37" spans="2:12">
      <c r="B37" s="26" t="s">
        <v>93</v>
      </c>
      <c r="C37" s="22" t="s">
        <v>94</v>
      </c>
      <c r="D37" s="22" t="s">
        <v>59</v>
      </c>
      <c r="E37" s="27">
        <v>7750</v>
      </c>
      <c r="F37" s="24">
        <v>231.21</v>
      </c>
      <c r="G37" s="24">
        <v>0.82</v>
      </c>
      <c r="H37" s="24" t="s">
        <v>35</v>
      </c>
      <c r="K37" s="4"/>
      <c r="L37" s="4"/>
    </row>
    <row r="38" spans="2:12">
      <c r="B38" s="26" t="s">
        <v>95</v>
      </c>
      <c r="C38" s="22" t="s">
        <v>96</v>
      </c>
      <c r="D38" s="22" t="s">
        <v>97</v>
      </c>
      <c r="E38" s="27">
        <v>44726</v>
      </c>
      <c r="F38" s="24">
        <v>209.21</v>
      </c>
      <c r="G38" s="24">
        <v>0.75</v>
      </c>
      <c r="H38" s="24" t="s">
        <v>35</v>
      </c>
      <c r="K38" s="4"/>
      <c r="L38" s="4"/>
    </row>
    <row r="39" spans="2:12">
      <c r="B39" s="30" t="s">
        <v>98</v>
      </c>
      <c r="C39" s="31"/>
      <c r="D39" s="31"/>
      <c r="E39" s="32"/>
      <c r="F39" s="33">
        <f>SUM(F7:F38)</f>
        <v>26877.689999999991</v>
      </c>
      <c r="G39" s="33">
        <f>SUM(G7:G38)</f>
        <v>95.800000000000011</v>
      </c>
      <c r="H39" s="33"/>
      <c r="K39" s="4"/>
      <c r="L39" s="4"/>
    </row>
    <row r="40" spans="2:12">
      <c r="B40" s="34" t="s">
        <v>99</v>
      </c>
      <c r="C40" s="34"/>
      <c r="D40" s="34"/>
      <c r="E40" s="35"/>
      <c r="F40" s="36">
        <f>F39</f>
        <v>26877.689999999991</v>
      </c>
      <c r="G40" s="36">
        <f>G39</f>
        <v>95.800000000000011</v>
      </c>
      <c r="H40" s="36"/>
      <c r="K40" s="4"/>
      <c r="L40" s="4"/>
    </row>
    <row r="41" spans="2:12">
      <c r="B41" s="37" t="s">
        <v>100</v>
      </c>
      <c r="C41" s="38"/>
      <c r="D41" s="38"/>
      <c r="E41" s="39"/>
      <c r="F41" s="40"/>
      <c r="G41" s="40"/>
      <c r="H41" s="40"/>
      <c r="K41" s="4"/>
      <c r="L41" s="4"/>
    </row>
    <row r="42" spans="2:12">
      <c r="B42" s="26" t="s">
        <v>100</v>
      </c>
      <c r="C42" s="26"/>
      <c r="D42" s="22"/>
      <c r="E42" s="23"/>
      <c r="F42" s="24">
        <v>1164.05</v>
      </c>
      <c r="G42" s="24">
        <v>4.1500000000000004</v>
      </c>
      <c r="H42" s="24"/>
      <c r="K42" s="4"/>
      <c r="L42" s="4"/>
    </row>
    <row r="43" spans="2:12">
      <c r="B43" s="30" t="s">
        <v>98</v>
      </c>
      <c r="C43" s="31"/>
      <c r="D43" s="31"/>
      <c r="E43" s="32"/>
      <c r="F43" s="33">
        <f>SUM(F41:F42)</f>
        <v>1164.05</v>
      </c>
      <c r="G43" s="33">
        <f>SUM(G41:G42)</f>
        <v>4.1500000000000004</v>
      </c>
      <c r="H43" s="33"/>
      <c r="K43" s="4"/>
      <c r="L43" s="4"/>
    </row>
    <row r="44" spans="2:12">
      <c r="B44" s="41" t="s">
        <v>99</v>
      </c>
      <c r="C44" s="41"/>
      <c r="D44" s="41"/>
      <c r="E44" s="42"/>
      <c r="F44" s="43">
        <f>F43</f>
        <v>1164.05</v>
      </c>
      <c r="G44" s="43">
        <f>G43</f>
        <v>4.1500000000000004</v>
      </c>
      <c r="H44" s="43"/>
      <c r="K44" s="4"/>
      <c r="L44" s="4"/>
    </row>
    <row r="45" spans="2:12">
      <c r="B45" s="44" t="s">
        <v>101</v>
      </c>
      <c r="C45" s="44"/>
      <c r="D45" s="44"/>
      <c r="E45" s="45"/>
      <c r="F45" s="46">
        <f>F46-(+F40+F44)</f>
        <v>12.920000000009168</v>
      </c>
      <c r="G45" s="46">
        <f>G46-(+G40+G44)</f>
        <v>4.9999999999982947E-2</v>
      </c>
      <c r="H45" s="46"/>
      <c r="K45" s="4"/>
      <c r="L45" s="4"/>
    </row>
    <row r="46" spans="2:12">
      <c r="B46" s="44" t="s">
        <v>102</v>
      </c>
      <c r="C46" s="44"/>
      <c r="D46" s="44"/>
      <c r="E46" s="45"/>
      <c r="F46" s="46">
        <v>28054.66</v>
      </c>
      <c r="G46" s="46">
        <v>100</v>
      </c>
      <c r="H46" s="46"/>
      <c r="K46" s="4"/>
      <c r="L46" s="4"/>
    </row>
    <row r="47" spans="2:12" ht="12.75" thickBot="1">
      <c r="K47" s="4"/>
      <c r="L47" s="4"/>
    </row>
    <row r="48" spans="2:12" ht="13.5" thickTop="1" thickBot="1">
      <c r="B48" s="49" t="s">
        <v>103</v>
      </c>
      <c r="C48" s="50" t="s">
        <v>104</v>
      </c>
      <c r="K48" s="4"/>
      <c r="L48" s="4"/>
    </row>
    <row r="49" spans="11:12" ht="12.75" thickTop="1">
      <c r="K49" s="4"/>
      <c r="L49" s="4"/>
    </row>
    <row r="50" spans="11:12">
      <c r="K50" s="4"/>
      <c r="L50" s="4"/>
    </row>
    <row r="51" spans="11:12">
      <c r="K51" s="4"/>
      <c r="L51" s="4"/>
    </row>
    <row r="52" spans="11:12">
      <c r="K52" s="4"/>
      <c r="L52" s="4"/>
    </row>
    <row r="53" spans="11:12">
      <c r="K53" s="4"/>
      <c r="L53" s="4"/>
    </row>
    <row r="54" spans="11:12">
      <c r="K54" s="4"/>
      <c r="L54" s="4"/>
    </row>
    <row r="55" spans="11:12">
      <c r="K55" s="4"/>
      <c r="L55" s="4"/>
    </row>
    <row r="56" spans="11:12">
      <c r="K56" s="4"/>
      <c r="L56" s="4"/>
    </row>
    <row r="57" spans="11:12">
      <c r="K57" s="4"/>
      <c r="L57" s="4"/>
    </row>
    <row r="58" spans="11:12">
      <c r="K58" s="4"/>
      <c r="L58" s="4"/>
    </row>
    <row r="59" spans="11:12">
      <c r="K59" s="4"/>
      <c r="L59" s="4"/>
    </row>
    <row r="60" spans="11:12">
      <c r="K60" s="4"/>
      <c r="L60" s="4"/>
    </row>
    <row r="61" spans="11:12">
      <c r="K61" s="4"/>
      <c r="L61" s="4"/>
    </row>
    <row r="62" spans="11:12">
      <c r="K62" s="4"/>
      <c r="L62" s="4"/>
    </row>
    <row r="63" spans="11:12">
      <c r="K63" s="4"/>
      <c r="L63" s="4"/>
    </row>
    <row r="64" spans="11:12">
      <c r="K64" s="4"/>
      <c r="L64" s="4"/>
    </row>
    <row r="65" spans="11:12">
      <c r="K65" s="4"/>
      <c r="L65" s="4"/>
    </row>
    <row r="66" spans="11:12">
      <c r="K66" s="4"/>
      <c r="L66" s="4"/>
    </row>
    <row r="67" spans="11:12">
      <c r="K67" s="4"/>
      <c r="L67" s="4"/>
    </row>
    <row r="68" spans="11:12">
      <c r="K68" s="4"/>
      <c r="L68" s="4"/>
    </row>
    <row r="69" spans="11:12">
      <c r="K69" s="4"/>
      <c r="L69" s="4"/>
    </row>
    <row r="70" spans="11:12">
      <c r="K70" s="4"/>
      <c r="L70" s="4"/>
    </row>
    <row r="71" spans="11:12">
      <c r="K71" s="4"/>
      <c r="L71" s="4"/>
    </row>
    <row r="72" spans="11:12">
      <c r="K72" s="4"/>
      <c r="L72" s="4"/>
    </row>
    <row r="73" spans="11:12">
      <c r="K73" s="4"/>
      <c r="L73" s="4"/>
    </row>
    <row r="74" spans="11:12">
      <c r="K74" s="4"/>
      <c r="L74" s="4"/>
    </row>
    <row r="75" spans="11:12">
      <c r="K75" s="4"/>
      <c r="L75" s="4"/>
    </row>
    <row r="76" spans="11:12">
      <c r="K76" s="4"/>
      <c r="L76" s="4"/>
    </row>
    <row r="77" spans="11:12">
      <c r="K77" s="4"/>
      <c r="L77" s="4"/>
    </row>
    <row r="78" spans="11:12">
      <c r="K78" s="4"/>
      <c r="L78" s="4"/>
    </row>
    <row r="79" spans="11:12">
      <c r="K79" s="4"/>
      <c r="L79" s="4"/>
    </row>
    <row r="80" spans="11:12">
      <c r="K80" s="4"/>
      <c r="L80" s="4"/>
    </row>
    <row r="81" spans="11:12">
      <c r="K81" s="4"/>
      <c r="L81" s="4"/>
    </row>
    <row r="82" spans="11:12">
      <c r="K82" s="4"/>
      <c r="L82" s="4"/>
    </row>
    <row r="83" spans="11:12">
      <c r="K83" s="4"/>
      <c r="L83" s="4"/>
    </row>
    <row r="84" spans="11:12">
      <c r="K84" s="4"/>
      <c r="L84" s="4"/>
    </row>
    <row r="85" spans="11:12">
      <c r="K85" s="4"/>
      <c r="L85" s="4"/>
    </row>
    <row r="86" spans="11:12">
      <c r="K86" s="4"/>
      <c r="L86" s="4"/>
    </row>
    <row r="87" spans="11:12">
      <c r="K87" s="4"/>
      <c r="L87" s="4"/>
    </row>
    <row r="88" spans="11:12">
      <c r="K88" s="4"/>
      <c r="L88" s="4"/>
    </row>
    <row r="89" spans="11:12">
      <c r="K89" s="4"/>
      <c r="L89" s="4"/>
    </row>
    <row r="90" spans="11:12">
      <c r="K90" s="4"/>
      <c r="L90" s="4"/>
    </row>
    <row r="91" spans="11:12">
      <c r="K91" s="4"/>
      <c r="L91" s="4"/>
    </row>
    <row r="92" spans="11:12">
      <c r="K92" s="4"/>
      <c r="L92" s="4"/>
    </row>
    <row r="93" spans="11:12">
      <c r="K93" s="4"/>
      <c r="L93" s="4"/>
    </row>
    <row r="94" spans="11:12">
      <c r="K94" s="4"/>
      <c r="L94" s="4"/>
    </row>
    <row r="95" spans="11:12">
      <c r="K95" s="4"/>
      <c r="L95" s="4"/>
    </row>
    <row r="96" spans="11:12">
      <c r="K96" s="4"/>
      <c r="L96" s="4"/>
    </row>
    <row r="97" spans="11:12">
      <c r="K97" s="4"/>
      <c r="L97" s="4"/>
    </row>
    <row r="98" spans="11:12">
      <c r="K98" s="4"/>
      <c r="L98" s="4"/>
    </row>
    <row r="99" spans="11:12">
      <c r="K99" s="4"/>
      <c r="L99" s="4"/>
    </row>
    <row r="100" spans="11:12">
      <c r="K100" s="4"/>
      <c r="L100" s="4"/>
    </row>
    <row r="101" spans="11:12">
      <c r="K101" s="4"/>
      <c r="L101" s="4"/>
    </row>
    <row r="102" spans="11:12">
      <c r="K102" s="4"/>
      <c r="L102" s="4"/>
    </row>
    <row r="103" spans="11:12">
      <c r="K103" s="4"/>
      <c r="L103" s="4"/>
    </row>
    <row r="104" spans="11:12">
      <c r="K104" s="4"/>
      <c r="L104" s="4"/>
    </row>
    <row r="105" spans="11:12">
      <c r="K105" s="4"/>
      <c r="L105" s="4"/>
    </row>
    <row r="106" spans="11:12">
      <c r="K106" s="4"/>
      <c r="L106" s="4"/>
    </row>
    <row r="107" spans="11:12">
      <c r="K107" s="4"/>
      <c r="L107" s="4"/>
    </row>
    <row r="108" spans="11:12">
      <c r="K108" s="4"/>
      <c r="L108" s="4"/>
    </row>
    <row r="109" spans="11:12">
      <c r="K109" s="4"/>
      <c r="L109" s="4"/>
    </row>
    <row r="110" spans="11:12">
      <c r="K110" s="4"/>
      <c r="L110" s="4"/>
    </row>
    <row r="111" spans="11:12">
      <c r="K111" s="4"/>
      <c r="L111" s="4"/>
    </row>
    <row r="112" spans="11:12">
      <c r="K112" s="4"/>
      <c r="L112" s="4"/>
    </row>
    <row r="113" spans="11:12">
      <c r="K113" s="4"/>
      <c r="L113" s="4"/>
    </row>
    <row r="114" spans="11:12">
      <c r="K114" s="4"/>
      <c r="L114" s="4"/>
    </row>
    <row r="115" spans="11:12">
      <c r="K115" s="4"/>
      <c r="L115" s="4"/>
    </row>
    <row r="116" spans="11:12">
      <c r="K116" s="4"/>
      <c r="L116" s="4"/>
    </row>
    <row r="117" spans="11:12">
      <c r="K117" s="4"/>
      <c r="L117" s="4"/>
    </row>
    <row r="118" spans="11:12">
      <c r="K118" s="4"/>
      <c r="L118" s="4"/>
    </row>
    <row r="119" spans="11:12">
      <c r="K119" s="4"/>
      <c r="L119" s="4"/>
    </row>
    <row r="120" spans="11:12">
      <c r="K120" s="4"/>
      <c r="L120" s="4"/>
    </row>
    <row r="121" spans="11:12">
      <c r="K121" s="4"/>
      <c r="L121" s="4"/>
    </row>
    <row r="122" spans="11:12">
      <c r="K122" s="4"/>
      <c r="L122" s="4"/>
    </row>
    <row r="123" spans="11:12">
      <c r="K123" s="4"/>
      <c r="L123" s="4"/>
    </row>
    <row r="124" spans="11:12">
      <c r="K124" s="4"/>
      <c r="L124" s="4"/>
    </row>
    <row r="125" spans="11:12">
      <c r="K125" s="4"/>
      <c r="L125" s="4"/>
    </row>
    <row r="126" spans="11:12">
      <c r="K126" s="4"/>
      <c r="L126" s="4"/>
    </row>
    <row r="127" spans="11:12">
      <c r="K127" s="4"/>
      <c r="L127" s="4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2023-05-04 17:43:23</KDate>
  <Classification>Public</Classification>
  <Subclassification/>
  <HostName>MUMCMP00935</HostName>
  <Domain_User>CANARAROBECOMF/628</Domain_User>
  <IPAdd>192.9.198.194</IPAdd>
  <FilePath>Book4</FilePath>
  <KID>C025A5607E97638188190037856673</KID>
  <UniqueName/>
  <Suggested/>
  <Justification/>
</Klassify>
</file>

<file path=customXml/itemProps1.xml><?xml version="1.0" encoding="utf-8"?>
<ds:datastoreItem xmlns:ds="http://schemas.openxmlformats.org/officeDocument/2006/customXml" ds:itemID="{42799DC1-7D06-444A-938F-FAB77BFF75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2023-05-04T12:13:19Z</dcterms:created>
  <dcterms:modified xsi:type="dcterms:W3CDTF">2023-05-04T12:13:23Z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C025A5607E97638188190037856673</vt:lpwstr>
  </property>
</Properties>
</file>