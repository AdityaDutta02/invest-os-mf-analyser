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MD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F58" i="1"/>
  <c r="G57" i="1"/>
  <c r="F57" i="1"/>
  <c r="G56" i="1"/>
  <c r="F56" i="1"/>
  <c r="G53" i="1"/>
  <c r="F53" i="1"/>
  <c r="G52" i="1"/>
  <c r="F52" i="1"/>
</calcChain>
</file>

<file path=xl/sharedStrings.xml><?xml version="1.0" encoding="utf-8"?>
<sst xmlns="http://schemas.openxmlformats.org/spreadsheetml/2006/main" count="205" uniqueCount="137">
  <si>
    <t>CANARA ROBECO MID CAP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</si>
  <si>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</si>
  <si>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</si>
  <si>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</si>
  <si>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</si>
  <si>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</si>
  <si>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</si>
  <si>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</si>
  <si>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</si>
  <si>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</si>
  <si>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</si>
  <si>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</si>
  <si>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</si>
  <si>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</si>
  <si>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Polycab India Ltd</t>
  </si>
  <si>
    <t>INE455K01017</t>
  </si>
  <si>
    <t>Industrial Products</t>
  </si>
  <si>
    <t>Mid Cap</t>
  </si>
  <si>
    <t>Sundaram Finance Ltd</t>
  </si>
  <si>
    <t>INE660A01013</t>
  </si>
  <si>
    <t>Finance</t>
  </si>
  <si>
    <t>Uno Minda Ltd</t>
  </si>
  <si>
    <t>INE405E01023</t>
  </si>
  <si>
    <t>Auto Components</t>
  </si>
  <si>
    <t>CRISIL Ltd</t>
  </si>
  <si>
    <t>INE007A01025</t>
  </si>
  <si>
    <t>Abbott India Ltd</t>
  </si>
  <si>
    <t>INE358A01014</t>
  </si>
  <si>
    <t>Pharmaceuticals &amp; Biotechnology</t>
  </si>
  <si>
    <t>Federal Bank Ltd</t>
  </si>
  <si>
    <t>INE171A01029</t>
  </si>
  <si>
    <t>Banks</t>
  </si>
  <si>
    <t>Indian Bank</t>
  </si>
  <si>
    <t>INE562A01011</t>
  </si>
  <si>
    <t>Benchmark: S&amp;P BSE 150 Mid Cap Index TRI</t>
  </si>
  <si>
    <t>Bharat Electronics Ltd</t>
  </si>
  <si>
    <t>INE263A01024</t>
  </si>
  <si>
    <t>Aerospace &amp; Defense</t>
  </si>
  <si>
    <t>Large Cap</t>
  </si>
  <si>
    <t>Ashok Leyland Ltd</t>
  </si>
  <si>
    <t>INE208A01029</t>
  </si>
  <si>
    <t>Agricultural, Commercial &amp; Construction Vehicles</t>
  </si>
  <si>
    <t>AIA Engineering Ltd</t>
  </si>
  <si>
    <t>INE212H01026</t>
  </si>
  <si>
    <t>Sundram Fasteners Ltd</t>
  </si>
  <si>
    <t>INE387A01021</t>
  </si>
  <si>
    <t>Trent Ltd</t>
  </si>
  <si>
    <t>INE849A01020</t>
  </si>
  <si>
    <t>Retailing</t>
  </si>
  <si>
    <t>Kajaria Ceramics Ltd</t>
  </si>
  <si>
    <t>INE217B01036</t>
  </si>
  <si>
    <t>Consumer Durables</t>
  </si>
  <si>
    <t>J.K. Cement Ltd</t>
  </si>
  <si>
    <t>INE823G01014</t>
  </si>
  <si>
    <t>Cement &amp; Cement Products</t>
  </si>
  <si>
    <t>K.P.R. Mill Ltd</t>
  </si>
  <si>
    <t>INE930H01031</t>
  </si>
  <si>
    <t>Textiles &amp; Apparels</t>
  </si>
  <si>
    <t>Linde India Ltd</t>
  </si>
  <si>
    <t>INE473A01011</t>
  </si>
  <si>
    <t>Chemicals &amp; Petrochemicals</t>
  </si>
  <si>
    <t>Global Health Ltd</t>
  </si>
  <si>
    <t>INE474Q01031</t>
  </si>
  <si>
    <t>Healthcare Services</t>
  </si>
  <si>
    <t>Small Cap</t>
  </si>
  <si>
    <t>TVS Motor Co Ltd</t>
  </si>
  <si>
    <t>INE494B01023</t>
  </si>
  <si>
    <t>Automobiles</t>
  </si>
  <si>
    <t>PI Industries Ltd</t>
  </si>
  <si>
    <t>INE603J01030</t>
  </si>
  <si>
    <t>Fertilizers &amp; Agrochemicals</t>
  </si>
  <si>
    <t>Astral Ltd</t>
  </si>
  <si>
    <t>INE006I01046</t>
  </si>
  <si>
    <t>Mphasis Ltd</t>
  </si>
  <si>
    <t>INE356A01018</t>
  </si>
  <si>
    <t>IT - Software</t>
  </si>
  <si>
    <t>Max Healthcare Institute Ltd</t>
  </si>
  <si>
    <t>INE027H01010</t>
  </si>
  <si>
    <t>HDFC Bank Ltd</t>
  </si>
  <si>
    <t>INE040A01034</t>
  </si>
  <si>
    <t>Persistent Systems Ltd</t>
  </si>
  <si>
    <t>INE262H01013</t>
  </si>
  <si>
    <t>Bharat Forge Ltd</t>
  </si>
  <si>
    <t>INE465A01025</t>
  </si>
  <si>
    <t>Schaeffler India Ltd</t>
  </si>
  <si>
    <t>INE513A01022</t>
  </si>
  <si>
    <t>Bharti Airtel Ltd</t>
  </si>
  <si>
    <t>INE397D01024</t>
  </si>
  <si>
    <t>Telecom - Services</t>
  </si>
  <si>
    <t>Deepak Nitrite Ltd</t>
  </si>
  <si>
    <t>INE288B01029</t>
  </si>
  <si>
    <t>Hindustan Unilever Ltd</t>
  </si>
  <si>
    <t>INE030A01027</t>
  </si>
  <si>
    <t>Diversified Fmcg</t>
  </si>
  <si>
    <t>Navin Fluorine International Ltd</t>
  </si>
  <si>
    <t>INE048G01026</t>
  </si>
  <si>
    <t>Tata Steel Ltd</t>
  </si>
  <si>
    <t>INE081A01020</t>
  </si>
  <si>
    <t>Ferrous Metals</t>
  </si>
  <si>
    <t>JK Lakshmi Cement Ltd</t>
  </si>
  <si>
    <t>INE786A01032</t>
  </si>
  <si>
    <t>Devyani International Ltd</t>
  </si>
  <si>
    <t>INE872J01023</t>
  </si>
  <si>
    <t>Leisure Services</t>
  </si>
  <si>
    <t>ICICI Bank Ltd</t>
  </si>
  <si>
    <t>INE090A01021</t>
  </si>
  <si>
    <t>United Breweries Ltd</t>
  </si>
  <si>
    <t>INE686F01025</t>
  </si>
  <si>
    <t>Beverages</t>
  </si>
  <si>
    <t>J.B. Chemicals &amp; Pharmaceuticals Ltd</t>
  </si>
  <si>
    <t>INE572A01036</t>
  </si>
  <si>
    <t>Max Financial Services Ltd</t>
  </si>
  <si>
    <t>INE180A01020</t>
  </si>
  <si>
    <t>Insurance</t>
  </si>
  <si>
    <t>Page Industries Ltd</t>
  </si>
  <si>
    <t>INE761H01022</t>
  </si>
  <si>
    <t>Mankind Pharma Ltd</t>
  </si>
  <si>
    <t>INE634S01028</t>
  </si>
  <si>
    <t>Avenue Supermarts Ltd</t>
  </si>
  <si>
    <t>INE192R01011</t>
  </si>
  <si>
    <t>Atul Ltd</t>
  </si>
  <si>
    <t>INE100A01010</t>
  </si>
  <si>
    <t>Whirlpool Of India Ltd</t>
  </si>
  <si>
    <t>INE716A01013</t>
  </si>
  <si>
    <t>Vijaya Diagnostic Centre Ltd</t>
  </si>
  <si>
    <t>INE043W01024</t>
  </si>
  <si>
    <t>Go Fashion India Ltd</t>
  </si>
  <si>
    <t>INE0BJS01011</t>
  </si>
  <si>
    <t>IPCA Laboratories Ltd</t>
  </si>
  <si>
    <t>INE571A01038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</si>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</sst>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30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09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557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0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40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116800</v>
      </c>
      <c r="F7" s="23">
        <v>6240.68</v>
      </c>
      <c r="G7" s="23">
        <v>3.93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190680</v>
      </c>
      <c r="F8" s="23">
        <v>5855.69</v>
      </c>
      <c r="G8" s="23">
        <v>3.68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875889</v>
      </c>
      <c r="F9" s="23">
        <v>5250.52</v>
      </c>
      <c r="G9" s="23">
        <v>3.3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20</v>
      </c>
      <c r="E10" s="26">
        <v>130410</v>
      </c>
      <c r="F10" s="23">
        <v>5117.4799999999996</v>
      </c>
      <c r="G10" s="23">
        <v>3.22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21485</v>
      </c>
      <c r="F11" s="23">
        <v>4980.1000000000004</v>
      </c>
      <c r="G11" s="23">
        <v>3.13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3352510</v>
      </c>
      <c r="F12" s="23">
        <v>4934.8900000000003</v>
      </c>
      <c r="G12" s="23">
        <v>3.1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31</v>
      </c>
      <c r="E13" s="26">
        <v>1127172</v>
      </c>
      <c r="F13" s="23">
        <v>4774.1400000000003</v>
      </c>
      <c r="G13" s="23">
        <v>3</v>
      </c>
      <c r="H13" s="23" t="s">
        <v>17</v>
      </c>
      <c r="I13" s="27"/>
      <c r="J13" s="27"/>
      <c r="K13" s="3" t="s">
        <v>34</v>
      </c>
      <c r="L13" s="27"/>
    </row>
    <row r="14" spans="2:12" x14ac:dyDescent="0.2">
      <c r="B14" s="25" t="s">
        <v>35</v>
      </c>
      <c r="C14" s="21" t="s">
        <v>36</v>
      </c>
      <c r="D14" s="21" t="s">
        <v>37</v>
      </c>
      <c r="E14" s="26">
        <v>3430000</v>
      </c>
      <c r="F14" s="23">
        <v>4743.6899999999996</v>
      </c>
      <c r="G14" s="23">
        <v>2.98</v>
      </c>
      <c r="H14" s="23" t="s">
        <v>38</v>
      </c>
      <c r="I14" s="27"/>
      <c r="J14" s="27"/>
      <c r="K14" s="27"/>
      <c r="L14" s="27"/>
    </row>
    <row r="15" spans="2:12" x14ac:dyDescent="0.2">
      <c r="B15" s="25" t="s">
        <v>39</v>
      </c>
      <c r="C15" s="21" t="s">
        <v>40</v>
      </c>
      <c r="D15" s="21" t="s">
        <v>41</v>
      </c>
      <c r="E15" s="26">
        <v>2642000</v>
      </c>
      <c r="F15" s="23">
        <v>4676.34</v>
      </c>
      <c r="G15" s="23">
        <v>2.94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42</v>
      </c>
      <c r="C16" s="21" t="s">
        <v>43</v>
      </c>
      <c r="D16" s="21" t="s">
        <v>16</v>
      </c>
      <c r="E16" s="26">
        <v>133040</v>
      </c>
      <c r="F16" s="23">
        <v>4673.3</v>
      </c>
      <c r="G16" s="23">
        <v>2.94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44</v>
      </c>
      <c r="C17" s="21" t="s">
        <v>45</v>
      </c>
      <c r="D17" s="21" t="s">
        <v>23</v>
      </c>
      <c r="E17" s="26">
        <v>363749</v>
      </c>
      <c r="F17" s="23">
        <v>4583.96</v>
      </c>
      <c r="G17" s="23">
        <v>2.88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46</v>
      </c>
      <c r="C18" s="21" t="s">
        <v>47</v>
      </c>
      <c r="D18" s="21" t="s">
        <v>48</v>
      </c>
      <c r="E18" s="26">
        <v>219121</v>
      </c>
      <c r="F18" s="23">
        <v>4558.05</v>
      </c>
      <c r="G18" s="23">
        <v>2.87</v>
      </c>
      <c r="H18" s="23" t="s">
        <v>38</v>
      </c>
      <c r="I18" s="27"/>
      <c r="J18" s="27"/>
      <c r="K18" s="27"/>
      <c r="L18" s="27"/>
    </row>
    <row r="19" spans="2:12" x14ac:dyDescent="0.2">
      <c r="B19" s="25" t="s">
        <v>49</v>
      </c>
      <c r="C19" s="21" t="s">
        <v>50</v>
      </c>
      <c r="D19" s="21" t="s">
        <v>51</v>
      </c>
      <c r="E19" s="26">
        <v>339000</v>
      </c>
      <c r="F19" s="23">
        <v>4481.92</v>
      </c>
      <c r="G19" s="23">
        <v>2.82</v>
      </c>
      <c r="H19" s="23" t="s">
        <v>17</v>
      </c>
      <c r="I19" s="27"/>
      <c r="J19" s="27"/>
      <c r="K19" s="27"/>
      <c r="L19" s="27"/>
    </row>
    <row r="20" spans="2:12" x14ac:dyDescent="0.2">
      <c r="B20" s="25" t="s">
        <v>52</v>
      </c>
      <c r="C20" s="21" t="s">
        <v>53</v>
      </c>
      <c r="D20" s="21" t="s">
        <v>54</v>
      </c>
      <c r="E20" s="26">
        <v>137200</v>
      </c>
      <c r="F20" s="23">
        <v>4362.21</v>
      </c>
      <c r="G20" s="23">
        <v>2.74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55</v>
      </c>
      <c r="C21" s="21" t="s">
        <v>56</v>
      </c>
      <c r="D21" s="21" t="s">
        <v>57</v>
      </c>
      <c r="E21" s="26">
        <v>529000</v>
      </c>
      <c r="F21" s="23">
        <v>3983.9</v>
      </c>
      <c r="G21" s="23">
        <v>2.5099999999999998</v>
      </c>
      <c r="H21" s="23" t="s">
        <v>17</v>
      </c>
      <c r="I21" s="27"/>
      <c r="J21" s="27"/>
      <c r="K21" s="27"/>
      <c r="L21" s="27"/>
    </row>
    <row r="22" spans="2:12" x14ac:dyDescent="0.2">
      <c r="B22" s="25" t="s">
        <v>58</v>
      </c>
      <c r="C22" s="21" t="s">
        <v>59</v>
      </c>
      <c r="D22" s="21" t="s">
        <v>60</v>
      </c>
      <c r="E22" s="26">
        <v>65450</v>
      </c>
      <c r="F22" s="23">
        <v>3896.76</v>
      </c>
      <c r="G22" s="23">
        <v>2.4500000000000002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63</v>
      </c>
      <c r="E23" s="26">
        <v>540204</v>
      </c>
      <c r="F23" s="23">
        <v>3868.13</v>
      </c>
      <c r="G23" s="23">
        <v>2.4300000000000002</v>
      </c>
      <c r="H23" s="23" t="s">
        <v>64</v>
      </c>
      <c r="I23" s="27"/>
      <c r="J23" s="27"/>
      <c r="K23" s="27"/>
      <c r="L23" s="27"/>
    </row>
    <row r="24" spans="2:12" x14ac:dyDescent="0.2">
      <c r="B24" s="25" t="s">
        <v>65</v>
      </c>
      <c r="C24" s="21" t="s">
        <v>66</v>
      </c>
      <c r="D24" s="21" t="s">
        <v>67</v>
      </c>
      <c r="E24" s="26">
        <v>251500</v>
      </c>
      <c r="F24" s="23">
        <v>3827.33</v>
      </c>
      <c r="G24" s="23">
        <v>2.41</v>
      </c>
      <c r="H24" s="23" t="s">
        <v>38</v>
      </c>
      <c r="I24" s="27"/>
      <c r="J24" s="27"/>
      <c r="K24" s="27"/>
      <c r="L24" s="27"/>
    </row>
    <row r="25" spans="2:12" x14ac:dyDescent="0.2">
      <c r="B25" s="25" t="s">
        <v>68</v>
      </c>
      <c r="C25" s="21" t="s">
        <v>69</v>
      </c>
      <c r="D25" s="21" t="s">
        <v>70</v>
      </c>
      <c r="E25" s="26">
        <v>110027</v>
      </c>
      <c r="F25" s="23">
        <v>3799.23</v>
      </c>
      <c r="G25" s="23">
        <v>2.39</v>
      </c>
      <c r="H25" s="23" t="s">
        <v>38</v>
      </c>
      <c r="I25" s="27"/>
      <c r="J25" s="27"/>
      <c r="K25" s="27"/>
      <c r="L25" s="27"/>
    </row>
    <row r="26" spans="2:12" x14ac:dyDescent="0.2">
      <c r="B26" s="25" t="s">
        <v>71</v>
      </c>
      <c r="C26" s="21" t="s">
        <v>72</v>
      </c>
      <c r="D26" s="21" t="s">
        <v>16</v>
      </c>
      <c r="E26" s="26">
        <v>198466</v>
      </c>
      <c r="F26" s="23">
        <v>3795.56</v>
      </c>
      <c r="G26" s="23">
        <v>2.39</v>
      </c>
      <c r="H26" s="23" t="s">
        <v>17</v>
      </c>
      <c r="I26" s="27"/>
      <c r="J26" s="27"/>
      <c r="K26" s="27"/>
      <c r="L26" s="27"/>
    </row>
    <row r="27" spans="2:12" x14ac:dyDescent="0.2">
      <c r="B27" s="25" t="s">
        <v>73</v>
      </c>
      <c r="C27" s="21" t="s">
        <v>74</v>
      </c>
      <c r="D27" s="21" t="s">
        <v>75</v>
      </c>
      <c r="E27" s="26">
        <v>158000</v>
      </c>
      <c r="F27" s="23">
        <v>3755.03</v>
      </c>
      <c r="G27" s="23">
        <v>2.36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76</v>
      </c>
      <c r="C28" s="21" t="s">
        <v>77</v>
      </c>
      <c r="D28" s="21" t="s">
        <v>63</v>
      </c>
      <c r="E28" s="26">
        <v>634006</v>
      </c>
      <c r="F28" s="23">
        <v>3597.35</v>
      </c>
      <c r="G28" s="23">
        <v>2.2599999999999998</v>
      </c>
      <c r="H28" s="23" t="s">
        <v>17</v>
      </c>
      <c r="I28" s="27"/>
      <c r="J28" s="27"/>
      <c r="K28" s="27"/>
      <c r="L28" s="27"/>
    </row>
    <row r="29" spans="2:12" x14ac:dyDescent="0.2">
      <c r="B29" s="25" t="s">
        <v>78</v>
      </c>
      <c r="C29" s="21" t="s">
        <v>79</v>
      </c>
      <c r="D29" s="21" t="s">
        <v>31</v>
      </c>
      <c r="E29" s="26">
        <v>225000</v>
      </c>
      <c r="F29" s="23">
        <v>3434.18</v>
      </c>
      <c r="G29" s="23">
        <v>2.16</v>
      </c>
      <c r="H29" s="23" t="s">
        <v>38</v>
      </c>
      <c r="I29" s="27"/>
      <c r="J29" s="27"/>
      <c r="K29" s="27"/>
      <c r="L29" s="27"/>
    </row>
    <row r="30" spans="2:12" x14ac:dyDescent="0.2">
      <c r="B30" s="25" t="s">
        <v>80</v>
      </c>
      <c r="C30" s="21" t="s">
        <v>81</v>
      </c>
      <c r="D30" s="21" t="s">
        <v>75</v>
      </c>
      <c r="E30" s="26">
        <v>58072</v>
      </c>
      <c r="F30" s="23">
        <v>3366.26</v>
      </c>
      <c r="G30" s="23">
        <v>2.12</v>
      </c>
      <c r="H30" s="23" t="s">
        <v>17</v>
      </c>
      <c r="I30" s="27"/>
      <c r="J30" s="27"/>
      <c r="K30" s="27"/>
      <c r="L30" s="27"/>
    </row>
    <row r="31" spans="2:12" x14ac:dyDescent="0.2">
      <c r="B31" s="25" t="s">
        <v>82</v>
      </c>
      <c r="C31" s="21" t="s">
        <v>83</v>
      </c>
      <c r="D31" s="21" t="s">
        <v>16</v>
      </c>
      <c r="E31" s="26">
        <v>289200</v>
      </c>
      <c r="F31" s="23">
        <v>3156.91</v>
      </c>
      <c r="G31" s="23">
        <v>1.99</v>
      </c>
      <c r="H31" s="23" t="s">
        <v>17</v>
      </c>
      <c r="I31" s="27"/>
      <c r="J31" s="27"/>
      <c r="K31" s="27"/>
      <c r="L31" s="27"/>
    </row>
    <row r="32" spans="2:12" x14ac:dyDescent="0.2">
      <c r="B32" s="25" t="s">
        <v>84</v>
      </c>
      <c r="C32" s="21" t="s">
        <v>85</v>
      </c>
      <c r="D32" s="21" t="s">
        <v>23</v>
      </c>
      <c r="E32" s="26">
        <v>92147</v>
      </c>
      <c r="F32" s="23">
        <v>3054.58</v>
      </c>
      <c r="G32" s="23">
        <v>1.92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86</v>
      </c>
      <c r="C33" s="21" t="s">
        <v>87</v>
      </c>
      <c r="D33" s="21" t="s">
        <v>88</v>
      </c>
      <c r="E33" s="26">
        <v>325000</v>
      </c>
      <c r="F33" s="23">
        <v>3010.8</v>
      </c>
      <c r="G33" s="23">
        <v>1.89</v>
      </c>
      <c r="H33" s="23" t="s">
        <v>38</v>
      </c>
      <c r="I33" s="27"/>
      <c r="J33" s="27"/>
      <c r="K33" s="27"/>
      <c r="L33" s="27"/>
    </row>
    <row r="34" spans="2:12" x14ac:dyDescent="0.2">
      <c r="B34" s="25" t="s">
        <v>89</v>
      </c>
      <c r="C34" s="21" t="s">
        <v>90</v>
      </c>
      <c r="D34" s="21" t="s">
        <v>60</v>
      </c>
      <c r="E34" s="26">
        <v>136700</v>
      </c>
      <c r="F34" s="23">
        <v>2898.66</v>
      </c>
      <c r="G34" s="23">
        <v>1.82</v>
      </c>
      <c r="H34" s="23" t="s">
        <v>17</v>
      </c>
      <c r="I34" s="27"/>
      <c r="J34" s="27"/>
      <c r="K34" s="27"/>
      <c r="L34" s="27"/>
    </row>
    <row r="35" spans="2:12" x14ac:dyDescent="0.2">
      <c r="B35" s="25" t="s">
        <v>91</v>
      </c>
      <c r="C35" s="21" t="s">
        <v>92</v>
      </c>
      <c r="D35" s="21" t="s">
        <v>93</v>
      </c>
      <c r="E35" s="26">
        <v>111000</v>
      </c>
      <c r="F35" s="23">
        <v>2736.82</v>
      </c>
      <c r="G35" s="23">
        <v>1.72</v>
      </c>
      <c r="H35" s="23" t="s">
        <v>38</v>
      </c>
      <c r="I35" s="27"/>
      <c r="J35" s="27"/>
      <c r="K35" s="27"/>
      <c r="L35" s="27"/>
    </row>
    <row r="36" spans="2:12" x14ac:dyDescent="0.2">
      <c r="B36" s="25" t="s">
        <v>94</v>
      </c>
      <c r="C36" s="21" t="s">
        <v>95</v>
      </c>
      <c r="D36" s="21" t="s">
        <v>60</v>
      </c>
      <c r="E36" s="26">
        <v>72500</v>
      </c>
      <c r="F36" s="23">
        <v>2730.86</v>
      </c>
      <c r="G36" s="23">
        <v>1.72</v>
      </c>
      <c r="H36" s="23" t="s">
        <v>17</v>
      </c>
      <c r="I36" s="27"/>
      <c r="J36" s="27"/>
      <c r="K36" s="27"/>
      <c r="L36" s="27"/>
    </row>
    <row r="37" spans="2:12" x14ac:dyDescent="0.2">
      <c r="B37" s="25" t="s">
        <v>96</v>
      </c>
      <c r="C37" s="21" t="s">
        <v>97</v>
      </c>
      <c r="D37" s="21" t="s">
        <v>98</v>
      </c>
      <c r="E37" s="26">
        <v>1875000</v>
      </c>
      <c r="F37" s="23">
        <v>2416.88</v>
      </c>
      <c r="G37" s="23">
        <v>1.52</v>
      </c>
      <c r="H37" s="23" t="s">
        <v>38</v>
      </c>
      <c r="I37" s="27"/>
      <c r="J37" s="27"/>
      <c r="K37" s="27"/>
      <c r="L37" s="27"/>
    </row>
    <row r="38" spans="2:12" x14ac:dyDescent="0.2">
      <c r="B38" s="25" t="s">
        <v>99</v>
      </c>
      <c r="C38" s="21" t="s">
        <v>100</v>
      </c>
      <c r="D38" s="21" t="s">
        <v>54</v>
      </c>
      <c r="E38" s="26">
        <v>373671</v>
      </c>
      <c r="F38" s="23">
        <v>2411.86</v>
      </c>
      <c r="G38" s="23">
        <v>1.52</v>
      </c>
      <c r="H38" s="23" t="s">
        <v>64</v>
      </c>
      <c r="I38" s="27"/>
      <c r="J38" s="27"/>
      <c r="K38" s="27"/>
      <c r="L38" s="27"/>
    </row>
    <row r="39" spans="2:12" x14ac:dyDescent="0.2">
      <c r="B39" s="25" t="s">
        <v>101</v>
      </c>
      <c r="C39" s="21" t="s">
        <v>102</v>
      </c>
      <c r="D39" s="21" t="s">
        <v>103</v>
      </c>
      <c r="E39" s="26">
        <v>1120000</v>
      </c>
      <c r="F39" s="23">
        <v>2400.7199999999998</v>
      </c>
      <c r="G39" s="23">
        <v>1.51</v>
      </c>
      <c r="H39" s="23" t="s">
        <v>17</v>
      </c>
      <c r="I39" s="27"/>
      <c r="J39" s="27"/>
      <c r="K39" s="27"/>
      <c r="L39" s="27"/>
    </row>
    <row r="40" spans="2:12" x14ac:dyDescent="0.2">
      <c r="B40" s="25" t="s">
        <v>104</v>
      </c>
      <c r="C40" s="21" t="s">
        <v>105</v>
      </c>
      <c r="D40" s="21" t="s">
        <v>31</v>
      </c>
      <c r="E40" s="26">
        <v>235000</v>
      </c>
      <c r="F40" s="23">
        <v>2236.9699999999998</v>
      </c>
      <c r="G40" s="23">
        <v>1.41</v>
      </c>
      <c r="H40" s="23" t="s">
        <v>38</v>
      </c>
      <c r="I40" s="27"/>
      <c r="J40" s="27"/>
      <c r="K40" s="27"/>
      <c r="L40" s="27"/>
    </row>
    <row r="41" spans="2:12" x14ac:dyDescent="0.2">
      <c r="B41" s="25" t="s">
        <v>106</v>
      </c>
      <c r="C41" s="21" t="s">
        <v>107</v>
      </c>
      <c r="D41" s="21" t="s">
        <v>108</v>
      </c>
      <c r="E41" s="26">
        <v>139808</v>
      </c>
      <c r="F41" s="23">
        <v>2176.81</v>
      </c>
      <c r="G41" s="23">
        <v>1.37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109</v>
      </c>
      <c r="C42" s="21" t="s">
        <v>110</v>
      </c>
      <c r="D42" s="21" t="s">
        <v>28</v>
      </c>
      <c r="E42" s="26">
        <v>138148</v>
      </c>
      <c r="F42" s="23">
        <v>2047.49</v>
      </c>
      <c r="G42" s="23">
        <v>1.29</v>
      </c>
      <c r="H42" s="23" t="s">
        <v>64</v>
      </c>
      <c r="I42" s="27"/>
      <c r="J42" s="27"/>
      <c r="K42" s="27"/>
      <c r="L42" s="27"/>
    </row>
    <row r="43" spans="2:12" x14ac:dyDescent="0.2">
      <c r="B43" s="25" t="s">
        <v>111</v>
      </c>
      <c r="C43" s="21" t="s">
        <v>112</v>
      </c>
      <c r="D43" s="21" t="s">
        <v>113</v>
      </c>
      <c r="E43" s="26">
        <v>225000</v>
      </c>
      <c r="F43" s="23">
        <v>2046.94</v>
      </c>
      <c r="G43" s="23">
        <v>1.29</v>
      </c>
      <c r="H43" s="23" t="s">
        <v>17</v>
      </c>
      <c r="I43" s="27"/>
      <c r="J43" s="27"/>
      <c r="K43" s="27"/>
      <c r="L43" s="27"/>
    </row>
    <row r="44" spans="2:12" x14ac:dyDescent="0.2">
      <c r="B44" s="25" t="s">
        <v>114</v>
      </c>
      <c r="C44" s="21" t="s">
        <v>115</v>
      </c>
      <c r="D44" s="21" t="s">
        <v>57</v>
      </c>
      <c r="E44" s="26">
        <v>4461</v>
      </c>
      <c r="F44" s="23">
        <v>1738.84</v>
      </c>
      <c r="G44" s="23">
        <v>1.0900000000000001</v>
      </c>
      <c r="H44" s="23" t="s">
        <v>17</v>
      </c>
      <c r="I44" s="27"/>
      <c r="J44" s="27"/>
      <c r="K44" s="27"/>
      <c r="L44" s="27"/>
    </row>
    <row r="45" spans="2:12" x14ac:dyDescent="0.2">
      <c r="B45" s="25" t="s">
        <v>116</v>
      </c>
      <c r="C45" s="21" t="s">
        <v>117</v>
      </c>
      <c r="D45" s="21" t="s">
        <v>28</v>
      </c>
      <c r="E45" s="26">
        <v>93621</v>
      </c>
      <c r="F45" s="23">
        <v>1680.78</v>
      </c>
      <c r="G45" s="23">
        <v>1.06</v>
      </c>
      <c r="H45" s="23" t="s">
        <v>38</v>
      </c>
      <c r="I45" s="27"/>
      <c r="J45" s="27"/>
      <c r="K45" s="27"/>
      <c r="L45" s="27"/>
    </row>
    <row r="46" spans="2:12" x14ac:dyDescent="0.2">
      <c r="B46" s="25" t="s">
        <v>118</v>
      </c>
      <c r="C46" s="21" t="s">
        <v>119</v>
      </c>
      <c r="D46" s="21" t="s">
        <v>48</v>
      </c>
      <c r="E46" s="26">
        <v>45723</v>
      </c>
      <c r="F46" s="23">
        <v>1680.59</v>
      </c>
      <c r="G46" s="23">
        <v>1.06</v>
      </c>
      <c r="H46" s="23" t="s">
        <v>38</v>
      </c>
      <c r="I46" s="27"/>
      <c r="J46" s="27"/>
      <c r="K46" s="27"/>
      <c r="L46" s="27"/>
    </row>
    <row r="47" spans="2:12" x14ac:dyDescent="0.2">
      <c r="B47" s="25" t="s">
        <v>120</v>
      </c>
      <c r="C47" s="21" t="s">
        <v>121</v>
      </c>
      <c r="D47" s="21" t="s">
        <v>60</v>
      </c>
      <c r="E47" s="26">
        <v>23474</v>
      </c>
      <c r="F47" s="23">
        <v>1653.88</v>
      </c>
      <c r="G47" s="23">
        <v>1.04</v>
      </c>
      <c r="H47" s="23" t="s">
        <v>17</v>
      </c>
      <c r="I47" s="27"/>
      <c r="J47" s="27"/>
      <c r="K47" s="27"/>
      <c r="L47" s="27"/>
    </row>
    <row r="48" spans="2:12" x14ac:dyDescent="0.2">
      <c r="B48" s="25" t="s">
        <v>122</v>
      </c>
      <c r="C48" s="21" t="s">
        <v>123</v>
      </c>
      <c r="D48" s="21" t="s">
        <v>51</v>
      </c>
      <c r="E48" s="26">
        <v>93870</v>
      </c>
      <c r="F48" s="23">
        <v>1525.43</v>
      </c>
      <c r="G48" s="23">
        <v>0.96</v>
      </c>
      <c r="H48" s="23" t="s">
        <v>17</v>
      </c>
      <c r="I48" s="27"/>
      <c r="J48" s="27"/>
      <c r="K48" s="27"/>
      <c r="L48" s="27"/>
    </row>
    <row r="49" spans="2:12" x14ac:dyDescent="0.2">
      <c r="B49" s="25" t="s">
        <v>124</v>
      </c>
      <c r="C49" s="21" t="s">
        <v>125</v>
      </c>
      <c r="D49" s="21" t="s">
        <v>63</v>
      </c>
      <c r="E49" s="26">
        <v>265000</v>
      </c>
      <c r="F49" s="23">
        <v>1322.88</v>
      </c>
      <c r="G49" s="23">
        <v>0.83</v>
      </c>
      <c r="H49" s="23" t="s">
        <v>64</v>
      </c>
      <c r="I49" s="27"/>
      <c r="J49" s="27"/>
      <c r="K49" s="27"/>
      <c r="L49" s="27"/>
    </row>
    <row r="50" spans="2:12" x14ac:dyDescent="0.2">
      <c r="B50" s="25" t="s">
        <v>126</v>
      </c>
      <c r="C50" s="21" t="s">
        <v>127</v>
      </c>
      <c r="D50" s="21" t="s">
        <v>48</v>
      </c>
      <c r="E50" s="26">
        <v>97032</v>
      </c>
      <c r="F50" s="23">
        <v>1231</v>
      </c>
      <c r="G50" s="23">
        <v>0.77</v>
      </c>
      <c r="H50" s="23" t="s">
        <v>64</v>
      </c>
      <c r="I50" s="27"/>
      <c r="J50" s="27"/>
      <c r="K50" s="27"/>
      <c r="L50" s="27"/>
    </row>
    <row r="51" spans="2:12" x14ac:dyDescent="0.2">
      <c r="B51" s="25" t="s">
        <v>128</v>
      </c>
      <c r="C51" s="21" t="s">
        <v>129</v>
      </c>
      <c r="D51" s="21" t="s">
        <v>28</v>
      </c>
      <c r="E51" s="26">
        <v>99500</v>
      </c>
      <c r="F51" s="23">
        <v>930.97</v>
      </c>
      <c r="G51" s="23">
        <v>0.59</v>
      </c>
      <c r="H51" s="23" t="s">
        <v>17</v>
      </c>
      <c r="I51" s="27"/>
      <c r="J51" s="27"/>
      <c r="K51" s="27"/>
      <c r="L51" s="27"/>
    </row>
    <row r="52" spans="2:12" x14ac:dyDescent="0.2">
      <c r="B52" s="29" t="s">
        <v>130</v>
      </c>
      <c r="C52" s="30"/>
      <c r="D52" s="30"/>
      <c r="E52" s="31"/>
      <c r="F52" s="32">
        <f ca="1">SUM(F7:F51)</f>
        <v>151647.37</v>
      </c>
      <c r="G52" s="32">
        <f ca="1">SUM(G7:G51)</f>
        <v>95.380000000000024</v>
      </c>
      <c r="H52" s="32"/>
      <c r="I52" s="27"/>
      <c r="J52" s="27"/>
      <c r="K52" s="27"/>
      <c r="L52" s="27"/>
    </row>
    <row r="53" spans="2:12" x14ac:dyDescent="0.2">
      <c r="B53" s="33" t="s">
        <v>131</v>
      </c>
      <c r="C53" s="33"/>
      <c r="D53" s="33"/>
      <c r="E53" s="34"/>
      <c r="F53" s="35">
        <f ca="1">F52</f>
        <v>151647.37</v>
      </c>
      <c r="G53" s="35">
        <f ca="1">G52</f>
        <v>95.380000000000024</v>
      </c>
      <c r="H53" s="35"/>
      <c r="I53" s="27"/>
      <c r="J53" s="27"/>
      <c r="K53" s="27"/>
      <c r="L53" s="27"/>
    </row>
    <row r="54" spans="2:12" x14ac:dyDescent="0.2">
      <c r="B54" s="36" t="s">
        <v>132</v>
      </c>
      <c r="C54" s="37"/>
      <c r="D54" s="37"/>
      <c r="E54" s="38"/>
      <c r="F54" s="39"/>
      <c r="G54" s="39"/>
      <c r="H54" s="39"/>
      <c r="I54" s="27"/>
      <c r="J54" s="27"/>
      <c r="K54" s="27"/>
      <c r="L54" s="27"/>
    </row>
    <row r="55" spans="2:12" x14ac:dyDescent="0.2">
      <c r="B55" s="25" t="s">
        <v>132</v>
      </c>
      <c r="C55" s="25"/>
      <c r="D55" s="21"/>
      <c r="E55" s="22"/>
      <c r="F55" s="23">
        <v>7550.65</v>
      </c>
      <c r="G55" s="23">
        <v>4.75</v>
      </c>
      <c r="H55" s="23"/>
      <c r="I55" s="27"/>
      <c r="J55" s="27"/>
      <c r="K55" s="27"/>
      <c r="L55" s="27"/>
    </row>
    <row r="56" spans="2:12" x14ac:dyDescent="0.2">
      <c r="B56" s="29" t="s">
        <v>130</v>
      </c>
      <c r="C56" s="30"/>
      <c r="D56" s="30"/>
      <c r="E56" s="31"/>
      <c r="F56" s="32">
        <f ca="1">SUM(F54:F55)</f>
        <v>7550.65</v>
      </c>
      <c r="G56" s="32">
        <f ca="1">SUM(G54:G55)</f>
        <v>4.75</v>
      </c>
      <c r="H56" s="32"/>
      <c r="I56" s="27"/>
      <c r="J56" s="27"/>
      <c r="K56" s="27"/>
      <c r="L56" s="27"/>
    </row>
    <row r="57" spans="2:12" x14ac:dyDescent="0.2">
      <c r="B57" s="40" t="s">
        <v>131</v>
      </c>
      <c r="C57" s="40"/>
      <c r="D57" s="40"/>
      <c r="E57" s="41"/>
      <c r="F57" s="42">
        <f ca="1">F56</f>
        <v>7550.65</v>
      </c>
      <c r="G57" s="42">
        <f ca="1">G56</f>
        <v>4.75</v>
      </c>
      <c r="H57" s="42"/>
      <c r="I57" s="27"/>
      <c r="J57" s="27"/>
      <c r="K57" s="27"/>
      <c r="L57" s="27"/>
    </row>
    <row r="58" spans="2:12" x14ac:dyDescent="0.2">
      <c r="B58" s="43" t="s">
        <v>133</v>
      </c>
      <c r="C58" s="43"/>
      <c r="D58" s="43"/>
      <c r="E58" s="44"/>
      <c r="F58" s="45">
        <f ca="1">F59-(+F53+F57)</f>
        <v>-232.14999999999418</v>
      </c>
      <c r="G58" s="45">
        <f ca="1">G59-(+G53+G57)</f>
        <v>-0.13000000000002387</v>
      </c>
      <c r="H58" s="45"/>
      <c r="I58" s="27"/>
      <c r="J58" s="27"/>
      <c r="K58" s="27"/>
      <c r="L58" s="27"/>
    </row>
    <row r="59" spans="2:12" x14ac:dyDescent="0.2">
      <c r="B59" s="43" t="s">
        <v>134</v>
      </c>
      <c r="C59" s="43"/>
      <c r="D59" s="43"/>
      <c r="E59" s="44"/>
      <c r="F59" s="45">
        <v>158965.87</v>
      </c>
      <c r="G59" s="45">
        <v>100</v>
      </c>
      <c r="H59" s="45"/>
      <c r="I59" s="27"/>
      <c r="J59" s="27"/>
      <c r="K59" s="27"/>
      <c r="L59" s="27"/>
    </row>
    <row r="60" spans="2:12" ht="12.75" thickBot="1" x14ac:dyDescent="0.25">
      <c r="I60" s="27"/>
      <c r="J60" s="27"/>
      <c r="K60" s="27"/>
      <c r="L60" s="27"/>
    </row>
    <row r="61" spans="2:12" ht="13.5" thickTop="1" thickBot="1" x14ac:dyDescent="0.25">
      <c r="B61" s="48" t="s">
        <v>135</v>
      </c>
      <c r="C61" s="49" t="s">
        <v>136</v>
      </c>
      <c r="I61" s="27"/>
      <c r="J61" s="27"/>
      <c r="K61" s="27"/>
      <c r="L61" s="27"/>
    </row>
    <row r="62" spans="2:12" ht="12.75" thickTop="1" x14ac:dyDescent="0.2">
      <c r="I62" s="27"/>
      <c r="J62" s="27"/>
      <c r="K62" s="27"/>
      <c r="L62" s="27"/>
    </row>
    <row r="63" spans="2:12" x14ac:dyDescent="0.2">
      <c r="I63" s="27"/>
      <c r="J63" s="27"/>
      <c r="K63" s="27"/>
      <c r="L63" s="27"/>
    </row>
    <row r="64" spans="2:12" x14ac:dyDescent="0.2">
      <c r="I64" s="27"/>
      <c r="J64" s="27"/>
      <c r="K64" s="27"/>
      <c r="L64" s="27"/>
    </row>
    <row r="65" spans="9:12" x14ac:dyDescent="0.2">
      <c r="I65" s="27"/>
      <c r="J65" s="27"/>
      <c r="K65" s="27"/>
      <c r="L65" s="27"/>
    </row>
    <row r="66" spans="9:12" x14ac:dyDescent="0.2">
      <c r="I66" s="27"/>
      <c r="J66" s="27"/>
      <c r="K66" s="27"/>
      <c r="L66" s="27"/>
    </row>
    <row r="67" spans="9:12" x14ac:dyDescent="0.2">
      <c r="I67" s="27"/>
      <c r="J67" s="27"/>
      <c r="K67" s="27"/>
      <c r="L67" s="27"/>
    </row>
    <row r="68" spans="9:12" x14ac:dyDescent="0.2">
      <c r="I68" s="27"/>
      <c r="J68" s="27"/>
      <c r="K68" s="27"/>
      <c r="L68" s="27"/>
    </row>
    <row r="69" spans="9:12" x14ac:dyDescent="0.2">
      <c r="I69" s="27"/>
      <c r="J69" s="27"/>
      <c r="K69" s="27"/>
      <c r="L69" s="27"/>
    </row>
    <row r="70" spans="9:12" x14ac:dyDescent="0.2">
      <c r="I70" s="27"/>
      <c r="J70" s="27"/>
      <c r="K70" s="27"/>
      <c r="L70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15:24:44</KDate>
  <Classification>Public</Classification>
  <Subclassification/>
  <HostName>MUMCMP00935</HostName>
  <Domain_User>CANARAROBECOMF/628</Domain_User>
  <IPAdd>192.9.198.194</IPAdd>
  <FilePath>Book10</FilePath>
  <KID>C025A5607E97638321162849944250</KID>
  <UniqueName/>
  <Suggested/>
  <Justification/>
</Klassify>
</file>

<file path=customXml/itemProps1.xml><?xml version="1.0" encoding="utf-8"?>
<ds:datastoreItem xmlns:ds="http://schemas.openxmlformats.org/officeDocument/2006/customXml" ds:itemID="{9EAC16CC-282E-4449-988A-667CAA242C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2023-10-05T09:54:39Z</dcterms:created>
  <dcterms:modified xsi:type="dcterms:W3CDTF">2023-10-05T09:54:45Z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C025A5607E97638321162849944250</vt:lpwstr>
  </property>
</Properties>
</file>