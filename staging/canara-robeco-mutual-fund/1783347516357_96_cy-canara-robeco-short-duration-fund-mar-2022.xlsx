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Mar 22\"/>
    </mc:Choice>
  </mc:AlternateContent>
  <bookViews>
    <workbookView xWindow="0" yWindow="0" windowWidth="20490" windowHeight="7350"/>
  </bookViews>
  <sheets>
    <sheet name="C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0" i="1" l="1"/>
  <c r="G49" i="1"/>
  <c r="G50" i="1" s="1"/>
  <c r="F49" i="1"/>
  <c r="G46" i="1"/>
  <c r="F46" i="1"/>
  <c r="G34" i="1"/>
  <c r="F34" i="1"/>
  <c r="G31" i="1"/>
  <c r="G35" i="1" s="1"/>
  <c r="F31" i="1"/>
  <c r="F35" i="1" s="1"/>
  <c r="F26" i="1"/>
  <c r="F51" i="1" s="1"/>
  <c r="G25" i="1"/>
  <c r="G26" i="1" s="1"/>
  <c r="F25" i="1"/>
  <c r="G51" i="1" l="1"/>
</calcChain>
</file>

<file path=xl/sharedStrings.xml><?xml version="1.0" encoding="utf-8"?>
<sst xmlns="http://schemas.openxmlformats.org/spreadsheetml/2006/main" count="133" uniqueCount="103">
  <si>
    <t>CANARA ROBECO SHORT DURATION FUND</t>
  </si>
  <si>
    <t>Monthly Portfolio Statement as on March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</si>
  <si>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</si>
  <si>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</si>
  <si>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</si>
  <si>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</si>
  <si>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</si>
  <si>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</si>
  <si>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</si>
  <si>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Mar'22</t>
  </si>
  <si>
    <t>Benchmark Risk-o-meter Level- Mar'22</t>
  </si>
  <si>
    <t>Previous Scheme Risk-o-meter Level- Feb'22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</si>
  <si>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</si>
  <si>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</si>
  <si>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</si>
  <si>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</si>
  <si>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</si>
  <si>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</si>
  <si>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</si>
  <si>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</si>
  <si>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7.09% REC Ltd (13/12/2022) **</t>
  </si>
  <si>
    <t>INE020B08CD3</t>
  </si>
  <si>
    <t>CRISIL AAA</t>
  </si>
  <si>
    <t>Relatively Low (Class I)</t>
  </si>
  <si>
    <t>5.05% Indian Oil Corporation Ltd (25/11/2022)</t>
  </si>
  <si>
    <t>INE242A08460</t>
  </si>
  <si>
    <t>6.59% Indian Railway Finance Corporation Ltd (14/04/2023) **</t>
  </si>
  <si>
    <t>INE053F07BZ2</t>
  </si>
  <si>
    <t>CARE AAA</t>
  </si>
  <si>
    <t>Moderate 
(Class II)</t>
  </si>
  <si>
    <t>B-II</t>
  </si>
  <si>
    <t>7.20% Housing Development Finance Corporation Ltd (13/04/2023) **</t>
  </si>
  <si>
    <t>INE001A07SJ0</t>
  </si>
  <si>
    <t>6.50% Power Finance Corporation Ltd (17/09/2025)</t>
  </si>
  <si>
    <t>INE134E08LD7</t>
  </si>
  <si>
    <t>Relatively High (Class III)</t>
  </si>
  <si>
    <t>7.17% Reliance Industries Ltd (08/11/2022) **</t>
  </si>
  <si>
    <t>INE002A08500</t>
  </si>
  <si>
    <t>6.70% National Bank For Agriculture &amp; Rural Development (11/11/2022) **</t>
  </si>
  <si>
    <t>INE261F08BQ8</t>
  </si>
  <si>
    <t>Benchmark: CRISIL Short Term Bond Fund Index</t>
  </si>
  <si>
    <t>7.00% Reliance Industries Ltd (31/08/2022) **</t>
  </si>
  <si>
    <t>INE002A08476</t>
  </si>
  <si>
    <t>5.32% National Housing Bank (01/09/2023) **</t>
  </si>
  <si>
    <t>INE557F08FK3</t>
  </si>
  <si>
    <t>5.40% Housing Development Finance Corporation Ltd (11/08/2023) **</t>
  </si>
  <si>
    <t>INE001A07SP7</t>
  </si>
  <si>
    <t>7.16% Power Finance Corporation Ltd (24/04/2025) **</t>
  </si>
  <si>
    <t>INE134E08KP3</t>
  </si>
  <si>
    <t>4.58% Small Industries Development Bank Of India (18/12/2023) **</t>
  </si>
  <si>
    <t>INE556F08JR2</t>
  </si>
  <si>
    <t>ICRA AAA</t>
  </si>
  <si>
    <t>7.79% LIC Housing Finance Ltd (18/10/2024) **</t>
  </si>
  <si>
    <t>INE115A07OM1</t>
  </si>
  <si>
    <t>7.40% LIC Housing Finance Ltd (06/09/2024) **</t>
  </si>
  <si>
    <t>INE115A07ML7</t>
  </si>
  <si>
    <t>7.87% Larsen &amp; Toubro Ltd (18/04/2022)</t>
  </si>
  <si>
    <t>INE018A08AR3</t>
  </si>
  <si>
    <t>7.05% National Housing Bank (18/12/2024) **</t>
  </si>
  <si>
    <t>INE557F08FG1</t>
  </si>
  <si>
    <t>8.40% Power Grid Corporation of India Ltd (27/05/2026) **</t>
  </si>
  <si>
    <t>INE752E07MS4</t>
  </si>
  <si>
    <t>7.49% Power Grid Corporation of India Ltd (25/10/2024) **</t>
  </si>
  <si>
    <t>INE752E08593</t>
  </si>
  <si>
    <t>Sub Total</t>
  </si>
  <si>
    <t>Total</t>
  </si>
  <si>
    <t>Money Market Instruments</t>
  </si>
  <si>
    <t>Certificate of Deposit</t>
  </si>
  <si>
    <t>HDFC Bank Ltd (17/08/2022) ** #</t>
  </si>
  <si>
    <t>INE040A16CI5</t>
  </si>
  <si>
    <t>CARE A1+</t>
  </si>
  <si>
    <t>Axis Bank Ltd (19/09/2022) #</t>
  </si>
  <si>
    <t>INE238A160X0</t>
  </si>
  <si>
    <t>CRISIL A1+</t>
  </si>
  <si>
    <t>Treasury Bill</t>
  </si>
  <si>
    <t>364 DAYS TREASURY BILLS 12-JAN-23</t>
  </si>
  <si>
    <t>IN002021Z434</t>
  </si>
  <si>
    <t xml:space="preserve"> Sovereign</t>
  </si>
  <si>
    <t>Government Bonds</t>
  </si>
  <si>
    <t>4.48% GOI (02/11/2023)</t>
  </si>
  <si>
    <t>IN0020200211</t>
  </si>
  <si>
    <t>Sovereign</t>
  </si>
  <si>
    <t>5.74% GOI (15/11/2026)</t>
  </si>
  <si>
    <t>IN0020210186</t>
  </si>
  <si>
    <t>6.54% GOI 17-JAN-32</t>
  </si>
  <si>
    <t>IN0020210244</t>
  </si>
  <si>
    <t>8.62% MAHARASHTRA SDL 06-MAR-23</t>
  </si>
  <si>
    <t>IN2220120116</t>
  </si>
  <si>
    <t>8.85% MAHARASHTRA SDL 18-JUL-22</t>
  </si>
  <si>
    <t>IN2220120017</t>
  </si>
  <si>
    <t>8.84% TAMILNADU SDL 18-JUL-22</t>
  </si>
  <si>
    <t>IN3120120032</t>
  </si>
  <si>
    <t>8.27% Rajasthan SDL 23-Jun-22</t>
  </si>
  <si>
    <t>IN2920160081</t>
  </si>
  <si>
    <t>8.88% GUJARAT SDL 06-JUN-22</t>
  </si>
  <si>
    <t>IN1520120032</t>
  </si>
  <si>
    <t>7.86% Karnataka SDL 15-Mar-27</t>
  </si>
  <si>
    <t>IN1920160117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</si>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</sst>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i/>
      <sz val="10"/>
      <color theme="1"/>
      <name val="Taz SemiLight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0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3" fontId="3" fillId="3" borderId="10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wrapText="1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0" xfId="0" applyNumberFormat="1" applyFont="1" applyFill="1" applyBorder="1"/>
    <xf numFmtId="4" fontId="9" fillId="3" borderId="16" xfId="0" applyNumberFormat="1" applyFont="1" applyFill="1" applyBorder="1"/>
    <xf numFmtId="4" fontId="9" fillId="3" borderId="10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76184</xdr:colOff>
      <xdr:row>4</xdr:row>
      <xdr:rowOff>51092</xdr:rowOff>
    </xdr:from>
    <xdr:ext cx="1552591" cy="1253833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34959" y="1060742"/>
          <a:ext cx="1552591" cy="1253833"/>
        </a:xfrm>
        <a:prstGeom prst="rect">
          <a:avLst/>
        </a:prstGeom>
      </xdr:spPr>
    </xdr:pic>
    <xdr:clientData/>
  </xdr:oneCellAnchor>
  <xdr:twoCellAnchor editAs="oneCell">
    <xdr:from>
      <xdr:col>9</xdr:col>
      <xdr:colOff>77328</xdr:colOff>
      <xdr:row>4</xdr:row>
      <xdr:rowOff>51697</xdr:rowOff>
    </xdr:from>
    <xdr:to>
      <xdr:col>9</xdr:col>
      <xdr:colOff>1676400</xdr:colOff>
      <xdr:row>11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07103" y="1061347"/>
          <a:ext cx="1599072" cy="1253228"/>
        </a:xfrm>
        <a:prstGeom prst="rect">
          <a:avLst/>
        </a:prstGeom>
      </xdr:spPr>
    </xdr:pic>
    <xdr:clientData/>
  </xdr:twoCellAnchor>
  <xdr:twoCellAnchor editAs="oneCell">
    <xdr:from>
      <xdr:col>10</xdr:col>
      <xdr:colOff>44426</xdr:colOff>
      <xdr:row>4</xdr:row>
      <xdr:rowOff>63542</xdr:rowOff>
    </xdr:from>
    <xdr:to>
      <xdr:col>10</xdr:col>
      <xdr:colOff>1647825</xdr:colOff>
      <xdr:row>11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88701" y="1073192"/>
          <a:ext cx="1603399" cy="12509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5"/>
  <sheetViews>
    <sheetView tabSelected="1" workbookViewId="0">
      <selection activeCell="K20" sqref="K20"/>
    </sheetView>
  </sheetViews>
  <sheetFormatPr defaultRowHeight="12"/>
  <cols>
    <col min="1" max="1" width="9.140625" style="4"/>
    <col min="2" max="2" width="60.28515625" style="4" bestFit="1" customWidth="1"/>
    <col min="3" max="3" width="13.7109375" style="4" bestFit="1" customWidth="1"/>
    <col min="4" max="4" width="14.140625" style="4" bestFit="1" customWidth="1"/>
    <col min="5" max="5" width="8.85546875" style="61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" style="3" bestFit="1" customWidth="1"/>
    <col min="10" max="11" width="25.7109375" style="3" customWidth="1"/>
    <col min="12" max="12" width="25.85546875" style="3" customWidth="1"/>
    <col min="13" max="13" width="9.140625" style="4"/>
    <col min="14" max="14" width="13.140625" style="4" customWidth="1"/>
    <col min="15" max="15" width="12.5703125" style="4" customWidth="1"/>
    <col min="16" max="16" width="13.85546875" style="4" customWidth="1"/>
    <col min="17" max="17" width="13.28515625" style="4" customWidth="1"/>
    <col min="18" max="16384" width="9.140625" style="4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8"/>
      <c r="F3" s="9"/>
      <c r="G3" s="9"/>
    </row>
    <row r="4" spans="2:17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7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24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N6" s="31" t="s">
        <v>19</v>
      </c>
      <c r="O6" s="26"/>
      <c r="P6" s="26"/>
      <c r="Q6" s="26"/>
    </row>
    <row r="7" spans="2:17">
      <c r="B7" s="28" t="s">
        <v>20</v>
      </c>
      <c r="C7" s="28" t="s">
        <v>21</v>
      </c>
      <c r="D7" s="28" t="s">
        <v>22</v>
      </c>
      <c r="E7" s="32">
        <v>450</v>
      </c>
      <c r="F7" s="30">
        <v>4569.9799999999996</v>
      </c>
      <c r="G7" s="30">
        <v>6.8</v>
      </c>
      <c r="H7" s="30">
        <v>4.71</v>
      </c>
      <c r="J7" s="24"/>
      <c r="K7" s="24"/>
      <c r="L7" s="24"/>
      <c r="N7" s="33" t="s">
        <v>23</v>
      </c>
      <c r="O7" s="34"/>
      <c r="P7" s="34"/>
      <c r="Q7" s="34"/>
    </row>
    <row r="8" spans="2:17">
      <c r="B8" s="28" t="s">
        <v>24</v>
      </c>
      <c r="C8" s="28" t="s">
        <v>25</v>
      </c>
      <c r="D8" s="28" t="s">
        <v>22</v>
      </c>
      <c r="E8" s="32">
        <v>400</v>
      </c>
      <c r="F8" s="30">
        <v>4013.58</v>
      </c>
      <c r="G8" s="30">
        <v>5.97</v>
      </c>
      <c r="H8" s="30">
        <v>4.33</v>
      </c>
      <c r="J8" s="24"/>
      <c r="K8" s="24"/>
      <c r="L8" s="24"/>
      <c r="N8" s="33"/>
      <c r="O8" s="35"/>
      <c r="P8" s="35"/>
      <c r="Q8" s="35"/>
    </row>
    <row r="9" spans="2:17">
      <c r="B9" s="28" t="s">
        <v>26</v>
      </c>
      <c r="C9" s="28" t="s">
        <v>27</v>
      </c>
      <c r="D9" s="28" t="s">
        <v>28</v>
      </c>
      <c r="E9" s="32">
        <v>350</v>
      </c>
      <c r="F9" s="30">
        <v>3556.18</v>
      </c>
      <c r="G9" s="30">
        <v>5.29</v>
      </c>
      <c r="H9" s="30">
        <v>4.96</v>
      </c>
      <c r="J9" s="24"/>
      <c r="K9" s="24"/>
      <c r="L9" s="24"/>
      <c r="N9" s="33" t="s">
        <v>29</v>
      </c>
      <c r="O9" s="34"/>
      <c r="P9" s="36" t="s">
        <v>30</v>
      </c>
      <c r="Q9" s="34"/>
    </row>
    <row r="10" spans="2:17">
      <c r="B10" s="28" t="s">
        <v>31</v>
      </c>
      <c r="C10" s="28" t="s">
        <v>32</v>
      </c>
      <c r="D10" s="28" t="s">
        <v>22</v>
      </c>
      <c r="E10" s="32">
        <v>250</v>
      </c>
      <c r="F10" s="30">
        <v>2547.65</v>
      </c>
      <c r="G10" s="30">
        <v>3.79</v>
      </c>
      <c r="H10" s="30">
        <v>5.25</v>
      </c>
      <c r="J10" s="24"/>
      <c r="K10" s="24"/>
      <c r="L10" s="24"/>
      <c r="N10" s="33"/>
      <c r="O10" s="35"/>
      <c r="P10" s="37"/>
      <c r="Q10" s="35"/>
    </row>
    <row r="11" spans="2:17">
      <c r="B11" s="28" t="s">
        <v>33</v>
      </c>
      <c r="C11" s="28" t="s">
        <v>34</v>
      </c>
      <c r="D11" s="28" t="s">
        <v>22</v>
      </c>
      <c r="E11" s="32">
        <v>250</v>
      </c>
      <c r="F11" s="30">
        <v>2536.89</v>
      </c>
      <c r="G11" s="30">
        <v>3.78</v>
      </c>
      <c r="H11" s="30">
        <v>6</v>
      </c>
      <c r="J11" s="24"/>
      <c r="K11" s="24"/>
      <c r="L11" s="24"/>
      <c r="N11" s="33" t="s">
        <v>35</v>
      </c>
      <c r="O11" s="34"/>
      <c r="P11" s="34"/>
      <c r="Q11" s="34"/>
    </row>
    <row r="12" spans="2:17">
      <c r="B12" s="28" t="s">
        <v>36</v>
      </c>
      <c r="C12" s="28" t="s">
        <v>37</v>
      </c>
      <c r="D12" s="28" t="s">
        <v>22</v>
      </c>
      <c r="E12" s="32">
        <v>250</v>
      </c>
      <c r="F12" s="30">
        <v>2534.7800000000002</v>
      </c>
      <c r="G12" s="30">
        <v>3.77</v>
      </c>
      <c r="H12" s="30">
        <v>4.6900000000000004</v>
      </c>
      <c r="J12" s="24"/>
      <c r="K12" s="24"/>
      <c r="L12" s="24"/>
      <c r="N12" s="33"/>
      <c r="O12" s="35"/>
      <c r="P12" s="35"/>
      <c r="Q12" s="35"/>
    </row>
    <row r="13" spans="2:17">
      <c r="B13" s="28" t="s">
        <v>38</v>
      </c>
      <c r="C13" s="28" t="s">
        <v>39</v>
      </c>
      <c r="D13" s="28" t="s">
        <v>22</v>
      </c>
      <c r="E13" s="32">
        <v>250</v>
      </c>
      <c r="F13" s="30">
        <v>2529.17</v>
      </c>
      <c r="G13" s="30">
        <v>3.76</v>
      </c>
      <c r="H13" s="30">
        <v>4.63</v>
      </c>
      <c r="K13" s="3" t="s">
        <v>40</v>
      </c>
    </row>
    <row r="14" spans="2:17">
      <c r="B14" s="28" t="s">
        <v>41</v>
      </c>
      <c r="C14" s="28" t="s">
        <v>42</v>
      </c>
      <c r="D14" s="28" t="s">
        <v>22</v>
      </c>
      <c r="E14" s="32">
        <v>250</v>
      </c>
      <c r="F14" s="30">
        <v>2524.2600000000002</v>
      </c>
      <c r="G14" s="30">
        <v>3.76</v>
      </c>
      <c r="H14" s="30">
        <v>4.46</v>
      </c>
    </row>
    <row r="15" spans="2:17" ht="15" customHeight="1">
      <c r="B15" s="28" t="s">
        <v>43</v>
      </c>
      <c r="C15" s="28" t="s">
        <v>44</v>
      </c>
      <c r="D15" s="28" t="s">
        <v>22</v>
      </c>
      <c r="E15" s="32">
        <v>250</v>
      </c>
      <c r="F15" s="30">
        <v>2509.48</v>
      </c>
      <c r="G15" s="30">
        <v>3.74</v>
      </c>
      <c r="H15" s="30">
        <v>5.04</v>
      </c>
      <c r="J15" s="38"/>
      <c r="K15" s="38"/>
      <c r="L15" s="38"/>
    </row>
    <row r="16" spans="2:17">
      <c r="B16" s="28" t="s">
        <v>45</v>
      </c>
      <c r="C16" s="28" t="s">
        <v>46</v>
      </c>
      <c r="D16" s="28" t="s">
        <v>22</v>
      </c>
      <c r="E16" s="32">
        <v>250</v>
      </c>
      <c r="F16" s="30">
        <v>2499.1799999999998</v>
      </c>
      <c r="G16" s="30">
        <v>3.72</v>
      </c>
      <c r="H16" s="30">
        <v>5.4</v>
      </c>
      <c r="J16" s="38"/>
      <c r="K16" s="38"/>
      <c r="L16" s="38"/>
    </row>
    <row r="17" spans="2:12">
      <c r="B17" s="28" t="s">
        <v>47</v>
      </c>
      <c r="C17" s="28" t="s">
        <v>48</v>
      </c>
      <c r="D17" s="28" t="s">
        <v>22</v>
      </c>
      <c r="E17" s="32">
        <v>200</v>
      </c>
      <c r="F17" s="30">
        <v>2064.63</v>
      </c>
      <c r="G17" s="30">
        <v>3.07</v>
      </c>
      <c r="H17" s="30">
        <v>5.97</v>
      </c>
      <c r="J17" s="38"/>
      <c r="K17" s="38"/>
      <c r="L17" s="38"/>
    </row>
    <row r="18" spans="2:12">
      <c r="B18" s="28" t="s">
        <v>49</v>
      </c>
      <c r="C18" s="28" t="s">
        <v>50</v>
      </c>
      <c r="D18" s="28" t="s">
        <v>51</v>
      </c>
      <c r="E18" s="32">
        <v>200</v>
      </c>
      <c r="F18" s="30">
        <v>1982.06</v>
      </c>
      <c r="G18" s="30">
        <v>2.95</v>
      </c>
      <c r="H18" s="30">
        <v>5.13</v>
      </c>
    </row>
    <row r="19" spans="2:12">
      <c r="B19" s="28" t="s">
        <v>52</v>
      </c>
      <c r="C19" s="28" t="s">
        <v>53</v>
      </c>
      <c r="D19" s="28" t="s">
        <v>22</v>
      </c>
      <c r="E19" s="32">
        <v>150</v>
      </c>
      <c r="F19" s="30">
        <v>1560.9</v>
      </c>
      <c r="G19" s="30">
        <v>2.3199999999999998</v>
      </c>
      <c r="H19" s="30">
        <v>6</v>
      </c>
    </row>
    <row r="20" spans="2:12">
      <c r="B20" s="28" t="s">
        <v>54</v>
      </c>
      <c r="C20" s="28" t="s">
        <v>55</v>
      </c>
      <c r="D20" s="28" t="s">
        <v>22</v>
      </c>
      <c r="E20" s="32">
        <v>150</v>
      </c>
      <c r="F20" s="30">
        <v>1548.87</v>
      </c>
      <c r="G20" s="30">
        <v>2.31</v>
      </c>
      <c r="H20" s="30">
        <v>5.9</v>
      </c>
    </row>
    <row r="21" spans="2:12">
      <c r="B21" s="28" t="s">
        <v>56</v>
      </c>
      <c r="C21" s="28" t="s">
        <v>57</v>
      </c>
      <c r="D21" s="28" t="s">
        <v>22</v>
      </c>
      <c r="E21" s="32">
        <v>150</v>
      </c>
      <c r="F21" s="30">
        <v>1502.48</v>
      </c>
      <c r="G21" s="30">
        <v>2.2400000000000002</v>
      </c>
      <c r="H21" s="30">
        <v>4.2</v>
      </c>
    </row>
    <row r="22" spans="2:12">
      <c r="B22" s="28" t="s">
        <v>58</v>
      </c>
      <c r="C22" s="28" t="s">
        <v>59</v>
      </c>
      <c r="D22" s="28" t="s">
        <v>22</v>
      </c>
      <c r="E22" s="32">
        <v>100</v>
      </c>
      <c r="F22" s="30">
        <v>1038.3800000000001</v>
      </c>
      <c r="G22" s="30">
        <v>1.55</v>
      </c>
      <c r="H22" s="30">
        <v>5.48</v>
      </c>
    </row>
    <row r="23" spans="2:12">
      <c r="B23" s="28" t="s">
        <v>60</v>
      </c>
      <c r="C23" s="28" t="s">
        <v>61</v>
      </c>
      <c r="D23" s="28" t="s">
        <v>22</v>
      </c>
      <c r="E23" s="32">
        <v>50</v>
      </c>
      <c r="F23" s="30">
        <v>542.26</v>
      </c>
      <c r="G23" s="30">
        <v>0.81</v>
      </c>
      <c r="H23" s="30">
        <v>6.03</v>
      </c>
    </row>
    <row r="24" spans="2:12">
      <c r="B24" s="28" t="s">
        <v>62</v>
      </c>
      <c r="C24" s="28" t="s">
        <v>63</v>
      </c>
      <c r="D24" s="28" t="s">
        <v>22</v>
      </c>
      <c r="E24" s="32">
        <v>100</v>
      </c>
      <c r="F24" s="30">
        <v>313.47000000000003</v>
      </c>
      <c r="G24" s="30">
        <v>0.47</v>
      </c>
      <c r="H24" s="30">
        <v>5.55</v>
      </c>
    </row>
    <row r="25" spans="2:12">
      <c r="B25" s="39" t="s">
        <v>64</v>
      </c>
      <c r="C25" s="39"/>
      <c r="D25" s="39"/>
      <c r="E25" s="40"/>
      <c r="F25" s="41">
        <f>SUM(F6:F24)</f>
        <v>40374.200000000004</v>
      </c>
      <c r="G25" s="41">
        <f>SUM(G6:G24)</f>
        <v>60.1</v>
      </c>
      <c r="H25" s="42"/>
    </row>
    <row r="26" spans="2:12">
      <c r="B26" s="43" t="s">
        <v>65</v>
      </c>
      <c r="C26" s="43"/>
      <c r="D26" s="43"/>
      <c r="E26" s="44"/>
      <c r="F26" s="45">
        <f>F25</f>
        <v>40374.200000000004</v>
      </c>
      <c r="G26" s="45">
        <f>G25</f>
        <v>60.1</v>
      </c>
      <c r="H26" s="45"/>
    </row>
    <row r="27" spans="2:12">
      <c r="B27" s="27" t="s">
        <v>66</v>
      </c>
      <c r="C27" s="28"/>
      <c r="D27" s="28"/>
      <c r="E27" s="29"/>
      <c r="F27" s="30"/>
      <c r="G27" s="30"/>
      <c r="H27" s="30"/>
    </row>
    <row r="28" spans="2:12">
      <c r="B28" s="27" t="s">
        <v>67</v>
      </c>
      <c r="C28" s="28"/>
      <c r="D28" s="28"/>
      <c r="E28" s="29"/>
      <c r="F28" s="30"/>
      <c r="G28" s="30"/>
      <c r="H28" s="30"/>
    </row>
    <row r="29" spans="2:12">
      <c r="B29" s="28" t="s">
        <v>68</v>
      </c>
      <c r="C29" s="28" t="s">
        <v>69</v>
      </c>
      <c r="D29" s="28" t="s">
        <v>70</v>
      </c>
      <c r="E29" s="32">
        <v>600</v>
      </c>
      <c r="F29" s="30">
        <v>2952.43</v>
      </c>
      <c r="G29" s="30">
        <v>4.3899999999999997</v>
      </c>
      <c r="H29" s="30">
        <v>4.26</v>
      </c>
    </row>
    <row r="30" spans="2:12">
      <c r="B30" s="28" t="s">
        <v>71</v>
      </c>
      <c r="C30" s="28" t="s">
        <v>72</v>
      </c>
      <c r="D30" s="28" t="s">
        <v>73</v>
      </c>
      <c r="E30" s="32">
        <v>500</v>
      </c>
      <c r="F30" s="30">
        <v>2450.63</v>
      </c>
      <c r="G30" s="30">
        <v>3.65</v>
      </c>
      <c r="H30" s="30">
        <v>4.3</v>
      </c>
    </row>
    <row r="31" spans="2:12">
      <c r="B31" s="27" t="s">
        <v>64</v>
      </c>
      <c r="C31" s="27"/>
      <c r="D31" s="27"/>
      <c r="E31" s="46"/>
      <c r="F31" s="47">
        <f>SUM(F28:F30)</f>
        <v>5403.0599999999995</v>
      </c>
      <c r="G31" s="47">
        <f>SUM(G28:G30)</f>
        <v>8.0399999999999991</v>
      </c>
      <c r="H31" s="48"/>
    </row>
    <row r="32" spans="2:12">
      <c r="B32" s="27" t="s">
        <v>74</v>
      </c>
      <c r="C32" s="28"/>
      <c r="D32" s="28"/>
      <c r="E32" s="29"/>
      <c r="F32" s="30"/>
      <c r="G32" s="30"/>
      <c r="H32" s="30"/>
    </row>
    <row r="33" spans="2:8">
      <c r="B33" s="28" t="s">
        <v>75</v>
      </c>
      <c r="C33" s="28" t="s">
        <v>76</v>
      </c>
      <c r="D33" s="28" t="s">
        <v>77</v>
      </c>
      <c r="E33" s="32">
        <v>2500000</v>
      </c>
      <c r="F33" s="30">
        <v>2415.8000000000002</v>
      </c>
      <c r="G33" s="30">
        <v>3.6</v>
      </c>
      <c r="H33" s="30">
        <v>4.45</v>
      </c>
    </row>
    <row r="34" spans="2:8">
      <c r="B34" s="39" t="s">
        <v>64</v>
      </c>
      <c r="C34" s="39"/>
      <c r="D34" s="39"/>
      <c r="E34" s="40"/>
      <c r="F34" s="41">
        <f>SUM(F32:F33)</f>
        <v>2415.8000000000002</v>
      </c>
      <c r="G34" s="41">
        <f>SUM(G32:G33)</f>
        <v>3.6</v>
      </c>
      <c r="H34" s="42"/>
    </row>
    <row r="35" spans="2:8">
      <c r="B35" s="43" t="s">
        <v>65</v>
      </c>
      <c r="C35" s="43"/>
      <c r="D35" s="43"/>
      <c r="E35" s="44"/>
      <c r="F35" s="45">
        <f>F31+F34</f>
        <v>7818.86</v>
      </c>
      <c r="G35" s="45">
        <f>G31+G34</f>
        <v>11.639999999999999</v>
      </c>
      <c r="H35" s="45"/>
    </row>
    <row r="36" spans="2:8">
      <c r="B36" s="27" t="s">
        <v>78</v>
      </c>
      <c r="C36" s="28"/>
      <c r="D36" s="28"/>
      <c r="E36" s="29"/>
      <c r="F36" s="30"/>
      <c r="G36" s="30"/>
      <c r="H36" s="30"/>
    </row>
    <row r="37" spans="2:8">
      <c r="B37" s="28" t="s">
        <v>79</v>
      </c>
      <c r="C37" s="28" t="s">
        <v>80</v>
      </c>
      <c r="D37" s="28" t="s">
        <v>81</v>
      </c>
      <c r="E37" s="32">
        <v>4500000</v>
      </c>
      <c r="F37" s="30">
        <v>4478.0200000000004</v>
      </c>
      <c r="G37" s="30">
        <v>6.67</v>
      </c>
      <c r="H37" s="30">
        <v>4.8</v>
      </c>
    </row>
    <row r="38" spans="2:8">
      <c r="B38" s="28" t="s">
        <v>82</v>
      </c>
      <c r="C38" s="28" t="s">
        <v>83</v>
      </c>
      <c r="D38" s="28" t="s">
        <v>81</v>
      </c>
      <c r="E38" s="32">
        <v>2500000</v>
      </c>
      <c r="F38" s="30">
        <v>2464.5700000000002</v>
      </c>
      <c r="G38" s="30">
        <v>3.67</v>
      </c>
      <c r="H38" s="30">
        <v>6.09</v>
      </c>
    </row>
    <row r="39" spans="2:8">
      <c r="B39" s="28" t="s">
        <v>84</v>
      </c>
      <c r="C39" s="28" t="s">
        <v>85</v>
      </c>
      <c r="D39" s="28" t="s">
        <v>81</v>
      </c>
      <c r="E39" s="32">
        <v>2500000</v>
      </c>
      <c r="F39" s="30">
        <v>2450.4699999999998</v>
      </c>
      <c r="G39" s="30">
        <v>3.65</v>
      </c>
      <c r="H39" s="30">
        <v>6.82</v>
      </c>
    </row>
    <row r="40" spans="2:8">
      <c r="B40" s="28" t="s">
        <v>86</v>
      </c>
      <c r="C40" s="28" t="s">
        <v>87</v>
      </c>
      <c r="D40" s="28" t="s">
        <v>81</v>
      </c>
      <c r="E40" s="32">
        <v>1000000</v>
      </c>
      <c r="F40" s="30">
        <v>1035.23</v>
      </c>
      <c r="G40" s="30">
        <v>1.54</v>
      </c>
      <c r="H40" s="30">
        <v>4.71</v>
      </c>
    </row>
    <row r="41" spans="2:8">
      <c r="B41" s="28" t="s">
        <v>88</v>
      </c>
      <c r="C41" s="28" t="s">
        <v>89</v>
      </c>
      <c r="D41" s="28" t="s">
        <v>81</v>
      </c>
      <c r="E41" s="32">
        <v>500000</v>
      </c>
      <c r="F41" s="30">
        <v>506.77</v>
      </c>
      <c r="G41" s="30">
        <v>0.75</v>
      </c>
      <c r="H41" s="30">
        <v>4.22</v>
      </c>
    </row>
    <row r="42" spans="2:8">
      <c r="B42" s="28" t="s">
        <v>90</v>
      </c>
      <c r="C42" s="28" t="s">
        <v>91</v>
      </c>
      <c r="D42" s="28" t="s">
        <v>81</v>
      </c>
      <c r="E42" s="32">
        <v>500000</v>
      </c>
      <c r="F42" s="30">
        <v>506.76</v>
      </c>
      <c r="G42" s="30">
        <v>0.75</v>
      </c>
      <c r="H42" s="30">
        <v>4.22</v>
      </c>
    </row>
    <row r="43" spans="2:8">
      <c r="B43" s="28" t="s">
        <v>92</v>
      </c>
      <c r="C43" s="28" t="s">
        <v>93</v>
      </c>
      <c r="D43" s="28" t="s">
        <v>81</v>
      </c>
      <c r="E43" s="32">
        <v>500000</v>
      </c>
      <c r="F43" s="30">
        <v>504.57</v>
      </c>
      <c r="G43" s="30">
        <v>0.75</v>
      </c>
      <c r="H43" s="30">
        <v>4.18</v>
      </c>
    </row>
    <row r="44" spans="2:8">
      <c r="B44" s="28" t="s">
        <v>94</v>
      </c>
      <c r="C44" s="28" t="s">
        <v>95</v>
      </c>
      <c r="D44" s="28" t="s">
        <v>81</v>
      </c>
      <c r="E44" s="32">
        <v>400000</v>
      </c>
      <c r="F44" s="30">
        <v>403.57</v>
      </c>
      <c r="G44" s="30">
        <v>0.6</v>
      </c>
      <c r="H44" s="30">
        <v>3.89</v>
      </c>
    </row>
    <row r="45" spans="2:8">
      <c r="B45" s="49" t="s">
        <v>96</v>
      </c>
      <c r="C45" s="49" t="s">
        <v>97</v>
      </c>
      <c r="D45" s="49" t="s">
        <v>81</v>
      </c>
      <c r="E45" s="50">
        <v>28300</v>
      </c>
      <c r="F45" s="51">
        <v>30.03</v>
      </c>
      <c r="G45" s="51">
        <v>0.04</v>
      </c>
      <c r="H45" s="51">
        <v>6.4</v>
      </c>
    </row>
    <row r="46" spans="2:8">
      <c r="B46" s="52" t="s">
        <v>65</v>
      </c>
      <c r="C46" s="52"/>
      <c r="D46" s="52"/>
      <c r="E46" s="53"/>
      <c r="F46" s="47">
        <f>SUM(F37:F45)</f>
        <v>12379.99</v>
      </c>
      <c r="G46" s="47">
        <f>SUM(G37:G45)</f>
        <v>18.420000000000002</v>
      </c>
      <c r="H46" s="47"/>
    </row>
    <row r="47" spans="2:8">
      <c r="B47" s="27" t="s">
        <v>98</v>
      </c>
      <c r="C47" s="28"/>
      <c r="D47" s="28"/>
      <c r="E47" s="29"/>
      <c r="F47" s="30"/>
      <c r="G47" s="30"/>
      <c r="H47" s="30"/>
    </row>
    <row r="48" spans="2:8">
      <c r="B48" s="28" t="s">
        <v>98</v>
      </c>
      <c r="C48" s="28"/>
      <c r="D48" s="28"/>
      <c r="E48" s="29"/>
      <c r="F48" s="30">
        <v>5011.59</v>
      </c>
      <c r="G48" s="30">
        <v>7.46</v>
      </c>
      <c r="H48" s="30"/>
    </row>
    <row r="49" spans="2:8">
      <c r="B49" s="39" t="s">
        <v>64</v>
      </c>
      <c r="C49" s="39"/>
      <c r="D49" s="39"/>
      <c r="E49" s="40"/>
      <c r="F49" s="41">
        <f>SUM(F47:F48)</f>
        <v>5011.59</v>
      </c>
      <c r="G49" s="41">
        <f>SUM(G47:G48)</f>
        <v>7.46</v>
      </c>
      <c r="H49" s="42"/>
    </row>
    <row r="50" spans="2:8">
      <c r="B50" s="54" t="s">
        <v>65</v>
      </c>
      <c r="C50" s="54"/>
      <c r="D50" s="54"/>
      <c r="E50" s="55"/>
      <c r="F50" s="56">
        <f>F49</f>
        <v>5011.59</v>
      </c>
      <c r="G50" s="56">
        <f>G49</f>
        <v>7.46</v>
      </c>
      <c r="H50" s="56"/>
    </row>
    <row r="51" spans="2:8">
      <c r="B51" s="57" t="s">
        <v>99</v>
      </c>
      <c r="C51" s="57"/>
      <c r="D51" s="57"/>
      <c r="E51" s="58"/>
      <c r="F51" s="59">
        <f>F52-(+F26+F35+F46+F50)</f>
        <v>1599.8899999999994</v>
      </c>
      <c r="G51" s="59">
        <f>G52-(+G26+G35+G46+G50)</f>
        <v>2.3800000000000097</v>
      </c>
      <c r="H51" s="59"/>
    </row>
    <row r="52" spans="2:8">
      <c r="B52" s="57" t="s">
        <v>100</v>
      </c>
      <c r="C52" s="57"/>
      <c r="D52" s="57"/>
      <c r="E52" s="58"/>
      <c r="F52" s="59">
        <v>67184.53</v>
      </c>
      <c r="G52" s="59">
        <v>100</v>
      </c>
      <c r="H52" s="59"/>
    </row>
    <row r="54" spans="2:8">
      <c r="B54" s="60" t="s">
        <v>101</v>
      </c>
    </row>
    <row r="55" spans="2:8">
      <c r="B55" s="60" t="s">
        <v>102</v>
      </c>
    </row>
  </sheetData>
  <mergeCells count="21">
    <mergeCell ref="N11:N12"/>
    <mergeCell ref="O11:O12"/>
    <mergeCell ref="P11:P12"/>
    <mergeCell ref="Q11:Q12"/>
    <mergeCell ref="J15:L17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2022-04-08T12:33:49Z</dcterms:created>
  <dcterms:modified xsi:type="dcterms:W3CDTF">2022-04-08T12:33:52Z</dcterms:modified>
</cp:coreProperties>
</file>