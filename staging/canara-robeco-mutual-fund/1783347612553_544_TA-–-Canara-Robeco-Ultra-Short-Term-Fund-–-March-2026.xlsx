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0D4701B7-2762-48C1-B064-2DF2ED02E7C4}" xr6:coauthVersionLast="47" xr6:coauthVersionMax="47" xr10:uidLastSave="{00000000-0000-0000-0000-000000000000}"/>
  <bookViews>
    <workbookView xWindow="-110" yWindow="-110" windowWidth="19420" windowHeight="10300" xr2:uid="{A5A9D723-5D50-4B38-8E5F-116192822DB7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40" i="1" s="1"/>
  <c r="F39" i="1"/>
  <c r="F40" i="1" s="1"/>
  <c r="G36" i="1"/>
  <c r="F36" i="1"/>
  <c r="G33" i="1"/>
  <c r="F33" i="1"/>
  <c r="G29" i="1"/>
  <c r="F29" i="1"/>
  <c r="G25" i="1"/>
  <c r="G30" i="1" s="1"/>
  <c r="F25" i="1"/>
  <c r="F30" i="1" s="1"/>
  <c r="G15" i="1"/>
  <c r="G16" i="1" s="1"/>
  <c r="F15" i="1"/>
  <c r="F16" i="1" s="1"/>
  <c r="F41" i="1" l="1"/>
  <c r="G4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<sst xmlns="http://schemas.openxmlformats.org/spreadsheetml/2006/main" count="105" uniqueCount="86">
  <si>
    <t>CANARA ROBECO ULTRA SHORT TERM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</si>
  <si>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</si>
  <si>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</si>
  <si>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</si>
  <si>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</si>
  <si>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</si>
  <si>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</si>
  <si>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</si>
  <si>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</si>
  <si>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</si>
  <si>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</si>
  <si>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</si>
  <si>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</si>
  <si>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</si>
  <si>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</si>
  <si>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</si>
  <si>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</si>
  <si>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</si>
  <si>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</si>
  <si>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</si>
  <si>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</si>
  <si>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7.50% National Bank For Agriculture &amp; Rural Development (31/08/2026) **</t>
  </si>
  <si>
    <t>INE261F08EA6</t>
  </si>
  <si>
    <t>CRISIL AAA</t>
  </si>
  <si>
    <t>Relatively Low (Class I)</t>
  </si>
  <si>
    <t>B-I</t>
  </si>
  <si>
    <t>8.1350% KOTAK MAHINDRA PRIME LTD 10-FEB-27 **</t>
  </si>
  <si>
    <t>INE916DA7SR0</t>
  </si>
  <si>
    <t>7.70% REC Ltd (31/08/2026) **</t>
  </si>
  <si>
    <t>INE020B08FC8</t>
  </si>
  <si>
    <t>ICRA AAA</t>
  </si>
  <si>
    <t>Moderate 
(Class II)</t>
  </si>
  <si>
    <t>7.63% Power Finance Corporation Ltd (14/08/2026) **</t>
  </si>
  <si>
    <t>INE134E08II2</t>
  </si>
  <si>
    <t>7.55% Small Industries Development Bank Of India (22/09/2026) **</t>
  </si>
  <si>
    <t>INE556F08KJ7</t>
  </si>
  <si>
    <t>Relatively High (Class III)</t>
  </si>
  <si>
    <t>6.40% LIC Housing Finance Ltd (30/11/2026) **</t>
  </si>
  <si>
    <t>INE115A07PN6</t>
  </si>
  <si>
    <t>7.64% Power Finance Corporation Ltd (25/08/2026) **</t>
  </si>
  <si>
    <t>INE134E08MT1</t>
  </si>
  <si>
    <t>Benchmark: CRISIL Ultra Short Duration Debt A-I Index</t>
  </si>
  <si>
    <t>7.43% Small Industries Development Bank Of India (31/08/2026) **</t>
  </si>
  <si>
    <t>INE556F08KH1</t>
  </si>
  <si>
    <t>CARE AAA</t>
  </si>
  <si>
    <t>Sub Total</t>
  </si>
  <si>
    <t>Total</t>
  </si>
  <si>
    <t>Money Market Instruments</t>
  </si>
  <si>
    <t>Certificate of Deposit</t>
  </si>
  <si>
    <t>Export-Import Bank Of India (28/05/2026) ** #</t>
  </si>
  <si>
    <t>INE514E16CL5</t>
  </si>
  <si>
    <t>CRISIL A1+</t>
  </si>
  <si>
    <t>Axis Bank Ltd (12/06/2026) #</t>
  </si>
  <si>
    <t>INE238AD6AU5</t>
  </si>
  <si>
    <t>Indian Bank (03/02/2027) ** #</t>
  </si>
  <si>
    <t>INE562A16QH0</t>
  </si>
  <si>
    <t>ICICI Bank Ltd (08/03/2027) ** #</t>
  </si>
  <si>
    <t>INE090AD6295</t>
  </si>
  <si>
    <t>ICRA A1+</t>
  </si>
  <si>
    <t>HDFC Bank Ltd (12/03/2027) #</t>
  </si>
  <si>
    <t>INE040A16IZ6</t>
  </si>
  <si>
    <t>CARE A1+</t>
  </si>
  <si>
    <t>HDFC Bank Ltd (21/12/2026) ** #</t>
  </si>
  <si>
    <t>INE040A16II2</t>
  </si>
  <si>
    <t>Commercial Paper</t>
  </si>
  <si>
    <t>HDFC Securities Ltd (05/06/2026) **</t>
  </si>
  <si>
    <t>INE700G14SV5</t>
  </si>
  <si>
    <t>Aditya Birla Capital Ltd (09/06/2026) **</t>
  </si>
  <si>
    <t>INE674K14BR8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</si>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</sst>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EBD0-FF7F-49C5-A621-2B7BA503928E}">
  <dimension ref="B1:S55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5.1796875" style="3" bestFit="1" customWidth="1"/>
    <col min="3" max="3" width="13.7265625" style="3" bestFit="1" customWidth="1"/>
    <col min="4" max="4" width="20.81640625" style="3" bestFit="1" customWidth="1"/>
    <col min="5" max="5" width="7.453125" style="3" bestFit="1" customWidth="1"/>
    <col min="6" max="6" width="14.54296875" style="8" bestFit="1" customWidth="1"/>
    <col min="7" max="7" width="7.453125" style="8" bestFit="1" customWidth="1"/>
    <col min="8" max="8" width="6.726562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2.5429687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>
      <c r="B7" s="25" t="s">
        <v>21</v>
      </c>
      <c r="C7" s="25" t="s">
        <v>22</v>
      </c>
      <c r="D7" s="25" t="s">
        <v>23</v>
      </c>
      <c r="E7" s="30">
        <v>4500</v>
      </c>
      <c r="F7" s="26">
        <v>4493.09</v>
      </c>
      <c r="G7" s="26">
        <v>9.3000000000000007</v>
      </c>
      <c r="H7" s="26">
        <v>7.55</v>
      </c>
      <c r="K7" s="27"/>
      <c r="L7" s="21"/>
      <c r="M7" s="27"/>
      <c r="N7" s="21"/>
      <c r="P7" s="31" t="s">
        <v>24</v>
      </c>
      <c r="Q7" s="32"/>
      <c r="R7" s="33" t="s">
        <v>25</v>
      </c>
      <c r="S7" s="32"/>
    </row>
    <row r="8" spans="2:19">
      <c r="B8" s="25" t="s">
        <v>26</v>
      </c>
      <c r="C8" s="25" t="s">
        <v>27</v>
      </c>
      <c r="D8" s="25" t="s">
        <v>23</v>
      </c>
      <c r="E8" s="30">
        <v>2500</v>
      </c>
      <c r="F8" s="26">
        <v>2504.94</v>
      </c>
      <c r="G8" s="26">
        <v>5.18</v>
      </c>
      <c r="H8" s="26">
        <v>7.8</v>
      </c>
      <c r="K8" s="27"/>
      <c r="L8" s="21"/>
      <c r="M8" s="27"/>
      <c r="N8" s="21"/>
      <c r="P8" s="31"/>
      <c r="Q8" s="34"/>
      <c r="R8" s="35"/>
      <c r="S8" s="34"/>
    </row>
    <row r="9" spans="2:19">
      <c r="B9" s="25" t="s">
        <v>28</v>
      </c>
      <c r="C9" s="25" t="s">
        <v>29</v>
      </c>
      <c r="D9" s="25" t="s">
        <v>30</v>
      </c>
      <c r="E9" s="30">
        <v>2500</v>
      </c>
      <c r="F9" s="26">
        <v>2498.5100000000002</v>
      </c>
      <c r="G9" s="26">
        <v>5.17</v>
      </c>
      <c r="H9" s="26">
        <v>7.51</v>
      </c>
      <c r="K9" s="27"/>
      <c r="L9" s="21"/>
      <c r="M9" s="27"/>
      <c r="N9" s="21"/>
      <c r="P9" s="31" t="s">
        <v>31</v>
      </c>
      <c r="Q9" s="32"/>
      <c r="R9" s="32"/>
      <c r="S9" s="32"/>
    </row>
    <row r="10" spans="2:19">
      <c r="B10" s="25" t="s">
        <v>32</v>
      </c>
      <c r="C10" s="25" t="s">
        <v>33</v>
      </c>
      <c r="D10" s="25" t="s">
        <v>23</v>
      </c>
      <c r="E10" s="30">
        <v>250</v>
      </c>
      <c r="F10" s="26">
        <v>2497.61</v>
      </c>
      <c r="G10" s="26">
        <v>5.17</v>
      </c>
      <c r="H10" s="26">
        <v>7.54</v>
      </c>
      <c r="K10" s="27"/>
      <c r="L10" s="21"/>
      <c r="M10" s="27"/>
      <c r="N10" s="21"/>
      <c r="P10" s="31"/>
      <c r="Q10" s="34"/>
      <c r="R10" s="34"/>
      <c r="S10" s="34"/>
    </row>
    <row r="11" spans="2:19">
      <c r="B11" s="25" t="s">
        <v>34</v>
      </c>
      <c r="C11" s="25" t="s">
        <v>35</v>
      </c>
      <c r="D11" s="25" t="s">
        <v>23</v>
      </c>
      <c r="E11" s="30">
        <v>2500</v>
      </c>
      <c r="F11" s="26">
        <v>2496.33</v>
      </c>
      <c r="G11" s="26">
        <v>5.17</v>
      </c>
      <c r="H11" s="26">
        <v>7.57</v>
      </c>
      <c r="K11" s="27"/>
      <c r="L11" s="21"/>
      <c r="M11" s="27"/>
      <c r="N11" s="21"/>
      <c r="P11" s="31" t="s">
        <v>36</v>
      </c>
      <c r="Q11" s="32"/>
      <c r="R11" s="32"/>
      <c r="S11" s="32"/>
    </row>
    <row r="12" spans="2:19">
      <c r="B12" s="25" t="s">
        <v>37</v>
      </c>
      <c r="C12" s="25" t="s">
        <v>38</v>
      </c>
      <c r="D12" s="25" t="s">
        <v>23</v>
      </c>
      <c r="E12" s="30">
        <v>250</v>
      </c>
      <c r="F12" s="26">
        <v>2478.0100000000002</v>
      </c>
      <c r="G12" s="26">
        <v>5.13</v>
      </c>
      <c r="H12" s="26">
        <v>7.63</v>
      </c>
      <c r="K12" s="36"/>
      <c r="L12" s="21"/>
      <c r="M12" s="36"/>
      <c r="N12" s="21"/>
      <c r="P12" s="31"/>
      <c r="Q12" s="34"/>
      <c r="R12" s="34"/>
      <c r="S12" s="34"/>
    </row>
    <row r="13" spans="2:19">
      <c r="B13" s="25" t="s">
        <v>39</v>
      </c>
      <c r="C13" s="25" t="s">
        <v>40</v>
      </c>
      <c r="D13" s="25" t="s">
        <v>23</v>
      </c>
      <c r="E13" s="30">
        <v>2000</v>
      </c>
      <c r="F13" s="26">
        <v>1997.89</v>
      </c>
      <c r="G13" s="26">
        <v>4.13</v>
      </c>
      <c r="H13" s="26">
        <v>7.57</v>
      </c>
      <c r="K13" s="37"/>
      <c r="L13" s="37" t="s">
        <v>41</v>
      </c>
      <c r="M13" s="38"/>
      <c r="N13" s="38"/>
    </row>
    <row r="14" spans="2:19">
      <c r="B14" s="25" t="s">
        <v>42</v>
      </c>
      <c r="C14" s="25" t="s">
        <v>43</v>
      </c>
      <c r="D14" s="25" t="s">
        <v>44</v>
      </c>
      <c r="E14" s="30">
        <v>2000</v>
      </c>
      <c r="F14" s="26">
        <v>1996.39</v>
      </c>
      <c r="G14" s="26">
        <v>4.13</v>
      </c>
      <c r="H14" s="26">
        <v>7.55</v>
      </c>
    </row>
    <row r="15" spans="2:19">
      <c r="B15" s="39" t="s">
        <v>45</v>
      </c>
      <c r="C15" s="39"/>
      <c r="D15" s="39"/>
      <c r="E15" s="39"/>
      <c r="F15" s="40">
        <f>SUM(F6:F14)</f>
        <v>20962.77</v>
      </c>
      <c r="G15" s="40">
        <f>SUM(G6:G14)</f>
        <v>43.38000000000001</v>
      </c>
      <c r="H15" s="41"/>
      <c r="I15" s="42"/>
    </row>
    <row r="16" spans="2:19">
      <c r="B16" s="43" t="s">
        <v>46</v>
      </c>
      <c r="C16" s="43"/>
      <c r="D16" s="43"/>
      <c r="E16" s="43"/>
      <c r="F16" s="44">
        <f>F15</f>
        <v>20962.77</v>
      </c>
      <c r="G16" s="44">
        <f>G15</f>
        <v>43.38000000000001</v>
      </c>
      <c r="H16" s="44"/>
      <c r="I16" s="42"/>
    </row>
    <row r="17" spans="2:9">
      <c r="B17" s="24" t="s">
        <v>47</v>
      </c>
      <c r="C17" s="25"/>
      <c r="D17" s="25"/>
      <c r="E17" s="25"/>
      <c r="F17" s="26"/>
      <c r="G17" s="26"/>
      <c r="H17" s="26"/>
    </row>
    <row r="18" spans="2:9">
      <c r="B18" s="24" t="s">
        <v>48</v>
      </c>
      <c r="C18" s="25"/>
      <c r="D18" s="25"/>
      <c r="E18" s="25"/>
      <c r="F18" s="26"/>
      <c r="G18" s="26"/>
      <c r="H18" s="26"/>
    </row>
    <row r="19" spans="2:9">
      <c r="B19" s="25" t="s">
        <v>49</v>
      </c>
      <c r="C19" s="25" t="s">
        <v>50</v>
      </c>
      <c r="D19" s="25" t="s">
        <v>51</v>
      </c>
      <c r="E19" s="30">
        <v>1000</v>
      </c>
      <c r="F19" s="26">
        <v>4938.96</v>
      </c>
      <c r="G19" s="26">
        <v>10.220000000000001</v>
      </c>
      <c r="H19" s="26">
        <v>7.92</v>
      </c>
    </row>
    <row r="20" spans="2:9">
      <c r="B20" s="25" t="s">
        <v>52</v>
      </c>
      <c r="C20" s="25" t="s">
        <v>53</v>
      </c>
      <c r="D20" s="25" t="s">
        <v>51</v>
      </c>
      <c r="E20" s="30">
        <v>500</v>
      </c>
      <c r="F20" s="26">
        <v>2464.42</v>
      </c>
      <c r="G20" s="26">
        <v>5.0999999999999996</v>
      </c>
      <c r="H20" s="26">
        <v>7.32</v>
      </c>
    </row>
    <row r="21" spans="2:9">
      <c r="B21" s="25" t="s">
        <v>54</v>
      </c>
      <c r="C21" s="25" t="s">
        <v>55</v>
      </c>
      <c r="D21" s="25" t="s">
        <v>51</v>
      </c>
      <c r="E21" s="30">
        <v>500</v>
      </c>
      <c r="F21" s="26">
        <v>2354.38</v>
      </c>
      <c r="G21" s="26">
        <v>4.87</v>
      </c>
      <c r="H21" s="26">
        <v>7.33</v>
      </c>
    </row>
    <row r="22" spans="2:9">
      <c r="B22" s="25" t="s">
        <v>56</v>
      </c>
      <c r="C22" s="25" t="s">
        <v>57</v>
      </c>
      <c r="D22" s="25" t="s">
        <v>58</v>
      </c>
      <c r="E22" s="30">
        <v>500</v>
      </c>
      <c r="F22" s="26">
        <v>2342.44</v>
      </c>
      <c r="G22" s="26">
        <v>4.8499999999999996</v>
      </c>
      <c r="H22" s="26">
        <v>7.2</v>
      </c>
    </row>
    <row r="23" spans="2:9">
      <c r="B23" s="25" t="s">
        <v>59</v>
      </c>
      <c r="C23" s="25" t="s">
        <v>60</v>
      </c>
      <c r="D23" s="25" t="s">
        <v>61</v>
      </c>
      <c r="E23" s="30">
        <v>500</v>
      </c>
      <c r="F23" s="26">
        <v>2338.2199999999998</v>
      </c>
      <c r="G23" s="26">
        <v>4.84</v>
      </c>
      <c r="H23" s="26">
        <v>7.32</v>
      </c>
    </row>
    <row r="24" spans="2:9">
      <c r="B24" s="25" t="s">
        <v>62</v>
      </c>
      <c r="C24" s="25" t="s">
        <v>63</v>
      </c>
      <c r="D24" s="25" t="s">
        <v>61</v>
      </c>
      <c r="E24" s="30">
        <v>300</v>
      </c>
      <c r="F24" s="26">
        <v>1425.26</v>
      </c>
      <c r="G24" s="26">
        <v>2.95</v>
      </c>
      <c r="H24" s="26">
        <v>7.25</v>
      </c>
    </row>
    <row r="25" spans="2:9">
      <c r="B25" s="24" t="s">
        <v>45</v>
      </c>
      <c r="C25" s="24"/>
      <c r="D25" s="24"/>
      <c r="E25" s="24"/>
      <c r="F25" s="45">
        <f>SUM(F18:F24)</f>
        <v>15863.68</v>
      </c>
      <c r="G25" s="45">
        <f>SUM(G18:G24)</f>
        <v>32.83</v>
      </c>
      <c r="H25" s="46"/>
      <c r="I25" s="42"/>
    </row>
    <row r="26" spans="2:9">
      <c r="B26" s="24" t="s">
        <v>64</v>
      </c>
      <c r="C26" s="25"/>
      <c r="D26" s="25"/>
      <c r="E26" s="25"/>
      <c r="F26" s="26"/>
      <c r="G26" s="26"/>
      <c r="H26" s="26"/>
    </row>
    <row r="27" spans="2:9">
      <c r="B27" s="25" t="s">
        <v>65</v>
      </c>
      <c r="C27" s="25" t="s">
        <v>66</v>
      </c>
      <c r="D27" s="25" t="s">
        <v>61</v>
      </c>
      <c r="E27" s="30">
        <v>500</v>
      </c>
      <c r="F27" s="26">
        <v>2465.3200000000002</v>
      </c>
      <c r="G27" s="26">
        <v>5.0999999999999996</v>
      </c>
      <c r="H27" s="26">
        <v>7.9</v>
      </c>
    </row>
    <row r="28" spans="2:9">
      <c r="B28" s="25" t="s">
        <v>67</v>
      </c>
      <c r="C28" s="25" t="s">
        <v>68</v>
      </c>
      <c r="D28" s="25" t="s">
        <v>58</v>
      </c>
      <c r="E28" s="30">
        <v>500</v>
      </c>
      <c r="F28" s="26">
        <v>2463.67</v>
      </c>
      <c r="G28" s="26">
        <v>5.0999999999999996</v>
      </c>
      <c r="H28" s="26">
        <v>7.8</v>
      </c>
    </row>
    <row r="29" spans="2:9">
      <c r="B29" s="39" t="s">
        <v>45</v>
      </c>
      <c r="C29" s="39"/>
      <c r="D29" s="39"/>
      <c r="E29" s="39"/>
      <c r="F29" s="40">
        <f>SUM(F26:F28)</f>
        <v>4928.99</v>
      </c>
      <c r="G29" s="40">
        <f>SUM(G26:G28)</f>
        <v>10.199999999999999</v>
      </c>
      <c r="H29" s="41"/>
      <c r="I29" s="42"/>
    </row>
    <row r="30" spans="2:9">
      <c r="B30" s="43" t="s">
        <v>46</v>
      </c>
      <c r="C30" s="43"/>
      <c r="D30" s="43"/>
      <c r="E30" s="43"/>
      <c r="F30" s="44">
        <f>F25+F29</f>
        <v>20792.669999999998</v>
      </c>
      <c r="G30" s="44">
        <f>G25+G29</f>
        <v>43.03</v>
      </c>
      <c r="H30" s="44"/>
      <c r="I30" s="42"/>
    </row>
    <row r="31" spans="2:9">
      <c r="B31" s="24" t="s">
        <v>69</v>
      </c>
      <c r="C31" s="25"/>
      <c r="D31" s="25"/>
      <c r="E31" s="25"/>
      <c r="F31" s="26"/>
      <c r="G31" s="26"/>
      <c r="H31" s="26"/>
    </row>
    <row r="32" spans="2:9">
      <c r="B32" s="47" t="s">
        <v>70</v>
      </c>
      <c r="C32" s="47" t="s">
        <v>71</v>
      </c>
      <c r="D32" s="47" t="s">
        <v>72</v>
      </c>
      <c r="E32" s="48">
        <v>500000</v>
      </c>
      <c r="F32" s="49">
        <v>519.89</v>
      </c>
      <c r="G32" s="49">
        <v>1.08</v>
      </c>
      <c r="H32" s="49">
        <v>6.08</v>
      </c>
    </row>
    <row r="33" spans="2:9">
      <c r="B33" s="50" t="s">
        <v>46</v>
      </c>
      <c r="C33" s="50"/>
      <c r="D33" s="50"/>
      <c r="E33" s="50"/>
      <c r="F33" s="45">
        <f>SUM(F32:F32)</f>
        <v>519.89</v>
      </c>
      <c r="G33" s="45">
        <f>SUM(G32:G32)</f>
        <v>1.08</v>
      </c>
      <c r="H33" s="45"/>
      <c r="I33" s="42"/>
    </row>
    <row r="34" spans="2:9">
      <c r="B34" s="24" t="s">
        <v>73</v>
      </c>
      <c r="C34" s="25"/>
      <c r="D34" s="25"/>
      <c r="E34" s="25"/>
      <c r="F34" s="26"/>
      <c r="G34" s="26"/>
      <c r="H34" s="26"/>
    </row>
    <row r="35" spans="2:9">
      <c r="B35" s="47" t="s">
        <v>74</v>
      </c>
      <c r="C35" s="47" t="s">
        <v>75</v>
      </c>
      <c r="D35" s="47" t="s">
        <v>73</v>
      </c>
      <c r="E35" s="48">
        <v>1529.0239999999999</v>
      </c>
      <c r="F35" s="49">
        <v>178.79</v>
      </c>
      <c r="G35" s="49">
        <v>0.37</v>
      </c>
      <c r="H35" s="49">
        <v>5.72</v>
      </c>
    </row>
    <row r="36" spans="2:9">
      <c r="B36" s="50" t="s">
        <v>46</v>
      </c>
      <c r="C36" s="50"/>
      <c r="D36" s="50"/>
      <c r="E36" s="50"/>
      <c r="F36" s="45">
        <f>SUM(F35:F35)</f>
        <v>178.79</v>
      </c>
      <c r="G36" s="45">
        <f>SUM(G35:G35)</f>
        <v>0.37</v>
      </c>
      <c r="H36" s="45"/>
      <c r="I36" s="42"/>
    </row>
    <row r="37" spans="2:9">
      <c r="B37" s="24" t="s">
        <v>76</v>
      </c>
      <c r="C37" s="25"/>
      <c r="D37" s="25"/>
      <c r="E37" s="25"/>
      <c r="F37" s="26"/>
      <c r="G37" s="26"/>
      <c r="H37" s="26"/>
    </row>
    <row r="38" spans="2:9">
      <c r="B38" s="25" t="s">
        <v>76</v>
      </c>
      <c r="C38" s="25"/>
      <c r="D38" s="25"/>
      <c r="E38" s="25"/>
      <c r="F38" s="26">
        <v>5434.22</v>
      </c>
      <c r="G38" s="26">
        <v>11.25</v>
      </c>
      <c r="H38" s="26"/>
    </row>
    <row r="39" spans="2:9">
      <c r="B39" s="39" t="s">
        <v>45</v>
      </c>
      <c r="C39" s="39"/>
      <c r="D39" s="39"/>
      <c r="E39" s="39"/>
      <c r="F39" s="40">
        <f>SUM(F37:F38)</f>
        <v>5434.22</v>
      </c>
      <c r="G39" s="40">
        <f>SUM(G37:G38)</f>
        <v>11.25</v>
      </c>
      <c r="H39" s="41"/>
      <c r="I39" s="42"/>
    </row>
    <row r="40" spans="2:9">
      <c r="B40" s="51" t="s">
        <v>46</v>
      </c>
      <c r="C40" s="51"/>
      <c r="D40" s="51"/>
      <c r="E40" s="51"/>
      <c r="F40" s="52">
        <f>F39</f>
        <v>5434.22</v>
      </c>
      <c r="G40" s="52">
        <f>G39</f>
        <v>11.25</v>
      </c>
      <c r="H40" s="52"/>
      <c r="I40" s="42"/>
    </row>
    <row r="41" spans="2:9">
      <c r="B41" s="53" t="s">
        <v>77</v>
      </c>
      <c r="C41" s="53"/>
      <c r="D41" s="53"/>
      <c r="E41" s="53"/>
      <c r="F41" s="54">
        <f>F42-(+F16+F30+F33+F36+F40)</f>
        <v>436.94999999999709</v>
      </c>
      <c r="G41" s="54">
        <f>G42-(+G16+G30+G33+G36+G40)</f>
        <v>0.88999999999998636</v>
      </c>
      <c r="H41" s="54"/>
      <c r="I41" s="42"/>
    </row>
    <row r="42" spans="2:9">
      <c r="B42" s="53" t="s">
        <v>78</v>
      </c>
      <c r="C42" s="53"/>
      <c r="D42" s="53"/>
      <c r="E42" s="53"/>
      <c r="F42" s="54">
        <v>48325.29</v>
      </c>
      <c r="G42" s="54">
        <v>100</v>
      </c>
      <c r="H42" s="54"/>
      <c r="I42" s="42"/>
    </row>
    <row r="44" spans="2:9">
      <c r="B44" s="42" t="s">
        <v>79</v>
      </c>
    </row>
    <row r="45" spans="2:9">
      <c r="B45" s="42" t="s">
        <v>80</v>
      </c>
    </row>
    <row r="46" spans="2:9" ht="12" thickBot="1"/>
    <row r="47" spans="2:9" ht="12.5" thickTop="1" thickBot="1">
      <c r="B47" s="55" t="s">
        <v>81</v>
      </c>
      <c r="C47" s="56">
        <v>0.40060000000000001</v>
      </c>
    </row>
    <row r="48" spans="2:9" ht="12.5" thickTop="1" thickBot="1"/>
    <row r="49" spans="2:3" ht="12.5" thickTop="1" thickBot="1">
      <c r="B49" s="55" t="s">
        <v>82</v>
      </c>
      <c r="C49" s="57">
        <v>7.4300000000000005E-2</v>
      </c>
    </row>
    <row r="50" spans="2:3" ht="12.5" thickTop="1" thickBot="1"/>
    <row r="51" spans="2:3" ht="12.5" thickTop="1" thickBot="1">
      <c r="B51" s="55" t="s">
        <v>83</v>
      </c>
      <c r="C51" s="56">
        <v>0.4294</v>
      </c>
    </row>
    <row r="52" spans="2:3" ht="12" thickTop="1"/>
    <row r="53" spans="2:3">
      <c r="B53" s="42" t="s">
        <v>84</v>
      </c>
    </row>
    <row r="55" spans="2:3" ht="14.5">
      <c r="B55" s="58" t="s">
        <v>85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5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0F8C789D-D8B4-4EEB-B236-E50D9CA95A6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14:30:40</KDate>
  <Classification>PUBLIC</Classification>
  <Subclassification/>
  <HostName>MUMCMP01346</HostName>
  <Domain_User>CANARAROBECOMF/396</Domain_User>
  <IPAdd>192.9.198.198</IPAdd>
  <FilePath>Book77</FilePath>
  <KID>1098191A8D7D639113418400507019</KID>
  <UniqueName/>
  <Suggested/>
  <Justification/>
  <KlassifyGUID/>
</Klassify>
</file>

<file path=customXml/itemProps1.xml><?xml version="1.0" encoding="utf-8"?>
<ds:datastoreItem xmlns:ds="http://schemas.openxmlformats.org/officeDocument/2006/customXml" ds:itemID="{A87AB70A-46FB-4607-87AA-8ECFAFBEBF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2026-04-09T09:00:30Z</dcterms:created>
  <dcterms:modified xsi:type="dcterms:W3CDTF">2026-04-09T09:00:40Z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1098191A8D7D639113418400507019</vt:lpwstr>
  </property>
</Properties>
</file>