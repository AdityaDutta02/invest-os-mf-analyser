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Dec 25\"/>
    </mc:Choice>
  </mc:AlternateContent>
  <xr:revisionPtr revIDLastSave="0" documentId="8_{600B16CF-BDE0-4423-96E4-3EC73D0BDD5E}" xr6:coauthVersionLast="47" xr6:coauthVersionMax="47" xr10:uidLastSave="{00000000-0000-0000-0000-000000000000}"/>
  <bookViews>
    <workbookView xWindow="-120" yWindow="-120" windowWidth="20730" windowHeight="11040" xr2:uid="{E646C388-9FF1-4DE6-92DB-2E141FB36A5B}"/>
  </bookViews>
  <sheets>
    <sheet name="L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1" l="1"/>
  <c r="G60" i="1" s="1"/>
  <c r="F59" i="1"/>
  <c r="F60" i="1" s="1"/>
  <c r="G56" i="1"/>
  <c r="F56" i="1"/>
  <c r="G52" i="1"/>
  <c r="F52" i="1"/>
  <c r="G46" i="1"/>
  <c r="F46" i="1"/>
  <c r="G30" i="1"/>
  <c r="G53" i="1" s="1"/>
  <c r="F30" i="1"/>
  <c r="F53" i="1" s="1"/>
  <c r="G10" i="1"/>
  <c r="G61" i="1" s="1"/>
  <c r="G9" i="1"/>
  <c r="F9" i="1"/>
  <c r="F10" i="1" s="1"/>
  <c r="F6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<sst xmlns="http://schemas.openxmlformats.org/spreadsheetml/2006/main" count="165" uniqueCount="126">
  <si>
    <t>CANARA ROBECO LIQUID FUND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</si>
  <si>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</si>
  <si>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</si>
  <si>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</si>
  <si>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</si>
  <si>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</si>
  <si>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</si>
  <si>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</si>
  <si>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</si>
  <si>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 - December'25</t>
  </si>
  <si>
    <t>Benchmark Risk-O-Meter Level - December'25</t>
  </si>
  <si>
    <t>Scheme Risk-O-Meter Level - November'25</t>
  </si>
  <si>
    <t>Benchmark Risk-O-Meter Level - November'25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</si>
  <si>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</si>
  <si>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</si>
  <si>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</si>
  <si>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</si>
  <si>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</si>
  <si>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</si>
  <si>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</si>
  <si>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</si>
  <si>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7.11% Small Industries Development Bank Of India (27/02/2026) **</t>
  </si>
  <si>
    <t>INE556F08KB4</t>
  </si>
  <si>
    <t>CARE AAA</t>
  </si>
  <si>
    <t>Relatively Low (Class I)</t>
  </si>
  <si>
    <t>A-I</t>
  </si>
  <si>
    <t>7.57% National Bank For Agriculture &amp; Rural Development (19/03/2026) **</t>
  </si>
  <si>
    <t>INE261F08DW2</t>
  </si>
  <si>
    <t>CRISIL AAA</t>
  </si>
  <si>
    <t>Sub Total</t>
  </si>
  <si>
    <t>Moderate 
(Class II)</t>
  </si>
  <si>
    <t>Total</t>
  </si>
  <si>
    <t>Money Market Instruments</t>
  </si>
  <si>
    <t>Relatively High (Class III)</t>
  </si>
  <si>
    <t>Certificate of Deposit</t>
  </si>
  <si>
    <t>Punjab National Bank (05/03/2026) ** #</t>
  </si>
  <si>
    <t>INE160A16TS4</t>
  </si>
  <si>
    <t>IND A1+</t>
  </si>
  <si>
    <t>Benchmark: CRISIL Liquid Debt A-I Index</t>
  </si>
  <si>
    <t>Indian Bank (05/03/2026) ** #</t>
  </si>
  <si>
    <t>INE562A16QA5</t>
  </si>
  <si>
    <t>CRISIL A1+</t>
  </si>
  <si>
    <t>HDFC Bank Ltd (12/02/2026) ** #</t>
  </si>
  <si>
    <t>INE040A16HV7</t>
  </si>
  <si>
    <t>CARE A1+</t>
  </si>
  <si>
    <t>Indian Bank (13/02/2026) ** #</t>
  </si>
  <si>
    <t>INE562A16PV3</t>
  </si>
  <si>
    <t>Punjab National Bank (03/03/2026) ** #</t>
  </si>
  <si>
    <t>INE160A16TR6</t>
  </si>
  <si>
    <t>HDFC Bank Ltd (18/03/2026) #</t>
  </si>
  <si>
    <t>INE040A16IC5</t>
  </si>
  <si>
    <t>Axis Bank Ltd (18/03/2026) ** #</t>
  </si>
  <si>
    <t>INE238AD6BR9</t>
  </si>
  <si>
    <t>Export-Import Bank Of India (20/03/2026) #</t>
  </si>
  <si>
    <t>INE514E16CK7</t>
  </si>
  <si>
    <t>HDFC Bank Ltd (09/03/2026) ** #</t>
  </si>
  <si>
    <t>INE040A16HM6</t>
  </si>
  <si>
    <t>Punjab National Bank (18/03/2026) #</t>
  </si>
  <si>
    <t>INE160A16RK5</t>
  </si>
  <si>
    <t>Bank of India (13/03/2026) ** #</t>
  </si>
  <si>
    <t>INE084A16FF2</t>
  </si>
  <si>
    <t>Kotak Mahindra Bank Ltd (24/03/2026) ** #</t>
  </si>
  <si>
    <t>INE237AD6026</t>
  </si>
  <si>
    <t>HDFC Bank Ltd (24/03/2026) #</t>
  </si>
  <si>
    <t>INE040A16GS5</t>
  </si>
  <si>
    <t>Indian Bank (25/03/2026) ** #</t>
  </si>
  <si>
    <t>INE562A16ON3</t>
  </si>
  <si>
    <t>National Bank For Agriculture &amp; Rural Development (05/02/2026) ** #</t>
  </si>
  <si>
    <t>INE261F16934</t>
  </si>
  <si>
    <t>Small Industries Development Bank of India (27/02/2026) #</t>
  </si>
  <si>
    <t>INE556F16BB6</t>
  </si>
  <si>
    <t>Small Industries Development Bank of India (11/03/2026) ** #</t>
  </si>
  <si>
    <t>INE556F16BD2</t>
  </si>
  <si>
    <t>Commercial Paper</t>
  </si>
  <si>
    <t>Small Industries Development Bank Of India (20/03/2026) **</t>
  </si>
  <si>
    <t>INE556F14LX4</t>
  </si>
  <si>
    <t>ICICI Securities Ltd (18/03/2026) **</t>
  </si>
  <si>
    <t>INE763G14D94</t>
  </si>
  <si>
    <t>Reliance Retail Ventures Ltd (12/02/2026) **</t>
  </si>
  <si>
    <t>INE929O14EG5</t>
  </si>
  <si>
    <t>Kotak Securities Ltd (03/03/2026) **</t>
  </si>
  <si>
    <t>INE028E14TW2</t>
  </si>
  <si>
    <t>ICRA A1+</t>
  </si>
  <si>
    <t>Small Industries Development Bank Of India (10/03/2026) **</t>
  </si>
  <si>
    <t>INE556F14LV8</t>
  </si>
  <si>
    <t>Reliance Jio Infocomm Ltd (18/03/2026) **</t>
  </si>
  <si>
    <t>INE110L14UK6</t>
  </si>
  <si>
    <t>HDFC Securities Ltd (18/03/2026) **</t>
  </si>
  <si>
    <t>INE700G14RJ2</t>
  </si>
  <si>
    <t>ICICI Securities Ltd (02/03/2026) **</t>
  </si>
  <si>
    <t>INE763G14C61</t>
  </si>
  <si>
    <t>Export-Import Bank Of India (12/03/2026) **</t>
  </si>
  <si>
    <t>INE514E14TA7</t>
  </si>
  <si>
    <t>ICICI Securities Ltd (10/03/2026) **</t>
  </si>
  <si>
    <t>INE763G14A63</t>
  </si>
  <si>
    <t>ICICI Securities Ltd (12/03/2026) **</t>
  </si>
  <si>
    <t>INE763G14D60</t>
  </si>
  <si>
    <t>Kotak Securities Ltd (12/03/2026) **</t>
  </si>
  <si>
    <t>INE028E14TZ5</t>
  </si>
  <si>
    <t>Kotak Securities Ltd (17/03/2026) **</t>
  </si>
  <si>
    <t>INE028E14UB4</t>
  </si>
  <si>
    <t>SBICAP Securities Ltd (27/03/2026) **</t>
  </si>
  <si>
    <t>INE212K14DG6</t>
  </si>
  <si>
    <t>Treasury Bill</t>
  </si>
  <si>
    <t>91 DTB (26-FEB-2026)</t>
  </si>
  <si>
    <t>IN002025X356</t>
  </si>
  <si>
    <t xml:space="preserve"> Sovereign</t>
  </si>
  <si>
    <t>182 DTB (26-MAR-2026)</t>
  </si>
  <si>
    <t>IN002025Y263</t>
  </si>
  <si>
    <t>91 DTB (02-JAN-2026)</t>
  </si>
  <si>
    <t>IN002025X273</t>
  </si>
  <si>
    <t>182 DTB (27-FEB-2026)</t>
  </si>
  <si>
    <t>IN002025Y222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</si>
  <si>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</si>
  <si>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</si>
  <si>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</si>
  <si>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</si>
  <si>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</si>
  <si>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</si>
  <si>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</si>
  <si>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</si>
  <si>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</si>
  <si>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</si>
  <si>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</si>
  <si>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</si>
  <si>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https://www.canararobeco.com/docs/default-source/default-document-library/Scheme_Performance_December_25.pdf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</si>
</sst>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5" xfId="1" applyFont="1" applyFill="1" applyBorder="1" applyAlignment="1">
      <alignment horizontal="center" vertical="center"/>
    </xf>
    <xf numFmtId="43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43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center" vertical="center" wrapText="1"/>
    </xf>
    <xf numFmtId="3" fontId="4" fillId="3" borderId="11" xfId="0" applyNumberFormat="1" applyFont="1" applyFill="1" applyBorder="1"/>
    <xf numFmtId="0" fontId="10" fillId="0" borderId="5" xfId="0" applyFont="1" applyBorder="1" applyAlignment="1">
      <alignment horizontal="left" wrapText="1"/>
    </xf>
    <xf numFmtId="0" fontId="10" fillId="4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0" fillId="0" borderId="13" xfId="0" applyFont="1" applyBorder="1" applyAlignment="1">
      <alignment horizontal="left" wrapText="1"/>
    </xf>
    <xf numFmtId="0" fontId="10" fillId="4" borderId="13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10" fillId="3" borderId="14" xfId="0" applyFont="1" applyFill="1" applyBorder="1"/>
    <xf numFmtId="4" fontId="10" fillId="3" borderId="15" xfId="0" applyNumberFormat="1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3" fontId="4" fillId="3" borderId="13" xfId="1" applyFont="1" applyFill="1" applyBorder="1" applyAlignment="1">
      <alignment horizontal="center" vertical="center"/>
    </xf>
    <xf numFmtId="43" fontId="4" fillId="3" borderId="0" xfId="1" applyFont="1" applyFill="1" applyAlignment="1"/>
    <xf numFmtId="43" fontId="4" fillId="3" borderId="0" xfId="1" applyFont="1" applyFill="1"/>
    <xf numFmtId="4" fontId="10" fillId="3" borderId="17" xfId="0" applyNumberFormat="1" applyFont="1" applyFill="1" applyBorder="1"/>
    <xf numFmtId="4" fontId="10" fillId="3" borderId="11" xfId="0" applyNumberFormat="1" applyFont="1" applyFill="1" applyBorder="1"/>
    <xf numFmtId="0" fontId="4" fillId="3" borderId="18" xfId="0" applyFont="1" applyFill="1" applyBorder="1"/>
    <xf numFmtId="3" fontId="4" fillId="3" borderId="18" xfId="0" applyNumberFormat="1" applyFont="1" applyFill="1" applyBorder="1"/>
    <xf numFmtId="4" fontId="4" fillId="3" borderId="18" xfId="0" applyNumberFormat="1" applyFont="1" applyFill="1" applyBorder="1"/>
    <xf numFmtId="0" fontId="10" fillId="3" borderId="17" xfId="0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20" xfId="0" applyFont="1" applyFill="1" applyBorder="1"/>
    <xf numFmtId="2" fontId="10" fillId="3" borderId="21" xfId="0" applyNumberFormat="1" applyFont="1" applyFill="1" applyBorder="1"/>
    <xf numFmtId="10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Decem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65AD-8E69-4E3E-8BE2-0E49C68C7688}">
  <dimension ref="B1:S75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85546875" style="3" bestFit="1" customWidth="1"/>
    <col min="4" max="4" width="22.8554687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10" width="9.140625" style="3"/>
    <col min="11" max="11" width="31.5703125" style="3" customWidth="1"/>
    <col min="12" max="12" width="35.5703125" style="3" customWidth="1"/>
    <col min="13" max="14" width="31.42578125" style="3" customWidth="1"/>
    <col min="15" max="15" width="9.140625" style="3"/>
    <col min="16" max="16" width="13.28515625" style="3" customWidth="1"/>
    <col min="17" max="16384" width="9.140625" style="3"/>
  </cols>
  <sheetData>
    <row r="1" spans="2:19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9" ht="16.5" thickBot="1" x14ac:dyDescent="0.25">
      <c r="B3" s="4" t="s">
        <v>1</v>
      </c>
      <c r="C3" s="5"/>
      <c r="D3" s="6"/>
      <c r="E3" s="6"/>
      <c r="F3" s="7"/>
      <c r="G3" s="7"/>
    </row>
    <row r="4" spans="2:19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 x14ac:dyDescent="0.2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1" t="e" vm="2">
        <v>#VALUE!</v>
      </c>
      <c r="M5" s="20" t="e" vm="1">
        <v>#VALUE!</v>
      </c>
      <c r="N5" s="21" t="e" vm="2">
        <v>#VALUE!</v>
      </c>
      <c r="P5" s="22" t="s">
        <v>15</v>
      </c>
      <c r="Q5" s="23" t="s">
        <v>16</v>
      </c>
      <c r="R5" s="23" t="s">
        <v>17</v>
      </c>
      <c r="S5" s="23" t="s">
        <v>18</v>
      </c>
    </row>
    <row r="6" spans="2:19" ht="24" x14ac:dyDescent="0.2">
      <c r="B6" s="24" t="s">
        <v>19</v>
      </c>
      <c r="C6" s="25"/>
      <c r="D6" s="25"/>
      <c r="E6" s="25"/>
      <c r="F6" s="26"/>
      <c r="G6" s="26"/>
      <c r="H6" s="26"/>
      <c r="K6" s="27"/>
      <c r="L6" s="21"/>
      <c r="M6" s="27"/>
      <c r="N6" s="21"/>
      <c r="P6" s="28" t="s">
        <v>20</v>
      </c>
      <c r="Q6" s="29"/>
      <c r="R6" s="29"/>
      <c r="S6" s="29"/>
    </row>
    <row r="7" spans="2:19" x14ac:dyDescent="0.2">
      <c r="B7" s="25" t="s">
        <v>21</v>
      </c>
      <c r="C7" s="25" t="s">
        <v>22</v>
      </c>
      <c r="D7" s="25" t="s">
        <v>23</v>
      </c>
      <c r="E7" s="30">
        <v>500</v>
      </c>
      <c r="F7" s="26">
        <v>5006.6400000000003</v>
      </c>
      <c r="G7" s="26">
        <v>0.97</v>
      </c>
      <c r="H7" s="26">
        <v>6.09</v>
      </c>
      <c r="K7" s="27"/>
      <c r="L7" s="21"/>
      <c r="M7" s="27"/>
      <c r="N7" s="21"/>
      <c r="P7" s="31" t="s">
        <v>24</v>
      </c>
      <c r="Q7" s="32" t="s">
        <v>25</v>
      </c>
      <c r="R7" s="33"/>
      <c r="S7" s="34"/>
    </row>
    <row r="8" spans="2:19" x14ac:dyDescent="0.2">
      <c r="B8" s="25" t="s">
        <v>26</v>
      </c>
      <c r="C8" s="25" t="s">
        <v>27</v>
      </c>
      <c r="D8" s="25" t="s">
        <v>28</v>
      </c>
      <c r="E8" s="30">
        <v>4500</v>
      </c>
      <c r="F8" s="26">
        <v>4510.0200000000004</v>
      </c>
      <c r="G8" s="26">
        <v>0.88</v>
      </c>
      <c r="H8" s="26">
        <v>6.14</v>
      </c>
      <c r="K8" s="27"/>
      <c r="L8" s="21"/>
      <c r="M8" s="27"/>
      <c r="N8" s="21"/>
      <c r="P8" s="35"/>
      <c r="Q8" s="36"/>
      <c r="R8" s="37"/>
      <c r="S8" s="38"/>
    </row>
    <row r="9" spans="2:19" x14ac:dyDescent="0.2">
      <c r="B9" s="39" t="s">
        <v>29</v>
      </c>
      <c r="C9" s="39"/>
      <c r="D9" s="39"/>
      <c r="E9" s="39"/>
      <c r="F9" s="40">
        <f>SUM(F6:F8)</f>
        <v>9516.66</v>
      </c>
      <c r="G9" s="40">
        <f>SUM(G6:G8)</f>
        <v>1.85</v>
      </c>
      <c r="H9" s="41"/>
      <c r="I9" s="42"/>
      <c r="K9" s="27"/>
      <c r="L9" s="21"/>
      <c r="M9" s="27"/>
      <c r="N9" s="21"/>
      <c r="P9" s="31" t="s">
        <v>30</v>
      </c>
      <c r="Q9" s="34"/>
      <c r="R9" s="34"/>
      <c r="S9" s="34"/>
    </row>
    <row r="10" spans="2:19" x14ac:dyDescent="0.2">
      <c r="B10" s="43" t="s">
        <v>31</v>
      </c>
      <c r="C10" s="43"/>
      <c r="D10" s="43"/>
      <c r="E10" s="43"/>
      <c r="F10" s="44">
        <f>F9</f>
        <v>9516.66</v>
      </c>
      <c r="G10" s="44">
        <f>G9</f>
        <v>1.85</v>
      </c>
      <c r="H10" s="44"/>
      <c r="I10" s="42"/>
      <c r="K10" s="27"/>
      <c r="L10" s="21"/>
      <c r="M10" s="27"/>
      <c r="N10" s="21"/>
      <c r="P10" s="35"/>
      <c r="Q10" s="38"/>
      <c r="R10" s="38"/>
      <c r="S10" s="38"/>
    </row>
    <row r="11" spans="2:19" x14ac:dyDescent="0.2">
      <c r="B11" s="24" t="s">
        <v>32</v>
      </c>
      <c r="C11" s="25"/>
      <c r="D11" s="25"/>
      <c r="E11" s="25"/>
      <c r="F11" s="26"/>
      <c r="G11" s="26"/>
      <c r="H11" s="26"/>
      <c r="K11" s="27"/>
      <c r="L11" s="21"/>
      <c r="M11" s="27"/>
      <c r="N11" s="21"/>
      <c r="P11" s="31" t="s">
        <v>33</v>
      </c>
      <c r="Q11" s="34"/>
      <c r="R11" s="34"/>
      <c r="S11" s="34"/>
    </row>
    <row r="12" spans="2:19" x14ac:dyDescent="0.2">
      <c r="B12" s="24" t="s">
        <v>34</v>
      </c>
      <c r="C12" s="25"/>
      <c r="D12" s="25"/>
      <c r="E12" s="25"/>
      <c r="F12" s="26"/>
      <c r="G12" s="26"/>
      <c r="H12" s="26"/>
      <c r="K12" s="45"/>
      <c r="L12" s="21"/>
      <c r="M12" s="45"/>
      <c r="N12" s="21"/>
      <c r="P12" s="35"/>
      <c r="Q12" s="38"/>
      <c r="R12" s="38"/>
      <c r="S12" s="38"/>
    </row>
    <row r="13" spans="2:19" x14ac:dyDescent="0.2">
      <c r="B13" s="25" t="s">
        <v>35</v>
      </c>
      <c r="C13" s="25" t="s">
        <v>36</v>
      </c>
      <c r="D13" s="25" t="s">
        <v>37</v>
      </c>
      <c r="E13" s="30">
        <v>7000</v>
      </c>
      <c r="F13" s="26">
        <v>34646.400000000001</v>
      </c>
      <c r="G13" s="26">
        <v>6.73</v>
      </c>
      <c r="H13" s="26">
        <v>5.91</v>
      </c>
      <c r="K13" s="46"/>
      <c r="L13" s="46" t="s">
        <v>38</v>
      </c>
      <c r="M13" s="47"/>
      <c r="N13" s="47"/>
    </row>
    <row r="14" spans="2:19" x14ac:dyDescent="0.2">
      <c r="B14" s="25" t="s">
        <v>39</v>
      </c>
      <c r="C14" s="25" t="s">
        <v>40</v>
      </c>
      <c r="D14" s="25" t="s">
        <v>41</v>
      </c>
      <c r="E14" s="30">
        <v>6000</v>
      </c>
      <c r="F14" s="26">
        <v>29697.33</v>
      </c>
      <c r="G14" s="26">
        <v>5.77</v>
      </c>
      <c r="H14" s="26">
        <v>5.9</v>
      </c>
    </row>
    <row r="15" spans="2:19" x14ac:dyDescent="0.2">
      <c r="B15" s="25" t="s">
        <v>42</v>
      </c>
      <c r="C15" s="25" t="s">
        <v>43</v>
      </c>
      <c r="D15" s="25" t="s">
        <v>44</v>
      </c>
      <c r="E15" s="30">
        <v>4000</v>
      </c>
      <c r="F15" s="26">
        <v>19865.14</v>
      </c>
      <c r="G15" s="26">
        <v>3.86</v>
      </c>
      <c r="H15" s="26">
        <v>5.9</v>
      </c>
    </row>
    <row r="16" spans="2:19" x14ac:dyDescent="0.2">
      <c r="B16" s="25" t="s">
        <v>45</v>
      </c>
      <c r="C16" s="25" t="s">
        <v>46</v>
      </c>
      <c r="D16" s="25" t="s">
        <v>41</v>
      </c>
      <c r="E16" s="30">
        <v>4000</v>
      </c>
      <c r="F16" s="26">
        <v>19861.84</v>
      </c>
      <c r="G16" s="26">
        <v>3.86</v>
      </c>
      <c r="H16" s="26">
        <v>5.9</v>
      </c>
    </row>
    <row r="17" spans="2:9" x14ac:dyDescent="0.2">
      <c r="B17" s="25" t="s">
        <v>47</v>
      </c>
      <c r="C17" s="25" t="s">
        <v>48</v>
      </c>
      <c r="D17" s="25" t="s">
        <v>37</v>
      </c>
      <c r="E17" s="30">
        <v>4000</v>
      </c>
      <c r="F17" s="26">
        <v>19804.28</v>
      </c>
      <c r="G17" s="26">
        <v>3.85</v>
      </c>
      <c r="H17" s="26">
        <v>5.91</v>
      </c>
    </row>
    <row r="18" spans="2:9" x14ac:dyDescent="0.2">
      <c r="B18" s="25" t="s">
        <v>49</v>
      </c>
      <c r="C18" s="25" t="s">
        <v>50</v>
      </c>
      <c r="D18" s="25" t="s">
        <v>44</v>
      </c>
      <c r="E18" s="30">
        <v>4000</v>
      </c>
      <c r="F18" s="26">
        <v>19758.3</v>
      </c>
      <c r="G18" s="26">
        <v>3.84</v>
      </c>
      <c r="H18" s="26">
        <v>5.88</v>
      </c>
    </row>
    <row r="19" spans="2:9" x14ac:dyDescent="0.2">
      <c r="B19" s="25" t="s">
        <v>51</v>
      </c>
      <c r="C19" s="25" t="s">
        <v>52</v>
      </c>
      <c r="D19" s="25" t="s">
        <v>41</v>
      </c>
      <c r="E19" s="30">
        <v>4000</v>
      </c>
      <c r="F19" s="26">
        <v>19756.88</v>
      </c>
      <c r="G19" s="26">
        <v>3.84</v>
      </c>
      <c r="H19" s="26">
        <v>5.91</v>
      </c>
    </row>
    <row r="20" spans="2:9" x14ac:dyDescent="0.2">
      <c r="B20" s="25" t="s">
        <v>53</v>
      </c>
      <c r="C20" s="25" t="s">
        <v>54</v>
      </c>
      <c r="D20" s="25" t="s">
        <v>41</v>
      </c>
      <c r="E20" s="30">
        <v>4000</v>
      </c>
      <c r="F20" s="26">
        <v>19750.560000000001</v>
      </c>
      <c r="G20" s="26">
        <v>3.84</v>
      </c>
      <c r="H20" s="26">
        <v>5.91</v>
      </c>
    </row>
    <row r="21" spans="2:9" x14ac:dyDescent="0.2">
      <c r="B21" s="25" t="s">
        <v>55</v>
      </c>
      <c r="C21" s="25" t="s">
        <v>56</v>
      </c>
      <c r="D21" s="25" t="s">
        <v>44</v>
      </c>
      <c r="E21" s="30">
        <v>3500</v>
      </c>
      <c r="F21" s="26">
        <v>17312.509999999998</v>
      </c>
      <c r="G21" s="26">
        <v>3.36</v>
      </c>
      <c r="H21" s="26">
        <v>5.9</v>
      </c>
    </row>
    <row r="22" spans="2:9" x14ac:dyDescent="0.2">
      <c r="B22" s="25" t="s">
        <v>57</v>
      </c>
      <c r="C22" s="25" t="s">
        <v>58</v>
      </c>
      <c r="D22" s="25" t="s">
        <v>44</v>
      </c>
      <c r="E22" s="30">
        <v>3000</v>
      </c>
      <c r="F22" s="26">
        <v>14817.62</v>
      </c>
      <c r="G22" s="26">
        <v>2.88</v>
      </c>
      <c r="H22" s="26">
        <v>5.91</v>
      </c>
    </row>
    <row r="23" spans="2:9" x14ac:dyDescent="0.2">
      <c r="B23" s="25" t="s">
        <v>59</v>
      </c>
      <c r="C23" s="25" t="s">
        <v>60</v>
      </c>
      <c r="D23" s="25" t="s">
        <v>41</v>
      </c>
      <c r="E23" s="30">
        <v>2000</v>
      </c>
      <c r="F23" s="26">
        <v>9884.92</v>
      </c>
      <c r="G23" s="26">
        <v>1.92</v>
      </c>
      <c r="H23" s="26">
        <v>5.99</v>
      </c>
    </row>
    <row r="24" spans="2:9" x14ac:dyDescent="0.2">
      <c r="B24" s="25" t="s">
        <v>61</v>
      </c>
      <c r="C24" s="25" t="s">
        <v>62</v>
      </c>
      <c r="D24" s="25" t="s">
        <v>41</v>
      </c>
      <c r="E24" s="30">
        <v>2000</v>
      </c>
      <c r="F24" s="26">
        <v>9869.2999999999993</v>
      </c>
      <c r="G24" s="26">
        <v>1.92</v>
      </c>
      <c r="H24" s="26">
        <v>5.9</v>
      </c>
    </row>
    <row r="25" spans="2:9" x14ac:dyDescent="0.2">
      <c r="B25" s="25" t="s">
        <v>63</v>
      </c>
      <c r="C25" s="25" t="s">
        <v>64</v>
      </c>
      <c r="D25" s="25" t="s">
        <v>44</v>
      </c>
      <c r="E25" s="30">
        <v>1500</v>
      </c>
      <c r="F25" s="26">
        <v>7401.73</v>
      </c>
      <c r="G25" s="26">
        <v>1.44</v>
      </c>
      <c r="H25" s="26">
        <v>5.91</v>
      </c>
    </row>
    <row r="26" spans="2:9" x14ac:dyDescent="0.2">
      <c r="B26" s="25" t="s">
        <v>65</v>
      </c>
      <c r="C26" s="25" t="s">
        <v>66</v>
      </c>
      <c r="D26" s="25" t="s">
        <v>41</v>
      </c>
      <c r="E26" s="30">
        <v>1500</v>
      </c>
      <c r="F26" s="26">
        <v>7400.63</v>
      </c>
      <c r="G26" s="26">
        <v>1.44</v>
      </c>
      <c r="H26" s="26">
        <v>5.9</v>
      </c>
    </row>
    <row r="27" spans="2:9" x14ac:dyDescent="0.2">
      <c r="B27" s="25" t="s">
        <v>67</v>
      </c>
      <c r="C27" s="25" t="s">
        <v>68</v>
      </c>
      <c r="D27" s="25" t="s">
        <v>41</v>
      </c>
      <c r="E27" s="30">
        <v>1000</v>
      </c>
      <c r="F27" s="26">
        <v>4971.6099999999997</v>
      </c>
      <c r="G27" s="26">
        <v>0.97</v>
      </c>
      <c r="H27" s="26">
        <v>5.96</v>
      </c>
    </row>
    <row r="28" spans="2:9" x14ac:dyDescent="0.2">
      <c r="B28" s="25" t="s">
        <v>69</v>
      </c>
      <c r="C28" s="25" t="s">
        <v>70</v>
      </c>
      <c r="D28" s="25" t="s">
        <v>44</v>
      </c>
      <c r="E28" s="30">
        <v>1000</v>
      </c>
      <c r="F28" s="26">
        <v>4953.59</v>
      </c>
      <c r="G28" s="26">
        <v>0.96</v>
      </c>
      <c r="H28" s="26">
        <v>6</v>
      </c>
    </row>
    <row r="29" spans="2:9" x14ac:dyDescent="0.2">
      <c r="B29" s="25" t="s">
        <v>71</v>
      </c>
      <c r="C29" s="25" t="s">
        <v>72</v>
      </c>
      <c r="D29" s="25" t="s">
        <v>44</v>
      </c>
      <c r="E29" s="30">
        <v>500</v>
      </c>
      <c r="F29" s="26">
        <v>2471.9899999999998</v>
      </c>
      <c r="G29" s="26">
        <v>0.48</v>
      </c>
      <c r="H29" s="26">
        <v>6</v>
      </c>
    </row>
    <row r="30" spans="2:9" x14ac:dyDescent="0.2">
      <c r="B30" s="24" t="s">
        <v>29</v>
      </c>
      <c r="C30" s="24"/>
      <c r="D30" s="24"/>
      <c r="E30" s="24"/>
      <c r="F30" s="48">
        <f>SUM(F12:F29)</f>
        <v>262224.63</v>
      </c>
      <c r="G30" s="48">
        <f>SUM(G12:G29)</f>
        <v>50.96</v>
      </c>
      <c r="H30" s="49"/>
      <c r="I30" s="42"/>
    </row>
    <row r="31" spans="2:9" x14ac:dyDescent="0.2">
      <c r="B31" s="24" t="s">
        <v>73</v>
      </c>
      <c r="C31" s="25"/>
      <c r="D31" s="25"/>
      <c r="E31" s="25"/>
      <c r="F31" s="26"/>
      <c r="G31" s="26"/>
      <c r="H31" s="26"/>
    </row>
    <row r="32" spans="2:9" x14ac:dyDescent="0.2">
      <c r="B32" s="25" t="s">
        <v>74</v>
      </c>
      <c r="C32" s="25" t="s">
        <v>75</v>
      </c>
      <c r="D32" s="25" t="s">
        <v>44</v>
      </c>
      <c r="E32" s="30">
        <v>4500</v>
      </c>
      <c r="F32" s="26">
        <v>22215.4</v>
      </c>
      <c r="G32" s="26">
        <v>4.3099999999999996</v>
      </c>
      <c r="H32" s="26">
        <v>5.99</v>
      </c>
    </row>
    <row r="33" spans="2:9" x14ac:dyDescent="0.2">
      <c r="B33" s="25" t="s">
        <v>76</v>
      </c>
      <c r="C33" s="25" t="s">
        <v>77</v>
      </c>
      <c r="D33" s="25" t="s">
        <v>41</v>
      </c>
      <c r="E33" s="30">
        <v>4500</v>
      </c>
      <c r="F33" s="26">
        <v>22200.46</v>
      </c>
      <c r="G33" s="26">
        <v>4.3099999999999996</v>
      </c>
      <c r="H33" s="26">
        <v>6.48</v>
      </c>
    </row>
    <row r="34" spans="2:9" x14ac:dyDescent="0.2">
      <c r="B34" s="25" t="s">
        <v>78</v>
      </c>
      <c r="C34" s="25" t="s">
        <v>79</v>
      </c>
      <c r="D34" s="25" t="s">
        <v>41</v>
      </c>
      <c r="E34" s="30">
        <v>4000</v>
      </c>
      <c r="F34" s="26">
        <v>19863.439999999999</v>
      </c>
      <c r="G34" s="26">
        <v>3.86</v>
      </c>
      <c r="H34" s="26">
        <v>5.98</v>
      </c>
    </row>
    <row r="35" spans="2:9" x14ac:dyDescent="0.2">
      <c r="B35" s="25" t="s">
        <v>80</v>
      </c>
      <c r="C35" s="25" t="s">
        <v>81</v>
      </c>
      <c r="D35" s="25" t="s">
        <v>82</v>
      </c>
      <c r="E35" s="30">
        <v>4000</v>
      </c>
      <c r="F35" s="26">
        <v>19785.72</v>
      </c>
      <c r="G35" s="26">
        <v>3.84</v>
      </c>
      <c r="H35" s="26">
        <v>6.48</v>
      </c>
    </row>
    <row r="36" spans="2:9" x14ac:dyDescent="0.2">
      <c r="B36" s="25" t="s">
        <v>83</v>
      </c>
      <c r="C36" s="25" t="s">
        <v>84</v>
      </c>
      <c r="D36" s="25" t="s">
        <v>41</v>
      </c>
      <c r="E36" s="30">
        <v>4000</v>
      </c>
      <c r="F36" s="26">
        <v>19779.099999999999</v>
      </c>
      <c r="G36" s="26">
        <v>3.84</v>
      </c>
      <c r="H36" s="26">
        <v>6</v>
      </c>
    </row>
    <row r="37" spans="2:9" x14ac:dyDescent="0.2">
      <c r="B37" s="25" t="s">
        <v>85</v>
      </c>
      <c r="C37" s="25" t="s">
        <v>86</v>
      </c>
      <c r="D37" s="25" t="s">
        <v>44</v>
      </c>
      <c r="E37" s="30">
        <v>4000</v>
      </c>
      <c r="F37" s="26">
        <v>19754.04</v>
      </c>
      <c r="G37" s="26">
        <v>3.84</v>
      </c>
      <c r="H37" s="26">
        <v>5.98</v>
      </c>
    </row>
    <row r="38" spans="2:9" x14ac:dyDescent="0.2">
      <c r="B38" s="25" t="s">
        <v>87</v>
      </c>
      <c r="C38" s="25" t="s">
        <v>88</v>
      </c>
      <c r="D38" s="25" t="s">
        <v>44</v>
      </c>
      <c r="E38" s="30">
        <v>4000</v>
      </c>
      <c r="F38" s="26">
        <v>19733.740000000002</v>
      </c>
      <c r="G38" s="26">
        <v>3.83</v>
      </c>
      <c r="H38" s="26">
        <v>6.48</v>
      </c>
    </row>
    <row r="39" spans="2:9" x14ac:dyDescent="0.2">
      <c r="B39" s="25" t="s">
        <v>89</v>
      </c>
      <c r="C39" s="25" t="s">
        <v>90</v>
      </c>
      <c r="D39" s="25" t="s">
        <v>41</v>
      </c>
      <c r="E39" s="30">
        <v>2000</v>
      </c>
      <c r="F39" s="26">
        <v>9894.6</v>
      </c>
      <c r="G39" s="26">
        <v>1.92</v>
      </c>
      <c r="H39" s="26">
        <v>6.48</v>
      </c>
    </row>
    <row r="40" spans="2:9" x14ac:dyDescent="0.2">
      <c r="B40" s="25" t="s">
        <v>91</v>
      </c>
      <c r="C40" s="25" t="s">
        <v>92</v>
      </c>
      <c r="D40" s="25" t="s">
        <v>41</v>
      </c>
      <c r="E40" s="30">
        <v>2000</v>
      </c>
      <c r="F40" s="26">
        <v>9888.0300000000007</v>
      </c>
      <c r="G40" s="26">
        <v>1.92</v>
      </c>
      <c r="H40" s="26">
        <v>5.9</v>
      </c>
    </row>
    <row r="41" spans="2:9" x14ac:dyDescent="0.2">
      <c r="B41" s="25" t="s">
        <v>93</v>
      </c>
      <c r="C41" s="25" t="s">
        <v>94</v>
      </c>
      <c r="D41" s="25" t="s">
        <v>41</v>
      </c>
      <c r="E41" s="30">
        <v>2000</v>
      </c>
      <c r="F41" s="26">
        <v>9880.7199999999993</v>
      </c>
      <c r="G41" s="26">
        <v>1.92</v>
      </c>
      <c r="H41" s="26">
        <v>6.48</v>
      </c>
    </row>
    <row r="42" spans="2:9" x14ac:dyDescent="0.2">
      <c r="B42" s="25" t="s">
        <v>95</v>
      </c>
      <c r="C42" s="25" t="s">
        <v>96</v>
      </c>
      <c r="D42" s="25" t="s">
        <v>41</v>
      </c>
      <c r="E42" s="30">
        <v>2000</v>
      </c>
      <c r="F42" s="26">
        <v>9877.25</v>
      </c>
      <c r="G42" s="26">
        <v>1.92</v>
      </c>
      <c r="H42" s="26">
        <v>6.48</v>
      </c>
    </row>
    <row r="43" spans="2:9" x14ac:dyDescent="0.2">
      <c r="B43" s="25" t="s">
        <v>97</v>
      </c>
      <c r="C43" s="25" t="s">
        <v>98</v>
      </c>
      <c r="D43" s="25" t="s">
        <v>41</v>
      </c>
      <c r="E43" s="30">
        <v>2000</v>
      </c>
      <c r="F43" s="26">
        <v>9877.25</v>
      </c>
      <c r="G43" s="26">
        <v>1.92</v>
      </c>
      <c r="H43" s="26">
        <v>6.48</v>
      </c>
    </row>
    <row r="44" spans="2:9" x14ac:dyDescent="0.2">
      <c r="B44" s="25" t="s">
        <v>99</v>
      </c>
      <c r="C44" s="25" t="s">
        <v>100</v>
      </c>
      <c r="D44" s="25" t="s">
        <v>41</v>
      </c>
      <c r="E44" s="30">
        <v>2000</v>
      </c>
      <c r="F44" s="26">
        <v>9868.6</v>
      </c>
      <c r="G44" s="26">
        <v>1.92</v>
      </c>
      <c r="H44" s="26">
        <v>6.48</v>
      </c>
    </row>
    <row r="45" spans="2:9" x14ac:dyDescent="0.2">
      <c r="B45" s="25" t="s">
        <v>101</v>
      </c>
      <c r="C45" s="25" t="s">
        <v>102</v>
      </c>
      <c r="D45" s="25" t="s">
        <v>41</v>
      </c>
      <c r="E45" s="30">
        <v>2000</v>
      </c>
      <c r="F45" s="26">
        <v>9850.2099999999991</v>
      </c>
      <c r="G45" s="26">
        <v>1.91</v>
      </c>
      <c r="H45" s="26">
        <v>6.53</v>
      </c>
    </row>
    <row r="46" spans="2:9" x14ac:dyDescent="0.2">
      <c r="B46" s="24" t="s">
        <v>29</v>
      </c>
      <c r="C46" s="24"/>
      <c r="D46" s="24"/>
      <c r="E46" s="24"/>
      <c r="F46" s="48">
        <f>SUM(F31:F45)</f>
        <v>212468.56</v>
      </c>
      <c r="G46" s="48">
        <f>SUM(G31:G45)</f>
        <v>41.260000000000005</v>
      </c>
      <c r="H46" s="49"/>
      <c r="I46" s="42"/>
    </row>
    <row r="47" spans="2:9" x14ac:dyDescent="0.2">
      <c r="B47" s="24" t="s">
        <v>103</v>
      </c>
      <c r="C47" s="25"/>
      <c r="D47" s="25"/>
      <c r="E47" s="25"/>
      <c r="F47" s="26"/>
      <c r="G47" s="26"/>
      <c r="H47" s="26"/>
    </row>
    <row r="48" spans="2:9" x14ac:dyDescent="0.2">
      <c r="B48" s="25" t="s">
        <v>104</v>
      </c>
      <c r="C48" s="25" t="s">
        <v>105</v>
      </c>
      <c r="D48" s="25" t="s">
        <v>106</v>
      </c>
      <c r="E48" s="30">
        <v>10000000</v>
      </c>
      <c r="F48" s="26">
        <v>9921</v>
      </c>
      <c r="G48" s="26">
        <v>1.93</v>
      </c>
      <c r="H48" s="26">
        <v>5.19</v>
      </c>
    </row>
    <row r="49" spans="2:9" x14ac:dyDescent="0.2">
      <c r="B49" s="25" t="s">
        <v>107</v>
      </c>
      <c r="C49" s="25" t="s">
        <v>108</v>
      </c>
      <c r="D49" s="25" t="s">
        <v>106</v>
      </c>
      <c r="E49" s="30">
        <v>5000000</v>
      </c>
      <c r="F49" s="26">
        <v>4941.4399999999996</v>
      </c>
      <c r="G49" s="26">
        <v>0.96</v>
      </c>
      <c r="H49" s="26">
        <v>5.15</v>
      </c>
    </row>
    <row r="50" spans="2:9" x14ac:dyDescent="0.2">
      <c r="B50" s="25" t="s">
        <v>109</v>
      </c>
      <c r="C50" s="25" t="s">
        <v>110</v>
      </c>
      <c r="D50" s="25" t="s">
        <v>106</v>
      </c>
      <c r="E50" s="30">
        <v>500000</v>
      </c>
      <c r="F50" s="26">
        <v>499.93</v>
      </c>
      <c r="G50" s="26">
        <v>0.1</v>
      </c>
      <c r="H50" s="26">
        <v>5.35</v>
      </c>
    </row>
    <row r="51" spans="2:9" x14ac:dyDescent="0.2">
      <c r="B51" s="25" t="s">
        <v>111</v>
      </c>
      <c r="C51" s="25" t="s">
        <v>112</v>
      </c>
      <c r="D51" s="25" t="s">
        <v>106</v>
      </c>
      <c r="E51" s="30">
        <v>500000</v>
      </c>
      <c r="F51" s="26">
        <v>495.98</v>
      </c>
      <c r="G51" s="26">
        <v>0.1</v>
      </c>
      <c r="H51" s="26">
        <v>5.19</v>
      </c>
    </row>
    <row r="52" spans="2:9" x14ac:dyDescent="0.2">
      <c r="B52" s="39" t="s">
        <v>29</v>
      </c>
      <c r="C52" s="39"/>
      <c r="D52" s="39"/>
      <c r="E52" s="39"/>
      <c r="F52" s="40">
        <f>SUM(F47:F51)</f>
        <v>15858.349999999999</v>
      </c>
      <c r="G52" s="40">
        <f>SUM(G47:G51)</f>
        <v>3.09</v>
      </c>
      <c r="H52" s="41"/>
      <c r="I52" s="42"/>
    </row>
    <row r="53" spans="2:9" x14ac:dyDescent="0.2">
      <c r="B53" s="43" t="s">
        <v>31</v>
      </c>
      <c r="C53" s="43"/>
      <c r="D53" s="43"/>
      <c r="E53" s="43"/>
      <c r="F53" s="44">
        <f>F30+F46+F52</f>
        <v>490551.54</v>
      </c>
      <c r="G53" s="44">
        <f>G30+G46+G52</f>
        <v>95.31</v>
      </c>
      <c r="H53" s="44"/>
      <c r="I53" s="42"/>
    </row>
    <row r="54" spans="2:9" x14ac:dyDescent="0.2">
      <c r="B54" s="24" t="s">
        <v>113</v>
      </c>
      <c r="C54" s="25"/>
      <c r="D54" s="25"/>
      <c r="E54" s="25"/>
      <c r="F54" s="26"/>
      <c r="G54" s="26"/>
      <c r="H54" s="26"/>
    </row>
    <row r="55" spans="2:9" x14ac:dyDescent="0.2">
      <c r="B55" s="50" t="s">
        <v>114</v>
      </c>
      <c r="C55" s="50" t="s">
        <v>115</v>
      </c>
      <c r="D55" s="50" t="s">
        <v>113</v>
      </c>
      <c r="E55" s="51">
        <v>11333.554</v>
      </c>
      <c r="F55" s="52">
        <v>1309.46</v>
      </c>
      <c r="G55" s="52">
        <v>0.25</v>
      </c>
      <c r="H55" s="52">
        <v>5.49</v>
      </c>
    </row>
    <row r="56" spans="2:9" x14ac:dyDescent="0.2">
      <c r="B56" s="53" t="s">
        <v>31</v>
      </c>
      <c r="C56" s="53"/>
      <c r="D56" s="53"/>
      <c r="E56" s="53"/>
      <c r="F56" s="48">
        <f>SUM(F55:F55)</f>
        <v>1309.46</v>
      </c>
      <c r="G56" s="48">
        <f>SUM(G55:G55)</f>
        <v>0.25</v>
      </c>
      <c r="H56" s="48"/>
      <c r="I56" s="42"/>
    </row>
    <row r="57" spans="2:9" x14ac:dyDescent="0.2">
      <c r="B57" s="24" t="s">
        <v>116</v>
      </c>
      <c r="C57" s="25"/>
      <c r="D57" s="25"/>
      <c r="E57" s="25"/>
      <c r="F57" s="26"/>
      <c r="G57" s="26"/>
      <c r="H57" s="26"/>
    </row>
    <row r="58" spans="2:9" x14ac:dyDescent="0.2">
      <c r="B58" s="25" t="s">
        <v>116</v>
      </c>
      <c r="C58" s="25"/>
      <c r="D58" s="25"/>
      <c r="E58" s="25"/>
      <c r="F58" s="26">
        <v>26941.77</v>
      </c>
      <c r="G58" s="26">
        <v>5.23</v>
      </c>
      <c r="H58" s="26"/>
    </row>
    <row r="59" spans="2:9" x14ac:dyDescent="0.2">
      <c r="B59" s="39" t="s">
        <v>29</v>
      </c>
      <c r="C59" s="39"/>
      <c r="D59" s="39"/>
      <c r="E59" s="39"/>
      <c r="F59" s="40">
        <f>SUM(F57:F58)</f>
        <v>26941.77</v>
      </c>
      <c r="G59" s="40">
        <f>SUM(G57:G58)</f>
        <v>5.23</v>
      </c>
      <c r="H59" s="41"/>
      <c r="I59" s="42"/>
    </row>
    <row r="60" spans="2:9" x14ac:dyDescent="0.2">
      <c r="B60" s="54" t="s">
        <v>31</v>
      </c>
      <c r="C60" s="54"/>
      <c r="D60" s="54"/>
      <c r="E60" s="54"/>
      <c r="F60" s="55">
        <f>F59</f>
        <v>26941.77</v>
      </c>
      <c r="G60" s="55">
        <f>G59</f>
        <v>5.23</v>
      </c>
      <c r="H60" s="55"/>
      <c r="I60" s="42"/>
    </row>
    <row r="61" spans="2:9" x14ac:dyDescent="0.2">
      <c r="B61" s="56" t="s">
        <v>117</v>
      </c>
      <c r="C61" s="56"/>
      <c r="D61" s="56"/>
      <c r="E61" s="56"/>
      <c r="F61" s="57">
        <f>F62-(+F10+F53+F56+F60)</f>
        <v>-13462.209999999963</v>
      </c>
      <c r="G61" s="57">
        <f>G62-(+G10+G53+G56+G60)</f>
        <v>-2.6400000000000006</v>
      </c>
      <c r="H61" s="57"/>
      <c r="I61" s="42"/>
    </row>
    <row r="62" spans="2:9" x14ac:dyDescent="0.2">
      <c r="B62" s="56" t="s">
        <v>118</v>
      </c>
      <c r="C62" s="56"/>
      <c r="D62" s="56"/>
      <c r="E62" s="56"/>
      <c r="F62" s="57">
        <v>514857.22</v>
      </c>
      <c r="G62" s="57">
        <v>100</v>
      </c>
      <c r="H62" s="57"/>
      <c r="I62" s="42"/>
    </row>
    <row r="64" spans="2:9" x14ac:dyDescent="0.2">
      <c r="B64" s="42" t="s">
        <v>119</v>
      </c>
    </row>
    <row r="65" spans="2:3" x14ac:dyDescent="0.2">
      <c r="B65" s="42" t="s">
        <v>120</v>
      </c>
    </row>
    <row r="66" spans="2:3" ht="12.75" thickBot="1" x14ac:dyDescent="0.25"/>
    <row r="67" spans="2:3" ht="13.5" thickTop="1" thickBot="1" x14ac:dyDescent="0.25">
      <c r="B67" s="58" t="s">
        <v>121</v>
      </c>
      <c r="C67" s="59">
        <v>0.17080000000000001</v>
      </c>
    </row>
    <row r="68" spans="2:3" ht="13.5" thickTop="1" thickBot="1" x14ac:dyDescent="0.25"/>
    <row r="69" spans="2:3" ht="13.5" thickTop="1" thickBot="1" x14ac:dyDescent="0.25">
      <c r="B69" s="58" t="s">
        <v>122</v>
      </c>
      <c r="C69" s="60">
        <v>6.0199999999999997E-2</v>
      </c>
    </row>
    <row r="70" spans="2:3" ht="13.5" thickTop="1" thickBot="1" x14ac:dyDescent="0.25"/>
    <row r="71" spans="2:3" ht="13.5" thickTop="1" thickBot="1" x14ac:dyDescent="0.25">
      <c r="B71" s="58" t="s">
        <v>123</v>
      </c>
      <c r="C71" s="59">
        <v>0.18110000000000001</v>
      </c>
    </row>
    <row r="72" spans="2:3" ht="12.75" thickTop="1" x14ac:dyDescent="0.2"/>
    <row r="73" spans="2:3" x14ac:dyDescent="0.2">
      <c r="B73" s="42" t="s">
        <v>124</v>
      </c>
    </row>
    <row r="75" spans="2:3" ht="15" x14ac:dyDescent="0.2">
      <c r="B75" s="61" t="s">
        <v>125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75" r:id="rId1" tooltip="Original URL: https://www.canararobeco.com/docs/default-source/default-document-library/Scheme_Performance_December_25.pdf. Click or tap if you trust this link." xr:uid="{37D61496-34EF-4A35-8C5F-D569EDE396D8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2026-01-08 15:17:30</KDate>
  <Classification>MIS INTERNAL</Classification>
  <Subclassification/>
  <HostName>MUMCMP01323</HostName>
  <Domain_User>CANARAROBECOMF/628</Domain_User>
  <IPAdd>192.9.198.196</IPAdd>
  <FilePath>Book21</FilePath>
  <KID>109819A0F0A5639034822501590793</KID>
  <UniqueName/>
  <Suggested/>
  <Justification/>
  <KlassifyGUID/>
</Klassify>
</file>

<file path=customXml/itemProps1.xml><?xml version="1.0" encoding="utf-8"?>
<ds:datastoreItem xmlns:ds="http://schemas.openxmlformats.org/officeDocument/2006/customXml" ds:itemID="{ACA53F3E-945B-40F3-85BE-DE958399B74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2026-01-08T09:47:11Z</dcterms:created>
  <dcterms:modified xsi:type="dcterms:W3CDTF">2026-01-08T09:47:30Z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109819A0F0A5639034822501590793</vt:lpwstr>
  </property>
</Properties>
</file>