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7E945D7D-5CA6-4F07-81A6-F12A51FA7096}" xr6:coauthVersionLast="47" xr6:coauthVersionMax="47" xr10:uidLastSave="{00000000-0000-0000-0000-000000000000}"/>
  <bookViews>
    <workbookView xWindow="-120" yWindow="-120" windowWidth="20730" windowHeight="11040" xr2:uid="{E5A2EA79-7C13-477C-B7D2-709D9CAABA46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4" i="1" s="1"/>
  <c r="F23" i="1"/>
  <c r="F24" i="1" s="1"/>
  <c r="G20" i="1"/>
  <c r="F20" i="1"/>
  <c r="G17" i="1"/>
  <c r="G25" i="1" s="1"/>
  <c r="F17" i="1"/>
  <c r="F2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<sst xmlns="http://schemas.openxmlformats.org/spreadsheetml/2006/main" count="73" uniqueCount="59">
  <si>
    <t>CANARA ROBECO DYNAMIC BOND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</si>
  <si>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</si>
  <si>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</si>
  <si>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</si>
  <si>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</si>
  <si>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</si>
  <si>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</si>
  <si>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</si>
  <si>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</si>
  <si>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June'25</t>
  </si>
  <si>
    <t>Benchmark Risk-O-Meter Level- June'25</t>
  </si>
  <si>
    <t>Scheme Risk-O-Meter Level- May'25</t>
  </si>
  <si>
    <t>Benchmark Risk-O-Meter Level- May'25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</si>
  <si>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</si>
  <si>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</si>
  <si>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</si>
  <si>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</si>
  <si>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</si>
  <si>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</si>
  <si>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6.92% GOI 2039 (18-NOV-2039)</t>
  </si>
  <si>
    <t>IN0020240134</t>
  </si>
  <si>
    <t>Sovereign</t>
  </si>
  <si>
    <t>Interest Rate Risk ↓</t>
  </si>
  <si>
    <t>7.18% GOI 2037 (24-JUL-2037)</t>
  </si>
  <si>
    <t>IN0020230077</t>
  </si>
  <si>
    <t>Relatively Low (Class I)</t>
  </si>
  <si>
    <t>7.34% GOI 2064 (22-APR-2064)</t>
  </si>
  <si>
    <t>IN0020240035</t>
  </si>
  <si>
    <t>7.30% GOI 2053 (19-JUN-2053)</t>
  </si>
  <si>
    <t>IN0020230051</t>
  </si>
  <si>
    <t>Moderate 
(Class II)</t>
  </si>
  <si>
    <t>6.63% GOI (23/12/2035)</t>
  </si>
  <si>
    <t>IN3120200321</t>
  </si>
  <si>
    <t>6.33% GOI (05/05/2035)</t>
  </si>
  <si>
    <t>IN0020250026</t>
  </si>
  <si>
    <t>Relatively High (Class III)</t>
  </si>
  <si>
    <t>B-III</t>
  </si>
  <si>
    <t>7.23% GOI 2039 (15-APR-2039)</t>
  </si>
  <si>
    <t>IN0020240027</t>
  </si>
  <si>
    <t>7.32% GOI 2073 (13-NOV-2030)</t>
  </si>
  <si>
    <t>IN0020230135</t>
  </si>
  <si>
    <t>Benchmark: CRISIL Dynamic Bond A-III Index</t>
  </si>
  <si>
    <t>7.38% GOI 20-JUN-27</t>
  </si>
  <si>
    <t>IN0020220037</t>
  </si>
  <si>
    <t>7.17% GOI 2030 (17-APR-2030)</t>
  </si>
  <si>
    <t>IN0020230036</t>
  </si>
  <si>
    <t>6.68% INDIA GOVERNMENT 17-SEP-31</t>
  </si>
  <si>
    <t>IN0020170042</t>
  </si>
  <si>
    <t>Total</t>
  </si>
  <si>
    <t>Alternative Investment Fund</t>
  </si>
  <si>
    <t>CORPORATE DEBT MARKET DEVELOPMENT FUND CLASS A2</t>
  </si>
  <si>
    <t>INF0RQ622028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</si>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</sst>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164" fontId="3" fillId="3" borderId="13" xfId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3" fillId="3" borderId="0" xfId="1" applyFont="1" applyFill="1"/>
    <xf numFmtId="164" fontId="3" fillId="3" borderId="0" xfId="1" applyFont="1" applyFill="1" applyAlignment="1"/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1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3C04-21F4-4549-AC36-41E3E7AE39A0}">
  <dimension ref="B1:R35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5" style="3" bestFit="1" customWidth="1"/>
    <col min="3" max="3" width="13.4257812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2.4257812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0" t="e" vm="2">
        <v>#VALUE!</v>
      </c>
      <c r="L5" s="20" t="e" vm="1">
        <v>#VALUE!</v>
      </c>
      <c r="M5" s="20" t="e" vm="2">
        <v>#VALUE!</v>
      </c>
      <c r="O5" s="21" t="s">
        <v>15</v>
      </c>
      <c r="P5" s="22" t="s">
        <v>16</v>
      </c>
      <c r="Q5" s="22" t="s">
        <v>17</v>
      </c>
      <c r="R5" s="22" t="s">
        <v>18</v>
      </c>
    </row>
    <row r="6" spans="2:18" ht="24" x14ac:dyDescent="0.2">
      <c r="B6" s="23" t="s">
        <v>19</v>
      </c>
      <c r="C6" s="23" t="s">
        <v>20</v>
      </c>
      <c r="D6" s="23" t="s">
        <v>21</v>
      </c>
      <c r="E6" s="24">
        <v>2250000</v>
      </c>
      <c r="F6" s="25">
        <v>2301.1</v>
      </c>
      <c r="G6" s="25">
        <v>18.510000000000002</v>
      </c>
      <c r="H6" s="25">
        <v>6.78</v>
      </c>
      <c r="J6" s="26"/>
      <c r="K6" s="26"/>
      <c r="L6" s="26"/>
      <c r="M6" s="26"/>
      <c r="O6" s="27" t="s">
        <v>22</v>
      </c>
      <c r="P6" s="28"/>
      <c r="Q6" s="28"/>
      <c r="R6" s="28"/>
    </row>
    <row r="7" spans="2:18" x14ac:dyDescent="0.2">
      <c r="B7" s="23" t="s">
        <v>23</v>
      </c>
      <c r="C7" s="23" t="s">
        <v>24</v>
      </c>
      <c r="D7" s="23" t="s">
        <v>21</v>
      </c>
      <c r="E7" s="24">
        <v>1821400</v>
      </c>
      <c r="F7" s="25">
        <v>1904</v>
      </c>
      <c r="G7" s="25">
        <v>15.32</v>
      </c>
      <c r="H7" s="25">
        <v>6.74</v>
      </c>
      <c r="J7" s="26"/>
      <c r="K7" s="26"/>
      <c r="L7" s="26"/>
      <c r="M7" s="26"/>
      <c r="O7" s="29" t="s">
        <v>25</v>
      </c>
      <c r="P7" s="30"/>
      <c r="Q7" s="30"/>
      <c r="R7" s="30"/>
    </row>
    <row r="8" spans="2:18" x14ac:dyDescent="0.2">
      <c r="B8" s="23" t="s">
        <v>26</v>
      </c>
      <c r="C8" s="23" t="s">
        <v>27</v>
      </c>
      <c r="D8" s="23" t="s">
        <v>21</v>
      </c>
      <c r="E8" s="24">
        <v>1750000</v>
      </c>
      <c r="F8" s="25">
        <v>1802.57</v>
      </c>
      <c r="G8" s="25">
        <v>14.5</v>
      </c>
      <c r="H8" s="25">
        <v>7.24</v>
      </c>
      <c r="J8" s="26"/>
      <c r="K8" s="26"/>
      <c r="L8" s="26"/>
      <c r="M8" s="26"/>
      <c r="O8" s="31"/>
      <c r="P8" s="32"/>
      <c r="Q8" s="32"/>
      <c r="R8" s="32"/>
    </row>
    <row r="9" spans="2:18" x14ac:dyDescent="0.2">
      <c r="B9" s="23" t="s">
        <v>28</v>
      </c>
      <c r="C9" s="23" t="s">
        <v>29</v>
      </c>
      <c r="D9" s="23" t="s">
        <v>21</v>
      </c>
      <c r="E9" s="24">
        <v>1650000</v>
      </c>
      <c r="F9" s="25">
        <v>1701.18</v>
      </c>
      <c r="G9" s="25">
        <v>13.68</v>
      </c>
      <c r="H9" s="25">
        <v>7.17</v>
      </c>
      <c r="J9" s="26"/>
      <c r="K9" s="26"/>
      <c r="L9" s="26"/>
      <c r="M9" s="26"/>
      <c r="O9" s="29" t="s">
        <v>30</v>
      </c>
      <c r="P9" s="30"/>
      <c r="Q9" s="30"/>
      <c r="R9" s="30"/>
    </row>
    <row r="10" spans="2:18" x14ac:dyDescent="0.2">
      <c r="B10" s="23" t="s">
        <v>31</v>
      </c>
      <c r="C10" s="23" t="s">
        <v>32</v>
      </c>
      <c r="D10" s="23" t="s">
        <v>21</v>
      </c>
      <c r="E10" s="24">
        <v>1500000</v>
      </c>
      <c r="F10" s="25">
        <v>1479.48</v>
      </c>
      <c r="G10" s="25">
        <v>11.9</v>
      </c>
      <c r="H10" s="25">
        <v>6.93</v>
      </c>
      <c r="J10" s="26"/>
      <c r="K10" s="26"/>
      <c r="L10" s="26"/>
      <c r="M10" s="26"/>
      <c r="O10" s="31"/>
      <c r="P10" s="32"/>
      <c r="Q10" s="32"/>
      <c r="R10" s="32"/>
    </row>
    <row r="11" spans="2:18" x14ac:dyDescent="0.2">
      <c r="B11" s="23" t="s">
        <v>33</v>
      </c>
      <c r="C11" s="23" t="s">
        <v>34</v>
      </c>
      <c r="D11" s="23" t="s">
        <v>21</v>
      </c>
      <c r="E11" s="24">
        <v>1000000</v>
      </c>
      <c r="F11" s="25">
        <v>1000.88</v>
      </c>
      <c r="G11" s="25">
        <v>8.0500000000000007</v>
      </c>
      <c r="H11" s="25">
        <v>6.42</v>
      </c>
      <c r="J11" s="26"/>
      <c r="K11" s="26"/>
      <c r="L11" s="26"/>
      <c r="M11" s="26"/>
      <c r="O11" s="29" t="s">
        <v>35</v>
      </c>
      <c r="P11" s="30"/>
      <c r="Q11" s="33" t="s">
        <v>36</v>
      </c>
      <c r="R11" s="30"/>
    </row>
    <row r="12" spans="2:18" x14ac:dyDescent="0.2">
      <c r="B12" s="23" t="s">
        <v>37</v>
      </c>
      <c r="C12" s="23" t="s">
        <v>38</v>
      </c>
      <c r="D12" s="23" t="s">
        <v>21</v>
      </c>
      <c r="E12" s="24">
        <v>600000</v>
      </c>
      <c r="F12" s="25">
        <v>629.45000000000005</v>
      </c>
      <c r="G12" s="25">
        <v>5.0599999999999996</v>
      </c>
      <c r="H12" s="25">
        <v>6.79</v>
      </c>
      <c r="J12" s="34"/>
      <c r="K12" s="34"/>
      <c r="L12" s="34"/>
      <c r="M12" s="34"/>
      <c r="O12" s="31"/>
      <c r="P12" s="32"/>
      <c r="Q12" s="35"/>
      <c r="R12" s="32"/>
    </row>
    <row r="13" spans="2:18" x14ac:dyDescent="0.2">
      <c r="B13" s="23" t="s">
        <v>39</v>
      </c>
      <c r="C13" s="23" t="s">
        <v>40</v>
      </c>
      <c r="D13" s="23" t="s">
        <v>21</v>
      </c>
      <c r="E13" s="24">
        <v>500000</v>
      </c>
      <c r="F13" s="25">
        <v>526.83000000000004</v>
      </c>
      <c r="G13" s="25">
        <v>4.24</v>
      </c>
      <c r="H13" s="25">
        <v>6.22</v>
      </c>
      <c r="J13" s="36"/>
      <c r="K13" s="37" t="s">
        <v>41</v>
      </c>
      <c r="L13" s="36"/>
      <c r="M13" s="36"/>
    </row>
    <row r="14" spans="2:18" x14ac:dyDescent="0.2">
      <c r="B14" s="23" t="s">
        <v>42</v>
      </c>
      <c r="C14" s="23" t="s">
        <v>43</v>
      </c>
      <c r="D14" s="23" t="s">
        <v>21</v>
      </c>
      <c r="E14" s="24">
        <v>249900</v>
      </c>
      <c r="F14" s="25">
        <v>257.3</v>
      </c>
      <c r="G14" s="25">
        <v>2.0699999999999998</v>
      </c>
      <c r="H14" s="25">
        <v>5.85</v>
      </c>
    </row>
    <row r="15" spans="2:18" x14ac:dyDescent="0.2">
      <c r="B15" s="23" t="s">
        <v>44</v>
      </c>
      <c r="C15" s="23" t="s">
        <v>45</v>
      </c>
      <c r="D15" s="23" t="s">
        <v>21</v>
      </c>
      <c r="E15" s="24">
        <v>71500</v>
      </c>
      <c r="F15" s="25">
        <v>74.650000000000006</v>
      </c>
      <c r="G15" s="25">
        <v>0.6</v>
      </c>
      <c r="H15" s="25">
        <v>6.19</v>
      </c>
    </row>
    <row r="16" spans="2:18" x14ac:dyDescent="0.2">
      <c r="B16" s="38" t="s">
        <v>46</v>
      </c>
      <c r="C16" s="38" t="s">
        <v>47</v>
      </c>
      <c r="D16" s="38" t="s">
        <v>21</v>
      </c>
      <c r="E16" s="39">
        <v>23200</v>
      </c>
      <c r="F16" s="40">
        <v>23.68</v>
      </c>
      <c r="G16" s="40">
        <v>0.19</v>
      </c>
      <c r="H16" s="40">
        <v>6.37</v>
      </c>
    </row>
    <row r="17" spans="2:9" x14ac:dyDescent="0.2">
      <c r="B17" s="41" t="s">
        <v>48</v>
      </c>
      <c r="C17" s="41"/>
      <c r="D17" s="41"/>
      <c r="E17" s="41"/>
      <c r="F17" s="42">
        <f>SUM(F6:F16)</f>
        <v>11701.119999999999</v>
      </c>
      <c r="G17" s="42">
        <f>SUM(G6:G16)</f>
        <v>94.119999999999976</v>
      </c>
      <c r="H17" s="42"/>
      <c r="I17" s="43"/>
    </row>
    <row r="18" spans="2:9" x14ac:dyDescent="0.2">
      <c r="B18" s="44" t="s">
        <v>49</v>
      </c>
      <c r="C18" s="23"/>
      <c r="D18" s="23"/>
      <c r="E18" s="23"/>
      <c r="F18" s="25"/>
      <c r="G18" s="25"/>
      <c r="H18" s="25"/>
    </row>
    <row r="19" spans="2:9" x14ac:dyDescent="0.2">
      <c r="B19" s="38" t="s">
        <v>50</v>
      </c>
      <c r="C19" s="38" t="s">
        <v>51</v>
      </c>
      <c r="D19" s="38" t="s">
        <v>49</v>
      </c>
      <c r="E19" s="39">
        <v>311.14699999999999</v>
      </c>
      <c r="F19" s="40">
        <v>34.979999999999997</v>
      </c>
      <c r="G19" s="40">
        <v>0.28000000000000003</v>
      </c>
      <c r="H19" s="40">
        <v>5.51</v>
      </c>
    </row>
    <row r="20" spans="2:9" x14ac:dyDescent="0.2">
      <c r="B20" s="41" t="s">
        <v>48</v>
      </c>
      <c r="C20" s="41"/>
      <c r="D20" s="41"/>
      <c r="E20" s="41"/>
      <c r="F20" s="42">
        <f>SUM(F19:F19)</f>
        <v>34.979999999999997</v>
      </c>
      <c r="G20" s="42">
        <f>SUM(G19:G19)</f>
        <v>0.28000000000000003</v>
      </c>
      <c r="H20" s="42"/>
      <c r="I20" s="43"/>
    </row>
    <row r="21" spans="2:9" x14ac:dyDescent="0.2">
      <c r="B21" s="44" t="s">
        <v>52</v>
      </c>
      <c r="C21" s="23"/>
      <c r="D21" s="23"/>
      <c r="E21" s="23"/>
      <c r="F21" s="25"/>
      <c r="G21" s="25"/>
      <c r="H21" s="25"/>
    </row>
    <row r="22" spans="2:9" x14ac:dyDescent="0.2">
      <c r="B22" s="23" t="s">
        <v>52</v>
      </c>
      <c r="C22" s="23"/>
      <c r="D22" s="23"/>
      <c r="E22" s="23"/>
      <c r="F22" s="25">
        <v>524.22</v>
      </c>
      <c r="G22" s="25">
        <v>4.22</v>
      </c>
      <c r="H22" s="25"/>
    </row>
    <row r="23" spans="2:9" x14ac:dyDescent="0.2">
      <c r="B23" s="45" t="s">
        <v>53</v>
      </c>
      <c r="C23" s="45"/>
      <c r="D23" s="45"/>
      <c r="E23" s="45"/>
      <c r="F23" s="46">
        <f>SUM(F21:F22)</f>
        <v>524.22</v>
      </c>
      <c r="G23" s="46">
        <f>SUM(G21:G22)</f>
        <v>4.22</v>
      </c>
      <c r="H23" s="47"/>
      <c r="I23" s="43"/>
    </row>
    <row r="24" spans="2:9" x14ac:dyDescent="0.2">
      <c r="B24" s="48" t="s">
        <v>48</v>
      </c>
      <c r="C24" s="48"/>
      <c r="D24" s="48"/>
      <c r="E24" s="48"/>
      <c r="F24" s="49">
        <f>F23</f>
        <v>524.22</v>
      </c>
      <c r="G24" s="49">
        <f>G23</f>
        <v>4.22</v>
      </c>
      <c r="H24" s="49"/>
      <c r="I24" s="43"/>
    </row>
    <row r="25" spans="2:9" x14ac:dyDescent="0.2">
      <c r="B25" s="50" t="s">
        <v>54</v>
      </c>
      <c r="C25" s="50"/>
      <c r="D25" s="50"/>
      <c r="E25" s="50"/>
      <c r="F25" s="51">
        <f>F26-(+F17+F20+F24)</f>
        <v>170.67000000000189</v>
      </c>
      <c r="G25" s="51">
        <f>G26-(+G17+G20+G24)</f>
        <v>1.3800000000000239</v>
      </c>
      <c r="H25" s="51"/>
      <c r="I25" s="43"/>
    </row>
    <row r="26" spans="2:9" x14ac:dyDescent="0.2">
      <c r="B26" s="50" t="s">
        <v>55</v>
      </c>
      <c r="C26" s="50"/>
      <c r="D26" s="50"/>
      <c r="E26" s="50"/>
      <c r="F26" s="51">
        <v>12430.99</v>
      </c>
      <c r="G26" s="51">
        <v>100</v>
      </c>
      <c r="H26" s="51"/>
      <c r="I26" s="43"/>
    </row>
    <row r="28" spans="2:9" x14ac:dyDescent="0.2">
      <c r="B28" s="43"/>
    </row>
    <row r="29" spans="2:9" ht="12.75" thickBot="1" x14ac:dyDescent="0.25"/>
    <row r="30" spans="2:9" ht="13.5" thickTop="1" thickBot="1" x14ac:dyDescent="0.25">
      <c r="B30" s="52" t="s">
        <v>56</v>
      </c>
      <c r="C30" s="53">
        <v>8.5949000000000009</v>
      </c>
    </row>
    <row r="31" spans="2:9" ht="13.5" thickTop="1" thickBot="1" x14ac:dyDescent="0.25"/>
    <row r="32" spans="2:9" ht="13.5" thickTop="1" thickBot="1" x14ac:dyDescent="0.25">
      <c r="B32" s="52" t="s">
        <v>57</v>
      </c>
      <c r="C32" s="54">
        <v>6.7500000000000004E-2</v>
      </c>
    </row>
    <row r="33" spans="2:3" ht="13.5" thickTop="1" thickBot="1" x14ac:dyDescent="0.25"/>
    <row r="34" spans="2:3" ht="13.5" thickTop="1" thickBot="1" x14ac:dyDescent="0.25">
      <c r="B34" s="52" t="s">
        <v>58</v>
      </c>
      <c r="C34" s="53">
        <v>8.9390000000000001</v>
      </c>
    </row>
    <row r="35" spans="2:3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2025-07-08T08:18:04Z</dcterms:created>
  <dcterms:modified xsi:type="dcterms:W3CDTF">2025-07-08T08:18:04Z</dcterms:modified>
</cp:coreProperties>
</file>