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6-27\APRIL'26\Monthly Portfolio Apr 26\Verified by Certitude\"/>
    </mc:Choice>
  </mc:AlternateContent>
  <xr:revisionPtr revIDLastSave="0" documentId="8_{CE213DEC-A9A2-4B34-B78C-2EB991F5D6C9}" xr6:coauthVersionLast="47" xr6:coauthVersionMax="47" xr10:uidLastSave="{00000000-0000-0000-0000-000000000000}"/>
  <bookViews>
    <workbookView xWindow="-110" yWindow="-110" windowWidth="19420" windowHeight="10300" xr2:uid="{AFB7A859-8727-4BD7-B32C-D102AEF5AB40}"/>
  </bookViews>
  <sheets>
    <sheet name="L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3" i="1" l="1"/>
  <c r="G64" i="1" s="1"/>
  <c r="F63" i="1"/>
  <c r="F64" i="1" s="1"/>
  <c r="G60" i="1"/>
  <c r="F60" i="1"/>
  <c r="G57" i="1"/>
  <c r="G56" i="1"/>
  <c r="F56" i="1"/>
  <c r="G50" i="1"/>
  <c r="F50" i="1"/>
  <c r="G29" i="1"/>
  <c r="F29" i="1"/>
  <c r="F57" i="1" s="1"/>
  <c r="G9" i="1"/>
  <c r="G10" i="1" s="1"/>
  <c r="F9" i="1"/>
  <c r="F10" i="1" s="1"/>
  <c r="F65" i="1" l="1"/>
  <c r="G6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<sst xmlns="http://schemas.openxmlformats.org/spreadsheetml/2006/main" count="206" uniqueCount="156">
  <si>
    <t>CANARA ROBECO LIQUID FUND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</si>
  <si>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</si>
  <si>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</si>
  <si>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</si>
  <si>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</si>
  <si>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</si>
  <si>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</si>
  <si>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</si>
  <si>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</si>
  <si>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April'26</t>
  </si>
  <si>
    <t>Benchmark Risk-O-Meter Level - April'26</t>
  </si>
  <si>
    <t>Scheme Risk-O-Meter Level - March'26</t>
  </si>
  <si>
    <t>Benchmark Risk-O-Meter Level - March'26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</si>
  <si>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</si>
  <si>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</si>
  <si>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</si>
  <si>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</si>
  <si>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</si>
  <si>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</si>
  <si>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</si>
  <si>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</si>
  <si>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7.78% Bajaj Housing Finance Ltd (26/05/2026) **</t>
  </si>
  <si>
    <t>INE377Y07425</t>
  </si>
  <si>
    <t>CRISIL AAA</t>
  </si>
  <si>
    <t>Relatively Low (Class I)</t>
  </si>
  <si>
    <t>A-I</t>
  </si>
  <si>
    <t>6.01% LIC Housing Finance Ltd (19/05/2026) **</t>
  </si>
  <si>
    <t>INE115A07PF2</t>
  </si>
  <si>
    <t>Sub Total</t>
  </si>
  <si>
    <t>Moderate 
(Class II)</t>
  </si>
  <si>
    <t>Total</t>
  </si>
  <si>
    <t>Money Market Instruments</t>
  </si>
  <si>
    <t>Relatively High (Class III)</t>
  </si>
  <si>
    <t>Certificate of Deposit</t>
  </si>
  <si>
    <t>Indian Bank (19/06/2026) #</t>
  </si>
  <si>
    <t>INE562A16QT5</t>
  </si>
  <si>
    <t>CRISIL A1+</t>
  </si>
  <si>
    <t>Benchmark: CRISIL Liquid Debt A-I Index</t>
  </si>
  <si>
    <t>HDFC Bank Ltd (19/05/2026) #</t>
  </si>
  <si>
    <t>INE040A16GW7</t>
  </si>
  <si>
    <t>CARE A1+</t>
  </si>
  <si>
    <t>Axis Bank Ltd (25/05/2026) #</t>
  </si>
  <si>
    <t>INE238AD6BB3</t>
  </si>
  <si>
    <t>Bank of India (25/05/2026) ** #</t>
  </si>
  <si>
    <t>INE084A16EZ3</t>
  </si>
  <si>
    <t>HDFC Bank Ltd (11/06/2026) ** #</t>
  </si>
  <si>
    <t>INE040A16IY9</t>
  </si>
  <si>
    <t>Union Bank of India (17/06/2026) ** #</t>
  </si>
  <si>
    <t>INE692A16LI4</t>
  </si>
  <si>
    <t>ICRA A1+</t>
  </si>
  <si>
    <t>HDFC Bank Ltd (19/06/2026) ** #</t>
  </si>
  <si>
    <t>INE040A16JB5</t>
  </si>
  <si>
    <t>IND A1+</t>
  </si>
  <si>
    <t>Indian Bank (16/07/2026) ** #</t>
  </si>
  <si>
    <t>INE562A16QW9</t>
  </si>
  <si>
    <t>Small Industries Development Bank of India (20/05/2026) ** #</t>
  </si>
  <si>
    <t>INE556F16BI1</t>
  </si>
  <si>
    <t>Union Bank of India (25/06/2026) ** #</t>
  </si>
  <si>
    <t>INE692A16JQ1</t>
  </si>
  <si>
    <t>Union Bank of India (26/05/2026) ** #</t>
  </si>
  <si>
    <t>INE692A16KG0</t>
  </si>
  <si>
    <t>Export-Import Bank Of India (28/05/2026) ** #</t>
  </si>
  <si>
    <t>INE514E16CL5</t>
  </si>
  <si>
    <t>Union Bank of India (10/06/2026) ** #</t>
  </si>
  <si>
    <t>INE692A16KT3</t>
  </si>
  <si>
    <t>Axis Bank Ltd (25/06/2026) #</t>
  </si>
  <si>
    <t>INE238AD6AZ4</t>
  </si>
  <si>
    <t>Punjab National Bank (17/06/2026) ** #</t>
  </si>
  <si>
    <t>INE160A16UW4</t>
  </si>
  <si>
    <t>Punjab National Bank (23/06/2026) ** #</t>
  </si>
  <si>
    <t>INE160A16UZ7</t>
  </si>
  <si>
    <t>Commercial Paper</t>
  </si>
  <si>
    <t>Export-Import Bank Of India (10/06/2026)</t>
  </si>
  <si>
    <t>INE514E14TH2</t>
  </si>
  <si>
    <t>National Bank For Agriculture &amp; Rural Development (16/06/2026) **</t>
  </si>
  <si>
    <t>INE261F14PB8</t>
  </si>
  <si>
    <t>ICICI Securities Ltd (16/06/2026) **</t>
  </si>
  <si>
    <t>INE763G14G83</t>
  </si>
  <si>
    <t>Tata Capital Ltd (17/06/2026) **</t>
  </si>
  <si>
    <t>INE976I14RC9</t>
  </si>
  <si>
    <t>ICICI Home Finance Co Ltd (20/05/2026) **</t>
  </si>
  <si>
    <t>INE071G14HM3</t>
  </si>
  <si>
    <t>Bajaj Finance Ltd (17/06/2026) **</t>
  </si>
  <si>
    <t>INE296A14F60</t>
  </si>
  <si>
    <t>Kotak Securities Ltd (17/06/2026) **</t>
  </si>
  <si>
    <t>INE028E14VP2</t>
  </si>
  <si>
    <t>Reliance Retail Ventures Ltd (11/06/2026) **</t>
  </si>
  <si>
    <t>INE929O14EV4</t>
  </si>
  <si>
    <t>REC Ltd (10/06/2026)</t>
  </si>
  <si>
    <t>INE020B14698</t>
  </si>
  <si>
    <t>National Bank For Agriculture &amp; Rural Development (14/05/2026)</t>
  </si>
  <si>
    <t>INE261F14OS5</t>
  </si>
  <si>
    <t>HDFC Securities Ltd (26/05/2026)</t>
  </si>
  <si>
    <t>INE700G14SQ5</t>
  </si>
  <si>
    <t>Reliance Jio Infocomm Ltd (04/06/2026) **</t>
  </si>
  <si>
    <t>INE110L14UQ3</t>
  </si>
  <si>
    <t>ICICI Securities Ltd (08/06/2026) **</t>
  </si>
  <si>
    <t>INE763G14G59</t>
  </si>
  <si>
    <t>ICICI Securities Ltd (22/06/2026) **</t>
  </si>
  <si>
    <t>INE763G14H66</t>
  </si>
  <si>
    <t>Power Finance Corporation Ltd (25/06/2026) **</t>
  </si>
  <si>
    <t>INE134E14AY4</t>
  </si>
  <si>
    <t>Small Industries Development Bank Of India (03/06/2026) **</t>
  </si>
  <si>
    <t>INE556F14LT2</t>
  </si>
  <si>
    <t>HDFC Securities Ltd (08/06/2026) **</t>
  </si>
  <si>
    <t>INE700G14SW3</t>
  </si>
  <si>
    <t>HDFC Securities Ltd (11/06/2026) **</t>
  </si>
  <si>
    <t>INE700G14SZ6</t>
  </si>
  <si>
    <t>Reliance Retail Ventures Ltd (15/06/2026) **</t>
  </si>
  <si>
    <t>INE929O14EX0</t>
  </si>
  <si>
    <t>Treasury Bill</t>
  </si>
  <si>
    <t>91 DTB  (23-JUL-2026)</t>
  </si>
  <si>
    <t>IN002026X032</t>
  </si>
  <si>
    <t xml:space="preserve"> Sovereign</t>
  </si>
  <si>
    <t>182 DTB (11-JUN-2026)</t>
  </si>
  <si>
    <t>IN002025Y370</t>
  </si>
  <si>
    <t>182 DTB (18-JUN-2026)</t>
  </si>
  <si>
    <t>IN002025Y388</t>
  </si>
  <si>
    <t>182 DTB (09-JUL-2026)</t>
  </si>
  <si>
    <t>IN002025Y404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</si>
  <si>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</si>
  <si>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</si>
  <si>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</si>
  <si>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</si>
  <si>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</si>
  <si>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</si>
  <si>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</si>
  <si>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#  Unlisted Security</t>
  </si>
  <si>
    <t>Modified Duration (In Years)</t>
  </si>
  <si>
    <t>Annualised Portfolio YTM</t>
  </si>
  <si>
    <t>Macaulay Duration (In Years)</t>
  </si>
  <si>
    <t>Average Maturity Yrs</t>
  </si>
  <si>
    <t>Notes</t>
  </si>
  <si>
    <t>(1) The provision made for Securities classified as below investment grade or default as of April,30 2026 is Rs Nil and its percentage to Net Asset Value is Nil.</t>
  </si>
  <si>
    <t>(2)  Plan/option wise per unit Net Asset Value are as follows:</t>
  </si>
  <si>
    <t xml:space="preserve">      Plan/Option</t>
  </si>
  <si>
    <t>As on March,31 2026</t>
  </si>
  <si>
    <t>As on April,30 2026</t>
  </si>
  <si>
    <t xml:space="preserve">      REGULAR PLAN - GROWTH OPTION</t>
  </si>
  <si>
    <t xml:space="preserve">      REGULAR PLAN - DAILY IDCW (Reinvestment)</t>
  </si>
  <si>
    <t xml:space="preserve">      REGULAR PLAN - WEEKLY IDCW (Payout/Reinvestment)</t>
  </si>
  <si>
    <t xml:space="preserve">      REGULAR PLAN - MONTHLY IDCW (Payout/Reinvestment)</t>
  </si>
  <si>
    <t xml:space="preserve">      Liquid Fund -Unclaimed Redemption and Dividend Plan -Direct Growth Option</t>
  </si>
  <si>
    <t xml:space="preserve">      DIRECT PLAN - GROWTH OPTION</t>
  </si>
  <si>
    <t xml:space="preserve">      DIRECT PLAN - IDCW (Payout/Reinvestment)</t>
  </si>
  <si>
    <t xml:space="preserve">      DIRECT PLAN - DAILY IDCW (Reinvestment)</t>
  </si>
  <si>
    <t xml:space="preserve">      DIRECT PLAN - WEEKLY IDCW (Payout/Reinvestment)</t>
  </si>
  <si>
    <t xml:space="preserve">      DIRECT PLAN - MONTHLY IDCW (Payout/Reinvestment)</t>
  </si>
  <si>
    <t>(3) Details of Dividend declared per unit (In Rupees) during the month are as follows</t>
  </si>
  <si>
    <t>Individuals/HUF</t>
  </si>
  <si>
    <t>Others</t>
  </si>
  <si>
    <t>(4) Total outstanding exposure in derivative instruments as on April,30 2026 is Nil.</t>
  </si>
  <si>
    <t>(5) Total Market value of investments in Foreign Securities/American Depositary Receipts/Global Depositary Receipts as at April,30 2026 is Rs. Nil .</t>
  </si>
  <si>
    <t>(6)  Details of repo transaction in corporate debt securities for the month ended April,30 2026 is Nil.</t>
  </si>
  <si>
    <t>Please refer the below link for the performance of the Schemes managed by Canara Robeco Mutual Fund</t>
  </si>
  <si>
    <t>https://www.canararobeco.com/docs/default-source/default-document-library/Scheme%20Performance%20April%2026.pdf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</si>
</sst>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8"/>
      <color rgb="FFFF0000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5" xfId="1" applyFont="1" applyFill="1" applyBorder="1" applyAlignment="1">
      <alignment horizontal="center" vertical="center"/>
    </xf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5" xfId="0" applyFont="1" applyBorder="1" applyAlignment="1">
      <alignment horizontal="center" vertical="center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12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vertical="center" wrapText="1"/>
    </xf>
    <xf numFmtId="3" fontId="4" fillId="3" borderId="11" xfId="0" applyNumberFormat="1" applyFont="1" applyFill="1" applyBorder="1"/>
    <xf numFmtId="0" fontId="10" fillId="0" borderId="5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0" borderId="13" xfId="0" applyFont="1" applyBorder="1" applyAlignment="1">
      <alignment horizontal="left" wrapText="1"/>
    </xf>
    <xf numFmtId="0" fontId="10" fillId="4" borderId="13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10" fillId="3" borderId="14" xfId="0" applyFont="1" applyFill="1" applyBorder="1"/>
    <xf numFmtId="4" fontId="10" fillId="3" borderId="15" xfId="0" applyNumberFormat="1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6" xfId="0" applyFont="1" applyFill="1" applyBorder="1"/>
    <xf numFmtId="4" fontId="10" fillId="3" borderId="16" xfId="0" applyNumberFormat="1" applyFont="1" applyFill="1" applyBorder="1"/>
    <xf numFmtId="43" fontId="4" fillId="3" borderId="13" xfId="1" applyFont="1" applyFill="1" applyBorder="1" applyAlignment="1">
      <alignment horizontal="center" vertical="center"/>
    </xf>
    <xf numFmtId="43" fontId="4" fillId="3" borderId="0" xfId="1" applyFont="1" applyFill="1" applyAlignment="1"/>
    <xf numFmtId="43" fontId="4" fillId="3" borderId="0" xfId="1" applyFont="1" applyFill="1"/>
    <xf numFmtId="4" fontId="10" fillId="3" borderId="17" xfId="0" applyNumberFormat="1" applyFont="1" applyFill="1" applyBorder="1"/>
    <xf numFmtId="4" fontId="10" fillId="3" borderId="11" xfId="0" applyNumberFormat="1" applyFont="1" applyFill="1" applyBorder="1"/>
    <xf numFmtId="0" fontId="4" fillId="3" borderId="18" xfId="0" applyFont="1" applyFill="1" applyBorder="1"/>
    <xf numFmtId="3" fontId="4" fillId="3" borderId="18" xfId="0" applyNumberFormat="1" applyFont="1" applyFill="1" applyBorder="1"/>
    <xf numFmtId="4" fontId="4" fillId="3" borderId="18" xfId="0" applyNumberFormat="1" applyFont="1" applyFill="1" applyBorder="1"/>
    <xf numFmtId="0" fontId="10" fillId="3" borderId="17" xfId="0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20" xfId="0" applyFont="1" applyFill="1" applyBorder="1"/>
    <xf numFmtId="2" fontId="10" fillId="3" borderId="21" xfId="0" applyNumberFormat="1" applyFont="1" applyFill="1" applyBorder="1"/>
    <xf numFmtId="10" fontId="10" fillId="3" borderId="21" xfId="0" applyNumberFormat="1" applyFont="1" applyFill="1" applyBorder="1"/>
    <xf numFmtId="49" fontId="12" fillId="5" borderId="20" xfId="0" applyNumberFormat="1" applyFont="1" applyFill="1" applyBorder="1"/>
    <xf numFmtId="2" fontId="13" fillId="0" borderId="21" xfId="0" applyNumberFormat="1" applyFont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%20Performance%20April%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A0A0-C85F-448C-B7D5-804FE43A05F0}">
  <dimension ref="B1:S109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4.7265625" style="3" bestFit="1" customWidth="1"/>
    <col min="3" max="3" width="14" style="3" bestFit="1" customWidth="1"/>
    <col min="4" max="4" width="22.81640625" style="3" bestFit="1" customWidth="1"/>
    <col min="5" max="5" width="9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10" width="9.1796875" style="3"/>
    <col min="11" max="11" width="31.54296875" style="3" customWidth="1"/>
    <col min="12" max="12" width="35.54296875" style="3" customWidth="1"/>
    <col min="13" max="14" width="31.453125" style="3" customWidth="1"/>
    <col min="15" max="15" width="9.1796875" style="3"/>
    <col min="16" max="16" width="13.26953125" style="3" customWidth="1"/>
    <col min="17" max="16384" width="9.1796875" style="3"/>
  </cols>
  <sheetData>
    <row r="1" spans="2:19" ht="21" customHeight="1">
      <c r="B1" s="1" t="s">
        <v>0</v>
      </c>
      <c r="C1" s="2"/>
      <c r="D1" s="2"/>
      <c r="E1" s="2"/>
      <c r="F1" s="2"/>
      <c r="G1" s="2"/>
      <c r="H1" s="2"/>
    </row>
    <row r="3" spans="2:19" ht="16" thickBot="1">
      <c r="B3" s="4" t="s">
        <v>1</v>
      </c>
      <c r="C3" s="5"/>
      <c r="D3" s="6"/>
      <c r="E3" s="6"/>
      <c r="F3" s="7"/>
      <c r="G3" s="7"/>
    </row>
    <row r="4" spans="2:19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1" t="e" vm="2">
        <v>#VALUE!</v>
      </c>
      <c r="M5" s="20" t="e" vm="1">
        <v>#VALUE!</v>
      </c>
      <c r="N5" s="21" t="e" vm="2">
        <v>#VALUE!</v>
      </c>
      <c r="P5" s="22" t="s">
        <v>15</v>
      </c>
      <c r="Q5" s="23" t="s">
        <v>16</v>
      </c>
      <c r="R5" s="23" t="s">
        <v>17</v>
      </c>
      <c r="S5" s="23" t="s">
        <v>18</v>
      </c>
    </row>
    <row r="6" spans="2:19" ht="23">
      <c r="B6" s="24" t="s">
        <v>19</v>
      </c>
      <c r="C6" s="25"/>
      <c r="D6" s="25"/>
      <c r="E6" s="25"/>
      <c r="F6" s="26"/>
      <c r="G6" s="26"/>
      <c r="H6" s="26"/>
      <c r="K6" s="27"/>
      <c r="L6" s="21"/>
      <c r="M6" s="27"/>
      <c r="N6" s="21"/>
      <c r="P6" s="28" t="s">
        <v>20</v>
      </c>
      <c r="Q6" s="29"/>
      <c r="R6" s="29"/>
      <c r="S6" s="29"/>
    </row>
    <row r="7" spans="2:19">
      <c r="B7" s="25" t="s">
        <v>21</v>
      </c>
      <c r="C7" s="25" t="s">
        <v>22</v>
      </c>
      <c r="D7" s="25" t="s">
        <v>23</v>
      </c>
      <c r="E7" s="30">
        <v>1500</v>
      </c>
      <c r="F7" s="26">
        <v>15009.44</v>
      </c>
      <c r="G7" s="26">
        <v>2.35</v>
      </c>
      <c r="H7" s="26">
        <v>6.39</v>
      </c>
      <c r="K7" s="27"/>
      <c r="L7" s="21"/>
      <c r="M7" s="27"/>
      <c r="N7" s="21"/>
      <c r="P7" s="31" t="s">
        <v>24</v>
      </c>
      <c r="Q7" s="32" t="s">
        <v>25</v>
      </c>
      <c r="R7" s="33"/>
      <c r="S7" s="34"/>
    </row>
    <row r="8" spans="2:19">
      <c r="B8" s="25" t="s">
        <v>26</v>
      </c>
      <c r="C8" s="25" t="s">
        <v>27</v>
      </c>
      <c r="D8" s="25" t="s">
        <v>23</v>
      </c>
      <c r="E8" s="30">
        <v>1050</v>
      </c>
      <c r="F8" s="26">
        <v>10496.37</v>
      </c>
      <c r="G8" s="26">
        <v>1.64</v>
      </c>
      <c r="H8" s="26">
        <v>6.35</v>
      </c>
      <c r="K8" s="27"/>
      <c r="L8" s="21"/>
      <c r="M8" s="27"/>
      <c r="N8" s="21"/>
      <c r="P8" s="35"/>
      <c r="Q8" s="36"/>
      <c r="R8" s="37"/>
      <c r="S8" s="38"/>
    </row>
    <row r="9" spans="2:19">
      <c r="B9" s="39" t="s">
        <v>28</v>
      </c>
      <c r="C9" s="39"/>
      <c r="D9" s="39"/>
      <c r="E9" s="39"/>
      <c r="F9" s="40">
        <f>SUM(F6:F8)</f>
        <v>25505.81</v>
      </c>
      <c r="G9" s="40">
        <f>SUM(G6:G8)</f>
        <v>3.99</v>
      </c>
      <c r="H9" s="41"/>
      <c r="I9" s="42"/>
      <c r="K9" s="27"/>
      <c r="L9" s="21"/>
      <c r="M9" s="27"/>
      <c r="N9" s="21"/>
      <c r="P9" s="31" t="s">
        <v>29</v>
      </c>
      <c r="Q9" s="34"/>
      <c r="R9" s="34"/>
      <c r="S9" s="34"/>
    </row>
    <row r="10" spans="2:19">
      <c r="B10" s="43" t="s">
        <v>30</v>
      </c>
      <c r="C10" s="43"/>
      <c r="D10" s="43"/>
      <c r="E10" s="43"/>
      <c r="F10" s="44">
        <f>F9</f>
        <v>25505.81</v>
      </c>
      <c r="G10" s="44">
        <f>G9</f>
        <v>3.99</v>
      </c>
      <c r="H10" s="44"/>
      <c r="I10" s="42"/>
      <c r="K10" s="27"/>
      <c r="L10" s="21"/>
      <c r="M10" s="27"/>
      <c r="N10" s="21"/>
      <c r="P10" s="35"/>
      <c r="Q10" s="38"/>
      <c r="R10" s="38"/>
      <c r="S10" s="38"/>
    </row>
    <row r="11" spans="2:19">
      <c r="B11" s="24" t="s">
        <v>31</v>
      </c>
      <c r="C11" s="25"/>
      <c r="D11" s="25"/>
      <c r="E11" s="25"/>
      <c r="F11" s="26"/>
      <c r="G11" s="26"/>
      <c r="H11" s="26"/>
      <c r="K11" s="27"/>
      <c r="L11" s="21"/>
      <c r="M11" s="27"/>
      <c r="N11" s="21"/>
      <c r="P11" s="31" t="s">
        <v>32</v>
      </c>
      <c r="Q11" s="34"/>
      <c r="R11" s="34"/>
      <c r="S11" s="34"/>
    </row>
    <row r="12" spans="2:19">
      <c r="B12" s="24" t="s">
        <v>33</v>
      </c>
      <c r="C12" s="25"/>
      <c r="D12" s="25"/>
      <c r="E12" s="25"/>
      <c r="F12" s="26"/>
      <c r="G12" s="26"/>
      <c r="H12" s="26"/>
      <c r="K12" s="45"/>
      <c r="L12" s="21"/>
      <c r="M12" s="45"/>
      <c r="N12" s="21"/>
      <c r="P12" s="35"/>
      <c r="Q12" s="38"/>
      <c r="R12" s="38"/>
      <c r="S12" s="38"/>
    </row>
    <row r="13" spans="2:19">
      <c r="B13" s="25" t="s">
        <v>34</v>
      </c>
      <c r="C13" s="25" t="s">
        <v>35</v>
      </c>
      <c r="D13" s="25" t="s">
        <v>36</v>
      </c>
      <c r="E13" s="30">
        <v>10000</v>
      </c>
      <c r="F13" s="26">
        <v>49585.95</v>
      </c>
      <c r="G13" s="26">
        <v>7.75</v>
      </c>
      <c r="H13" s="26">
        <v>6.22</v>
      </c>
      <c r="K13" s="46"/>
      <c r="L13" s="46" t="s">
        <v>37</v>
      </c>
      <c r="M13" s="47"/>
      <c r="N13" s="47"/>
    </row>
    <row r="14" spans="2:19">
      <c r="B14" s="25" t="s">
        <v>38</v>
      </c>
      <c r="C14" s="25" t="s">
        <v>39</v>
      </c>
      <c r="D14" s="25" t="s">
        <v>40</v>
      </c>
      <c r="E14" s="30">
        <v>5000</v>
      </c>
      <c r="F14" s="26">
        <v>24925.65</v>
      </c>
      <c r="G14" s="26">
        <v>3.9</v>
      </c>
      <c r="H14" s="26">
        <v>6.05</v>
      </c>
    </row>
    <row r="15" spans="2:19">
      <c r="B15" s="25" t="s">
        <v>41</v>
      </c>
      <c r="C15" s="25" t="s">
        <v>42</v>
      </c>
      <c r="D15" s="25" t="s">
        <v>36</v>
      </c>
      <c r="E15" s="30">
        <v>5000</v>
      </c>
      <c r="F15" s="26">
        <v>24899.7</v>
      </c>
      <c r="G15" s="26">
        <v>3.89</v>
      </c>
      <c r="H15" s="26">
        <v>6.13</v>
      </c>
    </row>
    <row r="16" spans="2:19">
      <c r="B16" s="25" t="s">
        <v>43</v>
      </c>
      <c r="C16" s="25" t="s">
        <v>44</v>
      </c>
      <c r="D16" s="25" t="s">
        <v>40</v>
      </c>
      <c r="E16" s="30">
        <v>5000</v>
      </c>
      <c r="F16" s="26">
        <v>24898.98</v>
      </c>
      <c r="G16" s="26">
        <v>3.89</v>
      </c>
      <c r="H16" s="26">
        <v>6.17</v>
      </c>
    </row>
    <row r="17" spans="2:9">
      <c r="B17" s="25" t="s">
        <v>45</v>
      </c>
      <c r="C17" s="25" t="s">
        <v>46</v>
      </c>
      <c r="D17" s="25" t="s">
        <v>40</v>
      </c>
      <c r="E17" s="30">
        <v>4000</v>
      </c>
      <c r="F17" s="26">
        <v>19861.18</v>
      </c>
      <c r="G17" s="26">
        <v>3.11</v>
      </c>
      <c r="H17" s="26">
        <v>6.22</v>
      </c>
    </row>
    <row r="18" spans="2:9">
      <c r="B18" s="25" t="s">
        <v>47</v>
      </c>
      <c r="C18" s="25" t="s">
        <v>48</v>
      </c>
      <c r="D18" s="25" t="s">
        <v>49</v>
      </c>
      <c r="E18" s="30">
        <v>4000</v>
      </c>
      <c r="F18" s="26">
        <v>19841.34</v>
      </c>
      <c r="G18" s="26">
        <v>3.1</v>
      </c>
      <c r="H18" s="26">
        <v>6.21</v>
      </c>
    </row>
    <row r="19" spans="2:9">
      <c r="B19" s="25" t="s">
        <v>50</v>
      </c>
      <c r="C19" s="25" t="s">
        <v>51</v>
      </c>
      <c r="D19" s="25" t="s">
        <v>52</v>
      </c>
      <c r="E19" s="30">
        <v>3000</v>
      </c>
      <c r="F19" s="26">
        <v>14875.44</v>
      </c>
      <c r="G19" s="26">
        <v>2.33</v>
      </c>
      <c r="H19" s="26">
        <v>6.24</v>
      </c>
    </row>
    <row r="20" spans="2:9">
      <c r="B20" s="25" t="s">
        <v>53</v>
      </c>
      <c r="C20" s="25" t="s">
        <v>54</v>
      </c>
      <c r="D20" s="25" t="s">
        <v>36</v>
      </c>
      <c r="E20" s="30">
        <v>3000</v>
      </c>
      <c r="F20" s="26">
        <v>14801.22</v>
      </c>
      <c r="G20" s="26">
        <v>2.31</v>
      </c>
      <c r="H20" s="26">
        <v>6.45</v>
      </c>
    </row>
    <row r="21" spans="2:9">
      <c r="B21" s="25" t="s">
        <v>55</v>
      </c>
      <c r="C21" s="25" t="s">
        <v>56</v>
      </c>
      <c r="D21" s="25" t="s">
        <v>40</v>
      </c>
      <c r="E21" s="30">
        <v>2500</v>
      </c>
      <c r="F21" s="26">
        <v>12459.7</v>
      </c>
      <c r="G21" s="26">
        <v>1.95</v>
      </c>
      <c r="H21" s="26">
        <v>6.21</v>
      </c>
    </row>
    <row r="22" spans="2:9">
      <c r="B22" s="25" t="s">
        <v>57</v>
      </c>
      <c r="C22" s="25" t="s">
        <v>58</v>
      </c>
      <c r="D22" s="25" t="s">
        <v>52</v>
      </c>
      <c r="E22" s="30">
        <v>1400</v>
      </c>
      <c r="F22" s="26">
        <v>6935.1</v>
      </c>
      <c r="G22" s="26">
        <v>1.08</v>
      </c>
      <c r="H22" s="26">
        <v>6.21</v>
      </c>
    </row>
    <row r="23" spans="2:9">
      <c r="B23" s="25" t="s">
        <v>59</v>
      </c>
      <c r="C23" s="25" t="s">
        <v>60</v>
      </c>
      <c r="D23" s="25" t="s">
        <v>52</v>
      </c>
      <c r="E23" s="30">
        <v>1000</v>
      </c>
      <c r="F23" s="26">
        <v>4979.13</v>
      </c>
      <c r="G23" s="26">
        <v>0.78</v>
      </c>
      <c r="H23" s="26">
        <v>6.12</v>
      </c>
    </row>
    <row r="24" spans="2:9">
      <c r="B24" s="25" t="s">
        <v>61</v>
      </c>
      <c r="C24" s="25" t="s">
        <v>62</v>
      </c>
      <c r="D24" s="25" t="s">
        <v>36</v>
      </c>
      <c r="E24" s="30">
        <v>1000</v>
      </c>
      <c r="F24" s="26">
        <v>4977.67</v>
      </c>
      <c r="G24" s="26">
        <v>0.78</v>
      </c>
      <c r="H24" s="26">
        <v>6.07</v>
      </c>
    </row>
    <row r="25" spans="2:9">
      <c r="B25" s="25" t="s">
        <v>63</v>
      </c>
      <c r="C25" s="25" t="s">
        <v>64</v>
      </c>
      <c r="D25" s="25" t="s">
        <v>52</v>
      </c>
      <c r="E25" s="30">
        <v>1000</v>
      </c>
      <c r="F25" s="26">
        <v>4966.26</v>
      </c>
      <c r="G25" s="26">
        <v>0.78</v>
      </c>
      <c r="H25" s="26">
        <v>6.2</v>
      </c>
    </row>
    <row r="26" spans="2:9">
      <c r="B26" s="25" t="s">
        <v>65</v>
      </c>
      <c r="C26" s="25" t="s">
        <v>66</v>
      </c>
      <c r="D26" s="25" t="s">
        <v>36</v>
      </c>
      <c r="E26" s="30">
        <v>1000</v>
      </c>
      <c r="F26" s="26">
        <v>4952.84</v>
      </c>
      <c r="G26" s="26">
        <v>0.77</v>
      </c>
      <c r="H26" s="26">
        <v>6.32</v>
      </c>
    </row>
    <row r="27" spans="2:9">
      <c r="B27" s="25" t="s">
        <v>67</v>
      </c>
      <c r="C27" s="25" t="s">
        <v>68</v>
      </c>
      <c r="D27" s="25" t="s">
        <v>36</v>
      </c>
      <c r="E27" s="30">
        <v>500</v>
      </c>
      <c r="F27" s="26">
        <v>2480.15</v>
      </c>
      <c r="G27" s="26">
        <v>0.39</v>
      </c>
      <c r="H27" s="26">
        <v>6.21</v>
      </c>
    </row>
    <row r="28" spans="2:9">
      <c r="B28" s="25" t="s">
        <v>69</v>
      </c>
      <c r="C28" s="25" t="s">
        <v>70</v>
      </c>
      <c r="D28" s="25" t="s">
        <v>36</v>
      </c>
      <c r="E28" s="30">
        <v>500</v>
      </c>
      <c r="F28" s="26">
        <v>2477.64</v>
      </c>
      <c r="G28" s="26">
        <v>0.39</v>
      </c>
      <c r="H28" s="26">
        <v>6.21</v>
      </c>
    </row>
    <row r="29" spans="2:9">
      <c r="B29" s="24" t="s">
        <v>28</v>
      </c>
      <c r="C29" s="24"/>
      <c r="D29" s="24"/>
      <c r="E29" s="24"/>
      <c r="F29" s="48">
        <f>SUM(F12:F28)</f>
        <v>237917.95000000004</v>
      </c>
      <c r="G29" s="48">
        <f>SUM(G12:G28)</f>
        <v>37.200000000000003</v>
      </c>
      <c r="H29" s="49"/>
      <c r="I29" s="42"/>
    </row>
    <row r="30" spans="2:9">
      <c r="B30" s="24" t="s">
        <v>71</v>
      </c>
      <c r="C30" s="25"/>
      <c r="D30" s="25"/>
      <c r="E30" s="25"/>
      <c r="F30" s="26"/>
      <c r="G30" s="26"/>
      <c r="H30" s="26"/>
    </row>
    <row r="31" spans="2:9">
      <c r="B31" s="25" t="s">
        <v>72</v>
      </c>
      <c r="C31" s="25" t="s">
        <v>73</v>
      </c>
      <c r="D31" s="25" t="s">
        <v>36</v>
      </c>
      <c r="E31" s="30">
        <v>6000</v>
      </c>
      <c r="F31" s="26">
        <v>29795.91</v>
      </c>
      <c r="G31" s="26">
        <v>4.66</v>
      </c>
      <c r="H31" s="26">
        <v>6.25</v>
      </c>
    </row>
    <row r="32" spans="2:9">
      <c r="B32" s="25" t="s">
        <v>74</v>
      </c>
      <c r="C32" s="25" t="s">
        <v>75</v>
      </c>
      <c r="D32" s="25" t="s">
        <v>49</v>
      </c>
      <c r="E32" s="30">
        <v>6000</v>
      </c>
      <c r="F32" s="26">
        <v>29765.01</v>
      </c>
      <c r="G32" s="26">
        <v>4.6500000000000004</v>
      </c>
      <c r="H32" s="26">
        <v>6.26</v>
      </c>
    </row>
    <row r="33" spans="2:8">
      <c r="B33" s="25" t="s">
        <v>76</v>
      </c>
      <c r="C33" s="25" t="s">
        <v>77</v>
      </c>
      <c r="D33" s="25" t="s">
        <v>36</v>
      </c>
      <c r="E33" s="30">
        <v>6000</v>
      </c>
      <c r="F33" s="26">
        <v>29751.06</v>
      </c>
      <c r="G33" s="26">
        <v>4.6500000000000004</v>
      </c>
      <c r="H33" s="26">
        <v>6.64</v>
      </c>
    </row>
    <row r="34" spans="2:8">
      <c r="B34" s="25" t="s">
        <v>78</v>
      </c>
      <c r="C34" s="25" t="s">
        <v>79</v>
      </c>
      <c r="D34" s="25" t="s">
        <v>36</v>
      </c>
      <c r="E34" s="30">
        <v>5000</v>
      </c>
      <c r="F34" s="26">
        <v>24790.13</v>
      </c>
      <c r="G34" s="26">
        <v>3.88</v>
      </c>
      <c r="H34" s="26">
        <v>6.57</v>
      </c>
    </row>
    <row r="35" spans="2:8">
      <c r="B35" s="25" t="s">
        <v>80</v>
      </c>
      <c r="C35" s="25" t="s">
        <v>81</v>
      </c>
      <c r="D35" s="25" t="s">
        <v>40</v>
      </c>
      <c r="E35" s="30">
        <v>4000</v>
      </c>
      <c r="F35" s="26">
        <v>19934.48</v>
      </c>
      <c r="G35" s="26">
        <v>3.12</v>
      </c>
      <c r="H35" s="26">
        <v>6.32</v>
      </c>
    </row>
    <row r="36" spans="2:8">
      <c r="B36" s="25" t="s">
        <v>82</v>
      </c>
      <c r="C36" s="25" t="s">
        <v>83</v>
      </c>
      <c r="D36" s="25" t="s">
        <v>36</v>
      </c>
      <c r="E36" s="30">
        <v>4000</v>
      </c>
      <c r="F36" s="26">
        <v>19833.240000000002</v>
      </c>
      <c r="G36" s="26">
        <v>3.1</v>
      </c>
      <c r="H36" s="26">
        <v>6.53</v>
      </c>
    </row>
    <row r="37" spans="2:8">
      <c r="B37" s="25" t="s">
        <v>84</v>
      </c>
      <c r="C37" s="25" t="s">
        <v>85</v>
      </c>
      <c r="D37" s="25" t="s">
        <v>36</v>
      </c>
      <c r="E37" s="30">
        <v>4000</v>
      </c>
      <c r="F37" s="26">
        <v>19829.3</v>
      </c>
      <c r="G37" s="26">
        <v>3.1</v>
      </c>
      <c r="H37" s="26">
        <v>6.69</v>
      </c>
    </row>
    <row r="38" spans="2:8">
      <c r="B38" s="25" t="s">
        <v>86</v>
      </c>
      <c r="C38" s="25" t="s">
        <v>87</v>
      </c>
      <c r="D38" s="25" t="s">
        <v>36</v>
      </c>
      <c r="E38" s="30">
        <v>3000</v>
      </c>
      <c r="F38" s="26">
        <v>14894.52</v>
      </c>
      <c r="G38" s="26">
        <v>2.33</v>
      </c>
      <c r="H38" s="26">
        <v>6.31</v>
      </c>
    </row>
    <row r="39" spans="2:8">
      <c r="B39" s="25" t="s">
        <v>88</v>
      </c>
      <c r="C39" s="25" t="s">
        <v>89</v>
      </c>
      <c r="D39" s="25" t="s">
        <v>40</v>
      </c>
      <c r="E39" s="30">
        <v>2500</v>
      </c>
      <c r="F39" s="26">
        <v>12414.96</v>
      </c>
      <c r="G39" s="26">
        <v>1.94</v>
      </c>
      <c r="H39" s="26">
        <v>6.25</v>
      </c>
    </row>
    <row r="40" spans="2:8">
      <c r="B40" s="25" t="s">
        <v>90</v>
      </c>
      <c r="C40" s="25" t="s">
        <v>91</v>
      </c>
      <c r="D40" s="25" t="s">
        <v>49</v>
      </c>
      <c r="E40" s="30">
        <v>2000</v>
      </c>
      <c r="F40" s="26">
        <v>9978.15</v>
      </c>
      <c r="G40" s="26">
        <v>1.56</v>
      </c>
      <c r="H40" s="26">
        <v>6.15</v>
      </c>
    </row>
    <row r="41" spans="2:8">
      <c r="B41" s="25" t="s">
        <v>92</v>
      </c>
      <c r="C41" s="25" t="s">
        <v>93</v>
      </c>
      <c r="D41" s="25" t="s">
        <v>40</v>
      </c>
      <c r="E41" s="30">
        <v>2000</v>
      </c>
      <c r="F41" s="26">
        <v>9955</v>
      </c>
      <c r="G41" s="26">
        <v>1.56</v>
      </c>
      <c r="H41" s="26">
        <v>6.6</v>
      </c>
    </row>
    <row r="42" spans="2:8">
      <c r="B42" s="25" t="s">
        <v>94</v>
      </c>
      <c r="C42" s="25" t="s">
        <v>95</v>
      </c>
      <c r="D42" s="25" t="s">
        <v>36</v>
      </c>
      <c r="E42" s="30">
        <v>2000</v>
      </c>
      <c r="F42" s="26">
        <v>9941.3799999999992</v>
      </c>
      <c r="G42" s="26">
        <v>1.55</v>
      </c>
      <c r="H42" s="26">
        <v>6.33</v>
      </c>
    </row>
    <row r="43" spans="2:8">
      <c r="B43" s="25" t="s">
        <v>96</v>
      </c>
      <c r="C43" s="25" t="s">
        <v>97</v>
      </c>
      <c r="D43" s="25" t="s">
        <v>36</v>
      </c>
      <c r="E43" s="30">
        <v>2000</v>
      </c>
      <c r="F43" s="26">
        <v>9931.36</v>
      </c>
      <c r="G43" s="26">
        <v>1.55</v>
      </c>
      <c r="H43" s="26">
        <v>6.64</v>
      </c>
    </row>
    <row r="44" spans="2:8">
      <c r="B44" s="25" t="s">
        <v>98</v>
      </c>
      <c r="C44" s="25" t="s">
        <v>99</v>
      </c>
      <c r="D44" s="25" t="s">
        <v>36</v>
      </c>
      <c r="E44" s="30">
        <v>2000</v>
      </c>
      <c r="F44" s="26">
        <v>9906.2999999999993</v>
      </c>
      <c r="G44" s="26">
        <v>1.55</v>
      </c>
      <c r="H44" s="26">
        <v>6.64</v>
      </c>
    </row>
    <row r="45" spans="2:8">
      <c r="B45" s="25" t="s">
        <v>100</v>
      </c>
      <c r="C45" s="25" t="s">
        <v>101</v>
      </c>
      <c r="D45" s="25" t="s">
        <v>36</v>
      </c>
      <c r="E45" s="30">
        <v>2000</v>
      </c>
      <c r="F45" s="26">
        <v>9905.9599999999991</v>
      </c>
      <c r="G45" s="26">
        <v>1.55</v>
      </c>
      <c r="H45" s="26">
        <v>6.3</v>
      </c>
    </row>
    <row r="46" spans="2:8">
      <c r="B46" s="25" t="s">
        <v>102</v>
      </c>
      <c r="C46" s="25" t="s">
        <v>103</v>
      </c>
      <c r="D46" s="25" t="s">
        <v>36</v>
      </c>
      <c r="E46" s="30">
        <v>1500</v>
      </c>
      <c r="F46" s="26">
        <v>7457.52</v>
      </c>
      <c r="G46" s="26">
        <v>1.17</v>
      </c>
      <c r="H46" s="26">
        <v>6.3</v>
      </c>
    </row>
    <row r="47" spans="2:8">
      <c r="B47" s="25" t="s">
        <v>104</v>
      </c>
      <c r="C47" s="25" t="s">
        <v>105</v>
      </c>
      <c r="D47" s="25" t="s">
        <v>40</v>
      </c>
      <c r="E47" s="30">
        <v>1500</v>
      </c>
      <c r="F47" s="26">
        <v>7448.17</v>
      </c>
      <c r="G47" s="26">
        <v>1.1599999999999999</v>
      </c>
      <c r="H47" s="26">
        <v>6.68</v>
      </c>
    </row>
    <row r="48" spans="2:8">
      <c r="B48" s="25" t="s">
        <v>106</v>
      </c>
      <c r="C48" s="25" t="s">
        <v>107</v>
      </c>
      <c r="D48" s="25" t="s">
        <v>40</v>
      </c>
      <c r="E48" s="30">
        <v>1500</v>
      </c>
      <c r="F48" s="26">
        <v>7444.1</v>
      </c>
      <c r="G48" s="26">
        <v>1.1599999999999999</v>
      </c>
      <c r="H48" s="26">
        <v>6.68</v>
      </c>
    </row>
    <row r="49" spans="2:9">
      <c r="B49" s="25" t="s">
        <v>108</v>
      </c>
      <c r="C49" s="25" t="s">
        <v>109</v>
      </c>
      <c r="D49" s="25" t="s">
        <v>36</v>
      </c>
      <c r="E49" s="30">
        <v>1000</v>
      </c>
      <c r="F49" s="26">
        <v>4961.4399999999996</v>
      </c>
      <c r="G49" s="26">
        <v>0.78</v>
      </c>
      <c r="H49" s="26">
        <v>6.31</v>
      </c>
    </row>
    <row r="50" spans="2:9">
      <c r="B50" s="24" t="s">
        <v>28</v>
      </c>
      <c r="C50" s="24"/>
      <c r="D50" s="24"/>
      <c r="E50" s="24"/>
      <c r="F50" s="48">
        <f>SUM(F30:F49)</f>
        <v>287937.98999999987</v>
      </c>
      <c r="G50" s="48">
        <f>SUM(G30:G49)</f>
        <v>45.019999999999989</v>
      </c>
      <c r="H50" s="49"/>
      <c r="I50" s="42"/>
    </row>
    <row r="51" spans="2:9">
      <c r="B51" s="24" t="s">
        <v>110</v>
      </c>
      <c r="C51" s="25"/>
      <c r="D51" s="25"/>
      <c r="E51" s="25"/>
      <c r="F51" s="26"/>
      <c r="G51" s="26"/>
      <c r="H51" s="26"/>
    </row>
    <row r="52" spans="2:9">
      <c r="B52" s="25" t="s">
        <v>111</v>
      </c>
      <c r="C52" s="25" t="s">
        <v>112</v>
      </c>
      <c r="D52" s="25" t="s">
        <v>113</v>
      </c>
      <c r="E52" s="30">
        <v>34000000</v>
      </c>
      <c r="F52" s="26">
        <v>33599.31</v>
      </c>
      <c r="G52" s="26">
        <v>5.25</v>
      </c>
      <c r="H52" s="26">
        <v>5.24</v>
      </c>
    </row>
    <row r="53" spans="2:9">
      <c r="B53" s="25" t="s">
        <v>114</v>
      </c>
      <c r="C53" s="25" t="s">
        <v>115</v>
      </c>
      <c r="D53" s="25" t="s">
        <v>113</v>
      </c>
      <c r="E53" s="30">
        <v>10000000</v>
      </c>
      <c r="F53" s="26">
        <v>9942.48</v>
      </c>
      <c r="G53" s="26">
        <v>1.55</v>
      </c>
      <c r="H53" s="26">
        <v>5.15</v>
      </c>
    </row>
    <row r="54" spans="2:9">
      <c r="B54" s="25" t="s">
        <v>116</v>
      </c>
      <c r="C54" s="25" t="s">
        <v>117</v>
      </c>
      <c r="D54" s="25" t="s">
        <v>113</v>
      </c>
      <c r="E54" s="30">
        <v>10000000</v>
      </c>
      <c r="F54" s="26">
        <v>9933.1200000000008</v>
      </c>
      <c r="G54" s="26">
        <v>1.55</v>
      </c>
      <c r="H54" s="26">
        <v>5.12</v>
      </c>
    </row>
    <row r="55" spans="2:9">
      <c r="B55" s="25" t="s">
        <v>118</v>
      </c>
      <c r="C55" s="25" t="s">
        <v>119</v>
      </c>
      <c r="D55" s="25" t="s">
        <v>113</v>
      </c>
      <c r="E55" s="30">
        <v>5000000</v>
      </c>
      <c r="F55" s="26">
        <v>4950.96</v>
      </c>
      <c r="G55" s="26">
        <v>0.77</v>
      </c>
      <c r="H55" s="26">
        <v>5.24</v>
      </c>
    </row>
    <row r="56" spans="2:9">
      <c r="B56" s="39" t="s">
        <v>28</v>
      </c>
      <c r="C56" s="39"/>
      <c r="D56" s="39"/>
      <c r="E56" s="39"/>
      <c r="F56" s="40">
        <f>SUM(F51:F55)</f>
        <v>58425.869999999995</v>
      </c>
      <c r="G56" s="40">
        <f>SUM(G51:G55)</f>
        <v>9.1199999999999992</v>
      </c>
      <c r="H56" s="41"/>
      <c r="I56" s="42"/>
    </row>
    <row r="57" spans="2:9">
      <c r="B57" s="43" t="s">
        <v>30</v>
      </c>
      <c r="C57" s="43"/>
      <c r="D57" s="43"/>
      <c r="E57" s="43"/>
      <c r="F57" s="44">
        <f>F29+F50+F56</f>
        <v>584281.80999999994</v>
      </c>
      <c r="G57" s="44">
        <f>G29+G50+G56</f>
        <v>91.34</v>
      </c>
      <c r="H57" s="44"/>
      <c r="I57" s="42"/>
    </row>
    <row r="58" spans="2:9">
      <c r="B58" s="24" t="s">
        <v>120</v>
      </c>
      <c r="C58" s="25"/>
      <c r="D58" s="25"/>
      <c r="E58" s="25"/>
      <c r="F58" s="26"/>
      <c r="G58" s="26"/>
      <c r="H58" s="26"/>
    </row>
    <row r="59" spans="2:9">
      <c r="B59" s="50" t="s">
        <v>121</v>
      </c>
      <c r="C59" s="50" t="s">
        <v>122</v>
      </c>
      <c r="D59" s="50" t="s">
        <v>120</v>
      </c>
      <c r="E59" s="51">
        <v>11741.343999999999</v>
      </c>
      <c r="F59" s="52">
        <v>1379.77</v>
      </c>
      <c r="G59" s="52">
        <v>0.22</v>
      </c>
      <c r="H59" s="52">
        <v>5.61</v>
      </c>
    </row>
    <row r="60" spans="2:9">
      <c r="B60" s="53" t="s">
        <v>30</v>
      </c>
      <c r="C60" s="53"/>
      <c r="D60" s="53"/>
      <c r="E60" s="53"/>
      <c r="F60" s="48">
        <f>SUM(F59:F59)</f>
        <v>1379.77</v>
      </c>
      <c r="G60" s="48">
        <f>SUM(G59:G59)</f>
        <v>0.22</v>
      </c>
      <c r="H60" s="48"/>
      <c r="I60" s="42"/>
    </row>
    <row r="61" spans="2:9">
      <c r="B61" s="24" t="s">
        <v>123</v>
      </c>
      <c r="C61" s="25"/>
      <c r="D61" s="25"/>
      <c r="E61" s="25"/>
      <c r="F61" s="26"/>
      <c r="G61" s="26"/>
      <c r="H61" s="26"/>
    </row>
    <row r="62" spans="2:9">
      <c r="B62" s="25" t="s">
        <v>123</v>
      </c>
      <c r="C62" s="25"/>
      <c r="D62" s="25"/>
      <c r="E62" s="25"/>
      <c r="F62" s="26">
        <v>25226.95</v>
      </c>
      <c r="G62" s="26">
        <v>3.95</v>
      </c>
      <c r="H62" s="26"/>
    </row>
    <row r="63" spans="2:9">
      <c r="B63" s="39" t="s">
        <v>28</v>
      </c>
      <c r="C63" s="39"/>
      <c r="D63" s="39"/>
      <c r="E63" s="39"/>
      <c r="F63" s="40">
        <f>SUM(F61:F62)</f>
        <v>25226.95</v>
      </c>
      <c r="G63" s="40">
        <f>SUM(G61:G62)</f>
        <v>3.95</v>
      </c>
      <c r="H63" s="41"/>
      <c r="I63" s="42"/>
    </row>
    <row r="64" spans="2:9">
      <c r="B64" s="54" t="s">
        <v>30</v>
      </c>
      <c r="C64" s="54"/>
      <c r="D64" s="54"/>
      <c r="E64" s="54"/>
      <c r="F64" s="55">
        <f>F63</f>
        <v>25226.95</v>
      </c>
      <c r="G64" s="55">
        <f>G63</f>
        <v>3.95</v>
      </c>
      <c r="H64" s="55"/>
      <c r="I64" s="42"/>
    </row>
    <row r="65" spans="2:9">
      <c r="B65" s="56" t="s">
        <v>124</v>
      </c>
      <c r="C65" s="56"/>
      <c r="D65" s="56"/>
      <c r="E65" s="56"/>
      <c r="F65" s="57">
        <f>F66-(+F10+F57+F60+F64)</f>
        <v>3064.8100000000559</v>
      </c>
      <c r="G65" s="57">
        <f>G66-(+G10+G57+G60+G64)</f>
        <v>0.5</v>
      </c>
      <c r="H65" s="57"/>
      <c r="I65" s="42"/>
    </row>
    <row r="66" spans="2:9">
      <c r="B66" s="56" t="s">
        <v>125</v>
      </c>
      <c r="C66" s="56"/>
      <c r="D66" s="56"/>
      <c r="E66" s="56"/>
      <c r="F66" s="57">
        <v>639459.15</v>
      </c>
      <c r="G66" s="57">
        <v>100</v>
      </c>
      <c r="H66" s="57"/>
      <c r="I66" s="42"/>
    </row>
    <row r="68" spans="2:9">
      <c r="B68" s="42" t="s">
        <v>126</v>
      </c>
    </row>
    <row r="69" spans="2:9">
      <c r="B69" s="42" t="s">
        <v>127</v>
      </c>
    </row>
    <row r="70" spans="2:9" ht="12" thickBot="1"/>
    <row r="71" spans="2:9" ht="12.5" thickTop="1" thickBot="1">
      <c r="B71" s="58" t="s">
        <v>128</v>
      </c>
      <c r="C71" s="59">
        <v>0.106</v>
      </c>
    </row>
    <row r="72" spans="2:9" ht="12.5" thickTop="1" thickBot="1"/>
    <row r="73" spans="2:9" ht="12.5" thickTop="1" thickBot="1">
      <c r="B73" s="58" t="s">
        <v>129</v>
      </c>
      <c r="C73" s="60">
        <v>6.1800000000000001E-2</v>
      </c>
    </row>
    <row r="74" spans="2:9" ht="12.5" thickTop="1" thickBot="1"/>
    <row r="75" spans="2:9" ht="12.5" thickTop="1" thickBot="1">
      <c r="B75" s="58" t="s">
        <v>130</v>
      </c>
      <c r="C75" s="59">
        <v>0.1124</v>
      </c>
    </row>
    <row r="76" spans="2:9" ht="12.5" thickTop="1" thickBot="1"/>
    <row r="77" spans="2:9" ht="12.5" thickTop="1" thickBot="1">
      <c r="B77" s="61" t="s">
        <v>131</v>
      </c>
      <c r="C77" s="62">
        <v>0.11310000000000001</v>
      </c>
    </row>
    <row r="78" spans="2:9" ht="12" thickTop="1"/>
    <row r="79" spans="2:9">
      <c r="B79" s="42" t="s">
        <v>132</v>
      </c>
    </row>
    <row r="80" spans="2:9">
      <c r="B80" s="3" t="s">
        <v>133</v>
      </c>
    </row>
    <row r="81" spans="2:5">
      <c r="B81" s="3" t="s">
        <v>134</v>
      </c>
    </row>
    <row r="82" spans="2:5">
      <c r="B82" s="42" t="s">
        <v>135</v>
      </c>
      <c r="C82" s="42"/>
      <c r="D82" s="42" t="s">
        <v>136</v>
      </c>
      <c r="E82" s="42" t="s">
        <v>137</v>
      </c>
    </row>
    <row r="83" spans="2:5">
      <c r="B83" s="3" t="s">
        <v>138</v>
      </c>
      <c r="D83" s="3">
        <v>3281.4067</v>
      </c>
      <c r="E83" s="3">
        <v>3303.3631999999998</v>
      </c>
    </row>
    <row r="84" spans="2:5">
      <c r="B84" s="3" t="s">
        <v>139</v>
      </c>
      <c r="D84" s="3">
        <v>1005.5</v>
      </c>
      <c r="E84" s="3">
        <v>1005.5</v>
      </c>
    </row>
    <row r="85" spans="2:5">
      <c r="B85" s="3" t="s">
        <v>140</v>
      </c>
      <c r="D85" s="3">
        <v>1001.4602</v>
      </c>
      <c r="E85" s="3">
        <v>1000.9552</v>
      </c>
    </row>
    <row r="86" spans="2:5">
      <c r="B86" s="3" t="s">
        <v>141</v>
      </c>
      <c r="D86" s="3">
        <v>1001.4602</v>
      </c>
      <c r="E86" s="3">
        <v>1000.9606</v>
      </c>
    </row>
    <row r="87" spans="2:5">
      <c r="B87" s="3" t="s">
        <v>142</v>
      </c>
      <c r="D87" s="3">
        <v>1802.2483</v>
      </c>
      <c r="E87" s="3">
        <v>1814.271</v>
      </c>
    </row>
    <row r="88" spans="2:5">
      <c r="B88" s="3" t="s">
        <v>143</v>
      </c>
      <c r="D88" s="3">
        <v>3302.6473999999998</v>
      </c>
      <c r="E88" s="3">
        <v>3324.5891000000001</v>
      </c>
    </row>
    <row r="89" spans="2:5">
      <c r="B89" s="3" t="s">
        <v>144</v>
      </c>
      <c r="D89" s="3">
        <v>2363.4648999999999</v>
      </c>
      <c r="E89" s="3">
        <v>2379.1671999999999</v>
      </c>
    </row>
    <row r="90" spans="2:5">
      <c r="B90" s="3" t="s">
        <v>145</v>
      </c>
      <c r="D90" s="3">
        <v>1005.5</v>
      </c>
      <c r="E90" s="3">
        <v>1005.5</v>
      </c>
    </row>
    <row r="91" spans="2:5">
      <c r="B91" s="3" t="s">
        <v>146</v>
      </c>
      <c r="D91" s="3">
        <v>1001.4684</v>
      </c>
      <c r="E91" s="3">
        <v>1000.9575</v>
      </c>
    </row>
    <row r="92" spans="2:5">
      <c r="B92" s="3" t="s">
        <v>147</v>
      </c>
      <c r="D92" s="3">
        <v>1001.5886</v>
      </c>
      <c r="E92" s="3">
        <v>1001.11</v>
      </c>
    </row>
    <row r="94" spans="2:5">
      <c r="B94" s="3" t="s">
        <v>148</v>
      </c>
      <c r="D94" s="42" t="s">
        <v>149</v>
      </c>
      <c r="E94" s="42" t="s">
        <v>150</v>
      </c>
    </row>
    <row r="95" spans="2:5">
      <c r="B95" s="3" t="s">
        <v>139</v>
      </c>
      <c r="D95" s="3">
        <v>6.8189099999999989</v>
      </c>
      <c r="E95" s="3">
        <v>6.8189099999999989</v>
      </c>
    </row>
    <row r="96" spans="2:5">
      <c r="B96" s="3" t="s">
        <v>140</v>
      </c>
      <c r="D96" s="3">
        <v>7.2502999999999993</v>
      </c>
      <c r="E96" s="3">
        <v>7.2502999999999993</v>
      </c>
    </row>
    <row r="97" spans="2:5">
      <c r="B97" s="3" t="s">
        <v>141</v>
      </c>
      <c r="D97" s="3">
        <v>7.2659000000000002</v>
      </c>
      <c r="E97" s="3">
        <v>7.2659000000000002</v>
      </c>
    </row>
    <row r="98" spans="2:5">
      <c r="B98" s="3" t="s">
        <v>145</v>
      </c>
      <c r="D98" s="3">
        <v>6.6595999999999993</v>
      </c>
      <c r="E98" s="3">
        <v>6.6595999999999993</v>
      </c>
    </row>
    <row r="99" spans="2:5">
      <c r="B99" s="3" t="s">
        <v>146</v>
      </c>
      <c r="D99" s="3">
        <v>7.1439000000000004</v>
      </c>
      <c r="E99" s="3">
        <v>7.1439000000000004</v>
      </c>
    </row>
    <row r="100" spans="2:5">
      <c r="B100" s="3" t="s">
        <v>147</v>
      </c>
      <c r="D100" s="3">
        <v>7.1322999999999999</v>
      </c>
      <c r="E100" s="3">
        <v>7.1322999999999999</v>
      </c>
    </row>
    <row r="102" spans="2:5">
      <c r="B102" s="3" t="s">
        <v>151</v>
      </c>
    </row>
    <row r="103" spans="2:5">
      <c r="B103" s="3" t="s">
        <v>152</v>
      </c>
    </row>
    <row r="104" spans="2:5">
      <c r="B104" s="3" t="s">
        <v>153</v>
      </c>
    </row>
    <row r="105" spans="2:5">
      <c r="B105" s="42"/>
      <c r="C105" s="42"/>
      <c r="D105" s="42"/>
    </row>
    <row r="106" spans="2:5">
      <c r="B106" s="42"/>
      <c r="C106" s="42"/>
      <c r="D106" s="42"/>
      <c r="E106" s="42"/>
    </row>
    <row r="107" spans="2:5">
      <c r="B107" s="42" t="s">
        <v>154</v>
      </c>
    </row>
    <row r="109" spans="2:5" ht="14.5">
      <c r="B109" s="63" t="s">
        <v>155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109" r:id="rId1" tooltip="https://www.canararobeco.com/docs/default-source/default-document-library/Scheme%20Performance%20April%2026.pdf" display="https://www.canararobeco.com/docs/default-source/default-document-library/Scheme Performance April 26.pdf" xr:uid="{B9B1557D-73D6-4FF1-9D8C-CDD0D0F1A50E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2026-05-08 18:15:14</KDate>
  <Classification>PUBLIC</Classification>
  <Subclassification/>
  <HostName>MUMCMP01346</HostName>
  <Domain_User>CANARAROBECOMF/396</Domain_User>
  <IPAdd>192.9.198.198</IPAdd>
  <FilePath>Book22</FilePath>
  <KID>1098191A8D7D639138609144157714</KID>
  <UniqueName/>
  <Suggested/>
  <Justification/>
  <KlassifyGUID/>
</Klassify>
</file>

<file path=customXml/itemProps1.xml><?xml version="1.0" encoding="utf-8"?>
<ds:datastoreItem xmlns:ds="http://schemas.openxmlformats.org/officeDocument/2006/customXml" ds:itemID="{86D206FB-1193-47CF-9A43-200D99A1E6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2026-05-08T12:45:09Z</dcterms:created>
  <dcterms:modified xsi:type="dcterms:W3CDTF">2026-05-08T12:45:14Z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KID">
    <vt:lpwstr>1098191A8D7D639138609144157714</vt:lpwstr>
  </property>
</Properties>
</file>