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Nov 21\"/>
    </mc:Choice>
  </mc:AlternateContent>
  <bookViews>
    <workbookView xWindow="0" yWindow="0" windowWidth="20490" windowHeight="7350"/>
  </bookViews>
  <sheets>
    <sheet name="DV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2" i="1" l="1"/>
  <c r="G73" i="1" s="1"/>
  <c r="F72" i="1"/>
  <c r="F73" i="1" s="1"/>
  <c r="G68" i="1"/>
  <c r="G69" i="1" s="1"/>
  <c r="G74" i="1" s="1"/>
  <c r="F68" i="1"/>
  <c r="F69" i="1" s="1"/>
  <c r="F74" i="1" s="1"/>
</calcChain>
</file>

<file path=xl/sharedStrings.xml><?xml version="1.0" encoding="utf-8"?>
<sst xmlns="http://schemas.openxmlformats.org/spreadsheetml/2006/main" count="205" uniqueCount="166">
  <si>
    <t>CANARA ROBECO FLEXICAP FUND</t>
  </si>
  <si>
    <t>Monthly Portfolio Statement as on November 30, 2021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</si>
  <si>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</si>
  <si>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</si>
  <si>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</si>
  <si>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</si>
  <si>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</si>
  <si>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</si>
  <si>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Risk-o-meter Level- Oct'21</t>
  </si>
  <si>
    <t>Revised Risk-o-meter Level- Nov'21</t>
  </si>
  <si>
    <t>Benchmark Risk-o-meter Level- Nov'21</t>
  </si>
  <si>
    <t>Equity &amp; Equity related</t>
  </si>
  <si>
    <t>(a) Listed / awaiting listing on Stock Exchanges</t>
  </si>
  <si>
    <t>ICICI Bank Ltd</t>
  </si>
  <si>
    <t>INE090A01021</t>
  </si>
  <si>
    <t>Banks</t>
  </si>
  <si>
    <t>Infosys Ltd</t>
  </si>
  <si>
    <t>INE009A01021</t>
  </si>
  <si>
    <t>Software</t>
  </si>
  <si>
    <t>HDFC Bank Ltd</t>
  </si>
  <si>
    <t>INE040A01034</t>
  </si>
  <si>
    <t>Reliance Industries Ltd</t>
  </si>
  <si>
    <t>INE002A01018</t>
  </si>
  <si>
    <t>Petroleum Products</t>
  </si>
  <si>
    <t>Bajaj Finance Ltd</t>
  </si>
  <si>
    <t>INE296A01024</t>
  </si>
  <si>
    <t>Finance</t>
  </si>
  <si>
    <t>Larsen &amp; Toubro Ltd</t>
  </si>
  <si>
    <t>INE018A01030</t>
  </si>
  <si>
    <t>Construction Project</t>
  </si>
  <si>
    <t>Tata Consultancy Services Ltd</t>
  </si>
  <si>
    <t>INE467B01029</t>
  </si>
  <si>
    <t>Benchmark: S&amp;P BSE 500 TRI</t>
  </si>
  <si>
    <t>Axis Bank Ltd</t>
  </si>
  <si>
    <t>INE238A01034</t>
  </si>
  <si>
    <t>State Bank of India</t>
  </si>
  <si>
    <t>INE062A01020</t>
  </si>
  <si>
    <t>Housing Development Finance Corporation Ltd</t>
  </si>
  <si>
    <t>INE001A01036</t>
  </si>
  <si>
    <t>Tata Motors Ltd</t>
  </si>
  <si>
    <t>INE155A01022</t>
  </si>
  <si>
    <t>Auto</t>
  </si>
  <si>
    <t>Ultratech Cement Ltd</t>
  </si>
  <si>
    <t>INE481G01011</t>
  </si>
  <si>
    <t>Cement &amp; Cement Products</t>
  </si>
  <si>
    <t>Avenue Supermarts Ltd</t>
  </si>
  <si>
    <t>INE192R01011</t>
  </si>
  <si>
    <t>Retailing</t>
  </si>
  <si>
    <t>Hindustan Unilever Ltd</t>
  </si>
  <si>
    <t>INE030A01027</t>
  </si>
  <si>
    <t>Consumer Non Durables</t>
  </si>
  <si>
    <t>TCI Express Ltd</t>
  </si>
  <si>
    <t>INE586V01016</t>
  </si>
  <si>
    <t>Transportation</t>
  </si>
  <si>
    <t>Sun Pharmaceutical Industries Ltd</t>
  </si>
  <si>
    <t>INE044A01036</t>
  </si>
  <si>
    <t>Pharmaceuticals</t>
  </si>
  <si>
    <t>Sona Blw Precision Forgings Ltd</t>
  </si>
  <si>
    <t>INE073K01018</t>
  </si>
  <si>
    <t>Auto Ancillaries</t>
  </si>
  <si>
    <t>Max Healthcare Institute Ltd</t>
  </si>
  <si>
    <t>INE027H01010</t>
  </si>
  <si>
    <t>Healthcare Services</t>
  </si>
  <si>
    <t>Divi's Laboratories Ltd</t>
  </si>
  <si>
    <t>INE361B01024</t>
  </si>
  <si>
    <t>HCL Technologies Ltd</t>
  </si>
  <si>
    <t>INE860A01027</t>
  </si>
  <si>
    <t>Minda Industries Ltd</t>
  </si>
  <si>
    <t>INE405E01023</t>
  </si>
  <si>
    <t>Bharti Airtel Ltd</t>
  </si>
  <si>
    <t>INE397D01024</t>
  </si>
  <si>
    <t>Telecom - Services</t>
  </si>
  <si>
    <t>Maruti Suzuki India Ltd</t>
  </si>
  <si>
    <t>INE585B01010</t>
  </si>
  <si>
    <t>Mphasis Ltd</t>
  </si>
  <si>
    <t>INE356A01018</t>
  </si>
  <si>
    <t>Gujarat Gas Ltd</t>
  </si>
  <si>
    <t>INE844O01030</t>
  </si>
  <si>
    <t>Gas</t>
  </si>
  <si>
    <t>Polycab India Ltd</t>
  </si>
  <si>
    <t>INE455K01017</t>
  </si>
  <si>
    <t>Industrial Products</t>
  </si>
  <si>
    <t>Max Financial Services Ltd</t>
  </si>
  <si>
    <t>INE180A01020</t>
  </si>
  <si>
    <t>Insurance</t>
  </si>
  <si>
    <t>Navin Fluorine International Ltd</t>
  </si>
  <si>
    <t>INE048G01026</t>
  </si>
  <si>
    <t>Chemicals</t>
  </si>
  <si>
    <t>Voltas Ltd</t>
  </si>
  <si>
    <t>INE226A01021</t>
  </si>
  <si>
    <t>Consumer Durables</t>
  </si>
  <si>
    <t>Bharat Forge Ltd</t>
  </si>
  <si>
    <t>INE465A01025</t>
  </si>
  <si>
    <t>FSN E-Commerce Ventures Ltd</t>
  </si>
  <si>
    <t>INE388Y01029</t>
  </si>
  <si>
    <t>HDFC Life Insurance Co Ltd</t>
  </si>
  <si>
    <t>INE795G01014</t>
  </si>
  <si>
    <t>ABB India Ltd</t>
  </si>
  <si>
    <t>INE117A01022</t>
  </si>
  <si>
    <t>Industrial Capital Goods</t>
  </si>
  <si>
    <t>Atul Ltd</t>
  </si>
  <si>
    <t>INE100A01010</t>
  </si>
  <si>
    <t>Oberoi Realty Ltd</t>
  </si>
  <si>
    <t>INE093I01010</t>
  </si>
  <si>
    <t>Construction</t>
  </si>
  <si>
    <t>Havells India Ltd</t>
  </si>
  <si>
    <t>INE176B01034</t>
  </si>
  <si>
    <t>Mahindra &amp; Mahindra Ltd</t>
  </si>
  <si>
    <t>INE101A01026</t>
  </si>
  <si>
    <t>Tata Consumer Products Ltd</t>
  </si>
  <si>
    <t>INE192A01025</t>
  </si>
  <si>
    <t>Cholamandalam Investment and Finance Co Ltd</t>
  </si>
  <si>
    <t>INE121A01024</t>
  </si>
  <si>
    <t>Vinati Organics Ltd</t>
  </si>
  <si>
    <t>INE410B01037</t>
  </si>
  <si>
    <t>J.K. Cement Ltd</t>
  </si>
  <si>
    <t>INE823G01014</t>
  </si>
  <si>
    <t>Ashok Leyland Ltd</t>
  </si>
  <si>
    <t>INE208A01029</t>
  </si>
  <si>
    <t>Bata India Ltd</t>
  </si>
  <si>
    <t>INE176A01028</t>
  </si>
  <si>
    <t>Kotak Mahindra Bank Ltd</t>
  </si>
  <si>
    <t>INE237A01028</t>
  </si>
  <si>
    <t>Asian Paints Ltd</t>
  </si>
  <si>
    <t>INE021A01026</t>
  </si>
  <si>
    <t>Hindalco Industries Ltd</t>
  </si>
  <si>
    <t>INE038A01020</t>
  </si>
  <si>
    <t>Non - Ferrous Metals</t>
  </si>
  <si>
    <t>SBI Cards and Payment Services Ltd</t>
  </si>
  <si>
    <t>INE018E01016</t>
  </si>
  <si>
    <t>Tata Steel Ltd</t>
  </si>
  <si>
    <t>INE081A01012</t>
  </si>
  <si>
    <t>Ferrous Metals</t>
  </si>
  <si>
    <t>Abbott India Ltd</t>
  </si>
  <si>
    <t>INE358A01014</t>
  </si>
  <si>
    <t>PI Industries Ltd</t>
  </si>
  <si>
    <t>INE603J01030</t>
  </si>
  <si>
    <t>Pesticides</t>
  </si>
  <si>
    <t>Jubilant Foodworks Ltd</t>
  </si>
  <si>
    <t>INE797F01012</t>
  </si>
  <si>
    <t>Leisure Services</t>
  </si>
  <si>
    <t>Can Fin Homes Ltd</t>
  </si>
  <si>
    <t>INE477A01020</t>
  </si>
  <si>
    <t>Honeywell Automation India Ltd</t>
  </si>
  <si>
    <t>INE671A01010</t>
  </si>
  <si>
    <t>Titan Co Ltd</t>
  </si>
  <si>
    <t>INE280A01028</t>
  </si>
  <si>
    <t>Gland Pharma Ltd</t>
  </si>
  <si>
    <t>INE068V01023</t>
  </si>
  <si>
    <t>IPCA Laboratories Ltd</t>
  </si>
  <si>
    <t>INE571A01020</t>
  </si>
  <si>
    <t>Balkrishna Industries Ltd</t>
  </si>
  <si>
    <t>INE787D01026</t>
  </si>
  <si>
    <t>Britannia Industries Ltd</t>
  </si>
  <si>
    <t>INE216A01030</t>
  </si>
  <si>
    <t>Indraprastha Gas Ltd</t>
  </si>
  <si>
    <t>INE203G01027</t>
  </si>
  <si>
    <t>Cipla Ltd</t>
  </si>
  <si>
    <t>INE059A01026</t>
  </si>
  <si>
    <t>Bharti Airtel Ltd - Partly Paid</t>
  </si>
  <si>
    <t>IN9397D01014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</si>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</sst>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0" fontId="3" fillId="3" borderId="8" xfId="0" applyFont="1" applyFill="1" applyBorder="1" applyAlignment="1">
      <alignment horizontal="center"/>
    </xf>
    <xf numFmtId="0" fontId="9" fillId="3" borderId="9" xfId="0" applyFont="1" applyFill="1" applyBorder="1"/>
    <xf numFmtId="0" fontId="3" fillId="3" borderId="10" xfId="0" applyFont="1" applyFill="1" applyBorder="1"/>
    <xf numFmtId="0" fontId="3" fillId="3" borderId="10" xfId="0" applyNumberFormat="1" applyFont="1" applyFill="1" applyBorder="1"/>
    <xf numFmtId="4" fontId="3" fillId="3" borderId="10" xfId="0" applyNumberFormat="1" applyFont="1" applyFill="1" applyBorder="1"/>
    <xf numFmtId="0" fontId="3" fillId="3" borderId="11" xfId="0" applyFont="1" applyFill="1" applyBorder="1" applyAlignment="1">
      <alignment horizontal="center"/>
    </xf>
    <xf numFmtId="0" fontId="3" fillId="3" borderId="9" xfId="0" applyFont="1" applyFill="1" applyBorder="1"/>
    <xf numFmtId="3" fontId="3" fillId="3" borderId="10" xfId="0" applyNumberFormat="1" applyFont="1" applyFill="1" applyBorder="1"/>
    <xf numFmtId="0" fontId="3" fillId="3" borderId="12" xfId="0" applyFont="1" applyFill="1" applyBorder="1" applyAlignment="1">
      <alignment horizontal="center"/>
    </xf>
    <xf numFmtId="0" fontId="9" fillId="3" borderId="13" xfId="0" applyFont="1" applyFill="1" applyBorder="1"/>
    <xf numFmtId="0" fontId="9" fillId="3" borderId="14" xfId="0" applyFont="1" applyFill="1" applyBorder="1"/>
    <xf numFmtId="0" fontId="9" fillId="3" borderId="14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0" fontId="9" fillId="3" borderId="17" xfId="0" applyFont="1" applyFill="1" applyBorder="1"/>
    <xf numFmtId="0" fontId="3" fillId="3" borderId="18" xfId="0" applyFont="1" applyFill="1" applyBorder="1"/>
    <xf numFmtId="0" fontId="3" fillId="3" borderId="18" xfId="0" applyNumberFormat="1" applyFont="1" applyFill="1" applyBorder="1"/>
    <xf numFmtId="4" fontId="3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  <xf numFmtId="4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4</xdr:row>
      <xdr:rowOff>28575</xdr:rowOff>
    </xdr:from>
    <xdr:to>
      <xdr:col>8</xdr:col>
      <xdr:colOff>1666875</xdr:colOff>
      <xdr:row>11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AA1E18-9468-4C0E-B89D-4F4D3EAB4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25050" y="1038225"/>
          <a:ext cx="16383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28575</xdr:colOff>
      <xdr:row>4</xdr:row>
      <xdr:rowOff>28575</xdr:rowOff>
    </xdr:from>
    <xdr:to>
      <xdr:col>9</xdr:col>
      <xdr:colOff>1666875</xdr:colOff>
      <xdr:row>11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D056EF-FB47-460C-801A-05F800A67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0025" y="1038225"/>
          <a:ext cx="16383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19050</xdr:colOff>
      <xdr:row>4</xdr:row>
      <xdr:rowOff>28575</xdr:rowOff>
    </xdr:from>
    <xdr:to>
      <xdr:col>10</xdr:col>
      <xdr:colOff>1657350</xdr:colOff>
      <xdr:row>11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67DC11-2C19-446B-AD1E-6C7CC72AF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0" y="1038225"/>
          <a:ext cx="16383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77"/>
  <sheetViews>
    <sheetView tabSelected="1" workbookViewId="0">
      <selection activeCell="I4" sqref="I4:K4"/>
    </sheetView>
  </sheetViews>
  <sheetFormatPr defaultRowHeight="12"/>
  <cols>
    <col min="1" max="1" width="9.140625" style="4"/>
    <col min="2" max="2" width="61" style="4" bestFit="1" customWidth="1"/>
    <col min="3" max="3" width="13.28515625" style="4" bestFit="1" customWidth="1"/>
    <col min="4" max="4" width="23.42578125" style="4" bestFit="1" customWidth="1"/>
    <col min="5" max="5" width="8.85546875" style="47" bestFit="1" customWidth="1"/>
    <col min="6" max="6" width="15.28515625" style="48" bestFit="1" customWidth="1"/>
    <col min="7" max="7" width="7.42578125" style="48" bestFit="1" customWidth="1"/>
    <col min="8" max="8" width="10" style="3" bestFit="1" customWidth="1"/>
    <col min="9" max="9" width="25.5703125" style="3" customWidth="1"/>
    <col min="10" max="10" width="25.7109375" style="3" customWidth="1"/>
    <col min="11" max="11" width="25.28515625" style="3" customWidth="1"/>
    <col min="12" max="16384" width="9.140625" style="4"/>
  </cols>
  <sheetData>
    <row r="1" spans="2:11" ht="21" customHeight="1">
      <c r="B1" s="1" t="s">
        <v>0</v>
      </c>
      <c r="C1" s="2"/>
      <c r="D1" s="2"/>
      <c r="E1" s="2"/>
      <c r="F1" s="2"/>
      <c r="G1" s="2"/>
    </row>
    <row r="3" spans="2:11" ht="16.5" thickBot="1">
      <c r="B3" s="5" t="s">
        <v>1</v>
      </c>
      <c r="C3" s="6"/>
      <c r="D3" s="7"/>
      <c r="E3" s="8"/>
      <c r="F3" s="9"/>
      <c r="G3" s="9"/>
    </row>
    <row r="4" spans="2:11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I4" s="15" t="s">
        <v>8</v>
      </c>
      <c r="J4" s="15" t="s">
        <v>9</v>
      </c>
      <c r="K4" s="15" t="s">
        <v>10</v>
      </c>
    </row>
    <row r="5" spans="2:11">
      <c r="B5" s="16" t="s">
        <v>11</v>
      </c>
      <c r="C5" s="17"/>
      <c r="D5" s="17"/>
      <c r="E5" s="18"/>
      <c r="F5" s="19"/>
      <c r="G5" s="19"/>
      <c r="I5" s="20"/>
      <c r="J5" s="20"/>
      <c r="K5" s="20"/>
    </row>
    <row r="6" spans="2:11">
      <c r="B6" s="21" t="s">
        <v>12</v>
      </c>
      <c r="C6" s="22"/>
      <c r="D6" s="22"/>
      <c r="E6" s="23"/>
      <c r="F6" s="24"/>
      <c r="G6" s="24"/>
      <c r="I6" s="25"/>
      <c r="J6" s="25"/>
      <c r="K6" s="25"/>
    </row>
    <row r="7" spans="2:11">
      <c r="B7" s="26" t="s">
        <v>13</v>
      </c>
      <c r="C7" s="22" t="s">
        <v>14</v>
      </c>
      <c r="D7" s="22" t="s">
        <v>15</v>
      </c>
      <c r="E7" s="27">
        <v>5615550</v>
      </c>
      <c r="F7" s="24">
        <v>40114.68</v>
      </c>
      <c r="G7" s="24">
        <v>6.5</v>
      </c>
      <c r="I7" s="25"/>
      <c r="J7" s="25"/>
      <c r="K7" s="25"/>
    </row>
    <row r="8" spans="2:11">
      <c r="B8" s="26" t="s">
        <v>16</v>
      </c>
      <c r="C8" s="22" t="s">
        <v>17</v>
      </c>
      <c r="D8" s="22" t="s">
        <v>18</v>
      </c>
      <c r="E8" s="27">
        <v>2262188</v>
      </c>
      <c r="F8" s="24">
        <v>38743.360000000001</v>
      </c>
      <c r="G8" s="24">
        <v>6.28</v>
      </c>
      <c r="I8" s="25"/>
      <c r="J8" s="25"/>
      <c r="K8" s="25"/>
    </row>
    <row r="9" spans="2:11">
      <c r="B9" s="26" t="s">
        <v>19</v>
      </c>
      <c r="C9" s="22" t="s">
        <v>20</v>
      </c>
      <c r="D9" s="22" t="s">
        <v>15</v>
      </c>
      <c r="E9" s="27">
        <v>2522340</v>
      </c>
      <c r="F9" s="24">
        <v>37672.410000000003</v>
      </c>
      <c r="G9" s="24">
        <v>6.11</v>
      </c>
      <c r="I9" s="25"/>
      <c r="J9" s="25"/>
      <c r="K9" s="25"/>
    </row>
    <row r="10" spans="2:11">
      <c r="B10" s="26" t="s">
        <v>21</v>
      </c>
      <c r="C10" s="22" t="s">
        <v>22</v>
      </c>
      <c r="D10" s="22" t="s">
        <v>23</v>
      </c>
      <c r="E10" s="27">
        <v>1107400</v>
      </c>
      <c r="F10" s="24">
        <v>26637.4</v>
      </c>
      <c r="G10" s="24">
        <v>4.32</v>
      </c>
      <c r="I10" s="25"/>
      <c r="J10" s="25"/>
      <c r="K10" s="25"/>
    </row>
    <row r="11" spans="2:11">
      <c r="B11" s="26" t="s">
        <v>24</v>
      </c>
      <c r="C11" s="22" t="s">
        <v>25</v>
      </c>
      <c r="D11" s="22" t="s">
        <v>26</v>
      </c>
      <c r="E11" s="27">
        <v>325535</v>
      </c>
      <c r="F11" s="24">
        <v>22778.5</v>
      </c>
      <c r="G11" s="24">
        <v>3.69</v>
      </c>
      <c r="I11" s="25"/>
      <c r="J11" s="25"/>
      <c r="K11" s="25"/>
    </row>
    <row r="12" spans="2:11">
      <c r="B12" s="26" t="s">
        <v>27</v>
      </c>
      <c r="C12" s="22" t="s">
        <v>28</v>
      </c>
      <c r="D12" s="22" t="s">
        <v>29</v>
      </c>
      <c r="E12" s="27">
        <v>1230657</v>
      </c>
      <c r="F12" s="24">
        <v>21718.02</v>
      </c>
      <c r="G12" s="24">
        <v>3.52</v>
      </c>
      <c r="I12" s="28"/>
      <c r="J12" s="28"/>
      <c r="K12" s="28"/>
    </row>
    <row r="13" spans="2:11">
      <c r="B13" s="26" t="s">
        <v>30</v>
      </c>
      <c r="C13" s="22" t="s">
        <v>31</v>
      </c>
      <c r="D13" s="22" t="s">
        <v>18</v>
      </c>
      <c r="E13" s="27">
        <v>559428</v>
      </c>
      <c r="F13" s="24">
        <v>19743.05</v>
      </c>
      <c r="G13" s="24">
        <v>3.2</v>
      </c>
      <c r="I13" s="4"/>
      <c r="J13" s="4"/>
      <c r="K13" s="4" t="s">
        <v>32</v>
      </c>
    </row>
    <row r="14" spans="2:11">
      <c r="B14" s="26" t="s">
        <v>33</v>
      </c>
      <c r="C14" s="22" t="s">
        <v>34</v>
      </c>
      <c r="D14" s="22" t="s">
        <v>15</v>
      </c>
      <c r="E14" s="27">
        <v>2783600</v>
      </c>
      <c r="F14" s="24">
        <v>18250.669999999998</v>
      </c>
      <c r="G14" s="24">
        <v>2.96</v>
      </c>
    </row>
    <row r="15" spans="2:11">
      <c r="B15" s="26" t="s">
        <v>35</v>
      </c>
      <c r="C15" s="22" t="s">
        <v>36</v>
      </c>
      <c r="D15" s="22" t="s">
        <v>15</v>
      </c>
      <c r="E15" s="27">
        <v>3900000</v>
      </c>
      <c r="F15" s="24">
        <v>17961.45</v>
      </c>
      <c r="G15" s="24">
        <v>2.91</v>
      </c>
    </row>
    <row r="16" spans="2:11">
      <c r="B16" s="26" t="s">
        <v>37</v>
      </c>
      <c r="C16" s="22" t="s">
        <v>38</v>
      </c>
      <c r="D16" s="22" t="s">
        <v>26</v>
      </c>
      <c r="E16" s="27">
        <v>635900</v>
      </c>
      <c r="F16" s="24">
        <v>16998.240000000002</v>
      </c>
      <c r="G16" s="24">
        <v>2.76</v>
      </c>
    </row>
    <row r="17" spans="2:7">
      <c r="B17" s="26" t="s">
        <v>39</v>
      </c>
      <c r="C17" s="22" t="s">
        <v>40</v>
      </c>
      <c r="D17" s="22" t="s">
        <v>41</v>
      </c>
      <c r="E17" s="27">
        <v>2892500</v>
      </c>
      <c r="F17" s="24">
        <v>13265.01</v>
      </c>
      <c r="G17" s="24">
        <v>2.15</v>
      </c>
    </row>
    <row r="18" spans="2:7">
      <c r="B18" s="26" t="s">
        <v>42</v>
      </c>
      <c r="C18" s="22" t="s">
        <v>43</v>
      </c>
      <c r="D18" s="22" t="s">
        <v>44</v>
      </c>
      <c r="E18" s="27">
        <v>167471</v>
      </c>
      <c r="F18" s="24">
        <v>12449.38</v>
      </c>
      <c r="G18" s="24">
        <v>2.02</v>
      </c>
    </row>
    <row r="19" spans="2:7">
      <c r="B19" s="26" t="s">
        <v>45</v>
      </c>
      <c r="C19" s="22" t="s">
        <v>46</v>
      </c>
      <c r="D19" s="22" t="s">
        <v>47</v>
      </c>
      <c r="E19" s="27">
        <v>228500</v>
      </c>
      <c r="F19" s="24">
        <v>10764.41</v>
      </c>
      <c r="G19" s="24">
        <v>1.75</v>
      </c>
    </row>
    <row r="20" spans="2:7">
      <c r="B20" s="26" t="s">
        <v>48</v>
      </c>
      <c r="C20" s="22" t="s">
        <v>49</v>
      </c>
      <c r="D20" s="22" t="s">
        <v>50</v>
      </c>
      <c r="E20" s="27">
        <v>460400</v>
      </c>
      <c r="F20" s="24">
        <v>10670</v>
      </c>
      <c r="G20" s="24">
        <v>1.73</v>
      </c>
    </row>
    <row r="21" spans="2:7">
      <c r="B21" s="26" t="s">
        <v>51</v>
      </c>
      <c r="C21" s="22" t="s">
        <v>52</v>
      </c>
      <c r="D21" s="22" t="s">
        <v>53</v>
      </c>
      <c r="E21" s="27">
        <v>485012</v>
      </c>
      <c r="F21" s="24">
        <v>10387.26</v>
      </c>
      <c r="G21" s="24">
        <v>1.68</v>
      </c>
    </row>
    <row r="22" spans="2:7">
      <c r="B22" s="26" t="s">
        <v>54</v>
      </c>
      <c r="C22" s="22" t="s">
        <v>55</v>
      </c>
      <c r="D22" s="22" t="s">
        <v>56</v>
      </c>
      <c r="E22" s="27">
        <v>1370000</v>
      </c>
      <c r="F22" s="24">
        <v>10324.32</v>
      </c>
      <c r="G22" s="24">
        <v>1.67</v>
      </c>
    </row>
    <row r="23" spans="2:7">
      <c r="B23" s="26" t="s">
        <v>57</v>
      </c>
      <c r="C23" s="22" t="s">
        <v>58</v>
      </c>
      <c r="D23" s="22" t="s">
        <v>59</v>
      </c>
      <c r="E23" s="27">
        <v>1356111</v>
      </c>
      <c r="F23" s="24">
        <v>10147.780000000001</v>
      </c>
      <c r="G23" s="24">
        <v>1.65</v>
      </c>
    </row>
    <row r="24" spans="2:7">
      <c r="B24" s="26" t="s">
        <v>60</v>
      </c>
      <c r="C24" s="22" t="s">
        <v>61</v>
      </c>
      <c r="D24" s="22" t="s">
        <v>62</v>
      </c>
      <c r="E24" s="27">
        <v>2488533</v>
      </c>
      <c r="F24" s="24">
        <v>9461.4</v>
      </c>
      <c r="G24" s="24">
        <v>1.53</v>
      </c>
    </row>
    <row r="25" spans="2:7">
      <c r="B25" s="26" t="s">
        <v>63</v>
      </c>
      <c r="C25" s="22" t="s">
        <v>64</v>
      </c>
      <c r="D25" s="22" t="s">
        <v>56</v>
      </c>
      <c r="E25" s="27">
        <v>189032</v>
      </c>
      <c r="F25" s="24">
        <v>9222.49</v>
      </c>
      <c r="G25" s="24">
        <v>1.5</v>
      </c>
    </row>
    <row r="26" spans="2:7">
      <c r="B26" s="26" t="s">
        <v>65</v>
      </c>
      <c r="C26" s="22" t="s">
        <v>66</v>
      </c>
      <c r="D26" s="22" t="s">
        <v>18</v>
      </c>
      <c r="E26" s="27">
        <v>790000</v>
      </c>
      <c r="F26" s="24">
        <v>8995.34</v>
      </c>
      <c r="G26" s="24">
        <v>1.46</v>
      </c>
    </row>
    <row r="27" spans="2:7">
      <c r="B27" s="26" t="s">
        <v>67</v>
      </c>
      <c r="C27" s="22" t="s">
        <v>68</v>
      </c>
      <c r="D27" s="22" t="s">
        <v>59</v>
      </c>
      <c r="E27" s="27">
        <v>980690</v>
      </c>
      <c r="F27" s="24">
        <v>8888.9699999999993</v>
      </c>
      <c r="G27" s="24">
        <v>1.44</v>
      </c>
    </row>
    <row r="28" spans="2:7">
      <c r="B28" s="26" t="s">
        <v>69</v>
      </c>
      <c r="C28" s="22" t="s">
        <v>70</v>
      </c>
      <c r="D28" s="22" t="s">
        <v>71</v>
      </c>
      <c r="E28" s="27">
        <v>1147334</v>
      </c>
      <c r="F28" s="24">
        <v>8355.4599999999991</v>
      </c>
      <c r="G28" s="24">
        <v>1.35</v>
      </c>
    </row>
    <row r="29" spans="2:7">
      <c r="B29" s="26" t="s">
        <v>72</v>
      </c>
      <c r="C29" s="22" t="s">
        <v>73</v>
      </c>
      <c r="D29" s="22" t="s">
        <v>41</v>
      </c>
      <c r="E29" s="27">
        <v>116826</v>
      </c>
      <c r="F29" s="24">
        <v>8257.0300000000007</v>
      </c>
      <c r="G29" s="24">
        <v>1.34</v>
      </c>
    </row>
    <row r="30" spans="2:7">
      <c r="B30" s="26" t="s">
        <v>74</v>
      </c>
      <c r="C30" s="22" t="s">
        <v>75</v>
      </c>
      <c r="D30" s="22" t="s">
        <v>18</v>
      </c>
      <c r="E30" s="27">
        <v>275000</v>
      </c>
      <c r="F30" s="24">
        <v>7961.66</v>
      </c>
      <c r="G30" s="24">
        <v>1.29</v>
      </c>
    </row>
    <row r="31" spans="2:7">
      <c r="B31" s="26" t="s">
        <v>76</v>
      </c>
      <c r="C31" s="22" t="s">
        <v>77</v>
      </c>
      <c r="D31" s="22" t="s">
        <v>78</v>
      </c>
      <c r="E31" s="27">
        <v>1176413</v>
      </c>
      <c r="F31" s="24">
        <v>7881.38</v>
      </c>
      <c r="G31" s="24">
        <v>1.28</v>
      </c>
    </row>
    <row r="32" spans="2:7">
      <c r="B32" s="26" t="s">
        <v>79</v>
      </c>
      <c r="C32" s="22" t="s">
        <v>80</v>
      </c>
      <c r="D32" s="22" t="s">
        <v>81</v>
      </c>
      <c r="E32" s="27">
        <v>329000</v>
      </c>
      <c r="F32" s="24">
        <v>7586.58</v>
      </c>
      <c r="G32" s="24">
        <v>1.23</v>
      </c>
    </row>
    <row r="33" spans="2:7">
      <c r="B33" s="26" t="s">
        <v>82</v>
      </c>
      <c r="C33" s="22" t="s">
        <v>83</v>
      </c>
      <c r="D33" s="22" t="s">
        <v>84</v>
      </c>
      <c r="E33" s="27">
        <v>795000</v>
      </c>
      <c r="F33" s="24">
        <v>7474.99</v>
      </c>
      <c r="G33" s="24">
        <v>1.21</v>
      </c>
    </row>
    <row r="34" spans="2:7">
      <c r="B34" s="26" t="s">
        <v>85</v>
      </c>
      <c r="C34" s="22" t="s">
        <v>86</v>
      </c>
      <c r="D34" s="22" t="s">
        <v>87</v>
      </c>
      <c r="E34" s="27">
        <v>199280</v>
      </c>
      <c r="F34" s="24">
        <v>7455.06</v>
      </c>
      <c r="G34" s="24">
        <v>1.21</v>
      </c>
    </row>
    <row r="35" spans="2:7">
      <c r="B35" s="26" t="s">
        <v>88</v>
      </c>
      <c r="C35" s="22" t="s">
        <v>89</v>
      </c>
      <c r="D35" s="22" t="s">
        <v>90</v>
      </c>
      <c r="E35" s="27">
        <v>620429</v>
      </c>
      <c r="F35" s="24">
        <v>7451.35</v>
      </c>
      <c r="G35" s="24">
        <v>1.21</v>
      </c>
    </row>
    <row r="36" spans="2:7">
      <c r="B36" s="26" t="s">
        <v>91</v>
      </c>
      <c r="C36" s="22" t="s">
        <v>92</v>
      </c>
      <c r="D36" s="22" t="s">
        <v>81</v>
      </c>
      <c r="E36" s="27">
        <v>1026750</v>
      </c>
      <c r="F36" s="24">
        <v>7122.05</v>
      </c>
      <c r="G36" s="24">
        <v>1.1499999999999999</v>
      </c>
    </row>
    <row r="37" spans="2:7">
      <c r="B37" s="26" t="s">
        <v>93</v>
      </c>
      <c r="C37" s="22" t="s">
        <v>94</v>
      </c>
      <c r="D37" s="22" t="s">
        <v>47</v>
      </c>
      <c r="E37" s="27">
        <v>265000</v>
      </c>
      <c r="F37" s="24">
        <v>6467.19</v>
      </c>
      <c r="G37" s="24">
        <v>1.05</v>
      </c>
    </row>
    <row r="38" spans="2:7">
      <c r="B38" s="26" t="s">
        <v>95</v>
      </c>
      <c r="C38" s="22" t="s">
        <v>96</v>
      </c>
      <c r="D38" s="22" t="s">
        <v>84</v>
      </c>
      <c r="E38" s="27">
        <v>945000</v>
      </c>
      <c r="F38" s="24">
        <v>6433.56</v>
      </c>
      <c r="G38" s="24">
        <v>1.04</v>
      </c>
    </row>
    <row r="39" spans="2:7">
      <c r="B39" s="26" t="s">
        <v>97</v>
      </c>
      <c r="C39" s="22" t="s">
        <v>98</v>
      </c>
      <c r="D39" s="22" t="s">
        <v>99</v>
      </c>
      <c r="E39" s="27">
        <v>308500</v>
      </c>
      <c r="F39" s="24">
        <v>6360.81</v>
      </c>
      <c r="G39" s="24">
        <v>1.03</v>
      </c>
    </row>
    <row r="40" spans="2:7">
      <c r="B40" s="26" t="s">
        <v>100</v>
      </c>
      <c r="C40" s="22" t="s">
        <v>101</v>
      </c>
      <c r="D40" s="22" t="s">
        <v>87</v>
      </c>
      <c r="E40" s="27">
        <v>72452</v>
      </c>
      <c r="F40" s="24">
        <v>6307.53</v>
      </c>
      <c r="G40" s="24">
        <v>1.02</v>
      </c>
    </row>
    <row r="41" spans="2:7">
      <c r="B41" s="26" t="s">
        <v>102</v>
      </c>
      <c r="C41" s="22" t="s">
        <v>103</v>
      </c>
      <c r="D41" s="22" t="s">
        <v>104</v>
      </c>
      <c r="E41" s="27">
        <v>750000</v>
      </c>
      <c r="F41" s="24">
        <v>6245.63</v>
      </c>
      <c r="G41" s="24">
        <v>1.01</v>
      </c>
    </row>
    <row r="42" spans="2:7">
      <c r="B42" s="26" t="s">
        <v>105</v>
      </c>
      <c r="C42" s="22" t="s">
        <v>106</v>
      </c>
      <c r="D42" s="22" t="s">
        <v>90</v>
      </c>
      <c r="E42" s="27">
        <v>445000</v>
      </c>
      <c r="F42" s="24">
        <v>6053.56</v>
      </c>
      <c r="G42" s="24">
        <v>0.98</v>
      </c>
    </row>
    <row r="43" spans="2:7">
      <c r="B43" s="26" t="s">
        <v>107</v>
      </c>
      <c r="C43" s="22" t="s">
        <v>108</v>
      </c>
      <c r="D43" s="22" t="s">
        <v>41</v>
      </c>
      <c r="E43" s="27">
        <v>720000</v>
      </c>
      <c r="F43" s="24">
        <v>6015.6</v>
      </c>
      <c r="G43" s="24">
        <v>0.98</v>
      </c>
    </row>
    <row r="44" spans="2:7">
      <c r="B44" s="26" t="s">
        <v>109</v>
      </c>
      <c r="C44" s="22" t="s">
        <v>110</v>
      </c>
      <c r="D44" s="22" t="s">
        <v>50</v>
      </c>
      <c r="E44" s="27">
        <v>765000</v>
      </c>
      <c r="F44" s="24">
        <v>5956.29</v>
      </c>
      <c r="G44" s="24">
        <v>0.97</v>
      </c>
    </row>
    <row r="45" spans="2:7">
      <c r="B45" s="26" t="s">
        <v>111</v>
      </c>
      <c r="C45" s="22" t="s">
        <v>112</v>
      </c>
      <c r="D45" s="22" t="s">
        <v>26</v>
      </c>
      <c r="E45" s="27">
        <v>1075000</v>
      </c>
      <c r="F45" s="24">
        <v>5917.88</v>
      </c>
      <c r="G45" s="24">
        <v>0.96</v>
      </c>
    </row>
    <row r="46" spans="2:7">
      <c r="B46" s="26" t="s">
        <v>113</v>
      </c>
      <c r="C46" s="22" t="s">
        <v>114</v>
      </c>
      <c r="D46" s="22" t="s">
        <v>87</v>
      </c>
      <c r="E46" s="27">
        <v>308909</v>
      </c>
      <c r="F46" s="24">
        <v>5817.22</v>
      </c>
      <c r="G46" s="24">
        <v>0.94</v>
      </c>
    </row>
    <row r="47" spans="2:7">
      <c r="B47" s="26" t="s">
        <v>115</v>
      </c>
      <c r="C47" s="22" t="s">
        <v>116</v>
      </c>
      <c r="D47" s="22" t="s">
        <v>44</v>
      </c>
      <c r="E47" s="27">
        <v>179240</v>
      </c>
      <c r="F47" s="24">
        <v>5798.32</v>
      </c>
      <c r="G47" s="24">
        <v>0.94</v>
      </c>
    </row>
    <row r="48" spans="2:7">
      <c r="B48" s="26" t="s">
        <v>117</v>
      </c>
      <c r="C48" s="22" t="s">
        <v>118</v>
      </c>
      <c r="D48" s="22" t="s">
        <v>41</v>
      </c>
      <c r="E48" s="27">
        <v>4700000</v>
      </c>
      <c r="F48" s="24">
        <v>5625.9</v>
      </c>
      <c r="G48" s="24">
        <v>0.91</v>
      </c>
    </row>
    <row r="49" spans="2:7">
      <c r="B49" s="26" t="s">
        <v>119</v>
      </c>
      <c r="C49" s="22" t="s">
        <v>120</v>
      </c>
      <c r="D49" s="22" t="s">
        <v>90</v>
      </c>
      <c r="E49" s="27">
        <v>295000</v>
      </c>
      <c r="F49" s="24">
        <v>5540.69</v>
      </c>
      <c r="G49" s="24">
        <v>0.9</v>
      </c>
    </row>
    <row r="50" spans="2:7">
      <c r="B50" s="26" t="s">
        <v>121</v>
      </c>
      <c r="C50" s="22" t="s">
        <v>122</v>
      </c>
      <c r="D50" s="22" t="s">
        <v>15</v>
      </c>
      <c r="E50" s="27">
        <v>281651</v>
      </c>
      <c r="F50" s="24">
        <v>5525.71</v>
      </c>
      <c r="G50" s="24">
        <v>0.9</v>
      </c>
    </row>
    <row r="51" spans="2:7">
      <c r="B51" s="26" t="s">
        <v>123</v>
      </c>
      <c r="C51" s="22" t="s">
        <v>124</v>
      </c>
      <c r="D51" s="22" t="s">
        <v>50</v>
      </c>
      <c r="E51" s="27">
        <v>174500</v>
      </c>
      <c r="F51" s="24">
        <v>5485.67</v>
      </c>
      <c r="G51" s="24">
        <v>0.89</v>
      </c>
    </row>
    <row r="52" spans="2:7">
      <c r="B52" s="26" t="s">
        <v>125</v>
      </c>
      <c r="C52" s="22" t="s">
        <v>126</v>
      </c>
      <c r="D52" s="22" t="s">
        <v>127</v>
      </c>
      <c r="E52" s="27">
        <v>1325000</v>
      </c>
      <c r="F52" s="24">
        <v>5468.94</v>
      </c>
      <c r="G52" s="24">
        <v>0.89</v>
      </c>
    </row>
    <row r="53" spans="2:7">
      <c r="B53" s="26" t="s">
        <v>128</v>
      </c>
      <c r="C53" s="22" t="s">
        <v>129</v>
      </c>
      <c r="D53" s="22" t="s">
        <v>26</v>
      </c>
      <c r="E53" s="27">
        <v>553000</v>
      </c>
      <c r="F53" s="24">
        <v>5256.27</v>
      </c>
      <c r="G53" s="24">
        <v>0.85</v>
      </c>
    </row>
    <row r="54" spans="2:7">
      <c r="B54" s="26" t="s">
        <v>130</v>
      </c>
      <c r="C54" s="22" t="s">
        <v>131</v>
      </c>
      <c r="D54" s="22" t="s">
        <v>132</v>
      </c>
      <c r="E54" s="27">
        <v>480000</v>
      </c>
      <c r="F54" s="24">
        <v>5141.76</v>
      </c>
      <c r="G54" s="24">
        <v>0.83</v>
      </c>
    </row>
    <row r="55" spans="2:7">
      <c r="B55" s="26" t="s">
        <v>133</v>
      </c>
      <c r="C55" s="22" t="s">
        <v>134</v>
      </c>
      <c r="D55" s="22" t="s">
        <v>56</v>
      </c>
      <c r="E55" s="27">
        <v>26860</v>
      </c>
      <c r="F55" s="24">
        <v>5126.84</v>
      </c>
      <c r="G55" s="24">
        <v>0.83</v>
      </c>
    </row>
    <row r="56" spans="2:7">
      <c r="B56" s="26" t="s">
        <v>135</v>
      </c>
      <c r="C56" s="22" t="s">
        <v>136</v>
      </c>
      <c r="D56" s="22" t="s">
        <v>137</v>
      </c>
      <c r="E56" s="27">
        <v>176375</v>
      </c>
      <c r="F56" s="24">
        <v>5061.08</v>
      </c>
      <c r="G56" s="24">
        <v>0.82</v>
      </c>
    </row>
    <row r="57" spans="2:7">
      <c r="B57" s="26" t="s">
        <v>138</v>
      </c>
      <c r="C57" s="22" t="s">
        <v>139</v>
      </c>
      <c r="D57" s="22" t="s">
        <v>140</v>
      </c>
      <c r="E57" s="27">
        <v>137700</v>
      </c>
      <c r="F57" s="24">
        <v>5027.43</v>
      </c>
      <c r="G57" s="24">
        <v>0.82</v>
      </c>
    </row>
    <row r="58" spans="2:7">
      <c r="B58" s="26" t="s">
        <v>141</v>
      </c>
      <c r="C58" s="22" t="s">
        <v>142</v>
      </c>
      <c r="D58" s="22" t="s">
        <v>26</v>
      </c>
      <c r="E58" s="27">
        <v>842113</v>
      </c>
      <c r="F58" s="24">
        <v>4969.3100000000004</v>
      </c>
      <c r="G58" s="24">
        <v>0.81</v>
      </c>
    </row>
    <row r="59" spans="2:7">
      <c r="B59" s="26" t="s">
        <v>143</v>
      </c>
      <c r="C59" s="22" t="s">
        <v>144</v>
      </c>
      <c r="D59" s="22" t="s">
        <v>99</v>
      </c>
      <c r="E59" s="27">
        <v>12347</v>
      </c>
      <c r="F59" s="24">
        <v>4802.3100000000004</v>
      </c>
      <c r="G59" s="24">
        <v>0.78</v>
      </c>
    </row>
    <row r="60" spans="2:7">
      <c r="B60" s="26" t="s">
        <v>145</v>
      </c>
      <c r="C60" s="22" t="s">
        <v>146</v>
      </c>
      <c r="D60" s="22" t="s">
        <v>90</v>
      </c>
      <c r="E60" s="27">
        <v>198800</v>
      </c>
      <c r="F60" s="24">
        <v>4722.49</v>
      </c>
      <c r="G60" s="24">
        <v>0.77</v>
      </c>
    </row>
    <row r="61" spans="2:7">
      <c r="B61" s="26" t="s">
        <v>147</v>
      </c>
      <c r="C61" s="22" t="s">
        <v>148</v>
      </c>
      <c r="D61" s="22" t="s">
        <v>56</v>
      </c>
      <c r="E61" s="27">
        <v>128886</v>
      </c>
      <c r="F61" s="24">
        <v>4621.01</v>
      </c>
      <c r="G61" s="24">
        <v>0.75</v>
      </c>
    </row>
    <row r="62" spans="2:7">
      <c r="B62" s="26" t="s">
        <v>149</v>
      </c>
      <c r="C62" s="22" t="s">
        <v>150</v>
      </c>
      <c r="D62" s="22" t="s">
        <v>56</v>
      </c>
      <c r="E62" s="27">
        <v>163393</v>
      </c>
      <c r="F62" s="24">
        <v>3431.58</v>
      </c>
      <c r="G62" s="24">
        <v>0.56000000000000005</v>
      </c>
    </row>
    <row r="63" spans="2:7">
      <c r="B63" s="26" t="s">
        <v>151</v>
      </c>
      <c r="C63" s="22" t="s">
        <v>152</v>
      </c>
      <c r="D63" s="22" t="s">
        <v>59</v>
      </c>
      <c r="E63" s="27">
        <v>137500</v>
      </c>
      <c r="F63" s="24">
        <v>2990.28</v>
      </c>
      <c r="G63" s="24">
        <v>0.48</v>
      </c>
    </row>
    <row r="64" spans="2:7">
      <c r="B64" s="26" t="s">
        <v>153</v>
      </c>
      <c r="C64" s="22" t="s">
        <v>154</v>
      </c>
      <c r="D64" s="22" t="s">
        <v>50</v>
      </c>
      <c r="E64" s="27">
        <v>58690</v>
      </c>
      <c r="F64" s="24">
        <v>2080.85</v>
      </c>
      <c r="G64" s="24">
        <v>0.34</v>
      </c>
    </row>
    <row r="65" spans="2:7">
      <c r="B65" s="26" t="s">
        <v>155</v>
      </c>
      <c r="C65" s="22" t="s">
        <v>156</v>
      </c>
      <c r="D65" s="22" t="s">
        <v>78</v>
      </c>
      <c r="E65" s="27">
        <v>358000</v>
      </c>
      <c r="F65" s="24">
        <v>1733.62</v>
      </c>
      <c r="G65" s="24">
        <v>0.28000000000000003</v>
      </c>
    </row>
    <row r="66" spans="2:7">
      <c r="B66" s="26" t="s">
        <v>157</v>
      </c>
      <c r="C66" s="22" t="s">
        <v>158</v>
      </c>
      <c r="D66" s="22" t="s">
        <v>56</v>
      </c>
      <c r="E66" s="27">
        <v>100000</v>
      </c>
      <c r="F66" s="24">
        <v>971.3</v>
      </c>
      <c r="G66" s="24">
        <v>0.16</v>
      </c>
    </row>
    <row r="67" spans="2:7">
      <c r="B67" s="26" t="s">
        <v>159</v>
      </c>
      <c r="C67" s="22" t="s">
        <v>160</v>
      </c>
      <c r="D67" s="22" t="s">
        <v>71</v>
      </c>
      <c r="E67" s="27">
        <v>87309</v>
      </c>
      <c r="F67" s="24">
        <v>341.2</v>
      </c>
      <c r="G67" s="24">
        <v>0.06</v>
      </c>
    </row>
    <row r="68" spans="2:7">
      <c r="B68" s="29" t="s">
        <v>161</v>
      </c>
      <c r="C68" s="30"/>
      <c r="D68" s="30"/>
      <c r="E68" s="31"/>
      <c r="F68" s="32">
        <f>SUM(F7:F67)</f>
        <v>596037.53</v>
      </c>
      <c r="G68" s="32">
        <f>SUM(G7:G67)</f>
        <v>96.65</v>
      </c>
    </row>
    <row r="69" spans="2:7">
      <c r="B69" s="33" t="s">
        <v>162</v>
      </c>
      <c r="C69" s="33"/>
      <c r="D69" s="33"/>
      <c r="E69" s="34"/>
      <c r="F69" s="35">
        <f>F68</f>
        <v>596037.53</v>
      </c>
      <c r="G69" s="35">
        <f>G68</f>
        <v>96.65</v>
      </c>
    </row>
    <row r="70" spans="2:7">
      <c r="B70" s="36" t="s">
        <v>163</v>
      </c>
      <c r="C70" s="37"/>
      <c r="D70" s="37"/>
      <c r="E70" s="38"/>
      <c r="F70" s="39"/>
      <c r="G70" s="39"/>
    </row>
    <row r="71" spans="2:7">
      <c r="B71" s="26" t="s">
        <v>163</v>
      </c>
      <c r="C71" s="26"/>
      <c r="D71" s="22"/>
      <c r="E71" s="23"/>
      <c r="F71" s="24">
        <v>25278.53</v>
      </c>
      <c r="G71" s="24">
        <v>4.0999999999999996</v>
      </c>
    </row>
    <row r="72" spans="2:7">
      <c r="B72" s="29" t="s">
        <v>161</v>
      </c>
      <c r="C72" s="30"/>
      <c r="D72" s="30"/>
      <c r="E72" s="31"/>
      <c r="F72" s="32">
        <f>SUM(F70:F71)</f>
        <v>25278.53</v>
      </c>
      <c r="G72" s="32">
        <f>SUM(G70:G71)</f>
        <v>4.0999999999999996</v>
      </c>
    </row>
    <row r="73" spans="2:7">
      <c r="B73" s="40" t="s">
        <v>162</v>
      </c>
      <c r="C73" s="40"/>
      <c r="D73" s="40"/>
      <c r="E73" s="41"/>
      <c r="F73" s="42">
        <f>F72</f>
        <v>25278.53</v>
      </c>
      <c r="G73" s="42">
        <f>G72</f>
        <v>4.0999999999999996</v>
      </c>
    </row>
    <row r="74" spans="2:7">
      <c r="B74" s="43" t="s">
        <v>164</v>
      </c>
      <c r="C74" s="43"/>
      <c r="D74" s="43"/>
      <c r="E74" s="44"/>
      <c r="F74" s="45">
        <f>F75-(+F69+F73)</f>
        <v>-4525.9100000000326</v>
      </c>
      <c r="G74" s="45">
        <f>G75-(+G69+G73)</f>
        <v>-0.75</v>
      </c>
    </row>
    <row r="75" spans="2:7">
      <c r="B75" s="43" t="s">
        <v>165</v>
      </c>
      <c r="C75" s="43"/>
      <c r="D75" s="43"/>
      <c r="E75" s="44"/>
      <c r="F75" s="45">
        <v>616790.15</v>
      </c>
      <c r="G75" s="45">
        <v>100</v>
      </c>
    </row>
    <row r="77" spans="2:7">
      <c r="B77" s="46"/>
    </row>
  </sheetData>
  <mergeCells count="4">
    <mergeCell ref="B1:G1"/>
    <mergeCell ref="I5:I12"/>
    <mergeCell ref="J5:J12"/>
    <mergeCell ref="K5:K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2021-12-08T10:26:20Z</dcterms:created>
  <dcterms:modified xsi:type="dcterms:W3CDTF">2021-12-08T10:26:23Z</dcterms:modified>
</cp:coreProperties>
</file>