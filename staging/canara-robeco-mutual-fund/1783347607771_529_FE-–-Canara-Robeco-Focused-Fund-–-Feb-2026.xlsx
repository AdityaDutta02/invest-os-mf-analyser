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5-26\Feb 26\"/>
    </mc:Choice>
  </mc:AlternateContent>
  <xr:revisionPtr revIDLastSave="0" documentId="8_{AAB54664-E658-427E-9D92-44FED314B8BF}" xr6:coauthVersionLast="47" xr6:coauthVersionMax="47" xr10:uidLastSave="{00000000-0000-0000-0000-000000000000}"/>
  <bookViews>
    <workbookView xWindow="-120" yWindow="-120" windowWidth="20730" windowHeight="11040" xr2:uid="{BA9EA3B6-1564-4FCA-8E11-53B58C5CEF25}"/>
  </bookViews>
  <sheets>
    <sheet name="F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6" i="1" l="1"/>
  <c r="G47" i="1" s="1"/>
  <c r="F46" i="1"/>
  <c r="F47" i="1" s="1"/>
  <c r="G38" i="1"/>
  <c r="G48" i="1" s="1"/>
  <c r="F38" i="1"/>
  <c r="F48" i="1" s="1"/>
  <c r="G37" i="1"/>
  <c r="F37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<sst xmlns="http://schemas.openxmlformats.org/spreadsheetml/2006/main" count="157" uniqueCount="114">
  <si>
    <t>CANARA ROBECO FOCUSED FUND</t>
  </si>
  <si>
    <t>Monthly Portfolio Statement as on February 28, 2026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</si>
  <si>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</si>
  <si>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</si>
  <si>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</si>
  <si>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</si>
  <si>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</si>
  <si>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</si>
  <si>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 xml:space="preserve">Market Capitalization </t>
  </si>
  <si>
    <t>Yield %</t>
  </si>
  <si>
    <t>Scheme Risk-O-Meter Level - February'26</t>
  </si>
  <si>
    <t>Benchmark Risk-O-Meter Level - February'26</t>
  </si>
  <si>
    <t>Scheme Risk-O-Meter Level - January'26</t>
  </si>
  <si>
    <t>Benchmark Risk-O-Meter Level - January'26</t>
  </si>
  <si>
    <t>Equity &amp; Equity related</t>
  </si>
  <si>
    <t>(a) Listed / awaiting listing on Stock Exchanges</t>
  </si>
  <si>
    <t>ICICI Bank Ltd</t>
  </si>
  <si>
    <t>INE090A01021</t>
  </si>
  <si>
    <t>Banks</t>
  </si>
  <si>
    <t>Large Cap</t>
  </si>
  <si>
    <t>HDFC Bank Ltd</t>
  </si>
  <si>
    <t>INE040A01034</t>
  </si>
  <si>
    <t>Reliance Industries Ltd</t>
  </si>
  <si>
    <t>INE002A01018</t>
  </si>
  <si>
    <t>Petroleum Products</t>
  </si>
  <si>
    <t>Larsen &amp; Toubro Ltd</t>
  </si>
  <si>
    <t>INE018A01030</t>
  </si>
  <si>
    <t>Construction</t>
  </si>
  <si>
    <t>TVS Motor Co Ltd</t>
  </si>
  <si>
    <t>INE494B01023</t>
  </si>
  <si>
    <t>Automobiles</t>
  </si>
  <si>
    <t>Infosys Ltd</t>
  </si>
  <si>
    <t>INE009A01021</t>
  </si>
  <si>
    <t>IT - Software</t>
  </si>
  <si>
    <t>Bajaj Finance Ltd</t>
  </si>
  <si>
    <t>INE296A01032</t>
  </si>
  <si>
    <t>Finance</t>
  </si>
  <si>
    <t>Benchmark: BSE 500 TRI</t>
  </si>
  <si>
    <t>Bharti Airtel Ltd</t>
  </si>
  <si>
    <t>INE397D01024</t>
  </si>
  <si>
    <t>Telecom - Services</t>
  </si>
  <si>
    <t>Divi's Laboratories Ltd</t>
  </si>
  <si>
    <t>INE361B01024</t>
  </si>
  <si>
    <t>Pharmaceuticals &amp; Biotechnology</t>
  </si>
  <si>
    <t>State Bank of India</t>
  </si>
  <si>
    <t>INE062A01020</t>
  </si>
  <si>
    <t>Max Healthcare Institute Ltd</t>
  </si>
  <si>
    <t>INE027H01010</t>
  </si>
  <si>
    <t>Healthcare Services</t>
  </si>
  <si>
    <t>Eternal Ltd</t>
  </si>
  <si>
    <t>INE758T01015</t>
  </si>
  <si>
    <t>Retailing</t>
  </si>
  <si>
    <t>Bharat Electronics Ltd</t>
  </si>
  <si>
    <t>INE263A01024</t>
  </si>
  <si>
    <t>Aerospace &amp; Defense</t>
  </si>
  <si>
    <t>Axis Bank Ltd</t>
  </si>
  <si>
    <t>INE238A01034</t>
  </si>
  <si>
    <t>SBI Life Insurance Co Ltd</t>
  </si>
  <si>
    <t>INE123W01016</t>
  </si>
  <si>
    <t>Insurance</t>
  </si>
  <si>
    <t>Torrent Pharmaceuticals Ltd</t>
  </si>
  <si>
    <t>INE685A01028</t>
  </si>
  <si>
    <t>Ultratech Cement Ltd</t>
  </si>
  <si>
    <t>INE481G01011</t>
  </si>
  <si>
    <t>Cement &amp; Cement Products</t>
  </si>
  <si>
    <t>Mahindra &amp; Mahindra Ltd</t>
  </si>
  <si>
    <t>INE101A01026</t>
  </si>
  <si>
    <t>Varun Beverages Ltd</t>
  </si>
  <si>
    <t>INE200M01039</t>
  </si>
  <si>
    <t>Beverages</t>
  </si>
  <si>
    <t>Interglobe Aviation Ltd</t>
  </si>
  <si>
    <t>INE646L01027</t>
  </si>
  <si>
    <t>Transport Services</t>
  </si>
  <si>
    <t>Indian Hotels Co Ltd</t>
  </si>
  <si>
    <t>INE053A01029</t>
  </si>
  <si>
    <t>Leisure Services</t>
  </si>
  <si>
    <t>Uno Minda Ltd</t>
  </si>
  <si>
    <t>INE405E01023</t>
  </si>
  <si>
    <t>Auto Components</t>
  </si>
  <si>
    <t>Mid Cap</t>
  </si>
  <si>
    <t>Vishal Mega Mart Ltd</t>
  </si>
  <si>
    <t>INE01EA01019</t>
  </si>
  <si>
    <t>Trent Ltd</t>
  </si>
  <si>
    <t>INE849A01020</t>
  </si>
  <si>
    <t>Ge Vernova T&amp;D India Ltd</t>
  </si>
  <si>
    <t>INE200A01026</t>
  </si>
  <si>
    <t>Electrical Equipment</t>
  </si>
  <si>
    <t>PB Fintech Ltd</t>
  </si>
  <si>
    <t>INE417T01026</t>
  </si>
  <si>
    <t>Financial Technology (Fintech)</t>
  </si>
  <si>
    <t>CRISIL Ltd</t>
  </si>
  <si>
    <t>INE007A01025</t>
  </si>
  <si>
    <t>Info Edge (India) Ltd</t>
  </si>
  <si>
    <t>INE663F01032</t>
  </si>
  <si>
    <t>Aditya Birla Real Estate Ltd</t>
  </si>
  <si>
    <t>INE055A01016</t>
  </si>
  <si>
    <t>Paper, Forest &amp; Jute Products</t>
  </si>
  <si>
    <t>Small Cap</t>
  </si>
  <si>
    <t>Dr. Agarwals Health Care Ltd</t>
  </si>
  <si>
    <t>INE943P01029</t>
  </si>
  <si>
    <t>Sub Total</t>
  </si>
  <si>
    <t>Total</t>
  </si>
  <si>
    <t>Debt Instruments</t>
  </si>
  <si>
    <t>6.00% TVS Motor Co Ltd NCRPS **</t>
  </si>
  <si>
    <t>INE494B04019</t>
  </si>
  <si>
    <t>CARE A1+</t>
  </si>
  <si>
    <t>TREPS</t>
  </si>
  <si>
    <t>Net Receivables / (Payables)</t>
  </si>
  <si>
    <t>Grand Total</t>
  </si>
  <si>
    <t>Residual Maturity</t>
  </si>
  <si>
    <t>0.0055 Years</t>
  </si>
  <si>
    <t>** Non Traded Security</t>
  </si>
  <si>
    <t>Please refer the below link for the performance of the Schemes managed by Canara Robeco Mutual Fund</t>
  </si>
  <si>
    <t>https://www.canararobeco.com/docs/default-source/default-document-library/Scheme_Performance_February_2026.pdf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</si>
</sst>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000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D3D3D3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0"/>
      </right>
      <top/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0"/>
      </right>
      <top style="thin">
        <color indexed="0"/>
      </top>
      <bottom/>
      <diagonal/>
    </border>
    <border>
      <left style="thin">
        <color indexed="0"/>
      </left>
      <right style="thin">
        <color indexed="0"/>
      </right>
      <top style="thin">
        <color indexed="0"/>
      </top>
      <bottom/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7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3" borderId="0" xfId="0" applyFont="1" applyFill="1"/>
    <xf numFmtId="0" fontId="5" fillId="3" borderId="0" xfId="0" applyFont="1" applyFill="1" applyAlignment="1">
      <alignment horizontal="left" vertical="top"/>
    </xf>
    <xf numFmtId="0" fontId="6" fillId="3" borderId="0" xfId="0" applyFont="1" applyFill="1" applyAlignment="1">
      <alignment horizontal="left" vertical="top" wrapText="1"/>
    </xf>
    <xf numFmtId="0" fontId="7" fillId="3" borderId="0" xfId="0" applyFont="1" applyFill="1" applyAlignment="1">
      <alignment horizontal="left" vertical="top" wrapText="1"/>
    </xf>
    <xf numFmtId="4" fontId="7" fillId="3" borderId="0" xfId="0" applyNumberFormat="1" applyFont="1" applyFill="1" applyAlignment="1">
      <alignment horizontal="left" vertical="top" wrapText="1"/>
    </xf>
    <xf numFmtId="4" fontId="4" fillId="3" borderId="0" xfId="0" applyNumberFormat="1" applyFont="1" applyFill="1"/>
    <xf numFmtId="0" fontId="8" fillId="3" borderId="2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center" vertical="center" wrapText="1"/>
    </xf>
    <xf numFmtId="4" fontId="8" fillId="3" borderId="3" xfId="0" applyNumberFormat="1" applyFont="1" applyFill="1" applyBorder="1" applyAlignment="1">
      <alignment horizontal="center" vertical="center" wrapText="1"/>
    </xf>
    <xf numFmtId="4" fontId="8" fillId="3" borderId="4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10" fillId="3" borderId="6" xfId="0" applyFont="1" applyFill="1" applyBorder="1"/>
    <xf numFmtId="0" fontId="4" fillId="3" borderId="7" xfId="0" applyFont="1" applyFill="1" applyBorder="1"/>
    <xf numFmtId="4" fontId="4" fillId="3" borderId="7" xfId="0" applyNumberFormat="1" applyFont="1" applyFill="1" applyBorder="1"/>
    <xf numFmtId="43" fontId="4" fillId="3" borderId="5" xfId="1" applyFont="1" applyFill="1" applyBorder="1" applyAlignment="1">
      <alignment horizontal="center"/>
    </xf>
    <xf numFmtId="0" fontId="10" fillId="3" borderId="8" xfId="0" applyFont="1" applyFill="1" applyBorder="1"/>
    <xf numFmtId="0" fontId="4" fillId="3" borderId="9" xfId="0" applyFont="1" applyFill="1" applyBorder="1"/>
    <xf numFmtId="4" fontId="4" fillId="3" borderId="9" xfId="0" applyNumberFormat="1" applyFont="1" applyFill="1" applyBorder="1"/>
    <xf numFmtId="43" fontId="4" fillId="3" borderId="10" xfId="1" applyFont="1" applyFill="1" applyBorder="1" applyAlignment="1">
      <alignment horizontal="center"/>
    </xf>
    <xf numFmtId="0" fontId="4" fillId="3" borderId="8" xfId="0" applyFont="1" applyFill="1" applyBorder="1"/>
    <xf numFmtId="3" fontId="4" fillId="3" borderId="9" xfId="0" applyNumberFormat="1" applyFont="1" applyFill="1" applyBorder="1"/>
    <xf numFmtId="43" fontId="4" fillId="3" borderId="11" xfId="1" applyFont="1" applyFill="1" applyBorder="1" applyAlignment="1">
      <alignment horizontal="center"/>
    </xf>
    <xf numFmtId="43" fontId="4" fillId="3" borderId="0" xfId="1" applyFont="1" applyFill="1" applyAlignment="1"/>
    <xf numFmtId="0" fontId="10" fillId="3" borderId="12" xfId="0" applyFont="1" applyFill="1" applyBorder="1"/>
    <xf numFmtId="0" fontId="10" fillId="3" borderId="13" xfId="0" applyFont="1" applyFill="1" applyBorder="1"/>
    <xf numFmtId="4" fontId="10" fillId="3" borderId="14" xfId="0" applyNumberFormat="1" applyFont="1" applyFill="1" applyBorder="1"/>
    <xf numFmtId="0" fontId="10" fillId="3" borderId="0" xfId="0" applyFont="1" applyFill="1"/>
    <xf numFmtId="0" fontId="10" fillId="3" borderId="15" xfId="0" applyFont="1" applyFill="1" applyBorder="1"/>
    <xf numFmtId="4" fontId="10" fillId="3" borderId="15" xfId="0" applyNumberFormat="1" applyFont="1" applyFill="1" applyBorder="1"/>
    <xf numFmtId="4" fontId="10" fillId="3" borderId="0" xfId="0" applyNumberFormat="1" applyFont="1" applyFill="1"/>
    <xf numFmtId="0" fontId="10" fillId="3" borderId="7" xfId="0" applyFont="1" applyFill="1" applyBorder="1"/>
    <xf numFmtId="0" fontId="10" fillId="3" borderId="9" xfId="0" applyFont="1" applyFill="1" applyBorder="1"/>
    <xf numFmtId="0" fontId="10" fillId="3" borderId="16" xfId="0" applyFont="1" applyFill="1" applyBorder="1"/>
    <xf numFmtId="0" fontId="10" fillId="3" borderId="17" xfId="0" applyFont="1" applyFill="1" applyBorder="1"/>
    <xf numFmtId="0" fontId="4" fillId="3" borderId="18" xfId="0" applyFont="1" applyFill="1" applyBorder="1"/>
    <xf numFmtId="4" fontId="4" fillId="3" borderId="18" xfId="0" applyNumberFormat="1" applyFont="1" applyFill="1" applyBorder="1"/>
    <xf numFmtId="4" fontId="10" fillId="3" borderId="13" xfId="0" applyNumberFormat="1" applyFont="1" applyFill="1" applyBorder="1"/>
    <xf numFmtId="0" fontId="10" fillId="3" borderId="19" xfId="0" applyFont="1" applyFill="1" applyBorder="1"/>
    <xf numFmtId="4" fontId="10" fillId="3" borderId="19" xfId="0" applyNumberFormat="1" applyFont="1" applyFill="1" applyBorder="1"/>
    <xf numFmtId="0" fontId="10" fillId="3" borderId="20" xfId="0" applyFont="1" applyFill="1" applyBorder="1"/>
    <xf numFmtId="4" fontId="10" fillId="3" borderId="20" xfId="0" applyNumberFormat="1" applyFont="1" applyFill="1" applyBorder="1"/>
    <xf numFmtId="0" fontId="11" fillId="4" borderId="21" xfId="0" applyFont="1" applyFill="1" applyBorder="1"/>
    <xf numFmtId="164" fontId="10" fillId="3" borderId="22" xfId="0" applyNumberFormat="1" applyFont="1" applyFill="1" applyBorder="1"/>
    <xf numFmtId="0" fontId="2" fillId="0" borderId="0" xfId="2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11" Type="http://schemas.openxmlformats.org/officeDocument/2006/relationships/customXml" Target="../customXml/item1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</rv>
  <rv s="0">
    <v>1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canararobeco.com/docs/default-source/default-document-library/Scheme_Performance_February_20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A9237-ACBF-453C-A74C-ED966B3C9F3E}">
  <dimension ref="B1:N58"/>
  <sheetViews>
    <sheetView tabSelected="1" topLeftCell="M1" workbookViewId="0">
      <selection activeCell="X1" sqref="X1"/>
    </sheetView>
  </sheetViews>
  <sheetFormatPr defaultRowHeight="12" x14ac:dyDescent="0.2"/>
  <cols>
    <col min="1" max="1" width="9.140625" style="3"/>
    <col min="2" max="2" width="59.5703125" style="3" bestFit="1" customWidth="1"/>
    <col min="3" max="3" width="13.5703125" style="3" bestFit="1" customWidth="1"/>
    <col min="4" max="4" width="27.85546875" style="3" bestFit="1" customWidth="1"/>
    <col min="5" max="5" width="8.85546875" style="3" bestFit="1" customWidth="1"/>
    <col min="6" max="6" width="15.28515625" style="8" bestFit="1" customWidth="1"/>
    <col min="7" max="7" width="7.42578125" style="8" bestFit="1" customWidth="1"/>
    <col min="8" max="8" width="13.5703125" style="8" customWidth="1"/>
    <col min="9" max="9" width="6.5703125" style="8" bestFit="1" customWidth="1"/>
    <col min="10" max="10" width="9.140625" style="3"/>
    <col min="11" max="11" width="31.5703125" style="3" customWidth="1"/>
    <col min="12" max="12" width="35.5703125" style="3" customWidth="1"/>
    <col min="13" max="13" width="31.42578125" style="3" customWidth="1"/>
    <col min="14" max="14" width="35.5703125" style="3" customWidth="1"/>
    <col min="15" max="16384" width="9.140625" style="3"/>
  </cols>
  <sheetData>
    <row r="1" spans="2:14" ht="21" customHeight="1" x14ac:dyDescent="0.2">
      <c r="B1" s="1" t="s">
        <v>0</v>
      </c>
      <c r="C1" s="2"/>
      <c r="D1" s="2"/>
      <c r="E1" s="2"/>
      <c r="F1" s="2"/>
      <c r="G1" s="2"/>
      <c r="H1" s="2"/>
      <c r="I1" s="2"/>
    </row>
    <row r="3" spans="2:14" ht="16.5" thickBot="1" x14ac:dyDescent="0.25">
      <c r="B3" s="4" t="s">
        <v>1</v>
      </c>
      <c r="C3" s="5"/>
      <c r="D3" s="6"/>
      <c r="E3" s="6"/>
      <c r="F3" s="7"/>
      <c r="G3" s="7"/>
      <c r="H3" s="7"/>
    </row>
    <row r="4" spans="2:14" ht="28.5" x14ac:dyDescent="0.2">
      <c r="B4" s="9" t="s">
        <v>2</v>
      </c>
      <c r="C4" s="10" t="s">
        <v>3</v>
      </c>
      <c r="D4" s="10" t="s">
        <v>4</v>
      </c>
      <c r="E4" s="10" t="s">
        <v>5</v>
      </c>
      <c r="F4" s="11" t="s">
        <v>6</v>
      </c>
      <c r="G4" s="12" t="s">
        <v>7</v>
      </c>
      <c r="H4" s="12" t="s">
        <v>8</v>
      </c>
      <c r="I4" s="12" t="s">
        <v>9</v>
      </c>
      <c r="K4" s="13" t="s">
        <v>10</v>
      </c>
      <c r="L4" s="13" t="s">
        <v>11</v>
      </c>
      <c r="M4" s="13" t="s">
        <v>12</v>
      </c>
      <c r="N4" s="13" t="s">
        <v>13</v>
      </c>
    </row>
    <row r="5" spans="2:14" x14ac:dyDescent="0.2">
      <c r="B5" s="14" t="s">
        <v>14</v>
      </c>
      <c r="C5" s="15"/>
      <c r="D5" s="15"/>
      <c r="E5" s="15"/>
      <c r="F5" s="16"/>
      <c r="G5" s="16"/>
      <c r="H5" s="16"/>
      <c r="I5" s="16"/>
      <c r="K5" s="17" t="e" vm="1">
        <v>#VALUE!</v>
      </c>
      <c r="L5" s="17" t="e" vm="2">
        <v>#VALUE!</v>
      </c>
      <c r="M5" s="17" t="e" vm="1">
        <v>#VALUE!</v>
      </c>
      <c r="N5" s="17" t="e" vm="2">
        <v>#VALUE!</v>
      </c>
    </row>
    <row r="6" spans="2:14" x14ac:dyDescent="0.2">
      <c r="B6" s="18" t="s">
        <v>15</v>
      </c>
      <c r="C6" s="19"/>
      <c r="D6" s="19"/>
      <c r="E6" s="19"/>
      <c r="F6" s="20"/>
      <c r="G6" s="20"/>
      <c r="H6" s="20"/>
      <c r="I6" s="20"/>
      <c r="K6" s="21"/>
      <c r="L6" s="21"/>
      <c r="M6" s="21"/>
      <c r="N6" s="21"/>
    </row>
    <row r="7" spans="2:14" x14ac:dyDescent="0.2">
      <c r="B7" s="22" t="s">
        <v>16</v>
      </c>
      <c r="C7" s="19" t="s">
        <v>17</v>
      </c>
      <c r="D7" s="19" t="s">
        <v>18</v>
      </c>
      <c r="E7" s="23">
        <v>1776500</v>
      </c>
      <c r="F7" s="20">
        <v>24496.16</v>
      </c>
      <c r="G7" s="20">
        <v>8.68</v>
      </c>
      <c r="H7" s="20" t="s">
        <v>19</v>
      </c>
      <c r="I7" s="20"/>
      <c r="K7" s="21"/>
      <c r="L7" s="21"/>
      <c r="M7" s="21"/>
      <c r="N7" s="21"/>
    </row>
    <row r="8" spans="2:14" x14ac:dyDescent="0.2">
      <c r="B8" s="22" t="s">
        <v>20</v>
      </c>
      <c r="C8" s="19" t="s">
        <v>21</v>
      </c>
      <c r="D8" s="19" t="s">
        <v>18</v>
      </c>
      <c r="E8" s="23">
        <v>2255000</v>
      </c>
      <c r="F8" s="20">
        <v>20018.759999999998</v>
      </c>
      <c r="G8" s="20">
        <v>7.09</v>
      </c>
      <c r="H8" s="20" t="s">
        <v>19</v>
      </c>
      <c r="I8" s="20"/>
      <c r="K8" s="21"/>
      <c r="L8" s="21"/>
      <c r="M8" s="21"/>
      <c r="N8" s="21"/>
    </row>
    <row r="9" spans="2:14" x14ac:dyDescent="0.2">
      <c r="B9" s="22" t="s">
        <v>22</v>
      </c>
      <c r="C9" s="19" t="s">
        <v>23</v>
      </c>
      <c r="D9" s="19" t="s">
        <v>24</v>
      </c>
      <c r="E9" s="23">
        <v>969800</v>
      </c>
      <c r="F9" s="20">
        <v>13518.04</v>
      </c>
      <c r="G9" s="20">
        <v>4.79</v>
      </c>
      <c r="H9" s="20" t="s">
        <v>19</v>
      </c>
      <c r="I9" s="20"/>
      <c r="K9" s="21"/>
      <c r="L9" s="21"/>
      <c r="M9" s="21"/>
      <c r="N9" s="21"/>
    </row>
    <row r="10" spans="2:14" x14ac:dyDescent="0.2">
      <c r="B10" s="22" t="s">
        <v>25</v>
      </c>
      <c r="C10" s="19" t="s">
        <v>26</v>
      </c>
      <c r="D10" s="19" t="s">
        <v>27</v>
      </c>
      <c r="E10" s="23">
        <v>292261</v>
      </c>
      <c r="F10" s="20">
        <v>12503.8</v>
      </c>
      <c r="G10" s="20">
        <v>4.43</v>
      </c>
      <c r="H10" s="20" t="s">
        <v>19</v>
      </c>
      <c r="I10" s="20"/>
      <c r="K10" s="21"/>
      <c r="L10" s="21"/>
      <c r="M10" s="21"/>
      <c r="N10" s="21"/>
    </row>
    <row r="11" spans="2:14" x14ac:dyDescent="0.2">
      <c r="B11" s="22" t="s">
        <v>28</v>
      </c>
      <c r="C11" s="19" t="s">
        <v>29</v>
      </c>
      <c r="D11" s="19" t="s">
        <v>30</v>
      </c>
      <c r="E11" s="23">
        <v>310383</v>
      </c>
      <c r="F11" s="20">
        <v>12010.89</v>
      </c>
      <c r="G11" s="20">
        <v>4.25</v>
      </c>
      <c r="H11" s="20" t="s">
        <v>19</v>
      </c>
      <c r="I11" s="20"/>
      <c r="K11" s="21"/>
      <c r="L11" s="21"/>
      <c r="M11" s="21"/>
      <c r="N11" s="21"/>
    </row>
    <row r="12" spans="2:14" x14ac:dyDescent="0.2">
      <c r="B12" s="22" t="s">
        <v>31</v>
      </c>
      <c r="C12" s="19" t="s">
        <v>32</v>
      </c>
      <c r="D12" s="19" t="s">
        <v>33</v>
      </c>
      <c r="E12" s="23">
        <v>876940</v>
      </c>
      <c r="F12" s="20">
        <v>11401.1</v>
      </c>
      <c r="G12" s="20">
        <v>4.04</v>
      </c>
      <c r="H12" s="20" t="s">
        <v>19</v>
      </c>
      <c r="I12" s="20"/>
      <c r="K12" s="24"/>
      <c r="L12" s="24"/>
      <c r="M12" s="24"/>
      <c r="N12" s="24"/>
    </row>
    <row r="13" spans="2:14" x14ac:dyDescent="0.2">
      <c r="B13" s="22" t="s">
        <v>34</v>
      </c>
      <c r="C13" s="19" t="s">
        <v>35</v>
      </c>
      <c r="D13" s="19" t="s">
        <v>36</v>
      </c>
      <c r="E13" s="23">
        <v>1125000</v>
      </c>
      <c r="F13" s="20">
        <v>11203.88</v>
      </c>
      <c r="G13" s="20">
        <v>3.97</v>
      </c>
      <c r="H13" s="20" t="s">
        <v>19</v>
      </c>
      <c r="I13" s="20"/>
      <c r="L13" s="25" t="s">
        <v>37</v>
      </c>
    </row>
    <row r="14" spans="2:14" x14ac:dyDescent="0.2">
      <c r="B14" s="22" t="s">
        <v>38</v>
      </c>
      <c r="C14" s="19" t="s">
        <v>39</v>
      </c>
      <c r="D14" s="19" t="s">
        <v>40</v>
      </c>
      <c r="E14" s="23">
        <v>554800</v>
      </c>
      <c r="F14" s="20">
        <v>10426.36</v>
      </c>
      <c r="G14" s="20">
        <v>3.69</v>
      </c>
      <c r="H14" s="20" t="s">
        <v>19</v>
      </c>
      <c r="I14" s="20"/>
    </row>
    <row r="15" spans="2:14" x14ac:dyDescent="0.2">
      <c r="B15" s="22" t="s">
        <v>41</v>
      </c>
      <c r="C15" s="19" t="s">
        <v>42</v>
      </c>
      <c r="D15" s="19" t="s">
        <v>43</v>
      </c>
      <c r="E15" s="23">
        <v>162500</v>
      </c>
      <c r="F15" s="20">
        <v>10413.81</v>
      </c>
      <c r="G15" s="20">
        <v>3.69</v>
      </c>
      <c r="H15" s="20" t="s">
        <v>19</v>
      </c>
      <c r="I15" s="20"/>
    </row>
    <row r="16" spans="2:14" x14ac:dyDescent="0.2">
      <c r="B16" s="22" t="s">
        <v>44</v>
      </c>
      <c r="C16" s="19" t="s">
        <v>45</v>
      </c>
      <c r="D16" s="19" t="s">
        <v>18</v>
      </c>
      <c r="E16" s="23">
        <v>841500</v>
      </c>
      <c r="F16" s="20">
        <v>10112.31</v>
      </c>
      <c r="G16" s="20">
        <v>3.58</v>
      </c>
      <c r="H16" s="20" t="s">
        <v>19</v>
      </c>
      <c r="I16" s="20"/>
    </row>
    <row r="17" spans="2:9" x14ac:dyDescent="0.2">
      <c r="B17" s="22" t="s">
        <v>46</v>
      </c>
      <c r="C17" s="19" t="s">
        <v>47</v>
      </c>
      <c r="D17" s="19" t="s">
        <v>48</v>
      </c>
      <c r="E17" s="23">
        <v>847559</v>
      </c>
      <c r="F17" s="20">
        <v>9254.92</v>
      </c>
      <c r="G17" s="20">
        <v>3.28</v>
      </c>
      <c r="H17" s="20" t="s">
        <v>19</v>
      </c>
      <c r="I17" s="20"/>
    </row>
    <row r="18" spans="2:9" x14ac:dyDescent="0.2">
      <c r="B18" s="22" t="s">
        <v>49</v>
      </c>
      <c r="C18" s="19" t="s">
        <v>50</v>
      </c>
      <c r="D18" s="19" t="s">
        <v>51</v>
      </c>
      <c r="E18" s="23">
        <v>3625000</v>
      </c>
      <c r="F18" s="20">
        <v>8928.3799999999992</v>
      </c>
      <c r="G18" s="20">
        <v>3.16</v>
      </c>
      <c r="H18" s="20" t="s">
        <v>19</v>
      </c>
      <c r="I18" s="20"/>
    </row>
    <row r="19" spans="2:9" x14ac:dyDescent="0.2">
      <c r="B19" s="22" t="s">
        <v>52</v>
      </c>
      <c r="C19" s="19" t="s">
        <v>53</v>
      </c>
      <c r="D19" s="19" t="s">
        <v>54</v>
      </c>
      <c r="E19" s="23">
        <v>2005307</v>
      </c>
      <c r="F19" s="20">
        <v>8917.6</v>
      </c>
      <c r="G19" s="20">
        <v>3.16</v>
      </c>
      <c r="H19" s="20" t="s">
        <v>19</v>
      </c>
      <c r="I19" s="20"/>
    </row>
    <row r="20" spans="2:9" x14ac:dyDescent="0.2">
      <c r="B20" s="22" t="s">
        <v>55</v>
      </c>
      <c r="C20" s="19" t="s">
        <v>56</v>
      </c>
      <c r="D20" s="19" t="s">
        <v>18</v>
      </c>
      <c r="E20" s="23">
        <v>627000</v>
      </c>
      <c r="F20" s="20">
        <v>8677.0499999999993</v>
      </c>
      <c r="G20" s="20">
        <v>3.07</v>
      </c>
      <c r="H20" s="20" t="s">
        <v>19</v>
      </c>
      <c r="I20" s="20"/>
    </row>
    <row r="21" spans="2:9" x14ac:dyDescent="0.2">
      <c r="B21" s="22" t="s">
        <v>57</v>
      </c>
      <c r="C21" s="19" t="s">
        <v>58</v>
      </c>
      <c r="D21" s="19" t="s">
        <v>59</v>
      </c>
      <c r="E21" s="23">
        <v>411943</v>
      </c>
      <c r="F21" s="20">
        <v>8392.1</v>
      </c>
      <c r="G21" s="20">
        <v>2.97</v>
      </c>
      <c r="H21" s="20" t="s">
        <v>19</v>
      </c>
      <c r="I21" s="20"/>
    </row>
    <row r="22" spans="2:9" x14ac:dyDescent="0.2">
      <c r="B22" s="22" t="s">
        <v>60</v>
      </c>
      <c r="C22" s="19" t="s">
        <v>61</v>
      </c>
      <c r="D22" s="19" t="s">
        <v>43</v>
      </c>
      <c r="E22" s="23">
        <v>189569</v>
      </c>
      <c r="F22" s="20">
        <v>8214.59</v>
      </c>
      <c r="G22" s="20">
        <v>2.91</v>
      </c>
      <c r="H22" s="20" t="s">
        <v>19</v>
      </c>
      <c r="I22" s="20"/>
    </row>
    <row r="23" spans="2:9" x14ac:dyDescent="0.2">
      <c r="B23" s="22" t="s">
        <v>62</v>
      </c>
      <c r="C23" s="19" t="s">
        <v>63</v>
      </c>
      <c r="D23" s="19" t="s">
        <v>64</v>
      </c>
      <c r="E23" s="23">
        <v>63100</v>
      </c>
      <c r="F23" s="20">
        <v>7999.19</v>
      </c>
      <c r="G23" s="20">
        <v>2.83</v>
      </c>
      <c r="H23" s="20" t="s">
        <v>19</v>
      </c>
      <c r="I23" s="20"/>
    </row>
    <row r="24" spans="2:9" x14ac:dyDescent="0.2">
      <c r="B24" s="22" t="s">
        <v>65</v>
      </c>
      <c r="C24" s="19" t="s">
        <v>66</v>
      </c>
      <c r="D24" s="19" t="s">
        <v>30</v>
      </c>
      <c r="E24" s="23">
        <v>225500</v>
      </c>
      <c r="F24" s="20">
        <v>7661.14</v>
      </c>
      <c r="G24" s="20">
        <v>2.71</v>
      </c>
      <c r="H24" s="20" t="s">
        <v>19</v>
      </c>
      <c r="I24" s="20"/>
    </row>
    <row r="25" spans="2:9" x14ac:dyDescent="0.2">
      <c r="B25" s="22" t="s">
        <v>67</v>
      </c>
      <c r="C25" s="19" t="s">
        <v>68</v>
      </c>
      <c r="D25" s="19" t="s">
        <v>69</v>
      </c>
      <c r="E25" s="23">
        <v>1567542</v>
      </c>
      <c r="F25" s="20">
        <v>7075.88</v>
      </c>
      <c r="G25" s="20">
        <v>2.5099999999999998</v>
      </c>
      <c r="H25" s="20" t="s">
        <v>19</v>
      </c>
      <c r="I25" s="20"/>
    </row>
    <row r="26" spans="2:9" x14ac:dyDescent="0.2">
      <c r="B26" s="22" t="s">
        <v>70</v>
      </c>
      <c r="C26" s="19" t="s">
        <v>71</v>
      </c>
      <c r="D26" s="19" t="s">
        <v>72</v>
      </c>
      <c r="E26" s="23">
        <v>138760</v>
      </c>
      <c r="F26" s="20">
        <v>6698.22</v>
      </c>
      <c r="G26" s="20">
        <v>2.37</v>
      </c>
      <c r="H26" s="20" t="s">
        <v>19</v>
      </c>
      <c r="I26" s="20"/>
    </row>
    <row r="27" spans="2:9" x14ac:dyDescent="0.2">
      <c r="B27" s="22" t="s">
        <v>73</v>
      </c>
      <c r="C27" s="19" t="s">
        <v>74</v>
      </c>
      <c r="D27" s="19" t="s">
        <v>75</v>
      </c>
      <c r="E27" s="23">
        <v>972372</v>
      </c>
      <c r="F27" s="20">
        <v>6486.21</v>
      </c>
      <c r="G27" s="20">
        <v>2.2999999999999998</v>
      </c>
      <c r="H27" s="20" t="s">
        <v>19</v>
      </c>
      <c r="I27" s="20"/>
    </row>
    <row r="28" spans="2:9" x14ac:dyDescent="0.2">
      <c r="B28" s="22" t="s">
        <v>76</v>
      </c>
      <c r="C28" s="19" t="s">
        <v>77</v>
      </c>
      <c r="D28" s="19" t="s">
        <v>78</v>
      </c>
      <c r="E28" s="23">
        <v>535351</v>
      </c>
      <c r="F28" s="20">
        <v>6362.65</v>
      </c>
      <c r="G28" s="20">
        <v>2.25</v>
      </c>
      <c r="H28" s="20" t="s">
        <v>79</v>
      </c>
      <c r="I28" s="20"/>
    </row>
    <row r="29" spans="2:9" x14ac:dyDescent="0.2">
      <c r="B29" s="22" t="s">
        <v>80</v>
      </c>
      <c r="C29" s="19" t="s">
        <v>81</v>
      </c>
      <c r="D29" s="19" t="s">
        <v>51</v>
      </c>
      <c r="E29" s="23">
        <v>5398319</v>
      </c>
      <c r="F29" s="20">
        <v>6358.14</v>
      </c>
      <c r="G29" s="20">
        <v>2.25</v>
      </c>
      <c r="H29" s="20" t="s">
        <v>79</v>
      </c>
      <c r="I29" s="20"/>
    </row>
    <row r="30" spans="2:9" x14ac:dyDescent="0.2">
      <c r="B30" s="22" t="s">
        <v>82</v>
      </c>
      <c r="C30" s="19" t="s">
        <v>83</v>
      </c>
      <c r="D30" s="19" t="s">
        <v>51</v>
      </c>
      <c r="E30" s="23">
        <v>146298</v>
      </c>
      <c r="F30" s="20">
        <v>5704.89</v>
      </c>
      <c r="G30" s="20">
        <v>2.02</v>
      </c>
      <c r="H30" s="20" t="s">
        <v>19</v>
      </c>
      <c r="I30" s="20"/>
    </row>
    <row r="31" spans="2:9" x14ac:dyDescent="0.2">
      <c r="B31" s="22" t="s">
        <v>84</v>
      </c>
      <c r="C31" s="19" t="s">
        <v>85</v>
      </c>
      <c r="D31" s="19" t="s">
        <v>86</v>
      </c>
      <c r="E31" s="23">
        <v>139765</v>
      </c>
      <c r="F31" s="20">
        <v>5381.23</v>
      </c>
      <c r="G31" s="20">
        <v>1.91</v>
      </c>
      <c r="H31" s="20" t="s">
        <v>79</v>
      </c>
      <c r="I31" s="20"/>
    </row>
    <row r="32" spans="2:9" x14ac:dyDescent="0.2">
      <c r="B32" s="22" t="s">
        <v>87</v>
      </c>
      <c r="C32" s="19" t="s">
        <v>88</v>
      </c>
      <c r="D32" s="19" t="s">
        <v>89</v>
      </c>
      <c r="E32" s="23">
        <v>356500</v>
      </c>
      <c r="F32" s="20">
        <v>5281.9</v>
      </c>
      <c r="G32" s="20">
        <v>1.87</v>
      </c>
      <c r="H32" s="20" t="s">
        <v>79</v>
      </c>
      <c r="I32" s="20"/>
    </row>
    <row r="33" spans="2:10" x14ac:dyDescent="0.2">
      <c r="B33" s="22" t="s">
        <v>90</v>
      </c>
      <c r="C33" s="19" t="s">
        <v>91</v>
      </c>
      <c r="D33" s="19" t="s">
        <v>36</v>
      </c>
      <c r="E33" s="23">
        <v>113529</v>
      </c>
      <c r="F33" s="20">
        <v>4968.4799999999996</v>
      </c>
      <c r="G33" s="20">
        <v>1.76</v>
      </c>
      <c r="H33" s="20" t="s">
        <v>79</v>
      </c>
      <c r="I33" s="20"/>
    </row>
    <row r="34" spans="2:10" x14ac:dyDescent="0.2">
      <c r="B34" s="22" t="s">
        <v>92</v>
      </c>
      <c r="C34" s="19" t="s">
        <v>93</v>
      </c>
      <c r="D34" s="19" t="s">
        <v>51</v>
      </c>
      <c r="E34" s="23">
        <v>469824</v>
      </c>
      <c r="F34" s="20">
        <v>4837.3100000000004</v>
      </c>
      <c r="G34" s="20">
        <v>1.71</v>
      </c>
      <c r="H34" s="20" t="s">
        <v>79</v>
      </c>
      <c r="I34" s="20"/>
    </row>
    <row r="35" spans="2:10" x14ac:dyDescent="0.2">
      <c r="B35" s="22" t="s">
        <v>94</v>
      </c>
      <c r="C35" s="19" t="s">
        <v>95</v>
      </c>
      <c r="D35" s="19" t="s">
        <v>96</v>
      </c>
      <c r="E35" s="23">
        <v>311428</v>
      </c>
      <c r="F35" s="20">
        <v>4018.04</v>
      </c>
      <c r="G35" s="20">
        <v>1.42</v>
      </c>
      <c r="H35" s="20" t="s">
        <v>97</v>
      </c>
      <c r="I35" s="20"/>
    </row>
    <row r="36" spans="2:10" x14ac:dyDescent="0.2">
      <c r="B36" s="22" t="s">
        <v>98</v>
      </c>
      <c r="C36" s="19" t="s">
        <v>99</v>
      </c>
      <c r="D36" s="19" t="s">
        <v>48</v>
      </c>
      <c r="E36" s="23">
        <v>567651</v>
      </c>
      <c r="F36" s="20">
        <v>2564.08</v>
      </c>
      <c r="G36" s="20">
        <v>0.91</v>
      </c>
      <c r="H36" s="20" t="s">
        <v>97</v>
      </c>
      <c r="I36" s="20"/>
    </row>
    <row r="37" spans="2:10" x14ac:dyDescent="0.2">
      <c r="B37" s="26" t="s">
        <v>100</v>
      </c>
      <c r="C37" s="27"/>
      <c r="D37" s="27"/>
      <c r="E37" s="27"/>
      <c r="F37" s="28">
        <f>SUM(F7:F36)</f>
        <v>269887.1100000001</v>
      </c>
      <c r="G37" s="28">
        <f>SUM(G7:G36)</f>
        <v>95.579999999999984</v>
      </c>
      <c r="H37" s="28"/>
      <c r="I37" s="28"/>
      <c r="J37" s="29"/>
    </row>
    <row r="38" spans="2:10" x14ac:dyDescent="0.2">
      <c r="B38" s="30" t="s">
        <v>101</v>
      </c>
      <c r="C38" s="30"/>
      <c r="D38" s="30"/>
      <c r="E38" s="30"/>
      <c r="F38" s="31">
        <f>F37</f>
        <v>269887.1100000001</v>
      </c>
      <c r="G38" s="31">
        <f>G37</f>
        <v>95.579999999999984</v>
      </c>
      <c r="H38" s="31"/>
      <c r="I38" s="32"/>
      <c r="J38" s="29"/>
    </row>
    <row r="39" spans="2:10" x14ac:dyDescent="0.2">
      <c r="B39" s="33" t="s">
        <v>102</v>
      </c>
      <c r="C39" s="15"/>
      <c r="D39" s="15"/>
      <c r="E39" s="15"/>
      <c r="F39" s="16"/>
      <c r="G39" s="16"/>
      <c r="H39" s="16"/>
      <c r="I39" s="16"/>
      <c r="J39" s="29"/>
    </row>
    <row r="40" spans="2:10" x14ac:dyDescent="0.2">
      <c r="B40" s="34" t="s">
        <v>15</v>
      </c>
      <c r="C40" s="19"/>
      <c r="D40" s="19"/>
      <c r="E40" s="19"/>
      <c r="F40" s="20"/>
      <c r="G40" s="20"/>
      <c r="H40" s="20"/>
      <c r="I40" s="20"/>
      <c r="J40" s="29"/>
    </row>
    <row r="41" spans="2:10" x14ac:dyDescent="0.2">
      <c r="B41" s="19" t="s">
        <v>103</v>
      </c>
      <c r="C41" s="19" t="s">
        <v>104</v>
      </c>
      <c r="D41" s="19" t="s">
        <v>105</v>
      </c>
      <c r="E41" s="23">
        <v>1493532</v>
      </c>
      <c r="F41" s="20">
        <v>153.41999999999999</v>
      </c>
      <c r="G41" s="20">
        <v>0.05</v>
      </c>
      <c r="H41" s="20"/>
      <c r="I41" s="20">
        <v>6.33</v>
      </c>
      <c r="J41" s="29"/>
    </row>
    <row r="42" spans="2:10" x14ac:dyDescent="0.2">
      <c r="B42" s="27" t="s">
        <v>100</v>
      </c>
      <c r="C42" s="27"/>
      <c r="D42" s="27"/>
      <c r="E42" s="27"/>
      <c r="F42" s="28">
        <v>153.41999999999999</v>
      </c>
      <c r="G42" s="28">
        <v>0.05</v>
      </c>
      <c r="H42" s="28"/>
      <c r="I42" s="28"/>
      <c r="J42" s="29"/>
    </row>
    <row r="43" spans="2:10" x14ac:dyDescent="0.2">
      <c r="B43" s="35" t="s">
        <v>101</v>
      </c>
      <c r="C43" s="35"/>
      <c r="D43" s="35"/>
      <c r="E43" s="35"/>
      <c r="F43" s="31">
        <v>153.41999999999999</v>
      </c>
      <c r="G43" s="31">
        <v>0.05</v>
      </c>
      <c r="H43" s="31"/>
      <c r="I43" s="32"/>
      <c r="J43" s="29"/>
    </row>
    <row r="44" spans="2:10" x14ac:dyDescent="0.2">
      <c r="B44" s="36" t="s">
        <v>106</v>
      </c>
      <c r="C44" s="37"/>
      <c r="D44" s="37"/>
      <c r="E44" s="37"/>
      <c r="F44" s="38"/>
      <c r="G44" s="38"/>
      <c r="H44" s="38"/>
      <c r="I44" s="38"/>
    </row>
    <row r="45" spans="2:10" x14ac:dyDescent="0.2">
      <c r="B45" s="22" t="s">
        <v>106</v>
      </c>
      <c r="C45" s="19"/>
      <c r="D45" s="19"/>
      <c r="E45" s="19"/>
      <c r="F45" s="20">
        <v>12610.72</v>
      </c>
      <c r="G45" s="20">
        <v>4.47</v>
      </c>
      <c r="H45" s="20"/>
      <c r="I45" s="20"/>
    </row>
    <row r="46" spans="2:10" x14ac:dyDescent="0.2">
      <c r="B46" s="26" t="s">
        <v>100</v>
      </c>
      <c r="C46" s="27"/>
      <c r="D46" s="27"/>
      <c r="E46" s="27"/>
      <c r="F46" s="28">
        <f>SUM(F44:F45)</f>
        <v>12610.72</v>
      </c>
      <c r="G46" s="28">
        <f>SUM(G44:G45)</f>
        <v>4.47</v>
      </c>
      <c r="H46" s="28"/>
      <c r="I46" s="39"/>
      <c r="J46" s="29"/>
    </row>
    <row r="47" spans="2:10" x14ac:dyDescent="0.2">
      <c r="B47" s="40" t="s">
        <v>101</v>
      </c>
      <c r="C47" s="40"/>
      <c r="D47" s="40"/>
      <c r="E47" s="40"/>
      <c r="F47" s="41">
        <f>F46</f>
        <v>12610.72</v>
      </c>
      <c r="G47" s="41">
        <f>G46</f>
        <v>4.47</v>
      </c>
      <c r="H47" s="41"/>
      <c r="I47" s="41"/>
      <c r="J47" s="29"/>
    </row>
    <row r="48" spans="2:10" x14ac:dyDescent="0.2">
      <c r="B48" s="42" t="s">
        <v>107</v>
      </c>
      <c r="C48" s="42"/>
      <c r="D48" s="42"/>
      <c r="E48" s="42"/>
      <c r="F48" s="43">
        <f>F49-(+F38+F47+F43)</f>
        <v>-335.64000000007218</v>
      </c>
      <c r="G48" s="43">
        <f>G49-(+G38+G47+G43)</f>
        <v>-9.9999999999980105E-2</v>
      </c>
      <c r="H48" s="43"/>
      <c r="I48" s="43"/>
      <c r="J48" s="29"/>
    </row>
    <row r="49" spans="2:10" x14ac:dyDescent="0.2">
      <c r="B49" s="42" t="s">
        <v>108</v>
      </c>
      <c r="C49" s="42"/>
      <c r="D49" s="42"/>
      <c r="E49" s="42"/>
      <c r="F49" s="43">
        <v>282315.61</v>
      </c>
      <c r="G49" s="43">
        <v>100</v>
      </c>
      <c r="H49" s="43"/>
      <c r="I49" s="43"/>
      <c r="J49" s="29"/>
    </row>
    <row r="51" spans="2:10" ht="12.75" thickBot="1" x14ac:dyDescent="0.25">
      <c r="B51" s="29"/>
    </row>
    <row r="52" spans="2:10" ht="13.5" thickTop="1" thickBot="1" x14ac:dyDescent="0.25">
      <c r="B52" s="44" t="s">
        <v>109</v>
      </c>
      <c r="C52" s="45" t="s">
        <v>110</v>
      </c>
    </row>
    <row r="53" spans="2:10" ht="12.75" thickTop="1" x14ac:dyDescent="0.2"/>
    <row r="54" spans="2:10" x14ac:dyDescent="0.2">
      <c r="B54" s="29" t="s">
        <v>111</v>
      </c>
    </row>
    <row r="56" spans="2:10" x14ac:dyDescent="0.2">
      <c r="B56" s="29" t="s">
        <v>112</v>
      </c>
    </row>
    <row r="58" spans="2:10" ht="15" x14ac:dyDescent="0.2">
      <c r="B58" s="46" t="s">
        <v>113</v>
      </c>
    </row>
  </sheetData>
  <mergeCells count="5">
    <mergeCell ref="B1:I1"/>
    <mergeCell ref="K5:K12"/>
    <mergeCell ref="L5:L12"/>
    <mergeCell ref="M5:M12"/>
    <mergeCell ref="N5:N12"/>
  </mergeCells>
  <hyperlinks>
    <hyperlink ref="B58" r:id="rId1" xr:uid="{598C5A02-3736-477E-B684-49D2A096511B}"/>
  </hyperlinks>
  <pageMargins left="0.7" right="0.7" top="0.75" bottom="0.75" header="0.3" footer="0.3"/>
  <pageSetup paperSize="9" orientation="portrait" r:id="rId2"/>
  <headerFooter>
    <oddHeader>&amp;L&amp;"Calibri"&amp;11&amp;KAA3399 Public</oddHeader>
    <oddFooter>&amp;L&amp;"Calibri"&amp;11&amp;KAA3399 Public</oddFooter>
    <evenFooter>&amp;LPUBLIC</evenFooter>
    <firstFooter>&amp;LPUBLIC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2026-03-09 11:35:04</KDate>
  <Classification>MIS INTERNAL</Classification>
  <Subclassification/>
  <HostName>MUMCMP01323</HostName>
  <Domain_User>CANARAROBECOMF/628</Domain_User>
  <IPAdd>10.212.134.107</IPAdd>
  <FilePath>Book8</FilePath>
  <KID>00090FAA0001639086529043360227</KID>
  <UniqueName/>
  <Suggested/>
  <Justification/>
  <KlassifyGUID/>
</Klassify>
</file>

<file path=customXml/itemProps1.xml><?xml version="1.0" encoding="utf-8"?>
<ds:datastoreItem xmlns:ds="http://schemas.openxmlformats.org/officeDocument/2006/customXml" ds:itemID="{9B4A961E-E127-485E-8EF3-10AB7983537C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keywords>MIS Internal</cp:keywords>
  <cp:lastModifiedBy>Ruchi Kanabar</cp:lastModifiedBy>
  <dcterms:created xsi:type="dcterms:W3CDTF">2026-03-09T06:05:03Z</dcterms:created>
  <dcterms:modified xsi:type="dcterms:W3CDTF">2026-03-09T06:05:04Z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MIS Internal</vt:lpwstr>
  </property>
  <property fmtid="{D5CDD505-2E9C-101B-9397-08002B2CF9AE}" pid="3" name="KID">
    <vt:lpwstr>00090FAA0001639086529043360227</vt:lpwstr>
  </property>
</Properties>
</file>