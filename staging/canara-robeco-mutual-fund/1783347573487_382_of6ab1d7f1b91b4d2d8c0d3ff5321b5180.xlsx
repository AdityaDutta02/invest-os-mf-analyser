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O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 s="1"/>
  <c r="G9" i="1" s="1"/>
  <c r="F7" i="1"/>
  <c r="F8" i="1" s="1"/>
  <c r="F9" i="1" s="1"/>
</calcChain>
</file>

<file path=xl/sharedStrings.xml><?xml version="1.0" encoding="utf-8"?>
<sst xmlns="http://schemas.openxmlformats.org/spreadsheetml/2006/main" count="29" uniqueCount="28">
  <si>
    <t>CANARA ROBECO OVERNIGHT FUND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</si>
  <si>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</si>
  <si>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</si>
  <si>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</si>
  <si>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</si>
  <si>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</si>
  <si>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</si>
  <si>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</si>
  <si>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</si>
  <si>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Nov'22</t>
  </si>
  <si>
    <t>Benchmark Risk-o-meter Level- Nov'22</t>
  </si>
  <si>
    <t>Previous Scheme Risk-o-meter Level- Oct'22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</si>
  <si>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</si>
  <si>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</si>
  <si>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</si>
  <si>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</si>
  <si>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</si>
  <si>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</si>
  <si>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</si>
  <si>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</si>
  <si>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</si>
  <si>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</si>
  <si>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</si>
  <si>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</si>
  <si>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</si>
  <si>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</si>
  <si>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</si>
  <si>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Benchmark: CRISIL Overnight Fund A-I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</si>
</sst>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top" wrapText="1"/>
    </xf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3" xfId="0" applyNumberFormat="1" applyFont="1" applyFill="1" applyBorder="1"/>
    <xf numFmtId="4" fontId="3" fillId="3" borderId="13" xfId="0" applyNumberFormat="1" applyFont="1" applyFill="1" applyBorder="1"/>
    <xf numFmtId="4" fontId="3" fillId="3" borderId="14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0" xfId="0" applyFont="1" applyFill="1"/>
    <xf numFmtId="0" fontId="9" fillId="0" borderId="5" xfId="0" applyFont="1" applyBorder="1" applyAlignment="1">
      <alignment horizontal="left" wrapText="1"/>
    </xf>
    <xf numFmtId="0" fontId="9" fillId="4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4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43" fontId="3" fillId="3" borderId="0" xfId="1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292715</xdr:colOff>
      <xdr:row>4</xdr:row>
      <xdr:rowOff>9526</xdr:rowOff>
    </xdr:from>
    <xdr:ext cx="1812310" cy="1457324"/>
    <xdr:pic>
      <xdr:nvPicPr>
        <xdr:cNvPr id="2" name="Picture 1">
          <a:extLst>
            <a:ext uri="{FF2B5EF4-FFF2-40B4-BE49-F238E27FC236}">
              <a16:creationId xmlns:a16="http://schemas.microsoft.com/office/drawing/2014/main" id="{B6681076-442D-4903-BE22-3E3746EC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7240" y="1019176"/>
          <a:ext cx="1812310" cy="1457324"/>
        </a:xfrm>
        <a:prstGeom prst="rect">
          <a:avLst/>
        </a:prstGeom>
      </xdr:spPr>
    </xdr:pic>
    <xdr:clientData/>
  </xdr:oneCellAnchor>
  <xdr:twoCellAnchor editAs="oneCell">
    <xdr:from>
      <xdr:col>9</xdr:col>
      <xdr:colOff>190500</xdr:colOff>
      <xdr:row>4</xdr:row>
      <xdr:rowOff>58976</xdr:rowOff>
    </xdr:from>
    <xdr:to>
      <xdr:col>9</xdr:col>
      <xdr:colOff>1847850</xdr:colOff>
      <xdr:row>11</xdr:row>
      <xdr:rowOff>125171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77F756-A06F-4B38-BDEB-9AD8D85F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1068626"/>
          <a:ext cx="1657350" cy="1590195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4</xdr:row>
      <xdr:rowOff>99333</xdr:rowOff>
    </xdr:from>
    <xdr:to>
      <xdr:col>10</xdr:col>
      <xdr:colOff>1966232</xdr:colOff>
      <xdr:row>11</xdr:row>
      <xdr:rowOff>68037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E74254-96D3-487B-9D92-9344FD16D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06175" y="1108983"/>
          <a:ext cx="1680482" cy="1492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"/>
  <sheetViews>
    <sheetView tabSelected="1" zoomScaleNormal="100" workbookViewId="0">
      <selection activeCell="A18" sqref="A18"/>
    </sheetView>
  </sheetViews>
  <sheetFormatPr defaultRowHeight="12"/>
  <cols>
    <col min="1" max="1" width="9.140625" style="3"/>
    <col min="2" max="2" width="61" style="3" bestFit="1" customWidth="1"/>
    <col min="3" max="3" width="4.140625" style="3" bestFit="1" customWidth="1"/>
    <col min="4" max="4" width="14.140625" style="3" bestFit="1" customWidth="1"/>
    <col min="5" max="5" width="7.7109375" style="51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0.7109375" style="4" customWidth="1"/>
    <col min="11" max="11" width="34.85546875" style="4" customWidth="1"/>
    <col min="12" max="12" width="33.85546875" style="4" customWidth="1"/>
    <col min="13" max="13" width="5.570312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4"/>
      <c r="J5" s="25"/>
      <c r="K5" s="25"/>
      <c r="L5" s="25"/>
      <c r="N5" s="26" t="s">
        <v>14</v>
      </c>
      <c r="O5" s="27" t="s">
        <v>15</v>
      </c>
      <c r="P5" s="27" t="s">
        <v>16</v>
      </c>
      <c r="Q5" s="27" t="s">
        <v>17</v>
      </c>
    </row>
    <row r="6" spans="2:17" ht="36">
      <c r="B6" s="28" t="s">
        <v>13</v>
      </c>
      <c r="C6" s="28"/>
      <c r="D6" s="29"/>
      <c r="E6" s="30"/>
      <c r="F6" s="31">
        <v>17024.95</v>
      </c>
      <c r="G6" s="31">
        <v>99.27</v>
      </c>
      <c r="H6" s="32"/>
      <c r="J6" s="25"/>
      <c r="K6" s="25"/>
      <c r="L6" s="25"/>
      <c r="N6" s="33" t="s">
        <v>18</v>
      </c>
      <c r="O6" s="27"/>
      <c r="P6" s="27"/>
      <c r="Q6" s="27"/>
    </row>
    <row r="7" spans="2:17">
      <c r="B7" s="34" t="s">
        <v>19</v>
      </c>
      <c r="C7" s="35"/>
      <c r="D7" s="35"/>
      <c r="E7" s="36"/>
      <c r="F7" s="37">
        <f>SUM(F5:F6)</f>
        <v>17024.95</v>
      </c>
      <c r="G7" s="37">
        <f>SUM(G5:G6)</f>
        <v>99.27</v>
      </c>
      <c r="H7" s="38"/>
      <c r="I7" s="39"/>
      <c r="J7" s="25"/>
      <c r="K7" s="25"/>
      <c r="L7" s="25"/>
      <c r="N7" s="40" t="s">
        <v>20</v>
      </c>
      <c r="O7" s="41" t="s">
        <v>21</v>
      </c>
      <c r="P7" s="42"/>
      <c r="Q7" s="42"/>
    </row>
    <row r="8" spans="2:17">
      <c r="B8" s="43" t="s">
        <v>22</v>
      </c>
      <c r="C8" s="43"/>
      <c r="D8" s="43"/>
      <c r="E8" s="44"/>
      <c r="F8" s="45">
        <f>F7</f>
        <v>17024.95</v>
      </c>
      <c r="G8" s="45">
        <f>G7</f>
        <v>99.27</v>
      </c>
      <c r="H8" s="45"/>
      <c r="I8" s="39"/>
      <c r="J8" s="25"/>
      <c r="K8" s="25"/>
      <c r="L8" s="25"/>
      <c r="N8" s="40"/>
      <c r="O8" s="46"/>
      <c r="P8" s="47"/>
      <c r="Q8" s="47"/>
    </row>
    <row r="9" spans="2:17">
      <c r="B9" s="48" t="s">
        <v>23</v>
      </c>
      <c r="C9" s="48"/>
      <c r="D9" s="48"/>
      <c r="E9" s="49"/>
      <c r="F9" s="50">
        <f>F10-(+F8)</f>
        <v>125.89999999999782</v>
      </c>
      <c r="G9" s="50">
        <f>G10-(+G8)</f>
        <v>0.73000000000000398</v>
      </c>
      <c r="H9" s="50"/>
      <c r="I9" s="39"/>
      <c r="J9" s="25"/>
      <c r="K9" s="25"/>
      <c r="L9" s="25"/>
      <c r="N9" s="40" t="s">
        <v>24</v>
      </c>
      <c r="O9" s="42"/>
      <c r="P9" s="42"/>
      <c r="Q9" s="42"/>
    </row>
    <row r="10" spans="2:17">
      <c r="B10" s="48" t="s">
        <v>25</v>
      </c>
      <c r="C10" s="48"/>
      <c r="D10" s="48"/>
      <c r="E10" s="49"/>
      <c r="F10" s="50">
        <v>17150.849999999999</v>
      </c>
      <c r="G10" s="50">
        <v>100</v>
      </c>
      <c r="H10" s="50"/>
      <c r="I10" s="39"/>
      <c r="J10" s="25"/>
      <c r="K10" s="25"/>
      <c r="L10" s="25"/>
      <c r="N10" s="40"/>
      <c r="O10" s="47"/>
      <c r="P10" s="47"/>
      <c r="Q10" s="47"/>
    </row>
    <row r="11" spans="2:17">
      <c r="J11" s="25"/>
      <c r="K11" s="25"/>
      <c r="L11" s="25"/>
      <c r="N11" s="40" t="s">
        <v>26</v>
      </c>
      <c r="O11" s="42"/>
      <c r="P11" s="42"/>
      <c r="Q11" s="42"/>
    </row>
    <row r="12" spans="2:17">
      <c r="B12" s="39"/>
      <c r="J12" s="25"/>
      <c r="K12" s="25"/>
      <c r="L12" s="25"/>
      <c r="N12" s="40"/>
      <c r="O12" s="47"/>
      <c r="P12" s="47"/>
      <c r="Q12" s="47"/>
    </row>
    <row r="13" spans="2:17">
      <c r="J13" s="52"/>
      <c r="K13" s="52" t="s">
        <v>27</v>
      </c>
      <c r="L13" s="3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13:35:37</KDate>
  <Classification>Public</Classification>
  <Subclassification/>
  <HostName>MUMCMP00935</HostName>
  <Domain_User>CANARAROBECOMF/628</Domain_User>
  <IPAdd>192.9.198.194</IPAdd>
  <FilePath>Book19</FilePath>
  <KID>C025A5607E97638059305379357463</KID>
  <UniqueName/>
  <Suggested/>
  <Justification/>
</Klassify>
</file>

<file path=customXml/itemProps1.xml><?xml version="1.0" encoding="utf-8"?>
<ds:datastoreItem xmlns:ds="http://schemas.openxmlformats.org/officeDocument/2006/customXml" ds:itemID="{50A3F5C9-7252-440F-A175-2A9DC918EA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2022-12-06T08:05:33Z</dcterms:created>
  <dcterms:modified xsi:type="dcterms:W3CDTF">2022-12-06T08:05:38Z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C025A5607E97638059305379357463</vt:lpwstr>
  </property>
</Properties>
</file>