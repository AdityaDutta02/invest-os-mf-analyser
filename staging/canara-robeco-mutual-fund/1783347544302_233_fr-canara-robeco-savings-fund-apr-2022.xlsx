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April 2022\"/>
    </mc:Choice>
  </mc:AlternateContent>
  <xr:revisionPtr revIDLastSave="0" documentId="8_{67C0ED3E-24BC-4D75-B236-13717BAD72B7}" xr6:coauthVersionLast="47" xr6:coauthVersionMax="47" xr10:uidLastSave="{00000000-0000-0000-0000-000000000000}"/>
  <bookViews>
    <workbookView xWindow="-120" yWindow="-120" windowWidth="20730" windowHeight="11160" xr2:uid="{D99A9340-4FC4-4E39-A216-7586E044E5DD}"/>
  </bookViews>
  <sheets>
    <sheet name="F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9" i="1" l="1"/>
  <c r="G60" i="1" s="1"/>
  <c r="F59" i="1"/>
  <c r="F60" i="1" s="1"/>
  <c r="G56" i="1"/>
  <c r="F56" i="1"/>
  <c r="G50" i="1"/>
  <c r="F50" i="1"/>
  <c r="G46" i="1"/>
  <c r="G51" i="1" s="1"/>
  <c r="F46" i="1"/>
  <c r="F51" i="1" s="1"/>
  <c r="G43" i="1"/>
  <c r="F43" i="1"/>
  <c r="G36" i="1"/>
  <c r="F36" i="1"/>
  <c r="G35" i="1"/>
  <c r="F35" i="1"/>
  <c r="F61" i="1" l="1"/>
  <c r="G61" i="1"/>
</calcChain>
</file>

<file path=xl/sharedStrings.xml><?xml version="1.0" encoding="utf-8"?>
<sst xmlns="http://schemas.openxmlformats.org/spreadsheetml/2006/main" count="159" uniqueCount="120">
  <si>
    <t>CANARA ROBECO SAVINGS FUND</t>
  </si>
  <si>
    <t>Monthly Portfolio Statement as on April 30,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</si>
  <si>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</si>
  <si>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</si>
  <si>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</si>
  <si>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</si>
  <si>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</si>
  <si>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</si>
  <si>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</si>
  <si>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Apr'22</t>
  </si>
  <si>
    <t>Benchmark Risk-o-meter Level- Apr'22</t>
  </si>
  <si>
    <t>Previous Scheme Risk-o-meter Level- Mar'22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</si>
  <si>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</si>
  <si>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</si>
  <si>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</si>
  <si>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</si>
  <si>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</si>
  <si>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</si>
  <si>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</si>
  <si>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</si>
  <si>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8.0818% KOTAK MAHINDRA PRIME LTD 28-DEC-22 **</t>
  </si>
  <si>
    <t>INE916DA7QF9</t>
  </si>
  <si>
    <t>CRISIL AAA</t>
  </si>
  <si>
    <t>Relatively Low (Class I)</t>
  </si>
  <si>
    <t>B-I</t>
  </si>
  <si>
    <t>8.50% National Bank For Agriculture &amp; Rural Development (31/01/2023)</t>
  </si>
  <si>
    <t>INE261F08AT4</t>
  </si>
  <si>
    <t>7.00% Reliance Industries Ltd (31/08/2022) **</t>
  </si>
  <si>
    <t>INE002A08476</t>
  </si>
  <si>
    <t>Moderate 
(Class II)</t>
  </si>
  <si>
    <t>4.66% Bajaj Finance Ltd (02/12/2022) **</t>
  </si>
  <si>
    <t>INE296A07RM2</t>
  </si>
  <si>
    <t>7.57% HDB Financial Services Ltd (16/02/2023) **</t>
  </si>
  <si>
    <t>INE756I07CY5</t>
  </si>
  <si>
    <t>Relatively High (Class III)</t>
  </si>
  <si>
    <t>7.45% REC Ltd (30/11/2022) **</t>
  </si>
  <si>
    <t>INE020B08AP1</t>
  </si>
  <si>
    <t>7.35% Power Finance Corporation Ltd (15/10/2022) **</t>
  </si>
  <si>
    <t>INE134E08KG2</t>
  </si>
  <si>
    <t>Benchmark: CRISIL Low Duration Fund B-I Index</t>
  </si>
  <si>
    <t>7.10% Bajaj Finance Ltd (10/02/2023) **</t>
  </si>
  <si>
    <t>INE296A07RB5</t>
  </si>
  <si>
    <t>7.85% LIC Housing Finance Ltd (23/09/2022) **</t>
  </si>
  <si>
    <t>INE115A07OG3</t>
  </si>
  <si>
    <t>6.19% Indian Railway Finance Corporation Ltd (28/04/2023) **</t>
  </si>
  <si>
    <t>INE053F07CC9</t>
  </si>
  <si>
    <t>7.18% National Bank For Agriculture &amp; Rural Development (08/08/2022)</t>
  </si>
  <si>
    <t>INE261F08BN5</t>
  </si>
  <si>
    <t>7.10% Power Finance Corporation Ltd (08/08/2022) **</t>
  </si>
  <si>
    <t>INE134E08JD1</t>
  </si>
  <si>
    <t>5.05% Indian Oil Corporation Ltd (25/11/2022)</t>
  </si>
  <si>
    <t>INE242A08460</t>
  </si>
  <si>
    <t>4.95% Housing Development Finance Corporation Ltd (09/09/2022) **</t>
  </si>
  <si>
    <t>INE001A07SQ5</t>
  </si>
  <si>
    <t>5.40% Housing Development Finance Corporation Ltd (11/08/2023) **</t>
  </si>
  <si>
    <t>INE001A07SP7</t>
  </si>
  <si>
    <t>7.17% Reliance Industries Ltd (08/11/2022) **</t>
  </si>
  <si>
    <t>INE002A08500</t>
  </si>
  <si>
    <t>7.87% Housing Development Finance Corporation Ltd (18/07/2022)</t>
  </si>
  <si>
    <t>INE001A07RW5</t>
  </si>
  <si>
    <t>4.58% Small Industries Development Bank Of India (18/12/2023) **</t>
  </si>
  <si>
    <t>INE556F08JR2</t>
  </si>
  <si>
    <t>ICRA AAA</t>
  </si>
  <si>
    <t>7.49% Power Grid Corporation of India Ltd (25/10/2024) **</t>
  </si>
  <si>
    <t>INE752E08593</t>
  </si>
  <si>
    <t>9.02% REC Ltd (19/11/2022) **</t>
  </si>
  <si>
    <t>INE020B08807</t>
  </si>
  <si>
    <t>7.85% LIC Housing Finance Ltd (16/12/2022) **</t>
  </si>
  <si>
    <t>INE115A07MS2</t>
  </si>
  <si>
    <t>6.75% Power Finance Corporation Ltd (22/05/2023) **</t>
  </si>
  <si>
    <t>INE134E08KS7</t>
  </si>
  <si>
    <t>7.45% LIC Housing Finance Ltd (17/10/2022) **</t>
  </si>
  <si>
    <t>INE115A07MO1</t>
  </si>
  <si>
    <t>8.5383% BAJAJ FINANCE LTD 07-JUN-22 **</t>
  </si>
  <si>
    <t>INE296A07QU7</t>
  </si>
  <si>
    <t>8.02% Larsen &amp; Toubro Ltd (22/05/2022) **</t>
  </si>
  <si>
    <t>INE018A08AS1</t>
  </si>
  <si>
    <t>7.24% REC Ltd (31/12/2022) **</t>
  </si>
  <si>
    <t>INE020B08CG6</t>
  </si>
  <si>
    <t>6.98% National Bank For Agriculture &amp; Rural Development (19/09/2022) **</t>
  </si>
  <si>
    <t>INE261F08BO3</t>
  </si>
  <si>
    <t>6.99% Small Industries Development Bank Of India (08/08/2022) **</t>
  </si>
  <si>
    <t>INE556F08JN1</t>
  </si>
  <si>
    <t>CARE AAA</t>
  </si>
  <si>
    <t>Sub Total</t>
  </si>
  <si>
    <t>Total</t>
  </si>
  <si>
    <t>Money Market Instruments</t>
  </si>
  <si>
    <t>Certificate of Deposit</t>
  </si>
  <si>
    <t>Indian Bank (29/06/2022) #</t>
  </si>
  <si>
    <t>INE562A16KH3</t>
  </si>
  <si>
    <t>CRISIL A1+</t>
  </si>
  <si>
    <t>Axis Bank Ltd (19/09/2022) ** #</t>
  </si>
  <si>
    <t>INE238A160X0</t>
  </si>
  <si>
    <t>Axis Bank Ltd (16/11/2022) ** #</t>
  </si>
  <si>
    <t>INE238A169W3</t>
  </si>
  <si>
    <t>HDFC Bank Ltd (06/03/2023) ** #</t>
  </si>
  <si>
    <t>INE040A16CX4</t>
  </si>
  <si>
    <t>CARE A1+</t>
  </si>
  <si>
    <t>Commercial Paper</t>
  </si>
  <si>
    <t>LIC Housing Finance Ltd (07/07/2022) **</t>
  </si>
  <si>
    <t>INE115A14DE7</t>
  </si>
  <si>
    <t>Treasury Bill</t>
  </si>
  <si>
    <t>182 DAYS TREASURY BILLS 11-AUG-22</t>
  </si>
  <si>
    <t>IN002021Y486</t>
  </si>
  <si>
    <t xml:space="preserve"> Sovereign</t>
  </si>
  <si>
    <t>364 DAYS TREASURY BILLS 22-DEC-22</t>
  </si>
  <si>
    <t>IN002021Z392</t>
  </si>
  <si>
    <t>Government Bonds</t>
  </si>
  <si>
    <t>6.84% GOI (19/12/2022)</t>
  </si>
  <si>
    <t>IN0020160050</t>
  </si>
  <si>
    <t>Sovereign</t>
  </si>
  <si>
    <t>6.30% INDIA GOVERNMENT 09-APR-23</t>
  </si>
  <si>
    <t>IN0020030014</t>
  </si>
  <si>
    <t>7.32% GOI (28/01/2024)</t>
  </si>
  <si>
    <t>IN0020180488</t>
  </si>
  <si>
    <t>TREPS</t>
  </si>
  <si>
    <t>Net Receivables / (Payables)</t>
  </si>
  <si>
    <t>Grand Total</t>
  </si>
  <si>
    <t>**  Non Traded Security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</si>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</sst>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0" xfId="0" applyFont="1" applyFill="1" applyBorder="1"/>
    <xf numFmtId="0" fontId="3" fillId="3" borderId="10" xfId="0" applyFont="1" applyFill="1" applyBorder="1"/>
    <xf numFmtId="4" fontId="3" fillId="3" borderId="10" xfId="0" applyNumberFormat="1" applyFont="1" applyFill="1" applyBorder="1"/>
    <xf numFmtId="0" fontId="9" fillId="0" borderId="5" xfId="0" applyFont="1" applyBorder="1" applyAlignment="1">
      <alignment horizontal="left" vertical="top" wrapText="1"/>
    </xf>
    <xf numFmtId="3" fontId="3" fillId="3" borderId="10" xfId="0" applyNumberFormat="1" applyFont="1" applyFill="1" applyBorder="1"/>
    <xf numFmtId="43" fontId="3" fillId="3" borderId="0" xfId="1" applyFont="1" applyFill="1"/>
    <xf numFmtId="0" fontId="9" fillId="0" borderId="5" xfId="0" applyFont="1" applyBorder="1" applyAlignment="1">
      <alignment horizontal="left" wrapText="1"/>
    </xf>
    <xf numFmtId="0" fontId="3" fillId="0" borderId="11" xfId="0" applyFont="1" applyBorder="1" applyAlignment="1">
      <alignment horizontal="center"/>
    </xf>
    <xf numFmtId="0" fontId="9" fillId="4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0" fontId="9" fillId="3" borderId="13" xfId="0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4" fontId="9" fillId="3" borderId="16" xfId="0" applyNumberFormat="1" applyFont="1" applyFill="1" applyBorder="1"/>
    <xf numFmtId="4" fontId="9" fillId="3" borderId="10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5" xfId="0" applyFont="1" applyFill="1" applyBorder="1"/>
    <xf numFmtId="4" fontId="9" fillId="3" borderId="5" xfId="0" applyNumberFormat="1" applyFont="1" applyFill="1" applyBorder="1"/>
    <xf numFmtId="0" fontId="9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47187</xdr:colOff>
      <xdr:row>4</xdr:row>
      <xdr:rowOff>57151</xdr:rowOff>
    </xdr:from>
    <xdr:ext cx="1638738" cy="1285874"/>
    <xdr:pic>
      <xdr:nvPicPr>
        <xdr:cNvPr id="2" name="Picture 1">
          <a:extLst>
            <a:ext uri="{FF2B5EF4-FFF2-40B4-BE49-F238E27FC236}">
              <a16:creationId xmlns:a16="http://schemas.microsoft.com/office/drawing/2014/main" id="{2F933230-6203-4C5C-A5B2-36955FDF3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362" y="1066801"/>
          <a:ext cx="1638738" cy="1285874"/>
        </a:xfrm>
        <a:prstGeom prst="rect">
          <a:avLst/>
        </a:prstGeom>
      </xdr:spPr>
    </xdr:pic>
    <xdr:clientData/>
  </xdr:oneCellAnchor>
  <xdr:twoCellAnchor editAs="oneCell">
    <xdr:from>
      <xdr:col>9</xdr:col>
      <xdr:colOff>66676</xdr:colOff>
      <xdr:row>4</xdr:row>
      <xdr:rowOff>38101</xdr:rowOff>
    </xdr:from>
    <xdr:to>
      <xdr:col>9</xdr:col>
      <xdr:colOff>1685926</xdr:colOff>
      <xdr:row>11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163B5E-B6EF-4F79-8A1C-0A5C52A8F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72651" y="1047751"/>
          <a:ext cx="1619250" cy="1266824"/>
        </a:xfrm>
        <a:prstGeom prst="rect">
          <a:avLst/>
        </a:prstGeom>
      </xdr:spPr>
    </xdr:pic>
    <xdr:clientData/>
  </xdr:twoCellAnchor>
  <xdr:twoCellAnchor editAs="oneCell">
    <xdr:from>
      <xdr:col>10</xdr:col>
      <xdr:colOff>92052</xdr:colOff>
      <xdr:row>4</xdr:row>
      <xdr:rowOff>54017</xdr:rowOff>
    </xdr:from>
    <xdr:to>
      <xdr:col>10</xdr:col>
      <xdr:colOff>1685925</xdr:colOff>
      <xdr:row>11</xdr:row>
      <xdr:rowOff>133351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31D5614-E24C-41D7-9E7E-241AC9E60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50627" y="1063667"/>
          <a:ext cx="1593873" cy="12985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B3A99-7CFF-4065-AE3B-A4DCBA2F6EC6}">
  <dimension ref="B1:Q65"/>
  <sheetViews>
    <sheetView tabSelected="1" topLeftCell="D1" workbookViewId="0">
      <selection activeCell="N13" sqref="N13"/>
    </sheetView>
  </sheetViews>
  <sheetFormatPr defaultRowHeight="12"/>
  <cols>
    <col min="1" max="1" width="9.140625" style="3"/>
    <col min="2" max="2" width="60.28515625" style="3" bestFit="1" customWidth="1"/>
    <col min="3" max="3" width="13.85546875" style="3" bestFit="1" customWidth="1"/>
    <col min="4" max="4" width="14.140625" style="3" bestFit="1" customWidth="1"/>
    <col min="5" max="5" width="9.855468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9" width="9" style="3" bestFit="1" customWidth="1"/>
    <col min="10" max="11" width="26.28515625" style="3" customWidth="1"/>
    <col min="12" max="12" width="25.85546875" style="3" customWidth="1"/>
    <col min="13" max="13" width="9.140625" style="3"/>
    <col min="14" max="14" width="13" style="3" customWidth="1"/>
    <col min="15" max="15" width="12.28515625" style="3" customWidth="1"/>
    <col min="16" max="16" width="12" style="3" customWidth="1"/>
    <col min="17" max="17" width="12.5703125" style="3" customWidth="1"/>
    <col min="18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4" t="s">
        <v>1</v>
      </c>
      <c r="C3" s="5"/>
      <c r="D3" s="6"/>
      <c r="E3" s="6"/>
      <c r="F3" s="7"/>
      <c r="G3" s="7"/>
    </row>
    <row r="4" spans="2:17" ht="30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N4" s="14" t="s">
        <v>12</v>
      </c>
      <c r="O4" s="15"/>
      <c r="P4" s="15"/>
      <c r="Q4" s="16"/>
    </row>
    <row r="5" spans="2:17">
      <c r="B5" s="17" t="s">
        <v>13</v>
      </c>
      <c r="C5" s="18"/>
      <c r="D5" s="18"/>
      <c r="E5" s="18"/>
      <c r="F5" s="19"/>
      <c r="G5" s="19"/>
      <c r="H5" s="19"/>
      <c r="J5" s="20"/>
      <c r="K5" s="20"/>
      <c r="L5" s="20"/>
      <c r="N5" s="21" t="s">
        <v>14</v>
      </c>
      <c r="O5" s="22" t="s">
        <v>15</v>
      </c>
      <c r="P5" s="22" t="s">
        <v>16</v>
      </c>
      <c r="Q5" s="22" t="s">
        <v>17</v>
      </c>
    </row>
    <row r="6" spans="2:17" ht="24">
      <c r="B6" s="23" t="s">
        <v>18</v>
      </c>
      <c r="C6" s="24"/>
      <c r="D6" s="24"/>
      <c r="E6" s="24"/>
      <c r="F6" s="25"/>
      <c r="G6" s="25"/>
      <c r="H6" s="25"/>
      <c r="J6" s="20"/>
      <c r="K6" s="20"/>
      <c r="L6" s="20"/>
      <c r="N6" s="26" t="s">
        <v>19</v>
      </c>
      <c r="O6" s="22"/>
      <c r="P6" s="22"/>
      <c r="Q6" s="22"/>
    </row>
    <row r="7" spans="2:17">
      <c r="B7" s="24" t="s">
        <v>20</v>
      </c>
      <c r="C7" s="24" t="s">
        <v>21</v>
      </c>
      <c r="D7" s="24" t="s">
        <v>22</v>
      </c>
      <c r="E7" s="27">
        <v>600</v>
      </c>
      <c r="F7" s="25">
        <v>6108.82</v>
      </c>
      <c r="G7" s="25">
        <v>5.73</v>
      </c>
      <c r="H7" s="25">
        <v>5.1100000000000003</v>
      </c>
      <c r="I7" s="28"/>
      <c r="J7" s="20"/>
      <c r="K7" s="20"/>
      <c r="L7" s="20"/>
      <c r="N7" s="29" t="s">
        <v>23</v>
      </c>
      <c r="O7" s="30"/>
      <c r="P7" s="31" t="s">
        <v>24</v>
      </c>
      <c r="Q7" s="30"/>
    </row>
    <row r="8" spans="2:17">
      <c r="B8" s="24" t="s">
        <v>25</v>
      </c>
      <c r="C8" s="24" t="s">
        <v>26</v>
      </c>
      <c r="D8" s="24" t="s">
        <v>22</v>
      </c>
      <c r="E8" s="27">
        <v>500</v>
      </c>
      <c r="F8" s="25">
        <v>5119.8500000000004</v>
      </c>
      <c r="G8" s="25">
        <v>4.8</v>
      </c>
      <c r="H8" s="25">
        <v>5.0999999999999996</v>
      </c>
      <c r="I8" s="28"/>
      <c r="J8" s="20"/>
      <c r="K8" s="20"/>
      <c r="L8" s="20"/>
      <c r="N8" s="29"/>
      <c r="O8" s="32"/>
      <c r="P8" s="33"/>
      <c r="Q8" s="32"/>
    </row>
    <row r="9" spans="2:17">
      <c r="B9" s="24" t="s">
        <v>27</v>
      </c>
      <c r="C9" s="24" t="s">
        <v>28</v>
      </c>
      <c r="D9" s="24" t="s">
        <v>22</v>
      </c>
      <c r="E9" s="27">
        <v>500</v>
      </c>
      <c r="F9" s="25">
        <v>5039.01</v>
      </c>
      <c r="G9" s="25">
        <v>4.7300000000000004</v>
      </c>
      <c r="H9" s="25">
        <v>4.4400000000000004</v>
      </c>
      <c r="I9" s="28"/>
      <c r="J9" s="20"/>
      <c r="K9" s="20"/>
      <c r="L9" s="20"/>
      <c r="N9" s="29" t="s">
        <v>29</v>
      </c>
      <c r="O9" s="30"/>
      <c r="P9" s="30"/>
      <c r="Q9" s="30"/>
    </row>
    <row r="10" spans="2:17">
      <c r="B10" s="24" t="s">
        <v>30</v>
      </c>
      <c r="C10" s="24" t="s">
        <v>31</v>
      </c>
      <c r="D10" s="24" t="s">
        <v>22</v>
      </c>
      <c r="E10" s="27">
        <v>400</v>
      </c>
      <c r="F10" s="25">
        <v>3989.4</v>
      </c>
      <c r="G10" s="25">
        <v>3.74</v>
      </c>
      <c r="H10" s="25">
        <v>5.03</v>
      </c>
      <c r="I10" s="28"/>
      <c r="J10" s="20"/>
      <c r="K10" s="20"/>
      <c r="L10" s="20"/>
      <c r="N10" s="29"/>
      <c r="O10" s="32"/>
      <c r="P10" s="32"/>
      <c r="Q10" s="32"/>
    </row>
    <row r="11" spans="2:17">
      <c r="B11" s="24" t="s">
        <v>32</v>
      </c>
      <c r="C11" s="24" t="s">
        <v>33</v>
      </c>
      <c r="D11" s="24" t="s">
        <v>22</v>
      </c>
      <c r="E11" s="27">
        <v>350</v>
      </c>
      <c r="F11" s="25">
        <v>3555.42</v>
      </c>
      <c r="G11" s="25">
        <v>3.33</v>
      </c>
      <c r="H11" s="25">
        <v>5.42</v>
      </c>
      <c r="I11" s="28"/>
      <c r="J11" s="20"/>
      <c r="K11" s="20"/>
      <c r="L11" s="20"/>
      <c r="N11" s="29" t="s">
        <v>34</v>
      </c>
      <c r="O11" s="30"/>
      <c r="P11" s="30"/>
      <c r="Q11" s="30"/>
    </row>
    <row r="12" spans="2:17">
      <c r="B12" s="24" t="s">
        <v>35</v>
      </c>
      <c r="C12" s="24" t="s">
        <v>36</v>
      </c>
      <c r="D12" s="24" t="s">
        <v>22</v>
      </c>
      <c r="E12" s="27">
        <v>300</v>
      </c>
      <c r="F12" s="25">
        <v>3042.68</v>
      </c>
      <c r="G12" s="25">
        <v>2.85</v>
      </c>
      <c r="H12" s="25">
        <v>4.8099999999999996</v>
      </c>
      <c r="I12" s="28"/>
      <c r="J12" s="20"/>
      <c r="K12" s="20"/>
      <c r="L12" s="20"/>
      <c r="N12" s="29"/>
      <c r="O12" s="32"/>
      <c r="P12" s="32"/>
      <c r="Q12" s="32"/>
    </row>
    <row r="13" spans="2:17">
      <c r="B13" s="24" t="s">
        <v>37</v>
      </c>
      <c r="C13" s="24" t="s">
        <v>38</v>
      </c>
      <c r="D13" s="24" t="s">
        <v>22</v>
      </c>
      <c r="E13" s="27">
        <v>300</v>
      </c>
      <c r="F13" s="25">
        <v>3032.74</v>
      </c>
      <c r="G13" s="25">
        <v>2.84</v>
      </c>
      <c r="H13" s="25">
        <v>4.74</v>
      </c>
      <c r="I13" s="28"/>
      <c r="J13" s="28"/>
      <c r="K13" s="3" t="s">
        <v>39</v>
      </c>
      <c r="L13" s="28"/>
    </row>
    <row r="14" spans="2:17">
      <c r="B14" s="24" t="s">
        <v>40</v>
      </c>
      <c r="C14" s="24" t="s">
        <v>41</v>
      </c>
      <c r="D14" s="24" t="s">
        <v>22</v>
      </c>
      <c r="E14" s="27">
        <v>250</v>
      </c>
      <c r="F14" s="25">
        <v>2530.85</v>
      </c>
      <c r="G14" s="25">
        <v>2.37</v>
      </c>
      <c r="H14" s="25">
        <v>5.38</v>
      </c>
      <c r="I14" s="28"/>
      <c r="J14" s="28"/>
      <c r="K14" s="28"/>
      <c r="L14" s="28"/>
    </row>
    <row r="15" spans="2:17">
      <c r="B15" s="24" t="s">
        <v>42</v>
      </c>
      <c r="C15" s="24" t="s">
        <v>43</v>
      </c>
      <c r="D15" s="24" t="s">
        <v>22</v>
      </c>
      <c r="E15" s="27">
        <v>250</v>
      </c>
      <c r="F15" s="25">
        <v>2530.0300000000002</v>
      </c>
      <c r="G15" s="25">
        <v>2.37</v>
      </c>
      <c r="H15" s="25">
        <v>4.58</v>
      </c>
      <c r="I15" s="28"/>
      <c r="J15" s="28"/>
      <c r="K15" s="28"/>
      <c r="L15" s="28"/>
    </row>
    <row r="16" spans="2:17">
      <c r="B16" s="24" t="s">
        <v>44</v>
      </c>
      <c r="C16" s="24" t="s">
        <v>45</v>
      </c>
      <c r="D16" s="24" t="s">
        <v>22</v>
      </c>
      <c r="E16" s="27">
        <v>250</v>
      </c>
      <c r="F16" s="25">
        <v>2522.71</v>
      </c>
      <c r="G16" s="25">
        <v>2.37</v>
      </c>
      <c r="H16" s="25">
        <v>5.22</v>
      </c>
      <c r="I16" s="28"/>
      <c r="J16" s="28"/>
      <c r="K16" s="28"/>
      <c r="L16" s="28"/>
    </row>
    <row r="17" spans="2:12">
      <c r="B17" s="24" t="s">
        <v>46</v>
      </c>
      <c r="C17" s="24" t="s">
        <v>47</v>
      </c>
      <c r="D17" s="24" t="s">
        <v>22</v>
      </c>
      <c r="E17" s="27">
        <v>250</v>
      </c>
      <c r="F17" s="25">
        <v>2517.87</v>
      </c>
      <c r="G17" s="25">
        <v>2.36</v>
      </c>
      <c r="H17" s="25">
        <v>4.32</v>
      </c>
      <c r="I17" s="28"/>
      <c r="J17" s="28"/>
      <c r="K17" s="28"/>
      <c r="L17" s="28"/>
    </row>
    <row r="18" spans="2:12">
      <c r="B18" s="24" t="s">
        <v>48</v>
      </c>
      <c r="C18" s="24" t="s">
        <v>49</v>
      </c>
      <c r="D18" s="24" t="s">
        <v>22</v>
      </c>
      <c r="E18" s="27">
        <v>250</v>
      </c>
      <c r="F18" s="25">
        <v>2516.89</v>
      </c>
      <c r="G18" s="25">
        <v>2.36</v>
      </c>
      <c r="H18" s="25">
        <v>4.38</v>
      </c>
      <c r="I18" s="28"/>
      <c r="J18" s="28"/>
      <c r="K18" s="28"/>
      <c r="L18" s="28"/>
    </row>
    <row r="19" spans="2:12">
      <c r="B19" s="24" t="s">
        <v>50</v>
      </c>
      <c r="C19" s="24" t="s">
        <v>51</v>
      </c>
      <c r="D19" s="24" t="s">
        <v>22</v>
      </c>
      <c r="E19" s="27">
        <v>250</v>
      </c>
      <c r="F19" s="25">
        <v>2504.96</v>
      </c>
      <c r="G19" s="25">
        <v>2.35</v>
      </c>
      <c r="H19" s="25">
        <v>4.49</v>
      </c>
      <c r="I19" s="28"/>
      <c r="J19" s="28"/>
      <c r="K19" s="28"/>
      <c r="L19" s="28"/>
    </row>
    <row r="20" spans="2:12">
      <c r="B20" s="24" t="s">
        <v>52</v>
      </c>
      <c r="C20" s="24" t="s">
        <v>53</v>
      </c>
      <c r="D20" s="24" t="s">
        <v>22</v>
      </c>
      <c r="E20" s="27">
        <v>250</v>
      </c>
      <c r="F20" s="25">
        <v>2502.2600000000002</v>
      </c>
      <c r="G20" s="25">
        <v>2.35</v>
      </c>
      <c r="H20" s="25">
        <v>4.55</v>
      </c>
      <c r="I20" s="28"/>
      <c r="J20" s="28"/>
      <c r="K20" s="28"/>
      <c r="L20" s="28"/>
    </row>
    <row r="21" spans="2:12">
      <c r="B21" s="24" t="s">
        <v>54</v>
      </c>
      <c r="C21" s="24" t="s">
        <v>55</v>
      </c>
      <c r="D21" s="24" t="s">
        <v>22</v>
      </c>
      <c r="E21" s="27">
        <v>250</v>
      </c>
      <c r="F21" s="25">
        <v>2491.7399999999998</v>
      </c>
      <c r="G21" s="25">
        <v>2.34</v>
      </c>
      <c r="H21" s="25">
        <v>5.65</v>
      </c>
      <c r="I21" s="28"/>
      <c r="J21" s="28"/>
      <c r="K21" s="28"/>
      <c r="L21" s="28"/>
    </row>
    <row r="22" spans="2:12">
      <c r="B22" s="24" t="s">
        <v>56</v>
      </c>
      <c r="C22" s="24" t="s">
        <v>57</v>
      </c>
      <c r="D22" s="24" t="s">
        <v>22</v>
      </c>
      <c r="E22" s="27">
        <v>200</v>
      </c>
      <c r="F22" s="25">
        <v>2022.47</v>
      </c>
      <c r="G22" s="25">
        <v>1.9</v>
      </c>
      <c r="H22" s="25">
        <v>4.82</v>
      </c>
      <c r="I22" s="28"/>
      <c r="J22" s="28"/>
      <c r="K22" s="28"/>
      <c r="L22" s="28"/>
    </row>
    <row r="23" spans="2:12">
      <c r="B23" s="24" t="s">
        <v>58</v>
      </c>
      <c r="C23" s="24" t="s">
        <v>59</v>
      </c>
      <c r="D23" s="24" t="s">
        <v>22</v>
      </c>
      <c r="E23" s="27">
        <v>150</v>
      </c>
      <c r="F23" s="25">
        <v>1510.66</v>
      </c>
      <c r="G23" s="25">
        <v>1.42</v>
      </c>
      <c r="H23" s="25">
        <v>4.29</v>
      </c>
      <c r="I23" s="28"/>
      <c r="J23" s="28"/>
      <c r="K23" s="28"/>
      <c r="L23" s="28"/>
    </row>
    <row r="24" spans="2:12">
      <c r="B24" s="24" t="s">
        <v>60</v>
      </c>
      <c r="C24" s="24" t="s">
        <v>61</v>
      </c>
      <c r="D24" s="24" t="s">
        <v>62</v>
      </c>
      <c r="E24" s="27">
        <v>150</v>
      </c>
      <c r="F24" s="25">
        <v>1478.8</v>
      </c>
      <c r="G24" s="25">
        <v>1.39</v>
      </c>
      <c r="H24" s="25">
        <v>5.49</v>
      </c>
      <c r="I24" s="28"/>
      <c r="J24" s="28"/>
      <c r="K24" s="28"/>
      <c r="L24" s="28"/>
    </row>
    <row r="25" spans="2:12">
      <c r="B25" s="24" t="s">
        <v>63</v>
      </c>
      <c r="C25" s="24" t="s">
        <v>64</v>
      </c>
      <c r="D25" s="24" t="s">
        <v>22</v>
      </c>
      <c r="E25" s="27">
        <v>400</v>
      </c>
      <c r="F25" s="25">
        <v>1239.93</v>
      </c>
      <c r="G25" s="25">
        <v>1.1599999999999999</v>
      </c>
      <c r="H25" s="25">
        <v>5.99</v>
      </c>
      <c r="I25" s="28"/>
      <c r="J25" s="28"/>
      <c r="K25" s="28"/>
      <c r="L25" s="28"/>
    </row>
    <row r="26" spans="2:12">
      <c r="B26" s="24" t="s">
        <v>65</v>
      </c>
      <c r="C26" s="24" t="s">
        <v>66</v>
      </c>
      <c r="D26" s="24" t="s">
        <v>22</v>
      </c>
      <c r="E26" s="27">
        <v>100</v>
      </c>
      <c r="F26" s="25">
        <v>1021.74</v>
      </c>
      <c r="G26" s="25">
        <v>0.96</v>
      </c>
      <c r="H26" s="25">
        <v>4.8099999999999996</v>
      </c>
      <c r="I26" s="28"/>
      <c r="J26" s="28"/>
      <c r="K26" s="28"/>
      <c r="L26" s="28"/>
    </row>
    <row r="27" spans="2:12">
      <c r="B27" s="24" t="s">
        <v>67</v>
      </c>
      <c r="C27" s="24" t="s">
        <v>68</v>
      </c>
      <c r="D27" s="24" t="s">
        <v>22</v>
      </c>
      <c r="E27" s="27">
        <v>100</v>
      </c>
      <c r="F27" s="25">
        <v>1016.64</v>
      </c>
      <c r="G27" s="25">
        <v>0.95</v>
      </c>
      <c r="H27" s="25">
        <v>4.9800000000000004</v>
      </c>
      <c r="I27" s="28"/>
      <c r="J27" s="28"/>
      <c r="K27" s="28"/>
      <c r="L27" s="28"/>
    </row>
    <row r="28" spans="2:12">
      <c r="B28" s="24" t="s">
        <v>69</v>
      </c>
      <c r="C28" s="24" t="s">
        <v>70</v>
      </c>
      <c r="D28" s="24" t="s">
        <v>22</v>
      </c>
      <c r="E28" s="27">
        <v>100</v>
      </c>
      <c r="F28" s="25">
        <v>1014.14</v>
      </c>
      <c r="G28" s="25">
        <v>0.95</v>
      </c>
      <c r="H28" s="25">
        <v>5.33</v>
      </c>
      <c r="I28" s="28"/>
      <c r="J28" s="28"/>
      <c r="K28" s="28"/>
      <c r="L28" s="28"/>
    </row>
    <row r="29" spans="2:12">
      <c r="B29" s="24" t="s">
        <v>71</v>
      </c>
      <c r="C29" s="24" t="s">
        <v>72</v>
      </c>
      <c r="D29" s="24" t="s">
        <v>22</v>
      </c>
      <c r="E29" s="27">
        <v>100</v>
      </c>
      <c r="F29" s="25">
        <v>1010.39</v>
      </c>
      <c r="G29" s="25">
        <v>0.95</v>
      </c>
      <c r="H29" s="25">
        <v>4.97</v>
      </c>
      <c r="I29" s="28"/>
      <c r="J29" s="28"/>
      <c r="K29" s="28"/>
      <c r="L29" s="28"/>
    </row>
    <row r="30" spans="2:12">
      <c r="B30" s="24" t="s">
        <v>73</v>
      </c>
      <c r="C30" s="24" t="s">
        <v>74</v>
      </c>
      <c r="D30" s="24" t="s">
        <v>22</v>
      </c>
      <c r="E30" s="27">
        <v>100</v>
      </c>
      <c r="F30" s="25">
        <v>1003.98</v>
      </c>
      <c r="G30" s="25">
        <v>0.94</v>
      </c>
      <c r="H30" s="25">
        <v>4.37</v>
      </c>
      <c r="I30" s="28"/>
      <c r="J30" s="28"/>
      <c r="K30" s="28"/>
      <c r="L30" s="28"/>
    </row>
    <row r="31" spans="2:12">
      <c r="B31" s="24" t="s">
        <v>75</v>
      </c>
      <c r="C31" s="24" t="s">
        <v>76</v>
      </c>
      <c r="D31" s="24" t="s">
        <v>22</v>
      </c>
      <c r="E31" s="27">
        <v>100</v>
      </c>
      <c r="F31" s="25">
        <v>1002.18</v>
      </c>
      <c r="G31" s="25">
        <v>0.94</v>
      </c>
      <c r="H31" s="25">
        <v>4.08</v>
      </c>
      <c r="I31" s="28"/>
      <c r="J31" s="28"/>
      <c r="K31" s="28"/>
      <c r="L31" s="28"/>
    </row>
    <row r="32" spans="2:12">
      <c r="B32" s="24" t="s">
        <v>77</v>
      </c>
      <c r="C32" s="24" t="s">
        <v>78</v>
      </c>
      <c r="D32" s="24" t="s">
        <v>22</v>
      </c>
      <c r="E32" s="27">
        <v>50</v>
      </c>
      <c r="F32" s="25">
        <v>507.34</v>
      </c>
      <c r="G32" s="25">
        <v>0.48</v>
      </c>
      <c r="H32" s="25">
        <v>4.8600000000000003</v>
      </c>
      <c r="I32" s="28"/>
      <c r="J32" s="28"/>
      <c r="K32" s="28"/>
      <c r="L32" s="28"/>
    </row>
    <row r="33" spans="2:12">
      <c r="B33" s="24" t="s">
        <v>79</v>
      </c>
      <c r="C33" s="24" t="s">
        <v>80</v>
      </c>
      <c r="D33" s="24" t="s">
        <v>22</v>
      </c>
      <c r="E33" s="27">
        <v>50</v>
      </c>
      <c r="F33" s="25">
        <v>504.46</v>
      </c>
      <c r="G33" s="25">
        <v>0.47</v>
      </c>
      <c r="H33" s="25">
        <v>4.46</v>
      </c>
      <c r="I33" s="28"/>
      <c r="J33" s="28"/>
      <c r="K33" s="28"/>
      <c r="L33" s="28"/>
    </row>
    <row r="34" spans="2:12">
      <c r="B34" s="24" t="s">
        <v>81</v>
      </c>
      <c r="C34" s="24" t="s">
        <v>82</v>
      </c>
      <c r="D34" s="24" t="s">
        <v>83</v>
      </c>
      <c r="E34" s="27">
        <v>50</v>
      </c>
      <c r="F34" s="25">
        <v>503.43</v>
      </c>
      <c r="G34" s="25">
        <v>0.47</v>
      </c>
      <c r="H34" s="25">
        <v>4.24</v>
      </c>
      <c r="I34" s="28"/>
      <c r="J34" s="28"/>
      <c r="K34" s="28"/>
      <c r="L34" s="28"/>
    </row>
    <row r="35" spans="2:12">
      <c r="B35" s="34" t="s">
        <v>84</v>
      </c>
      <c r="C35" s="34"/>
      <c r="D35" s="34"/>
      <c r="E35" s="34"/>
      <c r="F35" s="35">
        <f>SUM(F6:F34)</f>
        <v>63841.39</v>
      </c>
      <c r="G35" s="35">
        <f>SUM(G6:G34)</f>
        <v>59.87</v>
      </c>
      <c r="H35" s="36"/>
      <c r="I35" s="28"/>
      <c r="J35" s="28"/>
      <c r="K35" s="28"/>
      <c r="L35" s="28"/>
    </row>
    <row r="36" spans="2:12">
      <c r="B36" s="37" t="s">
        <v>85</v>
      </c>
      <c r="C36" s="37"/>
      <c r="D36" s="37"/>
      <c r="E36" s="37"/>
      <c r="F36" s="38">
        <f>F35</f>
        <v>63841.39</v>
      </c>
      <c r="G36" s="38">
        <f>G35</f>
        <v>59.87</v>
      </c>
      <c r="H36" s="38"/>
      <c r="I36" s="28"/>
      <c r="J36" s="28"/>
      <c r="K36" s="28"/>
      <c r="L36" s="28"/>
    </row>
    <row r="37" spans="2:12">
      <c r="B37" s="23" t="s">
        <v>86</v>
      </c>
      <c r="C37" s="24"/>
      <c r="D37" s="24"/>
      <c r="E37" s="24"/>
      <c r="F37" s="25"/>
      <c r="G37" s="25"/>
      <c r="H37" s="25"/>
      <c r="I37" s="28"/>
      <c r="J37" s="28"/>
      <c r="K37" s="28"/>
      <c r="L37" s="28"/>
    </row>
    <row r="38" spans="2:12">
      <c r="B38" s="23" t="s">
        <v>87</v>
      </c>
      <c r="C38" s="24"/>
      <c r="D38" s="24"/>
      <c r="E38" s="24"/>
      <c r="F38" s="25"/>
      <c r="G38" s="25"/>
      <c r="H38" s="25"/>
      <c r="I38" s="28"/>
      <c r="J38" s="28"/>
      <c r="K38" s="28"/>
      <c r="L38" s="28"/>
    </row>
    <row r="39" spans="2:12">
      <c r="B39" s="24" t="s">
        <v>88</v>
      </c>
      <c r="C39" s="24" t="s">
        <v>89</v>
      </c>
      <c r="D39" s="24" t="s">
        <v>90</v>
      </c>
      <c r="E39" s="27">
        <v>500</v>
      </c>
      <c r="F39" s="25">
        <v>2483.89</v>
      </c>
      <c r="G39" s="25">
        <v>2.33</v>
      </c>
      <c r="H39" s="25">
        <v>4.01</v>
      </c>
      <c r="I39" s="28"/>
      <c r="J39" s="28"/>
      <c r="K39" s="28"/>
      <c r="L39" s="28"/>
    </row>
    <row r="40" spans="2:12">
      <c r="B40" s="24" t="s">
        <v>91</v>
      </c>
      <c r="C40" s="24" t="s">
        <v>92</v>
      </c>
      <c r="D40" s="24" t="s">
        <v>90</v>
      </c>
      <c r="E40" s="27">
        <v>500</v>
      </c>
      <c r="F40" s="25">
        <v>2458.0300000000002</v>
      </c>
      <c r="G40" s="25">
        <v>2.31</v>
      </c>
      <c r="H40" s="25">
        <v>4.42</v>
      </c>
      <c r="I40" s="28"/>
      <c r="J40" s="28"/>
      <c r="K40" s="28"/>
      <c r="L40" s="28"/>
    </row>
    <row r="41" spans="2:12">
      <c r="B41" s="24" t="s">
        <v>93</v>
      </c>
      <c r="C41" s="24" t="s">
        <v>94</v>
      </c>
      <c r="D41" s="24" t="s">
        <v>90</v>
      </c>
      <c r="E41" s="27">
        <v>500</v>
      </c>
      <c r="F41" s="25">
        <v>2438.19</v>
      </c>
      <c r="G41" s="25">
        <v>2.29</v>
      </c>
      <c r="H41" s="25">
        <v>4.6500000000000004</v>
      </c>
      <c r="I41" s="28"/>
      <c r="J41" s="28"/>
      <c r="K41" s="28"/>
      <c r="L41" s="28"/>
    </row>
    <row r="42" spans="2:12">
      <c r="B42" s="24" t="s">
        <v>95</v>
      </c>
      <c r="C42" s="24" t="s">
        <v>96</v>
      </c>
      <c r="D42" s="24" t="s">
        <v>97</v>
      </c>
      <c r="E42" s="27">
        <v>500</v>
      </c>
      <c r="F42" s="25">
        <v>2397.31</v>
      </c>
      <c r="G42" s="25">
        <v>2.25</v>
      </c>
      <c r="H42" s="25">
        <v>5.0599999999999996</v>
      </c>
      <c r="I42" s="28"/>
      <c r="J42" s="28"/>
      <c r="K42" s="28"/>
      <c r="L42" s="28"/>
    </row>
    <row r="43" spans="2:12">
      <c r="B43" s="23" t="s">
        <v>84</v>
      </c>
      <c r="C43" s="23"/>
      <c r="D43" s="23"/>
      <c r="E43" s="23"/>
      <c r="F43" s="39">
        <f>SUM(F38:F42)</f>
        <v>9777.42</v>
      </c>
      <c r="G43" s="39">
        <f>SUM(G38:G42)</f>
        <v>9.18</v>
      </c>
      <c r="H43" s="40"/>
      <c r="I43" s="28"/>
      <c r="J43" s="28"/>
      <c r="K43" s="28"/>
      <c r="L43" s="28"/>
    </row>
    <row r="44" spans="2:12">
      <c r="B44" s="23" t="s">
        <v>98</v>
      </c>
      <c r="C44" s="24"/>
      <c r="D44" s="24"/>
      <c r="E44" s="24"/>
      <c r="F44" s="25"/>
      <c r="G44" s="25"/>
      <c r="H44" s="25"/>
      <c r="I44" s="28"/>
      <c r="J44" s="28"/>
      <c r="K44" s="28"/>
      <c r="L44" s="28"/>
    </row>
    <row r="45" spans="2:12">
      <c r="B45" s="24" t="s">
        <v>99</v>
      </c>
      <c r="C45" s="24" t="s">
        <v>100</v>
      </c>
      <c r="D45" s="24" t="s">
        <v>90</v>
      </c>
      <c r="E45" s="27">
        <v>500</v>
      </c>
      <c r="F45" s="25">
        <v>2480.67</v>
      </c>
      <c r="G45" s="25">
        <v>2.33</v>
      </c>
      <c r="H45" s="25">
        <v>4.25</v>
      </c>
      <c r="I45" s="28"/>
      <c r="J45" s="28"/>
      <c r="K45" s="28"/>
      <c r="L45" s="28"/>
    </row>
    <row r="46" spans="2:12">
      <c r="B46" s="23" t="s">
        <v>84</v>
      </c>
      <c r="C46" s="23"/>
      <c r="D46" s="23"/>
      <c r="E46" s="23"/>
      <c r="F46" s="39">
        <f>SUM(F44:F45)</f>
        <v>2480.67</v>
      </c>
      <c r="G46" s="39">
        <f>SUM(G44:G45)</f>
        <v>2.33</v>
      </c>
      <c r="H46" s="40"/>
      <c r="I46" s="28"/>
      <c r="J46" s="28"/>
      <c r="K46" s="28"/>
      <c r="L46" s="28"/>
    </row>
    <row r="47" spans="2:12">
      <c r="B47" s="23" t="s">
        <v>101</v>
      </c>
      <c r="C47" s="24"/>
      <c r="D47" s="24"/>
      <c r="E47" s="24"/>
      <c r="F47" s="25"/>
      <c r="G47" s="25"/>
      <c r="H47" s="25"/>
      <c r="I47" s="28"/>
      <c r="J47" s="28"/>
      <c r="K47" s="28"/>
      <c r="L47" s="28"/>
    </row>
    <row r="48" spans="2:12">
      <c r="B48" s="24" t="s">
        <v>102</v>
      </c>
      <c r="C48" s="24" t="s">
        <v>103</v>
      </c>
      <c r="D48" s="24" t="s">
        <v>104</v>
      </c>
      <c r="E48" s="27">
        <v>2500000</v>
      </c>
      <c r="F48" s="25">
        <v>2472.09</v>
      </c>
      <c r="G48" s="25">
        <v>2.3199999999999998</v>
      </c>
      <c r="H48" s="25">
        <v>4.04</v>
      </c>
      <c r="I48" s="28"/>
      <c r="J48" s="28"/>
      <c r="K48" s="28"/>
      <c r="L48" s="28"/>
    </row>
    <row r="49" spans="2:12">
      <c r="B49" s="24" t="s">
        <v>105</v>
      </c>
      <c r="C49" s="24" t="s">
        <v>106</v>
      </c>
      <c r="D49" s="24" t="s">
        <v>104</v>
      </c>
      <c r="E49" s="27">
        <v>2500000</v>
      </c>
      <c r="F49" s="25">
        <v>2430.52</v>
      </c>
      <c r="G49" s="25">
        <v>2.2799999999999998</v>
      </c>
      <c r="H49" s="25">
        <v>4.4400000000000004</v>
      </c>
      <c r="I49" s="28"/>
      <c r="J49" s="28"/>
      <c r="K49" s="28"/>
      <c r="L49" s="28"/>
    </row>
    <row r="50" spans="2:12">
      <c r="B50" s="34" t="s">
        <v>84</v>
      </c>
      <c r="C50" s="34"/>
      <c r="D50" s="34"/>
      <c r="E50" s="34"/>
      <c r="F50" s="35">
        <f>SUM(F47:F49)</f>
        <v>4902.6100000000006</v>
      </c>
      <c r="G50" s="35">
        <f>SUM(G47:G49)</f>
        <v>4.5999999999999996</v>
      </c>
      <c r="H50" s="36"/>
      <c r="I50" s="28"/>
      <c r="J50" s="28"/>
      <c r="K50" s="28"/>
      <c r="L50" s="28"/>
    </row>
    <row r="51" spans="2:12">
      <c r="B51" s="37" t="s">
        <v>85</v>
      </c>
      <c r="C51" s="37"/>
      <c r="D51" s="37"/>
      <c r="E51" s="37"/>
      <c r="F51" s="38">
        <f>F43+F46+F50</f>
        <v>17160.7</v>
      </c>
      <c r="G51" s="38">
        <f>G43+G46+G50</f>
        <v>16.11</v>
      </c>
      <c r="H51" s="38"/>
      <c r="I51" s="28"/>
      <c r="J51" s="28"/>
      <c r="K51" s="28"/>
      <c r="L51" s="28"/>
    </row>
    <row r="52" spans="2:12">
      <c r="B52" s="23" t="s">
        <v>107</v>
      </c>
      <c r="C52" s="24"/>
      <c r="D52" s="24"/>
      <c r="E52" s="24"/>
      <c r="F52" s="25"/>
      <c r="G52" s="25"/>
      <c r="H52" s="25"/>
      <c r="I52" s="28"/>
      <c r="J52" s="28"/>
      <c r="K52" s="28"/>
      <c r="L52" s="28"/>
    </row>
    <row r="53" spans="2:12">
      <c r="B53" s="24" t="s">
        <v>108</v>
      </c>
      <c r="C53" s="24" t="s">
        <v>109</v>
      </c>
      <c r="D53" s="24" t="s">
        <v>110</v>
      </c>
      <c r="E53" s="27">
        <v>15000000</v>
      </c>
      <c r="F53" s="25">
        <v>15208.65</v>
      </c>
      <c r="G53" s="25">
        <v>14.26</v>
      </c>
      <c r="H53" s="25">
        <v>4.59</v>
      </c>
      <c r="I53" s="28"/>
      <c r="J53" s="28"/>
      <c r="K53" s="28"/>
      <c r="L53" s="28"/>
    </row>
    <row r="54" spans="2:12">
      <c r="B54" s="24" t="s">
        <v>111</v>
      </c>
      <c r="C54" s="24" t="s">
        <v>112</v>
      </c>
      <c r="D54" s="24" t="s">
        <v>110</v>
      </c>
      <c r="E54" s="27">
        <v>1500000</v>
      </c>
      <c r="F54" s="25">
        <v>1517.22</v>
      </c>
      <c r="G54" s="25">
        <v>1.42</v>
      </c>
      <c r="H54" s="25">
        <v>5.03</v>
      </c>
      <c r="I54" s="28"/>
      <c r="J54" s="28"/>
      <c r="K54" s="28"/>
      <c r="L54" s="28"/>
    </row>
    <row r="55" spans="2:12">
      <c r="B55" s="41" t="s">
        <v>113</v>
      </c>
      <c r="C55" s="41" t="s">
        <v>114</v>
      </c>
      <c r="D55" s="41" t="s">
        <v>110</v>
      </c>
      <c r="E55" s="42">
        <v>1000000</v>
      </c>
      <c r="F55" s="43">
        <v>1029.82</v>
      </c>
      <c r="G55" s="43">
        <v>0.97</v>
      </c>
      <c r="H55" s="43">
        <v>5.5</v>
      </c>
      <c r="I55" s="28"/>
      <c r="J55" s="28"/>
      <c r="K55" s="28"/>
      <c r="L55" s="28"/>
    </row>
    <row r="56" spans="2:12">
      <c r="B56" s="44" t="s">
        <v>85</v>
      </c>
      <c r="C56" s="44"/>
      <c r="D56" s="44"/>
      <c r="E56" s="44"/>
      <c r="F56" s="39">
        <f>SUM(F53:F55)</f>
        <v>17755.689999999999</v>
      </c>
      <c r="G56" s="39">
        <f>SUM(G53:G55)</f>
        <v>16.649999999999999</v>
      </c>
      <c r="H56" s="39"/>
      <c r="I56" s="28"/>
      <c r="J56" s="28"/>
      <c r="K56" s="28"/>
      <c r="L56" s="28"/>
    </row>
    <row r="57" spans="2:12">
      <c r="B57" s="23" t="s">
        <v>115</v>
      </c>
      <c r="C57" s="24"/>
      <c r="D57" s="24"/>
      <c r="E57" s="24"/>
      <c r="F57" s="25"/>
      <c r="G57" s="25"/>
      <c r="H57" s="25"/>
      <c r="I57" s="28"/>
      <c r="J57" s="28"/>
      <c r="K57" s="28"/>
      <c r="L57" s="28"/>
    </row>
    <row r="58" spans="2:12">
      <c r="B58" s="24" t="s">
        <v>115</v>
      </c>
      <c r="C58" s="24"/>
      <c r="D58" s="24"/>
      <c r="E58" s="24"/>
      <c r="F58" s="25">
        <v>5319.44</v>
      </c>
      <c r="G58" s="25">
        <v>4.99</v>
      </c>
      <c r="H58" s="25"/>
      <c r="I58" s="28"/>
      <c r="J58" s="28"/>
      <c r="K58" s="28"/>
      <c r="L58" s="28"/>
    </row>
    <row r="59" spans="2:12">
      <c r="B59" s="34" t="s">
        <v>84</v>
      </c>
      <c r="C59" s="34"/>
      <c r="D59" s="34"/>
      <c r="E59" s="34"/>
      <c r="F59" s="35">
        <f>SUM(F57:F58)</f>
        <v>5319.44</v>
      </c>
      <c r="G59" s="35">
        <f>SUM(G57:G58)</f>
        <v>4.99</v>
      </c>
      <c r="H59" s="36"/>
      <c r="I59" s="28"/>
      <c r="J59" s="28"/>
      <c r="K59" s="28"/>
      <c r="L59" s="28"/>
    </row>
    <row r="60" spans="2:12">
      <c r="B60" s="45" t="s">
        <v>85</v>
      </c>
      <c r="C60" s="45"/>
      <c r="D60" s="45"/>
      <c r="E60" s="45"/>
      <c r="F60" s="46">
        <f>F59</f>
        <v>5319.44</v>
      </c>
      <c r="G60" s="46">
        <f>G59</f>
        <v>4.99</v>
      </c>
      <c r="H60" s="46"/>
      <c r="I60" s="28"/>
      <c r="J60" s="28"/>
      <c r="K60" s="28"/>
      <c r="L60" s="28"/>
    </row>
    <row r="61" spans="2:12">
      <c r="B61" s="47" t="s">
        <v>116</v>
      </c>
      <c r="C61" s="47"/>
      <c r="D61" s="47"/>
      <c r="E61" s="47"/>
      <c r="F61" s="48">
        <f>F62-(+F36+F51+F56+F60)</f>
        <v>2550.1300000000047</v>
      </c>
      <c r="G61" s="48">
        <f>G62-(+G36+G51+G56+G60)</f>
        <v>2.3800000000000097</v>
      </c>
      <c r="H61" s="48"/>
      <c r="I61" s="28"/>
      <c r="J61" s="28"/>
      <c r="K61" s="28"/>
      <c r="L61" s="28"/>
    </row>
    <row r="62" spans="2:12">
      <c r="B62" s="47" t="s">
        <v>117</v>
      </c>
      <c r="C62" s="47"/>
      <c r="D62" s="47"/>
      <c r="E62" s="47"/>
      <c r="F62" s="48">
        <v>106627.35</v>
      </c>
      <c r="G62" s="48">
        <v>100</v>
      </c>
      <c r="H62" s="48"/>
      <c r="I62" s="28"/>
      <c r="J62" s="28"/>
      <c r="K62" s="28"/>
      <c r="L62" s="28"/>
    </row>
    <row r="63" spans="2:12">
      <c r="I63" s="28"/>
      <c r="J63" s="28"/>
      <c r="K63" s="28"/>
      <c r="L63" s="28"/>
    </row>
    <row r="64" spans="2:12">
      <c r="B64" s="49" t="s">
        <v>118</v>
      </c>
      <c r="I64" s="28"/>
      <c r="J64" s="28"/>
      <c r="K64" s="28"/>
      <c r="L64" s="28"/>
    </row>
    <row r="65" spans="2:2">
      <c r="B65" s="49" t="s">
        <v>119</v>
      </c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2022-05-06T06:27:34Z</dcterms:created>
  <dcterms:modified xsi:type="dcterms:W3CDTF">2022-05-06T06:27:35Z</dcterms:modified>
</cp:coreProperties>
</file>