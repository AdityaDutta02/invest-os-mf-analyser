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April 2022\"/>
    </mc:Choice>
  </mc:AlternateContent>
  <xr:revisionPtr revIDLastSave="0" documentId="8_{0E362929-8821-4795-ACF3-5D64F0F61009}" xr6:coauthVersionLast="47" xr6:coauthVersionMax="47" xr10:uidLastSave="{00000000-0000-0000-0000-000000000000}"/>
  <bookViews>
    <workbookView xWindow="-120" yWindow="-120" windowWidth="20730" windowHeight="11160" xr2:uid="{1DD05EB4-0B7B-4860-A485-AC42F65F5FE7}"/>
  </bookViews>
  <sheets>
    <sheet name="V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6" i="1" l="1"/>
  <c r="G55" i="1"/>
  <c r="F55" i="1"/>
  <c r="F56" i="1" s="1"/>
  <c r="G52" i="1"/>
  <c r="G57" i="1" s="1"/>
  <c r="G51" i="1"/>
  <c r="F51" i="1"/>
  <c r="F52" i="1" s="1"/>
  <c r="F57" i="1" l="1"/>
</calcChain>
</file>

<file path=xl/sharedStrings.xml><?xml version="1.0" encoding="utf-8"?>
<sst xmlns="http://schemas.openxmlformats.org/spreadsheetml/2006/main" count="154" uniqueCount="130">
  <si>
    <t>CANARA ROBECO VALUE FUND</t>
  </si>
  <si>
    <t>Monthly Portfolio Statement as on April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</si>
  <si>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</si>
  <si>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</si>
  <si>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</si>
  <si>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</si>
  <si>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</si>
  <si>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</si>
  <si>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Apr'22</t>
  </si>
  <si>
    <t>Benchmark Risk-o-meter Level- Apr'22</t>
  </si>
  <si>
    <t>Previous Scheme Risk-o-meter Level- Mar'22</t>
  </si>
  <si>
    <t>Equity &amp; Equity related</t>
  </si>
  <si>
    <t>(a) Listed / awaiting listing on Stock Exchanges</t>
  </si>
  <si>
    <t>ICICI Bank Ltd</t>
  </si>
  <si>
    <t>INE090A01021</t>
  </si>
  <si>
    <t>Banks</t>
  </si>
  <si>
    <t>Reliance Industries Ltd</t>
  </si>
  <si>
    <t>INE002A01018</t>
  </si>
  <si>
    <t>Petroleum Products</t>
  </si>
  <si>
    <t>Infosys Ltd</t>
  </si>
  <si>
    <t>INE009A01021</t>
  </si>
  <si>
    <t>IT - Software</t>
  </si>
  <si>
    <t>HDFC Bank Ltd</t>
  </si>
  <si>
    <t>INE040A01034</t>
  </si>
  <si>
    <t>Axis Bank Ltd</t>
  </si>
  <si>
    <t>INE238A01034</t>
  </si>
  <si>
    <t>Sun Pharmaceutical Industries Ltd</t>
  </si>
  <si>
    <t>INE044A01036</t>
  </si>
  <si>
    <t>Pharmaceuticals &amp; Biotechnology</t>
  </si>
  <si>
    <t>State Bank of India</t>
  </si>
  <si>
    <t>INE062A01020</t>
  </si>
  <si>
    <t>Benchmark: S&amp;P BSE 500 TRI</t>
  </si>
  <si>
    <t>ITC Ltd</t>
  </si>
  <si>
    <t>INE154A01025</t>
  </si>
  <si>
    <t>Diversified Fmcg</t>
  </si>
  <si>
    <t>Bharti Airtel Ltd</t>
  </si>
  <si>
    <t>INE397D01024</t>
  </si>
  <si>
    <t>Telecom - Services</t>
  </si>
  <si>
    <t>NTPC Ltd</t>
  </si>
  <si>
    <t>INE733E01010</t>
  </si>
  <si>
    <t>Power</t>
  </si>
  <si>
    <t>Creditaccess Grameen Ltd</t>
  </si>
  <si>
    <t>INE741K01010</t>
  </si>
  <si>
    <t>Finance</t>
  </si>
  <si>
    <t>Bajaj Auto Ltd</t>
  </si>
  <si>
    <t>INE917I01010</t>
  </si>
  <si>
    <t>Automobiles</t>
  </si>
  <si>
    <t>Housing Development Finance Corporation Ltd</t>
  </si>
  <si>
    <t>INE001A01036</t>
  </si>
  <si>
    <t>KEI Industries Ltd</t>
  </si>
  <si>
    <t>INE878B01027</t>
  </si>
  <si>
    <t>Industrial Products</t>
  </si>
  <si>
    <t>Larsen &amp; Toubro Ltd</t>
  </si>
  <si>
    <t>INE018A01030</t>
  </si>
  <si>
    <t>Construction</t>
  </si>
  <si>
    <t>Bharat Electronics Ltd</t>
  </si>
  <si>
    <t>INE263A01024</t>
  </si>
  <si>
    <t>Aerospace &amp; Defense</t>
  </si>
  <si>
    <t>Varun Beverages Ltd</t>
  </si>
  <si>
    <t>INE200M01013</t>
  </si>
  <si>
    <t>Beverages</t>
  </si>
  <si>
    <t>Federal Bank Ltd</t>
  </si>
  <si>
    <t>INE171A01029</t>
  </si>
  <si>
    <t>J.B. Chemicals &amp; Pharmaceuticals Ltd</t>
  </si>
  <si>
    <t>INE572A01028</t>
  </si>
  <si>
    <t>Ambuja Cements Ltd</t>
  </si>
  <si>
    <t>INE079A01024</t>
  </si>
  <si>
    <t>Cement &amp; Cement Products</t>
  </si>
  <si>
    <t>Maruti Suzuki India Ltd</t>
  </si>
  <si>
    <t>INE585B01010</t>
  </si>
  <si>
    <t>SBI Life Insurance Co Ltd</t>
  </si>
  <si>
    <t>INE123W01016</t>
  </si>
  <si>
    <t>Insurance</t>
  </si>
  <si>
    <t>Tata Motors Ltd</t>
  </si>
  <si>
    <t>INE155A01022</t>
  </si>
  <si>
    <t>NOCIL Ltd</t>
  </si>
  <si>
    <t>INE163A01018</t>
  </si>
  <si>
    <t>Chemicals &amp; Petrochemicals</t>
  </si>
  <si>
    <t>Brigade Enterprises Ltd</t>
  </si>
  <si>
    <t>INE791I01019</t>
  </si>
  <si>
    <t>Realty</t>
  </si>
  <si>
    <t>Cipla Ltd</t>
  </si>
  <si>
    <t>INE059A01026</t>
  </si>
  <si>
    <t>Can Fin Homes Ltd</t>
  </si>
  <si>
    <t>INE477A01020</t>
  </si>
  <si>
    <t>Cera Sanitaryware Ltd</t>
  </si>
  <si>
    <t>INE739E01017</t>
  </si>
  <si>
    <t>Consumer Durables</t>
  </si>
  <si>
    <t>K.P.R. Mill Ltd</t>
  </si>
  <si>
    <t>INE930H01031</t>
  </si>
  <si>
    <t>Textiles &amp; Apparels</t>
  </si>
  <si>
    <t>Ahluwalia Contracts (India) Ltd</t>
  </si>
  <si>
    <t>INE758C01029</t>
  </si>
  <si>
    <t>EID Parry India Ltd</t>
  </si>
  <si>
    <t>INE126A01031</t>
  </si>
  <si>
    <t>Agricultural Food &amp; Other Products</t>
  </si>
  <si>
    <t>Greenpanel Industries Ltd</t>
  </si>
  <si>
    <t>INE08ZM01014</t>
  </si>
  <si>
    <t>Hindustan Zinc Ltd</t>
  </si>
  <si>
    <t>INE267A01025</t>
  </si>
  <si>
    <t>Non - Ferrous Metals</t>
  </si>
  <si>
    <t>Equitas Holdings Ltd</t>
  </si>
  <si>
    <t>INE988K01017</t>
  </si>
  <si>
    <t>Sobha Ltd</t>
  </si>
  <si>
    <t>INE671H01015</t>
  </si>
  <si>
    <t>Great Eastern Shipping Co Ltd</t>
  </si>
  <si>
    <t>INE017A01032</t>
  </si>
  <si>
    <t>Transport Services</t>
  </si>
  <si>
    <t>Hindustan Petroleum Corporation Ltd</t>
  </si>
  <si>
    <t>INE094A01015</t>
  </si>
  <si>
    <t>National Aluminium Co Ltd</t>
  </si>
  <si>
    <t>INE139A01034</t>
  </si>
  <si>
    <t>HCL Technologies Ltd</t>
  </si>
  <si>
    <t>INE860A01027</t>
  </si>
  <si>
    <t>JK Lakshmi Cement Ltd</t>
  </si>
  <si>
    <t>INE786A01032</t>
  </si>
  <si>
    <t>Tech Mahindra Ltd</t>
  </si>
  <si>
    <t>INE669C01036</t>
  </si>
  <si>
    <t>GAIL (India) Ltd</t>
  </si>
  <si>
    <t>INE129A01019</t>
  </si>
  <si>
    <t>Gas</t>
  </si>
  <si>
    <t>Grasim Industries Ltd</t>
  </si>
  <si>
    <t>INE047A01021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</si>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</sst>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0" fontId="9" fillId="3" borderId="10" xfId="0" applyFont="1" applyFill="1" applyBorder="1"/>
    <xf numFmtId="0" fontId="9" fillId="3" borderId="11" xfId="0" applyFont="1" applyFill="1" applyBorder="1"/>
    <xf numFmtId="4" fontId="9" fillId="3" borderId="12" xfId="0" applyNumberFormat="1" applyFont="1" applyFill="1" applyBorder="1"/>
    <xf numFmtId="0" fontId="9" fillId="3" borderId="13" xfId="0" applyFont="1" applyFill="1" applyBorder="1"/>
    <xf numFmtId="4" fontId="9" fillId="3" borderId="13" xfId="0" applyNumberFormat="1" applyFont="1" applyFill="1" applyBorder="1"/>
    <xf numFmtId="0" fontId="9" fillId="3" borderId="14" xfId="0" applyFont="1" applyFill="1" applyBorder="1"/>
    <xf numFmtId="0" fontId="3" fillId="3" borderId="15" xfId="0" applyFont="1" applyFill="1" applyBorder="1"/>
    <xf numFmtId="4" fontId="3" fillId="3" borderId="15" xfId="0" applyNumberFormat="1" applyFont="1" applyFill="1" applyBorder="1"/>
    <xf numFmtId="0" fontId="9" fillId="3" borderId="16" xfId="0" applyFont="1" applyFill="1" applyBorder="1"/>
    <xf numFmtId="4" fontId="9" fillId="3" borderId="16" xfId="0" applyNumberFormat="1" applyFont="1" applyFill="1" applyBorder="1"/>
    <xf numFmtId="0" fontId="9" fillId="3" borderId="5" xfId="0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55810</xdr:colOff>
      <xdr:row>4</xdr:row>
      <xdr:rowOff>79527</xdr:rowOff>
    </xdr:from>
    <xdr:to>
      <xdr:col>9</xdr:col>
      <xdr:colOff>1714499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587D43-3EAA-4D3D-8332-A3A1F4AFE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0110" y="1089177"/>
          <a:ext cx="1658689" cy="1092048"/>
        </a:xfrm>
        <a:prstGeom prst="rect">
          <a:avLst/>
        </a:prstGeom>
      </xdr:spPr>
    </xdr:pic>
    <xdr:clientData/>
  </xdr:twoCellAnchor>
  <xdr:twoCellAnchor editAs="oneCell">
    <xdr:from>
      <xdr:col>8</xdr:col>
      <xdr:colOff>41995</xdr:colOff>
      <xdr:row>4</xdr:row>
      <xdr:rowOff>104776</xdr:rowOff>
    </xdr:from>
    <xdr:to>
      <xdr:col>8</xdr:col>
      <xdr:colOff>1771650</xdr:colOff>
      <xdr:row>11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95A47C-4488-455F-93BE-0ACC37901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86070" y="1114426"/>
          <a:ext cx="1729655" cy="1066800"/>
        </a:xfrm>
        <a:prstGeom prst="rect">
          <a:avLst/>
        </a:prstGeom>
      </xdr:spPr>
    </xdr:pic>
    <xdr:clientData/>
  </xdr:twoCellAnchor>
  <xdr:oneCellAnchor>
    <xdr:from>
      <xdr:col>10</xdr:col>
      <xdr:colOff>48861</xdr:colOff>
      <xdr:row>4</xdr:row>
      <xdr:rowOff>103399</xdr:rowOff>
    </xdr:from>
    <xdr:ext cx="1703739" cy="1020551"/>
    <xdr:pic>
      <xdr:nvPicPr>
        <xdr:cNvPr id="4" name="Picture 3">
          <a:extLst>
            <a:ext uri="{FF2B5EF4-FFF2-40B4-BE49-F238E27FC236}">
              <a16:creationId xmlns:a16="http://schemas.microsoft.com/office/drawing/2014/main" id="{8A0087FA-4A13-461E-BD66-4C3B2F109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83861" y="1113049"/>
          <a:ext cx="1703739" cy="10205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FE79-F881-4EF3-B886-03C8EA8AC4A1}">
  <dimension ref="B1:K60"/>
  <sheetViews>
    <sheetView tabSelected="1" topLeftCell="B1" workbookViewId="0">
      <selection activeCell="H1" sqref="H1:H1048576"/>
    </sheetView>
  </sheetViews>
  <sheetFormatPr defaultRowHeight="12"/>
  <cols>
    <col min="1" max="1" width="9.140625" style="3"/>
    <col min="2" max="2" width="54.42578125" style="3" bestFit="1" customWidth="1"/>
    <col min="3" max="3" width="13.5703125" style="3" bestFit="1" customWidth="1"/>
    <col min="4" max="4" width="28.42578125" style="3" bestFit="1" customWidth="1"/>
    <col min="5" max="5" width="8.85546875" style="3" bestFit="1" customWidth="1"/>
    <col min="6" max="6" width="15.28515625" style="36" bestFit="1" customWidth="1"/>
    <col min="7" max="7" width="7.42578125" style="36" bestFit="1" customWidth="1"/>
    <col min="8" max="8" width="9" style="3" bestFit="1" customWidth="1"/>
    <col min="9" max="9" width="27" style="3" customWidth="1"/>
    <col min="10" max="10" width="26.85546875" style="3" customWidth="1"/>
    <col min="11" max="11" width="27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6"/>
      <c r="F3" s="7"/>
      <c r="G3" s="7"/>
    </row>
    <row r="4" spans="2:11" ht="30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I4" s="12" t="s">
        <v>8</v>
      </c>
      <c r="J4" s="12" t="s">
        <v>9</v>
      </c>
      <c r="K4" s="12" t="s">
        <v>10</v>
      </c>
    </row>
    <row r="5" spans="2:11">
      <c r="B5" s="13" t="s">
        <v>11</v>
      </c>
      <c r="C5" s="14"/>
      <c r="D5" s="14"/>
      <c r="E5" s="14"/>
      <c r="F5" s="15"/>
      <c r="G5" s="15"/>
      <c r="I5" s="16"/>
      <c r="J5" s="16"/>
      <c r="K5" s="16"/>
    </row>
    <row r="6" spans="2:11">
      <c r="B6" s="17" t="s">
        <v>12</v>
      </c>
      <c r="C6" s="18"/>
      <c r="D6" s="18"/>
      <c r="E6" s="18"/>
      <c r="F6" s="19"/>
      <c r="G6" s="19"/>
      <c r="I6" s="16"/>
      <c r="J6" s="16"/>
      <c r="K6" s="16"/>
    </row>
    <row r="7" spans="2:11">
      <c r="B7" s="20" t="s">
        <v>13</v>
      </c>
      <c r="C7" s="18" t="s">
        <v>14</v>
      </c>
      <c r="D7" s="18" t="s">
        <v>15</v>
      </c>
      <c r="E7" s="21">
        <v>620085</v>
      </c>
      <c r="F7" s="19">
        <v>4609.09</v>
      </c>
      <c r="G7" s="19">
        <v>7.02</v>
      </c>
      <c r="H7" s="22"/>
      <c r="I7" s="16"/>
      <c r="J7" s="16"/>
      <c r="K7" s="16"/>
    </row>
    <row r="8" spans="2:11">
      <c r="B8" s="20" t="s">
        <v>16</v>
      </c>
      <c r="C8" s="18" t="s">
        <v>17</v>
      </c>
      <c r="D8" s="18" t="s">
        <v>18</v>
      </c>
      <c r="E8" s="21">
        <v>164299</v>
      </c>
      <c r="F8" s="19">
        <v>4584.3500000000004</v>
      </c>
      <c r="G8" s="19">
        <v>6.98</v>
      </c>
      <c r="H8" s="22"/>
      <c r="I8" s="16"/>
      <c r="J8" s="16"/>
      <c r="K8" s="16"/>
    </row>
    <row r="9" spans="2:11">
      <c r="B9" s="20" t="s">
        <v>19</v>
      </c>
      <c r="C9" s="18" t="s">
        <v>20</v>
      </c>
      <c r="D9" s="18" t="s">
        <v>21</v>
      </c>
      <c r="E9" s="21">
        <v>257000</v>
      </c>
      <c r="F9" s="19">
        <v>4028.6</v>
      </c>
      <c r="G9" s="19">
        <v>6.14</v>
      </c>
      <c r="H9" s="22"/>
      <c r="I9" s="16"/>
      <c r="J9" s="16"/>
      <c r="K9" s="16"/>
    </row>
    <row r="10" spans="2:11">
      <c r="B10" s="20" t="s">
        <v>22</v>
      </c>
      <c r="C10" s="18" t="s">
        <v>23</v>
      </c>
      <c r="D10" s="18" t="s">
        <v>15</v>
      </c>
      <c r="E10" s="21">
        <v>224000</v>
      </c>
      <c r="F10" s="19">
        <v>3101.5</v>
      </c>
      <c r="G10" s="19">
        <v>4.72</v>
      </c>
      <c r="H10" s="22"/>
      <c r="I10" s="16"/>
      <c r="J10" s="16"/>
      <c r="K10" s="16"/>
    </row>
    <row r="11" spans="2:11">
      <c r="B11" s="20" t="s">
        <v>24</v>
      </c>
      <c r="C11" s="18" t="s">
        <v>25</v>
      </c>
      <c r="D11" s="18" t="s">
        <v>15</v>
      </c>
      <c r="E11" s="21">
        <v>377357</v>
      </c>
      <c r="F11" s="19">
        <v>2749.42</v>
      </c>
      <c r="G11" s="19">
        <v>4.1900000000000004</v>
      </c>
      <c r="H11" s="22"/>
      <c r="I11" s="16"/>
      <c r="J11" s="16"/>
      <c r="K11" s="16"/>
    </row>
    <row r="12" spans="2:11">
      <c r="B12" s="20" t="s">
        <v>26</v>
      </c>
      <c r="C12" s="18" t="s">
        <v>27</v>
      </c>
      <c r="D12" s="18" t="s">
        <v>28</v>
      </c>
      <c r="E12" s="21">
        <v>249438</v>
      </c>
      <c r="F12" s="19">
        <v>2316.41</v>
      </c>
      <c r="G12" s="19">
        <v>3.53</v>
      </c>
      <c r="H12" s="22"/>
      <c r="I12" s="16"/>
      <c r="J12" s="16"/>
      <c r="K12" s="16"/>
    </row>
    <row r="13" spans="2:11">
      <c r="B13" s="20" t="s">
        <v>29</v>
      </c>
      <c r="C13" s="18" t="s">
        <v>30</v>
      </c>
      <c r="D13" s="18" t="s">
        <v>15</v>
      </c>
      <c r="E13" s="21">
        <v>463915</v>
      </c>
      <c r="F13" s="19">
        <v>2302.41</v>
      </c>
      <c r="G13" s="19">
        <v>3.51</v>
      </c>
      <c r="H13" s="22"/>
      <c r="I13" s="22"/>
      <c r="J13" s="3" t="s">
        <v>31</v>
      </c>
    </row>
    <row r="14" spans="2:11">
      <c r="B14" s="20" t="s">
        <v>32</v>
      </c>
      <c r="C14" s="18" t="s">
        <v>33</v>
      </c>
      <c r="D14" s="18" t="s">
        <v>34</v>
      </c>
      <c r="E14" s="21">
        <v>871880</v>
      </c>
      <c r="F14" s="19">
        <v>2262.96</v>
      </c>
      <c r="G14" s="19">
        <v>3.45</v>
      </c>
      <c r="H14" s="22"/>
      <c r="I14" s="22"/>
      <c r="J14" s="22"/>
      <c r="K14" s="22"/>
    </row>
    <row r="15" spans="2:11">
      <c r="B15" s="20" t="s">
        <v>35</v>
      </c>
      <c r="C15" s="18" t="s">
        <v>36</v>
      </c>
      <c r="D15" s="18" t="s">
        <v>37</v>
      </c>
      <c r="E15" s="21">
        <v>286000</v>
      </c>
      <c r="F15" s="19">
        <v>2113.54</v>
      </c>
      <c r="G15" s="19">
        <v>3.22</v>
      </c>
      <c r="H15" s="22"/>
      <c r="I15" s="22"/>
      <c r="J15" s="22"/>
      <c r="K15" s="22"/>
    </row>
    <row r="16" spans="2:11">
      <c r="B16" s="20" t="s">
        <v>38</v>
      </c>
      <c r="C16" s="18" t="s">
        <v>39</v>
      </c>
      <c r="D16" s="18" t="s">
        <v>40</v>
      </c>
      <c r="E16" s="21">
        <v>1300000</v>
      </c>
      <c r="F16" s="19">
        <v>2030.6</v>
      </c>
      <c r="G16" s="19">
        <v>3.09</v>
      </c>
      <c r="H16" s="22"/>
      <c r="I16" s="22"/>
      <c r="J16" s="22"/>
      <c r="K16" s="22"/>
    </row>
    <row r="17" spans="2:11">
      <c r="B17" s="20" t="s">
        <v>41</v>
      </c>
      <c r="C17" s="18" t="s">
        <v>42</v>
      </c>
      <c r="D17" s="18" t="s">
        <v>43</v>
      </c>
      <c r="E17" s="21">
        <v>195638</v>
      </c>
      <c r="F17" s="19">
        <v>2027.2</v>
      </c>
      <c r="G17" s="19">
        <v>3.09</v>
      </c>
      <c r="H17" s="22"/>
      <c r="I17" s="22"/>
      <c r="J17" s="22"/>
      <c r="K17" s="22"/>
    </row>
    <row r="18" spans="2:11">
      <c r="B18" s="20" t="s">
        <v>44</v>
      </c>
      <c r="C18" s="18" t="s">
        <v>45</v>
      </c>
      <c r="D18" s="18" t="s">
        <v>46</v>
      </c>
      <c r="E18" s="21">
        <v>53925</v>
      </c>
      <c r="F18" s="19">
        <v>2011.16</v>
      </c>
      <c r="G18" s="19">
        <v>3.06</v>
      </c>
      <c r="H18" s="22"/>
      <c r="I18" s="22"/>
      <c r="J18" s="22"/>
      <c r="K18" s="22"/>
    </row>
    <row r="19" spans="2:11">
      <c r="B19" s="20" t="s">
        <v>47</v>
      </c>
      <c r="C19" s="18" t="s">
        <v>48</v>
      </c>
      <c r="D19" s="18" t="s">
        <v>43</v>
      </c>
      <c r="E19" s="21">
        <v>77838</v>
      </c>
      <c r="F19" s="19">
        <v>1735.55</v>
      </c>
      <c r="G19" s="19">
        <v>2.64</v>
      </c>
      <c r="H19" s="22"/>
      <c r="I19" s="22"/>
      <c r="J19" s="22"/>
      <c r="K19" s="22"/>
    </row>
    <row r="20" spans="2:11">
      <c r="B20" s="20" t="s">
        <v>49</v>
      </c>
      <c r="C20" s="18" t="s">
        <v>50</v>
      </c>
      <c r="D20" s="18" t="s">
        <v>51</v>
      </c>
      <c r="E20" s="21">
        <v>135790</v>
      </c>
      <c r="F20" s="19">
        <v>1639.26</v>
      </c>
      <c r="G20" s="19">
        <v>2.5</v>
      </c>
      <c r="H20" s="22"/>
      <c r="I20" s="22"/>
      <c r="J20" s="22"/>
      <c r="K20" s="22"/>
    </row>
    <row r="21" spans="2:11">
      <c r="B21" s="20" t="s">
        <v>52</v>
      </c>
      <c r="C21" s="18" t="s">
        <v>53</v>
      </c>
      <c r="D21" s="18" t="s">
        <v>54</v>
      </c>
      <c r="E21" s="21">
        <v>92907</v>
      </c>
      <c r="F21" s="19">
        <v>1574.17</v>
      </c>
      <c r="G21" s="19">
        <v>2.4</v>
      </c>
      <c r="H21" s="22"/>
      <c r="I21" s="22"/>
      <c r="J21" s="22"/>
      <c r="K21" s="22"/>
    </row>
    <row r="22" spans="2:11">
      <c r="B22" s="20" t="s">
        <v>55</v>
      </c>
      <c r="C22" s="18" t="s">
        <v>56</v>
      </c>
      <c r="D22" s="18" t="s">
        <v>57</v>
      </c>
      <c r="E22" s="21">
        <v>630261</v>
      </c>
      <c r="F22" s="19">
        <v>1503.49</v>
      </c>
      <c r="G22" s="19">
        <v>2.29</v>
      </c>
      <c r="H22" s="22"/>
      <c r="I22" s="22"/>
      <c r="J22" s="22"/>
      <c r="K22" s="22"/>
    </row>
    <row r="23" spans="2:11">
      <c r="B23" s="20" t="s">
        <v>58</v>
      </c>
      <c r="C23" s="18" t="s">
        <v>59</v>
      </c>
      <c r="D23" s="18" t="s">
        <v>60</v>
      </c>
      <c r="E23" s="21">
        <v>134995</v>
      </c>
      <c r="F23" s="19">
        <v>1462.74</v>
      </c>
      <c r="G23" s="19">
        <v>2.23</v>
      </c>
      <c r="H23" s="22"/>
      <c r="I23" s="22"/>
      <c r="J23" s="22"/>
      <c r="K23" s="22"/>
    </row>
    <row r="24" spans="2:11">
      <c r="B24" s="20" t="s">
        <v>61</v>
      </c>
      <c r="C24" s="18" t="s">
        <v>62</v>
      </c>
      <c r="D24" s="18" t="s">
        <v>15</v>
      </c>
      <c r="E24" s="21">
        <v>1499741</v>
      </c>
      <c r="F24" s="19">
        <v>1439.75</v>
      </c>
      <c r="G24" s="19">
        <v>2.19</v>
      </c>
      <c r="H24" s="22"/>
      <c r="I24" s="22"/>
      <c r="J24" s="22"/>
      <c r="K24" s="22"/>
    </row>
    <row r="25" spans="2:11">
      <c r="B25" s="20" t="s">
        <v>63</v>
      </c>
      <c r="C25" s="18" t="s">
        <v>64</v>
      </c>
      <c r="D25" s="18" t="s">
        <v>28</v>
      </c>
      <c r="E25" s="21">
        <v>83342</v>
      </c>
      <c r="F25" s="19">
        <v>1432.57</v>
      </c>
      <c r="G25" s="19">
        <v>2.1800000000000002</v>
      </c>
      <c r="H25" s="22"/>
      <c r="I25" s="22"/>
      <c r="J25" s="22"/>
      <c r="K25" s="22"/>
    </row>
    <row r="26" spans="2:11">
      <c r="B26" s="20" t="s">
        <v>65</v>
      </c>
      <c r="C26" s="18" t="s">
        <v>66</v>
      </c>
      <c r="D26" s="18" t="s">
        <v>67</v>
      </c>
      <c r="E26" s="21">
        <v>375000</v>
      </c>
      <c r="F26" s="19">
        <v>1395.75</v>
      </c>
      <c r="G26" s="19">
        <v>2.13</v>
      </c>
      <c r="H26" s="22"/>
      <c r="I26" s="22"/>
      <c r="J26" s="22"/>
      <c r="K26" s="22"/>
    </row>
    <row r="27" spans="2:11">
      <c r="B27" s="20" t="s">
        <v>68</v>
      </c>
      <c r="C27" s="18" t="s">
        <v>69</v>
      </c>
      <c r="D27" s="18" t="s">
        <v>46</v>
      </c>
      <c r="E27" s="21">
        <v>17000</v>
      </c>
      <c r="F27" s="19">
        <v>1312.03</v>
      </c>
      <c r="G27" s="19">
        <v>2</v>
      </c>
      <c r="H27" s="22"/>
      <c r="I27" s="22"/>
      <c r="J27" s="22"/>
      <c r="K27" s="22"/>
    </row>
    <row r="28" spans="2:11">
      <c r="B28" s="20" t="s">
        <v>70</v>
      </c>
      <c r="C28" s="18" t="s">
        <v>71</v>
      </c>
      <c r="D28" s="18" t="s">
        <v>72</v>
      </c>
      <c r="E28" s="21">
        <v>115000</v>
      </c>
      <c r="F28" s="19">
        <v>1271.33</v>
      </c>
      <c r="G28" s="19">
        <v>1.94</v>
      </c>
      <c r="H28" s="22"/>
      <c r="I28" s="22"/>
      <c r="J28" s="22"/>
      <c r="K28" s="22"/>
    </row>
    <row r="29" spans="2:11">
      <c r="B29" s="20" t="s">
        <v>73</v>
      </c>
      <c r="C29" s="18" t="s">
        <v>74</v>
      </c>
      <c r="D29" s="18" t="s">
        <v>46</v>
      </c>
      <c r="E29" s="21">
        <v>279504</v>
      </c>
      <c r="F29" s="19">
        <v>1223.1099999999999</v>
      </c>
      <c r="G29" s="19">
        <v>1.86</v>
      </c>
      <c r="H29" s="22"/>
      <c r="I29" s="22"/>
      <c r="J29" s="22"/>
      <c r="K29" s="22"/>
    </row>
    <row r="30" spans="2:11">
      <c r="B30" s="20" t="s">
        <v>75</v>
      </c>
      <c r="C30" s="18" t="s">
        <v>76</v>
      </c>
      <c r="D30" s="18" t="s">
        <v>77</v>
      </c>
      <c r="E30" s="21">
        <v>523508</v>
      </c>
      <c r="F30" s="19">
        <v>1187.32</v>
      </c>
      <c r="G30" s="19">
        <v>1.81</v>
      </c>
      <c r="H30" s="22"/>
      <c r="I30" s="22"/>
      <c r="J30" s="22"/>
      <c r="K30" s="22"/>
    </row>
    <row r="31" spans="2:11">
      <c r="B31" s="20" t="s">
        <v>78</v>
      </c>
      <c r="C31" s="18" t="s">
        <v>79</v>
      </c>
      <c r="D31" s="18" t="s">
        <v>80</v>
      </c>
      <c r="E31" s="21">
        <v>225000</v>
      </c>
      <c r="F31" s="19">
        <v>1025.55</v>
      </c>
      <c r="G31" s="19">
        <v>1.56</v>
      </c>
      <c r="H31" s="22"/>
      <c r="I31" s="22"/>
      <c r="J31" s="22"/>
      <c r="K31" s="22"/>
    </row>
    <row r="32" spans="2:11">
      <c r="B32" s="20" t="s">
        <v>81</v>
      </c>
      <c r="C32" s="18" t="s">
        <v>82</v>
      </c>
      <c r="D32" s="18" t="s">
        <v>28</v>
      </c>
      <c r="E32" s="21">
        <v>96831</v>
      </c>
      <c r="F32" s="19">
        <v>950.11</v>
      </c>
      <c r="G32" s="19">
        <v>1.45</v>
      </c>
      <c r="H32" s="22"/>
      <c r="I32" s="22"/>
      <c r="J32" s="22"/>
      <c r="K32" s="22"/>
    </row>
    <row r="33" spans="2:11">
      <c r="B33" s="20" t="s">
        <v>83</v>
      </c>
      <c r="C33" s="18" t="s">
        <v>84</v>
      </c>
      <c r="D33" s="18" t="s">
        <v>43</v>
      </c>
      <c r="E33" s="21">
        <v>155063</v>
      </c>
      <c r="F33" s="19">
        <v>918.21</v>
      </c>
      <c r="G33" s="19">
        <v>1.4</v>
      </c>
      <c r="H33" s="22"/>
      <c r="I33" s="22"/>
      <c r="J33" s="22"/>
      <c r="K33" s="22"/>
    </row>
    <row r="34" spans="2:11">
      <c r="B34" s="20" t="s">
        <v>85</v>
      </c>
      <c r="C34" s="18" t="s">
        <v>86</v>
      </c>
      <c r="D34" s="18" t="s">
        <v>87</v>
      </c>
      <c r="E34" s="21">
        <v>20000</v>
      </c>
      <c r="F34" s="19">
        <v>834.18</v>
      </c>
      <c r="G34" s="19">
        <v>1.27</v>
      </c>
      <c r="H34" s="22"/>
      <c r="I34" s="22"/>
      <c r="J34" s="22"/>
      <c r="K34" s="22"/>
    </row>
    <row r="35" spans="2:11">
      <c r="B35" s="20" t="s">
        <v>88</v>
      </c>
      <c r="C35" s="18" t="s">
        <v>89</v>
      </c>
      <c r="D35" s="18" t="s">
        <v>90</v>
      </c>
      <c r="E35" s="21">
        <v>118294</v>
      </c>
      <c r="F35" s="19">
        <v>745.49</v>
      </c>
      <c r="G35" s="19">
        <v>1.1399999999999999</v>
      </c>
      <c r="H35" s="22"/>
      <c r="I35" s="22"/>
      <c r="J35" s="22"/>
      <c r="K35" s="22"/>
    </row>
    <row r="36" spans="2:11">
      <c r="B36" s="20" t="s">
        <v>91</v>
      </c>
      <c r="C36" s="18" t="s">
        <v>92</v>
      </c>
      <c r="D36" s="18" t="s">
        <v>54</v>
      </c>
      <c r="E36" s="21">
        <v>140000</v>
      </c>
      <c r="F36" s="19">
        <v>726.95</v>
      </c>
      <c r="G36" s="19">
        <v>1.1100000000000001</v>
      </c>
      <c r="H36" s="22"/>
      <c r="I36" s="22"/>
      <c r="J36" s="22"/>
      <c r="K36" s="22"/>
    </row>
    <row r="37" spans="2:11">
      <c r="B37" s="20" t="s">
        <v>93</v>
      </c>
      <c r="C37" s="18" t="s">
        <v>94</v>
      </c>
      <c r="D37" s="18" t="s">
        <v>95</v>
      </c>
      <c r="E37" s="21">
        <v>130000</v>
      </c>
      <c r="F37" s="19">
        <v>690.24</v>
      </c>
      <c r="G37" s="19">
        <v>1.05</v>
      </c>
      <c r="H37" s="22"/>
      <c r="I37" s="22"/>
      <c r="J37" s="22"/>
      <c r="K37" s="22"/>
    </row>
    <row r="38" spans="2:11">
      <c r="B38" s="20" t="s">
        <v>96</v>
      </c>
      <c r="C38" s="18" t="s">
        <v>97</v>
      </c>
      <c r="D38" s="18" t="s">
        <v>87</v>
      </c>
      <c r="E38" s="21">
        <v>107667</v>
      </c>
      <c r="F38" s="19">
        <v>651.76</v>
      </c>
      <c r="G38" s="19">
        <v>0.99</v>
      </c>
      <c r="H38" s="22"/>
      <c r="I38" s="22"/>
      <c r="J38" s="22"/>
      <c r="K38" s="22"/>
    </row>
    <row r="39" spans="2:11">
      <c r="B39" s="20" t="s">
        <v>98</v>
      </c>
      <c r="C39" s="18" t="s">
        <v>99</v>
      </c>
      <c r="D39" s="18" t="s">
        <v>100</v>
      </c>
      <c r="E39" s="21">
        <v>195620</v>
      </c>
      <c r="F39" s="19">
        <v>629.70000000000005</v>
      </c>
      <c r="G39" s="19">
        <v>0.96</v>
      </c>
      <c r="H39" s="22"/>
      <c r="I39" s="22"/>
      <c r="J39" s="22"/>
      <c r="K39" s="22"/>
    </row>
    <row r="40" spans="2:11">
      <c r="B40" s="20" t="s">
        <v>101</v>
      </c>
      <c r="C40" s="18" t="s">
        <v>102</v>
      </c>
      <c r="D40" s="18" t="s">
        <v>43</v>
      </c>
      <c r="E40" s="21">
        <v>514401</v>
      </c>
      <c r="F40" s="19">
        <v>574.07000000000005</v>
      </c>
      <c r="G40" s="19">
        <v>0.87</v>
      </c>
      <c r="H40" s="22"/>
      <c r="I40" s="22"/>
      <c r="J40" s="22"/>
      <c r="K40" s="22"/>
    </row>
    <row r="41" spans="2:11">
      <c r="B41" s="20" t="s">
        <v>103</v>
      </c>
      <c r="C41" s="18" t="s">
        <v>104</v>
      </c>
      <c r="D41" s="18" t="s">
        <v>80</v>
      </c>
      <c r="E41" s="21">
        <v>87760</v>
      </c>
      <c r="F41" s="19">
        <v>569.12</v>
      </c>
      <c r="G41" s="19">
        <v>0.87</v>
      </c>
      <c r="H41" s="22"/>
      <c r="I41" s="22"/>
      <c r="J41" s="22"/>
      <c r="K41" s="22"/>
    </row>
    <row r="42" spans="2:11">
      <c r="B42" s="20" t="s">
        <v>105</v>
      </c>
      <c r="C42" s="18" t="s">
        <v>106</v>
      </c>
      <c r="D42" s="18" t="s">
        <v>107</v>
      </c>
      <c r="E42" s="21">
        <v>143000</v>
      </c>
      <c r="F42" s="19">
        <v>554.13</v>
      </c>
      <c r="G42" s="19">
        <v>0.84</v>
      </c>
      <c r="H42" s="22"/>
      <c r="I42" s="22"/>
      <c r="J42" s="22"/>
      <c r="K42" s="22"/>
    </row>
    <row r="43" spans="2:11">
      <c r="B43" s="20" t="s">
        <v>108</v>
      </c>
      <c r="C43" s="18" t="s">
        <v>109</v>
      </c>
      <c r="D43" s="18" t="s">
        <v>18</v>
      </c>
      <c r="E43" s="21">
        <v>200000</v>
      </c>
      <c r="F43" s="19">
        <v>540.6</v>
      </c>
      <c r="G43" s="19">
        <v>0.82</v>
      </c>
      <c r="H43" s="22"/>
      <c r="I43" s="22"/>
      <c r="J43" s="22"/>
      <c r="K43" s="22"/>
    </row>
    <row r="44" spans="2:11">
      <c r="B44" s="20" t="s">
        <v>110</v>
      </c>
      <c r="C44" s="18" t="s">
        <v>111</v>
      </c>
      <c r="D44" s="18" t="s">
        <v>100</v>
      </c>
      <c r="E44" s="21">
        <v>503642</v>
      </c>
      <c r="F44" s="19">
        <v>529.08000000000004</v>
      </c>
      <c r="G44" s="19">
        <v>0.81</v>
      </c>
      <c r="H44" s="22"/>
      <c r="I44" s="22"/>
      <c r="J44" s="22"/>
      <c r="K44" s="22"/>
    </row>
    <row r="45" spans="2:11">
      <c r="B45" s="20" t="s">
        <v>112</v>
      </c>
      <c r="C45" s="18" t="s">
        <v>113</v>
      </c>
      <c r="D45" s="18" t="s">
        <v>21</v>
      </c>
      <c r="E45" s="21">
        <v>44430</v>
      </c>
      <c r="F45" s="19">
        <v>479.51</v>
      </c>
      <c r="G45" s="19">
        <v>0.73</v>
      </c>
      <c r="H45" s="22"/>
      <c r="I45" s="22"/>
      <c r="J45" s="22"/>
      <c r="K45" s="22"/>
    </row>
    <row r="46" spans="2:11">
      <c r="B46" s="20" t="s">
        <v>114</v>
      </c>
      <c r="C46" s="18" t="s">
        <v>115</v>
      </c>
      <c r="D46" s="18" t="s">
        <v>67</v>
      </c>
      <c r="E46" s="21">
        <v>105000</v>
      </c>
      <c r="F46" s="19">
        <v>464.21</v>
      </c>
      <c r="G46" s="19">
        <v>0.71</v>
      </c>
      <c r="H46" s="22"/>
      <c r="I46" s="22"/>
      <c r="J46" s="22"/>
      <c r="K46" s="22"/>
    </row>
    <row r="47" spans="2:11">
      <c r="B47" s="20" t="s">
        <v>116</v>
      </c>
      <c r="C47" s="18" t="s">
        <v>117</v>
      </c>
      <c r="D47" s="18" t="s">
        <v>21</v>
      </c>
      <c r="E47" s="21">
        <v>34394</v>
      </c>
      <c r="F47" s="19">
        <v>433.02</v>
      </c>
      <c r="G47" s="19">
        <v>0.66</v>
      </c>
      <c r="H47" s="22"/>
      <c r="I47" s="22"/>
      <c r="J47" s="22"/>
      <c r="K47" s="22"/>
    </row>
    <row r="48" spans="2:11">
      <c r="B48" s="20" t="s">
        <v>118</v>
      </c>
      <c r="C48" s="18" t="s">
        <v>119</v>
      </c>
      <c r="D48" s="18" t="s">
        <v>120</v>
      </c>
      <c r="E48" s="21">
        <v>225000</v>
      </c>
      <c r="F48" s="19">
        <v>358.09</v>
      </c>
      <c r="G48" s="19">
        <v>0.55000000000000004</v>
      </c>
      <c r="H48" s="22"/>
      <c r="I48" s="22"/>
      <c r="J48" s="22"/>
      <c r="K48" s="22"/>
    </row>
    <row r="49" spans="2:11">
      <c r="B49" s="20" t="s">
        <v>121</v>
      </c>
      <c r="C49" s="18" t="s">
        <v>122</v>
      </c>
      <c r="D49" s="18" t="s">
        <v>67</v>
      </c>
      <c r="E49" s="21">
        <v>20000</v>
      </c>
      <c r="F49" s="19">
        <v>338.46</v>
      </c>
      <c r="G49" s="19">
        <v>0.52</v>
      </c>
      <c r="H49" s="22"/>
      <c r="I49" s="22"/>
      <c r="J49" s="22"/>
      <c r="K49" s="22"/>
    </row>
    <row r="50" spans="2:11">
      <c r="B50" s="20" t="s">
        <v>123</v>
      </c>
      <c r="C50" s="18" t="s">
        <v>124</v>
      </c>
      <c r="D50" s="18" t="s">
        <v>37</v>
      </c>
      <c r="E50" s="21">
        <v>10357</v>
      </c>
      <c r="F50" s="19">
        <v>35.520000000000003</v>
      </c>
      <c r="G50" s="19">
        <v>0.05</v>
      </c>
      <c r="H50" s="22"/>
      <c r="I50" s="22"/>
      <c r="J50" s="22"/>
      <c r="K50" s="22"/>
    </row>
    <row r="51" spans="2:11">
      <c r="B51" s="23" t="s">
        <v>125</v>
      </c>
      <c r="C51" s="24"/>
      <c r="D51" s="24"/>
      <c r="E51" s="24"/>
      <c r="F51" s="25">
        <f>SUM(F7:F50)</f>
        <v>63362.309999999983</v>
      </c>
      <c r="G51" s="25">
        <f>SUM(G7:G50)</f>
        <v>96.529999999999987</v>
      </c>
      <c r="H51" s="22"/>
      <c r="I51" s="22"/>
      <c r="J51" s="22"/>
      <c r="K51" s="22"/>
    </row>
    <row r="52" spans="2:11">
      <c r="B52" s="26" t="s">
        <v>126</v>
      </c>
      <c r="C52" s="26"/>
      <c r="D52" s="26"/>
      <c r="E52" s="26"/>
      <c r="F52" s="27">
        <f>F51</f>
        <v>63362.309999999983</v>
      </c>
      <c r="G52" s="27">
        <f>G51</f>
        <v>96.529999999999987</v>
      </c>
      <c r="H52" s="22"/>
      <c r="I52" s="22"/>
      <c r="J52" s="22"/>
      <c r="K52" s="22"/>
    </row>
    <row r="53" spans="2:11">
      <c r="B53" s="28" t="s">
        <v>127</v>
      </c>
      <c r="C53" s="29"/>
      <c r="D53" s="29"/>
      <c r="E53" s="29"/>
      <c r="F53" s="30"/>
      <c r="G53" s="30"/>
      <c r="H53" s="22"/>
      <c r="I53" s="22"/>
      <c r="J53" s="22"/>
      <c r="K53" s="22"/>
    </row>
    <row r="54" spans="2:11">
      <c r="B54" s="20" t="s">
        <v>127</v>
      </c>
      <c r="C54" s="20"/>
      <c r="D54" s="18"/>
      <c r="E54" s="18"/>
      <c r="F54" s="19">
        <v>2422.94</v>
      </c>
      <c r="G54" s="19">
        <v>3.69</v>
      </c>
      <c r="H54" s="22"/>
      <c r="I54" s="22"/>
      <c r="J54" s="22"/>
      <c r="K54" s="22"/>
    </row>
    <row r="55" spans="2:11">
      <c r="B55" s="23" t="s">
        <v>125</v>
      </c>
      <c r="C55" s="24"/>
      <c r="D55" s="24"/>
      <c r="E55" s="24"/>
      <c r="F55" s="25">
        <f>SUM(F53:F54)</f>
        <v>2422.94</v>
      </c>
      <c r="G55" s="25">
        <f>SUM(G53:G54)</f>
        <v>3.69</v>
      </c>
      <c r="H55" s="22"/>
      <c r="I55" s="22"/>
      <c r="J55" s="22"/>
      <c r="K55" s="22"/>
    </row>
    <row r="56" spans="2:11">
      <c r="B56" s="31" t="s">
        <v>126</v>
      </c>
      <c r="C56" s="31"/>
      <c r="D56" s="31"/>
      <c r="E56" s="31"/>
      <c r="F56" s="32">
        <f>F55</f>
        <v>2422.94</v>
      </c>
      <c r="G56" s="32">
        <f>G55</f>
        <v>3.69</v>
      </c>
      <c r="H56" s="22"/>
      <c r="I56" s="22"/>
      <c r="J56" s="22"/>
      <c r="K56" s="22"/>
    </row>
    <row r="57" spans="2:11">
      <c r="B57" s="33" t="s">
        <v>128</v>
      </c>
      <c r="C57" s="33"/>
      <c r="D57" s="33"/>
      <c r="E57" s="33"/>
      <c r="F57" s="34">
        <f>F58-(+F52+F56)</f>
        <v>-120.67999999997846</v>
      </c>
      <c r="G57" s="34">
        <f>G58-(+G52+G56)</f>
        <v>-0.21999999999998465</v>
      </c>
      <c r="H57" s="22"/>
      <c r="I57" s="22"/>
      <c r="J57" s="22"/>
      <c r="K57" s="22"/>
    </row>
    <row r="58" spans="2:11">
      <c r="B58" s="33" t="s">
        <v>129</v>
      </c>
      <c r="C58" s="33"/>
      <c r="D58" s="33"/>
      <c r="E58" s="33"/>
      <c r="F58" s="34">
        <v>65664.570000000007</v>
      </c>
      <c r="G58" s="34">
        <v>100</v>
      </c>
      <c r="H58" s="22"/>
      <c r="I58" s="22"/>
      <c r="J58" s="22"/>
      <c r="K58" s="22"/>
    </row>
    <row r="60" spans="2:11">
      <c r="B60" s="35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&amp;C&amp;"Calibri"&amp;11&amp;KAA3399 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2022-05-06T06:27:16Z</dcterms:created>
  <dcterms:modified xsi:type="dcterms:W3CDTF">2022-05-06T06:27:16Z</dcterms:modified>
</cp:coreProperties>
</file>