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MAY'26\REVISED\"/>
    </mc:Choice>
  </mc:AlternateContent>
  <xr:revisionPtr revIDLastSave="0" documentId="8_{216331A5-A83F-49CC-8513-67F3F269EC48}" xr6:coauthVersionLast="47" xr6:coauthVersionMax="47" xr10:uidLastSave="{00000000-0000-0000-0000-000000000000}"/>
  <bookViews>
    <workbookView xWindow="-120" yWindow="-120" windowWidth="20730" windowHeight="11040" xr2:uid="{70943422-6234-4FA3-9C0F-886E88607B04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7" i="1" l="1"/>
  <c r="G38" i="1" s="1"/>
  <c r="F37" i="1"/>
  <c r="F38" i="1" s="1"/>
  <c r="G34" i="1"/>
  <c r="F34" i="1"/>
  <c r="G31" i="1"/>
  <c r="F31" i="1"/>
  <c r="G25" i="1"/>
  <c r="G26" i="1" s="1"/>
  <c r="F25" i="1"/>
  <c r="F26" i="1" s="1"/>
  <c r="G20" i="1"/>
  <c r="G21" i="1" s="1"/>
  <c r="F20" i="1"/>
  <c r="F21" i="1" s="1"/>
  <c r="F39" i="1" l="1"/>
  <c r="G3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<sst xmlns="http://schemas.openxmlformats.org/spreadsheetml/2006/main" count="119" uniqueCount="98">
  <si>
    <t>CANARA ROBECO CORPORATE BOND FUND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</si>
  <si>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</si>
  <si>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</si>
  <si>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</si>
  <si>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</si>
  <si>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</si>
  <si>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</si>
  <si>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</si>
  <si>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</si>
  <si>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May'26</t>
  </si>
  <si>
    <t>Benchmark Risk-O-Meter Level - May'26</t>
  </si>
  <si>
    <t>Scheme Risk-O-Meter Level - April'26</t>
  </si>
  <si>
    <t>Benchmark Risk-O-Meter Level - April'26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</si>
  <si>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</si>
  <si>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</si>
  <si>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</si>
  <si>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</si>
  <si>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</si>
  <si>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</si>
  <si>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</si>
  <si>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</si>
  <si>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7.51% REC Ltd (31/07/2026) **</t>
  </si>
  <si>
    <t>INE020B08EI8</t>
  </si>
  <si>
    <t>CRISIL AAA</t>
  </si>
  <si>
    <t>Relatively Low (Class I)</t>
  </si>
  <si>
    <t>8.23% Kotak Mahindra Prime Ltd (21/12/2026) **</t>
  </si>
  <si>
    <t>INE916DA7SP4</t>
  </si>
  <si>
    <t>7.63% Grasim industries Ltd (01/12/2027) **</t>
  </si>
  <si>
    <t>INE047A08208</t>
  </si>
  <si>
    <t>Moderate 
(Class II)</t>
  </si>
  <si>
    <t>7.44% Small Industries Development Bank Of India (04/09/2026) **</t>
  </si>
  <si>
    <t>INE556F08KI9</t>
  </si>
  <si>
    <t>CARE AAA</t>
  </si>
  <si>
    <t>8.45% Indian Railway Finance Corporation Ltd (04/12/2028) **</t>
  </si>
  <si>
    <t>INE053F07AY7</t>
  </si>
  <si>
    <t>Relatively High (Class III)</t>
  </si>
  <si>
    <t>B-III</t>
  </si>
  <si>
    <t>8.55% HDFC Bank Ltd (27/03/2029) **</t>
  </si>
  <si>
    <t>INE040A08724</t>
  </si>
  <si>
    <t>8.40% Power Grid Corporation of India Ltd (27/05/2027) **</t>
  </si>
  <si>
    <t>INE752E07MT2</t>
  </si>
  <si>
    <t>Benchmark: CRISIL Corporate Debt A-II Index</t>
  </si>
  <si>
    <t>8.04% Bajaj Housing Finance Ltd (18/01/2027) **</t>
  </si>
  <si>
    <t>INE377Y07441</t>
  </si>
  <si>
    <t>7.70% Power Finance Corporation Ltd (15/04/2033) **</t>
  </si>
  <si>
    <t>INE134E08MI4</t>
  </si>
  <si>
    <t>7.48% National Bank For Agriculture &amp; Rural Development (15/09/2028)</t>
  </si>
  <si>
    <t>INE261F08EO7</t>
  </si>
  <si>
    <t>6.14% Indian Oil Corporation Ltd (18/02/2027) **</t>
  </si>
  <si>
    <t>INE242A08502</t>
  </si>
  <si>
    <t>7.3763% BAJAJ FINANCE LTD 26-JUN-28</t>
  </si>
  <si>
    <t>INE296A07TJ4</t>
  </si>
  <si>
    <t>7.68% LIC Housing Finance Ltd (29/05/2034) **</t>
  </si>
  <si>
    <t>INE115A07QR5</t>
  </si>
  <si>
    <t>Sub Total</t>
  </si>
  <si>
    <t>Total</t>
  </si>
  <si>
    <t>Money Market Instruments</t>
  </si>
  <si>
    <t>Treasury Bill</t>
  </si>
  <si>
    <t>364 DTB (10-SEP-2026)</t>
  </si>
  <si>
    <t>IN002025Z245</t>
  </si>
  <si>
    <t xml:space="preserve"> Sovereign</t>
  </si>
  <si>
    <t>Government Bonds</t>
  </si>
  <si>
    <t>8.15% RAJASTHAN SDL 16-APR-29</t>
  </si>
  <si>
    <t>IN2920190021</t>
  </si>
  <si>
    <t>Sovereign</t>
  </si>
  <si>
    <t>6.94% GOI 2036 (11-MAY-2036)</t>
  </si>
  <si>
    <t>IN0020260025</t>
  </si>
  <si>
    <t>7.18% MAHARASHTRA SDL 28-JUN-29</t>
  </si>
  <si>
    <t>IN2220170038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</si>
  <si>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</si>
  <si>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</si>
  <si>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</si>
  <si>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</si>
  <si>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</si>
  <si>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</si>
  <si>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</si>
  <si>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</si>
  <si>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</si>
  <si>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</si>
  <si>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Average Maturity Yrs</t>
  </si>
  <si>
    <t>Notes</t>
  </si>
  <si>
    <t>(1) The provision made for Securities classified as below investment grade or default as of May,31 2026 is Rs Nil and its percentage to Net Asset Value is Nil.</t>
  </si>
  <si>
    <t>(2)  Plan/option wise per unit Net Asset Value are as follows:</t>
  </si>
  <si>
    <t xml:space="preserve">      Plan/Option</t>
  </si>
  <si>
    <t>As on April,30 2026</t>
  </si>
  <si>
    <t>As on May,29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</si>
  <si>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</si>
  <si>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</si>
  <si>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</si>
  <si>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</si>
  <si>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(3) No Dividend declared for the Month ended May,31 2026.</t>
  </si>
  <si>
    <t>Individuals/HUF</t>
  </si>
  <si>
    <t>Others</t>
  </si>
  <si>
    <t>(4) Total outstanding exposure in derivative instruments as on May,31 2026 is Nil.</t>
  </si>
  <si>
    <t>(5) Total Market value of investments in Foreign Securities/American Depositary Receipts/Global Depositary Receipts as at May,31 2026 is Rs. Nil .</t>
  </si>
  <si>
    <t>(6)  Details of repo transaction in corporate debt securities for the Month ended May,31 2026 is Nil.</t>
  </si>
  <si>
    <t>Please refer the below link for the performance of the Schemes managed by Canara Robeco Mutual Fund</t>
  </si>
  <si>
    <t>https://www.canararobeco.com/docs/default-source/default-document-library/Scheme_Performance_May_26.pdf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</si>
</sst>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43" fontId="4" fillId="3" borderId="0" xfId="1" applyFont="1" applyFill="1"/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3" fillId="5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164" fontId="4" fillId="3" borderId="0" xfId="0" applyNumberFormat="1" applyFont="1" applyFill="1"/>
    <xf numFmtId="0" fontId="14" fillId="6" borderId="0" xfId="0" applyFont="1" applyFill="1"/>
    <xf numFmtId="0" fontId="15" fillId="6" borderId="0" xfId="0" applyFont="1" applyFill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3261-C337-4904-86BB-8C4D9884A0BD}">
  <dimension ref="B1:S68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5703125" style="3" bestFit="1" customWidth="1"/>
    <col min="4" max="4" width="22.85546875" style="3" bestFit="1" customWidth="1"/>
    <col min="5" max="5" width="7.71093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3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4" x14ac:dyDescent="0.2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3"/>
      <c r="R6" s="23"/>
      <c r="S6" s="23"/>
    </row>
    <row r="7" spans="2:19" x14ac:dyDescent="0.2">
      <c r="B7" s="25" t="s">
        <v>21</v>
      </c>
      <c r="C7" s="25" t="s">
        <v>22</v>
      </c>
      <c r="D7" s="25" t="s">
        <v>23</v>
      </c>
      <c r="E7" s="29">
        <v>1000</v>
      </c>
      <c r="F7" s="26">
        <v>999.05</v>
      </c>
      <c r="G7" s="26">
        <v>9.26</v>
      </c>
      <c r="H7" s="26">
        <v>7.61</v>
      </c>
      <c r="K7" s="27"/>
      <c r="L7" s="21"/>
      <c r="M7" s="27"/>
      <c r="N7" s="21"/>
      <c r="P7" s="30" t="s">
        <v>24</v>
      </c>
      <c r="Q7" s="31"/>
      <c r="R7" s="31"/>
      <c r="S7" s="31"/>
    </row>
    <row r="8" spans="2:19" x14ac:dyDescent="0.2">
      <c r="B8" s="25" t="s">
        <v>25</v>
      </c>
      <c r="C8" s="25" t="s">
        <v>26</v>
      </c>
      <c r="D8" s="25" t="s">
        <v>23</v>
      </c>
      <c r="E8" s="29">
        <v>1000</v>
      </c>
      <c r="F8" s="26">
        <v>998.95</v>
      </c>
      <c r="G8" s="26">
        <v>9.26</v>
      </c>
      <c r="H8" s="26">
        <v>8.1300000000000008</v>
      </c>
      <c r="K8" s="27"/>
      <c r="L8" s="21"/>
      <c r="M8" s="27"/>
      <c r="N8" s="21"/>
      <c r="P8" s="30"/>
      <c r="Q8" s="32"/>
      <c r="R8" s="32"/>
      <c r="S8" s="32"/>
    </row>
    <row r="9" spans="2:19" x14ac:dyDescent="0.2">
      <c r="B9" s="25" t="s">
        <v>27</v>
      </c>
      <c r="C9" s="25" t="s">
        <v>28</v>
      </c>
      <c r="D9" s="25" t="s">
        <v>23</v>
      </c>
      <c r="E9" s="29">
        <v>100</v>
      </c>
      <c r="F9" s="26">
        <v>998.13</v>
      </c>
      <c r="G9" s="26">
        <v>9.26</v>
      </c>
      <c r="H9" s="26">
        <v>7.72</v>
      </c>
      <c r="K9" s="27"/>
      <c r="L9" s="21"/>
      <c r="M9" s="27"/>
      <c r="N9" s="21"/>
      <c r="P9" s="30" t="s">
        <v>29</v>
      </c>
      <c r="Q9" s="31"/>
      <c r="R9" s="31"/>
      <c r="S9" s="31"/>
    </row>
    <row r="10" spans="2:19" x14ac:dyDescent="0.2">
      <c r="B10" s="25" t="s">
        <v>30</v>
      </c>
      <c r="C10" s="25" t="s">
        <v>31</v>
      </c>
      <c r="D10" s="25" t="s">
        <v>32</v>
      </c>
      <c r="E10" s="29">
        <v>1000</v>
      </c>
      <c r="F10" s="26">
        <v>998.11</v>
      </c>
      <c r="G10" s="26">
        <v>9.26</v>
      </c>
      <c r="H10" s="26">
        <v>7.76</v>
      </c>
      <c r="K10" s="27"/>
      <c r="L10" s="21"/>
      <c r="M10" s="27"/>
      <c r="N10" s="21"/>
      <c r="P10" s="30"/>
      <c r="Q10" s="32"/>
      <c r="R10" s="32"/>
      <c r="S10" s="32"/>
    </row>
    <row r="11" spans="2:19" x14ac:dyDescent="0.2">
      <c r="B11" s="25" t="s">
        <v>33</v>
      </c>
      <c r="C11" s="25" t="s">
        <v>34</v>
      </c>
      <c r="D11" s="25" t="s">
        <v>23</v>
      </c>
      <c r="E11" s="29">
        <v>50</v>
      </c>
      <c r="F11" s="26">
        <v>507.78</v>
      </c>
      <c r="G11" s="26">
        <v>4.71</v>
      </c>
      <c r="H11" s="26">
        <v>7.73</v>
      </c>
      <c r="K11" s="27"/>
      <c r="L11" s="21"/>
      <c r="M11" s="27"/>
      <c r="N11" s="21"/>
      <c r="P11" s="30" t="s">
        <v>35</v>
      </c>
      <c r="Q11" s="31"/>
      <c r="R11" s="33" t="s">
        <v>36</v>
      </c>
      <c r="S11" s="31"/>
    </row>
    <row r="12" spans="2:19" x14ac:dyDescent="0.2">
      <c r="B12" s="25" t="s">
        <v>37</v>
      </c>
      <c r="C12" s="25" t="s">
        <v>38</v>
      </c>
      <c r="D12" s="25" t="s">
        <v>23</v>
      </c>
      <c r="E12" s="29">
        <v>50</v>
      </c>
      <c r="F12" s="26">
        <v>507.51</v>
      </c>
      <c r="G12" s="26">
        <v>4.71</v>
      </c>
      <c r="H12" s="26">
        <v>7.92</v>
      </c>
      <c r="K12" s="34"/>
      <c r="L12" s="21"/>
      <c r="M12" s="34"/>
      <c r="N12" s="21"/>
      <c r="P12" s="30"/>
      <c r="Q12" s="32"/>
      <c r="R12" s="35"/>
      <c r="S12" s="32"/>
    </row>
    <row r="13" spans="2:19" x14ac:dyDescent="0.2">
      <c r="B13" s="25" t="s">
        <v>39</v>
      </c>
      <c r="C13" s="25" t="s">
        <v>40</v>
      </c>
      <c r="D13" s="25" t="s">
        <v>23</v>
      </c>
      <c r="E13" s="29">
        <v>50</v>
      </c>
      <c r="F13" s="26">
        <v>502.48</v>
      </c>
      <c r="G13" s="26">
        <v>4.66</v>
      </c>
      <c r="H13" s="26">
        <v>7.85</v>
      </c>
      <c r="K13" s="36"/>
      <c r="L13" s="3" t="s">
        <v>41</v>
      </c>
      <c r="M13" s="36"/>
      <c r="N13" s="36"/>
    </row>
    <row r="14" spans="2:19" x14ac:dyDescent="0.2">
      <c r="B14" s="25" t="s">
        <v>42</v>
      </c>
      <c r="C14" s="25" t="s">
        <v>43</v>
      </c>
      <c r="D14" s="25" t="s">
        <v>23</v>
      </c>
      <c r="E14" s="29">
        <v>500</v>
      </c>
      <c r="F14" s="26">
        <v>499.36</v>
      </c>
      <c r="G14" s="26">
        <v>4.63</v>
      </c>
      <c r="H14" s="26">
        <v>8.01</v>
      </c>
    </row>
    <row r="15" spans="2:19" x14ac:dyDescent="0.2">
      <c r="B15" s="25" t="s">
        <v>44</v>
      </c>
      <c r="C15" s="25" t="s">
        <v>45</v>
      </c>
      <c r="D15" s="25" t="s">
        <v>23</v>
      </c>
      <c r="E15" s="29">
        <v>500</v>
      </c>
      <c r="F15" s="26">
        <v>497.5</v>
      </c>
      <c r="G15" s="26">
        <v>4.6100000000000003</v>
      </c>
      <c r="H15" s="26">
        <v>7.79</v>
      </c>
    </row>
    <row r="16" spans="2:19" x14ac:dyDescent="0.2">
      <c r="B16" s="25" t="s">
        <v>46</v>
      </c>
      <c r="C16" s="25" t="s">
        <v>47</v>
      </c>
      <c r="D16" s="25" t="s">
        <v>23</v>
      </c>
      <c r="E16" s="29">
        <v>500</v>
      </c>
      <c r="F16" s="26">
        <v>496.52</v>
      </c>
      <c r="G16" s="26">
        <v>4.5999999999999996</v>
      </c>
      <c r="H16" s="26">
        <v>7.79</v>
      </c>
    </row>
    <row r="17" spans="2:9" x14ac:dyDescent="0.2">
      <c r="B17" s="25" t="s">
        <v>48</v>
      </c>
      <c r="C17" s="25" t="s">
        <v>49</v>
      </c>
      <c r="D17" s="25" t="s">
        <v>23</v>
      </c>
      <c r="E17" s="29">
        <v>50</v>
      </c>
      <c r="F17" s="26">
        <v>493.98</v>
      </c>
      <c r="G17" s="26">
        <v>4.58</v>
      </c>
      <c r="H17" s="26">
        <v>7.78</v>
      </c>
    </row>
    <row r="18" spans="2:9" x14ac:dyDescent="0.2">
      <c r="B18" s="25" t="s">
        <v>50</v>
      </c>
      <c r="C18" s="25" t="s">
        <v>51</v>
      </c>
      <c r="D18" s="25" t="s">
        <v>23</v>
      </c>
      <c r="E18" s="29">
        <v>500</v>
      </c>
      <c r="F18" s="26">
        <v>493.22</v>
      </c>
      <c r="G18" s="26">
        <v>4.57</v>
      </c>
      <c r="H18" s="26">
        <v>8.1</v>
      </c>
    </row>
    <row r="19" spans="2:9" x14ac:dyDescent="0.2">
      <c r="B19" s="25" t="s">
        <v>52</v>
      </c>
      <c r="C19" s="25" t="s">
        <v>53</v>
      </c>
      <c r="D19" s="25" t="s">
        <v>23</v>
      </c>
      <c r="E19" s="29">
        <v>500</v>
      </c>
      <c r="F19" s="26">
        <v>492.93</v>
      </c>
      <c r="G19" s="26">
        <v>4.57</v>
      </c>
      <c r="H19" s="26">
        <v>7.93</v>
      </c>
    </row>
    <row r="20" spans="2:9" x14ac:dyDescent="0.2">
      <c r="B20" s="37" t="s">
        <v>54</v>
      </c>
      <c r="C20" s="37"/>
      <c r="D20" s="37"/>
      <c r="E20" s="37"/>
      <c r="F20" s="38">
        <f>SUM(F6:F19)</f>
        <v>8485.5199999999986</v>
      </c>
      <c r="G20" s="38">
        <f>SUM(G6:G19)</f>
        <v>78.680000000000007</v>
      </c>
      <c r="H20" s="39"/>
      <c r="I20" s="40"/>
    </row>
    <row r="21" spans="2:9" x14ac:dyDescent="0.2">
      <c r="B21" s="41" t="s">
        <v>55</v>
      </c>
      <c r="C21" s="41"/>
      <c r="D21" s="41"/>
      <c r="E21" s="41"/>
      <c r="F21" s="42">
        <f>F20</f>
        <v>8485.5199999999986</v>
      </c>
      <c r="G21" s="42">
        <f>G20</f>
        <v>78.680000000000007</v>
      </c>
      <c r="H21" s="42"/>
      <c r="I21" s="40"/>
    </row>
    <row r="22" spans="2:9" x14ac:dyDescent="0.2">
      <c r="B22" s="24" t="s">
        <v>56</v>
      </c>
      <c r="C22" s="25"/>
      <c r="D22" s="25"/>
      <c r="E22" s="25"/>
      <c r="F22" s="26"/>
      <c r="G22" s="26"/>
      <c r="H22" s="26"/>
    </row>
    <row r="23" spans="2:9" x14ac:dyDescent="0.2">
      <c r="B23" s="24" t="s">
        <v>57</v>
      </c>
      <c r="C23" s="25"/>
      <c r="D23" s="25"/>
      <c r="E23" s="25"/>
      <c r="F23" s="26"/>
      <c r="G23" s="26"/>
      <c r="H23" s="26"/>
    </row>
    <row r="24" spans="2:9" x14ac:dyDescent="0.2">
      <c r="B24" s="25" t="s">
        <v>58</v>
      </c>
      <c r="C24" s="25" t="s">
        <v>59</v>
      </c>
      <c r="D24" s="25" t="s">
        <v>60</v>
      </c>
      <c r="E24" s="29">
        <v>100000</v>
      </c>
      <c r="F24" s="26">
        <v>98.49</v>
      </c>
      <c r="G24" s="26">
        <v>0.91</v>
      </c>
      <c r="H24" s="26">
        <v>5.56</v>
      </c>
    </row>
    <row r="25" spans="2:9" x14ac:dyDescent="0.2">
      <c r="B25" s="37" t="s">
        <v>54</v>
      </c>
      <c r="C25" s="37"/>
      <c r="D25" s="37"/>
      <c r="E25" s="37"/>
      <c r="F25" s="38">
        <f>SUM(F23:F24)</f>
        <v>98.49</v>
      </c>
      <c r="G25" s="38">
        <f>SUM(G23:G24)</f>
        <v>0.91</v>
      </c>
      <c r="H25" s="39"/>
      <c r="I25" s="40"/>
    </row>
    <row r="26" spans="2:9" x14ac:dyDescent="0.2">
      <c r="B26" s="41" t="s">
        <v>55</v>
      </c>
      <c r="C26" s="41"/>
      <c r="D26" s="41"/>
      <c r="E26" s="41"/>
      <c r="F26" s="42">
        <f>+F25</f>
        <v>98.49</v>
      </c>
      <c r="G26" s="42">
        <f>+G25</f>
        <v>0.91</v>
      </c>
      <c r="H26" s="42"/>
      <c r="I26" s="40"/>
    </row>
    <row r="27" spans="2:9" x14ac:dyDescent="0.2">
      <c r="B27" s="24" t="s">
        <v>61</v>
      </c>
      <c r="C27" s="25"/>
      <c r="D27" s="25"/>
      <c r="E27" s="25"/>
      <c r="F27" s="26"/>
      <c r="G27" s="26"/>
      <c r="H27" s="26"/>
    </row>
    <row r="28" spans="2:9" x14ac:dyDescent="0.2">
      <c r="B28" s="25" t="s">
        <v>62</v>
      </c>
      <c r="C28" s="25" t="s">
        <v>63</v>
      </c>
      <c r="D28" s="25" t="s">
        <v>64</v>
      </c>
      <c r="E28" s="29">
        <v>500000</v>
      </c>
      <c r="F28" s="26">
        <v>510.05</v>
      </c>
      <c r="G28" s="26">
        <v>4.7300000000000004</v>
      </c>
      <c r="H28" s="26">
        <v>7.49</v>
      </c>
    </row>
    <row r="29" spans="2:9" x14ac:dyDescent="0.2">
      <c r="B29" s="25" t="s">
        <v>65</v>
      </c>
      <c r="C29" s="25" t="s">
        <v>66</v>
      </c>
      <c r="D29" s="25" t="s">
        <v>64</v>
      </c>
      <c r="E29" s="29">
        <v>500000</v>
      </c>
      <c r="F29" s="26">
        <v>498.7</v>
      </c>
      <c r="G29" s="26">
        <v>4.62</v>
      </c>
      <c r="H29" s="26">
        <v>7.1</v>
      </c>
    </row>
    <row r="30" spans="2:9" x14ac:dyDescent="0.2">
      <c r="B30" s="43" t="s">
        <v>67</v>
      </c>
      <c r="C30" s="43" t="s">
        <v>68</v>
      </c>
      <c r="D30" s="43" t="s">
        <v>64</v>
      </c>
      <c r="E30" s="44">
        <v>500000</v>
      </c>
      <c r="F30" s="45">
        <v>498.4</v>
      </c>
      <c r="G30" s="45">
        <v>4.62</v>
      </c>
      <c r="H30" s="45">
        <v>7.43</v>
      </c>
    </row>
    <row r="31" spans="2:9" x14ac:dyDescent="0.2">
      <c r="B31" s="46" t="s">
        <v>55</v>
      </c>
      <c r="C31" s="46"/>
      <c r="D31" s="46"/>
      <c r="E31" s="46"/>
      <c r="F31" s="47">
        <f>SUM(F28:F30)</f>
        <v>1507.15</v>
      </c>
      <c r="G31" s="47">
        <f>SUM(G28:G30)</f>
        <v>13.970000000000002</v>
      </c>
      <c r="H31" s="47"/>
      <c r="I31" s="40"/>
    </row>
    <row r="32" spans="2:9" x14ac:dyDescent="0.2">
      <c r="B32" s="24" t="s">
        <v>69</v>
      </c>
      <c r="C32" s="25"/>
      <c r="D32" s="25"/>
      <c r="E32" s="25"/>
      <c r="F32" s="26"/>
      <c r="G32" s="26"/>
      <c r="H32" s="26"/>
    </row>
    <row r="33" spans="2:9" x14ac:dyDescent="0.2">
      <c r="B33" s="43" t="s">
        <v>70</v>
      </c>
      <c r="C33" s="43" t="s">
        <v>71</v>
      </c>
      <c r="D33" s="43" t="s">
        <v>69</v>
      </c>
      <c r="E33" s="44">
        <v>488.87599999999998</v>
      </c>
      <c r="F33" s="45">
        <v>57.63</v>
      </c>
      <c r="G33" s="45">
        <v>0.53</v>
      </c>
      <c r="H33" s="45">
        <v>5.8</v>
      </c>
    </row>
    <row r="34" spans="2:9" x14ac:dyDescent="0.2">
      <c r="B34" s="46" t="s">
        <v>55</v>
      </c>
      <c r="C34" s="46"/>
      <c r="D34" s="46"/>
      <c r="E34" s="46"/>
      <c r="F34" s="47">
        <f>SUM(F33:F33)</f>
        <v>57.63</v>
      </c>
      <c r="G34" s="47">
        <f>SUM(G33:G33)</f>
        <v>0.53</v>
      </c>
      <c r="H34" s="47"/>
      <c r="I34" s="40"/>
    </row>
    <row r="35" spans="2:9" x14ac:dyDescent="0.2">
      <c r="B35" s="24" t="s">
        <v>72</v>
      </c>
      <c r="C35" s="25"/>
      <c r="D35" s="25"/>
      <c r="E35" s="25"/>
      <c r="F35" s="26"/>
      <c r="G35" s="26"/>
      <c r="H35" s="26"/>
    </row>
    <row r="36" spans="2:9" x14ac:dyDescent="0.2">
      <c r="B36" s="25" t="s">
        <v>72</v>
      </c>
      <c r="C36" s="25"/>
      <c r="D36" s="25"/>
      <c r="E36" s="25"/>
      <c r="F36" s="26">
        <v>263.52</v>
      </c>
      <c r="G36" s="26">
        <v>2.44</v>
      </c>
      <c r="H36" s="26"/>
    </row>
    <row r="37" spans="2:9" x14ac:dyDescent="0.2">
      <c r="B37" s="37" t="s">
        <v>54</v>
      </c>
      <c r="C37" s="37"/>
      <c r="D37" s="37"/>
      <c r="E37" s="37"/>
      <c r="F37" s="38">
        <f>SUM(F35:F36)</f>
        <v>263.52</v>
      </c>
      <c r="G37" s="38">
        <f>SUM(G35:G36)</f>
        <v>2.44</v>
      </c>
      <c r="H37" s="39"/>
      <c r="I37" s="40"/>
    </row>
    <row r="38" spans="2:9" x14ac:dyDescent="0.2">
      <c r="B38" s="48" t="s">
        <v>55</v>
      </c>
      <c r="C38" s="48"/>
      <c r="D38" s="48"/>
      <c r="E38" s="48"/>
      <c r="F38" s="49">
        <f>F37</f>
        <v>263.52</v>
      </c>
      <c r="G38" s="49">
        <f>G37</f>
        <v>2.44</v>
      </c>
      <c r="H38" s="49"/>
      <c r="I38" s="40"/>
    </row>
    <row r="39" spans="2:9" x14ac:dyDescent="0.2">
      <c r="B39" s="50" t="s">
        <v>73</v>
      </c>
      <c r="C39" s="50"/>
      <c r="D39" s="50"/>
      <c r="E39" s="50"/>
      <c r="F39" s="51">
        <f>F40-(+F21+F26+F31+F34+F38)</f>
        <v>371.82000000000153</v>
      </c>
      <c r="G39" s="51">
        <f>G40-(+G21+G26+G31+G34+G38)</f>
        <v>3.4699999999999989</v>
      </c>
      <c r="H39" s="51"/>
      <c r="I39" s="40"/>
    </row>
    <row r="40" spans="2:9" x14ac:dyDescent="0.2">
      <c r="B40" s="50" t="s">
        <v>74</v>
      </c>
      <c r="C40" s="50"/>
      <c r="D40" s="50"/>
      <c r="E40" s="50"/>
      <c r="F40" s="51">
        <v>10784.13</v>
      </c>
      <c r="G40" s="51">
        <v>100</v>
      </c>
      <c r="H40" s="51"/>
      <c r="I40" s="40"/>
    </row>
    <row r="42" spans="2:9" x14ac:dyDescent="0.2">
      <c r="B42" s="40" t="s">
        <v>75</v>
      </c>
    </row>
    <row r="43" spans="2:9" ht="12.75" thickBot="1" x14ac:dyDescent="0.25"/>
    <row r="44" spans="2:9" ht="13.5" thickTop="1" thickBot="1" x14ac:dyDescent="0.25">
      <c r="B44" s="52" t="s">
        <v>76</v>
      </c>
      <c r="C44" s="53">
        <v>1.7983</v>
      </c>
    </row>
    <row r="45" spans="2:9" ht="13.5" thickTop="1" thickBot="1" x14ac:dyDescent="0.25"/>
    <row r="46" spans="2:9" ht="13.5" thickTop="1" thickBot="1" x14ac:dyDescent="0.25">
      <c r="B46" s="52" t="s">
        <v>77</v>
      </c>
      <c r="C46" s="54">
        <v>7.5899999999999995E-2</v>
      </c>
    </row>
    <row r="47" spans="2:9" ht="13.5" thickTop="1" thickBot="1" x14ac:dyDescent="0.25"/>
    <row r="48" spans="2:9" ht="13.5" thickTop="1" thickBot="1" x14ac:dyDescent="0.25">
      <c r="B48" s="52" t="s">
        <v>78</v>
      </c>
      <c r="C48" s="53">
        <v>1.9097999999999999</v>
      </c>
    </row>
    <row r="49" spans="2:7" ht="13.5" thickTop="1" thickBot="1" x14ac:dyDescent="0.25"/>
    <row r="50" spans="2:7" ht="13.5" thickTop="1" thickBot="1" x14ac:dyDescent="0.25">
      <c r="B50" s="52" t="s">
        <v>79</v>
      </c>
      <c r="C50" s="53">
        <v>2.3075999999999999</v>
      </c>
    </row>
    <row r="51" spans="2:7" ht="12.75" thickTop="1" x14ac:dyDescent="0.2"/>
    <row r="52" spans="2:7" x14ac:dyDescent="0.2">
      <c r="B52" s="40" t="s">
        <v>80</v>
      </c>
    </row>
    <row r="53" spans="2:7" x14ac:dyDescent="0.2">
      <c r="B53" s="3" t="s">
        <v>81</v>
      </c>
    </row>
    <row r="54" spans="2:7" x14ac:dyDescent="0.2">
      <c r="B54" s="3" t="s">
        <v>82</v>
      </c>
    </row>
    <row r="55" spans="2:7" x14ac:dyDescent="0.2">
      <c r="B55" s="40" t="s">
        <v>83</v>
      </c>
      <c r="C55" s="40"/>
      <c r="D55" s="40" t="s">
        <v>84</v>
      </c>
      <c r="E55" s="40" t="s">
        <v>85</v>
      </c>
    </row>
    <row r="56" spans="2:7" x14ac:dyDescent="0.2">
      <c r="B56" s="3" t="s">
        <v>86</v>
      </c>
      <c r="D56" s="3">
        <v>22.384899999999998</v>
      </c>
      <c r="E56" s="3">
        <v>22.4115</v>
      </c>
      <c r="G56" s="55"/>
    </row>
    <row r="57" spans="2:7" x14ac:dyDescent="0.2">
      <c r="B57" s="3" t="s">
        <v>87</v>
      </c>
      <c r="D57" s="3">
        <v>11.6351</v>
      </c>
      <c r="E57" s="3">
        <v>11.648899999999999</v>
      </c>
      <c r="G57" s="55"/>
    </row>
    <row r="58" spans="2:7" x14ac:dyDescent="0.2">
      <c r="B58" s="3" t="s">
        <v>88</v>
      </c>
      <c r="D58" s="3">
        <v>24.113700000000001</v>
      </c>
      <c r="E58" s="3">
        <v>24.154399999999999</v>
      </c>
      <c r="G58" s="55"/>
    </row>
    <row r="59" spans="2:7" x14ac:dyDescent="0.2">
      <c r="B59" s="3" t="s">
        <v>89</v>
      </c>
      <c r="D59" s="3">
        <v>12.515700000000001</v>
      </c>
      <c r="E59" s="3">
        <v>12.536799999999999</v>
      </c>
      <c r="G59" s="55"/>
    </row>
    <row r="60" spans="2:7" x14ac:dyDescent="0.2">
      <c r="G60" s="55"/>
    </row>
    <row r="61" spans="2:7" x14ac:dyDescent="0.2">
      <c r="B61" s="3" t="s">
        <v>90</v>
      </c>
      <c r="C61" s="56"/>
      <c r="D61" s="57" t="s">
        <v>91</v>
      </c>
      <c r="E61" s="57" t="s">
        <v>92</v>
      </c>
      <c r="G61" s="55"/>
    </row>
    <row r="62" spans="2:7" x14ac:dyDescent="0.2">
      <c r="B62" s="3" t="s">
        <v>93</v>
      </c>
    </row>
    <row r="63" spans="2:7" x14ac:dyDescent="0.2">
      <c r="B63" s="3" t="s">
        <v>94</v>
      </c>
    </row>
    <row r="64" spans="2:7" x14ac:dyDescent="0.2">
      <c r="B64" s="3" t="s">
        <v>95</v>
      </c>
    </row>
    <row r="65" spans="2:5" x14ac:dyDescent="0.2">
      <c r="B65" s="40"/>
      <c r="C65" s="40"/>
      <c r="D65" s="40"/>
      <c r="E65" s="40"/>
    </row>
    <row r="66" spans="2:5" x14ac:dyDescent="0.2">
      <c r="B66" s="40" t="s">
        <v>96</v>
      </c>
    </row>
    <row r="68" spans="2:5" ht="15" x14ac:dyDescent="0.2">
      <c r="B68" s="58" t="s">
        <v>97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68" r:id="rId1" display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xr:uid="{E95C324D-F313-44FE-A855-BBF6AA135EC8}"/>
  </hyperlinks>
  <pageMargins left="0.7" right="0.7" top="0.75" bottom="0.75" header="0.3" footer="0.3"/>
  <pageSetup paperSize="9" orientation="portrait" r:id="rId2"/>
  <headerFooter>
    <oddHeader>&amp;L&amp;"Calibri"&amp;11&amp;K008000 MIS Internal</oddHeader>
    <oddFooter>&amp;L&amp;"Calibri"&amp;11&amp;K008000 MIS Internal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2026-06-08 17:45:47</KDate>
  <Classification>MIS INTERNAL</Classification>
  <Subclassification/>
  <HostName>MUMCMP01323</HostName>
  <Domain_User>CANARAROBECOMF/628</Domain_User>
  <IPAdd>192.9.198.196</IPAdd>
  <FilePath>Book26</FilePath>
  <KID>109819A0F0A5639165375470307677</KID>
  <UniqueName/>
  <Suggested/>
  <Justification/>
  <KlassifyGUID/>
</Klassify>
</file>

<file path=customXml/itemProps1.xml><?xml version="1.0" encoding="utf-8"?>
<ds:datastoreItem xmlns:ds="http://schemas.openxmlformats.org/officeDocument/2006/customXml" ds:itemID="{C1F46BA3-182D-4450-AEBD-C018A302D9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2026-06-08T12:15:42Z</dcterms:created>
  <dcterms:modified xsi:type="dcterms:W3CDTF">2026-06-08T12:15:47Z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109819A0F0A5639165375470307677</vt:lpwstr>
  </property>
</Properties>
</file>