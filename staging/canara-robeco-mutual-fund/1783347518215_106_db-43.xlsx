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D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G26" i="1" s="1"/>
  <c r="F25" i="1"/>
  <c r="F26" i="1" s="1"/>
  <c r="G22" i="1"/>
  <c r="F22" i="1"/>
  <c r="G19" i="1"/>
  <c r="F19" i="1"/>
  <c r="G8" i="1"/>
  <c r="G9" i="1" s="1"/>
  <c r="G27" i="1" s="1"/>
  <c r="F8" i="1"/>
  <c r="F9" i="1" s="1"/>
  <c r="F27" i="1" s="1"/>
</calcChain>
</file>

<file path=xl/sharedStrings.xml><?xml version="1.0" encoding="utf-8"?>
<sst xmlns="http://schemas.openxmlformats.org/spreadsheetml/2006/main" count="71" uniqueCount="58">
  <si>
    <t>CANARA ROBECO DYNAMIC BOND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</si>
  <si>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</si>
  <si>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</si>
  <si>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</si>
  <si>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</si>
  <si>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</si>
  <si>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</si>
  <si>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</si>
  <si>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</si>
  <si>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Feb'24</t>
  </si>
  <si>
    <t>Benchmark Risk-o-meter Level- Feb'24</t>
  </si>
  <si>
    <t>Scheme Risk-o-meter Level- Jan'24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</si>
  <si>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</si>
  <si>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</si>
  <si>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</si>
  <si>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</si>
  <si>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</si>
  <si>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</si>
  <si>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</si>
  <si>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</si>
  <si>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7.75% HDFC Bank Ltd (13/06/2033) **</t>
  </si>
  <si>
    <t>INE040A08AF2</t>
  </si>
  <si>
    <t>CRISIL AAA</t>
  </si>
  <si>
    <t>Relatively Low (Class I)</t>
  </si>
  <si>
    <t>Sub Total</t>
  </si>
  <si>
    <t>Total</t>
  </si>
  <si>
    <t>Moderate 
(Class II)</t>
  </si>
  <si>
    <t>Government Bonds</t>
  </si>
  <si>
    <t>7.18% GOI 2037 (24-JUL-2037)</t>
  </si>
  <si>
    <t>IN0020230077</t>
  </si>
  <si>
    <t>Sovereign</t>
  </si>
  <si>
    <t>Relatively High (Class III)</t>
  </si>
  <si>
    <t>B-III</t>
  </si>
  <si>
    <t>7.18% GOI 2037 (14-AUG-2033)</t>
  </si>
  <si>
    <t>IN0020230085</t>
  </si>
  <si>
    <t>7.30% GOI 2053 (19-JUN-2053)</t>
  </si>
  <si>
    <t>IN0020230051</t>
  </si>
  <si>
    <t>Benchmark: CRISIL Dynamic Bond B-III Index</t>
  </si>
  <si>
    <t>7.17% GOI 2030 (17-APR-2030)</t>
  </si>
  <si>
    <t>IN0020230036</t>
  </si>
  <si>
    <t>7.25% GOI 2063 (12-JUN-2063)</t>
  </si>
  <si>
    <t>IN0020230044</t>
  </si>
  <si>
    <t>7.38% GOI 20-JUN-27</t>
  </si>
  <si>
    <t>IN0020220037</t>
  </si>
  <si>
    <t>7.26% GOI 22-AUG-32</t>
  </si>
  <si>
    <t>IN0020220060</t>
  </si>
  <si>
    <t>6.68% INDIA GOVERNMENT 17-SEP-31</t>
  </si>
  <si>
    <t>IN0020170042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</si>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</sst>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64717</xdr:rowOff>
    </xdr:from>
    <xdr:ext cx="1930775" cy="1230684"/>
    <xdr:pic>
      <xdr:nvPicPr>
        <xdr:cNvPr id="2" name="Picture 1">
          <a:extLst>
            <a:ext uri="{FF2B5EF4-FFF2-40B4-BE49-F238E27FC236}">
              <a16:creationId xmlns:a16="http://schemas.microsoft.com/office/drawing/2014/main" id="{30ACE50C-9149-49AC-BE17-2126DD6CD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8375" y="1055317"/>
          <a:ext cx="1930775" cy="1230684"/>
        </a:xfrm>
        <a:prstGeom prst="rect">
          <a:avLst/>
        </a:prstGeom>
      </xdr:spPr>
    </xdr:pic>
    <xdr:clientData/>
  </xdr:oneCellAnchor>
  <xdr:oneCellAnchor>
    <xdr:from>
      <xdr:col>10</xdr:col>
      <xdr:colOff>124946</xdr:colOff>
      <xdr:row>4</xdr:row>
      <xdr:rowOff>75081</xdr:rowOff>
    </xdr:from>
    <xdr:ext cx="2014901" cy="1206904"/>
    <xdr:pic>
      <xdr:nvPicPr>
        <xdr:cNvPr id="3" name="Picture 2">
          <a:extLst>
            <a:ext uri="{FF2B5EF4-FFF2-40B4-BE49-F238E27FC236}">
              <a16:creationId xmlns:a16="http://schemas.microsoft.com/office/drawing/2014/main" id="{A02AC030-CBD8-483F-824B-4AB2744EB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40771" y="1065681"/>
          <a:ext cx="2014901" cy="1206904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64717</xdr:rowOff>
    </xdr:from>
    <xdr:ext cx="1930775" cy="1230684"/>
    <xdr:pic>
      <xdr:nvPicPr>
        <xdr:cNvPr id="4" name="Picture 3">
          <a:extLst>
            <a:ext uri="{FF2B5EF4-FFF2-40B4-BE49-F238E27FC236}">
              <a16:creationId xmlns:a16="http://schemas.microsoft.com/office/drawing/2014/main" id="{C69BFE26-4342-4D1C-9F8B-C17B966D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52250" y="1055317"/>
          <a:ext cx="1930775" cy="1230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9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42578125" style="3" bestFit="1" customWidth="1"/>
    <col min="4" max="4" width="22.85546875" style="3" bestFit="1" customWidth="1"/>
    <col min="5" max="5" width="8.85546875" style="3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10" style="3" bestFit="1" customWidth="1"/>
    <col min="10" max="10" width="31.5703125" style="4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7"/>
      <c r="K6" s="27"/>
      <c r="L6" s="27"/>
      <c r="N6" s="28" t="s">
        <v>19</v>
      </c>
      <c r="O6" s="29"/>
      <c r="P6" s="29"/>
      <c r="Q6" s="29"/>
    </row>
    <row r="7" spans="2:17" x14ac:dyDescent="0.2">
      <c r="B7" s="25" t="s">
        <v>20</v>
      </c>
      <c r="C7" s="25" t="s">
        <v>21</v>
      </c>
      <c r="D7" s="25" t="s">
        <v>22</v>
      </c>
      <c r="E7" s="30">
        <v>1000</v>
      </c>
      <c r="F7" s="26">
        <v>1002.81</v>
      </c>
      <c r="G7" s="26">
        <v>8.9600000000000009</v>
      </c>
      <c r="H7" s="26">
        <v>7.7</v>
      </c>
      <c r="I7" s="4"/>
      <c r="J7" s="27"/>
      <c r="K7" s="27"/>
      <c r="L7" s="27"/>
      <c r="N7" s="31" t="s">
        <v>23</v>
      </c>
      <c r="O7" s="32"/>
      <c r="P7" s="32"/>
      <c r="Q7" s="32"/>
    </row>
    <row r="8" spans="2:17" x14ac:dyDescent="0.2">
      <c r="B8" s="33" t="s">
        <v>24</v>
      </c>
      <c r="C8" s="33"/>
      <c r="D8" s="33"/>
      <c r="E8" s="33"/>
      <c r="F8" s="34">
        <f>SUM(F6:F7)</f>
        <v>1002.81</v>
      </c>
      <c r="G8" s="34">
        <f>SUM(G6:G7)</f>
        <v>8.9600000000000009</v>
      </c>
      <c r="H8" s="35"/>
      <c r="I8" s="4"/>
      <c r="J8" s="27"/>
      <c r="K8" s="27"/>
      <c r="L8" s="27"/>
      <c r="N8" s="36"/>
      <c r="O8" s="37"/>
      <c r="P8" s="37"/>
      <c r="Q8" s="37"/>
    </row>
    <row r="9" spans="2:17" x14ac:dyDescent="0.2">
      <c r="B9" s="38" t="s">
        <v>25</v>
      </c>
      <c r="C9" s="38"/>
      <c r="D9" s="38"/>
      <c r="E9" s="38"/>
      <c r="F9" s="39">
        <f>F8</f>
        <v>1002.81</v>
      </c>
      <c r="G9" s="39">
        <f>G8</f>
        <v>8.9600000000000009</v>
      </c>
      <c r="H9" s="39"/>
      <c r="I9" s="4"/>
      <c r="J9" s="27"/>
      <c r="K9" s="27"/>
      <c r="L9" s="27"/>
      <c r="N9" s="31" t="s">
        <v>26</v>
      </c>
      <c r="O9" s="32"/>
      <c r="P9" s="32"/>
      <c r="Q9" s="32"/>
    </row>
    <row r="10" spans="2:17" x14ac:dyDescent="0.2">
      <c r="B10" s="24" t="s">
        <v>27</v>
      </c>
      <c r="C10" s="25"/>
      <c r="D10" s="25"/>
      <c r="E10" s="25"/>
      <c r="F10" s="26"/>
      <c r="G10" s="26"/>
      <c r="H10" s="26"/>
      <c r="I10" s="4"/>
      <c r="J10" s="27"/>
      <c r="K10" s="27"/>
      <c r="L10" s="27"/>
      <c r="N10" s="36"/>
      <c r="O10" s="37"/>
      <c r="P10" s="37"/>
      <c r="Q10" s="37"/>
    </row>
    <row r="11" spans="2:17" x14ac:dyDescent="0.2">
      <c r="B11" s="25" t="s">
        <v>28</v>
      </c>
      <c r="C11" s="25" t="s">
        <v>29</v>
      </c>
      <c r="D11" s="25" t="s">
        <v>30</v>
      </c>
      <c r="E11" s="30">
        <v>3600000</v>
      </c>
      <c r="F11" s="26">
        <v>3614.82</v>
      </c>
      <c r="G11" s="26">
        <v>32.299999999999997</v>
      </c>
      <c r="H11" s="26">
        <v>7.26</v>
      </c>
      <c r="I11" s="4"/>
      <c r="J11" s="27"/>
      <c r="K11" s="27"/>
      <c r="L11" s="27"/>
      <c r="N11" s="31" t="s">
        <v>31</v>
      </c>
      <c r="O11" s="32"/>
      <c r="P11" s="40" t="s">
        <v>32</v>
      </c>
      <c r="Q11" s="32"/>
    </row>
    <row r="12" spans="2:17" x14ac:dyDescent="0.2">
      <c r="B12" s="25" t="s">
        <v>33</v>
      </c>
      <c r="C12" s="25" t="s">
        <v>34</v>
      </c>
      <c r="D12" s="25" t="s">
        <v>30</v>
      </c>
      <c r="E12" s="30">
        <v>1500000</v>
      </c>
      <c r="F12" s="26">
        <v>1510.35</v>
      </c>
      <c r="G12" s="26">
        <v>13.5</v>
      </c>
      <c r="H12" s="26">
        <v>7.2</v>
      </c>
      <c r="I12" s="4"/>
      <c r="J12" s="41"/>
      <c r="K12" s="41"/>
      <c r="L12" s="41"/>
      <c r="N12" s="36"/>
      <c r="O12" s="37"/>
      <c r="P12" s="42"/>
      <c r="Q12" s="37"/>
    </row>
    <row r="13" spans="2:17" x14ac:dyDescent="0.2">
      <c r="B13" s="25" t="s">
        <v>35</v>
      </c>
      <c r="C13" s="25" t="s">
        <v>36</v>
      </c>
      <c r="D13" s="25" t="s">
        <v>30</v>
      </c>
      <c r="E13" s="30">
        <v>1400000</v>
      </c>
      <c r="F13" s="26">
        <v>1423.97</v>
      </c>
      <c r="G13" s="26">
        <v>12.72</v>
      </c>
      <c r="H13" s="26">
        <v>7.29</v>
      </c>
      <c r="I13" s="4"/>
      <c r="K13" s="43" t="s">
        <v>37</v>
      </c>
      <c r="L13" s="4"/>
    </row>
    <row r="14" spans="2:17" x14ac:dyDescent="0.2">
      <c r="B14" s="25" t="s">
        <v>38</v>
      </c>
      <c r="C14" s="25" t="s">
        <v>39</v>
      </c>
      <c r="D14" s="25" t="s">
        <v>30</v>
      </c>
      <c r="E14" s="30">
        <v>971500</v>
      </c>
      <c r="F14" s="26">
        <v>975.58</v>
      </c>
      <c r="G14" s="26">
        <v>8.7200000000000006</v>
      </c>
      <c r="H14" s="26">
        <v>7.21</v>
      </c>
      <c r="I14" s="4"/>
      <c r="K14" s="4"/>
      <c r="L14" s="4"/>
    </row>
    <row r="15" spans="2:17" x14ac:dyDescent="0.2">
      <c r="B15" s="25" t="s">
        <v>40</v>
      </c>
      <c r="C15" s="25" t="s">
        <v>41</v>
      </c>
      <c r="D15" s="25" t="s">
        <v>30</v>
      </c>
      <c r="E15" s="30">
        <v>570300</v>
      </c>
      <c r="F15" s="26">
        <v>577.11</v>
      </c>
      <c r="G15" s="26">
        <v>5.16</v>
      </c>
      <c r="H15" s="26">
        <v>7.29</v>
      </c>
      <c r="I15" s="4"/>
      <c r="K15" s="4"/>
      <c r="L15" s="4"/>
    </row>
    <row r="16" spans="2:17" x14ac:dyDescent="0.2">
      <c r="B16" s="25" t="s">
        <v>42</v>
      </c>
      <c r="C16" s="25" t="s">
        <v>43</v>
      </c>
      <c r="D16" s="25" t="s">
        <v>30</v>
      </c>
      <c r="E16" s="30">
        <v>249900</v>
      </c>
      <c r="F16" s="26">
        <v>252.16</v>
      </c>
      <c r="G16" s="26">
        <v>2.25</v>
      </c>
      <c r="H16" s="26">
        <v>7.19</v>
      </c>
      <c r="I16" s="4"/>
      <c r="K16" s="4"/>
      <c r="L16" s="4"/>
    </row>
    <row r="17" spans="2:12" x14ac:dyDescent="0.2">
      <c r="B17" s="25" t="s">
        <v>44</v>
      </c>
      <c r="C17" s="25" t="s">
        <v>45</v>
      </c>
      <c r="D17" s="25" t="s">
        <v>30</v>
      </c>
      <c r="E17" s="30">
        <v>90000</v>
      </c>
      <c r="F17" s="26">
        <v>90.83</v>
      </c>
      <c r="G17" s="26">
        <v>0.81</v>
      </c>
      <c r="H17" s="26">
        <v>7.24</v>
      </c>
      <c r="I17" s="4"/>
      <c r="K17" s="4"/>
      <c r="L17" s="4"/>
    </row>
    <row r="18" spans="2:12" x14ac:dyDescent="0.2">
      <c r="B18" s="44" t="s">
        <v>46</v>
      </c>
      <c r="C18" s="44" t="s">
        <v>47</v>
      </c>
      <c r="D18" s="44" t="s">
        <v>30</v>
      </c>
      <c r="E18" s="45">
        <v>23200</v>
      </c>
      <c r="F18" s="46">
        <v>22.64</v>
      </c>
      <c r="G18" s="46">
        <v>0.2</v>
      </c>
      <c r="H18" s="46">
        <v>7.23</v>
      </c>
      <c r="I18" s="4"/>
      <c r="K18" s="4"/>
      <c r="L18" s="4"/>
    </row>
    <row r="19" spans="2:12" x14ac:dyDescent="0.2">
      <c r="B19" s="47" t="s">
        <v>25</v>
      </c>
      <c r="C19" s="47"/>
      <c r="D19" s="47"/>
      <c r="E19" s="47"/>
      <c r="F19" s="48">
        <f>SUM(F11:F18)</f>
        <v>8467.4599999999991</v>
      </c>
      <c r="G19" s="48">
        <f>SUM(G11:G18)</f>
        <v>75.66</v>
      </c>
      <c r="H19" s="48"/>
      <c r="I19" s="4"/>
      <c r="K19" s="4"/>
      <c r="L19" s="4"/>
    </row>
    <row r="20" spans="2:12" x14ac:dyDescent="0.2">
      <c r="B20" s="24" t="s">
        <v>48</v>
      </c>
      <c r="C20" s="25"/>
      <c r="D20" s="25"/>
      <c r="E20" s="25"/>
      <c r="F20" s="26"/>
      <c r="G20" s="26"/>
      <c r="H20" s="26"/>
      <c r="I20" s="4"/>
      <c r="K20" s="4"/>
      <c r="L20" s="4"/>
    </row>
    <row r="21" spans="2:12" x14ac:dyDescent="0.2">
      <c r="B21" s="44" t="s">
        <v>49</v>
      </c>
      <c r="C21" s="44" t="s">
        <v>50</v>
      </c>
      <c r="D21" s="44" t="s">
        <v>48</v>
      </c>
      <c r="E21" s="45">
        <v>291.185</v>
      </c>
      <c r="F21" s="46">
        <v>29.57</v>
      </c>
      <c r="G21" s="46">
        <v>0.26</v>
      </c>
      <c r="H21" s="46">
        <v>7.0349931203917899</v>
      </c>
      <c r="I21" s="4"/>
      <c r="K21" s="4"/>
      <c r="L21" s="4"/>
    </row>
    <row r="22" spans="2:12" x14ac:dyDescent="0.2">
      <c r="B22" s="47" t="s">
        <v>25</v>
      </c>
      <c r="C22" s="47"/>
      <c r="D22" s="47"/>
      <c r="E22" s="47"/>
      <c r="F22" s="48">
        <f>SUM(F21:F21)</f>
        <v>29.57</v>
      </c>
      <c r="G22" s="48">
        <f>SUM(G21:G21)</f>
        <v>0.26</v>
      </c>
      <c r="H22" s="48"/>
      <c r="I22" s="4"/>
      <c r="K22" s="4"/>
      <c r="L22" s="4"/>
    </row>
    <row r="23" spans="2:12" x14ac:dyDescent="0.2">
      <c r="B23" s="24" t="s">
        <v>51</v>
      </c>
      <c r="C23" s="25"/>
      <c r="D23" s="25"/>
      <c r="E23" s="25"/>
      <c r="F23" s="26"/>
      <c r="G23" s="26"/>
      <c r="H23" s="26"/>
      <c r="I23" s="4"/>
      <c r="K23" s="4"/>
      <c r="L23" s="4"/>
    </row>
    <row r="24" spans="2:12" x14ac:dyDescent="0.2">
      <c r="B24" s="25" t="s">
        <v>51</v>
      </c>
      <c r="C24" s="25"/>
      <c r="D24" s="25"/>
      <c r="E24" s="25"/>
      <c r="F24" s="26">
        <v>1477.45</v>
      </c>
      <c r="G24" s="26">
        <v>13.2</v>
      </c>
      <c r="H24" s="26"/>
      <c r="I24" s="4"/>
      <c r="K24" s="4"/>
      <c r="L24" s="4"/>
    </row>
    <row r="25" spans="2:12" x14ac:dyDescent="0.2">
      <c r="B25" s="33" t="s">
        <v>24</v>
      </c>
      <c r="C25" s="33"/>
      <c r="D25" s="33"/>
      <c r="E25" s="33"/>
      <c r="F25" s="34">
        <f>SUM(F23:F24)</f>
        <v>1477.45</v>
      </c>
      <c r="G25" s="34">
        <f>SUM(G23:G24)</f>
        <v>13.2</v>
      </c>
      <c r="H25" s="35"/>
      <c r="I25" s="4"/>
      <c r="K25" s="4"/>
      <c r="L25" s="4"/>
    </row>
    <row r="26" spans="2:12" x14ac:dyDescent="0.2">
      <c r="B26" s="49" t="s">
        <v>25</v>
      </c>
      <c r="C26" s="49"/>
      <c r="D26" s="49"/>
      <c r="E26" s="49"/>
      <c r="F26" s="50">
        <f>F25</f>
        <v>1477.45</v>
      </c>
      <c r="G26" s="50">
        <f>G25</f>
        <v>13.2</v>
      </c>
      <c r="H26" s="50"/>
      <c r="I26" s="4"/>
      <c r="K26" s="4"/>
      <c r="L26" s="4"/>
    </row>
    <row r="27" spans="2:12" x14ac:dyDescent="0.2">
      <c r="B27" s="51" t="s">
        <v>52</v>
      </c>
      <c r="C27" s="51"/>
      <c r="D27" s="51"/>
      <c r="E27" s="51"/>
      <c r="F27" s="52">
        <f>F28-(+F9+F19+F22+F26)</f>
        <v>213.92000000000007</v>
      </c>
      <c r="G27" s="52">
        <f>G28-(+G9+G19+G22+G26)</f>
        <v>1.9199999999999875</v>
      </c>
      <c r="H27" s="52"/>
      <c r="I27" s="4"/>
      <c r="K27" s="4"/>
      <c r="L27" s="4"/>
    </row>
    <row r="28" spans="2:12" x14ac:dyDescent="0.2">
      <c r="B28" s="51" t="s">
        <v>53</v>
      </c>
      <c r="C28" s="51"/>
      <c r="D28" s="51"/>
      <c r="E28" s="51"/>
      <c r="F28" s="52">
        <v>11191.21</v>
      </c>
      <c r="G28" s="52">
        <v>100</v>
      </c>
      <c r="H28" s="52"/>
      <c r="I28" s="4"/>
      <c r="K28" s="4"/>
      <c r="L28" s="4"/>
    </row>
    <row r="29" spans="2:12" x14ac:dyDescent="0.2">
      <c r="I29" s="4"/>
      <c r="K29" s="4"/>
      <c r="L29" s="4"/>
    </row>
    <row r="30" spans="2:12" x14ac:dyDescent="0.2">
      <c r="B30" s="53" t="s">
        <v>54</v>
      </c>
      <c r="I30" s="4"/>
      <c r="K30" s="4"/>
      <c r="L30" s="4"/>
    </row>
    <row r="31" spans="2:12" ht="12.75" thickBot="1" x14ac:dyDescent="0.25">
      <c r="I31" s="4"/>
      <c r="K31" s="4"/>
      <c r="L31" s="4"/>
    </row>
    <row r="32" spans="2:12" ht="13.5" thickTop="1" thickBot="1" x14ac:dyDescent="0.25">
      <c r="B32" s="54" t="s">
        <v>55</v>
      </c>
      <c r="C32" s="55">
        <v>6.9943</v>
      </c>
      <c r="I32" s="4"/>
      <c r="K32" s="4"/>
      <c r="L32" s="4"/>
    </row>
    <row r="33" spans="2:12" ht="13.5" thickTop="1" thickBot="1" x14ac:dyDescent="0.25">
      <c r="I33" s="4"/>
      <c r="K33" s="4"/>
      <c r="L33" s="4"/>
    </row>
    <row r="34" spans="2:12" ht="13.5" thickTop="1" thickBot="1" x14ac:dyDescent="0.25">
      <c r="B34" s="54" t="s">
        <v>56</v>
      </c>
      <c r="C34" s="56">
        <v>7.1999999999999995E-2</v>
      </c>
      <c r="I34" s="4"/>
      <c r="K34" s="4"/>
      <c r="L34" s="4"/>
    </row>
    <row r="35" spans="2:12" ht="13.5" thickTop="1" thickBot="1" x14ac:dyDescent="0.25">
      <c r="I35" s="4"/>
      <c r="K35" s="4"/>
      <c r="L35" s="4"/>
    </row>
    <row r="36" spans="2:12" ht="13.5" thickTop="1" thickBot="1" x14ac:dyDescent="0.25">
      <c r="B36" s="54" t="s">
        <v>57</v>
      </c>
      <c r="C36" s="55">
        <v>7.3011999999999997</v>
      </c>
      <c r="I36" s="4"/>
      <c r="K36" s="4"/>
      <c r="L36" s="4"/>
    </row>
    <row r="37" spans="2:12" ht="12.75" thickTop="1" x14ac:dyDescent="0.2">
      <c r="I37" s="4"/>
      <c r="K37" s="4"/>
      <c r="L37" s="4"/>
    </row>
    <row r="38" spans="2:12" x14ac:dyDescent="0.2">
      <c r="I38" s="4"/>
      <c r="K38" s="4"/>
      <c r="L38" s="4"/>
    </row>
    <row r="39" spans="2:12" x14ac:dyDescent="0.2">
      <c r="I39" s="4"/>
      <c r="K39" s="4"/>
      <c r="L39" s="4"/>
    </row>
    <row r="40" spans="2:12" x14ac:dyDescent="0.2">
      <c r="I40" s="4"/>
      <c r="K40" s="4"/>
      <c r="L40" s="4"/>
    </row>
    <row r="41" spans="2:12" x14ac:dyDescent="0.2">
      <c r="I41" s="4"/>
      <c r="K41" s="4"/>
      <c r="L41" s="4"/>
    </row>
    <row r="42" spans="2:12" x14ac:dyDescent="0.2">
      <c r="I42" s="4"/>
      <c r="K42" s="4"/>
      <c r="L42" s="4"/>
    </row>
    <row r="43" spans="2:12" x14ac:dyDescent="0.2">
      <c r="I43" s="4"/>
      <c r="K43" s="4"/>
      <c r="L43" s="4"/>
    </row>
    <row r="44" spans="2:12" x14ac:dyDescent="0.2">
      <c r="I44" s="4"/>
      <c r="K44" s="4"/>
      <c r="L44" s="4"/>
    </row>
    <row r="45" spans="2:12" x14ac:dyDescent="0.2">
      <c r="I45" s="4"/>
      <c r="K45" s="4"/>
      <c r="L45" s="4"/>
    </row>
    <row r="46" spans="2:12" x14ac:dyDescent="0.2">
      <c r="I46" s="4"/>
      <c r="K46" s="4"/>
      <c r="L46" s="4"/>
    </row>
    <row r="47" spans="2:12" x14ac:dyDescent="0.2">
      <c r="I47" s="4"/>
      <c r="K47" s="4"/>
      <c r="L47" s="4"/>
    </row>
    <row r="48" spans="2:12" x14ac:dyDescent="0.2">
      <c r="I48" s="4"/>
      <c r="K48" s="4"/>
      <c r="L48" s="4"/>
    </row>
    <row r="49" spans="9:12" x14ac:dyDescent="0.2">
      <c r="I49" s="4"/>
      <c r="K49" s="4"/>
      <c r="L49" s="4"/>
    </row>
    <row r="50" spans="9:12" x14ac:dyDescent="0.2">
      <c r="I50" s="4"/>
      <c r="K50" s="4"/>
      <c r="L50" s="4"/>
    </row>
    <row r="51" spans="9:12" x14ac:dyDescent="0.2">
      <c r="I51" s="4"/>
      <c r="K51" s="4"/>
      <c r="L51" s="4"/>
    </row>
    <row r="52" spans="9:12" x14ac:dyDescent="0.2">
      <c r="I52" s="4"/>
      <c r="K52" s="4"/>
      <c r="L52" s="4"/>
    </row>
    <row r="53" spans="9:12" x14ac:dyDescent="0.2">
      <c r="I53" s="4"/>
      <c r="K53" s="4"/>
      <c r="L53" s="4"/>
    </row>
    <row r="54" spans="9:12" x14ac:dyDescent="0.2">
      <c r="I54" s="4"/>
      <c r="K54" s="4"/>
      <c r="L54" s="4"/>
    </row>
    <row r="55" spans="9:12" x14ac:dyDescent="0.2">
      <c r="I55" s="4"/>
      <c r="K55" s="4"/>
      <c r="L55" s="4"/>
    </row>
    <row r="56" spans="9:12" x14ac:dyDescent="0.2">
      <c r="I56" s="4"/>
      <c r="K56" s="4"/>
      <c r="L56" s="4"/>
    </row>
    <row r="57" spans="9:12" x14ac:dyDescent="0.2">
      <c r="I57" s="4"/>
      <c r="K57" s="4"/>
      <c r="L57" s="4"/>
    </row>
    <row r="58" spans="9:12" x14ac:dyDescent="0.2">
      <c r="I58" s="4"/>
      <c r="K58" s="4"/>
      <c r="L58" s="4"/>
    </row>
    <row r="59" spans="9:12" x14ac:dyDescent="0.2">
      <c r="I59" s="4"/>
      <c r="K59" s="4"/>
      <c r="L59" s="4"/>
    </row>
    <row r="60" spans="9:12" x14ac:dyDescent="0.2">
      <c r="I60" s="4"/>
      <c r="K60" s="4"/>
      <c r="L60" s="4"/>
    </row>
    <row r="61" spans="9:12" x14ac:dyDescent="0.2">
      <c r="I61" s="4"/>
      <c r="K61" s="4"/>
      <c r="L61" s="4"/>
    </row>
    <row r="62" spans="9:12" x14ac:dyDescent="0.2">
      <c r="I62" s="4"/>
      <c r="K62" s="4"/>
      <c r="L62" s="4"/>
    </row>
    <row r="63" spans="9:12" x14ac:dyDescent="0.2">
      <c r="I63" s="4"/>
      <c r="K63" s="4"/>
      <c r="L63" s="4"/>
    </row>
    <row r="64" spans="9:12" x14ac:dyDescent="0.2">
      <c r="I64" s="4"/>
      <c r="K64" s="4"/>
      <c r="L64" s="4"/>
    </row>
    <row r="65" spans="9:12" x14ac:dyDescent="0.2">
      <c r="I65" s="4"/>
      <c r="K65" s="4"/>
      <c r="L65" s="4"/>
    </row>
    <row r="66" spans="9:12" x14ac:dyDescent="0.2">
      <c r="I66" s="4"/>
      <c r="K66" s="4"/>
      <c r="L66" s="4"/>
    </row>
    <row r="67" spans="9:12" x14ac:dyDescent="0.2">
      <c r="I67" s="4"/>
      <c r="K67" s="4"/>
      <c r="L67" s="4"/>
    </row>
    <row r="68" spans="9:12" x14ac:dyDescent="0.2">
      <c r="I68" s="4"/>
      <c r="K68" s="4"/>
      <c r="L68" s="4"/>
    </row>
    <row r="69" spans="9:12" x14ac:dyDescent="0.2">
      <c r="I69" s="4"/>
      <c r="K69" s="4"/>
      <c r="L69" s="4"/>
    </row>
    <row r="70" spans="9:12" x14ac:dyDescent="0.2">
      <c r="I70" s="4"/>
      <c r="K70" s="4"/>
      <c r="L70" s="4"/>
    </row>
    <row r="71" spans="9:12" x14ac:dyDescent="0.2">
      <c r="I71" s="4"/>
      <c r="K71" s="4"/>
      <c r="L71" s="4"/>
    </row>
    <row r="72" spans="9:12" x14ac:dyDescent="0.2">
      <c r="I72" s="4"/>
      <c r="K72" s="4"/>
      <c r="L72" s="4"/>
    </row>
    <row r="73" spans="9:12" x14ac:dyDescent="0.2">
      <c r="I73" s="4"/>
      <c r="K73" s="4"/>
      <c r="L73" s="4"/>
    </row>
    <row r="74" spans="9:12" x14ac:dyDescent="0.2">
      <c r="I74" s="4"/>
      <c r="K74" s="4"/>
      <c r="L74" s="4"/>
    </row>
    <row r="75" spans="9:12" x14ac:dyDescent="0.2">
      <c r="I75" s="4"/>
      <c r="K75" s="4"/>
      <c r="L75" s="4"/>
    </row>
    <row r="76" spans="9:12" x14ac:dyDescent="0.2">
      <c r="I76" s="4"/>
      <c r="K76" s="4"/>
      <c r="L76" s="4"/>
    </row>
    <row r="77" spans="9:12" x14ac:dyDescent="0.2">
      <c r="I77" s="4"/>
      <c r="K77" s="4"/>
      <c r="L77" s="4"/>
    </row>
    <row r="78" spans="9:12" x14ac:dyDescent="0.2">
      <c r="I78" s="4"/>
      <c r="K78" s="4"/>
      <c r="L78" s="4"/>
    </row>
    <row r="79" spans="9:12" x14ac:dyDescent="0.2">
      <c r="I79" s="4"/>
      <c r="K79" s="4"/>
      <c r="L79" s="4"/>
    </row>
    <row r="80" spans="9:12" x14ac:dyDescent="0.2">
      <c r="I80" s="4"/>
      <c r="K80" s="4"/>
      <c r="L80" s="4"/>
    </row>
    <row r="81" spans="9:12" x14ac:dyDescent="0.2">
      <c r="I81" s="4"/>
      <c r="K81" s="4"/>
      <c r="L81" s="4"/>
    </row>
    <row r="82" spans="9:12" x14ac:dyDescent="0.2">
      <c r="I82" s="4"/>
      <c r="K82" s="4"/>
      <c r="L82" s="4"/>
    </row>
    <row r="83" spans="9:12" x14ac:dyDescent="0.2">
      <c r="I83" s="4"/>
      <c r="K83" s="4"/>
      <c r="L83" s="4"/>
    </row>
    <row r="84" spans="9:12" x14ac:dyDescent="0.2">
      <c r="I84" s="4"/>
      <c r="K84" s="4"/>
      <c r="L84" s="4"/>
    </row>
    <row r="85" spans="9:12" x14ac:dyDescent="0.2">
      <c r="I85" s="4"/>
      <c r="K85" s="4"/>
      <c r="L85" s="4"/>
    </row>
    <row r="86" spans="9:12" x14ac:dyDescent="0.2">
      <c r="I86" s="4"/>
      <c r="K86" s="4"/>
      <c r="L86" s="4"/>
    </row>
    <row r="87" spans="9:12" x14ac:dyDescent="0.2">
      <c r="I87" s="4"/>
      <c r="K87" s="4"/>
      <c r="L87" s="4"/>
    </row>
    <row r="88" spans="9:12" x14ac:dyDescent="0.2">
      <c r="I88" s="4"/>
      <c r="K88" s="4"/>
      <c r="L88" s="4"/>
    </row>
    <row r="89" spans="9:12" x14ac:dyDescent="0.2">
      <c r="I89" s="4"/>
      <c r="K89" s="4"/>
      <c r="L89" s="4"/>
    </row>
    <row r="90" spans="9:12" x14ac:dyDescent="0.2">
      <c r="I90" s="4"/>
      <c r="K90" s="4"/>
      <c r="L90" s="4"/>
    </row>
    <row r="91" spans="9:12" x14ac:dyDescent="0.2">
      <c r="I91" s="4"/>
      <c r="K91" s="4"/>
      <c r="L91" s="4"/>
    </row>
    <row r="92" spans="9:12" x14ac:dyDescent="0.2">
      <c r="I92" s="4"/>
      <c r="K92" s="4"/>
      <c r="L92" s="4"/>
    </row>
    <row r="93" spans="9:12" x14ac:dyDescent="0.2">
      <c r="I93" s="4"/>
      <c r="K93" s="4"/>
      <c r="L93" s="4"/>
    </row>
    <row r="94" spans="9:12" x14ac:dyDescent="0.2">
      <c r="I94" s="4"/>
      <c r="K94" s="4"/>
      <c r="L94" s="4"/>
    </row>
    <row r="95" spans="9:12" x14ac:dyDescent="0.2">
      <c r="I95" s="4"/>
      <c r="K95" s="4"/>
      <c r="L95" s="4"/>
    </row>
    <row r="96" spans="9:12" x14ac:dyDescent="0.2">
      <c r="I96" s="4"/>
      <c r="K96" s="4"/>
      <c r="L96" s="4"/>
    </row>
    <row r="97" spans="9:12" x14ac:dyDescent="0.2">
      <c r="I97" s="4"/>
      <c r="K97" s="4"/>
      <c r="L97" s="4"/>
    </row>
    <row r="98" spans="9:12" x14ac:dyDescent="0.2">
      <c r="I98" s="4"/>
      <c r="K98" s="4"/>
      <c r="L98" s="4"/>
    </row>
    <row r="99" spans="9:12" x14ac:dyDescent="0.2">
      <c r="I99" s="4"/>
      <c r="K99" s="4"/>
      <c r="L99" s="4"/>
    </row>
    <row r="100" spans="9:12" x14ac:dyDescent="0.2">
      <c r="I100" s="4"/>
      <c r="K100" s="4"/>
      <c r="L100" s="4"/>
    </row>
    <row r="101" spans="9:12" x14ac:dyDescent="0.2">
      <c r="I101" s="4"/>
      <c r="K101" s="4"/>
      <c r="L101" s="4"/>
    </row>
    <row r="102" spans="9:12" x14ac:dyDescent="0.2">
      <c r="I102" s="4"/>
      <c r="K102" s="4"/>
      <c r="L102" s="4"/>
    </row>
    <row r="103" spans="9:12" x14ac:dyDescent="0.2">
      <c r="I103" s="4"/>
      <c r="K103" s="4"/>
      <c r="L103" s="4"/>
    </row>
    <row r="104" spans="9:12" x14ac:dyDescent="0.2">
      <c r="I104" s="4"/>
      <c r="K104" s="4"/>
      <c r="L104" s="4"/>
    </row>
    <row r="105" spans="9:12" x14ac:dyDescent="0.2">
      <c r="I105" s="4"/>
    </row>
    <row r="106" spans="9:12" x14ac:dyDescent="0.2">
      <c r="I106" s="4"/>
    </row>
    <row r="107" spans="9:12" x14ac:dyDescent="0.2">
      <c r="I107" s="4"/>
    </row>
    <row r="108" spans="9:12" x14ac:dyDescent="0.2">
      <c r="I108" s="4"/>
    </row>
    <row r="109" spans="9:12" x14ac:dyDescent="0.2">
      <c r="I109" s="4"/>
    </row>
    <row r="110" spans="9:12" x14ac:dyDescent="0.2">
      <c r="I110" s="4"/>
    </row>
    <row r="111" spans="9:12" x14ac:dyDescent="0.2">
      <c r="I111" s="4"/>
    </row>
    <row r="112" spans="9:12" x14ac:dyDescent="0.2">
      <c r="I112" s="4"/>
    </row>
    <row r="113" spans="9:9" x14ac:dyDescent="0.2">
      <c r="I113" s="4"/>
    </row>
    <row r="114" spans="9:9" x14ac:dyDescent="0.2">
      <c r="I114" s="4"/>
    </row>
    <row r="115" spans="9:9" x14ac:dyDescent="0.2">
      <c r="I115" s="4"/>
    </row>
    <row r="116" spans="9:9" x14ac:dyDescent="0.2">
      <c r="I116" s="4"/>
    </row>
    <row r="117" spans="9:9" x14ac:dyDescent="0.2">
      <c r="I117" s="4"/>
    </row>
    <row r="118" spans="9:9" x14ac:dyDescent="0.2">
      <c r="I118" s="4"/>
    </row>
    <row r="119" spans="9:9" x14ac:dyDescent="0.2">
      <c r="I119" s="4"/>
    </row>
    <row r="120" spans="9:9" x14ac:dyDescent="0.2">
      <c r="I120" s="4"/>
    </row>
    <row r="121" spans="9:9" x14ac:dyDescent="0.2">
      <c r="I121" s="4"/>
    </row>
    <row r="122" spans="9:9" x14ac:dyDescent="0.2">
      <c r="I122" s="4"/>
    </row>
    <row r="123" spans="9:9" x14ac:dyDescent="0.2">
      <c r="I123" s="4"/>
    </row>
    <row r="124" spans="9:9" x14ac:dyDescent="0.2">
      <c r="I124" s="4"/>
    </row>
    <row r="125" spans="9:9" x14ac:dyDescent="0.2">
      <c r="I125" s="4"/>
    </row>
    <row r="126" spans="9:9" x14ac:dyDescent="0.2">
      <c r="I126" s="4"/>
    </row>
    <row r="127" spans="9:9" x14ac:dyDescent="0.2">
      <c r="I127" s="4"/>
    </row>
    <row r="128" spans="9:9" x14ac:dyDescent="0.2">
      <c r="I128" s="4"/>
    </row>
    <row r="129" spans="9:9" x14ac:dyDescent="0.2">
      <c r="I129" s="4"/>
    </row>
    <row r="130" spans="9:9" x14ac:dyDescent="0.2">
      <c r="I130" s="4"/>
    </row>
    <row r="131" spans="9:9" x14ac:dyDescent="0.2">
      <c r="I131" s="4"/>
    </row>
    <row r="132" spans="9:9" x14ac:dyDescent="0.2">
      <c r="I132" s="4"/>
    </row>
    <row r="133" spans="9:9" x14ac:dyDescent="0.2">
      <c r="I133" s="4"/>
    </row>
    <row r="134" spans="9:9" x14ac:dyDescent="0.2">
      <c r="I134" s="4"/>
    </row>
    <row r="135" spans="9:9" x14ac:dyDescent="0.2">
      <c r="I135" s="4"/>
    </row>
    <row r="136" spans="9:9" x14ac:dyDescent="0.2">
      <c r="I136" s="4"/>
    </row>
    <row r="137" spans="9:9" x14ac:dyDescent="0.2">
      <c r="I137" s="4"/>
    </row>
    <row r="138" spans="9:9" x14ac:dyDescent="0.2">
      <c r="I138" s="4"/>
    </row>
    <row r="139" spans="9:9" x14ac:dyDescent="0.2">
      <c r="I139" s="4"/>
    </row>
    <row r="140" spans="9:9" x14ac:dyDescent="0.2">
      <c r="I140" s="4"/>
    </row>
    <row r="141" spans="9:9" x14ac:dyDescent="0.2">
      <c r="I141" s="4"/>
    </row>
    <row r="142" spans="9:9" x14ac:dyDescent="0.2">
      <c r="I142" s="4"/>
    </row>
    <row r="143" spans="9:9" x14ac:dyDescent="0.2">
      <c r="I143" s="4"/>
    </row>
    <row r="144" spans="9:9" x14ac:dyDescent="0.2">
      <c r="I144" s="4"/>
    </row>
    <row r="145" spans="9:9" x14ac:dyDescent="0.2">
      <c r="I145" s="4"/>
    </row>
    <row r="146" spans="9:9" x14ac:dyDescent="0.2">
      <c r="I146" s="4"/>
    </row>
    <row r="147" spans="9:9" x14ac:dyDescent="0.2">
      <c r="I147" s="4"/>
    </row>
    <row r="148" spans="9:9" x14ac:dyDescent="0.2">
      <c r="I148" s="4"/>
    </row>
    <row r="149" spans="9:9" x14ac:dyDescent="0.2">
      <c r="I149" s="4"/>
    </row>
    <row r="150" spans="9:9" x14ac:dyDescent="0.2">
      <c r="I150" s="4"/>
    </row>
    <row r="151" spans="9:9" x14ac:dyDescent="0.2">
      <c r="I151" s="4"/>
    </row>
    <row r="152" spans="9:9" x14ac:dyDescent="0.2">
      <c r="I152" s="4"/>
    </row>
    <row r="153" spans="9:9" x14ac:dyDescent="0.2">
      <c r="I153" s="4"/>
    </row>
    <row r="154" spans="9:9" x14ac:dyDescent="0.2">
      <c r="I154" s="4"/>
    </row>
    <row r="155" spans="9:9" x14ac:dyDescent="0.2">
      <c r="I155" s="4"/>
    </row>
    <row r="156" spans="9:9" x14ac:dyDescent="0.2">
      <c r="I156" s="4"/>
    </row>
    <row r="157" spans="9:9" x14ac:dyDescent="0.2">
      <c r="I157" s="4"/>
    </row>
    <row r="158" spans="9:9" x14ac:dyDescent="0.2">
      <c r="I158" s="4"/>
    </row>
    <row r="159" spans="9:9" x14ac:dyDescent="0.2">
      <c r="I159" s="4"/>
    </row>
    <row r="160" spans="9:9" x14ac:dyDescent="0.2">
      <c r="I160" s="4"/>
    </row>
    <row r="161" spans="9:9" x14ac:dyDescent="0.2">
      <c r="I161" s="4"/>
    </row>
    <row r="162" spans="9:9" x14ac:dyDescent="0.2">
      <c r="I162" s="4"/>
    </row>
    <row r="163" spans="9:9" x14ac:dyDescent="0.2">
      <c r="I163" s="4"/>
    </row>
    <row r="164" spans="9:9" x14ac:dyDescent="0.2">
      <c r="I164" s="4"/>
    </row>
    <row r="165" spans="9:9" x14ac:dyDescent="0.2">
      <c r="I165" s="4"/>
    </row>
    <row r="166" spans="9:9" x14ac:dyDescent="0.2">
      <c r="I166" s="4"/>
    </row>
    <row r="167" spans="9:9" x14ac:dyDescent="0.2">
      <c r="I167" s="4"/>
    </row>
    <row r="168" spans="9:9" x14ac:dyDescent="0.2">
      <c r="I168" s="4"/>
    </row>
    <row r="169" spans="9:9" x14ac:dyDescent="0.2">
      <c r="I169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17:12:11</KDate>
  <Classification>Public</Classification>
  <Subclassification/>
  <HostName>MUMCMP00935</HostName>
  <Domain_User>CANARAROBECOMF/628</Domain_User>
  <IPAdd>192.9.198.194</IPAdd>
  <FilePath>Book13</FilePath>
  <KID>C025A5607E97638452555316691482</KID>
  <UniqueName/>
  <Suggested/>
  <Justification/>
</Klassify>
</file>

<file path=customXml/itemProps1.xml><?xml version="1.0" encoding="utf-8"?>
<ds:datastoreItem xmlns:ds="http://schemas.openxmlformats.org/officeDocument/2006/customXml" ds:itemID="{1E11C62C-59D5-4B4C-AAF2-82EBE56C97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2024-03-05T11:42:08Z</dcterms:created>
  <dcterms:modified xsi:type="dcterms:W3CDTF">2024-03-05T11:42:11Z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C025A5607E97638452555316691482</vt:lpwstr>
  </property>
</Properties>
</file>