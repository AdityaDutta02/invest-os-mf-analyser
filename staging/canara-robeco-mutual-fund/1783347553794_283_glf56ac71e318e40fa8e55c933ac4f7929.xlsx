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GL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9" i="1" s="1"/>
  <c r="F18" i="1"/>
  <c r="F19" i="1" s="1"/>
  <c r="G15" i="1"/>
  <c r="G20" i="1" s="1"/>
  <c r="F15" i="1"/>
  <c r="F20" i="1" s="1"/>
</calcChain>
</file>

<file path=xl/sharedStrings.xml><?xml version="1.0" encoding="utf-8"?>
<sst xmlns="http://schemas.openxmlformats.org/spreadsheetml/2006/main" count="61" uniqueCount="51">
  <si>
    <t>CANARA ROBECO GILT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</si>
  <si>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</si>
  <si>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</si>
  <si>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</si>
  <si>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</si>
  <si>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</si>
  <si>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</si>
  <si>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</si>
  <si>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</si>
  <si>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Jan'23</t>
  </si>
  <si>
    <t>Benchmark Risk-o-meter Level- Jan'23</t>
  </si>
  <si>
    <t>Previous Scheme Risk-o-meter Level- Dec'22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</si>
  <si>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</si>
  <si>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</si>
  <si>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</si>
  <si>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</si>
  <si>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</si>
  <si>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</si>
  <si>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7.26% GOI 22-AUG-32</t>
  </si>
  <si>
    <t>IN0020220060</t>
  </si>
  <si>
    <t>Sovereign</t>
  </si>
  <si>
    <t>Interest Rate Risk ↓</t>
  </si>
  <si>
    <t>7.41% GOI 19-DEC-36</t>
  </si>
  <si>
    <t>IN0020220102</t>
  </si>
  <si>
    <t>Relatively Low (Class I)</t>
  </si>
  <si>
    <t>5.74% INDIA GOVERNMENT 15-NOV-26</t>
  </si>
  <si>
    <t>IN0020210186</t>
  </si>
  <si>
    <t>8.18% ANDHRA PRADESH SDL 27-MAY-25</t>
  </si>
  <si>
    <t>IN1020150018</t>
  </si>
  <si>
    <t>Moderate 
(Class II)</t>
  </si>
  <si>
    <t>7.27% INDIA GOVERNMENT 08-APR-26</t>
  </si>
  <si>
    <t>IN0020190016</t>
  </si>
  <si>
    <t>7.10% GOI 18-APR-29</t>
  </si>
  <si>
    <t>IN0020220011</t>
  </si>
  <si>
    <t>Relatively High (Class III)</t>
  </si>
  <si>
    <t>A-III</t>
  </si>
  <si>
    <t>7.54% GOI 23-MAY-36</t>
  </si>
  <si>
    <t>IN0020220029</t>
  </si>
  <si>
    <t>7.38% GOI 20-JUN-27</t>
  </si>
  <si>
    <t>IN0020220037</t>
  </si>
  <si>
    <t>Benchmark: CRISIL Dynamic Gilt Index</t>
  </si>
  <si>
    <t>8.13% INDIA GOVERNMENT 22-JUN-45</t>
  </si>
  <si>
    <t>IN0020150044</t>
  </si>
  <si>
    <t>Total</t>
  </si>
  <si>
    <t>TREPS</t>
  </si>
  <si>
    <t>Sub Total</t>
  </si>
  <si>
    <t>Net Receivables / (Payables)</t>
  </si>
  <si>
    <t>Grand Total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</si>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</sst>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0" xfId="0" applyFont="1" applyFill="1" applyBorder="1"/>
    <xf numFmtId="3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0" xfId="0" applyFont="1" applyFill="1" applyBorder="1"/>
    <xf numFmtId="0" fontId="9" fillId="3" borderId="15" xfId="0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8" xfId="0" applyNumberFormat="1" applyFont="1" applyFill="1" applyBorder="1"/>
    <xf numFmtId="2" fontId="10" fillId="0" borderId="19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19" xfId="2" applyNumberFormat="1" applyFont="1" applyBorder="1" applyAlignment="1">
      <alignment horizontal="right"/>
    </xf>
    <xf numFmtId="2" fontId="10" fillId="0" borderId="19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155764</xdr:colOff>
      <xdr:row>4</xdr:row>
      <xdr:rowOff>50348</xdr:rowOff>
    </xdr:from>
    <xdr:to>
      <xdr:col>9</xdr:col>
      <xdr:colOff>2038350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BF1A3D-46EC-4188-A82F-ED099518B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1739" y="1059998"/>
          <a:ext cx="1882586" cy="1197427"/>
        </a:xfrm>
        <a:prstGeom prst="rect">
          <a:avLst/>
        </a:prstGeom>
      </xdr:spPr>
    </xdr:pic>
    <xdr:clientData/>
  </xdr:twoCellAnchor>
  <xdr:twoCellAnchor editAs="oneCell">
    <xdr:from>
      <xdr:col>10</xdr:col>
      <xdr:colOff>36499</xdr:colOff>
      <xdr:row>4</xdr:row>
      <xdr:rowOff>80282</xdr:rowOff>
    </xdr:from>
    <xdr:to>
      <xdr:col>10</xdr:col>
      <xdr:colOff>1971675</xdr:colOff>
      <xdr:row>11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F93E1-160F-4C22-8D6C-74E1F7EA7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7999" y="1089932"/>
          <a:ext cx="1935176" cy="1148443"/>
        </a:xfrm>
        <a:prstGeom prst="rect">
          <a:avLst/>
        </a:prstGeom>
      </xdr:spPr>
    </xdr:pic>
    <xdr:clientData/>
  </xdr:twoCellAnchor>
  <xdr:oneCellAnchor>
    <xdr:from>
      <xdr:col>11</xdr:col>
      <xdr:colOff>222439</xdr:colOff>
      <xdr:row>4</xdr:row>
      <xdr:rowOff>69399</xdr:rowOff>
    </xdr:from>
    <xdr:ext cx="1674051" cy="1140276"/>
    <xdr:pic>
      <xdr:nvPicPr>
        <xdr:cNvPr id="4" name="Picture 3">
          <a:extLst>
            <a:ext uri="{FF2B5EF4-FFF2-40B4-BE49-F238E27FC236}">
              <a16:creationId xmlns:a16="http://schemas.microsoft.com/office/drawing/2014/main" id="{6CC23CE3-57F0-404B-960A-6E8C6F46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8489" y="1079049"/>
          <a:ext cx="1674051" cy="11402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tabSelected="1" workbookViewId="0"/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2.7109375" style="3" bestFit="1" customWidth="1"/>
    <col min="4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3.7109375" style="3" customWidth="1"/>
    <col min="10" max="10" width="34.42578125" style="4" customWidth="1"/>
    <col min="11" max="11" width="31.7109375" style="4" customWidth="1"/>
    <col min="12" max="12" width="33.42578125" style="4" customWidth="1"/>
    <col min="13" max="13" width="5.5703125" style="4" bestFit="1" customWidth="1"/>
    <col min="14" max="16384" width="13.710937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24">
      <c r="B6" s="24" t="s">
        <v>18</v>
      </c>
      <c r="C6" s="24" t="s">
        <v>19</v>
      </c>
      <c r="D6" s="24" t="s">
        <v>20</v>
      </c>
      <c r="E6" s="25">
        <v>2000000</v>
      </c>
      <c r="F6" s="26">
        <v>1986.58</v>
      </c>
      <c r="G6" s="26">
        <v>24.63</v>
      </c>
      <c r="H6" s="26">
        <v>7.49</v>
      </c>
      <c r="J6" s="21"/>
      <c r="K6" s="21"/>
      <c r="L6" s="21"/>
      <c r="N6" s="27" t="s">
        <v>21</v>
      </c>
      <c r="O6" s="23"/>
      <c r="P6" s="23"/>
      <c r="Q6" s="23"/>
    </row>
    <row r="7" spans="2:17">
      <c r="B7" s="24" t="s">
        <v>22</v>
      </c>
      <c r="C7" s="24" t="s">
        <v>23</v>
      </c>
      <c r="D7" s="24" t="s">
        <v>20</v>
      </c>
      <c r="E7" s="25">
        <v>1900000</v>
      </c>
      <c r="F7" s="26">
        <v>1893.86</v>
      </c>
      <c r="G7" s="26">
        <v>23.48</v>
      </c>
      <c r="H7" s="26">
        <v>7.58</v>
      </c>
      <c r="J7" s="21"/>
      <c r="K7" s="21"/>
      <c r="L7" s="21"/>
      <c r="N7" s="28" t="s">
        <v>24</v>
      </c>
      <c r="O7" s="29"/>
      <c r="P7" s="29"/>
      <c r="Q7" s="29"/>
    </row>
    <row r="8" spans="2:17">
      <c r="B8" s="24" t="s">
        <v>25</v>
      </c>
      <c r="C8" s="24" t="s">
        <v>26</v>
      </c>
      <c r="D8" s="24" t="s">
        <v>20</v>
      </c>
      <c r="E8" s="25">
        <v>1000000</v>
      </c>
      <c r="F8" s="26">
        <v>952.51</v>
      </c>
      <c r="G8" s="26">
        <v>11.81</v>
      </c>
      <c r="H8" s="26">
        <v>7.32</v>
      </c>
      <c r="J8" s="21"/>
      <c r="K8" s="21"/>
      <c r="L8" s="21"/>
      <c r="N8" s="28"/>
      <c r="O8" s="30"/>
      <c r="P8" s="30"/>
      <c r="Q8" s="30"/>
    </row>
    <row r="9" spans="2:17">
      <c r="B9" s="24" t="s">
        <v>27</v>
      </c>
      <c r="C9" s="24" t="s">
        <v>28</v>
      </c>
      <c r="D9" s="24" t="s">
        <v>20</v>
      </c>
      <c r="E9" s="25">
        <v>500000</v>
      </c>
      <c r="F9" s="26">
        <v>509.05</v>
      </c>
      <c r="G9" s="26">
        <v>6.31</v>
      </c>
      <c r="H9" s="26">
        <v>7.44</v>
      </c>
      <c r="J9" s="21"/>
      <c r="K9" s="21"/>
      <c r="L9" s="21"/>
      <c r="N9" s="28" t="s">
        <v>29</v>
      </c>
      <c r="O9" s="29"/>
      <c r="P9" s="29"/>
      <c r="Q9" s="29"/>
    </row>
    <row r="10" spans="2:17">
      <c r="B10" s="24" t="s">
        <v>30</v>
      </c>
      <c r="C10" s="24" t="s">
        <v>31</v>
      </c>
      <c r="D10" s="24" t="s">
        <v>20</v>
      </c>
      <c r="E10" s="25">
        <v>500000</v>
      </c>
      <c r="F10" s="26">
        <v>501.32</v>
      </c>
      <c r="G10" s="26">
        <v>6.22</v>
      </c>
      <c r="H10" s="26">
        <v>7.3</v>
      </c>
      <c r="J10" s="21"/>
      <c r="K10" s="21"/>
      <c r="L10" s="21"/>
      <c r="N10" s="28"/>
      <c r="O10" s="30"/>
      <c r="P10" s="30"/>
      <c r="Q10" s="30"/>
    </row>
    <row r="11" spans="2:17">
      <c r="B11" s="24" t="s">
        <v>32</v>
      </c>
      <c r="C11" s="24" t="s">
        <v>33</v>
      </c>
      <c r="D11" s="24" t="s">
        <v>20</v>
      </c>
      <c r="E11" s="25">
        <v>500000</v>
      </c>
      <c r="F11" s="26">
        <v>494.34</v>
      </c>
      <c r="G11" s="26">
        <v>6.13</v>
      </c>
      <c r="H11" s="26">
        <v>7.46</v>
      </c>
      <c r="J11" s="21"/>
      <c r="K11" s="21"/>
      <c r="L11" s="21"/>
      <c r="N11" s="28" t="s">
        <v>34</v>
      </c>
      <c r="O11" s="31" t="s">
        <v>35</v>
      </c>
      <c r="P11" s="29"/>
      <c r="Q11" s="29"/>
    </row>
    <row r="12" spans="2:17">
      <c r="B12" s="24" t="s">
        <v>36</v>
      </c>
      <c r="C12" s="24" t="s">
        <v>37</v>
      </c>
      <c r="D12" s="24" t="s">
        <v>20</v>
      </c>
      <c r="E12" s="25">
        <v>359270</v>
      </c>
      <c r="F12" s="26">
        <v>361.99</v>
      </c>
      <c r="G12" s="26">
        <v>4.49</v>
      </c>
      <c r="H12" s="26">
        <v>7.59</v>
      </c>
      <c r="J12" s="21"/>
      <c r="K12" s="21"/>
      <c r="L12" s="21"/>
      <c r="N12" s="28"/>
      <c r="O12" s="32"/>
      <c r="P12" s="30"/>
      <c r="Q12" s="30"/>
    </row>
    <row r="13" spans="2:17">
      <c r="B13" s="24" t="s">
        <v>38</v>
      </c>
      <c r="C13" s="24" t="s">
        <v>39</v>
      </c>
      <c r="D13" s="24" t="s">
        <v>20</v>
      </c>
      <c r="E13" s="25">
        <v>250100</v>
      </c>
      <c r="F13" s="26">
        <v>251.52</v>
      </c>
      <c r="G13" s="26">
        <v>3.12</v>
      </c>
      <c r="H13" s="26">
        <v>7.35</v>
      </c>
      <c r="J13" s="33"/>
      <c r="K13" s="33" t="s">
        <v>40</v>
      </c>
    </row>
    <row r="14" spans="2:17">
      <c r="B14" s="34" t="s">
        <v>41</v>
      </c>
      <c r="C14" s="34" t="s">
        <v>42</v>
      </c>
      <c r="D14" s="34" t="s">
        <v>20</v>
      </c>
      <c r="E14" s="35">
        <v>10000</v>
      </c>
      <c r="F14" s="36">
        <v>10.75</v>
      </c>
      <c r="G14" s="36">
        <v>0.13</v>
      </c>
      <c r="H14" s="36">
        <v>7.57</v>
      </c>
    </row>
    <row r="15" spans="2:17">
      <c r="B15" s="37" t="s">
        <v>43</v>
      </c>
      <c r="C15" s="37"/>
      <c r="D15" s="37"/>
      <c r="E15" s="37"/>
      <c r="F15" s="38">
        <f>SUM(F6:F14)</f>
        <v>6961.92</v>
      </c>
      <c r="G15" s="38">
        <f>SUM(G6:G14)</f>
        <v>86.32</v>
      </c>
      <c r="H15" s="38"/>
      <c r="I15" s="39"/>
    </row>
    <row r="16" spans="2:17">
      <c r="B16" s="40" t="s">
        <v>44</v>
      </c>
      <c r="C16" s="24"/>
      <c r="D16" s="24"/>
      <c r="E16" s="24"/>
      <c r="F16" s="26"/>
      <c r="G16" s="26"/>
      <c r="H16" s="26"/>
    </row>
    <row r="17" spans="2:9">
      <c r="B17" s="24" t="s">
        <v>44</v>
      </c>
      <c r="C17" s="24"/>
      <c r="D17" s="24"/>
      <c r="E17" s="24"/>
      <c r="F17" s="26">
        <v>949.41</v>
      </c>
      <c r="G17" s="26">
        <v>11.77</v>
      </c>
      <c r="H17" s="26"/>
    </row>
    <row r="18" spans="2:9">
      <c r="B18" s="41" t="s">
        <v>45</v>
      </c>
      <c r="C18" s="41"/>
      <c r="D18" s="41"/>
      <c r="E18" s="41"/>
      <c r="F18" s="42">
        <f>SUM(F16:F17)</f>
        <v>949.41</v>
      </c>
      <c r="G18" s="42">
        <f>SUM(G16:G17)</f>
        <v>11.77</v>
      </c>
      <c r="H18" s="43"/>
      <c r="I18" s="39"/>
    </row>
    <row r="19" spans="2:9">
      <c r="B19" s="44" t="s">
        <v>43</v>
      </c>
      <c r="C19" s="44"/>
      <c r="D19" s="44"/>
      <c r="E19" s="44"/>
      <c r="F19" s="45">
        <f>F18</f>
        <v>949.41</v>
      </c>
      <c r="G19" s="45">
        <f>G18</f>
        <v>11.77</v>
      </c>
      <c r="H19" s="45"/>
      <c r="I19" s="39"/>
    </row>
    <row r="20" spans="2:9">
      <c r="B20" s="46" t="s">
        <v>46</v>
      </c>
      <c r="C20" s="46"/>
      <c r="D20" s="46"/>
      <c r="E20" s="46"/>
      <c r="F20" s="47">
        <f>F21-(+F15+F19)</f>
        <v>154.76000000000022</v>
      </c>
      <c r="G20" s="47">
        <f>G21-(+G15+G19)</f>
        <v>1.9100000000000108</v>
      </c>
      <c r="H20" s="47"/>
      <c r="I20" s="39"/>
    </row>
    <row r="21" spans="2:9">
      <c r="B21" s="46" t="s">
        <v>47</v>
      </c>
      <c r="C21" s="46"/>
      <c r="D21" s="46"/>
      <c r="E21" s="46"/>
      <c r="F21" s="47">
        <v>8066.09</v>
      </c>
      <c r="G21" s="47">
        <v>100</v>
      </c>
      <c r="H21" s="47"/>
      <c r="I21" s="39"/>
    </row>
    <row r="23" spans="2:9" ht="12.75" thickBot="1">
      <c r="B23" s="39"/>
    </row>
    <row r="24" spans="2:9" ht="13.5" thickTop="1" thickBot="1">
      <c r="B24" s="48" t="s">
        <v>48</v>
      </c>
      <c r="C24" s="49">
        <v>7.5554782456851513</v>
      </c>
    </row>
    <row r="25" spans="2:9" ht="12.75" thickTop="1">
      <c r="B25" s="50"/>
    </row>
    <row r="26" spans="2:9" ht="12.75" thickBot="1">
      <c r="B26" s="50"/>
    </row>
    <row r="27" spans="2:9" ht="13.5" thickTop="1" thickBot="1">
      <c r="B27" s="48" t="s">
        <v>49</v>
      </c>
      <c r="C27" s="51">
        <v>7.3287615078450594E-2</v>
      </c>
    </row>
    <row r="28" spans="2:9" ht="12.75" thickTop="1">
      <c r="B28" s="50"/>
    </row>
    <row r="29" spans="2:9" ht="12.75" thickBot="1">
      <c r="B29" s="50"/>
    </row>
    <row r="30" spans="2:9" ht="13.5" thickTop="1" thickBot="1">
      <c r="B30" s="48" t="s">
        <v>50</v>
      </c>
      <c r="C30" s="52">
        <v>5.40096292507583</v>
      </c>
    </row>
    <row r="31" spans="2:9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17:12:03</KDate>
  <Classification>Public</Classification>
  <Subclassification/>
  <HostName>MUMCMP00935</HostName>
  <Domain_User>CANARAROBECOMF/628</Domain_User>
  <IPAdd>192.9.198.194</IPAdd>
  <FilePath>Book13</FilePath>
  <KID>C025A5607E97638110411235443875</KID>
  <UniqueName/>
  <Suggested/>
  <Justification/>
</Klassify>
</file>

<file path=customXml/itemProps1.xml><?xml version="1.0" encoding="utf-8"?>
<ds:datastoreItem xmlns:ds="http://schemas.openxmlformats.org/officeDocument/2006/customXml" ds:itemID="{48B91C4B-CE4E-47A3-A77D-DF41FA6B8A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2023-02-03T11:41:59Z</dcterms:created>
  <dcterms:modified xsi:type="dcterms:W3CDTF">2023-02-03T11:42:03Z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C025A5607E97638110411235443875</vt:lpwstr>
  </property>
</Properties>
</file>