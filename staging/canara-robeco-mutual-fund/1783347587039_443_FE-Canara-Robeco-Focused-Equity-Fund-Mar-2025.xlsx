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4C354C84-EDF9-4DAD-A545-0DD0C6FA70B1}" xr6:coauthVersionLast="47" xr6:coauthVersionMax="47" xr10:uidLastSave="{00000000-0000-0000-0000-000000000000}"/>
  <bookViews>
    <workbookView xWindow="-120" yWindow="-120" windowWidth="20730" windowHeight="11040" xr2:uid="{A3E5DD22-0493-44F7-B975-4A9D0714C8C3}"/>
  </bookViews>
  <sheets>
    <sheet name="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<sst xmlns="http://schemas.openxmlformats.org/spreadsheetml/2006/main" count="142" uniqueCount="103">
  <si>
    <t>CANARA ROBECO FOCUSED EQUITY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</si>
  <si>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</si>
  <si>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</si>
  <si>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</si>
  <si>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</si>
  <si>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</si>
  <si>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</si>
  <si>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</si>
  <si>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</si>
  <si>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</si>
  <si>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</si>
  <si>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</si>
  <si>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</si>
  <si>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</si>
  <si>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</si>
  <si>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</si>
  <si>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</si>
  <si>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</si>
  <si>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</si>
  <si>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</si>
  <si>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</si>
  <si>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Bharti Airtel Ltd</t>
  </si>
  <si>
    <t>INE397D01024</t>
  </si>
  <si>
    <t>Telecom - Services</t>
  </si>
  <si>
    <t>Infosys Ltd</t>
  </si>
  <si>
    <t>INE009A01021</t>
  </si>
  <si>
    <t>IT - Software</t>
  </si>
  <si>
    <t>Bajaj Finance Ltd</t>
  </si>
  <si>
    <t>INE296A01024</t>
  </si>
  <si>
    <t>Finance</t>
  </si>
  <si>
    <t>Larsen &amp; Toubro Ltd</t>
  </si>
  <si>
    <t>INE018A01030</t>
  </si>
  <si>
    <t>Construction</t>
  </si>
  <si>
    <t>Trent Ltd</t>
  </si>
  <si>
    <t>INE849A01020</t>
  </si>
  <si>
    <t>Retailing</t>
  </si>
  <si>
    <t>Benchmark: BSE 500 TRI</t>
  </si>
  <si>
    <t>Reliance Industries Ltd</t>
  </si>
  <si>
    <t>INE002A01018</t>
  </si>
  <si>
    <t>Petroleum Products</t>
  </si>
  <si>
    <t>TVS Motor Co Ltd</t>
  </si>
  <si>
    <t>INE494B01023</t>
  </si>
  <si>
    <t>Automobiles</t>
  </si>
  <si>
    <t>Tata Consultancy Services Ltd</t>
  </si>
  <si>
    <t>INE467B01029</t>
  </si>
  <si>
    <t>Ge Vernova T&amp;D India Ltd</t>
  </si>
  <si>
    <t>INE200A01026</t>
  </si>
  <si>
    <t>Electrical Equipment</t>
  </si>
  <si>
    <t>Mid Cap</t>
  </si>
  <si>
    <t>Max Healthcare Institute Ltd</t>
  </si>
  <si>
    <t>INE027H01010</t>
  </si>
  <si>
    <t>Healthcare Services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</si>
  <si>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</si>
  <si>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</si>
  <si>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</si>
  <si>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</si>
  <si>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</si>
  <si>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</si>
  <si>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Divi's Laboratories Ltd</t>
  </si>
  <si>
    <t>INE361B01024</t>
  </si>
  <si>
    <t>Pharmaceuticals &amp; Biotechnology</t>
  </si>
  <si>
    <t>Zomato Ltd</t>
  </si>
  <si>
    <t>INE758T01015</t>
  </si>
  <si>
    <t>Ultratech Cement Ltd</t>
  </si>
  <si>
    <t>INE481G01011</t>
  </si>
  <si>
    <t>Cement &amp; Cement Products</t>
  </si>
  <si>
    <t>Mankind Pharma Ltd</t>
  </si>
  <si>
    <t>INE634S01028</t>
  </si>
  <si>
    <t>Varun Beverages Ltd</t>
  </si>
  <si>
    <t>INE200M01039</t>
  </si>
  <si>
    <t>Beverages</t>
  </si>
  <si>
    <t>SBI Life Insurance Co Ltd</t>
  </si>
  <si>
    <t>INE123W01016</t>
  </si>
  <si>
    <t>Insurance</t>
  </si>
  <si>
    <t>Voltas Ltd</t>
  </si>
  <si>
    <t>INE226A01021</t>
  </si>
  <si>
    <t>Consumer Durables</t>
  </si>
  <si>
    <t>ICICI Lombard General Insurance Co Ltd</t>
  </si>
  <si>
    <t>INE765G01017</t>
  </si>
  <si>
    <t>Aditya Birla Real Estate Ltd</t>
  </si>
  <si>
    <t>INE055A01016</t>
  </si>
  <si>
    <t>Paper, Forest &amp; Jute Products</t>
  </si>
  <si>
    <t>Small Cap</t>
  </si>
  <si>
    <t>Avenue Supermarts Ltd</t>
  </si>
  <si>
    <t>INE192R01011</t>
  </si>
  <si>
    <t>Dr. Agarwals Health Care Ltd</t>
  </si>
  <si>
    <t>INE943P01029</t>
  </si>
  <si>
    <t>Maruti Suzuki India Ltd</t>
  </si>
  <si>
    <t>INE585B01010</t>
  </si>
  <si>
    <t>NTPC Ltd</t>
  </si>
  <si>
    <t>INE733E01010</t>
  </si>
  <si>
    <t>Power</t>
  </si>
  <si>
    <t>State Bank of India</t>
  </si>
  <si>
    <t>INE062A01020</t>
  </si>
  <si>
    <t>Axis Bank Ltd</t>
  </si>
  <si>
    <t>INE238A01034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</si>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</sst>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28D0-893B-499E-8D2D-D94B7BAB5713}">
  <dimension ref="B1:M4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1625000</v>
      </c>
      <c r="F7" s="19">
        <v>21910.69</v>
      </c>
      <c r="G7" s="19">
        <v>8.91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977500</v>
      </c>
      <c r="F8" s="19">
        <v>17870.66</v>
      </c>
      <c r="G8" s="19">
        <v>7.27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674800</v>
      </c>
      <c r="F9" s="19">
        <v>11696.98</v>
      </c>
      <c r="G9" s="19">
        <v>4.76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637000</v>
      </c>
      <c r="F10" s="19">
        <v>10005.040000000001</v>
      </c>
      <c r="G10" s="19">
        <v>4.07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106500</v>
      </c>
      <c r="F11" s="19">
        <v>9527.06</v>
      </c>
      <c r="G11" s="19">
        <v>3.87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256261</v>
      </c>
      <c r="F12" s="19">
        <v>8949.4</v>
      </c>
      <c r="G12" s="19">
        <v>3.64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153547</v>
      </c>
      <c r="F13" s="19">
        <v>8176.61</v>
      </c>
      <c r="G13" s="19">
        <v>3.33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640800</v>
      </c>
      <c r="F14" s="19">
        <v>8170.84</v>
      </c>
      <c r="G14" s="19">
        <v>3.32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42</v>
      </c>
      <c r="E15" s="22">
        <v>335383</v>
      </c>
      <c r="F15" s="19">
        <v>8115.77</v>
      </c>
      <c r="G15" s="19">
        <v>3.3</v>
      </c>
      <c r="H15" s="19" t="s">
        <v>18</v>
      </c>
    </row>
    <row r="16" spans="2:13" x14ac:dyDescent="0.2">
      <c r="B16" s="21" t="s">
        <v>43</v>
      </c>
      <c r="C16" s="18" t="s">
        <v>44</v>
      </c>
      <c r="D16" s="18" t="s">
        <v>26</v>
      </c>
      <c r="E16" s="22">
        <v>223402</v>
      </c>
      <c r="F16" s="19">
        <v>8056.21</v>
      </c>
      <c r="G16" s="19">
        <v>3.28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498646</v>
      </c>
      <c r="F17" s="19">
        <v>7772.64</v>
      </c>
      <c r="G17" s="19">
        <v>3.16</v>
      </c>
      <c r="H17" s="19" t="s">
        <v>48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704782</v>
      </c>
      <c r="F18" s="19">
        <v>7731.11</v>
      </c>
      <c r="G18" s="19">
        <v>3.14</v>
      </c>
      <c r="H18" s="19" t="s">
        <v>48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878316</v>
      </c>
      <c r="F19" s="19">
        <v>7689.66</v>
      </c>
      <c r="G19" s="19">
        <v>3.13</v>
      </c>
      <c r="H19" s="19" t="s">
        <v>48</v>
      </c>
    </row>
    <row r="20" spans="2:8" x14ac:dyDescent="0.2">
      <c r="B20" s="21" t="s">
        <v>55</v>
      </c>
      <c r="C20" s="18" t="s">
        <v>56</v>
      </c>
      <c r="D20" s="18" t="s">
        <v>57</v>
      </c>
      <c r="E20" s="22">
        <v>2521000</v>
      </c>
      <c r="F20" s="19">
        <v>7596.28</v>
      </c>
      <c r="G20" s="19">
        <v>3.09</v>
      </c>
      <c r="H20" s="19" t="s">
        <v>18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129000</v>
      </c>
      <c r="F21" s="19">
        <v>7450.33</v>
      </c>
      <c r="G21" s="19">
        <v>3.03</v>
      </c>
      <c r="H21" s="19" t="s">
        <v>18</v>
      </c>
    </row>
    <row r="22" spans="2:8" x14ac:dyDescent="0.2">
      <c r="B22" s="21" t="s">
        <v>61</v>
      </c>
      <c r="C22" s="18" t="s">
        <v>62</v>
      </c>
      <c r="D22" s="18" t="s">
        <v>35</v>
      </c>
      <c r="E22" s="22">
        <v>3560000</v>
      </c>
      <c r="F22" s="19">
        <v>7180.52</v>
      </c>
      <c r="G22" s="19">
        <v>2.92</v>
      </c>
      <c r="H22" s="19" t="s">
        <v>18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61000</v>
      </c>
      <c r="F23" s="19">
        <v>7020.83</v>
      </c>
      <c r="G23" s="19">
        <v>2.86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60</v>
      </c>
      <c r="E24" s="22">
        <v>281994</v>
      </c>
      <c r="F24" s="19">
        <v>6837.65</v>
      </c>
      <c r="G24" s="19">
        <v>2.78</v>
      </c>
      <c r="H24" s="19" t="s">
        <v>48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1193042</v>
      </c>
      <c r="F25" s="19">
        <v>6438.25</v>
      </c>
      <c r="G25" s="19">
        <v>2.62</v>
      </c>
      <c r="H25" s="19" t="s">
        <v>18</v>
      </c>
    </row>
    <row r="26" spans="2:8" x14ac:dyDescent="0.2">
      <c r="B26" s="21" t="s">
        <v>71</v>
      </c>
      <c r="C26" s="18" t="s">
        <v>72</v>
      </c>
      <c r="D26" s="18" t="s">
        <v>73</v>
      </c>
      <c r="E26" s="22">
        <v>401443</v>
      </c>
      <c r="F26" s="19">
        <v>6213.74</v>
      </c>
      <c r="G26" s="19">
        <v>2.5299999999999998</v>
      </c>
      <c r="H26" s="19" t="s">
        <v>18</v>
      </c>
    </row>
    <row r="27" spans="2:8" x14ac:dyDescent="0.2">
      <c r="B27" s="21" t="s">
        <v>74</v>
      </c>
      <c r="C27" s="18" t="s">
        <v>75</v>
      </c>
      <c r="D27" s="18" t="s">
        <v>76</v>
      </c>
      <c r="E27" s="22">
        <v>405000</v>
      </c>
      <c r="F27" s="19">
        <v>5907.74</v>
      </c>
      <c r="G27" s="19">
        <v>2.4</v>
      </c>
      <c r="H27" s="19" t="s">
        <v>48</v>
      </c>
    </row>
    <row r="28" spans="2:8" x14ac:dyDescent="0.2">
      <c r="B28" s="21" t="s">
        <v>77</v>
      </c>
      <c r="C28" s="18" t="s">
        <v>78</v>
      </c>
      <c r="D28" s="18" t="s">
        <v>73</v>
      </c>
      <c r="E28" s="22">
        <v>320000</v>
      </c>
      <c r="F28" s="19">
        <v>5737.12</v>
      </c>
      <c r="G28" s="19">
        <v>2.33</v>
      </c>
      <c r="H28" s="19" t="s">
        <v>48</v>
      </c>
    </row>
    <row r="29" spans="2:8" x14ac:dyDescent="0.2">
      <c r="B29" s="21" t="s">
        <v>79</v>
      </c>
      <c r="C29" s="18" t="s">
        <v>80</v>
      </c>
      <c r="D29" s="18" t="s">
        <v>81</v>
      </c>
      <c r="E29" s="22">
        <v>283500</v>
      </c>
      <c r="F29" s="19">
        <v>5556.32</v>
      </c>
      <c r="G29" s="19">
        <v>2.2599999999999998</v>
      </c>
      <c r="H29" s="19" t="s">
        <v>82</v>
      </c>
    </row>
    <row r="30" spans="2:8" x14ac:dyDescent="0.2">
      <c r="B30" s="21" t="s">
        <v>83</v>
      </c>
      <c r="C30" s="18" t="s">
        <v>84</v>
      </c>
      <c r="D30" s="18" t="s">
        <v>35</v>
      </c>
      <c r="E30" s="22">
        <v>135000</v>
      </c>
      <c r="F30" s="19">
        <v>5512.32</v>
      </c>
      <c r="G30" s="19">
        <v>2.2400000000000002</v>
      </c>
      <c r="H30" s="19" t="s">
        <v>18</v>
      </c>
    </row>
    <row r="31" spans="2:8" x14ac:dyDescent="0.2">
      <c r="B31" s="21" t="s">
        <v>85</v>
      </c>
      <c r="C31" s="18" t="s">
        <v>86</v>
      </c>
      <c r="D31" s="18" t="s">
        <v>51</v>
      </c>
      <c r="E31" s="22">
        <v>1219635</v>
      </c>
      <c r="F31" s="19">
        <v>5437.74</v>
      </c>
      <c r="G31" s="19">
        <v>2.21</v>
      </c>
      <c r="H31" s="19" t="s">
        <v>82</v>
      </c>
    </row>
    <row r="32" spans="2:8" x14ac:dyDescent="0.2">
      <c r="B32" s="21" t="s">
        <v>87</v>
      </c>
      <c r="C32" s="18" t="s">
        <v>88</v>
      </c>
      <c r="D32" s="18" t="s">
        <v>42</v>
      </c>
      <c r="E32" s="22">
        <v>44900</v>
      </c>
      <c r="F32" s="19">
        <v>5173.45</v>
      </c>
      <c r="G32" s="19">
        <v>2.1</v>
      </c>
      <c r="H32" s="19" t="s">
        <v>18</v>
      </c>
    </row>
    <row r="33" spans="2:8" x14ac:dyDescent="0.2">
      <c r="B33" s="21" t="s">
        <v>89</v>
      </c>
      <c r="C33" s="18" t="s">
        <v>90</v>
      </c>
      <c r="D33" s="18" t="s">
        <v>91</v>
      </c>
      <c r="E33" s="22">
        <v>1438000</v>
      </c>
      <c r="F33" s="19">
        <v>5142.29</v>
      </c>
      <c r="G33" s="19">
        <v>2.09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17</v>
      </c>
      <c r="E34" s="22">
        <v>654500</v>
      </c>
      <c r="F34" s="19">
        <v>5049.47</v>
      </c>
      <c r="G34" s="19">
        <v>2.0499999999999998</v>
      </c>
      <c r="H34" s="19" t="s">
        <v>18</v>
      </c>
    </row>
    <row r="35" spans="2:8" x14ac:dyDescent="0.2">
      <c r="B35" s="21" t="s">
        <v>94</v>
      </c>
      <c r="C35" s="18" t="s">
        <v>95</v>
      </c>
      <c r="D35" s="18" t="s">
        <v>17</v>
      </c>
      <c r="E35" s="22">
        <v>375000</v>
      </c>
      <c r="F35" s="19">
        <v>4132.5</v>
      </c>
      <c r="G35" s="19">
        <v>1.68</v>
      </c>
      <c r="H35" s="19" t="s">
        <v>18</v>
      </c>
    </row>
    <row r="36" spans="2:8" x14ac:dyDescent="0.2">
      <c r="B36" s="25" t="s">
        <v>96</v>
      </c>
      <c r="C36" s="26"/>
      <c r="D36" s="26"/>
      <c r="E36" s="26"/>
      <c r="F36" s="27">
        <f>SUM(F7:F35)</f>
        <v>232059.21999999997</v>
      </c>
      <c r="G36" s="27">
        <f>SUM(G7:G35)</f>
        <v>94.37</v>
      </c>
      <c r="H36" s="27"/>
    </row>
    <row r="37" spans="2:8" x14ac:dyDescent="0.2">
      <c r="B37" s="28" t="s">
        <v>97</v>
      </c>
      <c r="C37" s="28"/>
      <c r="D37" s="28"/>
      <c r="E37" s="28"/>
      <c r="F37" s="29">
        <f>F36</f>
        <v>232059.21999999997</v>
      </c>
      <c r="G37" s="29">
        <f>G36</f>
        <v>94.37</v>
      </c>
      <c r="H37" s="29"/>
    </row>
    <row r="38" spans="2:8" x14ac:dyDescent="0.2">
      <c r="B38" s="30" t="s">
        <v>98</v>
      </c>
      <c r="C38" s="31"/>
      <c r="D38" s="31"/>
      <c r="E38" s="31"/>
      <c r="F38" s="32"/>
      <c r="G38" s="32"/>
      <c r="H38" s="32"/>
    </row>
    <row r="39" spans="2:8" x14ac:dyDescent="0.2">
      <c r="B39" s="21" t="s">
        <v>98</v>
      </c>
      <c r="C39" s="18"/>
      <c r="D39" s="18"/>
      <c r="E39" s="18"/>
      <c r="F39" s="19">
        <v>13024.39</v>
      </c>
      <c r="G39" s="19">
        <v>5.3</v>
      </c>
      <c r="H39" s="19"/>
    </row>
    <row r="40" spans="2:8" x14ac:dyDescent="0.2">
      <c r="B40" s="25" t="s">
        <v>96</v>
      </c>
      <c r="C40" s="26"/>
      <c r="D40" s="26"/>
      <c r="E40" s="26"/>
      <c r="F40" s="27">
        <f>SUM(F38:F39)</f>
        <v>13024.39</v>
      </c>
      <c r="G40" s="27">
        <f>SUM(G38:G39)</f>
        <v>5.3</v>
      </c>
      <c r="H40" s="27"/>
    </row>
    <row r="41" spans="2:8" x14ac:dyDescent="0.2">
      <c r="B41" s="33" t="s">
        <v>97</v>
      </c>
      <c r="C41" s="33"/>
      <c r="D41" s="33"/>
      <c r="E41" s="33"/>
      <c r="F41" s="34">
        <f>F40</f>
        <v>13024.39</v>
      </c>
      <c r="G41" s="34">
        <f>G40</f>
        <v>5.3</v>
      </c>
      <c r="H41" s="34"/>
    </row>
    <row r="42" spans="2:8" x14ac:dyDescent="0.2">
      <c r="B42" s="35" t="s">
        <v>99</v>
      </c>
      <c r="C42" s="35"/>
      <c r="D42" s="35"/>
      <c r="E42" s="35"/>
      <c r="F42" s="36">
        <f>F43-(+F37+F41)</f>
        <v>803.26000000000931</v>
      </c>
      <c r="G42" s="36">
        <f>G43-(+G37+G41)</f>
        <v>0.32999999999999829</v>
      </c>
      <c r="H42" s="36"/>
    </row>
    <row r="43" spans="2:8" x14ac:dyDescent="0.2">
      <c r="B43" s="35" t="s">
        <v>100</v>
      </c>
      <c r="C43" s="35"/>
      <c r="D43" s="35"/>
      <c r="E43" s="35"/>
      <c r="F43" s="36">
        <v>245886.87</v>
      </c>
      <c r="G43" s="36">
        <v>100</v>
      </c>
      <c r="H43" s="36"/>
    </row>
    <row r="45" spans="2:8" ht="12.75" thickBot="1" x14ac:dyDescent="0.25">
      <c r="B45" s="37"/>
    </row>
    <row r="46" spans="2:8" ht="13.5" thickTop="1" thickBot="1" x14ac:dyDescent="0.25">
      <c r="B46" s="39" t="s">
        <v>101</v>
      </c>
      <c r="C46" s="40" t="s">
        <v>102</v>
      </c>
    </row>
    <row r="47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15:25:46</KDate>
  <Classification>MIS Internal</Classification>
  <Subclassification/>
  <HostName>MUMCMP01323</HostName>
  <Domain_User>CANARAROBECOMF/628</Domain_User>
  <IPAdd>192.9.198.194</IPAdd>
  <FilePath>Book8</FilePath>
  <KID>109819A0F0A5638793771463220730</KID>
  <UniqueName/>
  <Suggested/>
  <Justification/>
</Klassify>
</file>

<file path=customXml/itemProps1.xml><?xml version="1.0" encoding="utf-8"?>
<ds:datastoreItem xmlns:ds="http://schemas.openxmlformats.org/officeDocument/2006/customXml" ds:itemID="{2597BF6C-0208-46BB-9934-489A9E2936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2025-04-04T09:55:44Z</dcterms:created>
  <dcterms:modified xsi:type="dcterms:W3CDTF">2025-04-04T09:55:46Z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109819A0F0A5638793771463220730</vt:lpwstr>
  </property>
</Properties>
</file>