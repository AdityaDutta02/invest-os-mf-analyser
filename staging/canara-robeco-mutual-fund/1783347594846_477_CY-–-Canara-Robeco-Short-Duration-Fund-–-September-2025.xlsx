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Sep 25\"/>
    </mc:Choice>
  </mc:AlternateContent>
  <xr:revisionPtr revIDLastSave="0" documentId="8_{ACACB2F5-90B1-4ED5-87F9-23447DBDD58C}" xr6:coauthVersionLast="47" xr6:coauthVersionMax="47" xr10:uidLastSave="{00000000-0000-0000-0000-000000000000}"/>
  <bookViews>
    <workbookView xWindow="-120" yWindow="-120" windowWidth="20730" windowHeight="11040" xr2:uid="{4ED0667F-6E2B-4E11-B703-2B9B81A3156A}"/>
  </bookViews>
  <sheets>
    <sheet name="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G42" i="1"/>
  <c r="G43" i="1" s="1"/>
  <c r="F42" i="1"/>
  <c r="G39" i="1"/>
  <c r="F39" i="1"/>
  <c r="G36" i="1"/>
  <c r="F36" i="1"/>
  <c r="G28" i="1"/>
  <c r="F28" i="1"/>
  <c r="G25" i="1"/>
  <c r="G29" i="1" s="1"/>
  <c r="F25" i="1"/>
  <c r="F29" i="1" s="1"/>
  <c r="G19" i="1"/>
  <c r="G20" i="1" s="1"/>
  <c r="G44" i="1" s="1"/>
  <c r="F19" i="1"/>
  <c r="F20" i="1" s="1"/>
  <c r="F4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<sst xmlns="http://schemas.openxmlformats.org/spreadsheetml/2006/main" count="114" uniqueCount="90">
  <si>
    <t>CANARA ROBECO SHORT DURATION FUND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</si>
  <si>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</si>
  <si>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</si>
  <si>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</si>
  <si>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</si>
  <si>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</si>
  <si>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</si>
  <si>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</si>
  <si>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</si>
  <si>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September'25</t>
  </si>
  <si>
    <t>Benchmark Risk-O-Meter Level- September'25</t>
  </si>
  <si>
    <t>Scheme Risk-O-Meter Level- August'25</t>
  </si>
  <si>
    <t>Benchmark Risk-O-Meter Level- August'25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</si>
  <si>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</si>
  <si>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</si>
  <si>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</si>
  <si>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</si>
  <si>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</si>
  <si>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</si>
  <si>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</si>
  <si>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</si>
  <si>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</si>
  <si>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</si>
  <si>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</si>
  <si>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</si>
  <si>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7.74% Hindustan Petroleum Corporation Ltd (02/03/2028) **</t>
  </si>
  <si>
    <t>INE094A08150</t>
  </si>
  <si>
    <t>7.49% Small Industries Development Bank Of India (11/06/2029)</t>
  </si>
  <si>
    <t>INE556F08KX8</t>
  </si>
  <si>
    <t>Moderate 
(Class II)</t>
  </si>
  <si>
    <t>B-II</t>
  </si>
  <si>
    <t>7.48% National Bank For Agriculture &amp; Rural Development (15/09/2028)</t>
  </si>
  <si>
    <t>INE261F08EO7</t>
  </si>
  <si>
    <t>7.9265% LIC HOUSING FINANCE LTD 14-JUL-27 **</t>
  </si>
  <si>
    <t>INE115A07QS3</t>
  </si>
  <si>
    <t>Relatively High (Class III)</t>
  </si>
  <si>
    <t>7.59% REC Ltd (31/05/2027) **</t>
  </si>
  <si>
    <t>INE020B08FA2</t>
  </si>
  <si>
    <t>7.50% Grasim industries Ltd (10/06/2027) **</t>
  </si>
  <si>
    <t>INE047A08190</t>
  </si>
  <si>
    <t>Benchmark: CRISIL Short Duration Debt A-II Index</t>
  </si>
  <si>
    <t>7.25% Export-Import Bank Of India (01/02/2027) **</t>
  </si>
  <si>
    <t>INE514E08FJ9</t>
  </si>
  <si>
    <t>7.13% Power Finance Corporation Ltd (15/07/2026) **</t>
  </si>
  <si>
    <t>INE134E08LP1</t>
  </si>
  <si>
    <t>7.02% Bajaj Housing Finance Ltd (26/05/2028) **</t>
  </si>
  <si>
    <t>INE377Y07565</t>
  </si>
  <si>
    <t>7.11% Bajaj Finance Ltd (10/07/2028) **</t>
  </si>
  <si>
    <t>INE296A07TM8</t>
  </si>
  <si>
    <t>7.20% Power Grid Corporation of India Ltd (09/08/2027) **</t>
  </si>
  <si>
    <t>INE752E07OG5</t>
  </si>
  <si>
    <t>Sub Total</t>
  </si>
  <si>
    <t>Total</t>
  </si>
  <si>
    <t>Money Market Instruments</t>
  </si>
  <si>
    <t>Certificate of Deposit</t>
  </si>
  <si>
    <t>Union Bank of India (25/06/2026) #</t>
  </si>
  <si>
    <t>INE692A16JQ1</t>
  </si>
  <si>
    <t>IND A1+</t>
  </si>
  <si>
    <t>Punjab National Bank (18/03/2026) #</t>
  </si>
  <si>
    <t>INE160A16RK5</t>
  </si>
  <si>
    <t>CARE A1+</t>
  </si>
  <si>
    <t>Treasury Bill</t>
  </si>
  <si>
    <t>364 DTB (08-JAN-2026)</t>
  </si>
  <si>
    <t>IN002024Z396</t>
  </si>
  <si>
    <t xml:space="preserve"> Sovereign</t>
  </si>
  <si>
    <t>Government Bonds</t>
  </si>
  <si>
    <t>8.37% TAMIL NADU SDL 05-DEC-28</t>
  </si>
  <si>
    <t>IN3120180176</t>
  </si>
  <si>
    <t>Sovereign</t>
  </si>
  <si>
    <t>7.18% GOI 2037 (24-JUL-2037)</t>
  </si>
  <si>
    <t>IN0020230077</t>
  </si>
  <si>
    <t>7.32% GOI 2073 (13-NOV-2030)</t>
  </si>
  <si>
    <t>IN0020230135</t>
  </si>
  <si>
    <t>7.10% GOI 2034 (08-APR-2034)</t>
  </si>
  <si>
    <t>IN0020240019</t>
  </si>
  <si>
    <t>7.86% Karnataka SDL 15-Mar-27</t>
  </si>
  <si>
    <t>IN1920160117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</si>
  <si>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</si>
  <si>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</si>
  <si>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</si>
  <si>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</si>
  <si>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</si>
  <si>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</si>
  <si>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</si>
  <si>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</si>
  <si>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</si>
  <si>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</si>
  <si>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</si>
  <si>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</si>
  <si>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https://www.canararobeco.com/images/default-source/default-album/Scheme_Performance_September_25.pdf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</si>
</sst>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5" xfId="1" applyFont="1" applyFill="1" applyBorder="1" applyAlignment="1">
      <alignment horizontal="center" vertical="center"/>
    </xf>
    <xf numFmtId="164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164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164" fontId="4" fillId="3" borderId="13" xfId="1" applyFont="1" applyFill="1" applyBorder="1" applyAlignment="1">
      <alignment horizontal="center" vertical="center"/>
    </xf>
    <xf numFmtId="164" fontId="4" fillId="3" borderId="0" xfId="1" applyFont="1" applyFill="1" applyAlignment="1"/>
    <xf numFmtId="164" fontId="4" fillId="3" borderId="0" xfId="1" applyFont="1" applyFill="1"/>
    <xf numFmtId="0" fontId="10" fillId="3" borderId="14" xfId="0" applyFont="1" applyFill="1" applyBorder="1"/>
    <xf numFmtId="4" fontId="10" fillId="3" borderId="15" xfId="0" applyNumberFormat="1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17" xfId="0" applyNumberFormat="1" applyFont="1" applyFill="1" applyBorder="1"/>
    <xf numFmtId="4" fontId="10" fillId="3" borderId="11" xfId="0" applyNumberFormat="1" applyFont="1" applyFill="1" applyBorder="1"/>
    <xf numFmtId="0" fontId="4" fillId="3" borderId="18" xfId="0" applyFont="1" applyFill="1" applyBorder="1"/>
    <xf numFmtId="3" fontId="4" fillId="3" borderId="18" xfId="0" applyNumberFormat="1" applyFont="1" applyFill="1" applyBorder="1"/>
    <xf numFmtId="4" fontId="4" fillId="3" borderId="18" xfId="0" applyNumberFormat="1" applyFont="1" applyFill="1" applyBorder="1"/>
    <xf numFmtId="0" fontId="10" fillId="3" borderId="17" xfId="0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FD66-8BE0-45A9-8AB6-A0674D49F9EC}">
  <dimension ref="B1:S59"/>
  <sheetViews>
    <sheetView tabSelected="1" workbookViewId="0">
      <selection activeCell="C12" sqref="C12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7109375" style="3" bestFit="1" customWidth="1"/>
    <col min="4" max="4" width="22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10" width="9.140625" style="3"/>
    <col min="11" max="11" width="31.5703125" style="3" customWidth="1"/>
    <col min="12" max="12" width="35.5703125" style="3" customWidth="1"/>
    <col min="13" max="14" width="31.42578125" style="3" customWidth="1"/>
    <col min="15" max="15" width="9.140625" style="3"/>
    <col min="16" max="16" width="12.7109375" style="3" customWidth="1"/>
    <col min="17" max="16384" width="9.140625" style="3"/>
  </cols>
  <sheetData>
    <row r="1" spans="2:1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9" ht="16.5" thickBot="1" x14ac:dyDescent="0.25">
      <c r="B3" s="4" t="s">
        <v>1</v>
      </c>
      <c r="C3" s="5"/>
      <c r="D3" s="6"/>
      <c r="E3" s="6"/>
      <c r="F3" s="7"/>
      <c r="G3" s="7"/>
    </row>
    <row r="4" spans="2:19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 x14ac:dyDescent="0.2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1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4" x14ac:dyDescent="0.2">
      <c r="B6" s="24" t="s">
        <v>19</v>
      </c>
      <c r="C6" s="25"/>
      <c r="D6" s="25"/>
      <c r="E6" s="25"/>
      <c r="F6" s="26"/>
      <c r="G6" s="26"/>
      <c r="H6" s="26"/>
      <c r="K6" s="27"/>
      <c r="L6" s="21"/>
      <c r="M6" s="27"/>
      <c r="N6" s="21"/>
      <c r="P6" s="28" t="s">
        <v>20</v>
      </c>
      <c r="Q6" s="23"/>
      <c r="R6" s="23"/>
      <c r="S6" s="23"/>
    </row>
    <row r="7" spans="2:19" x14ac:dyDescent="0.2">
      <c r="B7" s="25" t="s">
        <v>21</v>
      </c>
      <c r="C7" s="25" t="s">
        <v>22</v>
      </c>
      <c r="D7" s="25" t="s">
        <v>23</v>
      </c>
      <c r="E7" s="29">
        <v>250</v>
      </c>
      <c r="F7" s="26">
        <v>2608.98</v>
      </c>
      <c r="G7" s="26">
        <v>6.1</v>
      </c>
      <c r="H7" s="26">
        <v>6.88</v>
      </c>
      <c r="K7" s="27"/>
      <c r="L7" s="21"/>
      <c r="M7" s="27"/>
      <c r="N7" s="21"/>
      <c r="P7" s="30" t="s">
        <v>24</v>
      </c>
      <c r="Q7" s="31"/>
      <c r="R7" s="31"/>
      <c r="S7" s="31"/>
    </row>
    <row r="8" spans="2:19" x14ac:dyDescent="0.2">
      <c r="B8" s="25" t="s">
        <v>25</v>
      </c>
      <c r="C8" s="25" t="s">
        <v>26</v>
      </c>
      <c r="D8" s="25" t="s">
        <v>23</v>
      </c>
      <c r="E8" s="29">
        <v>2500</v>
      </c>
      <c r="F8" s="26">
        <v>2565.1999999999998</v>
      </c>
      <c r="G8" s="26">
        <v>6</v>
      </c>
      <c r="H8" s="26">
        <v>6.51</v>
      </c>
      <c r="K8" s="27"/>
      <c r="L8" s="21"/>
      <c r="M8" s="27"/>
      <c r="N8" s="21"/>
      <c r="P8" s="30"/>
      <c r="Q8" s="32"/>
      <c r="R8" s="32"/>
      <c r="S8" s="32"/>
    </row>
    <row r="9" spans="2:19" x14ac:dyDescent="0.2">
      <c r="B9" s="25" t="s">
        <v>27</v>
      </c>
      <c r="C9" s="25" t="s">
        <v>28</v>
      </c>
      <c r="D9" s="25" t="s">
        <v>23</v>
      </c>
      <c r="E9" s="29">
        <v>2500</v>
      </c>
      <c r="F9" s="26">
        <v>2546.9699999999998</v>
      </c>
      <c r="G9" s="26">
        <v>5.96</v>
      </c>
      <c r="H9" s="26">
        <v>6.88</v>
      </c>
      <c r="K9" s="27"/>
      <c r="L9" s="21"/>
      <c r="M9" s="27"/>
      <c r="N9" s="21"/>
      <c r="P9" s="30" t="s">
        <v>29</v>
      </c>
      <c r="Q9" s="31"/>
      <c r="R9" s="33" t="s">
        <v>30</v>
      </c>
      <c r="S9" s="31"/>
    </row>
    <row r="10" spans="2:19" x14ac:dyDescent="0.2">
      <c r="B10" s="25" t="s">
        <v>31</v>
      </c>
      <c r="C10" s="25" t="s">
        <v>32</v>
      </c>
      <c r="D10" s="25" t="s">
        <v>23</v>
      </c>
      <c r="E10" s="29">
        <v>2500</v>
      </c>
      <c r="F10" s="26">
        <v>2543.3000000000002</v>
      </c>
      <c r="G10" s="26">
        <v>5.95</v>
      </c>
      <c r="H10" s="26">
        <v>6.81</v>
      </c>
      <c r="K10" s="27"/>
      <c r="L10" s="21"/>
      <c r="M10" s="27"/>
      <c r="N10" s="21"/>
      <c r="P10" s="30"/>
      <c r="Q10" s="32"/>
      <c r="R10" s="34"/>
      <c r="S10" s="32"/>
    </row>
    <row r="11" spans="2:19" x14ac:dyDescent="0.2">
      <c r="B11" s="25" t="s">
        <v>33</v>
      </c>
      <c r="C11" s="25" t="s">
        <v>34</v>
      </c>
      <c r="D11" s="25" t="s">
        <v>23</v>
      </c>
      <c r="E11" s="29">
        <v>2500</v>
      </c>
      <c r="F11" s="26">
        <v>2542.69</v>
      </c>
      <c r="G11" s="26">
        <v>5.95</v>
      </c>
      <c r="H11" s="26">
        <v>6.85</v>
      </c>
      <c r="K11" s="27"/>
      <c r="L11" s="21"/>
      <c r="M11" s="27"/>
      <c r="N11" s="21"/>
      <c r="P11" s="30" t="s">
        <v>35</v>
      </c>
      <c r="Q11" s="31"/>
      <c r="R11" s="31"/>
      <c r="S11" s="31"/>
    </row>
    <row r="12" spans="2:19" x14ac:dyDescent="0.2">
      <c r="B12" s="25" t="s">
        <v>36</v>
      </c>
      <c r="C12" s="25" t="s">
        <v>37</v>
      </c>
      <c r="D12" s="25" t="s">
        <v>23</v>
      </c>
      <c r="E12" s="29">
        <v>2500</v>
      </c>
      <c r="F12" s="26">
        <v>2537.58</v>
      </c>
      <c r="G12" s="26">
        <v>5.94</v>
      </c>
      <c r="H12" s="26">
        <v>6.57</v>
      </c>
      <c r="K12" s="35"/>
      <c r="L12" s="21"/>
      <c r="M12" s="35"/>
      <c r="N12" s="21"/>
      <c r="P12" s="30"/>
      <c r="Q12" s="32"/>
      <c r="R12" s="32"/>
      <c r="S12" s="32"/>
    </row>
    <row r="13" spans="2:19" x14ac:dyDescent="0.2">
      <c r="B13" s="25" t="s">
        <v>38</v>
      </c>
      <c r="C13" s="25" t="s">
        <v>39</v>
      </c>
      <c r="D13" s="25" t="s">
        <v>23</v>
      </c>
      <c r="E13" s="29">
        <v>250</v>
      </c>
      <c r="F13" s="26">
        <v>2535.41</v>
      </c>
      <c r="G13" s="26">
        <v>5.93</v>
      </c>
      <c r="H13" s="26">
        <v>6.56</v>
      </c>
      <c r="K13" s="36"/>
      <c r="L13" s="36" t="s">
        <v>40</v>
      </c>
      <c r="M13" s="37"/>
      <c r="N13" s="37"/>
    </row>
    <row r="14" spans="2:19" x14ac:dyDescent="0.2">
      <c r="B14" s="25" t="s">
        <v>41</v>
      </c>
      <c r="C14" s="25" t="s">
        <v>42</v>
      </c>
      <c r="D14" s="25" t="s">
        <v>23</v>
      </c>
      <c r="E14" s="29">
        <v>250</v>
      </c>
      <c r="F14" s="26">
        <v>2521.67</v>
      </c>
      <c r="G14" s="26">
        <v>5.9</v>
      </c>
      <c r="H14" s="26">
        <v>6.51</v>
      </c>
    </row>
    <row r="15" spans="2:19" x14ac:dyDescent="0.2">
      <c r="B15" s="25" t="s">
        <v>43</v>
      </c>
      <c r="C15" s="25" t="s">
        <v>44</v>
      </c>
      <c r="D15" s="25" t="s">
        <v>23</v>
      </c>
      <c r="E15" s="29">
        <v>250</v>
      </c>
      <c r="F15" s="26">
        <v>2509.37</v>
      </c>
      <c r="G15" s="26">
        <v>5.87</v>
      </c>
      <c r="H15" s="26">
        <v>6.58</v>
      </c>
    </row>
    <row r="16" spans="2:19" x14ac:dyDescent="0.2">
      <c r="B16" s="25" t="s">
        <v>45</v>
      </c>
      <c r="C16" s="25" t="s">
        <v>46</v>
      </c>
      <c r="D16" s="25" t="s">
        <v>23</v>
      </c>
      <c r="E16" s="29">
        <v>2500</v>
      </c>
      <c r="F16" s="26">
        <v>2496.0100000000002</v>
      </c>
      <c r="G16" s="26">
        <v>5.84</v>
      </c>
      <c r="H16" s="26">
        <v>7.07</v>
      </c>
    </row>
    <row r="17" spans="2:9" x14ac:dyDescent="0.2">
      <c r="B17" s="25" t="s">
        <v>47</v>
      </c>
      <c r="C17" s="25" t="s">
        <v>48</v>
      </c>
      <c r="D17" s="25" t="s">
        <v>23</v>
      </c>
      <c r="E17" s="29">
        <v>2500</v>
      </c>
      <c r="F17" s="26">
        <v>2495.6999999999998</v>
      </c>
      <c r="G17" s="26">
        <v>5.84</v>
      </c>
      <c r="H17" s="26">
        <v>7.16</v>
      </c>
    </row>
    <row r="18" spans="2:9" x14ac:dyDescent="0.2">
      <c r="B18" s="25" t="s">
        <v>49</v>
      </c>
      <c r="C18" s="25" t="s">
        <v>50</v>
      </c>
      <c r="D18" s="25" t="s">
        <v>23</v>
      </c>
      <c r="E18" s="29">
        <v>200</v>
      </c>
      <c r="F18" s="26">
        <v>2022.25</v>
      </c>
      <c r="G18" s="26">
        <v>4.7300000000000004</v>
      </c>
      <c r="H18" s="26">
        <v>6.53</v>
      </c>
    </row>
    <row r="19" spans="2:9" x14ac:dyDescent="0.2">
      <c r="B19" s="38" t="s">
        <v>51</v>
      </c>
      <c r="C19" s="38"/>
      <c r="D19" s="38"/>
      <c r="E19" s="38"/>
      <c r="F19" s="39">
        <f>SUM(F6:F18)</f>
        <v>29925.13</v>
      </c>
      <c r="G19" s="39">
        <f>SUM(G6:G18)</f>
        <v>70.010000000000005</v>
      </c>
      <c r="H19" s="40"/>
      <c r="I19" s="41"/>
    </row>
    <row r="20" spans="2:9" x14ac:dyDescent="0.2">
      <c r="B20" s="42" t="s">
        <v>52</v>
      </c>
      <c r="C20" s="42"/>
      <c r="D20" s="42"/>
      <c r="E20" s="42"/>
      <c r="F20" s="43">
        <f>F19</f>
        <v>29925.13</v>
      </c>
      <c r="G20" s="43">
        <f>G19</f>
        <v>70.010000000000005</v>
      </c>
      <c r="H20" s="43"/>
      <c r="I20" s="41"/>
    </row>
    <row r="21" spans="2:9" x14ac:dyDescent="0.2">
      <c r="B21" s="24" t="s">
        <v>53</v>
      </c>
      <c r="C21" s="25"/>
      <c r="D21" s="25"/>
      <c r="E21" s="25"/>
      <c r="F21" s="26"/>
      <c r="G21" s="26"/>
      <c r="H21" s="26"/>
    </row>
    <row r="22" spans="2:9" x14ac:dyDescent="0.2">
      <c r="B22" s="24" t="s">
        <v>54</v>
      </c>
      <c r="C22" s="25"/>
      <c r="D22" s="25"/>
      <c r="E22" s="25"/>
      <c r="F22" s="26"/>
      <c r="G22" s="26"/>
      <c r="H22" s="26"/>
    </row>
    <row r="23" spans="2:9" x14ac:dyDescent="0.2">
      <c r="B23" s="25" t="s">
        <v>55</v>
      </c>
      <c r="C23" s="25" t="s">
        <v>56</v>
      </c>
      <c r="D23" s="25" t="s">
        <v>57</v>
      </c>
      <c r="E23" s="29">
        <v>500</v>
      </c>
      <c r="F23" s="26">
        <v>2389.61</v>
      </c>
      <c r="G23" s="26">
        <v>5.59</v>
      </c>
      <c r="H23" s="26">
        <v>6.32</v>
      </c>
    </row>
    <row r="24" spans="2:9" x14ac:dyDescent="0.2">
      <c r="B24" s="25" t="s">
        <v>58</v>
      </c>
      <c r="C24" s="25" t="s">
        <v>59</v>
      </c>
      <c r="D24" s="25" t="s">
        <v>60</v>
      </c>
      <c r="E24" s="29">
        <v>300</v>
      </c>
      <c r="F24" s="26">
        <v>1459.2</v>
      </c>
      <c r="G24" s="26">
        <v>3.41</v>
      </c>
      <c r="H24" s="26">
        <v>6.08</v>
      </c>
    </row>
    <row r="25" spans="2:9" x14ac:dyDescent="0.2">
      <c r="B25" s="24" t="s">
        <v>51</v>
      </c>
      <c r="C25" s="24"/>
      <c r="D25" s="24"/>
      <c r="E25" s="24"/>
      <c r="F25" s="44">
        <f>SUM(F22:F24)</f>
        <v>3848.8100000000004</v>
      </c>
      <c r="G25" s="44">
        <f>SUM(G22:G24)</f>
        <v>9</v>
      </c>
      <c r="H25" s="45"/>
      <c r="I25" s="41"/>
    </row>
    <row r="26" spans="2:9" x14ac:dyDescent="0.2">
      <c r="B26" s="24" t="s">
        <v>61</v>
      </c>
      <c r="C26" s="25"/>
      <c r="D26" s="25"/>
      <c r="E26" s="25"/>
      <c r="F26" s="26"/>
      <c r="G26" s="26"/>
      <c r="H26" s="26"/>
    </row>
    <row r="27" spans="2:9" x14ac:dyDescent="0.2">
      <c r="B27" s="25" t="s">
        <v>62</v>
      </c>
      <c r="C27" s="25" t="s">
        <v>63</v>
      </c>
      <c r="D27" s="25" t="s">
        <v>64</v>
      </c>
      <c r="E27" s="29">
        <v>200000</v>
      </c>
      <c r="F27" s="26">
        <v>197.06</v>
      </c>
      <c r="G27" s="26">
        <v>0.46</v>
      </c>
      <c r="H27" s="26">
        <v>5.5</v>
      </c>
    </row>
    <row r="28" spans="2:9" x14ac:dyDescent="0.2">
      <c r="B28" s="38" t="s">
        <v>51</v>
      </c>
      <c r="C28" s="38"/>
      <c r="D28" s="38"/>
      <c r="E28" s="38"/>
      <c r="F28" s="39">
        <f>SUM(F26:F27)</f>
        <v>197.06</v>
      </c>
      <c r="G28" s="39">
        <f>SUM(G26:G27)</f>
        <v>0.46</v>
      </c>
      <c r="H28" s="40"/>
      <c r="I28" s="41"/>
    </row>
    <row r="29" spans="2:9" x14ac:dyDescent="0.2">
      <c r="B29" s="42" t="s">
        <v>52</v>
      </c>
      <c r="C29" s="42"/>
      <c r="D29" s="42"/>
      <c r="E29" s="42"/>
      <c r="F29" s="43">
        <f>F25+F28</f>
        <v>4045.8700000000003</v>
      </c>
      <c r="G29" s="43">
        <f>G25+G28</f>
        <v>9.4600000000000009</v>
      </c>
      <c r="H29" s="43"/>
      <c r="I29" s="41"/>
    </row>
    <row r="30" spans="2:9" x14ac:dyDescent="0.2">
      <c r="B30" s="24" t="s">
        <v>65</v>
      </c>
      <c r="C30" s="25"/>
      <c r="D30" s="25"/>
      <c r="E30" s="25"/>
      <c r="F30" s="26"/>
      <c r="G30" s="26"/>
      <c r="H30" s="26"/>
    </row>
    <row r="31" spans="2:9" x14ac:dyDescent="0.2">
      <c r="B31" s="25" t="s">
        <v>66</v>
      </c>
      <c r="C31" s="25" t="s">
        <v>67</v>
      </c>
      <c r="D31" s="25" t="s">
        <v>68</v>
      </c>
      <c r="E31" s="29">
        <v>2500000</v>
      </c>
      <c r="F31" s="26">
        <v>2624.48</v>
      </c>
      <c r="G31" s="26">
        <v>6.14</v>
      </c>
      <c r="H31" s="26">
        <v>6.71</v>
      </c>
    </row>
    <row r="32" spans="2:9" x14ac:dyDescent="0.2">
      <c r="B32" s="25" t="s">
        <v>69</v>
      </c>
      <c r="C32" s="25" t="s">
        <v>70</v>
      </c>
      <c r="D32" s="25" t="s">
        <v>68</v>
      </c>
      <c r="E32" s="29">
        <v>2000000</v>
      </c>
      <c r="F32" s="26">
        <v>2057.4</v>
      </c>
      <c r="G32" s="26">
        <v>4.8099999999999996</v>
      </c>
      <c r="H32" s="26">
        <v>6.94</v>
      </c>
    </row>
    <row r="33" spans="2:9" x14ac:dyDescent="0.2">
      <c r="B33" s="25" t="s">
        <v>71</v>
      </c>
      <c r="C33" s="25" t="s">
        <v>72</v>
      </c>
      <c r="D33" s="25" t="s">
        <v>68</v>
      </c>
      <c r="E33" s="29">
        <v>1500000</v>
      </c>
      <c r="F33" s="26">
        <v>1567.17</v>
      </c>
      <c r="G33" s="26">
        <v>3.67</v>
      </c>
      <c r="H33" s="26">
        <v>6.38</v>
      </c>
    </row>
    <row r="34" spans="2:9" x14ac:dyDescent="0.2">
      <c r="B34" s="25" t="s">
        <v>73</v>
      </c>
      <c r="C34" s="25" t="s">
        <v>74</v>
      </c>
      <c r="D34" s="25" t="s">
        <v>68</v>
      </c>
      <c r="E34" s="29">
        <v>1000000</v>
      </c>
      <c r="F34" s="26">
        <v>1029.23</v>
      </c>
      <c r="G34" s="26">
        <v>2.41</v>
      </c>
      <c r="H34" s="26">
        <v>6.76</v>
      </c>
    </row>
    <row r="35" spans="2:9" x14ac:dyDescent="0.2">
      <c r="B35" s="46" t="s">
        <v>75</v>
      </c>
      <c r="C35" s="46" t="s">
        <v>76</v>
      </c>
      <c r="D35" s="46" t="s">
        <v>68</v>
      </c>
      <c r="E35" s="47">
        <v>28300</v>
      </c>
      <c r="F35" s="48">
        <v>28.97</v>
      </c>
      <c r="G35" s="48">
        <v>7.0000000000000007E-2</v>
      </c>
      <c r="H35" s="48">
        <v>6.24</v>
      </c>
    </row>
    <row r="36" spans="2:9" x14ac:dyDescent="0.2">
      <c r="B36" s="49" t="s">
        <v>52</v>
      </c>
      <c r="C36" s="49"/>
      <c r="D36" s="49"/>
      <c r="E36" s="49"/>
      <c r="F36" s="44">
        <f>SUM(F31:F35)</f>
        <v>7307.2500000000009</v>
      </c>
      <c r="G36" s="44">
        <f>SUM(G31:G35)</f>
        <v>17.100000000000001</v>
      </c>
      <c r="H36" s="44"/>
      <c r="I36" s="41"/>
    </row>
    <row r="37" spans="2:9" x14ac:dyDescent="0.2">
      <c r="B37" s="24" t="s">
        <v>77</v>
      </c>
      <c r="C37" s="25"/>
      <c r="D37" s="25"/>
      <c r="E37" s="25"/>
      <c r="F37" s="26"/>
      <c r="G37" s="26"/>
      <c r="H37" s="26"/>
    </row>
    <row r="38" spans="2:9" x14ac:dyDescent="0.2">
      <c r="B38" s="46" t="s">
        <v>78</v>
      </c>
      <c r="C38" s="46" t="s">
        <v>79</v>
      </c>
      <c r="D38" s="46" t="s">
        <v>77</v>
      </c>
      <c r="E38" s="47">
        <v>1373.231</v>
      </c>
      <c r="F38" s="48">
        <v>156.35</v>
      </c>
      <c r="G38" s="48">
        <v>0.37</v>
      </c>
      <c r="H38" s="48">
        <v>5.62</v>
      </c>
    </row>
    <row r="39" spans="2:9" x14ac:dyDescent="0.2">
      <c r="B39" s="49" t="s">
        <v>52</v>
      </c>
      <c r="C39" s="49"/>
      <c r="D39" s="49"/>
      <c r="E39" s="49"/>
      <c r="F39" s="44">
        <f>SUM(F38:F38)</f>
        <v>156.35</v>
      </c>
      <c r="G39" s="44">
        <f>SUM(G38:G38)</f>
        <v>0.37</v>
      </c>
      <c r="H39" s="44"/>
      <c r="I39" s="41"/>
    </row>
    <row r="40" spans="2:9" x14ac:dyDescent="0.2">
      <c r="B40" s="24" t="s">
        <v>80</v>
      </c>
      <c r="C40" s="25"/>
      <c r="D40" s="25"/>
      <c r="E40" s="25"/>
      <c r="F40" s="26"/>
      <c r="G40" s="26"/>
      <c r="H40" s="26"/>
    </row>
    <row r="41" spans="2:9" x14ac:dyDescent="0.2">
      <c r="B41" s="25" t="s">
        <v>80</v>
      </c>
      <c r="C41" s="25"/>
      <c r="D41" s="25"/>
      <c r="E41" s="25"/>
      <c r="F41" s="26">
        <v>357.77</v>
      </c>
      <c r="G41" s="26">
        <v>0.84</v>
      </c>
      <c r="H41" s="26"/>
    </row>
    <row r="42" spans="2:9" x14ac:dyDescent="0.2">
      <c r="B42" s="38" t="s">
        <v>51</v>
      </c>
      <c r="C42" s="38"/>
      <c r="D42" s="38"/>
      <c r="E42" s="38"/>
      <c r="F42" s="39">
        <f>SUM(F40:F41)</f>
        <v>357.77</v>
      </c>
      <c r="G42" s="39">
        <f>SUM(G40:G41)</f>
        <v>0.84</v>
      </c>
      <c r="H42" s="40"/>
      <c r="I42" s="41"/>
    </row>
    <row r="43" spans="2:9" x14ac:dyDescent="0.2">
      <c r="B43" s="50" t="s">
        <v>52</v>
      </c>
      <c r="C43" s="50"/>
      <c r="D43" s="50"/>
      <c r="E43" s="50"/>
      <c r="F43" s="51">
        <f>F42</f>
        <v>357.77</v>
      </c>
      <c r="G43" s="51">
        <f>G42</f>
        <v>0.84</v>
      </c>
      <c r="H43" s="51"/>
      <c r="I43" s="41"/>
    </row>
    <row r="44" spans="2:9" x14ac:dyDescent="0.2">
      <c r="B44" s="52" t="s">
        <v>81</v>
      </c>
      <c r="C44" s="52"/>
      <c r="D44" s="52"/>
      <c r="E44" s="52"/>
      <c r="F44" s="53">
        <f>F45-(+F20+F29+F36+F39+F43)</f>
        <v>947.08000000000175</v>
      </c>
      <c r="G44" s="53">
        <f>G45-(+G20+G29+G36+G39+G43)</f>
        <v>2.2199999999999989</v>
      </c>
      <c r="H44" s="53"/>
      <c r="I44" s="41"/>
    </row>
    <row r="45" spans="2:9" x14ac:dyDescent="0.2">
      <c r="B45" s="52" t="s">
        <v>82</v>
      </c>
      <c r="C45" s="52"/>
      <c r="D45" s="52"/>
      <c r="E45" s="52"/>
      <c r="F45" s="53">
        <v>42739.45</v>
      </c>
      <c r="G45" s="53">
        <v>100</v>
      </c>
      <c r="H45" s="53"/>
      <c r="I45" s="41"/>
    </row>
    <row r="47" spans="2:9" x14ac:dyDescent="0.2">
      <c r="B47" s="41" t="s">
        <v>83</v>
      </c>
    </row>
    <row r="48" spans="2:9" x14ac:dyDescent="0.2">
      <c r="B48" s="41" t="s">
        <v>84</v>
      </c>
    </row>
    <row r="49" spans="2:3" ht="12.75" thickBot="1" x14ac:dyDescent="0.25"/>
    <row r="50" spans="2:3" ht="13.5" thickTop="1" thickBot="1" x14ac:dyDescent="0.25">
      <c r="B50" s="54" t="s">
        <v>85</v>
      </c>
      <c r="C50" s="55">
        <v>2.3182999999999998</v>
      </c>
    </row>
    <row r="51" spans="2:3" ht="13.5" thickTop="1" thickBot="1" x14ac:dyDescent="0.25"/>
    <row r="52" spans="2:3" ht="13.5" thickTop="1" thickBot="1" x14ac:dyDescent="0.25">
      <c r="B52" s="54" t="s">
        <v>86</v>
      </c>
      <c r="C52" s="56">
        <v>6.6400000000000001E-2</v>
      </c>
    </row>
    <row r="53" spans="2:3" ht="13.5" thickTop="1" thickBot="1" x14ac:dyDescent="0.25"/>
    <row r="54" spans="2:3" ht="13.5" thickTop="1" thickBot="1" x14ac:dyDescent="0.25">
      <c r="B54" s="54" t="s">
        <v>87</v>
      </c>
      <c r="C54" s="55">
        <v>2.4447999999999999</v>
      </c>
    </row>
    <row r="55" spans="2:3" ht="12.75" thickTop="1" x14ac:dyDescent="0.2"/>
    <row r="57" spans="2:3" x14ac:dyDescent="0.2">
      <c r="B57" s="41" t="s">
        <v>88</v>
      </c>
    </row>
    <row r="59" spans="2:3" ht="15" x14ac:dyDescent="0.25">
      <c r="B59" s="57" t="s">
        <v>89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59" r:id="rId1" display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xr:uid="{FF4A5177-5C14-4637-B4F2-5A81CF75A723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2025-10-09 11:53:08</KDate>
  <Classification>MIS Internal</Classification>
  <Subclassification/>
  <HostName>MUMCMP01323</HostName>
  <Domain_User>CANARAROBECOMF/628</Domain_User>
  <IPAdd>192.9.198.196</IPAdd>
  <FilePath>Book24</FilePath>
  <KID>109819A0F0A5638956075881112361</KID>
  <UniqueName/>
  <Suggested/>
  <Justification/>
</Klassify>
</file>

<file path=customXml/itemProps1.xml><?xml version="1.0" encoding="utf-8"?>
<ds:datastoreItem xmlns:ds="http://schemas.openxmlformats.org/officeDocument/2006/customXml" ds:itemID="{94A0DF31-7CB4-4351-858F-A69F98F4607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2025-10-09T06:23:06Z</dcterms:created>
  <dcterms:modified xsi:type="dcterms:W3CDTF">2025-10-09T06:23:08Z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109819A0F0A5638956075881112361</vt:lpwstr>
  </property>
</Properties>
</file>