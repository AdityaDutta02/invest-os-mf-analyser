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anuary 2024\"/>
    </mc:Choice>
  </mc:AlternateContent>
  <bookViews>
    <workbookView xWindow="0" yWindow="0" windowWidth="20490" windowHeight="7020"/>
  </bookViews>
  <sheets>
    <sheet name="M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6" i="1" l="1"/>
  <c r="G97" i="1" s="1"/>
  <c r="F96" i="1"/>
  <c r="F97" i="1" s="1"/>
  <c r="G93" i="1"/>
  <c r="F93" i="1"/>
  <c r="G90" i="1"/>
  <c r="F90" i="1"/>
  <c r="G78" i="1"/>
  <c r="G79" i="1" s="1"/>
  <c r="F78" i="1"/>
  <c r="F79" i="1" s="1"/>
  <c r="G72" i="1"/>
  <c r="G73" i="1" s="1"/>
  <c r="F72" i="1"/>
  <c r="F73" i="1" s="1"/>
  <c r="G49" i="1"/>
  <c r="G50" i="1" s="1"/>
  <c r="G98" i="1" s="1"/>
  <c r="F49" i="1"/>
  <c r="F50" i="1" s="1"/>
  <c r="F98" i="1" s="1"/>
</calcChain>
</file>

<file path=xl/sharedStrings.xml><?xml version="1.0" encoding="utf-8"?>
<sst xmlns="http://schemas.openxmlformats.org/spreadsheetml/2006/main" count="301" uniqueCount="205">
  <si>
    <t>CANARA ROBECO CONSERVATIVE HYBRID FUND</t>
  </si>
  <si>
    <t>Monthly Portfolio Statement as on January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</si>
  <si>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</si>
  <si>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</si>
  <si>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</si>
  <si>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</si>
  <si>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</si>
  <si>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</si>
  <si>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</si>
  <si>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</si>
  <si>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Jan'24</t>
  </si>
  <si>
    <t>Benchmark Risk-o-meter Level- Jan'24</t>
  </si>
  <si>
    <t>Scheme Risk-o-meter Level- Dec'23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</si>
  <si>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</si>
  <si>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</si>
  <si>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</si>
  <si>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</si>
  <si>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</si>
  <si>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</si>
  <si>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</si>
  <si>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</si>
  <si>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</si>
  <si>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</si>
  <si>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</si>
  <si>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Larsen &amp; Toubro Ltd</t>
  </si>
  <si>
    <t>INE018A01030</t>
  </si>
  <si>
    <t>Construction</t>
  </si>
  <si>
    <t>Infosys Ltd</t>
  </si>
  <si>
    <t>INE009A01021</t>
  </si>
  <si>
    <t>IT - Software</t>
  </si>
  <si>
    <t>Bajaj Finance Ltd</t>
  </si>
  <si>
    <t>INE296A01024</t>
  </si>
  <si>
    <t>Finance</t>
  </si>
  <si>
    <t>Bharti Airtel Ltd</t>
  </si>
  <si>
    <t>INE397D01024</t>
  </si>
  <si>
    <t>Telecom - Services</t>
  </si>
  <si>
    <t>Benchmark: CRISIL Hybrid 85+15 - Conservative Index</t>
  </si>
  <si>
    <t>State Bank of India</t>
  </si>
  <si>
    <t>INE062A01020</t>
  </si>
  <si>
    <t>Multi Commodity Exchange Of India Ltd</t>
  </si>
  <si>
    <t>INE745G01035</t>
  </si>
  <si>
    <t>Capital Markets</t>
  </si>
  <si>
    <t>Small Cap</t>
  </si>
  <si>
    <t>NTPC Ltd</t>
  </si>
  <si>
    <t>INE733E01010</t>
  </si>
  <si>
    <t>Power</t>
  </si>
  <si>
    <t>Uno Minda Ltd</t>
  </si>
  <si>
    <t>INE405E01023</t>
  </si>
  <si>
    <t>Auto Components</t>
  </si>
  <si>
    <t>Mid Cap</t>
  </si>
  <si>
    <t>Brigade Enterprises Ltd</t>
  </si>
  <si>
    <t>INE791I01019</t>
  </si>
  <si>
    <t>Realty</t>
  </si>
  <si>
    <t>United Spirits Ltd</t>
  </si>
  <si>
    <t>INE854D01024</t>
  </si>
  <si>
    <t>Beverages</t>
  </si>
  <si>
    <t>Dabur India Ltd</t>
  </si>
  <si>
    <t>INE016A01026</t>
  </si>
  <si>
    <t>Personal Products</t>
  </si>
  <si>
    <t>Jupiter Life Line Hospitals Ltd</t>
  </si>
  <si>
    <t>INE682M01012</t>
  </si>
  <si>
    <t>Healthcare Services</t>
  </si>
  <si>
    <t>REC Ltd</t>
  </si>
  <si>
    <t>INE020B01018</t>
  </si>
  <si>
    <t>SBI Life Insurance Co Ltd</t>
  </si>
  <si>
    <t>INE123W01016</t>
  </si>
  <si>
    <t>Insurance</t>
  </si>
  <si>
    <t>Tata Consultancy Services Ltd</t>
  </si>
  <si>
    <t>INE467B01029</t>
  </si>
  <si>
    <t>Ltimindtree Ltd</t>
  </si>
  <si>
    <t>INE214T01019</t>
  </si>
  <si>
    <t>Sona Blw Precision Forgings Ltd</t>
  </si>
  <si>
    <t>INE073K01018</t>
  </si>
  <si>
    <t>Max Healthcare Institute Ltd</t>
  </si>
  <si>
    <t>INE027H01010</t>
  </si>
  <si>
    <t>GMM Pfaudler Ltd</t>
  </si>
  <si>
    <t>INE541A01023</t>
  </si>
  <si>
    <t>Industrial Manufacturing</t>
  </si>
  <si>
    <t>HCL Technologies Ltd</t>
  </si>
  <si>
    <t>INE860A01027</t>
  </si>
  <si>
    <t>ICICI Lombard General Insurance Co Ltd</t>
  </si>
  <si>
    <t>INE765G01017</t>
  </si>
  <si>
    <t>Sun Pharmaceutical Industries Ltd</t>
  </si>
  <si>
    <t>INE044A01036</t>
  </si>
  <si>
    <t>Pharmaceuticals &amp; Biotechnology</t>
  </si>
  <si>
    <t>Apollo Hospitals Enterprise Ltd</t>
  </si>
  <si>
    <t>INE437A01024</t>
  </si>
  <si>
    <t>Ashok Leyland Ltd</t>
  </si>
  <si>
    <t>INE208A01029</t>
  </si>
  <si>
    <t>Agricultural, Commercial &amp; Construction Vehicles</t>
  </si>
  <si>
    <t>Vinati Organics Ltd</t>
  </si>
  <si>
    <t>INE410B01037</t>
  </si>
  <si>
    <t>Chemicals &amp; Petrochemicals</t>
  </si>
  <si>
    <t>Innova Captab Ltd</t>
  </si>
  <si>
    <t>INE0DUT01020</t>
  </si>
  <si>
    <t>Prudent Corporate Advisory Services Ltd</t>
  </si>
  <si>
    <t>INE00F201020</t>
  </si>
  <si>
    <t>Procter &amp; Gamble Hygiene and Health Care Ltd</t>
  </si>
  <si>
    <t>INE179A01014</t>
  </si>
  <si>
    <t>Deepak Nitrite Ltd</t>
  </si>
  <si>
    <t>INE288B01029</t>
  </si>
  <si>
    <t>J.B. Chemicals &amp; Pharmaceuticals Ltd</t>
  </si>
  <si>
    <t>INE572A01036</t>
  </si>
  <si>
    <t>Mankind Pharma Ltd</t>
  </si>
  <si>
    <t>INE634S01028</t>
  </si>
  <si>
    <t>KEC International Ltd</t>
  </si>
  <si>
    <t>INE389H01022</t>
  </si>
  <si>
    <t>Electrical Equipment</t>
  </si>
  <si>
    <t>Dr. Lal Path Labs Ltd</t>
  </si>
  <si>
    <t>INE600L01024</t>
  </si>
  <si>
    <t>Navin Fluorine International Ltd</t>
  </si>
  <si>
    <t>INE048G01026</t>
  </si>
  <si>
    <t>EIH Ltd</t>
  </si>
  <si>
    <t>INE230A01023</t>
  </si>
  <si>
    <t>Leisure Services</t>
  </si>
  <si>
    <t>KSB Ltd</t>
  </si>
  <si>
    <t>INE999A01015</t>
  </si>
  <si>
    <t>Industrial Products</t>
  </si>
  <si>
    <t>Titagarh Rail Systems Ltd</t>
  </si>
  <si>
    <t>INE615H01020</t>
  </si>
  <si>
    <t>Alembic Pharmaceuticals Ltd</t>
  </si>
  <si>
    <t>INE901L01018</t>
  </si>
  <si>
    <t>Westlife Foodworld Ltd</t>
  </si>
  <si>
    <t>INE274F01020</t>
  </si>
  <si>
    <t>Sub Total</t>
  </si>
  <si>
    <t>Total</t>
  </si>
  <si>
    <t>Debt Instruments</t>
  </si>
  <si>
    <t>7.69% National Bank For Agriculture &amp; Rural Development (29/05/2024) **</t>
  </si>
  <si>
    <t>INE261F08BK1</t>
  </si>
  <si>
    <t>CRISIL AAA</t>
  </si>
  <si>
    <t>8.45% Indian Railway Finance Corporation Ltd (04/12/2028) **</t>
  </si>
  <si>
    <t>INE053F07AY7</t>
  </si>
  <si>
    <t>7.79% Small Industries Development Bank Of India (14/05/2027) **</t>
  </si>
  <si>
    <t>INE556F08KM1</t>
  </si>
  <si>
    <t>8.25% Kotak Mahindra Prime Ltd (20/06/2025) **</t>
  </si>
  <si>
    <t>INE916DA7SG3</t>
  </si>
  <si>
    <t>7.62% National Bank For Agriculture &amp; Rural Development (31/01/2028) **</t>
  </si>
  <si>
    <t>INE261F08DV4</t>
  </si>
  <si>
    <t>7.59% Small Industries Development Bank Of India (10/02/2026) **</t>
  </si>
  <si>
    <t>INE556F08KG3</t>
  </si>
  <si>
    <t>7.61% LIC Housing Finance Ltd (30/07/2025) **</t>
  </si>
  <si>
    <t>INE115A07PW7</t>
  </si>
  <si>
    <t>7.63% Grasim industries Ltd (01/12/2027) **</t>
  </si>
  <si>
    <t>INE047A08208</t>
  </si>
  <si>
    <t>7.57% National Bank For Agriculture &amp; Rural Development (19/03/2026) **</t>
  </si>
  <si>
    <t>INE261F08DW2</t>
  </si>
  <si>
    <t>7.96% HDB Financial Services Ltd (17/11/2025) **</t>
  </si>
  <si>
    <t>INE756I07EM6</t>
  </si>
  <si>
    <t>CARE AAA</t>
  </si>
  <si>
    <t>7.50% HDFC Bank Ltd (08/01/2025)</t>
  </si>
  <si>
    <t>INE040A08906</t>
  </si>
  <si>
    <t>7.44% Small Industries Development Bank Of India (04/09/2026) **</t>
  </si>
  <si>
    <t>INE556F08KI9</t>
  </si>
  <si>
    <t>5.39% Sundaram Finance Ltd (21/06/2024) **</t>
  </si>
  <si>
    <t>INE660A07QX8</t>
  </si>
  <si>
    <t>ICRA AAA</t>
  </si>
  <si>
    <t>6.30% HDB Financial Services Ltd (17/03/2025) **</t>
  </si>
  <si>
    <t>INE756I07ED5</t>
  </si>
  <si>
    <t>7.99% HDFC Bank Ltd (11/07/2024) **</t>
  </si>
  <si>
    <t>INE040A08609</t>
  </si>
  <si>
    <t>7.70% HDB Financial Services Ltd (11/08/2025) **</t>
  </si>
  <si>
    <t>INE756I07EG8</t>
  </si>
  <si>
    <t>8.55% HDFC Bank Ltd (27/03/2029) **</t>
  </si>
  <si>
    <t>INE040A08724</t>
  </si>
  <si>
    <t>5.23% National Bank For Agriculture &amp; Rural Development (31/01/2025)</t>
  </si>
  <si>
    <t>INE261F08DI1</t>
  </si>
  <si>
    <t>7.51% REC Ltd (31/07/2026)</t>
  </si>
  <si>
    <t>INE020B08EI8</t>
  </si>
  <si>
    <t>Money Market Instruments</t>
  </si>
  <si>
    <t>Treasury Bill</t>
  </si>
  <si>
    <t>364 DAYS TREASURY BILLS 01-FEB-24</t>
  </si>
  <si>
    <t>IN002022Z440</t>
  </si>
  <si>
    <t xml:space="preserve"> Sovereign</t>
  </si>
  <si>
    <t>364 DTB (16-JAN-2025)</t>
  </si>
  <si>
    <t>IN002023Z448</t>
  </si>
  <si>
    <t>Government Bonds</t>
  </si>
  <si>
    <t>7.18% GOI 2037 (24-JUL-2037)</t>
  </si>
  <si>
    <t>IN0020230077</t>
  </si>
  <si>
    <t>Sovereign</t>
  </si>
  <si>
    <t>7.06% GOI 2028 (10-APR-2028)</t>
  </si>
  <si>
    <t>IN0020230010</t>
  </si>
  <si>
    <t>7.18% GOI 2037 (14-AUG-2033)</t>
  </si>
  <si>
    <t>IN0020230085</t>
  </si>
  <si>
    <t>7.17% GOI 2030 (17-APR-2030)</t>
  </si>
  <si>
    <t>IN0020230036</t>
  </si>
  <si>
    <t>7.32% GOI 2073 (13-NOV-2030)</t>
  </si>
  <si>
    <t>IN0020230135</t>
  </si>
  <si>
    <t>7.10% GOI 18-APR-29</t>
  </si>
  <si>
    <t>IN0020220011</t>
  </si>
  <si>
    <t>GOI FRB 30-OCT-34</t>
  </si>
  <si>
    <t>IN0020210137</t>
  </si>
  <si>
    <t>GOI FRB 2033 (22-SEP-2033)</t>
  </si>
  <si>
    <t>IN0020200120</t>
  </si>
  <si>
    <t>7.72% INDIA GOVERNMENT 26-OCT-55</t>
  </si>
  <si>
    <t>IN0020150077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</si>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</sst>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" fontId="3" fillId="3" borderId="12" xfId="0" applyNumberFormat="1" applyFont="1" applyFill="1" applyBorder="1"/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14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5" xfId="0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4" fontId="9" fillId="3" borderId="19" xfId="0" applyNumberFormat="1" applyFont="1" applyFill="1" applyBorder="1"/>
    <xf numFmtId="0" fontId="9" fillId="3" borderId="20" xfId="0" applyFont="1" applyFill="1" applyBorder="1"/>
    <xf numFmtId="0" fontId="9" fillId="3" borderId="20" xfId="0" applyNumberFormat="1" applyFont="1" applyFill="1" applyBorder="1"/>
    <xf numFmtId="4" fontId="9" fillId="3" borderId="20" xfId="0" applyNumberFormat="1" applyFont="1" applyFill="1" applyBorder="1"/>
    <xf numFmtId="4" fontId="9" fillId="3" borderId="0" xfId="0" applyNumberFormat="1" applyFont="1" applyFill="1" applyBorder="1"/>
    <xf numFmtId="4" fontId="9" fillId="3" borderId="0" xfId="0" applyNumberFormat="1" applyFont="1" applyFill="1"/>
    <xf numFmtId="0" fontId="9" fillId="3" borderId="21" xfId="0" applyFont="1" applyFill="1" applyBorder="1"/>
    <xf numFmtId="0" fontId="3" fillId="3" borderId="21" xfId="0" applyFont="1" applyFill="1" applyBorder="1"/>
    <xf numFmtId="0" fontId="3" fillId="3" borderId="21" xfId="0" applyNumberFormat="1" applyFont="1" applyFill="1" applyBorder="1"/>
    <xf numFmtId="4" fontId="3" fillId="3" borderId="21" xfId="0" applyNumberFormat="1" applyFont="1" applyFill="1" applyBorder="1"/>
    <xf numFmtId="0" fontId="9" fillId="3" borderId="11" xfId="0" applyFont="1" applyFill="1" applyBorder="1"/>
    <xf numFmtId="4" fontId="9" fillId="3" borderId="16" xfId="0" applyNumberFormat="1" applyFont="1" applyFill="1" applyBorder="1"/>
    <xf numFmtId="0" fontId="9" fillId="3" borderId="22" xfId="0" applyFont="1" applyFill="1" applyBorder="1"/>
    <xf numFmtId="0" fontId="9" fillId="3" borderId="22" xfId="0" applyNumberFormat="1" applyFont="1" applyFill="1" applyBorder="1"/>
    <xf numFmtId="4" fontId="9" fillId="3" borderId="22" xfId="0" applyNumberFormat="1" applyFont="1" applyFill="1" applyBorder="1"/>
    <xf numFmtId="0" fontId="3" fillId="3" borderId="23" xfId="0" applyFont="1" applyFill="1" applyBorder="1"/>
    <xf numFmtId="3" fontId="3" fillId="3" borderId="23" xfId="0" applyNumberFormat="1" applyFont="1" applyFill="1" applyBorder="1"/>
    <xf numFmtId="4" fontId="3" fillId="3" borderId="23" xfId="0" applyNumberFormat="1" applyFont="1" applyFill="1" applyBorder="1"/>
    <xf numFmtId="0" fontId="9" fillId="3" borderId="24" xfId="0" applyFont="1" applyFill="1" applyBorder="1"/>
    <xf numFmtId="0" fontId="9" fillId="3" borderId="24" xfId="0" applyNumberFormat="1" applyFont="1" applyFill="1" applyBorder="1"/>
    <xf numFmtId="4" fontId="9" fillId="3" borderId="24" xfId="0" applyNumberFormat="1" applyFont="1" applyFill="1" applyBorder="1"/>
    <xf numFmtId="0" fontId="9" fillId="3" borderId="25" xfId="0" applyFont="1" applyFill="1" applyBorder="1"/>
    <xf numFmtId="0" fontId="9" fillId="3" borderId="25" xfId="0" applyNumberFormat="1" applyFont="1" applyFill="1" applyBorder="1"/>
    <xf numFmtId="4" fontId="9" fillId="3" borderId="25" xfId="0" applyNumberFormat="1" applyFont="1" applyFill="1" applyBorder="1"/>
    <xf numFmtId="0" fontId="9" fillId="3" borderId="9" xfId="0" applyFont="1" applyFill="1" applyBorder="1"/>
    <xf numFmtId="0" fontId="9" fillId="3" borderId="9" xfId="0" applyNumberFormat="1" applyFont="1" applyFill="1" applyBorder="1"/>
    <xf numFmtId="4" fontId="9" fillId="3" borderId="9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0" fontId="10" fillId="4" borderId="26" xfId="0" applyFont="1" applyFill="1" applyBorder="1"/>
    <xf numFmtId="2" fontId="9" fillId="3" borderId="27" xfId="0" applyNumberFormat="1" applyFont="1" applyFill="1" applyBorder="1"/>
    <xf numFmtId="10" fontId="9" fillId="3" borderId="27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161925</xdr:colOff>
      <xdr:row>4</xdr:row>
      <xdr:rowOff>28575</xdr:rowOff>
    </xdr:from>
    <xdr:ext cx="1743075" cy="1181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3725" y="1019175"/>
          <a:ext cx="1743075" cy="1181100"/>
        </a:xfrm>
        <a:prstGeom prst="rect">
          <a:avLst/>
        </a:prstGeom>
      </xdr:spPr>
    </xdr:pic>
    <xdr:clientData/>
  </xdr:oneCellAnchor>
  <xdr:twoCellAnchor>
    <xdr:from>
      <xdr:col>10</xdr:col>
      <xdr:colOff>228600</xdr:colOff>
      <xdr:row>4</xdr:row>
      <xdr:rowOff>28575</xdr:rowOff>
    </xdr:from>
    <xdr:to>
      <xdr:col>10</xdr:col>
      <xdr:colOff>1933576</xdr:colOff>
      <xdr:row>11</xdr:row>
      <xdr:rowOff>123825</xdr:rowOff>
    </xdr:to>
    <xdr:pic>
      <xdr:nvPicPr>
        <xdr:cNvPr id="3" name="Picture 47" descr="image001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25375" y="1019175"/>
          <a:ext cx="1704976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54909</xdr:colOff>
      <xdr:row>4</xdr:row>
      <xdr:rowOff>37540</xdr:rowOff>
    </xdr:from>
    <xdr:to>
      <xdr:col>12</xdr:col>
      <xdr:colOff>1946463</xdr:colOff>
      <xdr:row>11</xdr:row>
      <xdr:rowOff>137272</xdr:rowOff>
    </xdr:to>
    <xdr:pic>
      <xdr:nvPicPr>
        <xdr:cNvPr id="4" name="Picture 47" descr="image00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85559" y="1028140"/>
          <a:ext cx="1891554" cy="1166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8"/>
  <sheetViews>
    <sheetView tabSelected="1" topLeftCell="G1" workbookViewId="0">
      <selection activeCell="B1" sqref="B1:I1"/>
    </sheetView>
  </sheetViews>
  <sheetFormatPr defaultRowHeight="12" x14ac:dyDescent="0.2"/>
  <cols>
    <col min="1" max="1" width="9.140625" style="3"/>
    <col min="2" max="2" width="60.28515625" style="3" bestFit="1" customWidth="1"/>
    <col min="3" max="3" width="13.85546875" style="3" bestFit="1" customWidth="1"/>
    <col min="4" max="4" width="40.42578125" style="3" bestFit="1" customWidth="1"/>
    <col min="5" max="5" width="8.85546875" style="67" bestFit="1" customWidth="1"/>
    <col min="6" max="6" width="15.28515625" style="10" bestFit="1" customWidth="1"/>
    <col min="7" max="7" width="7.42578125" style="10" bestFit="1" customWidth="1"/>
    <col min="8" max="8" width="13.5703125" style="10" customWidth="1"/>
    <col min="9" max="9" width="6.5703125" style="10" bestFit="1" customWidth="1"/>
    <col min="10" max="10" width="9" style="3" customWidth="1"/>
    <col min="11" max="11" width="31.5703125" style="4" customWidth="1"/>
    <col min="12" max="12" width="33.42578125" style="4" customWidth="1"/>
    <col min="13" max="13" width="31.42578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3" ht="16.5" thickBot="1" x14ac:dyDescent="0.25">
      <c r="B3" s="5" t="s">
        <v>1</v>
      </c>
      <c r="C3" s="6"/>
      <c r="D3" s="7"/>
      <c r="E3" s="8"/>
      <c r="F3" s="9"/>
      <c r="G3" s="9"/>
      <c r="H3" s="9"/>
    </row>
    <row r="4" spans="2:13" ht="28.5" x14ac:dyDescent="0.2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I4" s="15" t="s">
        <v>9</v>
      </c>
      <c r="K4" s="16" t="s">
        <v>10</v>
      </c>
      <c r="L4" s="16" t="s">
        <v>11</v>
      </c>
      <c r="M4" s="16" t="s">
        <v>12</v>
      </c>
    </row>
    <row r="5" spans="2:13" x14ac:dyDescent="0.2">
      <c r="B5" s="17" t="s">
        <v>13</v>
      </c>
      <c r="C5" s="18"/>
      <c r="D5" s="18"/>
      <c r="E5" s="19"/>
      <c r="F5" s="20"/>
      <c r="G5" s="20"/>
      <c r="H5" s="20"/>
      <c r="I5" s="21"/>
      <c r="K5" s="22"/>
      <c r="L5" s="22"/>
      <c r="M5" s="23"/>
    </row>
    <row r="6" spans="2:13" x14ac:dyDescent="0.2">
      <c r="B6" s="24" t="s">
        <v>14</v>
      </c>
      <c r="C6" s="25"/>
      <c r="D6" s="25"/>
      <c r="E6" s="26"/>
      <c r="F6" s="27"/>
      <c r="G6" s="27"/>
      <c r="H6" s="27"/>
      <c r="I6" s="28"/>
      <c r="K6" s="29"/>
      <c r="L6" s="29"/>
      <c r="M6" s="23"/>
    </row>
    <row r="7" spans="2:13" x14ac:dyDescent="0.2">
      <c r="B7" s="30" t="s">
        <v>15</v>
      </c>
      <c r="C7" s="25" t="s">
        <v>16</v>
      </c>
      <c r="D7" s="25" t="s">
        <v>17</v>
      </c>
      <c r="E7" s="31">
        <v>162032</v>
      </c>
      <c r="F7" s="27">
        <v>2369.8000000000002</v>
      </c>
      <c r="G7" s="27">
        <v>2.35</v>
      </c>
      <c r="H7" s="27" t="s">
        <v>18</v>
      </c>
      <c r="I7" s="28"/>
      <c r="J7" s="4"/>
      <c r="K7" s="29"/>
      <c r="L7" s="29"/>
      <c r="M7" s="23"/>
    </row>
    <row r="8" spans="2:13" x14ac:dyDescent="0.2">
      <c r="B8" s="30" t="s">
        <v>19</v>
      </c>
      <c r="C8" s="25" t="s">
        <v>20</v>
      </c>
      <c r="D8" s="25" t="s">
        <v>17</v>
      </c>
      <c r="E8" s="31">
        <v>177914</v>
      </c>
      <c r="F8" s="27">
        <v>1829.22</v>
      </c>
      <c r="G8" s="27">
        <v>1.82</v>
      </c>
      <c r="H8" s="27" t="s">
        <v>18</v>
      </c>
      <c r="I8" s="28"/>
      <c r="J8" s="4"/>
      <c r="K8" s="29"/>
      <c r="L8" s="29"/>
      <c r="M8" s="23"/>
    </row>
    <row r="9" spans="2:13" x14ac:dyDescent="0.2">
      <c r="B9" s="30" t="s">
        <v>21</v>
      </c>
      <c r="C9" s="25" t="s">
        <v>22</v>
      </c>
      <c r="D9" s="25" t="s">
        <v>23</v>
      </c>
      <c r="E9" s="31">
        <v>51154</v>
      </c>
      <c r="F9" s="27">
        <v>1459.55</v>
      </c>
      <c r="G9" s="27">
        <v>1.45</v>
      </c>
      <c r="H9" s="27" t="s">
        <v>18</v>
      </c>
      <c r="I9" s="28"/>
      <c r="J9" s="4"/>
      <c r="K9" s="29"/>
      <c r="L9" s="29"/>
      <c r="M9" s="23"/>
    </row>
    <row r="10" spans="2:13" x14ac:dyDescent="0.2">
      <c r="B10" s="30" t="s">
        <v>24</v>
      </c>
      <c r="C10" s="25" t="s">
        <v>25</v>
      </c>
      <c r="D10" s="25" t="s">
        <v>26</v>
      </c>
      <c r="E10" s="31">
        <v>34330</v>
      </c>
      <c r="F10" s="27">
        <v>1194.5999999999999</v>
      </c>
      <c r="G10" s="27">
        <v>1.19</v>
      </c>
      <c r="H10" s="27" t="s">
        <v>18</v>
      </c>
      <c r="I10" s="28"/>
      <c r="J10" s="4"/>
      <c r="K10" s="29"/>
      <c r="L10" s="29"/>
      <c r="M10" s="23"/>
    </row>
    <row r="11" spans="2:13" x14ac:dyDescent="0.2">
      <c r="B11" s="30" t="s">
        <v>27</v>
      </c>
      <c r="C11" s="25" t="s">
        <v>28</v>
      </c>
      <c r="D11" s="25" t="s">
        <v>29</v>
      </c>
      <c r="E11" s="31">
        <v>69420</v>
      </c>
      <c r="F11" s="27">
        <v>1153</v>
      </c>
      <c r="G11" s="27">
        <v>1.1399999999999999</v>
      </c>
      <c r="H11" s="27" t="s">
        <v>18</v>
      </c>
      <c r="I11" s="28"/>
      <c r="J11" s="4"/>
      <c r="K11" s="29"/>
      <c r="L11" s="29"/>
      <c r="M11" s="23"/>
    </row>
    <row r="12" spans="2:13" x14ac:dyDescent="0.2">
      <c r="B12" s="30" t="s">
        <v>30</v>
      </c>
      <c r="C12" s="25" t="s">
        <v>31</v>
      </c>
      <c r="D12" s="25" t="s">
        <v>32</v>
      </c>
      <c r="E12" s="31">
        <v>16500</v>
      </c>
      <c r="F12" s="27">
        <v>1132.3800000000001</v>
      </c>
      <c r="G12" s="27">
        <v>1.1200000000000001</v>
      </c>
      <c r="H12" s="27" t="s">
        <v>18</v>
      </c>
      <c r="I12" s="28"/>
      <c r="J12" s="4"/>
      <c r="K12" s="32"/>
      <c r="L12" s="32"/>
      <c r="M12" s="23"/>
    </row>
    <row r="13" spans="2:13" x14ac:dyDescent="0.2">
      <c r="B13" s="30" t="s">
        <v>33</v>
      </c>
      <c r="C13" s="25" t="s">
        <v>34</v>
      </c>
      <c r="D13" s="25" t="s">
        <v>35</v>
      </c>
      <c r="E13" s="31">
        <v>80000</v>
      </c>
      <c r="F13" s="27">
        <v>936.56</v>
      </c>
      <c r="G13" s="27">
        <v>0.93</v>
      </c>
      <c r="H13" s="27" t="s">
        <v>18</v>
      </c>
      <c r="I13" s="28"/>
      <c r="J13" s="4"/>
      <c r="K13" s="33"/>
      <c r="L13" s="33" t="s">
        <v>36</v>
      </c>
      <c r="M13" s="33"/>
    </row>
    <row r="14" spans="2:13" x14ac:dyDescent="0.2">
      <c r="B14" s="30" t="s">
        <v>37</v>
      </c>
      <c r="C14" s="25" t="s">
        <v>38</v>
      </c>
      <c r="D14" s="25" t="s">
        <v>17</v>
      </c>
      <c r="E14" s="31">
        <v>132400</v>
      </c>
      <c r="F14" s="27">
        <v>848.02</v>
      </c>
      <c r="G14" s="27">
        <v>0.84</v>
      </c>
      <c r="H14" s="27" t="s">
        <v>18</v>
      </c>
      <c r="I14" s="28"/>
      <c r="J14" s="4"/>
      <c r="M14" s="4"/>
    </row>
    <row r="15" spans="2:13" x14ac:dyDescent="0.2">
      <c r="B15" s="30" t="s">
        <v>39</v>
      </c>
      <c r="C15" s="25" t="s">
        <v>40</v>
      </c>
      <c r="D15" s="25" t="s">
        <v>41</v>
      </c>
      <c r="E15" s="31">
        <v>23900</v>
      </c>
      <c r="F15" s="27">
        <v>815.96</v>
      </c>
      <c r="G15" s="27">
        <v>0.81</v>
      </c>
      <c r="H15" s="27" t="s">
        <v>42</v>
      </c>
      <c r="I15" s="28"/>
      <c r="J15" s="4"/>
      <c r="M15" s="4"/>
    </row>
    <row r="16" spans="2:13" x14ac:dyDescent="0.2">
      <c r="B16" s="30" t="s">
        <v>43</v>
      </c>
      <c r="C16" s="25" t="s">
        <v>44</v>
      </c>
      <c r="D16" s="25" t="s">
        <v>45</v>
      </c>
      <c r="E16" s="31">
        <v>250000</v>
      </c>
      <c r="F16" s="27">
        <v>793.75</v>
      </c>
      <c r="G16" s="27">
        <v>0.79</v>
      </c>
      <c r="H16" s="27" t="s">
        <v>18</v>
      </c>
      <c r="I16" s="28"/>
      <c r="J16" s="4"/>
      <c r="M16" s="4"/>
    </row>
    <row r="17" spans="2:13" x14ac:dyDescent="0.2">
      <c r="B17" s="30" t="s">
        <v>46</v>
      </c>
      <c r="C17" s="25" t="s">
        <v>47</v>
      </c>
      <c r="D17" s="25" t="s">
        <v>48</v>
      </c>
      <c r="E17" s="31">
        <v>110800</v>
      </c>
      <c r="F17" s="27">
        <v>764.63</v>
      </c>
      <c r="G17" s="27">
        <v>0.76</v>
      </c>
      <c r="H17" s="27" t="s">
        <v>49</v>
      </c>
      <c r="I17" s="28"/>
      <c r="J17" s="4"/>
      <c r="M17" s="4"/>
    </row>
    <row r="18" spans="2:13" x14ac:dyDescent="0.2">
      <c r="B18" s="30" t="s">
        <v>50</v>
      </c>
      <c r="C18" s="25" t="s">
        <v>51</v>
      </c>
      <c r="D18" s="25" t="s">
        <v>52</v>
      </c>
      <c r="E18" s="31">
        <v>58500</v>
      </c>
      <c r="F18" s="27">
        <v>599.77</v>
      </c>
      <c r="G18" s="27">
        <v>0.6</v>
      </c>
      <c r="H18" s="27" t="s">
        <v>42</v>
      </c>
      <c r="I18" s="28"/>
      <c r="J18" s="4"/>
      <c r="M18" s="4"/>
    </row>
    <row r="19" spans="2:13" x14ac:dyDescent="0.2">
      <c r="B19" s="30" t="s">
        <v>53</v>
      </c>
      <c r="C19" s="25" t="s">
        <v>54</v>
      </c>
      <c r="D19" s="25" t="s">
        <v>55</v>
      </c>
      <c r="E19" s="31">
        <v>50000</v>
      </c>
      <c r="F19" s="27">
        <v>544.88</v>
      </c>
      <c r="G19" s="27">
        <v>0.54</v>
      </c>
      <c r="H19" s="27" t="s">
        <v>18</v>
      </c>
      <c r="I19" s="28"/>
      <c r="J19" s="4"/>
      <c r="M19" s="4"/>
    </row>
    <row r="20" spans="2:13" x14ac:dyDescent="0.2">
      <c r="B20" s="30" t="s">
        <v>56</v>
      </c>
      <c r="C20" s="25" t="s">
        <v>57</v>
      </c>
      <c r="D20" s="25" t="s">
        <v>58</v>
      </c>
      <c r="E20" s="31">
        <v>100000</v>
      </c>
      <c r="F20" s="27">
        <v>539.6</v>
      </c>
      <c r="G20" s="27">
        <v>0.54</v>
      </c>
      <c r="H20" s="27" t="s">
        <v>18</v>
      </c>
      <c r="I20" s="28"/>
      <c r="J20" s="4"/>
      <c r="M20" s="4"/>
    </row>
    <row r="21" spans="2:13" x14ac:dyDescent="0.2">
      <c r="B21" s="30" t="s">
        <v>59</v>
      </c>
      <c r="C21" s="25" t="s">
        <v>60</v>
      </c>
      <c r="D21" s="25" t="s">
        <v>61</v>
      </c>
      <c r="E21" s="31">
        <v>50000</v>
      </c>
      <c r="F21" s="27">
        <v>531.95000000000005</v>
      </c>
      <c r="G21" s="27">
        <v>0.53</v>
      </c>
      <c r="H21" s="27" t="s">
        <v>42</v>
      </c>
      <c r="I21" s="28"/>
      <c r="J21" s="4"/>
      <c r="M21" s="4"/>
    </row>
    <row r="22" spans="2:13" x14ac:dyDescent="0.2">
      <c r="B22" s="30" t="s">
        <v>62</v>
      </c>
      <c r="C22" s="25" t="s">
        <v>63</v>
      </c>
      <c r="D22" s="25" t="s">
        <v>32</v>
      </c>
      <c r="E22" s="31">
        <v>100000</v>
      </c>
      <c r="F22" s="27">
        <v>499.05</v>
      </c>
      <c r="G22" s="27">
        <v>0.5</v>
      </c>
      <c r="H22" s="27" t="s">
        <v>18</v>
      </c>
      <c r="I22" s="28"/>
      <c r="J22" s="4"/>
      <c r="M22" s="4"/>
    </row>
    <row r="23" spans="2:13" x14ac:dyDescent="0.2">
      <c r="B23" s="30" t="s">
        <v>64</v>
      </c>
      <c r="C23" s="25" t="s">
        <v>65</v>
      </c>
      <c r="D23" s="25" t="s">
        <v>66</v>
      </c>
      <c r="E23" s="31">
        <v>33000</v>
      </c>
      <c r="F23" s="27">
        <v>462.38</v>
      </c>
      <c r="G23" s="27">
        <v>0.46</v>
      </c>
      <c r="H23" s="27" t="s">
        <v>18</v>
      </c>
      <c r="I23" s="28"/>
      <c r="J23" s="4"/>
      <c r="M23" s="4"/>
    </row>
    <row r="24" spans="2:13" x14ac:dyDescent="0.2">
      <c r="B24" s="30" t="s">
        <v>67</v>
      </c>
      <c r="C24" s="25" t="s">
        <v>68</v>
      </c>
      <c r="D24" s="25" t="s">
        <v>29</v>
      </c>
      <c r="E24" s="31">
        <v>10844</v>
      </c>
      <c r="F24" s="27">
        <v>413.8</v>
      </c>
      <c r="G24" s="27">
        <v>0.41</v>
      </c>
      <c r="H24" s="27" t="s">
        <v>18</v>
      </c>
      <c r="I24" s="28"/>
      <c r="J24" s="4"/>
      <c r="M24" s="4"/>
    </row>
    <row r="25" spans="2:13" x14ac:dyDescent="0.2">
      <c r="B25" s="30" t="s">
        <v>69</v>
      </c>
      <c r="C25" s="25" t="s">
        <v>70</v>
      </c>
      <c r="D25" s="25" t="s">
        <v>29</v>
      </c>
      <c r="E25" s="31">
        <v>7500</v>
      </c>
      <c r="F25" s="27">
        <v>408.64</v>
      </c>
      <c r="G25" s="27">
        <v>0.41</v>
      </c>
      <c r="H25" s="27" t="s">
        <v>18</v>
      </c>
      <c r="I25" s="28"/>
      <c r="J25" s="4"/>
      <c r="M25" s="4"/>
    </row>
    <row r="26" spans="2:13" x14ac:dyDescent="0.2">
      <c r="B26" s="30" t="s">
        <v>71</v>
      </c>
      <c r="C26" s="25" t="s">
        <v>72</v>
      </c>
      <c r="D26" s="25" t="s">
        <v>48</v>
      </c>
      <c r="E26" s="31">
        <v>65588</v>
      </c>
      <c r="F26" s="27">
        <v>405.47</v>
      </c>
      <c r="G26" s="27">
        <v>0.4</v>
      </c>
      <c r="H26" s="27" t="s">
        <v>49</v>
      </c>
      <c r="I26" s="28"/>
      <c r="J26" s="4"/>
      <c r="M26" s="4"/>
    </row>
    <row r="27" spans="2:13" x14ac:dyDescent="0.2">
      <c r="B27" s="30" t="s">
        <v>73</v>
      </c>
      <c r="C27" s="25" t="s">
        <v>74</v>
      </c>
      <c r="D27" s="25" t="s">
        <v>61</v>
      </c>
      <c r="E27" s="31">
        <v>50000</v>
      </c>
      <c r="F27" s="27">
        <v>390.4</v>
      </c>
      <c r="G27" s="27">
        <v>0.39</v>
      </c>
      <c r="H27" s="27" t="s">
        <v>49</v>
      </c>
      <c r="I27" s="28"/>
      <c r="J27" s="4"/>
      <c r="M27" s="4"/>
    </row>
    <row r="28" spans="2:13" x14ac:dyDescent="0.2">
      <c r="B28" s="30" t="s">
        <v>75</v>
      </c>
      <c r="C28" s="25" t="s">
        <v>76</v>
      </c>
      <c r="D28" s="25" t="s">
        <v>77</v>
      </c>
      <c r="E28" s="31">
        <v>25000</v>
      </c>
      <c r="F28" s="27">
        <v>388.03</v>
      </c>
      <c r="G28" s="27">
        <v>0.39</v>
      </c>
      <c r="H28" s="27" t="s">
        <v>42</v>
      </c>
      <c r="I28" s="28"/>
      <c r="J28" s="4"/>
      <c r="M28" s="4"/>
    </row>
    <row r="29" spans="2:13" x14ac:dyDescent="0.2">
      <c r="B29" s="30" t="s">
        <v>78</v>
      </c>
      <c r="C29" s="25" t="s">
        <v>79</v>
      </c>
      <c r="D29" s="25" t="s">
        <v>29</v>
      </c>
      <c r="E29" s="31">
        <v>20000</v>
      </c>
      <c r="F29" s="27">
        <v>315.2</v>
      </c>
      <c r="G29" s="27">
        <v>0.31</v>
      </c>
      <c r="H29" s="27" t="s">
        <v>18</v>
      </c>
      <c r="I29" s="28"/>
      <c r="J29" s="4"/>
      <c r="M29" s="4"/>
    </row>
    <row r="30" spans="2:13" x14ac:dyDescent="0.2">
      <c r="B30" s="30" t="s">
        <v>80</v>
      </c>
      <c r="C30" s="25" t="s">
        <v>81</v>
      </c>
      <c r="D30" s="25" t="s">
        <v>66</v>
      </c>
      <c r="E30" s="31">
        <v>21000</v>
      </c>
      <c r="F30" s="27">
        <v>314.39</v>
      </c>
      <c r="G30" s="27">
        <v>0.31</v>
      </c>
      <c r="H30" s="27" t="s">
        <v>18</v>
      </c>
      <c r="I30" s="28"/>
      <c r="J30" s="4"/>
      <c r="M30" s="4"/>
    </row>
    <row r="31" spans="2:13" x14ac:dyDescent="0.2">
      <c r="B31" s="30" t="s">
        <v>82</v>
      </c>
      <c r="C31" s="25" t="s">
        <v>83</v>
      </c>
      <c r="D31" s="25" t="s">
        <v>84</v>
      </c>
      <c r="E31" s="31">
        <v>20400</v>
      </c>
      <c r="F31" s="27">
        <v>289.36</v>
      </c>
      <c r="G31" s="27">
        <v>0.28999999999999998</v>
      </c>
      <c r="H31" s="27" t="s">
        <v>18</v>
      </c>
      <c r="I31" s="28"/>
      <c r="J31" s="4"/>
      <c r="M31" s="4"/>
    </row>
    <row r="32" spans="2:13" x14ac:dyDescent="0.2">
      <c r="B32" s="30" t="s">
        <v>85</v>
      </c>
      <c r="C32" s="25" t="s">
        <v>86</v>
      </c>
      <c r="D32" s="25" t="s">
        <v>61</v>
      </c>
      <c r="E32" s="31">
        <v>4500</v>
      </c>
      <c r="F32" s="27">
        <v>285.88</v>
      </c>
      <c r="G32" s="27">
        <v>0.28000000000000003</v>
      </c>
      <c r="H32" s="27" t="s">
        <v>18</v>
      </c>
      <c r="I32" s="28"/>
      <c r="J32" s="4"/>
      <c r="M32" s="4"/>
    </row>
    <row r="33" spans="2:13" x14ac:dyDescent="0.2">
      <c r="B33" s="30" t="s">
        <v>87</v>
      </c>
      <c r="C33" s="25" t="s">
        <v>88</v>
      </c>
      <c r="D33" s="25" t="s">
        <v>89</v>
      </c>
      <c r="E33" s="31">
        <v>150000</v>
      </c>
      <c r="F33" s="27">
        <v>263.85000000000002</v>
      </c>
      <c r="G33" s="27">
        <v>0.26</v>
      </c>
      <c r="H33" s="27" t="s">
        <v>49</v>
      </c>
      <c r="I33" s="28"/>
      <c r="J33" s="4"/>
      <c r="M33" s="4"/>
    </row>
    <row r="34" spans="2:13" x14ac:dyDescent="0.2">
      <c r="B34" s="30" t="s">
        <v>90</v>
      </c>
      <c r="C34" s="25" t="s">
        <v>91</v>
      </c>
      <c r="D34" s="25" t="s">
        <v>92</v>
      </c>
      <c r="E34" s="31">
        <v>15000</v>
      </c>
      <c r="F34" s="27">
        <v>260.01</v>
      </c>
      <c r="G34" s="27">
        <v>0.26</v>
      </c>
      <c r="H34" s="27" t="s">
        <v>42</v>
      </c>
      <c r="I34" s="28"/>
      <c r="J34" s="4"/>
      <c r="M34" s="4"/>
    </row>
    <row r="35" spans="2:13" x14ac:dyDescent="0.2">
      <c r="B35" s="30" t="s">
        <v>93</v>
      </c>
      <c r="C35" s="25" t="s">
        <v>94</v>
      </c>
      <c r="D35" s="25" t="s">
        <v>84</v>
      </c>
      <c r="E35" s="31">
        <v>50000</v>
      </c>
      <c r="F35" s="27">
        <v>258.52999999999997</v>
      </c>
      <c r="G35" s="27">
        <v>0.26</v>
      </c>
      <c r="H35" s="27" t="s">
        <v>42</v>
      </c>
      <c r="I35" s="28"/>
      <c r="J35" s="4"/>
      <c r="M35" s="4"/>
    </row>
    <row r="36" spans="2:13" x14ac:dyDescent="0.2">
      <c r="B36" s="30" t="s">
        <v>95</v>
      </c>
      <c r="C36" s="25" t="s">
        <v>96</v>
      </c>
      <c r="D36" s="25" t="s">
        <v>41</v>
      </c>
      <c r="E36" s="31">
        <v>16976</v>
      </c>
      <c r="F36" s="27">
        <v>242.29</v>
      </c>
      <c r="G36" s="27">
        <v>0.24</v>
      </c>
      <c r="H36" s="27" t="s">
        <v>42</v>
      </c>
      <c r="I36" s="28"/>
      <c r="J36" s="4"/>
      <c r="M36" s="4"/>
    </row>
    <row r="37" spans="2:13" x14ac:dyDescent="0.2">
      <c r="B37" s="30" t="s">
        <v>97</v>
      </c>
      <c r="C37" s="25" t="s">
        <v>98</v>
      </c>
      <c r="D37" s="25" t="s">
        <v>58</v>
      </c>
      <c r="E37" s="31">
        <v>1400</v>
      </c>
      <c r="F37" s="27">
        <v>241.43</v>
      </c>
      <c r="G37" s="27">
        <v>0.24</v>
      </c>
      <c r="H37" s="27" t="s">
        <v>49</v>
      </c>
      <c r="I37" s="28"/>
      <c r="J37" s="4"/>
      <c r="M37" s="4"/>
    </row>
    <row r="38" spans="2:13" x14ac:dyDescent="0.2">
      <c r="B38" s="30" t="s">
        <v>99</v>
      </c>
      <c r="C38" s="25" t="s">
        <v>100</v>
      </c>
      <c r="D38" s="25" t="s">
        <v>92</v>
      </c>
      <c r="E38" s="31">
        <v>10000</v>
      </c>
      <c r="F38" s="27">
        <v>230.59</v>
      </c>
      <c r="G38" s="27">
        <v>0.23</v>
      </c>
      <c r="H38" s="27" t="s">
        <v>49</v>
      </c>
      <c r="I38" s="28"/>
      <c r="J38" s="4"/>
      <c r="M38" s="4"/>
    </row>
    <row r="39" spans="2:13" x14ac:dyDescent="0.2">
      <c r="B39" s="30" t="s">
        <v>101</v>
      </c>
      <c r="C39" s="25" t="s">
        <v>102</v>
      </c>
      <c r="D39" s="25" t="s">
        <v>84</v>
      </c>
      <c r="E39" s="31">
        <v>13300</v>
      </c>
      <c r="F39" s="27">
        <v>223.97</v>
      </c>
      <c r="G39" s="27">
        <v>0.22</v>
      </c>
      <c r="H39" s="27" t="s">
        <v>42</v>
      </c>
      <c r="I39" s="28"/>
      <c r="J39" s="4"/>
      <c r="M39" s="4"/>
    </row>
    <row r="40" spans="2:13" x14ac:dyDescent="0.2">
      <c r="B40" s="30" t="s">
        <v>103</v>
      </c>
      <c r="C40" s="25" t="s">
        <v>104</v>
      </c>
      <c r="D40" s="25" t="s">
        <v>84</v>
      </c>
      <c r="E40" s="31">
        <v>10100</v>
      </c>
      <c r="F40" s="27">
        <v>201.99</v>
      </c>
      <c r="G40" s="27">
        <v>0.2</v>
      </c>
      <c r="H40" s="27" t="s">
        <v>18</v>
      </c>
      <c r="I40" s="28"/>
      <c r="J40" s="4"/>
      <c r="M40" s="4"/>
    </row>
    <row r="41" spans="2:13" x14ac:dyDescent="0.2">
      <c r="B41" s="30" t="s">
        <v>105</v>
      </c>
      <c r="C41" s="25" t="s">
        <v>106</v>
      </c>
      <c r="D41" s="25" t="s">
        <v>107</v>
      </c>
      <c r="E41" s="31">
        <v>30000</v>
      </c>
      <c r="F41" s="27">
        <v>197.3</v>
      </c>
      <c r="G41" s="27">
        <v>0.2</v>
      </c>
      <c r="H41" s="27" t="s">
        <v>42</v>
      </c>
      <c r="I41" s="28"/>
      <c r="J41" s="4"/>
      <c r="M41" s="4"/>
    </row>
    <row r="42" spans="2:13" x14ac:dyDescent="0.2">
      <c r="B42" s="30" t="s">
        <v>108</v>
      </c>
      <c r="C42" s="25" t="s">
        <v>109</v>
      </c>
      <c r="D42" s="25" t="s">
        <v>61</v>
      </c>
      <c r="E42" s="31">
        <v>7500</v>
      </c>
      <c r="F42" s="27">
        <v>188.81</v>
      </c>
      <c r="G42" s="27">
        <v>0.19</v>
      </c>
      <c r="H42" s="27" t="s">
        <v>42</v>
      </c>
      <c r="I42" s="28"/>
      <c r="J42" s="4"/>
      <c r="M42" s="4"/>
    </row>
    <row r="43" spans="2:13" x14ac:dyDescent="0.2">
      <c r="B43" s="30" t="s">
        <v>110</v>
      </c>
      <c r="C43" s="25" t="s">
        <v>111</v>
      </c>
      <c r="D43" s="25" t="s">
        <v>92</v>
      </c>
      <c r="E43" s="31">
        <v>5000</v>
      </c>
      <c r="F43" s="27">
        <v>170.88</v>
      </c>
      <c r="G43" s="27">
        <v>0.17</v>
      </c>
      <c r="H43" s="27" t="s">
        <v>42</v>
      </c>
      <c r="I43" s="28"/>
      <c r="J43" s="4"/>
      <c r="M43" s="4"/>
    </row>
    <row r="44" spans="2:13" x14ac:dyDescent="0.2">
      <c r="B44" s="30" t="s">
        <v>112</v>
      </c>
      <c r="C44" s="25" t="s">
        <v>113</v>
      </c>
      <c r="D44" s="25" t="s">
        <v>114</v>
      </c>
      <c r="E44" s="31">
        <v>50000</v>
      </c>
      <c r="F44" s="27">
        <v>163.93</v>
      </c>
      <c r="G44" s="27">
        <v>0.16</v>
      </c>
      <c r="H44" s="27" t="s">
        <v>42</v>
      </c>
      <c r="I44" s="28"/>
      <c r="J44" s="4"/>
      <c r="M44" s="4"/>
    </row>
    <row r="45" spans="2:13" x14ac:dyDescent="0.2">
      <c r="B45" s="30" t="s">
        <v>115</v>
      </c>
      <c r="C45" s="25" t="s">
        <v>116</v>
      </c>
      <c r="D45" s="25" t="s">
        <v>117</v>
      </c>
      <c r="E45" s="31">
        <v>4217</v>
      </c>
      <c r="F45" s="27">
        <v>153.85</v>
      </c>
      <c r="G45" s="27">
        <v>0.15</v>
      </c>
      <c r="H45" s="27" t="s">
        <v>42</v>
      </c>
      <c r="I45" s="28"/>
      <c r="J45" s="4"/>
      <c r="M45" s="4"/>
    </row>
    <row r="46" spans="2:13" x14ac:dyDescent="0.2">
      <c r="B46" s="30" t="s">
        <v>118</v>
      </c>
      <c r="C46" s="25" t="s">
        <v>119</v>
      </c>
      <c r="D46" s="25" t="s">
        <v>77</v>
      </c>
      <c r="E46" s="31">
        <v>11300</v>
      </c>
      <c r="F46" s="27">
        <v>123.49</v>
      </c>
      <c r="G46" s="27">
        <v>0.12</v>
      </c>
      <c r="H46" s="27" t="s">
        <v>42</v>
      </c>
      <c r="I46" s="28"/>
      <c r="J46" s="4"/>
      <c r="M46" s="4"/>
    </row>
    <row r="47" spans="2:13" x14ac:dyDescent="0.2">
      <c r="B47" s="30" t="s">
        <v>120</v>
      </c>
      <c r="C47" s="25" t="s">
        <v>121</v>
      </c>
      <c r="D47" s="25" t="s">
        <v>84</v>
      </c>
      <c r="E47" s="31">
        <v>12500</v>
      </c>
      <c r="F47" s="27">
        <v>120.06</v>
      </c>
      <c r="G47" s="27">
        <v>0.12</v>
      </c>
      <c r="H47" s="27" t="s">
        <v>42</v>
      </c>
      <c r="I47" s="28"/>
      <c r="J47" s="4"/>
      <c r="M47" s="4"/>
    </row>
    <row r="48" spans="2:13" x14ac:dyDescent="0.2">
      <c r="B48" s="30" t="s">
        <v>122</v>
      </c>
      <c r="C48" s="25" t="s">
        <v>123</v>
      </c>
      <c r="D48" s="25" t="s">
        <v>114</v>
      </c>
      <c r="E48" s="31">
        <v>7624</v>
      </c>
      <c r="F48" s="27">
        <v>63.39</v>
      </c>
      <c r="G48" s="27">
        <v>0.06</v>
      </c>
      <c r="H48" s="27" t="s">
        <v>42</v>
      </c>
      <c r="I48" s="28"/>
      <c r="J48" s="4"/>
      <c r="M48" s="4"/>
    </row>
    <row r="49" spans="2:13" x14ac:dyDescent="0.2">
      <c r="B49" s="34" t="s">
        <v>124</v>
      </c>
      <c r="C49" s="35"/>
      <c r="D49" s="35"/>
      <c r="E49" s="36"/>
      <c r="F49" s="37">
        <f>SUM(F7:F48)</f>
        <v>22790.640000000003</v>
      </c>
      <c r="G49" s="37">
        <f>SUM(G7:G48)</f>
        <v>22.639999999999997</v>
      </c>
      <c r="H49" s="38"/>
      <c r="I49" s="39"/>
      <c r="J49" s="4"/>
      <c r="M49" s="4"/>
    </row>
    <row r="50" spans="2:13" x14ac:dyDescent="0.2">
      <c r="B50" s="40" t="s">
        <v>125</v>
      </c>
      <c r="C50" s="40"/>
      <c r="D50" s="40"/>
      <c r="E50" s="41"/>
      <c r="F50" s="42">
        <f>F49</f>
        <v>22790.640000000003</v>
      </c>
      <c r="G50" s="42">
        <f>G49</f>
        <v>22.639999999999997</v>
      </c>
      <c r="H50" s="43"/>
      <c r="I50" s="44"/>
      <c r="J50" s="4"/>
      <c r="M50" s="4"/>
    </row>
    <row r="51" spans="2:13" x14ac:dyDescent="0.2">
      <c r="B51" s="45" t="s">
        <v>126</v>
      </c>
      <c r="C51" s="46"/>
      <c r="D51" s="46"/>
      <c r="E51" s="47"/>
      <c r="F51" s="48"/>
      <c r="G51" s="48"/>
      <c r="H51" s="48"/>
      <c r="I51" s="48"/>
      <c r="J51" s="4"/>
      <c r="M51" s="4"/>
    </row>
    <row r="52" spans="2:13" x14ac:dyDescent="0.2">
      <c r="B52" s="49" t="s">
        <v>14</v>
      </c>
      <c r="C52" s="25"/>
      <c r="D52" s="25"/>
      <c r="E52" s="26"/>
      <c r="F52" s="27"/>
      <c r="G52" s="27"/>
      <c r="H52" s="27"/>
      <c r="I52" s="27"/>
      <c r="J52" s="4"/>
      <c r="M52" s="4"/>
    </row>
    <row r="53" spans="2:13" x14ac:dyDescent="0.2">
      <c r="B53" s="25" t="s">
        <v>127</v>
      </c>
      <c r="C53" s="25" t="s">
        <v>128</v>
      </c>
      <c r="D53" s="25" t="s">
        <v>129</v>
      </c>
      <c r="E53" s="31">
        <v>300</v>
      </c>
      <c r="F53" s="27">
        <v>2993.1</v>
      </c>
      <c r="G53" s="27">
        <v>2.97</v>
      </c>
      <c r="H53" s="27"/>
      <c r="I53" s="27">
        <v>8</v>
      </c>
      <c r="J53" s="4"/>
      <c r="M53" s="4"/>
    </row>
    <row r="54" spans="2:13" x14ac:dyDescent="0.2">
      <c r="B54" s="25" t="s">
        <v>130</v>
      </c>
      <c r="C54" s="25" t="s">
        <v>131</v>
      </c>
      <c r="D54" s="25" t="s">
        <v>129</v>
      </c>
      <c r="E54" s="31">
        <v>250</v>
      </c>
      <c r="F54" s="27">
        <v>2582.98</v>
      </c>
      <c r="G54" s="27">
        <v>2.56</v>
      </c>
      <c r="H54" s="27"/>
      <c r="I54" s="27">
        <v>7.6</v>
      </c>
      <c r="J54" s="4"/>
      <c r="M54" s="4"/>
    </row>
    <row r="55" spans="2:13" x14ac:dyDescent="0.2">
      <c r="B55" s="25" t="s">
        <v>132</v>
      </c>
      <c r="C55" s="25" t="s">
        <v>133</v>
      </c>
      <c r="D55" s="25" t="s">
        <v>129</v>
      </c>
      <c r="E55" s="31">
        <v>2500</v>
      </c>
      <c r="F55" s="27">
        <v>2504.21</v>
      </c>
      <c r="G55" s="27">
        <v>2.4900000000000002</v>
      </c>
      <c r="H55" s="27"/>
      <c r="I55" s="27">
        <v>7.74</v>
      </c>
      <c r="J55" s="4"/>
      <c r="M55" s="4"/>
    </row>
    <row r="56" spans="2:13" x14ac:dyDescent="0.2">
      <c r="B56" s="25" t="s">
        <v>134</v>
      </c>
      <c r="C56" s="25" t="s">
        <v>135</v>
      </c>
      <c r="D56" s="25" t="s">
        <v>129</v>
      </c>
      <c r="E56" s="31">
        <v>2500</v>
      </c>
      <c r="F56" s="27">
        <v>2499.65</v>
      </c>
      <c r="G56" s="27">
        <v>2.48</v>
      </c>
      <c r="H56" s="27"/>
      <c r="I56" s="27">
        <v>8.1999999999999993</v>
      </c>
      <c r="J56" s="4"/>
      <c r="M56" s="4"/>
    </row>
    <row r="57" spans="2:13" x14ac:dyDescent="0.2">
      <c r="B57" s="25" t="s">
        <v>136</v>
      </c>
      <c r="C57" s="25" t="s">
        <v>137</v>
      </c>
      <c r="D57" s="25" t="s">
        <v>129</v>
      </c>
      <c r="E57" s="31">
        <v>2500</v>
      </c>
      <c r="F57" s="27">
        <v>2493.23</v>
      </c>
      <c r="G57" s="27">
        <v>2.4700000000000002</v>
      </c>
      <c r="H57" s="27"/>
      <c r="I57" s="27">
        <v>7.7</v>
      </c>
      <c r="J57" s="4"/>
      <c r="M57" s="4"/>
    </row>
    <row r="58" spans="2:13" x14ac:dyDescent="0.2">
      <c r="B58" s="25" t="s">
        <v>138</v>
      </c>
      <c r="C58" s="25" t="s">
        <v>139</v>
      </c>
      <c r="D58" s="25" t="s">
        <v>129</v>
      </c>
      <c r="E58" s="31">
        <v>2500</v>
      </c>
      <c r="F58" s="27">
        <v>2490.1999999999998</v>
      </c>
      <c r="G58" s="27">
        <v>2.4700000000000002</v>
      </c>
      <c r="H58" s="27"/>
      <c r="I58" s="27">
        <v>7.81</v>
      </c>
      <c r="J58" s="4"/>
      <c r="M58" s="4"/>
    </row>
    <row r="59" spans="2:13" x14ac:dyDescent="0.2">
      <c r="B59" s="25" t="s">
        <v>140</v>
      </c>
      <c r="C59" s="25" t="s">
        <v>141</v>
      </c>
      <c r="D59" s="25" t="s">
        <v>129</v>
      </c>
      <c r="E59" s="31">
        <v>250</v>
      </c>
      <c r="F59" s="27">
        <v>2488.1799999999998</v>
      </c>
      <c r="G59" s="27">
        <v>2.4700000000000002</v>
      </c>
      <c r="H59" s="27"/>
      <c r="I59" s="27">
        <v>7.91</v>
      </c>
      <c r="J59" s="4"/>
      <c r="M59" s="4"/>
    </row>
    <row r="60" spans="2:13" x14ac:dyDescent="0.2">
      <c r="B60" s="25" t="s">
        <v>142</v>
      </c>
      <c r="C60" s="25" t="s">
        <v>143</v>
      </c>
      <c r="D60" s="25" t="s">
        <v>129</v>
      </c>
      <c r="E60" s="31">
        <v>250</v>
      </c>
      <c r="F60" s="27">
        <v>2487.38</v>
      </c>
      <c r="G60" s="27">
        <v>2.4700000000000002</v>
      </c>
      <c r="H60" s="27"/>
      <c r="I60" s="27">
        <v>7.78</v>
      </c>
      <c r="J60" s="4"/>
      <c r="M60" s="4"/>
    </row>
    <row r="61" spans="2:13" x14ac:dyDescent="0.2">
      <c r="B61" s="25" t="s">
        <v>144</v>
      </c>
      <c r="C61" s="25" t="s">
        <v>145</v>
      </c>
      <c r="D61" s="25" t="s">
        <v>129</v>
      </c>
      <c r="E61" s="31">
        <v>2500</v>
      </c>
      <c r="F61" s="27">
        <v>2487.36</v>
      </c>
      <c r="G61" s="27">
        <v>2.4700000000000002</v>
      </c>
      <c r="H61" s="27"/>
      <c r="I61" s="27">
        <v>7.82</v>
      </c>
      <c r="J61" s="4"/>
      <c r="M61" s="4"/>
    </row>
    <row r="62" spans="2:13" x14ac:dyDescent="0.2">
      <c r="B62" s="25" t="s">
        <v>146</v>
      </c>
      <c r="C62" s="25" t="s">
        <v>147</v>
      </c>
      <c r="D62" s="25" t="s">
        <v>148</v>
      </c>
      <c r="E62" s="31">
        <v>250</v>
      </c>
      <c r="F62" s="27">
        <v>2486.67</v>
      </c>
      <c r="G62" s="27">
        <v>2.4700000000000002</v>
      </c>
      <c r="H62" s="27"/>
      <c r="I62" s="27">
        <v>8.26</v>
      </c>
      <c r="J62" s="4"/>
      <c r="M62" s="4"/>
    </row>
    <row r="63" spans="2:13" x14ac:dyDescent="0.2">
      <c r="B63" s="25" t="s">
        <v>149</v>
      </c>
      <c r="C63" s="25" t="s">
        <v>150</v>
      </c>
      <c r="D63" s="25" t="s">
        <v>129</v>
      </c>
      <c r="E63" s="31">
        <v>250</v>
      </c>
      <c r="F63" s="27">
        <v>2483.94</v>
      </c>
      <c r="G63" s="27">
        <v>2.4700000000000002</v>
      </c>
      <c r="H63" s="27"/>
      <c r="I63" s="27">
        <v>8.1999999999999993</v>
      </c>
      <c r="J63" s="4"/>
      <c r="M63" s="4"/>
    </row>
    <row r="64" spans="2:13" x14ac:dyDescent="0.2">
      <c r="B64" s="25" t="s">
        <v>151</v>
      </c>
      <c r="C64" s="25" t="s">
        <v>152</v>
      </c>
      <c r="D64" s="25" t="s">
        <v>148</v>
      </c>
      <c r="E64" s="31">
        <v>2500</v>
      </c>
      <c r="F64" s="27">
        <v>2479.39</v>
      </c>
      <c r="G64" s="27">
        <v>2.46</v>
      </c>
      <c r="H64" s="27"/>
      <c r="I64" s="27">
        <v>7.77</v>
      </c>
      <c r="J64" s="4"/>
      <c r="M64" s="4"/>
    </row>
    <row r="65" spans="2:13" x14ac:dyDescent="0.2">
      <c r="B65" s="25" t="s">
        <v>153</v>
      </c>
      <c r="C65" s="25" t="s">
        <v>154</v>
      </c>
      <c r="D65" s="25" t="s">
        <v>155</v>
      </c>
      <c r="E65" s="31">
        <v>250</v>
      </c>
      <c r="F65" s="27">
        <v>2469.65</v>
      </c>
      <c r="G65" s="27">
        <v>2.4500000000000002</v>
      </c>
      <c r="H65" s="27"/>
      <c r="I65" s="27">
        <v>8.3699999999999992</v>
      </c>
      <c r="J65" s="4"/>
      <c r="M65" s="4"/>
    </row>
    <row r="66" spans="2:13" x14ac:dyDescent="0.2">
      <c r="B66" s="25" t="s">
        <v>156</v>
      </c>
      <c r="C66" s="25" t="s">
        <v>157</v>
      </c>
      <c r="D66" s="25" t="s">
        <v>129</v>
      </c>
      <c r="E66" s="31">
        <v>250</v>
      </c>
      <c r="F66" s="27">
        <v>2448.7399999999998</v>
      </c>
      <c r="G66" s="27">
        <v>2.4300000000000002</v>
      </c>
      <c r="H66" s="27"/>
      <c r="I66" s="27">
        <v>8.26</v>
      </c>
      <c r="J66" s="4"/>
      <c r="M66" s="4"/>
    </row>
    <row r="67" spans="2:13" x14ac:dyDescent="0.2">
      <c r="B67" s="25" t="s">
        <v>158</v>
      </c>
      <c r="C67" s="25" t="s">
        <v>159</v>
      </c>
      <c r="D67" s="25" t="s">
        <v>129</v>
      </c>
      <c r="E67" s="31">
        <v>200</v>
      </c>
      <c r="F67" s="27">
        <v>1995.19</v>
      </c>
      <c r="G67" s="27">
        <v>1.98</v>
      </c>
      <c r="H67" s="27"/>
      <c r="I67" s="27">
        <v>8.19</v>
      </c>
      <c r="J67" s="4"/>
      <c r="M67" s="4"/>
    </row>
    <row r="68" spans="2:13" x14ac:dyDescent="0.2">
      <c r="B68" s="25" t="s">
        <v>160</v>
      </c>
      <c r="C68" s="25" t="s">
        <v>161</v>
      </c>
      <c r="D68" s="25" t="s">
        <v>129</v>
      </c>
      <c r="E68" s="31">
        <v>200</v>
      </c>
      <c r="F68" s="27">
        <v>1983.02</v>
      </c>
      <c r="G68" s="27">
        <v>1.97</v>
      </c>
      <c r="H68" s="27"/>
      <c r="I68" s="27">
        <v>8.26</v>
      </c>
      <c r="J68" s="4"/>
      <c r="M68" s="4"/>
    </row>
    <row r="69" spans="2:13" x14ac:dyDescent="0.2">
      <c r="B69" s="25" t="s">
        <v>162</v>
      </c>
      <c r="C69" s="25" t="s">
        <v>163</v>
      </c>
      <c r="D69" s="25" t="s">
        <v>129</v>
      </c>
      <c r="E69" s="31">
        <v>150</v>
      </c>
      <c r="F69" s="27">
        <v>1538.27</v>
      </c>
      <c r="G69" s="27">
        <v>1.53</v>
      </c>
      <c r="H69" s="27"/>
      <c r="I69" s="27">
        <v>7.92</v>
      </c>
      <c r="J69" s="4"/>
      <c r="M69" s="4"/>
    </row>
    <row r="70" spans="2:13" x14ac:dyDescent="0.2">
      <c r="B70" s="25" t="s">
        <v>164</v>
      </c>
      <c r="C70" s="25" t="s">
        <v>165</v>
      </c>
      <c r="D70" s="25" t="s">
        <v>129</v>
      </c>
      <c r="E70" s="31">
        <v>150</v>
      </c>
      <c r="F70" s="27">
        <v>1462.7</v>
      </c>
      <c r="G70" s="27">
        <v>1.45</v>
      </c>
      <c r="H70" s="27"/>
      <c r="I70" s="27">
        <v>7.92</v>
      </c>
      <c r="J70" s="4"/>
      <c r="M70" s="4"/>
    </row>
    <row r="71" spans="2:13" x14ac:dyDescent="0.2">
      <c r="B71" s="25" t="s">
        <v>166</v>
      </c>
      <c r="C71" s="25" t="s">
        <v>167</v>
      </c>
      <c r="D71" s="25" t="s">
        <v>129</v>
      </c>
      <c r="E71" s="31">
        <v>1000</v>
      </c>
      <c r="F71" s="27">
        <v>994.26</v>
      </c>
      <c r="G71" s="27">
        <v>0.99</v>
      </c>
      <c r="H71" s="27"/>
      <c r="I71" s="27">
        <v>7.74</v>
      </c>
      <c r="J71" s="4"/>
      <c r="M71" s="4"/>
    </row>
    <row r="72" spans="2:13" x14ac:dyDescent="0.2">
      <c r="B72" s="35" t="s">
        <v>124</v>
      </c>
      <c r="C72" s="35"/>
      <c r="D72" s="35"/>
      <c r="E72" s="36"/>
      <c r="F72" s="37">
        <f>SUM(F52:F71)</f>
        <v>43368.119999999988</v>
      </c>
      <c r="G72" s="37">
        <f>SUM(G52:G71)</f>
        <v>43.05</v>
      </c>
      <c r="H72" s="50"/>
      <c r="I72" s="50"/>
      <c r="J72" s="4"/>
      <c r="M72" s="4"/>
    </row>
    <row r="73" spans="2:13" x14ac:dyDescent="0.2">
      <c r="B73" s="51" t="s">
        <v>125</v>
      </c>
      <c r="C73" s="51"/>
      <c r="D73" s="51"/>
      <c r="E73" s="52"/>
      <c r="F73" s="53">
        <f>F72</f>
        <v>43368.119999999988</v>
      </c>
      <c r="G73" s="53">
        <f>G72</f>
        <v>43.05</v>
      </c>
      <c r="H73" s="53"/>
      <c r="I73" s="53"/>
      <c r="J73" s="4"/>
      <c r="M73" s="4"/>
    </row>
    <row r="74" spans="2:13" x14ac:dyDescent="0.2">
      <c r="B74" s="49" t="s">
        <v>168</v>
      </c>
      <c r="C74" s="25"/>
      <c r="D74" s="25"/>
      <c r="E74" s="26"/>
      <c r="F74" s="27"/>
      <c r="G74" s="27"/>
      <c r="H74" s="27"/>
      <c r="I74" s="27"/>
      <c r="J74" s="4"/>
      <c r="M74" s="4"/>
    </row>
    <row r="75" spans="2:13" x14ac:dyDescent="0.2">
      <c r="B75" s="49" t="s">
        <v>169</v>
      </c>
      <c r="C75" s="25"/>
      <c r="D75" s="25"/>
      <c r="E75" s="26"/>
      <c r="F75" s="27"/>
      <c r="G75" s="27"/>
      <c r="H75" s="27"/>
      <c r="I75" s="27"/>
      <c r="J75" s="4"/>
      <c r="M75" s="4"/>
    </row>
    <row r="76" spans="2:13" x14ac:dyDescent="0.2">
      <c r="B76" s="25" t="s">
        <v>170</v>
      </c>
      <c r="C76" s="25" t="s">
        <v>171</v>
      </c>
      <c r="D76" s="25" t="s">
        <v>172</v>
      </c>
      <c r="E76" s="31">
        <v>500000</v>
      </c>
      <c r="F76" s="27">
        <v>500</v>
      </c>
      <c r="G76" s="27">
        <v>0.5</v>
      </c>
      <c r="H76" s="27"/>
      <c r="I76" s="27">
        <v>6.84</v>
      </c>
      <c r="J76" s="4"/>
      <c r="M76" s="4"/>
    </row>
    <row r="77" spans="2:13" x14ac:dyDescent="0.2">
      <c r="B77" s="25" t="s">
        <v>173</v>
      </c>
      <c r="C77" s="25" t="s">
        <v>174</v>
      </c>
      <c r="D77" s="25" t="s">
        <v>172</v>
      </c>
      <c r="E77" s="31">
        <v>500000</v>
      </c>
      <c r="F77" s="27">
        <v>468</v>
      </c>
      <c r="G77" s="27">
        <v>0.46</v>
      </c>
      <c r="H77" s="27"/>
      <c r="I77" s="27">
        <v>7.13</v>
      </c>
      <c r="J77" s="4"/>
      <c r="M77" s="4"/>
    </row>
    <row r="78" spans="2:13" x14ac:dyDescent="0.2">
      <c r="B78" s="35" t="s">
        <v>124</v>
      </c>
      <c r="C78" s="35"/>
      <c r="D78" s="35"/>
      <c r="E78" s="36"/>
      <c r="F78" s="37">
        <f>SUM(F75:F77)</f>
        <v>968</v>
      </c>
      <c r="G78" s="37">
        <f>SUM(G75:G77)</f>
        <v>0.96</v>
      </c>
      <c r="H78" s="50"/>
      <c r="I78" s="50"/>
      <c r="J78" s="4"/>
      <c r="M78" s="4"/>
    </row>
    <row r="79" spans="2:13" x14ac:dyDescent="0.2">
      <c r="B79" s="51" t="s">
        <v>125</v>
      </c>
      <c r="C79" s="51"/>
      <c r="D79" s="51"/>
      <c r="E79" s="52"/>
      <c r="F79" s="53">
        <f>+F78</f>
        <v>968</v>
      </c>
      <c r="G79" s="53">
        <f>+G78</f>
        <v>0.96</v>
      </c>
      <c r="H79" s="53"/>
      <c r="I79" s="53"/>
      <c r="J79" s="4"/>
      <c r="M79" s="4"/>
    </row>
    <row r="80" spans="2:13" x14ac:dyDescent="0.2">
      <c r="B80" s="49" t="s">
        <v>175</v>
      </c>
      <c r="C80" s="25"/>
      <c r="D80" s="25"/>
      <c r="E80" s="26"/>
      <c r="F80" s="27"/>
      <c r="G80" s="27"/>
      <c r="H80" s="27"/>
      <c r="I80" s="27"/>
      <c r="J80" s="4"/>
      <c r="M80" s="4"/>
    </row>
    <row r="81" spans="2:13" x14ac:dyDescent="0.2">
      <c r="B81" s="25" t="s">
        <v>176</v>
      </c>
      <c r="C81" s="25" t="s">
        <v>177</v>
      </c>
      <c r="D81" s="25" t="s">
        <v>178</v>
      </c>
      <c r="E81" s="31">
        <v>8000000</v>
      </c>
      <c r="F81" s="27">
        <v>7965.31</v>
      </c>
      <c r="G81" s="27">
        <v>7.91</v>
      </c>
      <c r="H81" s="27"/>
      <c r="I81" s="27">
        <v>7.36</v>
      </c>
      <c r="J81" s="4"/>
      <c r="M81" s="4"/>
    </row>
    <row r="82" spans="2:13" x14ac:dyDescent="0.2">
      <c r="B82" s="25" t="s">
        <v>179</v>
      </c>
      <c r="C82" s="25" t="s">
        <v>180</v>
      </c>
      <c r="D82" s="25" t="s">
        <v>178</v>
      </c>
      <c r="E82" s="31">
        <v>7500000</v>
      </c>
      <c r="F82" s="27">
        <v>7503.88</v>
      </c>
      <c r="G82" s="27">
        <v>7.45</v>
      </c>
      <c r="H82" s="27"/>
      <c r="I82" s="27">
        <v>7.17</v>
      </c>
      <c r="J82" s="4"/>
      <c r="M82" s="4"/>
    </row>
    <row r="83" spans="2:13" x14ac:dyDescent="0.2">
      <c r="B83" s="25" t="s">
        <v>181</v>
      </c>
      <c r="C83" s="25" t="s">
        <v>182</v>
      </c>
      <c r="D83" s="25" t="s">
        <v>178</v>
      </c>
      <c r="E83" s="31">
        <v>4500000</v>
      </c>
      <c r="F83" s="27">
        <v>4510.66</v>
      </c>
      <c r="G83" s="27">
        <v>4.4800000000000004</v>
      </c>
      <c r="H83" s="27"/>
      <c r="I83" s="27">
        <v>7.27</v>
      </c>
      <c r="J83" s="4"/>
      <c r="M83" s="4"/>
    </row>
    <row r="84" spans="2:13" x14ac:dyDescent="0.2">
      <c r="B84" s="25" t="s">
        <v>183</v>
      </c>
      <c r="C84" s="25" t="s">
        <v>184</v>
      </c>
      <c r="D84" s="25" t="s">
        <v>178</v>
      </c>
      <c r="E84" s="31">
        <v>4000000</v>
      </c>
      <c r="F84" s="27">
        <v>4011.19</v>
      </c>
      <c r="G84" s="27">
        <v>3.98</v>
      </c>
      <c r="H84" s="27"/>
      <c r="I84" s="27">
        <v>7.24</v>
      </c>
      <c r="J84" s="4"/>
      <c r="M84" s="4"/>
    </row>
    <row r="85" spans="2:13" x14ac:dyDescent="0.2">
      <c r="B85" s="25" t="s">
        <v>185</v>
      </c>
      <c r="C85" s="25" t="s">
        <v>186</v>
      </c>
      <c r="D85" s="25" t="s">
        <v>178</v>
      </c>
      <c r="E85" s="31">
        <v>1500000</v>
      </c>
      <c r="F85" s="27">
        <v>1517.1</v>
      </c>
      <c r="G85" s="27">
        <v>1.51</v>
      </c>
      <c r="H85" s="27"/>
      <c r="I85" s="27">
        <v>7.23</v>
      </c>
      <c r="J85" s="4"/>
      <c r="M85" s="4"/>
    </row>
    <row r="86" spans="2:13" x14ac:dyDescent="0.2">
      <c r="B86" s="25" t="s">
        <v>187</v>
      </c>
      <c r="C86" s="25" t="s">
        <v>188</v>
      </c>
      <c r="D86" s="25" t="s">
        <v>178</v>
      </c>
      <c r="E86" s="31">
        <v>1000000</v>
      </c>
      <c r="F86" s="27">
        <v>1000.8</v>
      </c>
      <c r="G86" s="27">
        <v>0.99</v>
      </c>
      <c r="H86" s="27"/>
      <c r="I86" s="27">
        <v>7.2</v>
      </c>
      <c r="J86" s="4"/>
      <c r="M86" s="4"/>
    </row>
    <row r="87" spans="2:13" x14ac:dyDescent="0.2">
      <c r="B87" s="25" t="s">
        <v>189</v>
      </c>
      <c r="C87" s="25" t="s">
        <v>190</v>
      </c>
      <c r="D87" s="25" t="s">
        <v>178</v>
      </c>
      <c r="E87" s="31">
        <v>1000000</v>
      </c>
      <c r="F87" s="27">
        <v>991.9</v>
      </c>
      <c r="G87" s="27">
        <v>0.98</v>
      </c>
      <c r="H87" s="27"/>
      <c r="I87" s="27">
        <v>8.2100000000000009</v>
      </c>
      <c r="J87" s="4"/>
      <c r="M87" s="4"/>
    </row>
    <row r="88" spans="2:13" x14ac:dyDescent="0.2">
      <c r="B88" s="25" t="s">
        <v>191</v>
      </c>
      <c r="C88" s="25" t="s">
        <v>192</v>
      </c>
      <c r="D88" s="25" t="s">
        <v>178</v>
      </c>
      <c r="E88" s="31">
        <v>500000</v>
      </c>
      <c r="F88" s="27">
        <v>505.67</v>
      </c>
      <c r="G88" s="27">
        <v>0.5</v>
      </c>
      <c r="H88" s="27"/>
      <c r="I88" s="27">
        <v>8.08</v>
      </c>
      <c r="J88" s="4"/>
      <c r="M88" s="4"/>
    </row>
    <row r="89" spans="2:13" x14ac:dyDescent="0.2">
      <c r="B89" s="54" t="s">
        <v>193</v>
      </c>
      <c r="C89" s="54" t="s">
        <v>194</v>
      </c>
      <c r="D89" s="54" t="s">
        <v>178</v>
      </c>
      <c r="E89" s="55">
        <v>800</v>
      </c>
      <c r="F89" s="56">
        <v>0.84</v>
      </c>
      <c r="G89" s="56">
        <v>0</v>
      </c>
      <c r="H89" s="56"/>
      <c r="I89" s="56">
        <v>7.4</v>
      </c>
      <c r="J89" s="4"/>
      <c r="M89" s="4"/>
    </row>
    <row r="90" spans="2:13" x14ac:dyDescent="0.2">
      <c r="B90" s="57" t="s">
        <v>125</v>
      </c>
      <c r="C90" s="57"/>
      <c r="D90" s="57"/>
      <c r="E90" s="58"/>
      <c r="F90" s="59">
        <f>SUM(F81:F89)</f>
        <v>28007.349999999995</v>
      </c>
      <c r="G90" s="59">
        <f>SUM(G81:G89)</f>
        <v>27.8</v>
      </c>
      <c r="H90" s="59"/>
      <c r="I90" s="59"/>
      <c r="J90" s="4"/>
      <c r="M90" s="4"/>
    </row>
    <row r="91" spans="2:13" x14ac:dyDescent="0.2">
      <c r="B91" s="49" t="s">
        <v>195</v>
      </c>
      <c r="C91" s="25"/>
      <c r="D91" s="25"/>
      <c r="E91" s="26"/>
      <c r="F91" s="27"/>
      <c r="G91" s="27"/>
      <c r="H91" s="27"/>
      <c r="I91" s="27"/>
      <c r="J91" s="4"/>
      <c r="M91" s="4"/>
    </row>
    <row r="92" spans="2:13" x14ac:dyDescent="0.2">
      <c r="B92" s="54" t="s">
        <v>196</v>
      </c>
      <c r="C92" s="54" t="s">
        <v>197</v>
      </c>
      <c r="D92" s="54" t="s">
        <v>195</v>
      </c>
      <c r="E92" s="55">
        <v>2753.8620000000001</v>
      </c>
      <c r="F92" s="56">
        <v>278.68</v>
      </c>
      <c r="G92" s="56">
        <v>0.28000000000000003</v>
      </c>
      <c r="H92" s="56"/>
      <c r="I92" s="56">
        <v>7.1400000000000006</v>
      </c>
      <c r="J92" s="4"/>
      <c r="M92" s="4"/>
    </row>
    <row r="93" spans="2:13" x14ac:dyDescent="0.2">
      <c r="B93" s="57" t="s">
        <v>125</v>
      </c>
      <c r="C93" s="57"/>
      <c r="D93" s="57"/>
      <c r="E93" s="58"/>
      <c r="F93" s="59">
        <f>SUM(F92:F92)</f>
        <v>278.68</v>
      </c>
      <c r="G93" s="59">
        <f>SUM(G92:G92)</f>
        <v>0.28000000000000003</v>
      </c>
      <c r="H93" s="59"/>
      <c r="I93" s="59"/>
      <c r="J93" s="4"/>
      <c r="M93" s="4"/>
    </row>
    <row r="94" spans="2:13" x14ac:dyDescent="0.2">
      <c r="B94" s="49" t="s">
        <v>198</v>
      </c>
      <c r="C94" s="25"/>
      <c r="D94" s="25"/>
      <c r="E94" s="26"/>
      <c r="F94" s="27"/>
      <c r="G94" s="27"/>
      <c r="H94" s="27"/>
      <c r="I94" s="27"/>
      <c r="J94" s="4"/>
      <c r="M94" s="4"/>
    </row>
    <row r="95" spans="2:13" x14ac:dyDescent="0.2">
      <c r="B95" s="25" t="s">
        <v>198</v>
      </c>
      <c r="C95" s="25"/>
      <c r="D95" s="25"/>
      <c r="E95" s="26"/>
      <c r="F95" s="27">
        <v>4767.6899999999996</v>
      </c>
      <c r="G95" s="27">
        <v>4.7300000000000004</v>
      </c>
      <c r="H95" s="27"/>
      <c r="I95" s="27"/>
      <c r="J95" s="4"/>
      <c r="M95" s="4"/>
    </row>
    <row r="96" spans="2:13" x14ac:dyDescent="0.2">
      <c r="B96" s="35" t="s">
        <v>124</v>
      </c>
      <c r="C96" s="35"/>
      <c r="D96" s="35"/>
      <c r="E96" s="36"/>
      <c r="F96" s="37">
        <f>SUM(F94:F95)</f>
        <v>4767.6899999999996</v>
      </c>
      <c r="G96" s="37">
        <f>SUM(G94:G95)</f>
        <v>4.7300000000000004</v>
      </c>
      <c r="H96" s="50"/>
      <c r="I96" s="50"/>
      <c r="J96" s="4"/>
      <c r="M96" s="4"/>
    </row>
    <row r="97" spans="2:13" x14ac:dyDescent="0.2">
      <c r="B97" s="60" t="s">
        <v>125</v>
      </c>
      <c r="C97" s="60"/>
      <c r="D97" s="60"/>
      <c r="E97" s="61"/>
      <c r="F97" s="62">
        <f>F96</f>
        <v>4767.6899999999996</v>
      </c>
      <c r="G97" s="62">
        <f>G96</f>
        <v>4.7300000000000004</v>
      </c>
      <c r="H97" s="62"/>
      <c r="I97" s="62"/>
      <c r="J97" s="4"/>
      <c r="M97" s="4"/>
    </row>
    <row r="98" spans="2:13" x14ac:dyDescent="0.2">
      <c r="B98" s="63" t="s">
        <v>199</v>
      </c>
      <c r="C98" s="63"/>
      <c r="D98" s="63"/>
      <c r="E98" s="64"/>
      <c r="F98" s="65">
        <f>F99-(+F50+F73+F79+F90+F93+F97)</f>
        <v>558.02000000001863</v>
      </c>
      <c r="G98" s="65">
        <f>G99-(+G50+G73+G79+G90+G93+G97)</f>
        <v>0.54000000000000625</v>
      </c>
      <c r="H98" s="65"/>
      <c r="I98" s="65"/>
      <c r="J98" s="4"/>
      <c r="M98" s="4"/>
    </row>
    <row r="99" spans="2:13" x14ac:dyDescent="0.2">
      <c r="B99" s="63" t="s">
        <v>200</v>
      </c>
      <c r="C99" s="63"/>
      <c r="D99" s="63"/>
      <c r="E99" s="64"/>
      <c r="F99" s="65">
        <v>100738.5</v>
      </c>
      <c r="G99" s="65">
        <v>100</v>
      </c>
      <c r="H99" s="65"/>
      <c r="I99" s="65"/>
      <c r="J99" s="4"/>
      <c r="M99" s="4"/>
    </row>
    <row r="101" spans="2:13" x14ac:dyDescent="0.2">
      <c r="B101" s="66" t="s">
        <v>201</v>
      </c>
    </row>
    <row r="102" spans="2:13" ht="12.75" thickBot="1" x14ac:dyDescent="0.25"/>
    <row r="103" spans="2:13" ht="13.5" thickTop="1" thickBot="1" x14ac:dyDescent="0.25">
      <c r="B103" s="68" t="s">
        <v>202</v>
      </c>
      <c r="C103" s="69">
        <v>3.0278999999999998</v>
      </c>
    </row>
    <row r="104" spans="2:13" ht="13.5" thickTop="1" thickBot="1" x14ac:dyDescent="0.25"/>
    <row r="105" spans="2:13" ht="13.5" thickTop="1" thickBot="1" x14ac:dyDescent="0.25">
      <c r="B105" s="68" t="s">
        <v>203</v>
      </c>
      <c r="C105" s="70">
        <v>7.6499999999999999E-2</v>
      </c>
    </row>
    <row r="106" spans="2:13" ht="13.5" thickTop="1" thickBot="1" x14ac:dyDescent="0.25"/>
    <row r="107" spans="2:13" ht="13.5" thickTop="1" thickBot="1" x14ac:dyDescent="0.25">
      <c r="B107" s="68" t="s">
        <v>204</v>
      </c>
      <c r="C107" s="69">
        <v>3.1892</v>
      </c>
    </row>
    <row r="108" spans="2:13" ht="12.75" thickTop="1" x14ac:dyDescent="0.2"/>
  </sheetData>
  <mergeCells count="4">
    <mergeCell ref="B1:I1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2024-02-07 17:18:48</KDate>
  <Classification>Public</Classification>
  <Subclassification/>
  <HostName>MUMCMP00935</HostName>
  <Domain_User>CANARAROBECOMF/628</Domain_User>
  <IPAdd>192.9.198.194</IPAdd>
  <FilePath>Book17</FilePath>
  <KID>C025A5607E97638429231283928422</KID>
  <UniqueName/>
  <Suggested/>
  <Justification/>
</Klassify>
</file>

<file path=customXml/itemProps1.xml><?xml version="1.0" encoding="utf-8"?>
<ds:datastoreItem xmlns:ds="http://schemas.openxmlformats.org/officeDocument/2006/customXml" ds:itemID="{424A21FF-C955-4A08-9B07-E912F8218DF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2024-02-07T11:48:44Z</dcterms:created>
  <dcterms:modified xsi:type="dcterms:W3CDTF">2024-02-07T11:48:48Z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C025A5607E97638429231283928422</vt:lpwstr>
  </property>
</Properties>
</file>