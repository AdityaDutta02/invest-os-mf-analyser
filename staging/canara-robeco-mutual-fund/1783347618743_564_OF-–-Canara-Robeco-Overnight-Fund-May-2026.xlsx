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MAY'26\REVISED\"/>
    </mc:Choice>
  </mc:AlternateContent>
  <xr:revisionPtr revIDLastSave="0" documentId="8_{45FC7765-6136-4B8B-B38A-B2CAA52EB706}" xr6:coauthVersionLast="47" xr6:coauthVersionMax="47" xr10:uidLastSave="{00000000-0000-0000-0000-000000000000}"/>
  <bookViews>
    <workbookView xWindow="-120" yWindow="-120" windowWidth="20730" windowHeight="11040" xr2:uid="{34501672-32A2-4D09-8C90-F14AAF1104DC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G15" i="1" s="1"/>
  <c r="F14" i="1"/>
  <c r="F15" i="1" s="1"/>
  <c r="F11" i="1"/>
  <c r="F16" i="1" s="1"/>
  <c r="G10" i="1"/>
  <c r="G11" i="1" s="1"/>
  <c r="G16" i="1" s="1"/>
  <c r="F1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<sst xmlns="http://schemas.openxmlformats.org/spreadsheetml/2006/main" count="67" uniqueCount="60">
  <si>
    <t>CANARA ROBECO OVERNIGHT FUND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</si>
  <si>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</si>
  <si>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</si>
  <si>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</si>
  <si>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</si>
  <si>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</si>
  <si>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</si>
  <si>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</si>
  <si>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</si>
  <si>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May'26</t>
  </si>
  <si>
    <t>Benchmark Risk-O-Meter Level - May'26</t>
  </si>
  <si>
    <t>Scheme Risk-O-Meter Level - April'26</t>
  </si>
  <si>
    <t>Benchmark Risk-O-Meter Level - April'26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</si>
  <si>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</si>
  <si>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</si>
  <si>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</si>
  <si>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</si>
  <si>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</si>
  <si>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</si>
  <si>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</si>
  <si>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</si>
  <si>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91 DTB (04-JUN-2026)</t>
  </si>
  <si>
    <t>IN002025X489</t>
  </si>
  <si>
    <t xml:space="preserve"> Sovereign</t>
  </si>
  <si>
    <t>Relatively Low (Class I)</t>
  </si>
  <si>
    <t>A-I</t>
  </si>
  <si>
    <t>91 DTB (11-JUN-2026)</t>
  </si>
  <si>
    <t>IN002025X497</t>
  </si>
  <si>
    <t>182 DTB (18-JUN-2026)</t>
  </si>
  <si>
    <t>IN002025Y388</t>
  </si>
  <si>
    <t>Moderate (Class II)</t>
  </si>
  <si>
    <t>Sub Total</t>
  </si>
  <si>
    <t>Total</t>
  </si>
  <si>
    <t>Relatively High (Class III)</t>
  </si>
  <si>
    <t>TREPS</t>
  </si>
  <si>
    <t>Benchmark: CRISIL Liquid Overnight Index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</si>
  <si>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</si>
  <si>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</si>
  <si>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</si>
  <si>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</si>
  <si>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</si>
  <si>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Average Maturity Yrs</t>
  </si>
  <si>
    <t>Notes</t>
  </si>
  <si>
    <t>(1) The provision made for Securities classified as below investment grade or default as of May,31 2026 is Rs Nil and its percentage to Net Asset Value is Nil.</t>
  </si>
  <si>
    <t>(2)  Plan/option wise per unit Net Asset Value are as follows:</t>
  </si>
  <si>
    <t xml:space="preserve">      Plan/Option</t>
  </si>
  <si>
    <t>As on April,30 2026</t>
  </si>
  <si>
    <t>As on May,31 2026</t>
  </si>
  <si>
    <t xml:space="preserve">      REGULAR PLAN - GROWTH OPTION</t>
  </si>
  <si>
    <t xml:space="preserve">      REGULAR PLAN - DAILY IDCW (Reinvestment)</t>
  </si>
  <si>
    <t xml:space="preserve">      DIRECT PLAN - GROWTH OPTION</t>
  </si>
  <si>
    <t xml:space="preserve">      DIRECT PLAN - DAILY IDCW (Reinvestment)</t>
  </si>
  <si>
    <t>(3) Details of Dividend declared per unit (In Rupees) during the Month are as follows</t>
  </si>
  <si>
    <t>Individuals/HUF</t>
  </si>
  <si>
    <t>Others</t>
  </si>
  <si>
    <t>(4) Total outstanding exposure in derivative instruments as on May,31 2026 is Nil.</t>
  </si>
  <si>
    <t>(5) Total Market value of investments in Foreign Securities/American Depositary Receipts/Global Depositary Receipts as at May,31 2026 is Rs. Nil .</t>
  </si>
  <si>
    <t>(6)  Details of repo transaction in corporate debt securities for the Month ended May,31 2026 is Nil.</t>
  </si>
  <si>
    <t>Please refer the below link for the performance of the Schemes managed by Canara Robeco Mutual Fund</t>
  </si>
  <si>
    <t>https://www.canararobeco.com/docs/default-source/default-document-library/Scheme_Performance_May_26.pdf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</si>
</sst>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3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164" fontId="4" fillId="3" borderId="0" xfId="0" applyNumberFormat="1" applyFont="1" applyFill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75B3-15EF-4C45-9C21-0BF1B60FD0A5}">
  <dimension ref="B1:S48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3.85546875" style="3" bestFit="1" customWidth="1"/>
    <col min="3" max="3" width="12.7109375" style="3" bestFit="1" customWidth="1"/>
    <col min="4" max="4" width="16.7109375" style="3" bestFit="1" customWidth="1"/>
    <col min="5" max="5" width="16.28515625" style="3" bestFit="1" customWidth="1"/>
    <col min="6" max="6" width="15.28515625" style="8" bestFit="1" customWidth="1"/>
    <col min="7" max="7" width="9.8554687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5.5703125" style="3" bestFit="1" customWidth="1"/>
    <col min="16" max="16" width="12.8554687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0" t="e" vm="2">
        <v>#VALUE!</v>
      </c>
      <c r="M5" s="20" t="e" vm="1">
        <v>#VALUE!</v>
      </c>
      <c r="N5" s="20" t="e" vm="2">
        <v>#VALUE!</v>
      </c>
      <c r="P5" s="21" t="s">
        <v>15</v>
      </c>
      <c r="Q5" s="22" t="s">
        <v>16</v>
      </c>
      <c r="R5" s="22" t="s">
        <v>17</v>
      </c>
      <c r="S5" s="22" t="s">
        <v>18</v>
      </c>
    </row>
    <row r="6" spans="2:19" ht="24" x14ac:dyDescent="0.2">
      <c r="B6" s="23" t="s">
        <v>19</v>
      </c>
      <c r="C6" s="24"/>
      <c r="D6" s="24"/>
      <c r="E6" s="24"/>
      <c r="F6" s="25"/>
      <c r="G6" s="25"/>
      <c r="H6" s="25"/>
      <c r="K6" s="20"/>
      <c r="L6" s="20"/>
      <c r="M6" s="20"/>
      <c r="N6" s="20"/>
      <c r="O6" s="26"/>
      <c r="P6" s="27" t="s">
        <v>20</v>
      </c>
      <c r="Q6" s="22"/>
      <c r="R6" s="22"/>
      <c r="S6" s="22"/>
    </row>
    <row r="7" spans="2:19" x14ac:dyDescent="0.2">
      <c r="B7" s="24" t="s">
        <v>21</v>
      </c>
      <c r="C7" s="24" t="s">
        <v>22</v>
      </c>
      <c r="D7" s="24" t="s">
        <v>23</v>
      </c>
      <c r="E7" s="28">
        <v>500000</v>
      </c>
      <c r="F7" s="25">
        <v>499.79</v>
      </c>
      <c r="G7" s="25">
        <v>1.19</v>
      </c>
      <c r="H7" s="25">
        <v>5.15</v>
      </c>
      <c r="K7" s="20"/>
      <c r="L7" s="20"/>
      <c r="M7" s="20"/>
      <c r="N7" s="20"/>
      <c r="O7" s="26"/>
      <c r="P7" s="29" t="s">
        <v>24</v>
      </c>
      <c r="Q7" s="30" t="s">
        <v>25</v>
      </c>
      <c r="R7" s="31"/>
      <c r="S7" s="31"/>
    </row>
    <row r="8" spans="2:19" x14ac:dyDescent="0.2">
      <c r="B8" s="24" t="s">
        <v>26</v>
      </c>
      <c r="C8" s="24" t="s">
        <v>27</v>
      </c>
      <c r="D8" s="24" t="s">
        <v>23</v>
      </c>
      <c r="E8" s="28">
        <v>500000</v>
      </c>
      <c r="F8" s="25">
        <v>499.28</v>
      </c>
      <c r="G8" s="25">
        <v>1.19</v>
      </c>
      <c r="H8" s="25">
        <v>5.3</v>
      </c>
      <c r="K8" s="20"/>
      <c r="L8" s="20"/>
      <c r="M8" s="20"/>
      <c r="N8" s="20"/>
      <c r="O8" s="26"/>
      <c r="P8" s="29"/>
      <c r="Q8" s="32"/>
      <c r="R8" s="33"/>
      <c r="S8" s="33"/>
    </row>
    <row r="9" spans="2:19" x14ac:dyDescent="0.2">
      <c r="B9" s="24" t="s">
        <v>28</v>
      </c>
      <c r="C9" s="24" t="s">
        <v>29</v>
      </c>
      <c r="D9" s="24" t="s">
        <v>23</v>
      </c>
      <c r="E9" s="28">
        <v>500000</v>
      </c>
      <c r="F9" s="25">
        <v>498.79</v>
      </c>
      <c r="G9" s="25">
        <v>1.19</v>
      </c>
      <c r="H9" s="25">
        <v>5.22</v>
      </c>
      <c r="K9" s="20"/>
      <c r="L9" s="20"/>
      <c r="M9" s="20"/>
      <c r="N9" s="20"/>
      <c r="O9" s="26"/>
      <c r="P9" s="29" t="s">
        <v>30</v>
      </c>
      <c r="Q9" s="31"/>
      <c r="R9" s="31"/>
      <c r="S9" s="31"/>
    </row>
    <row r="10" spans="2:19" x14ac:dyDescent="0.2">
      <c r="B10" s="34" t="s">
        <v>31</v>
      </c>
      <c r="C10" s="34"/>
      <c r="D10" s="34"/>
      <c r="E10" s="34"/>
      <c r="F10" s="35">
        <f>SUM(F6:F9)</f>
        <v>1497.86</v>
      </c>
      <c r="G10" s="35">
        <f>SUM(G6:G9)</f>
        <v>3.57</v>
      </c>
      <c r="H10" s="36"/>
      <c r="I10" s="37"/>
      <c r="K10" s="20"/>
      <c r="L10" s="20"/>
      <c r="M10" s="20"/>
      <c r="N10" s="20"/>
      <c r="O10" s="26"/>
      <c r="P10" s="29"/>
      <c r="Q10" s="33"/>
      <c r="R10" s="33"/>
      <c r="S10" s="33"/>
    </row>
    <row r="11" spans="2:19" x14ac:dyDescent="0.2">
      <c r="B11" s="38" t="s">
        <v>32</v>
      </c>
      <c r="C11" s="38"/>
      <c r="D11" s="38"/>
      <c r="E11" s="38"/>
      <c r="F11" s="39">
        <f>+F10</f>
        <v>1497.86</v>
      </c>
      <c r="G11" s="39">
        <f>+G10</f>
        <v>3.57</v>
      </c>
      <c r="H11" s="39"/>
      <c r="I11" s="37"/>
      <c r="K11" s="20"/>
      <c r="L11" s="20"/>
      <c r="M11" s="20"/>
      <c r="N11" s="20"/>
      <c r="O11" s="26"/>
      <c r="P11" s="29" t="s">
        <v>33</v>
      </c>
      <c r="Q11" s="31"/>
      <c r="R11" s="31"/>
      <c r="S11" s="31"/>
    </row>
    <row r="12" spans="2:19" x14ac:dyDescent="0.2">
      <c r="B12" s="23" t="s">
        <v>34</v>
      </c>
      <c r="C12" s="24"/>
      <c r="D12" s="24"/>
      <c r="E12" s="24"/>
      <c r="F12" s="25"/>
      <c r="G12" s="25"/>
      <c r="H12" s="25"/>
      <c r="K12" s="20"/>
      <c r="L12" s="20"/>
      <c r="M12" s="20"/>
      <c r="N12" s="20"/>
      <c r="O12" s="26"/>
      <c r="P12" s="29"/>
      <c r="Q12" s="33"/>
      <c r="R12" s="33"/>
      <c r="S12" s="33"/>
    </row>
    <row r="13" spans="2:19" x14ac:dyDescent="0.2">
      <c r="B13" s="24" t="s">
        <v>34</v>
      </c>
      <c r="C13" s="24"/>
      <c r="D13" s="24"/>
      <c r="E13" s="24"/>
      <c r="F13" s="25">
        <v>40112.35</v>
      </c>
      <c r="G13" s="25">
        <v>95.82</v>
      </c>
      <c r="H13" s="25"/>
      <c r="K13" s="40"/>
      <c r="L13" s="40" t="s">
        <v>35</v>
      </c>
      <c r="M13" s="26"/>
      <c r="N13" s="26"/>
      <c r="O13" s="26"/>
    </row>
    <row r="14" spans="2:19" x14ac:dyDescent="0.2">
      <c r="B14" s="34" t="s">
        <v>31</v>
      </c>
      <c r="C14" s="34"/>
      <c r="D14" s="34"/>
      <c r="E14" s="34"/>
      <c r="F14" s="35">
        <f>SUM(F12:F13)</f>
        <v>40112.35</v>
      </c>
      <c r="G14" s="35">
        <f>SUM(G12:G13)</f>
        <v>95.82</v>
      </c>
      <c r="H14" s="36"/>
      <c r="I14" s="37"/>
    </row>
    <row r="15" spans="2:19" x14ac:dyDescent="0.2">
      <c r="B15" s="41" t="s">
        <v>32</v>
      </c>
      <c r="C15" s="41"/>
      <c r="D15" s="41"/>
      <c r="E15" s="41"/>
      <c r="F15" s="42">
        <f>F14</f>
        <v>40112.35</v>
      </c>
      <c r="G15" s="42">
        <f>G14</f>
        <v>95.82</v>
      </c>
      <c r="H15" s="42"/>
      <c r="I15" s="37"/>
    </row>
    <row r="16" spans="2:19" x14ac:dyDescent="0.2">
      <c r="B16" s="43" t="s">
        <v>36</v>
      </c>
      <c r="C16" s="43"/>
      <c r="D16" s="43"/>
      <c r="E16" s="43"/>
      <c r="F16" s="44">
        <f>F17-(+F11+F15)</f>
        <v>250.86000000000058</v>
      </c>
      <c r="G16" s="44">
        <f>G17-(+G11+G15)</f>
        <v>0.61000000000001364</v>
      </c>
      <c r="H16" s="44"/>
      <c r="I16" s="37"/>
    </row>
    <row r="17" spans="2:9" x14ac:dyDescent="0.2">
      <c r="B17" s="43" t="s">
        <v>37</v>
      </c>
      <c r="C17" s="43"/>
      <c r="D17" s="43"/>
      <c r="E17" s="43"/>
      <c r="F17" s="44">
        <v>41861.07</v>
      </c>
      <c r="G17" s="44">
        <v>100</v>
      </c>
      <c r="H17" s="44"/>
      <c r="I17" s="37"/>
    </row>
    <row r="19" spans="2:9" x14ac:dyDescent="0.2">
      <c r="B19" s="37"/>
    </row>
    <row r="20" spans="2:9" ht="12.75" thickBot="1" x14ac:dyDescent="0.25"/>
    <row r="21" spans="2:9" ht="13.5" thickTop="1" thickBot="1" x14ac:dyDescent="0.25">
      <c r="B21" s="45" t="s">
        <v>38</v>
      </c>
      <c r="C21" s="46">
        <v>3.5000000000000001E-3</v>
      </c>
    </row>
    <row r="22" spans="2:9" ht="13.5" thickTop="1" thickBot="1" x14ac:dyDescent="0.25"/>
    <row r="23" spans="2:9" ht="13.5" thickTop="1" thickBot="1" x14ac:dyDescent="0.25">
      <c r="B23" s="45" t="s">
        <v>39</v>
      </c>
      <c r="C23" s="47">
        <v>5.33E-2</v>
      </c>
    </row>
    <row r="24" spans="2:9" ht="13.5" thickTop="1" thickBot="1" x14ac:dyDescent="0.25"/>
    <row r="25" spans="2:9" ht="13.5" thickTop="1" thickBot="1" x14ac:dyDescent="0.25">
      <c r="B25" s="45" t="s">
        <v>40</v>
      </c>
      <c r="C25" s="46">
        <v>3.7000000000000002E-3</v>
      </c>
    </row>
    <row r="26" spans="2:9" ht="13.5" thickTop="1" thickBot="1" x14ac:dyDescent="0.25"/>
    <row r="27" spans="2:9" ht="13.5" thickTop="1" thickBot="1" x14ac:dyDescent="0.25">
      <c r="B27" s="45" t="s">
        <v>41</v>
      </c>
      <c r="C27" s="46">
        <v>3.7000000000000002E-3</v>
      </c>
    </row>
    <row r="28" spans="2:9" ht="12.75" thickTop="1" x14ac:dyDescent="0.2"/>
    <row r="29" spans="2:9" x14ac:dyDescent="0.2">
      <c r="B29" s="37" t="s">
        <v>42</v>
      </c>
    </row>
    <row r="30" spans="2:9" x14ac:dyDescent="0.2">
      <c r="B30" s="3" t="s">
        <v>43</v>
      </c>
    </row>
    <row r="31" spans="2:9" x14ac:dyDescent="0.2">
      <c r="B31" s="3" t="s">
        <v>44</v>
      </c>
    </row>
    <row r="32" spans="2:9" x14ac:dyDescent="0.2">
      <c r="B32" s="37" t="s">
        <v>45</v>
      </c>
      <c r="C32" s="37"/>
      <c r="D32" s="37" t="s">
        <v>46</v>
      </c>
      <c r="E32" s="37" t="s">
        <v>47</v>
      </c>
    </row>
    <row r="33" spans="2:7" x14ac:dyDescent="0.2">
      <c r="B33" s="3" t="s">
        <v>48</v>
      </c>
      <c r="D33" s="3">
        <v>1394.5434</v>
      </c>
      <c r="E33" s="3">
        <v>1400.5527</v>
      </c>
      <c r="G33" s="48"/>
    </row>
    <row r="34" spans="2:7" x14ac:dyDescent="0.2">
      <c r="B34" s="3" t="s">
        <v>49</v>
      </c>
      <c r="D34" s="3">
        <v>1001</v>
      </c>
      <c r="E34" s="3">
        <v>1001</v>
      </c>
      <c r="G34" s="48"/>
    </row>
    <row r="35" spans="2:7" x14ac:dyDescent="0.2">
      <c r="B35" s="3" t="s">
        <v>50</v>
      </c>
      <c r="D35" s="3">
        <v>1396.0373999999999</v>
      </c>
      <c r="E35" s="3">
        <v>1402.0744999999999</v>
      </c>
      <c r="G35" s="48"/>
    </row>
    <row r="36" spans="2:7" x14ac:dyDescent="0.2">
      <c r="B36" s="3" t="s">
        <v>51</v>
      </c>
      <c r="D36" s="3">
        <v>1001.0012</v>
      </c>
      <c r="E36" s="3">
        <v>1001.0012</v>
      </c>
      <c r="G36" s="48"/>
    </row>
    <row r="37" spans="2:7" x14ac:dyDescent="0.2">
      <c r="G37" s="48"/>
    </row>
    <row r="38" spans="2:7" x14ac:dyDescent="0.2">
      <c r="B38" s="3" t="s">
        <v>52</v>
      </c>
      <c r="D38" s="37" t="s">
        <v>53</v>
      </c>
      <c r="E38" s="37" t="s">
        <v>54</v>
      </c>
      <c r="G38" s="48"/>
    </row>
    <row r="39" spans="2:7" x14ac:dyDescent="0.2">
      <c r="B39" s="3" t="s">
        <v>49</v>
      </c>
      <c r="D39" s="3">
        <v>4.3038000000000007</v>
      </c>
      <c r="E39" s="3">
        <v>4.3038000000000007</v>
      </c>
      <c r="G39" s="48"/>
    </row>
    <row r="40" spans="2:7" x14ac:dyDescent="0.2">
      <c r="B40" s="3" t="s">
        <v>51</v>
      </c>
      <c r="D40" s="3">
        <v>4.3197200000000002</v>
      </c>
      <c r="E40" s="3">
        <v>4.3197200000000002</v>
      </c>
      <c r="G40" s="48"/>
    </row>
    <row r="41" spans="2:7" x14ac:dyDescent="0.2">
      <c r="G41" s="48"/>
    </row>
    <row r="42" spans="2:7" x14ac:dyDescent="0.2">
      <c r="B42" s="3" t="s">
        <v>55</v>
      </c>
      <c r="G42" s="48"/>
    </row>
    <row r="43" spans="2:7" x14ac:dyDescent="0.2">
      <c r="B43" s="3" t="s">
        <v>56</v>
      </c>
    </row>
    <row r="44" spans="2:7" x14ac:dyDescent="0.2">
      <c r="B44" s="3" t="s">
        <v>57</v>
      </c>
    </row>
    <row r="45" spans="2:7" x14ac:dyDescent="0.2">
      <c r="B45" s="37"/>
      <c r="C45" s="37"/>
      <c r="D45" s="37"/>
      <c r="E45" s="37"/>
    </row>
    <row r="46" spans="2:7" x14ac:dyDescent="0.2">
      <c r="B46" s="37" t="s">
        <v>58</v>
      </c>
    </row>
    <row r="48" spans="2:7" ht="15" x14ac:dyDescent="0.2">
      <c r="B48" s="49" t="s">
        <v>59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48" r:id="rId1" display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xr:uid="{CC715BFB-10FE-48DF-B72C-A310AA8BE9ED}"/>
  </hyperlinks>
  <pageMargins left="0.7" right="0.7" top="0.75" bottom="0.75" header="0.3" footer="0.3"/>
  <pageSetup paperSize="9" orientation="portrait" r:id="rId2"/>
  <headerFooter>
    <oddHeader>&amp;L&amp;"Calibri"&amp;11&amp;K008000 MIS Internal</oddHeader>
    <oddFooter>&amp;L&amp;"Calibri"&amp;11&amp;K008000 MIS Internal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2026-06-08 17:45:21</KDate>
  <Classification>MIS INTERNAL</Classification>
  <Subclassification/>
  <HostName>MUMCMP01323</HostName>
  <Domain_User>CANARAROBECOMF/628</Domain_User>
  <IPAdd>192.9.198.196</IPAdd>
  <FilePath>Book24</FilePath>
  <KID>109819A0F0A5639165375211450190</KID>
  <UniqueName/>
  <Suggested/>
  <Justification/>
  <KlassifyGUID/>
</Klassify>
</file>

<file path=customXml/itemProps1.xml><?xml version="1.0" encoding="utf-8"?>
<ds:datastoreItem xmlns:ds="http://schemas.openxmlformats.org/officeDocument/2006/customXml" ds:itemID="{555A1A1F-4C13-4948-A8DA-39270E7537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2026-06-08T12:15:18Z</dcterms:created>
  <dcterms:modified xsi:type="dcterms:W3CDTF">2026-06-08T12:15:21Z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109819A0F0A5639165375211450190</vt:lpwstr>
  </property>
</Properties>
</file>