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October 2022\"/>
    </mc:Choice>
  </mc:AlternateContent>
  <bookViews>
    <workbookView xWindow="0" yWindow="0" windowWidth="20490" windowHeight="7650"/>
  </bookViews>
  <sheets>
    <sheet name="MO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" l="1"/>
  <c r="G38" i="1" s="1"/>
  <c r="F37" i="1"/>
  <c r="F38" i="1" s="1"/>
  <c r="G34" i="1"/>
  <c r="F34" i="1"/>
  <c r="G26" i="1"/>
  <c r="G39" i="1" s="1"/>
  <c r="F26" i="1"/>
  <c r="F39" i="1" s="1"/>
  <c r="G25" i="1"/>
  <c r="F25" i="1"/>
</calcChain>
</file>

<file path=xl/sharedStrings.xml><?xml version="1.0" encoding="utf-8"?>
<sst xmlns="http://schemas.openxmlformats.org/spreadsheetml/2006/main" count="108" uniqueCount="83">
  <si>
    <t>CANARA ROBECO CORPORATE BOND FUND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</si>
  <si>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</si>
  <si>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</si>
  <si>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</si>
  <si>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</si>
  <si>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</si>
  <si>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</si>
  <si>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</si>
  <si>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</si>
  <si>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Oct'22</t>
  </si>
  <si>
    <t>Benchmark Risk-o-meter Level- Oct'22</t>
  </si>
  <si>
    <t>Previous Scheme Risk-o-meter Level- Sep'22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</si>
  <si>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</si>
  <si>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</si>
  <si>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</si>
  <si>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</si>
  <si>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</si>
  <si>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</si>
  <si>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</si>
  <si>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</si>
  <si>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7.69% National Bank For Agriculture &amp; Rural Development (29/05/2024) **</t>
  </si>
  <si>
    <t>INE261F08BK1</t>
  </si>
  <si>
    <t>CRISIL AAA</t>
  </si>
  <si>
    <t>Relatively Low (Class I)</t>
  </si>
  <si>
    <t>7.09% REC Ltd (13/12/2022)</t>
  </si>
  <si>
    <t>INE020B08CD3</t>
  </si>
  <si>
    <t>4.58% Small Industries Development Bank Of India (18/12/2023) **</t>
  </si>
  <si>
    <t>INE556F08JR2</t>
  </si>
  <si>
    <t>ICRA AAA</t>
  </si>
  <si>
    <t>Moderate 
(Class II)</t>
  </si>
  <si>
    <t>8.83% Indian Railway Finance Corporation Ltd (25/03/2023) **</t>
  </si>
  <si>
    <t>INE053F07603</t>
  </si>
  <si>
    <t>8.73% NTPC Ltd (07/03/2023) **</t>
  </si>
  <si>
    <t>INE733E07JC4</t>
  </si>
  <si>
    <t>Relatively High (Class III)</t>
  </si>
  <si>
    <t>B-III</t>
  </si>
  <si>
    <t>6.72% Power Finance Corporation Ltd (09/06/2023) **</t>
  </si>
  <si>
    <t>INE134E08KW9</t>
  </si>
  <si>
    <t>7.05% National Housing Bank (18/12/2024) **</t>
  </si>
  <si>
    <t>INE557F08FG1</t>
  </si>
  <si>
    <t>Benchmark: CRISIL Corporate Bond Fund B-III Index</t>
  </si>
  <si>
    <t>7.40% LIC Housing Finance Ltd (06/09/2024) **</t>
  </si>
  <si>
    <t>INE115A07ML7</t>
  </si>
  <si>
    <t>8.45% Indian Railway Finance Corporation Ltd (04/12/2028) **</t>
  </si>
  <si>
    <t>INE053F07AY7</t>
  </si>
  <si>
    <t>8.85% Axis Bank Ltd (05/12/2024) **</t>
  </si>
  <si>
    <t>INE238A08351</t>
  </si>
  <si>
    <t>9.35% Power Grid Corporation of India Ltd (29/08/2023) **</t>
  </si>
  <si>
    <t>INE752E07IT0</t>
  </si>
  <si>
    <t>7.99% Housing Development Finance Corporation Ltd (11/07/2024) **</t>
  </si>
  <si>
    <t>INE001A07RV7</t>
  </si>
  <si>
    <t>5.05% Indian Oil Corporation Ltd (25/11/2022) **</t>
  </si>
  <si>
    <t>INE242A08460</t>
  </si>
  <si>
    <t>7.60% Grasim Industries Ltd (04/06/2024) **</t>
  </si>
  <si>
    <t>INE047A08158</t>
  </si>
  <si>
    <t>7.75% LIC Housing Finance Ltd (23/07/2024) **</t>
  </si>
  <si>
    <t>INE115A07OL3</t>
  </si>
  <si>
    <t>7.16% Power Finance Corporation Ltd (24/04/2025) **</t>
  </si>
  <si>
    <t>INE134E08KP3</t>
  </si>
  <si>
    <t>5.32% National Housing Bank (01/09/2023) **</t>
  </si>
  <si>
    <t>INE557F08FK3</t>
  </si>
  <si>
    <t>5.10% Sundaram Finance Ltd (01/12/2023) **</t>
  </si>
  <si>
    <t>INE660A07QQ2</t>
  </si>
  <si>
    <t>Sub Total</t>
  </si>
  <si>
    <t>Total</t>
  </si>
  <si>
    <t>Government Bonds</t>
  </si>
  <si>
    <t>7.38% GOI 20-JUN-27</t>
  </si>
  <si>
    <t>IN0020220037</t>
  </si>
  <si>
    <t>Sovereign</t>
  </si>
  <si>
    <t>9.41% KERALA SDL 30-JAN-24</t>
  </si>
  <si>
    <t>IN2020130141</t>
  </si>
  <si>
    <t>5.63% INDIA GOVERNMENT 12-APR-26</t>
  </si>
  <si>
    <t>IN0020210012</t>
  </si>
  <si>
    <t>7.27% INDIA GOVERNMENT 08-APR-26</t>
  </si>
  <si>
    <t>IN0020190016</t>
  </si>
  <si>
    <t>7.26% GOI 22-AUG-32</t>
  </si>
  <si>
    <t>IN0020220060</t>
  </si>
  <si>
    <t>5.74% INDIA GOVERNMENT 15-NOV-26</t>
  </si>
  <si>
    <t>IN0020210186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</si>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</sst>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0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3" fontId="3" fillId="3" borderId="10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3" fillId="3" borderId="16" xfId="0" applyFont="1" applyFill="1" applyBorder="1"/>
    <xf numFmtId="3" fontId="3" fillId="3" borderId="16" xfId="0" applyNumberFormat="1" applyFont="1" applyFill="1" applyBorder="1"/>
    <xf numFmtId="4" fontId="3" fillId="3" borderId="16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287019</xdr:colOff>
      <xdr:row>4</xdr:row>
      <xdr:rowOff>38511</xdr:rowOff>
    </xdr:from>
    <xdr:ext cx="1743991" cy="1447389"/>
    <xdr:pic>
      <xdr:nvPicPr>
        <xdr:cNvPr id="2" name="Picture 1">
          <a:extLst>
            <a:ext uri="{FF2B5EF4-FFF2-40B4-BE49-F238E27FC236}">
              <a16:creationId xmlns:a16="http://schemas.microsoft.com/office/drawing/2014/main" id="{655F5030-F7EA-4F51-BA04-F8B3452B8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50669" y="1048161"/>
          <a:ext cx="1743991" cy="1447389"/>
        </a:xfrm>
        <a:prstGeom prst="rect">
          <a:avLst/>
        </a:prstGeom>
      </xdr:spPr>
    </xdr:pic>
    <xdr:clientData/>
  </xdr:oneCellAnchor>
  <xdr:oneCellAnchor>
    <xdr:from>
      <xdr:col>10</xdr:col>
      <xdr:colOff>276225</xdr:colOff>
      <xdr:row>4</xdr:row>
      <xdr:rowOff>38100</xdr:rowOff>
    </xdr:from>
    <xdr:ext cx="1752600" cy="1457325"/>
    <xdr:pic>
      <xdr:nvPicPr>
        <xdr:cNvPr id="3" name="Picture 2">
          <a:extLst>
            <a:ext uri="{FF2B5EF4-FFF2-40B4-BE49-F238E27FC236}">
              <a16:creationId xmlns:a16="http://schemas.microsoft.com/office/drawing/2014/main" id="{EC6758A6-B754-42A6-B14D-F8B0E7367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91975" y="1047750"/>
          <a:ext cx="1752600" cy="1457325"/>
        </a:xfrm>
        <a:prstGeom prst="rect">
          <a:avLst/>
        </a:prstGeom>
      </xdr:spPr>
    </xdr:pic>
    <xdr:clientData/>
  </xdr:oneCellAnchor>
  <xdr:oneCellAnchor>
    <xdr:from>
      <xdr:col>9</xdr:col>
      <xdr:colOff>114300</xdr:colOff>
      <xdr:row>4</xdr:row>
      <xdr:rowOff>66675</xdr:rowOff>
    </xdr:from>
    <xdr:ext cx="1809750" cy="1381125"/>
    <xdr:pic>
      <xdr:nvPicPr>
        <xdr:cNvPr id="4" name="Picture 3">
          <a:extLst>
            <a:ext uri="{FF2B5EF4-FFF2-40B4-BE49-F238E27FC236}">
              <a16:creationId xmlns:a16="http://schemas.microsoft.com/office/drawing/2014/main" id="{903D0F99-0C7F-4295-A525-D922163BE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3125" y="1076325"/>
          <a:ext cx="18097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2"/>
  <sheetViews>
    <sheetView tabSelected="1" workbookViewId="0">
      <selection activeCell="A17" sqref="A17"/>
    </sheetView>
  </sheetViews>
  <sheetFormatPr defaultRowHeight="12"/>
  <cols>
    <col min="1" max="1" width="9.140625" style="3"/>
    <col min="2" max="2" width="60.28515625" style="3" bestFit="1" customWidth="1"/>
    <col min="3" max="3" width="13.85546875" style="3" bestFit="1" customWidth="1"/>
    <col min="4" max="4" width="14.140625" style="3" bestFit="1" customWidth="1"/>
    <col min="5" max="5" width="8.85546875" style="58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.140625" style="3"/>
    <col min="10" max="10" width="31" style="4" bestFit="1" customWidth="1"/>
    <col min="11" max="11" width="33.7109375" style="4" customWidth="1"/>
    <col min="12" max="12" width="34.85546875" style="4" customWidth="1"/>
    <col min="13" max="13" width="6.140625" style="4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8"/>
      <c r="F3" s="9"/>
      <c r="G3" s="9"/>
    </row>
    <row r="4" spans="2:17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M4" s="3"/>
      <c r="N4" s="17" t="s">
        <v>12</v>
      </c>
      <c r="O4" s="18"/>
      <c r="P4" s="18"/>
      <c r="Q4" s="19"/>
    </row>
    <row r="5" spans="2:17" ht="24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M5" s="3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>
      <c r="B6" s="27" t="s">
        <v>18</v>
      </c>
      <c r="C6" s="28"/>
      <c r="D6" s="28"/>
      <c r="E6" s="29"/>
      <c r="F6" s="30"/>
      <c r="G6" s="30"/>
      <c r="H6" s="30"/>
      <c r="J6" s="24"/>
      <c r="K6" s="24"/>
      <c r="L6" s="24"/>
      <c r="M6" s="3"/>
      <c r="N6" s="31" t="s">
        <v>19</v>
      </c>
      <c r="O6" s="26"/>
      <c r="P6" s="26"/>
      <c r="Q6" s="26"/>
    </row>
    <row r="7" spans="2:17">
      <c r="B7" s="28" t="s">
        <v>20</v>
      </c>
      <c r="C7" s="28" t="s">
        <v>21</v>
      </c>
      <c r="D7" s="28" t="s">
        <v>22</v>
      </c>
      <c r="E7" s="32">
        <v>150</v>
      </c>
      <c r="F7" s="30">
        <v>1502.63</v>
      </c>
      <c r="G7" s="30">
        <v>7.44</v>
      </c>
      <c r="H7" s="30">
        <v>7.52</v>
      </c>
      <c r="J7" s="24"/>
      <c r="K7" s="24"/>
      <c r="L7" s="24"/>
      <c r="M7" s="3"/>
      <c r="N7" s="33" t="s">
        <v>23</v>
      </c>
      <c r="O7" s="34"/>
      <c r="P7" s="34"/>
      <c r="Q7" s="34"/>
    </row>
    <row r="8" spans="2:17">
      <c r="B8" s="28" t="s">
        <v>24</v>
      </c>
      <c r="C8" s="28" t="s">
        <v>25</v>
      </c>
      <c r="D8" s="28" t="s">
        <v>22</v>
      </c>
      <c r="E8" s="32">
        <v>150</v>
      </c>
      <c r="F8" s="30">
        <v>1499.96</v>
      </c>
      <c r="G8" s="30">
        <v>7.43</v>
      </c>
      <c r="H8" s="30">
        <v>6.69</v>
      </c>
      <c r="J8" s="24"/>
      <c r="K8" s="24"/>
      <c r="L8" s="24"/>
      <c r="M8" s="3"/>
      <c r="N8" s="33"/>
      <c r="O8" s="35"/>
      <c r="P8" s="35"/>
      <c r="Q8" s="35"/>
    </row>
    <row r="9" spans="2:17">
      <c r="B9" s="28" t="s">
        <v>26</v>
      </c>
      <c r="C9" s="28" t="s">
        <v>27</v>
      </c>
      <c r="D9" s="28" t="s">
        <v>28</v>
      </c>
      <c r="E9" s="32">
        <v>150</v>
      </c>
      <c r="F9" s="30">
        <v>1455.01</v>
      </c>
      <c r="G9" s="30">
        <v>7.2</v>
      </c>
      <c r="H9" s="30">
        <v>7.43</v>
      </c>
      <c r="J9" s="24"/>
      <c r="K9" s="24"/>
      <c r="L9" s="24"/>
      <c r="M9" s="3"/>
      <c r="N9" s="33" t="s">
        <v>29</v>
      </c>
      <c r="O9" s="34"/>
      <c r="P9" s="34"/>
      <c r="Q9" s="34"/>
    </row>
    <row r="10" spans="2:17">
      <c r="B10" s="28" t="s">
        <v>30</v>
      </c>
      <c r="C10" s="28" t="s">
        <v>31</v>
      </c>
      <c r="D10" s="28" t="s">
        <v>22</v>
      </c>
      <c r="E10" s="32">
        <v>100</v>
      </c>
      <c r="F10" s="30">
        <v>1005.46</v>
      </c>
      <c r="G10" s="30">
        <v>4.9800000000000004</v>
      </c>
      <c r="H10" s="30">
        <v>7.07</v>
      </c>
      <c r="J10" s="24"/>
      <c r="K10" s="24"/>
      <c r="L10" s="24"/>
      <c r="M10" s="3"/>
      <c r="N10" s="33"/>
      <c r="O10" s="35"/>
      <c r="P10" s="35"/>
      <c r="Q10" s="35"/>
    </row>
    <row r="11" spans="2:17">
      <c r="B11" s="28" t="s">
        <v>32</v>
      </c>
      <c r="C11" s="28" t="s">
        <v>33</v>
      </c>
      <c r="D11" s="28" t="s">
        <v>22</v>
      </c>
      <c r="E11" s="32">
        <v>100</v>
      </c>
      <c r="F11" s="30">
        <v>1004.09</v>
      </c>
      <c r="G11" s="30">
        <v>4.97</v>
      </c>
      <c r="H11" s="30">
        <v>7.11</v>
      </c>
      <c r="J11" s="24"/>
      <c r="K11" s="24"/>
      <c r="L11" s="24"/>
      <c r="M11" s="3"/>
      <c r="N11" s="33" t="s">
        <v>34</v>
      </c>
      <c r="O11" s="34"/>
      <c r="P11" s="36" t="s">
        <v>35</v>
      </c>
      <c r="Q11" s="34"/>
    </row>
    <row r="12" spans="2:17">
      <c r="B12" s="28" t="s">
        <v>36</v>
      </c>
      <c r="C12" s="28" t="s">
        <v>37</v>
      </c>
      <c r="D12" s="28" t="s">
        <v>22</v>
      </c>
      <c r="E12" s="32">
        <v>100</v>
      </c>
      <c r="F12" s="30">
        <v>995.22</v>
      </c>
      <c r="G12" s="30">
        <v>4.93</v>
      </c>
      <c r="H12" s="30">
        <v>7.36</v>
      </c>
      <c r="J12" s="24"/>
      <c r="K12" s="24"/>
      <c r="L12" s="24"/>
      <c r="M12" s="3"/>
      <c r="N12" s="33"/>
      <c r="O12" s="35"/>
      <c r="P12" s="37"/>
      <c r="Q12" s="35"/>
    </row>
    <row r="13" spans="2:17">
      <c r="B13" s="28" t="s">
        <v>38</v>
      </c>
      <c r="C13" s="28" t="s">
        <v>39</v>
      </c>
      <c r="D13" s="28" t="s">
        <v>22</v>
      </c>
      <c r="E13" s="32">
        <v>100</v>
      </c>
      <c r="F13" s="30">
        <v>993.14</v>
      </c>
      <c r="G13" s="30">
        <v>4.92</v>
      </c>
      <c r="H13" s="30">
        <v>7.4</v>
      </c>
      <c r="K13" s="3" t="s">
        <v>40</v>
      </c>
      <c r="M13" s="3"/>
    </row>
    <row r="14" spans="2:17">
      <c r="B14" s="28" t="s">
        <v>41</v>
      </c>
      <c r="C14" s="28" t="s">
        <v>42</v>
      </c>
      <c r="D14" s="28" t="s">
        <v>22</v>
      </c>
      <c r="E14" s="32">
        <v>100</v>
      </c>
      <c r="F14" s="30">
        <v>993.01</v>
      </c>
      <c r="G14" s="30">
        <v>4.92</v>
      </c>
      <c r="H14" s="30">
        <v>7.8</v>
      </c>
    </row>
    <row r="15" spans="2:17">
      <c r="B15" s="28" t="s">
        <v>43</v>
      </c>
      <c r="C15" s="28" t="s">
        <v>44</v>
      </c>
      <c r="D15" s="28" t="s">
        <v>22</v>
      </c>
      <c r="E15" s="32">
        <v>50</v>
      </c>
      <c r="F15" s="30">
        <v>521.27</v>
      </c>
      <c r="G15" s="30">
        <v>2.58</v>
      </c>
      <c r="H15" s="30">
        <v>7.56</v>
      </c>
    </row>
    <row r="16" spans="2:17">
      <c r="B16" s="28" t="s">
        <v>45</v>
      </c>
      <c r="C16" s="28" t="s">
        <v>46</v>
      </c>
      <c r="D16" s="28" t="s">
        <v>22</v>
      </c>
      <c r="E16" s="32">
        <v>50</v>
      </c>
      <c r="F16" s="30">
        <v>509.79</v>
      </c>
      <c r="G16" s="30">
        <v>2.52</v>
      </c>
      <c r="H16" s="30">
        <v>7.79</v>
      </c>
    </row>
    <row r="17" spans="2:9">
      <c r="B17" s="28" t="s">
        <v>47</v>
      </c>
      <c r="C17" s="28" t="s">
        <v>48</v>
      </c>
      <c r="D17" s="28" t="s">
        <v>22</v>
      </c>
      <c r="E17" s="32">
        <v>50</v>
      </c>
      <c r="F17" s="30">
        <v>507.23</v>
      </c>
      <c r="G17" s="30">
        <v>2.5099999999999998</v>
      </c>
      <c r="H17" s="30">
        <v>7.37</v>
      </c>
    </row>
    <row r="18" spans="2:9">
      <c r="B18" s="28" t="s">
        <v>49</v>
      </c>
      <c r="C18" s="28" t="s">
        <v>50</v>
      </c>
      <c r="D18" s="28" t="s">
        <v>22</v>
      </c>
      <c r="E18" s="32">
        <v>50</v>
      </c>
      <c r="F18" s="30">
        <v>501.52</v>
      </c>
      <c r="G18" s="30">
        <v>2.48</v>
      </c>
      <c r="H18" s="30">
        <v>7.75</v>
      </c>
    </row>
    <row r="19" spans="2:9">
      <c r="B19" s="28" t="s">
        <v>51</v>
      </c>
      <c r="C19" s="28" t="s">
        <v>52</v>
      </c>
      <c r="D19" s="28" t="s">
        <v>22</v>
      </c>
      <c r="E19" s="32">
        <v>50</v>
      </c>
      <c r="F19" s="30">
        <v>499.46</v>
      </c>
      <c r="G19" s="30">
        <v>2.4700000000000002</v>
      </c>
      <c r="H19" s="30">
        <v>6.57</v>
      </c>
    </row>
    <row r="20" spans="2:9">
      <c r="B20" s="28" t="s">
        <v>53</v>
      </c>
      <c r="C20" s="28" t="s">
        <v>54</v>
      </c>
      <c r="D20" s="28" t="s">
        <v>22</v>
      </c>
      <c r="E20" s="32">
        <v>50</v>
      </c>
      <c r="F20" s="30">
        <v>499.34</v>
      </c>
      <c r="G20" s="30">
        <v>2.4700000000000002</v>
      </c>
      <c r="H20" s="30">
        <v>7.64</v>
      </c>
    </row>
    <row r="21" spans="2:9">
      <c r="B21" s="28" t="s">
        <v>55</v>
      </c>
      <c r="C21" s="28" t="s">
        <v>56</v>
      </c>
      <c r="D21" s="28" t="s">
        <v>22</v>
      </c>
      <c r="E21" s="32">
        <v>50</v>
      </c>
      <c r="F21" s="30">
        <v>499.32</v>
      </c>
      <c r="G21" s="30">
        <v>2.4700000000000002</v>
      </c>
      <c r="H21" s="30">
        <v>7.8</v>
      </c>
    </row>
    <row r="22" spans="2:9">
      <c r="B22" s="28" t="s">
        <v>57</v>
      </c>
      <c r="C22" s="28" t="s">
        <v>58</v>
      </c>
      <c r="D22" s="28" t="s">
        <v>22</v>
      </c>
      <c r="E22" s="32">
        <v>50</v>
      </c>
      <c r="F22" s="30">
        <v>495.41</v>
      </c>
      <c r="G22" s="30">
        <v>2.4500000000000002</v>
      </c>
      <c r="H22" s="30">
        <v>7.55</v>
      </c>
    </row>
    <row r="23" spans="2:9">
      <c r="B23" s="28" t="s">
        <v>59</v>
      </c>
      <c r="C23" s="28" t="s">
        <v>60</v>
      </c>
      <c r="D23" s="28" t="s">
        <v>22</v>
      </c>
      <c r="E23" s="32">
        <v>50</v>
      </c>
      <c r="F23" s="30">
        <v>491.96</v>
      </c>
      <c r="G23" s="30">
        <v>2.44</v>
      </c>
      <c r="H23" s="30">
        <v>7.37</v>
      </c>
    </row>
    <row r="24" spans="2:9">
      <c r="B24" s="28" t="s">
        <v>61</v>
      </c>
      <c r="C24" s="28" t="s">
        <v>62</v>
      </c>
      <c r="D24" s="28" t="s">
        <v>22</v>
      </c>
      <c r="E24" s="32">
        <v>50</v>
      </c>
      <c r="F24" s="30">
        <v>486.47</v>
      </c>
      <c r="G24" s="30">
        <v>2.41</v>
      </c>
      <c r="H24" s="30">
        <v>7.79</v>
      </c>
    </row>
    <row r="25" spans="2:9">
      <c r="B25" s="38" t="s">
        <v>63</v>
      </c>
      <c r="C25" s="38"/>
      <c r="D25" s="38"/>
      <c r="E25" s="39"/>
      <c r="F25" s="40">
        <f>SUM(F6:F24)</f>
        <v>14460.289999999999</v>
      </c>
      <c r="G25" s="40">
        <f>SUM(G6:G24)</f>
        <v>71.59</v>
      </c>
      <c r="H25" s="41"/>
      <c r="I25" s="42"/>
    </row>
    <row r="26" spans="2:9">
      <c r="B26" s="43" t="s">
        <v>64</v>
      </c>
      <c r="C26" s="43"/>
      <c r="D26" s="43"/>
      <c r="E26" s="44"/>
      <c r="F26" s="45">
        <f>F25</f>
        <v>14460.289999999999</v>
      </c>
      <c r="G26" s="45">
        <f>G25</f>
        <v>71.59</v>
      </c>
      <c r="H26" s="45"/>
      <c r="I26" s="42"/>
    </row>
    <row r="27" spans="2:9">
      <c r="B27" s="27" t="s">
        <v>65</v>
      </c>
      <c r="C27" s="28"/>
      <c r="D27" s="28"/>
      <c r="E27" s="29"/>
      <c r="F27" s="30"/>
      <c r="G27" s="30"/>
      <c r="H27" s="30"/>
    </row>
    <row r="28" spans="2:9">
      <c r="B28" s="28" t="s">
        <v>66</v>
      </c>
      <c r="C28" s="28" t="s">
        <v>67</v>
      </c>
      <c r="D28" s="28" t="s">
        <v>68</v>
      </c>
      <c r="E28" s="32">
        <v>1500000</v>
      </c>
      <c r="F28" s="30">
        <v>1499.91</v>
      </c>
      <c r="G28" s="30">
        <v>7.42</v>
      </c>
      <c r="H28" s="30">
        <v>7.38</v>
      </c>
    </row>
    <row r="29" spans="2:9">
      <c r="B29" s="28" t="s">
        <v>69</v>
      </c>
      <c r="C29" s="28" t="s">
        <v>70</v>
      </c>
      <c r="D29" s="28" t="s">
        <v>68</v>
      </c>
      <c r="E29" s="32">
        <v>1000000</v>
      </c>
      <c r="F29" s="30">
        <v>1023.73</v>
      </c>
      <c r="G29" s="30">
        <v>5.07</v>
      </c>
      <c r="H29" s="30">
        <v>7.37</v>
      </c>
    </row>
    <row r="30" spans="2:9">
      <c r="B30" s="28" t="s">
        <v>71</v>
      </c>
      <c r="C30" s="28" t="s">
        <v>72</v>
      </c>
      <c r="D30" s="28" t="s">
        <v>68</v>
      </c>
      <c r="E30" s="32">
        <v>1000000</v>
      </c>
      <c r="F30" s="30">
        <v>949.65</v>
      </c>
      <c r="G30" s="30">
        <v>4.7</v>
      </c>
      <c r="H30" s="30">
        <v>7.31</v>
      </c>
    </row>
    <row r="31" spans="2:9">
      <c r="B31" s="28" t="s">
        <v>73</v>
      </c>
      <c r="C31" s="28" t="s">
        <v>74</v>
      </c>
      <c r="D31" s="28" t="s">
        <v>68</v>
      </c>
      <c r="E31" s="32">
        <v>500000</v>
      </c>
      <c r="F31" s="30">
        <v>499.21</v>
      </c>
      <c r="G31" s="30">
        <v>2.4700000000000002</v>
      </c>
      <c r="H31" s="30">
        <v>7.32</v>
      </c>
    </row>
    <row r="32" spans="2:9">
      <c r="B32" s="28" t="s">
        <v>75</v>
      </c>
      <c r="C32" s="28" t="s">
        <v>76</v>
      </c>
      <c r="D32" s="28" t="s">
        <v>68</v>
      </c>
      <c r="E32" s="32">
        <v>500000</v>
      </c>
      <c r="F32" s="30">
        <v>493.51</v>
      </c>
      <c r="G32" s="30">
        <v>2.44</v>
      </c>
      <c r="H32" s="30">
        <v>7.45</v>
      </c>
    </row>
    <row r="33" spans="2:9">
      <c r="B33" s="46" t="s">
        <v>77</v>
      </c>
      <c r="C33" s="46" t="s">
        <v>78</v>
      </c>
      <c r="D33" s="46" t="s">
        <v>68</v>
      </c>
      <c r="E33" s="47">
        <v>500000</v>
      </c>
      <c r="F33" s="48">
        <v>472.93</v>
      </c>
      <c r="G33" s="48">
        <v>2.34</v>
      </c>
      <c r="H33" s="48">
        <v>7.31</v>
      </c>
    </row>
    <row r="34" spans="2:9">
      <c r="B34" s="49" t="s">
        <v>64</v>
      </c>
      <c r="C34" s="49"/>
      <c r="D34" s="49"/>
      <c r="E34" s="50"/>
      <c r="F34" s="51">
        <f>SUM(F28:F33)</f>
        <v>4938.9400000000005</v>
      </c>
      <c r="G34" s="51">
        <f>SUM(G28:G33)</f>
        <v>24.44</v>
      </c>
      <c r="H34" s="51"/>
      <c r="I34" s="42"/>
    </row>
    <row r="35" spans="2:9">
      <c r="B35" s="27" t="s">
        <v>79</v>
      </c>
      <c r="C35" s="28"/>
      <c r="D35" s="28"/>
      <c r="E35" s="29"/>
      <c r="F35" s="30"/>
      <c r="G35" s="30"/>
      <c r="H35" s="30"/>
    </row>
    <row r="36" spans="2:9">
      <c r="B36" s="28" t="s">
        <v>79</v>
      </c>
      <c r="C36" s="28"/>
      <c r="D36" s="28"/>
      <c r="E36" s="29"/>
      <c r="F36" s="30">
        <v>166.34</v>
      </c>
      <c r="G36" s="30">
        <v>0.82</v>
      </c>
      <c r="H36" s="30"/>
    </row>
    <row r="37" spans="2:9">
      <c r="B37" s="38" t="s">
        <v>63</v>
      </c>
      <c r="C37" s="38"/>
      <c r="D37" s="38"/>
      <c r="E37" s="39"/>
      <c r="F37" s="40">
        <f>SUM(F35:F36)</f>
        <v>166.34</v>
      </c>
      <c r="G37" s="40">
        <f>SUM(G35:G36)</f>
        <v>0.82</v>
      </c>
      <c r="H37" s="41"/>
      <c r="I37" s="42"/>
    </row>
    <row r="38" spans="2:9">
      <c r="B38" s="52" t="s">
        <v>64</v>
      </c>
      <c r="C38" s="52"/>
      <c r="D38" s="52"/>
      <c r="E38" s="53"/>
      <c r="F38" s="54">
        <f>F37</f>
        <v>166.34</v>
      </c>
      <c r="G38" s="54">
        <f>G37</f>
        <v>0.82</v>
      </c>
      <c r="H38" s="54"/>
      <c r="I38" s="42"/>
    </row>
    <row r="39" spans="2:9">
      <c r="B39" s="55" t="s">
        <v>80</v>
      </c>
      <c r="C39" s="55"/>
      <c r="D39" s="55"/>
      <c r="E39" s="56"/>
      <c r="F39" s="57">
        <f>F40-(+F26+F34+F38)</f>
        <v>635.90000000000146</v>
      </c>
      <c r="G39" s="57">
        <f>G40-(+G26+G34+G38)</f>
        <v>3.1500000000000057</v>
      </c>
      <c r="H39" s="57"/>
      <c r="I39" s="42"/>
    </row>
    <row r="40" spans="2:9">
      <c r="B40" s="55" t="s">
        <v>81</v>
      </c>
      <c r="C40" s="55"/>
      <c r="D40" s="55"/>
      <c r="E40" s="56"/>
      <c r="F40" s="57">
        <v>20201.47</v>
      </c>
      <c r="G40" s="57">
        <v>100</v>
      </c>
      <c r="H40" s="57"/>
      <c r="I40" s="42"/>
    </row>
    <row r="42" spans="2:9">
      <c r="B42" s="42" t="s">
        <v>82</v>
      </c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2022-11-07 15:38:02</KDate>
  <Classification>Public</Classification>
  <Subclassification/>
  <HostName>MUMCMP00935</HostName>
  <Domain_User>CANARAROBECOMF/628</Domain_User>
  <IPAdd>192.9.198.194</IPAdd>
  <FilePath>Book21</FilePath>
  <KID>C025A5607E97638034322829496705</KID>
  <UniqueName/>
  <Suggested/>
  <Justification/>
</Klassify>
</file>

<file path=customXml/itemProps1.xml><?xml version="1.0" encoding="utf-8"?>
<ds:datastoreItem xmlns:ds="http://schemas.openxmlformats.org/officeDocument/2006/customXml" ds:itemID="{D69C088A-4C45-4E27-B1AF-E05B486D583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2022-11-07T10:07:57Z</dcterms:created>
  <dcterms:modified xsi:type="dcterms:W3CDTF">2022-11-07T10:08:03Z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C025A5607E97638034322829496705</vt:lpwstr>
  </property>
</Properties>
</file>