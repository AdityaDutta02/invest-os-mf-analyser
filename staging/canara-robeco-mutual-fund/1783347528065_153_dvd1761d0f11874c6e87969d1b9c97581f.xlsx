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G70" i="1" s="1"/>
  <c r="F64" i="1"/>
  <c r="F65" i="1" s="1"/>
  <c r="F70" i="1" s="1"/>
</calcChain>
</file>

<file path=xl/sharedStrings.xml><?xml version="1.0" encoding="utf-8"?>
<sst xmlns="http://schemas.openxmlformats.org/spreadsheetml/2006/main" count="253" uniqueCount="169">
  <si>
    <t>CANARA ROBECO FLEXICAP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</si>
  <si>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</si>
  <si>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</si>
  <si>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</si>
  <si>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</si>
  <si>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</si>
  <si>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</si>
  <si>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</si>
  <si>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</si>
  <si>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Apr'23</t>
  </si>
  <si>
    <t>Benchmark Risk-o-meter Level- Apr'23</t>
  </si>
  <si>
    <t>Scheme Risk-o-meter Level- Mar'23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</si>
  <si>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</si>
  <si>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</si>
  <si>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</si>
  <si>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</si>
  <si>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</si>
  <si>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</si>
  <si>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</si>
  <si>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</si>
  <si>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</si>
  <si>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</si>
  <si>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</si>
  <si>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</si>
  <si>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</si>
  <si>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</si>
  <si>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State Bank of India</t>
  </si>
  <si>
    <t>INE062A01020</t>
  </si>
  <si>
    <t>Axis Bank Ltd</t>
  </si>
  <si>
    <t>INE238A01034</t>
  </si>
  <si>
    <t>Larsen &amp; Toubro Ltd</t>
  </si>
  <si>
    <t>INE018A01030</t>
  </si>
  <si>
    <t>Construction</t>
  </si>
  <si>
    <t>Benchmark: S&amp;P BSE 500 TRI</t>
  </si>
  <si>
    <t>Hindustan Unilever Ltd</t>
  </si>
  <si>
    <t>INE030A01027</t>
  </si>
  <si>
    <t>Diversified Fmcg</t>
  </si>
  <si>
    <t>Bharti Airtel Ltd</t>
  </si>
  <si>
    <t>INE397D01024</t>
  </si>
  <si>
    <t>Telecom - Services</t>
  </si>
  <si>
    <t>ITC Ltd</t>
  </si>
  <si>
    <t>INE154A01025</t>
  </si>
  <si>
    <t>Bajaj Finance Ltd</t>
  </si>
  <si>
    <t>INE296A01024</t>
  </si>
  <si>
    <t>Finance</t>
  </si>
  <si>
    <t>Tata Consultancy Services Ltd</t>
  </si>
  <si>
    <t>INE467B01029</t>
  </si>
  <si>
    <t>Ultratech Cement Ltd</t>
  </si>
  <si>
    <t>INE481G01011</t>
  </si>
  <si>
    <t>Cement &amp; Cement Products</t>
  </si>
  <si>
    <t>Sun Pharmaceutical Industries Ltd</t>
  </si>
  <si>
    <t>INE044A01036</t>
  </si>
  <si>
    <t>Pharmaceuticals &amp; Biotechnology</t>
  </si>
  <si>
    <t>Kotak Mahindra Bank Ltd</t>
  </si>
  <si>
    <t>INE237A01028</t>
  </si>
  <si>
    <t>Uno Minda Ltd</t>
  </si>
  <si>
    <t>INE405E01023</t>
  </si>
  <si>
    <t>Auto Components</t>
  </si>
  <si>
    <t>Mid Cap</t>
  </si>
  <si>
    <t>Max Healthcare Institute Ltd</t>
  </si>
  <si>
    <t>INE027H01010</t>
  </si>
  <si>
    <t>Healthcare Services</t>
  </si>
  <si>
    <t>Bharat Electronics Ltd</t>
  </si>
  <si>
    <t>INE263A01024</t>
  </si>
  <si>
    <t>Aerospace &amp; Defense</t>
  </si>
  <si>
    <t>Cholamandalam Investment and Finance Co Ltd</t>
  </si>
  <si>
    <t>INE121A01024</t>
  </si>
  <si>
    <t>NTPC Ltd</t>
  </si>
  <si>
    <t>INE733E01010</t>
  </si>
  <si>
    <t>Power</t>
  </si>
  <si>
    <t>Titan Co Ltd</t>
  </si>
  <si>
    <t>INE280A01028</t>
  </si>
  <si>
    <t>Consumer Durables</t>
  </si>
  <si>
    <t>Mahindra &amp; Mahindra Ltd</t>
  </si>
  <si>
    <t>INE101A01026</t>
  </si>
  <si>
    <t>Automobiles</t>
  </si>
  <si>
    <t>Indian Hotels Co Ltd</t>
  </si>
  <si>
    <t>INE053A01029</t>
  </si>
  <si>
    <t>Leisure Services</t>
  </si>
  <si>
    <t>Navin Fluorine International Ltd</t>
  </si>
  <si>
    <t>INE048G01026</t>
  </si>
  <si>
    <t>Chemicals &amp; Petrochemicals</t>
  </si>
  <si>
    <t>Maruti Suzuki India Ltd</t>
  </si>
  <si>
    <t>INE585B01010</t>
  </si>
  <si>
    <t>ABB India Ltd</t>
  </si>
  <si>
    <t>INE117A01022</t>
  </si>
  <si>
    <t>Electrical Equipment</t>
  </si>
  <si>
    <t>J.K. Cement Ltd</t>
  </si>
  <si>
    <t>INE823G01014</t>
  </si>
  <si>
    <t>Tata Motors Ltd</t>
  </si>
  <si>
    <t>INE155A01022</t>
  </si>
  <si>
    <t>Atul Ltd</t>
  </si>
  <si>
    <t>INE100A01010</t>
  </si>
  <si>
    <t>Samvardhana Motherson International Ltd</t>
  </si>
  <si>
    <t>INE775A01035</t>
  </si>
  <si>
    <t>Oberoi Realty Ltd</t>
  </si>
  <si>
    <t>INE093I01010</t>
  </si>
  <si>
    <t>Realty</t>
  </si>
  <si>
    <t>IndusInd Bank Ltd</t>
  </si>
  <si>
    <t>INE095A01012</t>
  </si>
  <si>
    <t>KEI Industries Ltd</t>
  </si>
  <si>
    <t>INE878B01027</t>
  </si>
  <si>
    <t>Industrial Products</t>
  </si>
  <si>
    <t>Small Cap</t>
  </si>
  <si>
    <t>PI Industries Ltd</t>
  </si>
  <si>
    <t>INE603J01030</t>
  </si>
  <si>
    <t>Fertilizers &amp; Agrochemicals</t>
  </si>
  <si>
    <t>Britannia Industries Ltd</t>
  </si>
  <si>
    <t>INE216A01030</t>
  </si>
  <si>
    <t>Food Products</t>
  </si>
  <si>
    <t>HCL Technologies Ltd</t>
  </si>
  <si>
    <t>INE860A01027</t>
  </si>
  <si>
    <t>Tata Consumer Products Ltd</t>
  </si>
  <si>
    <t>INE192A01025</t>
  </si>
  <si>
    <t>Agricultural Food &amp; Other Products</t>
  </si>
  <si>
    <t>SBI Cards and Payment Services Ltd</t>
  </si>
  <si>
    <t>INE018E01016</t>
  </si>
  <si>
    <t>Abbott India Ltd</t>
  </si>
  <si>
    <t>INE358A01014</t>
  </si>
  <si>
    <t>Vinati Organics Ltd</t>
  </si>
  <si>
    <t>INE410B01037</t>
  </si>
  <si>
    <t>SBI Life Insurance Co Ltd</t>
  </si>
  <si>
    <t>INE123W01016</t>
  </si>
  <si>
    <t>Insurance</t>
  </si>
  <si>
    <t>Polycab India Ltd</t>
  </si>
  <si>
    <t>INE455K01017</t>
  </si>
  <si>
    <t>Sona Blw Precision Forgings Ltd</t>
  </si>
  <si>
    <t>INE073K01018</t>
  </si>
  <si>
    <t>Gujarat Gas Ltd</t>
  </si>
  <si>
    <t>INE844O01030</t>
  </si>
  <si>
    <t>Gas</t>
  </si>
  <si>
    <t>TCI Express Ltd</t>
  </si>
  <si>
    <t>INE586V01016</t>
  </si>
  <si>
    <t>Transport Services</t>
  </si>
  <si>
    <t>Avenue Supermarts Ltd</t>
  </si>
  <si>
    <t>INE192R01011</t>
  </si>
  <si>
    <t>Retailing</t>
  </si>
  <si>
    <t>Bata India Ltd</t>
  </si>
  <si>
    <t>INE176A01028</t>
  </si>
  <si>
    <t>Tata Steel Ltd</t>
  </si>
  <si>
    <t>INE081A01020</t>
  </si>
  <si>
    <t>Ferrous Metals</t>
  </si>
  <si>
    <t>Hindalco Industries Ltd</t>
  </si>
  <si>
    <t>INE038A01020</t>
  </si>
  <si>
    <t>Non - Ferrous Metals</t>
  </si>
  <si>
    <t>Global Health Ltd</t>
  </si>
  <si>
    <t>INE474Q01031</t>
  </si>
  <si>
    <t>Honeywell Automation India Ltd</t>
  </si>
  <si>
    <t>INE671A01010</t>
  </si>
  <si>
    <t>Industrial Manufacturing</t>
  </si>
  <si>
    <t>Gland Pharma Ltd</t>
  </si>
  <si>
    <t>INE068V01023</t>
  </si>
  <si>
    <t>Vedant Fashions Ltd</t>
  </si>
  <si>
    <t>INE825V01034</t>
  </si>
  <si>
    <t>Max Financial Services Ltd</t>
  </si>
  <si>
    <t>INE180A01020</t>
  </si>
  <si>
    <t>Mphasis Ltd</t>
  </si>
  <si>
    <t>INE356A01018</t>
  </si>
  <si>
    <t>IPCA Laboratories Ltd</t>
  </si>
  <si>
    <t>INE571A01038</t>
  </si>
  <si>
    <t>Asian Paints Ltd</t>
  </si>
  <si>
    <t>INE021A01026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</si>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</sst>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0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5" xfId="0" applyNumberFormat="1" applyFont="1" applyFill="1" applyBorder="1"/>
    <xf numFmtId="2" fontId="10" fillId="0" borderId="2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36308</xdr:colOff>
      <xdr:row>4</xdr:row>
      <xdr:rowOff>39311</xdr:rowOff>
    </xdr:from>
    <xdr:to>
      <xdr:col>10</xdr:col>
      <xdr:colOff>1933575</xdr:colOff>
      <xdr:row>11</xdr:row>
      <xdr:rowOff>90178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FF5DD-81BB-4CE9-B328-2DA5B14D8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7433" y="1048961"/>
          <a:ext cx="1897267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98620213-351A-467C-808C-5A07810D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12659" y="105980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222023</xdr:colOff>
      <xdr:row>4</xdr:row>
      <xdr:rowOff>51513</xdr:rowOff>
    </xdr:from>
    <xdr:to>
      <xdr:col>9</xdr:col>
      <xdr:colOff>1924050</xdr:colOff>
      <xdr:row>11</xdr:row>
      <xdr:rowOff>83979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F4B087-BB66-471E-B75B-4E713EA8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1473" y="1061163"/>
          <a:ext cx="1702027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7"/>
  <sheetViews>
    <sheetView tabSelected="1" workbookViewId="0"/>
  </sheetViews>
  <sheetFormatPr defaultRowHeight="12"/>
  <cols>
    <col min="1" max="1" width="9.140625" style="3"/>
    <col min="2" max="2" width="54.42578125" style="3" bestFit="1" customWidth="1"/>
    <col min="3" max="3" width="13.5703125" style="3" bestFit="1" customWidth="1"/>
    <col min="4" max="4" width="28.42578125" style="3" bestFit="1" customWidth="1"/>
    <col min="5" max="5" width="9.85546875" style="52" bestFit="1" customWidth="1"/>
    <col min="6" max="6" width="15.28515625" style="53" bestFit="1" customWidth="1"/>
    <col min="7" max="7" width="7.42578125" style="53" bestFit="1" customWidth="1"/>
    <col min="8" max="8" width="14.42578125" style="3" customWidth="1"/>
    <col min="9" max="9" width="10" style="4" bestFit="1" customWidth="1"/>
    <col min="10" max="10" width="29.5703125" style="4" customWidth="1"/>
    <col min="11" max="12" width="29.5703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1"/>
      <c r="L5" s="22"/>
    </row>
    <row r="6" spans="2:12">
      <c r="B6" s="23" t="s">
        <v>13</v>
      </c>
      <c r="C6" s="24"/>
      <c r="D6" s="24"/>
      <c r="E6" s="25"/>
      <c r="F6" s="26"/>
      <c r="G6" s="26"/>
      <c r="H6" s="26"/>
      <c r="J6" s="27"/>
      <c r="K6" s="28"/>
      <c r="L6" s="29"/>
    </row>
    <row r="7" spans="2:12">
      <c r="B7" s="30" t="s">
        <v>14</v>
      </c>
      <c r="C7" s="24" t="s">
        <v>15</v>
      </c>
      <c r="D7" s="24" t="s">
        <v>16</v>
      </c>
      <c r="E7" s="31">
        <v>5132340</v>
      </c>
      <c r="F7" s="26">
        <v>86613.37</v>
      </c>
      <c r="G7" s="26">
        <v>9.52</v>
      </c>
      <c r="H7" s="26" t="s">
        <v>17</v>
      </c>
      <c r="J7" s="27"/>
      <c r="K7" s="28"/>
      <c r="L7" s="29"/>
    </row>
    <row r="8" spans="2:12">
      <c r="B8" s="30" t="s">
        <v>18</v>
      </c>
      <c r="C8" s="24" t="s">
        <v>19</v>
      </c>
      <c r="D8" s="24" t="s">
        <v>16</v>
      </c>
      <c r="E8" s="31">
        <v>7825550</v>
      </c>
      <c r="F8" s="26">
        <v>71811.16</v>
      </c>
      <c r="G8" s="26">
        <v>7.89</v>
      </c>
      <c r="H8" s="26" t="s">
        <v>17</v>
      </c>
      <c r="J8" s="27"/>
      <c r="K8" s="28"/>
      <c r="L8" s="29"/>
    </row>
    <row r="9" spans="2:12">
      <c r="B9" s="30" t="s">
        <v>20</v>
      </c>
      <c r="C9" s="24" t="s">
        <v>21</v>
      </c>
      <c r="D9" s="24" t="s">
        <v>22</v>
      </c>
      <c r="E9" s="31">
        <v>1777400</v>
      </c>
      <c r="F9" s="26">
        <v>43021.97</v>
      </c>
      <c r="G9" s="26">
        <v>4.7300000000000004</v>
      </c>
      <c r="H9" s="26" t="s">
        <v>17</v>
      </c>
      <c r="J9" s="27"/>
      <c r="K9" s="28"/>
      <c r="L9" s="29"/>
    </row>
    <row r="10" spans="2:12">
      <c r="B10" s="30" t="s">
        <v>23</v>
      </c>
      <c r="C10" s="24" t="s">
        <v>24</v>
      </c>
      <c r="D10" s="24" t="s">
        <v>25</v>
      </c>
      <c r="E10" s="31">
        <v>3259688</v>
      </c>
      <c r="F10" s="26">
        <v>40835.74</v>
      </c>
      <c r="G10" s="26">
        <v>4.49</v>
      </c>
      <c r="H10" s="26" t="s">
        <v>17</v>
      </c>
      <c r="J10" s="27"/>
      <c r="K10" s="28"/>
      <c r="L10" s="29"/>
    </row>
    <row r="11" spans="2:12">
      <c r="B11" s="30" t="s">
        <v>26</v>
      </c>
      <c r="C11" s="24" t="s">
        <v>27</v>
      </c>
      <c r="D11" s="24" t="s">
        <v>16</v>
      </c>
      <c r="E11" s="31">
        <v>5947000</v>
      </c>
      <c r="F11" s="26">
        <v>34391.5</v>
      </c>
      <c r="G11" s="26">
        <v>3.78</v>
      </c>
      <c r="H11" s="26" t="s">
        <v>17</v>
      </c>
      <c r="J11" s="27"/>
      <c r="K11" s="28"/>
      <c r="L11" s="29"/>
    </row>
    <row r="12" spans="2:12">
      <c r="B12" s="30" t="s">
        <v>28</v>
      </c>
      <c r="C12" s="24" t="s">
        <v>29</v>
      </c>
      <c r="D12" s="24" t="s">
        <v>16</v>
      </c>
      <c r="E12" s="31">
        <v>3503600</v>
      </c>
      <c r="F12" s="26">
        <v>30130.959999999999</v>
      </c>
      <c r="G12" s="26">
        <v>3.31</v>
      </c>
      <c r="H12" s="26" t="s">
        <v>17</v>
      </c>
      <c r="J12" s="32"/>
      <c r="K12" s="33"/>
      <c r="L12" s="34"/>
    </row>
    <row r="13" spans="2:12">
      <c r="B13" s="30" t="s">
        <v>30</v>
      </c>
      <c r="C13" s="24" t="s">
        <v>31</v>
      </c>
      <c r="D13" s="24" t="s">
        <v>32</v>
      </c>
      <c r="E13" s="31">
        <v>1222157</v>
      </c>
      <c r="F13" s="26">
        <v>28896.68</v>
      </c>
      <c r="G13" s="26">
        <v>3.18</v>
      </c>
      <c r="H13" s="26" t="s">
        <v>17</v>
      </c>
      <c r="K13" s="3" t="s">
        <v>33</v>
      </c>
      <c r="L13" s="4"/>
    </row>
    <row r="14" spans="2:12">
      <c r="B14" s="30" t="s">
        <v>34</v>
      </c>
      <c r="C14" s="24" t="s">
        <v>35</v>
      </c>
      <c r="D14" s="24" t="s">
        <v>36</v>
      </c>
      <c r="E14" s="31">
        <v>1087400</v>
      </c>
      <c r="F14" s="26">
        <v>26720.68</v>
      </c>
      <c r="G14" s="26">
        <v>2.94</v>
      </c>
      <c r="H14" s="26" t="s">
        <v>17</v>
      </c>
      <c r="K14" s="4"/>
      <c r="L14" s="4"/>
    </row>
    <row r="15" spans="2:12">
      <c r="B15" s="30" t="s">
        <v>37</v>
      </c>
      <c r="C15" s="24" t="s">
        <v>38</v>
      </c>
      <c r="D15" s="24" t="s">
        <v>39</v>
      </c>
      <c r="E15" s="31">
        <v>3212334</v>
      </c>
      <c r="F15" s="26">
        <v>25676.19</v>
      </c>
      <c r="G15" s="26">
        <v>2.82</v>
      </c>
      <c r="H15" s="26" t="s">
        <v>17</v>
      </c>
      <c r="K15" s="4"/>
      <c r="L15" s="4"/>
    </row>
    <row r="16" spans="2:12">
      <c r="B16" s="30" t="s">
        <v>40</v>
      </c>
      <c r="C16" s="24" t="s">
        <v>41</v>
      </c>
      <c r="D16" s="24" t="s">
        <v>36</v>
      </c>
      <c r="E16" s="31">
        <v>5200000</v>
      </c>
      <c r="F16" s="26">
        <v>22128.6</v>
      </c>
      <c r="G16" s="26">
        <v>2.4300000000000002</v>
      </c>
      <c r="H16" s="26" t="s">
        <v>17</v>
      </c>
      <c r="K16" s="4"/>
      <c r="L16" s="4"/>
    </row>
    <row r="17" spans="2:12">
      <c r="B17" s="30" t="s">
        <v>42</v>
      </c>
      <c r="C17" s="24" t="s">
        <v>43</v>
      </c>
      <c r="D17" s="24" t="s">
        <v>44</v>
      </c>
      <c r="E17" s="31">
        <v>344035</v>
      </c>
      <c r="F17" s="26">
        <v>21605.74</v>
      </c>
      <c r="G17" s="26">
        <v>2.38</v>
      </c>
      <c r="H17" s="26" t="s">
        <v>17</v>
      </c>
      <c r="K17" s="4"/>
      <c r="L17" s="4"/>
    </row>
    <row r="18" spans="2:12">
      <c r="B18" s="30" t="s">
        <v>45</v>
      </c>
      <c r="C18" s="24" t="s">
        <v>46</v>
      </c>
      <c r="D18" s="24" t="s">
        <v>25</v>
      </c>
      <c r="E18" s="31">
        <v>667813</v>
      </c>
      <c r="F18" s="26">
        <v>21498.57</v>
      </c>
      <c r="G18" s="26">
        <v>2.36</v>
      </c>
      <c r="H18" s="26" t="s">
        <v>17</v>
      </c>
      <c r="K18" s="4"/>
      <c r="L18" s="4"/>
    </row>
    <row r="19" spans="2:12">
      <c r="B19" s="30" t="s">
        <v>47</v>
      </c>
      <c r="C19" s="24" t="s">
        <v>48</v>
      </c>
      <c r="D19" s="24" t="s">
        <v>49</v>
      </c>
      <c r="E19" s="31">
        <v>257471</v>
      </c>
      <c r="F19" s="26">
        <v>19455.02</v>
      </c>
      <c r="G19" s="26">
        <v>2.14</v>
      </c>
      <c r="H19" s="26" t="s">
        <v>17</v>
      </c>
      <c r="K19" s="4"/>
      <c r="L19" s="4"/>
    </row>
    <row r="20" spans="2:12">
      <c r="B20" s="30" t="s">
        <v>50</v>
      </c>
      <c r="C20" s="24" t="s">
        <v>51</v>
      </c>
      <c r="D20" s="24" t="s">
        <v>52</v>
      </c>
      <c r="E20" s="31">
        <v>1805000</v>
      </c>
      <c r="F20" s="26">
        <v>17827.080000000002</v>
      </c>
      <c r="G20" s="26">
        <v>1.96</v>
      </c>
      <c r="H20" s="26" t="s">
        <v>17</v>
      </c>
      <c r="K20" s="4"/>
      <c r="L20" s="4"/>
    </row>
    <row r="21" spans="2:12">
      <c r="B21" s="30" t="s">
        <v>53</v>
      </c>
      <c r="C21" s="24" t="s">
        <v>54</v>
      </c>
      <c r="D21" s="24" t="s">
        <v>16</v>
      </c>
      <c r="E21" s="31">
        <v>851651</v>
      </c>
      <c r="F21" s="26">
        <v>16505.419999999998</v>
      </c>
      <c r="G21" s="26">
        <v>1.81</v>
      </c>
      <c r="H21" s="26" t="s">
        <v>17</v>
      </c>
      <c r="K21" s="4"/>
      <c r="L21" s="4"/>
    </row>
    <row r="22" spans="2:12">
      <c r="B22" s="30" t="s">
        <v>55</v>
      </c>
      <c r="C22" s="24" t="s">
        <v>56</v>
      </c>
      <c r="D22" s="24" t="s">
        <v>57</v>
      </c>
      <c r="E22" s="31">
        <v>2909221</v>
      </c>
      <c r="F22" s="26">
        <v>15162.86</v>
      </c>
      <c r="G22" s="26">
        <v>1.67</v>
      </c>
      <c r="H22" s="26" t="s">
        <v>58</v>
      </c>
      <c r="K22" s="4"/>
      <c r="L22" s="4"/>
    </row>
    <row r="23" spans="2:12">
      <c r="B23" s="30" t="s">
        <v>59</v>
      </c>
      <c r="C23" s="24" t="s">
        <v>60</v>
      </c>
      <c r="D23" s="24" t="s">
        <v>61</v>
      </c>
      <c r="E23" s="31">
        <v>3276880</v>
      </c>
      <c r="F23" s="26">
        <v>15075.29</v>
      </c>
      <c r="G23" s="26">
        <v>1.66</v>
      </c>
      <c r="H23" s="26" t="s">
        <v>58</v>
      </c>
      <c r="K23" s="4"/>
      <c r="L23" s="4"/>
    </row>
    <row r="24" spans="2:12">
      <c r="B24" s="30" t="s">
        <v>62</v>
      </c>
      <c r="C24" s="24" t="s">
        <v>63</v>
      </c>
      <c r="D24" s="24" t="s">
        <v>64</v>
      </c>
      <c r="E24" s="31">
        <v>13550000</v>
      </c>
      <c r="F24" s="26">
        <v>13997.15</v>
      </c>
      <c r="G24" s="26">
        <v>1.54</v>
      </c>
      <c r="H24" s="26" t="s">
        <v>17</v>
      </c>
      <c r="K24" s="4"/>
      <c r="L24" s="4"/>
    </row>
    <row r="25" spans="2:12">
      <c r="B25" s="30" t="s">
        <v>65</v>
      </c>
      <c r="C25" s="24" t="s">
        <v>66</v>
      </c>
      <c r="D25" s="24" t="s">
        <v>44</v>
      </c>
      <c r="E25" s="31">
        <v>1525000</v>
      </c>
      <c r="F25" s="26">
        <v>13284.28</v>
      </c>
      <c r="G25" s="26">
        <v>1.46</v>
      </c>
      <c r="H25" s="26" t="s">
        <v>17</v>
      </c>
      <c r="K25" s="4"/>
      <c r="L25" s="4"/>
    </row>
    <row r="26" spans="2:12">
      <c r="B26" s="30" t="s">
        <v>67</v>
      </c>
      <c r="C26" s="24" t="s">
        <v>68</v>
      </c>
      <c r="D26" s="24" t="s">
        <v>69</v>
      </c>
      <c r="E26" s="31">
        <v>7450000</v>
      </c>
      <c r="F26" s="26">
        <v>12814</v>
      </c>
      <c r="G26" s="26">
        <v>1.41</v>
      </c>
      <c r="H26" s="26" t="s">
        <v>17</v>
      </c>
      <c r="K26" s="4"/>
      <c r="L26" s="4"/>
    </row>
    <row r="27" spans="2:12">
      <c r="B27" s="30" t="s">
        <v>70</v>
      </c>
      <c r="C27" s="24" t="s">
        <v>71</v>
      </c>
      <c r="D27" s="24" t="s">
        <v>72</v>
      </c>
      <c r="E27" s="31">
        <v>476800</v>
      </c>
      <c r="F27" s="26">
        <v>12596.34</v>
      </c>
      <c r="G27" s="26">
        <v>1.38</v>
      </c>
      <c r="H27" s="26" t="s">
        <v>17</v>
      </c>
      <c r="K27" s="4"/>
      <c r="L27" s="4"/>
    </row>
    <row r="28" spans="2:12">
      <c r="B28" s="30" t="s">
        <v>73</v>
      </c>
      <c r="C28" s="24" t="s">
        <v>74</v>
      </c>
      <c r="D28" s="24" t="s">
        <v>75</v>
      </c>
      <c r="E28" s="31">
        <v>960000</v>
      </c>
      <c r="F28" s="26">
        <v>11778.24</v>
      </c>
      <c r="G28" s="26">
        <v>1.29</v>
      </c>
      <c r="H28" s="26" t="s">
        <v>17</v>
      </c>
      <c r="K28" s="4"/>
      <c r="L28" s="4"/>
    </row>
    <row r="29" spans="2:12">
      <c r="B29" s="30" t="s">
        <v>76</v>
      </c>
      <c r="C29" s="24" t="s">
        <v>77</v>
      </c>
      <c r="D29" s="24" t="s">
        <v>78</v>
      </c>
      <c r="E29" s="31">
        <v>3410623</v>
      </c>
      <c r="F29" s="26">
        <v>11565.42</v>
      </c>
      <c r="G29" s="26">
        <v>1.27</v>
      </c>
      <c r="H29" s="26" t="s">
        <v>58</v>
      </c>
      <c r="K29" s="4"/>
      <c r="L29" s="4"/>
    </row>
    <row r="30" spans="2:12">
      <c r="B30" s="30" t="s">
        <v>79</v>
      </c>
      <c r="C30" s="24" t="s">
        <v>80</v>
      </c>
      <c r="D30" s="24" t="s">
        <v>81</v>
      </c>
      <c r="E30" s="31">
        <v>237209</v>
      </c>
      <c r="F30" s="26">
        <v>11505.11</v>
      </c>
      <c r="G30" s="26">
        <v>1.26</v>
      </c>
      <c r="H30" s="26" t="s">
        <v>58</v>
      </c>
      <c r="K30" s="4"/>
      <c r="L30" s="4"/>
    </row>
    <row r="31" spans="2:12">
      <c r="B31" s="30" t="s">
        <v>82</v>
      </c>
      <c r="C31" s="24" t="s">
        <v>83</v>
      </c>
      <c r="D31" s="24" t="s">
        <v>75</v>
      </c>
      <c r="E31" s="31">
        <v>133826</v>
      </c>
      <c r="F31" s="26">
        <v>11495.05</v>
      </c>
      <c r="G31" s="26">
        <v>1.26</v>
      </c>
      <c r="H31" s="26" t="s">
        <v>17</v>
      </c>
      <c r="K31" s="4"/>
      <c r="L31" s="4"/>
    </row>
    <row r="32" spans="2:12">
      <c r="B32" s="30" t="s">
        <v>84</v>
      </c>
      <c r="C32" s="24" t="s">
        <v>85</v>
      </c>
      <c r="D32" s="24" t="s">
        <v>86</v>
      </c>
      <c r="E32" s="31">
        <v>321000</v>
      </c>
      <c r="F32" s="26">
        <v>10971.62</v>
      </c>
      <c r="G32" s="26">
        <v>1.21</v>
      </c>
      <c r="H32" s="26" t="s">
        <v>17</v>
      </c>
      <c r="K32" s="4"/>
      <c r="L32" s="4"/>
    </row>
    <row r="33" spans="2:12">
      <c r="B33" s="30" t="s">
        <v>87</v>
      </c>
      <c r="C33" s="24" t="s">
        <v>88</v>
      </c>
      <c r="D33" s="24" t="s">
        <v>49</v>
      </c>
      <c r="E33" s="31">
        <v>359625</v>
      </c>
      <c r="F33" s="26">
        <v>10764.66</v>
      </c>
      <c r="G33" s="26">
        <v>1.18</v>
      </c>
      <c r="H33" s="26" t="s">
        <v>58</v>
      </c>
      <c r="K33" s="4"/>
      <c r="L33" s="4"/>
    </row>
    <row r="34" spans="2:12">
      <c r="B34" s="30" t="s">
        <v>89</v>
      </c>
      <c r="C34" s="24" t="s">
        <v>90</v>
      </c>
      <c r="D34" s="24" t="s">
        <v>75</v>
      </c>
      <c r="E34" s="31">
        <v>2217500</v>
      </c>
      <c r="F34" s="26">
        <v>10753.77</v>
      </c>
      <c r="G34" s="26">
        <v>1.18</v>
      </c>
      <c r="H34" s="26" t="s">
        <v>17</v>
      </c>
      <c r="K34" s="4"/>
      <c r="L34" s="4"/>
    </row>
    <row r="35" spans="2:12">
      <c r="B35" s="30" t="s">
        <v>91</v>
      </c>
      <c r="C35" s="24" t="s">
        <v>92</v>
      </c>
      <c r="D35" s="24" t="s">
        <v>81</v>
      </c>
      <c r="E35" s="31">
        <v>144552</v>
      </c>
      <c r="F35" s="26">
        <v>9933.0400000000009</v>
      </c>
      <c r="G35" s="26">
        <v>1.0900000000000001</v>
      </c>
      <c r="H35" s="26" t="s">
        <v>58</v>
      </c>
      <c r="K35" s="4"/>
      <c r="L35" s="4"/>
    </row>
    <row r="36" spans="2:12">
      <c r="B36" s="30" t="s">
        <v>93</v>
      </c>
      <c r="C36" s="24" t="s">
        <v>94</v>
      </c>
      <c r="D36" s="24" t="s">
        <v>57</v>
      </c>
      <c r="E36" s="31">
        <v>13500000</v>
      </c>
      <c r="F36" s="26">
        <v>9909</v>
      </c>
      <c r="G36" s="26">
        <v>1.0900000000000001</v>
      </c>
      <c r="H36" s="26" t="s">
        <v>17</v>
      </c>
      <c r="K36" s="4"/>
      <c r="L36" s="4"/>
    </row>
    <row r="37" spans="2:12">
      <c r="B37" s="30" t="s">
        <v>95</v>
      </c>
      <c r="C37" s="24" t="s">
        <v>96</v>
      </c>
      <c r="D37" s="24" t="s">
        <v>97</v>
      </c>
      <c r="E37" s="31">
        <v>1080000</v>
      </c>
      <c r="F37" s="26">
        <v>9883.08</v>
      </c>
      <c r="G37" s="26">
        <v>1.0900000000000001</v>
      </c>
      <c r="H37" s="26" t="s">
        <v>58</v>
      </c>
      <c r="K37" s="4"/>
      <c r="L37" s="4"/>
    </row>
    <row r="38" spans="2:12">
      <c r="B38" s="30" t="s">
        <v>98</v>
      </c>
      <c r="C38" s="24" t="s">
        <v>99</v>
      </c>
      <c r="D38" s="24" t="s">
        <v>16</v>
      </c>
      <c r="E38" s="31">
        <v>840000</v>
      </c>
      <c r="F38" s="26">
        <v>9683.52</v>
      </c>
      <c r="G38" s="26">
        <v>1.06</v>
      </c>
      <c r="H38" s="26" t="s">
        <v>17</v>
      </c>
      <c r="K38" s="4"/>
      <c r="L38" s="4"/>
    </row>
    <row r="39" spans="2:12">
      <c r="B39" s="30" t="s">
        <v>100</v>
      </c>
      <c r="C39" s="24" t="s">
        <v>101</v>
      </c>
      <c r="D39" s="24" t="s">
        <v>102</v>
      </c>
      <c r="E39" s="31">
        <v>504468</v>
      </c>
      <c r="F39" s="26">
        <v>9559.92</v>
      </c>
      <c r="G39" s="26">
        <v>1.05</v>
      </c>
      <c r="H39" s="26" t="s">
        <v>103</v>
      </c>
      <c r="K39" s="4"/>
      <c r="L39" s="4"/>
    </row>
    <row r="40" spans="2:12">
      <c r="B40" s="30" t="s">
        <v>104</v>
      </c>
      <c r="C40" s="24" t="s">
        <v>105</v>
      </c>
      <c r="D40" s="24" t="s">
        <v>106</v>
      </c>
      <c r="E40" s="31">
        <v>281473</v>
      </c>
      <c r="F40" s="26">
        <v>9526.4500000000007</v>
      </c>
      <c r="G40" s="26">
        <v>1.05</v>
      </c>
      <c r="H40" s="26" t="s">
        <v>17</v>
      </c>
      <c r="K40" s="4"/>
      <c r="L40" s="4"/>
    </row>
    <row r="41" spans="2:12">
      <c r="B41" s="30" t="s">
        <v>107</v>
      </c>
      <c r="C41" s="24" t="s">
        <v>108</v>
      </c>
      <c r="D41" s="24" t="s">
        <v>109</v>
      </c>
      <c r="E41" s="31">
        <v>205000</v>
      </c>
      <c r="F41" s="26">
        <v>9334.7800000000007</v>
      </c>
      <c r="G41" s="26">
        <v>1.03</v>
      </c>
      <c r="H41" s="26" t="s">
        <v>17</v>
      </c>
      <c r="K41" s="4"/>
      <c r="L41" s="4"/>
    </row>
    <row r="42" spans="2:12">
      <c r="B42" s="30" t="s">
        <v>110</v>
      </c>
      <c r="C42" s="24" t="s">
        <v>111</v>
      </c>
      <c r="D42" s="24" t="s">
        <v>25</v>
      </c>
      <c r="E42" s="31">
        <v>850000</v>
      </c>
      <c r="F42" s="26">
        <v>9044.85</v>
      </c>
      <c r="G42" s="26">
        <v>0.99</v>
      </c>
      <c r="H42" s="26" t="s">
        <v>17</v>
      </c>
      <c r="K42" s="4"/>
      <c r="L42" s="4"/>
    </row>
    <row r="43" spans="2:12">
      <c r="B43" s="30" t="s">
        <v>112</v>
      </c>
      <c r="C43" s="24" t="s">
        <v>113</v>
      </c>
      <c r="D43" s="24" t="s">
        <v>114</v>
      </c>
      <c r="E43" s="31">
        <v>1175000</v>
      </c>
      <c r="F43" s="26">
        <v>8975.24</v>
      </c>
      <c r="G43" s="26">
        <v>0.99</v>
      </c>
      <c r="H43" s="26" t="s">
        <v>17</v>
      </c>
      <c r="K43" s="4"/>
      <c r="L43" s="4"/>
    </row>
    <row r="44" spans="2:12">
      <c r="B44" s="30" t="s">
        <v>115</v>
      </c>
      <c r="C44" s="24" t="s">
        <v>116</v>
      </c>
      <c r="D44" s="24" t="s">
        <v>44</v>
      </c>
      <c r="E44" s="31">
        <v>1160000</v>
      </c>
      <c r="F44" s="26">
        <v>8958.1</v>
      </c>
      <c r="G44" s="26">
        <v>0.98</v>
      </c>
      <c r="H44" s="26" t="s">
        <v>17</v>
      </c>
      <c r="K44" s="4"/>
      <c r="L44" s="4"/>
    </row>
    <row r="45" spans="2:12">
      <c r="B45" s="30" t="s">
        <v>117</v>
      </c>
      <c r="C45" s="24" t="s">
        <v>118</v>
      </c>
      <c r="D45" s="24" t="s">
        <v>52</v>
      </c>
      <c r="E45" s="31">
        <v>39060</v>
      </c>
      <c r="F45" s="26">
        <v>8709.31</v>
      </c>
      <c r="G45" s="26">
        <v>0.96</v>
      </c>
      <c r="H45" s="26" t="s">
        <v>58</v>
      </c>
      <c r="K45" s="4"/>
      <c r="L45" s="4"/>
    </row>
    <row r="46" spans="2:12">
      <c r="B46" s="30" t="s">
        <v>119</v>
      </c>
      <c r="C46" s="24" t="s">
        <v>120</v>
      </c>
      <c r="D46" s="24" t="s">
        <v>81</v>
      </c>
      <c r="E46" s="31">
        <v>438956</v>
      </c>
      <c r="F46" s="26">
        <v>8690.23</v>
      </c>
      <c r="G46" s="26">
        <v>0.96</v>
      </c>
      <c r="H46" s="26" t="s">
        <v>58</v>
      </c>
      <c r="K46" s="4"/>
      <c r="L46" s="4"/>
    </row>
    <row r="47" spans="2:12">
      <c r="B47" s="30" t="s">
        <v>121</v>
      </c>
      <c r="C47" s="24" t="s">
        <v>122</v>
      </c>
      <c r="D47" s="24" t="s">
        <v>123</v>
      </c>
      <c r="E47" s="31">
        <v>750000</v>
      </c>
      <c r="F47" s="26">
        <v>8550.75</v>
      </c>
      <c r="G47" s="26">
        <v>0.94</v>
      </c>
      <c r="H47" s="26" t="s">
        <v>17</v>
      </c>
      <c r="K47" s="4"/>
      <c r="L47" s="4"/>
    </row>
    <row r="48" spans="2:12">
      <c r="B48" s="30" t="s">
        <v>124</v>
      </c>
      <c r="C48" s="24" t="s">
        <v>125</v>
      </c>
      <c r="D48" s="24" t="s">
        <v>102</v>
      </c>
      <c r="E48" s="31">
        <v>264927</v>
      </c>
      <c r="F48" s="26">
        <v>8491.84</v>
      </c>
      <c r="G48" s="26">
        <v>0.93</v>
      </c>
      <c r="H48" s="26" t="s">
        <v>58</v>
      </c>
      <c r="K48" s="4"/>
      <c r="L48" s="4"/>
    </row>
    <row r="49" spans="2:12">
      <c r="B49" s="30" t="s">
        <v>126</v>
      </c>
      <c r="C49" s="24" t="s">
        <v>127</v>
      </c>
      <c r="D49" s="24" t="s">
        <v>57</v>
      </c>
      <c r="E49" s="31">
        <v>1621430</v>
      </c>
      <c r="F49" s="26">
        <v>7782.86</v>
      </c>
      <c r="G49" s="26">
        <v>0.86</v>
      </c>
      <c r="H49" s="26" t="s">
        <v>58</v>
      </c>
      <c r="K49" s="4"/>
      <c r="L49" s="4"/>
    </row>
    <row r="50" spans="2:12">
      <c r="B50" s="30" t="s">
        <v>128</v>
      </c>
      <c r="C50" s="24" t="s">
        <v>129</v>
      </c>
      <c r="D50" s="24" t="s">
        <v>130</v>
      </c>
      <c r="E50" s="31">
        <v>1576413</v>
      </c>
      <c r="F50" s="26">
        <v>7373.67</v>
      </c>
      <c r="G50" s="26">
        <v>0.81</v>
      </c>
      <c r="H50" s="26" t="s">
        <v>58</v>
      </c>
      <c r="K50" s="4"/>
      <c r="L50" s="4"/>
    </row>
    <row r="51" spans="2:12">
      <c r="B51" s="30" t="s">
        <v>131</v>
      </c>
      <c r="C51" s="24" t="s">
        <v>132</v>
      </c>
      <c r="D51" s="24" t="s">
        <v>133</v>
      </c>
      <c r="E51" s="31">
        <v>456212</v>
      </c>
      <c r="F51" s="26">
        <v>6723.42</v>
      </c>
      <c r="G51" s="26">
        <v>0.74</v>
      </c>
      <c r="H51" s="26" t="s">
        <v>103</v>
      </c>
      <c r="K51" s="4"/>
      <c r="L51" s="4"/>
    </row>
    <row r="52" spans="2:12">
      <c r="B52" s="30" t="s">
        <v>134</v>
      </c>
      <c r="C52" s="24" t="s">
        <v>135</v>
      </c>
      <c r="D52" s="24" t="s">
        <v>136</v>
      </c>
      <c r="E52" s="31">
        <v>179000</v>
      </c>
      <c r="F52" s="26">
        <v>6286.39</v>
      </c>
      <c r="G52" s="26">
        <v>0.69</v>
      </c>
      <c r="H52" s="26" t="s">
        <v>17</v>
      </c>
      <c r="K52" s="4"/>
      <c r="L52" s="4"/>
    </row>
    <row r="53" spans="2:12">
      <c r="B53" s="30" t="s">
        <v>137</v>
      </c>
      <c r="C53" s="24" t="s">
        <v>138</v>
      </c>
      <c r="D53" s="24" t="s">
        <v>72</v>
      </c>
      <c r="E53" s="31">
        <v>393000</v>
      </c>
      <c r="F53" s="26">
        <v>5795.37</v>
      </c>
      <c r="G53" s="26">
        <v>0.64</v>
      </c>
      <c r="H53" s="26" t="s">
        <v>58</v>
      </c>
      <c r="K53" s="4"/>
      <c r="L53" s="4"/>
    </row>
    <row r="54" spans="2:12">
      <c r="B54" s="30" t="s">
        <v>139</v>
      </c>
      <c r="C54" s="24" t="s">
        <v>140</v>
      </c>
      <c r="D54" s="24" t="s">
        <v>141</v>
      </c>
      <c r="E54" s="31">
        <v>5000000</v>
      </c>
      <c r="F54" s="26">
        <v>5397.5</v>
      </c>
      <c r="G54" s="26">
        <v>0.59</v>
      </c>
      <c r="H54" s="26" t="s">
        <v>17</v>
      </c>
      <c r="K54" s="4"/>
      <c r="L54" s="4"/>
    </row>
    <row r="55" spans="2:12">
      <c r="B55" s="30" t="s">
        <v>142</v>
      </c>
      <c r="C55" s="24" t="s">
        <v>143</v>
      </c>
      <c r="D55" s="24" t="s">
        <v>144</v>
      </c>
      <c r="E55" s="31">
        <v>1145000</v>
      </c>
      <c r="F55" s="26">
        <v>4993.3500000000004</v>
      </c>
      <c r="G55" s="26">
        <v>0.55000000000000004</v>
      </c>
      <c r="H55" s="26" t="s">
        <v>17</v>
      </c>
      <c r="K55" s="4"/>
      <c r="L55" s="4"/>
    </row>
    <row r="56" spans="2:12">
      <c r="B56" s="30" t="s">
        <v>145</v>
      </c>
      <c r="C56" s="24" t="s">
        <v>146</v>
      </c>
      <c r="D56" s="24" t="s">
        <v>61</v>
      </c>
      <c r="E56" s="31">
        <v>943588</v>
      </c>
      <c r="F56" s="26">
        <v>4868.4399999999996</v>
      </c>
      <c r="G56" s="26">
        <v>0.54</v>
      </c>
      <c r="H56" s="26" t="s">
        <v>103</v>
      </c>
      <c r="K56" s="4"/>
      <c r="L56" s="4"/>
    </row>
    <row r="57" spans="2:12">
      <c r="B57" s="30" t="s">
        <v>147</v>
      </c>
      <c r="C57" s="24" t="s">
        <v>148</v>
      </c>
      <c r="D57" s="24" t="s">
        <v>149</v>
      </c>
      <c r="E57" s="31">
        <v>12347</v>
      </c>
      <c r="F57" s="26">
        <v>4394.96</v>
      </c>
      <c r="G57" s="26">
        <v>0.48</v>
      </c>
      <c r="H57" s="26" t="s">
        <v>58</v>
      </c>
      <c r="K57" s="4"/>
      <c r="L57" s="4"/>
    </row>
    <row r="58" spans="2:12">
      <c r="B58" s="30" t="s">
        <v>150</v>
      </c>
      <c r="C58" s="24" t="s">
        <v>151</v>
      </c>
      <c r="D58" s="24" t="s">
        <v>52</v>
      </c>
      <c r="E58" s="31">
        <v>242434</v>
      </c>
      <c r="F58" s="26">
        <v>3294.19</v>
      </c>
      <c r="G58" s="26">
        <v>0.36</v>
      </c>
      <c r="H58" s="26" t="s">
        <v>58</v>
      </c>
      <c r="K58" s="4"/>
      <c r="L58" s="4"/>
    </row>
    <row r="59" spans="2:12">
      <c r="B59" s="30" t="s">
        <v>152</v>
      </c>
      <c r="C59" s="24" t="s">
        <v>153</v>
      </c>
      <c r="D59" s="24" t="s">
        <v>136</v>
      </c>
      <c r="E59" s="31">
        <v>250000</v>
      </c>
      <c r="F59" s="26">
        <v>3180.38</v>
      </c>
      <c r="G59" s="26">
        <v>0.35</v>
      </c>
      <c r="H59" s="26" t="s">
        <v>58</v>
      </c>
      <c r="K59" s="4"/>
      <c r="L59" s="4"/>
    </row>
    <row r="60" spans="2:12">
      <c r="B60" s="30" t="s">
        <v>154</v>
      </c>
      <c r="C60" s="24" t="s">
        <v>155</v>
      </c>
      <c r="D60" s="24" t="s">
        <v>123</v>
      </c>
      <c r="E60" s="31">
        <v>489013</v>
      </c>
      <c r="F60" s="26">
        <v>3128.46</v>
      </c>
      <c r="G60" s="26">
        <v>0.34</v>
      </c>
      <c r="H60" s="26" t="s">
        <v>58</v>
      </c>
      <c r="K60" s="4"/>
      <c r="L60" s="4"/>
    </row>
    <row r="61" spans="2:12">
      <c r="B61" s="30" t="s">
        <v>156</v>
      </c>
      <c r="C61" s="24" t="s">
        <v>157</v>
      </c>
      <c r="D61" s="24" t="s">
        <v>25</v>
      </c>
      <c r="E61" s="31">
        <v>148215</v>
      </c>
      <c r="F61" s="26">
        <v>2689.29</v>
      </c>
      <c r="G61" s="26">
        <v>0.3</v>
      </c>
      <c r="H61" s="26" t="s">
        <v>58</v>
      </c>
      <c r="K61" s="4"/>
      <c r="L61" s="4"/>
    </row>
    <row r="62" spans="2:12">
      <c r="B62" s="30" t="s">
        <v>158</v>
      </c>
      <c r="C62" s="24" t="s">
        <v>159</v>
      </c>
      <c r="D62" s="24" t="s">
        <v>52</v>
      </c>
      <c r="E62" s="31">
        <v>201786</v>
      </c>
      <c r="F62" s="26">
        <v>1432.98</v>
      </c>
      <c r="G62" s="26">
        <v>0.16</v>
      </c>
      <c r="H62" s="26" t="s">
        <v>58</v>
      </c>
      <c r="K62" s="4"/>
      <c r="L62" s="4"/>
    </row>
    <row r="63" spans="2:12">
      <c r="B63" s="30" t="s">
        <v>160</v>
      </c>
      <c r="C63" s="24" t="s">
        <v>161</v>
      </c>
      <c r="D63" s="24" t="s">
        <v>72</v>
      </c>
      <c r="E63" s="31">
        <v>24500</v>
      </c>
      <c r="F63" s="26">
        <v>711.08</v>
      </c>
      <c r="G63" s="26">
        <v>0.08</v>
      </c>
      <c r="H63" s="26" t="s">
        <v>17</v>
      </c>
      <c r="K63" s="4"/>
      <c r="L63" s="4"/>
    </row>
    <row r="64" spans="2:12">
      <c r="B64" s="35" t="s">
        <v>162</v>
      </c>
      <c r="C64" s="36"/>
      <c r="D64" s="36"/>
      <c r="E64" s="37"/>
      <c r="F64" s="38">
        <f>SUM(F7:F63)</f>
        <v>866184.91999999993</v>
      </c>
      <c r="G64" s="38">
        <f>SUM(G7:G63)</f>
        <v>95.210000000000008</v>
      </c>
      <c r="H64" s="38"/>
      <c r="K64" s="4"/>
      <c r="L64" s="4"/>
    </row>
    <row r="65" spans="2:12">
      <c r="B65" s="39" t="s">
        <v>163</v>
      </c>
      <c r="C65" s="39"/>
      <c r="D65" s="39"/>
      <c r="E65" s="40"/>
      <c r="F65" s="41">
        <f>F64</f>
        <v>866184.91999999993</v>
      </c>
      <c r="G65" s="41">
        <f>G64</f>
        <v>95.210000000000008</v>
      </c>
      <c r="H65" s="41"/>
      <c r="K65" s="4"/>
      <c r="L65" s="4"/>
    </row>
    <row r="66" spans="2:12">
      <c r="B66" s="42" t="s">
        <v>164</v>
      </c>
      <c r="C66" s="43"/>
      <c r="D66" s="43"/>
      <c r="E66" s="44"/>
      <c r="F66" s="45"/>
      <c r="G66" s="45"/>
      <c r="H66" s="45"/>
      <c r="K66" s="4"/>
      <c r="L66" s="4"/>
    </row>
    <row r="67" spans="2:12">
      <c r="B67" s="30" t="s">
        <v>164</v>
      </c>
      <c r="C67" s="30"/>
      <c r="D67" s="24"/>
      <c r="E67" s="25"/>
      <c r="F67" s="26">
        <v>42865.919999999998</v>
      </c>
      <c r="G67" s="26">
        <v>4.71</v>
      </c>
      <c r="H67" s="26"/>
      <c r="K67" s="4"/>
      <c r="L67" s="4"/>
    </row>
    <row r="68" spans="2:12">
      <c r="B68" s="35" t="s">
        <v>162</v>
      </c>
      <c r="C68" s="36"/>
      <c r="D68" s="36"/>
      <c r="E68" s="37"/>
      <c r="F68" s="38">
        <f>SUM(F66:F67)</f>
        <v>42865.919999999998</v>
      </c>
      <c r="G68" s="38">
        <f>SUM(G66:G67)</f>
        <v>4.71</v>
      </c>
      <c r="H68" s="38"/>
      <c r="K68" s="4"/>
      <c r="L68" s="4"/>
    </row>
    <row r="69" spans="2:12">
      <c r="B69" s="46" t="s">
        <v>163</v>
      </c>
      <c r="C69" s="46"/>
      <c r="D69" s="46"/>
      <c r="E69" s="47"/>
      <c r="F69" s="48">
        <f>F68</f>
        <v>42865.919999999998</v>
      </c>
      <c r="G69" s="48">
        <f>G68</f>
        <v>4.71</v>
      </c>
      <c r="H69" s="48"/>
      <c r="K69" s="4"/>
      <c r="L69" s="4"/>
    </row>
    <row r="70" spans="2:12">
      <c r="B70" s="49" t="s">
        <v>165</v>
      </c>
      <c r="C70" s="49"/>
      <c r="D70" s="49"/>
      <c r="E70" s="50"/>
      <c r="F70" s="51">
        <f>F71-(+F65+F69)</f>
        <v>543.72999999998137</v>
      </c>
      <c r="G70" s="51">
        <f>G71-(+G65+G69)</f>
        <v>7.9999999999998295E-2</v>
      </c>
      <c r="H70" s="51"/>
      <c r="K70" s="4"/>
      <c r="L70" s="4"/>
    </row>
    <row r="71" spans="2:12">
      <c r="B71" s="49" t="s">
        <v>166</v>
      </c>
      <c r="C71" s="49"/>
      <c r="D71" s="49"/>
      <c r="E71" s="50"/>
      <c r="F71" s="51">
        <v>909594.57</v>
      </c>
      <c r="G71" s="51">
        <v>100</v>
      </c>
      <c r="H71" s="51"/>
      <c r="K71" s="4"/>
      <c r="L71" s="4"/>
    </row>
    <row r="72" spans="2:12" ht="12.75" thickBot="1">
      <c r="K72" s="4"/>
      <c r="L72" s="4"/>
    </row>
    <row r="73" spans="2:12" ht="13.5" thickTop="1" thickBot="1">
      <c r="B73" s="54" t="s">
        <v>167</v>
      </c>
      <c r="C73" s="55" t="s">
        <v>168</v>
      </c>
      <c r="K73" s="4"/>
      <c r="L73" s="4"/>
    </row>
    <row r="74" spans="2:12" ht="12.75" thickTop="1">
      <c r="K74" s="4"/>
      <c r="L74" s="4"/>
    </row>
    <row r="75" spans="2:12">
      <c r="K75" s="4"/>
      <c r="L75" s="4"/>
    </row>
    <row r="76" spans="2:12">
      <c r="K76" s="4"/>
      <c r="L76" s="4"/>
    </row>
    <row r="77" spans="2:12">
      <c r="K77" s="4"/>
      <c r="L77" s="4"/>
    </row>
    <row r="78" spans="2:12">
      <c r="K78" s="4"/>
      <c r="L78" s="4"/>
    </row>
    <row r="79" spans="2:12">
      <c r="K79" s="4"/>
      <c r="L79" s="4"/>
    </row>
    <row r="80" spans="2:12">
      <c r="K80" s="4"/>
      <c r="L80" s="4"/>
    </row>
    <row r="81" spans="11:12">
      <c r="K81" s="4"/>
      <c r="L81" s="4"/>
    </row>
    <row r="82" spans="11:12">
      <c r="K82" s="4"/>
      <c r="L82" s="4"/>
    </row>
    <row r="83" spans="11:12">
      <c r="K83" s="4"/>
      <c r="L83" s="4"/>
    </row>
    <row r="84" spans="11:12">
      <c r="K84" s="4"/>
      <c r="L84" s="4"/>
    </row>
    <row r="85" spans="11:12">
      <c r="K85" s="4"/>
      <c r="L85" s="4"/>
    </row>
    <row r="86" spans="11:12">
      <c r="K86" s="4"/>
      <c r="L86" s="4"/>
    </row>
    <row r="87" spans="11:12">
      <c r="K87" s="4"/>
      <c r="L87" s="4"/>
    </row>
    <row r="88" spans="11:12">
      <c r="K88" s="4"/>
      <c r="L88" s="4"/>
    </row>
    <row r="89" spans="11:12">
      <c r="K89" s="4"/>
      <c r="L89" s="4"/>
    </row>
    <row r="90" spans="11:12">
      <c r="K90" s="4"/>
      <c r="L90" s="4"/>
    </row>
    <row r="91" spans="11:12">
      <c r="K91" s="4"/>
      <c r="L91" s="4"/>
    </row>
    <row r="92" spans="11:12">
      <c r="K92" s="4"/>
      <c r="L92" s="4"/>
    </row>
    <row r="93" spans="11:12">
      <c r="K93" s="4"/>
      <c r="L93" s="4"/>
    </row>
    <row r="94" spans="11:12">
      <c r="K94" s="4"/>
      <c r="L94" s="4"/>
    </row>
    <row r="95" spans="11:12">
      <c r="K95" s="4"/>
      <c r="L95" s="4"/>
    </row>
    <row r="96" spans="11:12">
      <c r="K96" s="4"/>
      <c r="L96" s="4"/>
    </row>
    <row r="97" spans="11:12">
      <c r="K97" s="4"/>
      <c r="L97" s="4"/>
    </row>
    <row r="98" spans="11:12">
      <c r="K98" s="4"/>
      <c r="L98" s="4"/>
    </row>
    <row r="99" spans="11:12">
      <c r="K99" s="4"/>
      <c r="L99" s="4"/>
    </row>
    <row r="100" spans="11:12">
      <c r="K100" s="4"/>
      <c r="L100" s="4"/>
    </row>
    <row r="101" spans="11:12">
      <c r="K101" s="4"/>
      <c r="L101" s="4"/>
    </row>
    <row r="102" spans="11:12">
      <c r="K102" s="4"/>
      <c r="L102" s="4"/>
    </row>
    <row r="103" spans="11:12">
      <c r="K103" s="4"/>
      <c r="L103" s="4"/>
    </row>
    <row r="104" spans="11:12">
      <c r="K104" s="4"/>
      <c r="L104" s="4"/>
    </row>
    <row r="105" spans="11:12">
      <c r="K105" s="4"/>
      <c r="L105" s="4"/>
    </row>
    <row r="106" spans="11:12">
      <c r="K106" s="4"/>
      <c r="L106" s="4"/>
    </row>
    <row r="107" spans="11:12">
      <c r="K107" s="4"/>
      <c r="L107" s="4"/>
    </row>
    <row r="108" spans="11:12">
      <c r="K108" s="4"/>
      <c r="L108" s="4"/>
    </row>
    <row r="109" spans="11:12">
      <c r="K109" s="4"/>
      <c r="L109" s="4"/>
    </row>
    <row r="110" spans="11:12">
      <c r="K110" s="4"/>
      <c r="L110" s="4"/>
    </row>
    <row r="111" spans="11:12">
      <c r="K111" s="4"/>
      <c r="L111" s="4"/>
    </row>
    <row r="112" spans="11:12">
      <c r="K112" s="4"/>
      <c r="L112" s="4"/>
    </row>
    <row r="113" spans="11:12">
      <c r="K113" s="4"/>
      <c r="L113" s="4"/>
    </row>
    <row r="114" spans="11:12">
      <c r="K114" s="4"/>
      <c r="L114" s="4"/>
    </row>
    <row r="115" spans="11:12">
      <c r="K115" s="4"/>
      <c r="L115" s="4"/>
    </row>
    <row r="116" spans="11:12">
      <c r="K116" s="4"/>
      <c r="L116" s="4"/>
    </row>
    <row r="117" spans="11:12">
      <c r="K117" s="4"/>
      <c r="L117" s="4"/>
    </row>
    <row r="118" spans="11:12">
      <c r="K118" s="4"/>
      <c r="L118" s="4"/>
    </row>
    <row r="119" spans="11:12">
      <c r="K119" s="4"/>
      <c r="L119" s="4"/>
    </row>
    <row r="120" spans="11:12">
      <c r="K120" s="4"/>
      <c r="L120" s="4"/>
    </row>
    <row r="121" spans="11:12">
      <c r="K121" s="4"/>
      <c r="L121" s="4"/>
    </row>
    <row r="122" spans="11:12">
      <c r="K122" s="4"/>
      <c r="L122" s="4"/>
    </row>
    <row r="123" spans="11:12">
      <c r="K123" s="4"/>
      <c r="L123" s="4"/>
    </row>
    <row r="124" spans="11:12">
      <c r="K124" s="4"/>
      <c r="L124" s="4"/>
    </row>
    <row r="125" spans="11:12">
      <c r="K125" s="4"/>
      <c r="L125" s="4"/>
    </row>
    <row r="126" spans="11:12">
      <c r="K126" s="4"/>
      <c r="L126" s="4"/>
    </row>
    <row r="127" spans="11:12">
      <c r="K127" s="4"/>
      <c r="L127" s="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17:42:51</KDate>
  <Classification>Public</Classification>
  <Subclassification/>
  <HostName>MUMCMP00935</HostName>
  <Domain_User>CANARAROBECOMF/628</Domain_User>
  <IPAdd>192.9.198.194</IPAdd>
  <FilePath>Book1</FilePath>
  <KID>C025A5607E97638188189717317357</KID>
  <UniqueName/>
  <Suggested/>
  <Justification/>
</Klassify>
</file>

<file path=customXml/itemProps1.xml><?xml version="1.0" encoding="utf-8"?>
<ds:datastoreItem xmlns:ds="http://schemas.openxmlformats.org/officeDocument/2006/customXml" ds:itemID="{D5EF1848-905D-4DC1-B26F-DF8501F2E5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2023-05-04T12:12:45Z</dcterms:created>
  <dcterms:modified xsi:type="dcterms:W3CDTF">2023-05-04T12:12:51Z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C025A5607E97638188189717317357</vt:lpwstr>
  </property>
</Properties>
</file>