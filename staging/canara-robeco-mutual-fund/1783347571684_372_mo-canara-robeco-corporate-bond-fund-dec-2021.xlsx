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M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3" i="1" s="1"/>
  <c r="F42" i="1"/>
  <c r="F43" i="1" s="1"/>
  <c r="G39" i="1"/>
  <c r="F39" i="1"/>
  <c r="G30" i="1"/>
  <c r="G31" i="1" s="1"/>
  <c r="G44" i="1" s="1"/>
  <c r="F30" i="1"/>
  <c r="F31" i="1" s="1"/>
  <c r="F44" i="1" s="1"/>
</calcChain>
</file>

<file path=xl/sharedStrings.xml><?xml version="1.0" encoding="utf-8"?>
<sst xmlns="http://schemas.openxmlformats.org/spreadsheetml/2006/main" count="123" uniqueCount="93">
  <si>
    <t>CANARA ROBECO CORPORATE BOND FUND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</si>
  <si>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</si>
  <si>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</si>
  <si>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</si>
  <si>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</si>
  <si>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</si>
  <si>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</si>
  <si>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</si>
  <si>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</si>
  <si>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Dec'21</t>
  </si>
  <si>
    <t>Benchmark Risk-o-meter Level- Dec'21</t>
  </si>
  <si>
    <t>Previous Scheme Risk-o-meter Level- Nov'21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</si>
  <si>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</si>
  <si>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</si>
  <si>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</si>
  <si>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</si>
  <si>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</si>
  <si>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</si>
  <si>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</si>
  <si>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</si>
  <si>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7.69% National Bank For Agriculture &amp; Rural Development (29/05/2024) **</t>
  </si>
  <si>
    <t>INE261F08BK1</t>
  </si>
  <si>
    <t>CRISIL AAA</t>
  </si>
  <si>
    <t>Relatively Low (Class I)</t>
  </si>
  <si>
    <t>7.05% National Housing Bank (18/12/2024) **</t>
  </si>
  <si>
    <t>INE557F08FG1</t>
  </si>
  <si>
    <t>7.09% REC Ltd (13/12/2022) **</t>
  </si>
  <si>
    <t>INE020B08CD3</t>
  </si>
  <si>
    <t>Moderate 
(Class II)</t>
  </si>
  <si>
    <t>7.00% Reliance Industries Ltd (31/08/2022) **</t>
  </si>
  <si>
    <t>INE002A08476</t>
  </si>
  <si>
    <t>5.05% Indian Oil Corporation Ltd (25/11/2022)</t>
  </si>
  <si>
    <t>INE242A08460</t>
  </si>
  <si>
    <t>Relatively High (Class III)</t>
  </si>
  <si>
    <t>B-III</t>
  </si>
  <si>
    <t>4.58% Small Industries Development Bank Of India (18/12/2023) **</t>
  </si>
  <si>
    <t>INE556F08JR2</t>
  </si>
  <si>
    <t>ICRA AAA</t>
  </si>
  <si>
    <t>8.73% NTPC Ltd (07/03/2023) **</t>
  </si>
  <si>
    <t>INE733E07JC4</t>
  </si>
  <si>
    <t>Benchmark: CRISIL Corporate Bond Composite Index</t>
  </si>
  <si>
    <t>7.40% LIC Housing Finance Ltd (06/09/2024) **</t>
  </si>
  <si>
    <t>INE115A07ML7</t>
  </si>
  <si>
    <t>6.72% Power Finance Corporation Ltd (09/06/2023) **</t>
  </si>
  <si>
    <t>INE134E08KW9</t>
  </si>
  <si>
    <t>9.35% Power Grid Corporation of India Ltd (29/08/2023) **</t>
  </si>
  <si>
    <t>INE752E07IT0</t>
  </si>
  <si>
    <t>7.99% Housing Development Finance Corporation Ltd (11/07/2024) **</t>
  </si>
  <si>
    <t>INE001A07RV7</t>
  </si>
  <si>
    <t>7.75% LIC Housing Finance Ltd (23/07/2024) **</t>
  </si>
  <si>
    <t>INE115A07OL3</t>
  </si>
  <si>
    <t>7.60% Grasim Industries Ltd (04/06/2024) **</t>
  </si>
  <si>
    <t>INE047A08158</t>
  </si>
  <si>
    <t>8.50% National Bank For Agriculture &amp; Rural Development (31/01/2023) **</t>
  </si>
  <si>
    <t>INE261F08AT4</t>
  </si>
  <si>
    <t>7.16% Power Finance Corporation Ltd (24/04/2025) **</t>
  </si>
  <si>
    <t>INE134E08KP3</t>
  </si>
  <si>
    <t>7.17% Reliance Industries Ltd (08/11/2022)</t>
  </si>
  <si>
    <t>INE002A08500</t>
  </si>
  <si>
    <t>7.28% Housing Development Finance Corporation Ltd (26/09/2022) **</t>
  </si>
  <si>
    <t>INE001A07RZ8</t>
  </si>
  <si>
    <t>7.87% Housing Development Finance Corporation Ltd (18/07/2022) **</t>
  </si>
  <si>
    <t>INE001A07RW5</t>
  </si>
  <si>
    <t>8.13% Power Grid Corporation of India Ltd (25/04/2022) **</t>
  </si>
  <si>
    <t>INE752E07NO1</t>
  </si>
  <si>
    <t>7.80% LIC Housing Finance Ltd (03/05/2022) **</t>
  </si>
  <si>
    <t>INE115A07LQ8</t>
  </si>
  <si>
    <t>5.32% National Housing Bank (01/09/2023) **</t>
  </si>
  <si>
    <t>INE557F08FK3</t>
  </si>
  <si>
    <t>6.09% Power Finance Corporation Ltd (27/08/2026) **</t>
  </si>
  <si>
    <t>INE134E08LK2</t>
  </si>
  <si>
    <t>5.10% Sundaram Finance Ltd (01/12/2023) **</t>
  </si>
  <si>
    <t>INE660A07QQ2</t>
  </si>
  <si>
    <t>Sub Total</t>
  </si>
  <si>
    <t>Total</t>
  </si>
  <si>
    <t>Government Bonds</t>
  </si>
  <si>
    <t>6.84% GOI (19/12/2022)</t>
  </si>
  <si>
    <t>IN0020160050</t>
  </si>
  <si>
    <t>Sovereign</t>
  </si>
  <si>
    <t>6.18% GOI (04/11/2024)</t>
  </si>
  <si>
    <t>IN0020190396</t>
  </si>
  <si>
    <t>5.63% GOI (12/04/2026)</t>
  </si>
  <si>
    <t>IN0020210012</t>
  </si>
  <si>
    <t>8.84% MAHARASHTRA SDL 17-OCT-22</t>
  </si>
  <si>
    <t>IN2220120058</t>
  </si>
  <si>
    <t>8.72% MAHARASHTRA SDL 11-JAN-22</t>
  </si>
  <si>
    <t>IN2220110083</t>
  </si>
  <si>
    <t>8.27% Rajasthan SDL 23-Jun-22</t>
  </si>
  <si>
    <t>IN2920160081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</si>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</sst>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3" borderId="9" xfId="0" applyFont="1" applyFill="1" applyBorder="1"/>
    <xf numFmtId="0" fontId="2" fillId="3" borderId="9" xfId="0" applyFont="1" applyFill="1" applyBorder="1"/>
    <xf numFmtId="0" fontId="2" fillId="3" borderId="9" xfId="0" applyNumberFormat="1" applyFont="1" applyFill="1" applyBorder="1"/>
    <xf numFmtId="4" fontId="2" fillId="3" borderId="9" xfId="0" applyNumberFormat="1" applyFont="1" applyFill="1" applyBorder="1"/>
    <xf numFmtId="0" fontId="2" fillId="3" borderId="10" xfId="0" applyFont="1" applyFill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3" borderId="11" xfId="0" applyFont="1" applyFill="1" applyBorder="1"/>
    <xf numFmtId="0" fontId="2" fillId="3" borderId="11" xfId="0" applyFont="1" applyFill="1" applyBorder="1"/>
    <xf numFmtId="0" fontId="2" fillId="3" borderId="11" xfId="0" applyNumberFormat="1" applyFont="1" applyFill="1" applyBorder="1"/>
    <xf numFmtId="4" fontId="2" fillId="3" borderId="11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0" borderId="5" xfId="0" applyFont="1" applyBorder="1" applyAlignment="1">
      <alignment horizontal="left" vertical="top" wrapText="1"/>
    </xf>
    <xf numFmtId="3" fontId="2" fillId="3" borderId="11" xfId="0" applyNumberFormat="1" applyFont="1" applyFill="1" applyBorder="1"/>
    <xf numFmtId="0" fontId="8" fillId="0" borderId="5" xfId="0" applyFont="1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4" borderId="10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4" fontId="8" fillId="3" borderId="14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2" fillId="3" borderId="17" xfId="0" applyFont="1" applyFill="1" applyBorder="1"/>
    <xf numFmtId="3" fontId="2" fillId="3" borderId="17" xfId="0" applyNumberFormat="1" applyFont="1" applyFill="1" applyBorder="1"/>
    <xf numFmtId="4" fontId="2" fillId="3" borderId="17" xfId="0" applyNumberFormat="1" applyFont="1" applyFill="1" applyBorder="1"/>
    <xf numFmtId="0" fontId="8" fillId="3" borderId="18" xfId="0" applyFont="1" applyFill="1" applyBorder="1"/>
    <xf numFmtId="0" fontId="8" fillId="3" borderId="18" xfId="0" applyNumberFormat="1" applyFont="1" applyFill="1" applyBorder="1"/>
    <xf numFmtId="4" fontId="8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4</xdr:row>
      <xdr:rowOff>85725</xdr:rowOff>
    </xdr:from>
    <xdr:to>
      <xdr:col>13</xdr:col>
      <xdr:colOff>0</xdr:colOff>
      <xdr:row>9</xdr:row>
      <xdr:rowOff>28575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FF6B6017-4072-4B8D-A7E2-4D780AEF6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085850"/>
          <a:ext cx="16097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76200</xdr:colOff>
      <xdr:row>4</xdr:row>
      <xdr:rowOff>142875</xdr:rowOff>
    </xdr:from>
    <xdr:to>
      <xdr:col>10</xdr:col>
      <xdr:colOff>1685925</xdr:colOff>
      <xdr:row>9</xdr:row>
      <xdr:rowOff>85725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FF6B6017-4072-4B8D-A7E2-4D780AEF6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1143000"/>
          <a:ext cx="16097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57150</xdr:colOff>
      <xdr:row>4</xdr:row>
      <xdr:rowOff>219076</xdr:rowOff>
    </xdr:from>
    <xdr:to>
      <xdr:col>11</xdr:col>
      <xdr:colOff>1560052</xdr:colOff>
      <xdr:row>9</xdr:row>
      <xdr:rowOff>57150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769B7B0B-2321-4BF5-86F9-755DEC15D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7225" y="1152526"/>
          <a:ext cx="1502902" cy="819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tabSelected="1" workbookViewId="0">
      <selection activeCell="M16" sqref="M16"/>
    </sheetView>
  </sheetViews>
  <sheetFormatPr defaultRowHeight="12"/>
  <cols>
    <col min="1" max="1" width="9.140625" style="3"/>
    <col min="2" max="2" width="60.85546875" style="3" bestFit="1" customWidth="1"/>
    <col min="3" max="3" width="13.85546875" style="3" bestFit="1" customWidth="1"/>
    <col min="4" max="4" width="14.140625" style="3" bestFit="1" customWidth="1"/>
    <col min="5" max="5" width="8.85546875" style="59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10" width="9.140625" style="3"/>
    <col min="11" max="11" width="26" style="3" customWidth="1"/>
    <col min="12" max="12" width="24" style="3" customWidth="1"/>
    <col min="13" max="13" width="25.28515625" style="3" customWidth="1"/>
    <col min="14" max="14" width="9.140625" style="3"/>
    <col min="15" max="15" width="12" style="3" customWidth="1"/>
    <col min="16" max="16384" width="9.140625" style="3"/>
  </cols>
  <sheetData>
    <row r="1" spans="2:18" ht="20.25">
      <c r="B1" s="1" t="s">
        <v>0</v>
      </c>
      <c r="C1" s="2"/>
      <c r="D1" s="2"/>
      <c r="E1" s="2"/>
      <c r="F1" s="2"/>
      <c r="G1" s="2"/>
      <c r="H1" s="2"/>
    </row>
    <row r="3" spans="2:18" ht="16.5" thickBot="1">
      <c r="B3" s="4" t="s">
        <v>1</v>
      </c>
      <c r="C3" s="5"/>
      <c r="D3" s="6"/>
      <c r="E3" s="7"/>
      <c r="F3" s="8"/>
      <c r="G3" s="8"/>
    </row>
    <row r="4" spans="2:18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K4" s="15" t="s">
        <v>9</v>
      </c>
      <c r="L4" s="15" t="s">
        <v>10</v>
      </c>
      <c r="M4" s="15" t="s">
        <v>11</v>
      </c>
      <c r="O4" s="16" t="s">
        <v>12</v>
      </c>
      <c r="P4" s="17"/>
      <c r="Q4" s="17"/>
      <c r="R4" s="18"/>
    </row>
    <row r="5" spans="2:18">
      <c r="B5" s="19" t="s">
        <v>13</v>
      </c>
      <c r="C5" s="20"/>
      <c r="D5" s="20"/>
      <c r="E5" s="21"/>
      <c r="F5" s="22"/>
      <c r="G5" s="22"/>
      <c r="H5" s="22"/>
      <c r="K5" s="23"/>
      <c r="L5" s="23"/>
      <c r="M5" s="23"/>
      <c r="O5" s="24" t="s">
        <v>14</v>
      </c>
      <c r="P5" s="25" t="s">
        <v>15</v>
      </c>
      <c r="Q5" s="25" t="s">
        <v>16</v>
      </c>
      <c r="R5" s="25" t="s">
        <v>17</v>
      </c>
    </row>
    <row r="6" spans="2:18" ht="24">
      <c r="B6" s="26" t="s">
        <v>18</v>
      </c>
      <c r="C6" s="27"/>
      <c r="D6" s="27"/>
      <c r="E6" s="28"/>
      <c r="F6" s="29"/>
      <c r="G6" s="29"/>
      <c r="H6" s="29"/>
      <c r="K6" s="30"/>
      <c r="L6" s="30"/>
      <c r="M6" s="30"/>
      <c r="O6" s="31" t="s">
        <v>19</v>
      </c>
      <c r="P6" s="25"/>
      <c r="Q6" s="25"/>
      <c r="R6" s="25"/>
    </row>
    <row r="7" spans="2:18">
      <c r="B7" s="27" t="s">
        <v>20</v>
      </c>
      <c r="C7" s="27" t="s">
        <v>21</v>
      </c>
      <c r="D7" s="27" t="s">
        <v>22</v>
      </c>
      <c r="E7" s="32">
        <v>150</v>
      </c>
      <c r="F7" s="29">
        <v>1572.46</v>
      </c>
      <c r="G7" s="29">
        <v>6.02</v>
      </c>
      <c r="H7" s="29">
        <v>5.47</v>
      </c>
      <c r="K7" s="30"/>
      <c r="L7" s="30"/>
      <c r="M7" s="30"/>
      <c r="O7" s="33" t="s">
        <v>23</v>
      </c>
      <c r="P7" s="34"/>
      <c r="Q7" s="34"/>
      <c r="R7" s="34"/>
    </row>
    <row r="8" spans="2:18">
      <c r="B8" s="27" t="s">
        <v>24</v>
      </c>
      <c r="C8" s="27" t="s">
        <v>25</v>
      </c>
      <c r="D8" s="27" t="s">
        <v>22</v>
      </c>
      <c r="E8" s="32">
        <v>150</v>
      </c>
      <c r="F8" s="29">
        <v>1566.21</v>
      </c>
      <c r="G8" s="29">
        <v>6</v>
      </c>
      <c r="H8" s="29">
        <v>5.4</v>
      </c>
      <c r="K8" s="30"/>
      <c r="L8" s="30"/>
      <c r="M8" s="30"/>
      <c r="O8" s="33"/>
      <c r="P8" s="35"/>
      <c r="Q8" s="35"/>
      <c r="R8" s="35"/>
    </row>
    <row r="9" spans="2:18">
      <c r="B9" s="27" t="s">
        <v>26</v>
      </c>
      <c r="C9" s="27" t="s">
        <v>27</v>
      </c>
      <c r="D9" s="27" t="s">
        <v>22</v>
      </c>
      <c r="E9" s="32">
        <v>150</v>
      </c>
      <c r="F9" s="29">
        <v>1532.79</v>
      </c>
      <c r="G9" s="29">
        <v>5.87</v>
      </c>
      <c r="H9" s="29">
        <v>4.67</v>
      </c>
      <c r="K9" s="30"/>
      <c r="L9" s="30"/>
      <c r="M9" s="30"/>
      <c r="O9" s="33" t="s">
        <v>28</v>
      </c>
      <c r="P9" s="34"/>
      <c r="Q9" s="34"/>
      <c r="R9" s="34"/>
    </row>
    <row r="10" spans="2:18">
      <c r="B10" s="27" t="s">
        <v>29</v>
      </c>
      <c r="C10" s="27" t="s">
        <v>30</v>
      </c>
      <c r="D10" s="27" t="s">
        <v>22</v>
      </c>
      <c r="E10" s="32">
        <v>150</v>
      </c>
      <c r="F10" s="29">
        <v>1522.52</v>
      </c>
      <c r="G10" s="29">
        <v>5.83</v>
      </c>
      <c r="H10" s="29">
        <v>4.57</v>
      </c>
      <c r="K10" s="30"/>
      <c r="L10" s="30"/>
      <c r="M10" s="30"/>
      <c r="O10" s="33"/>
      <c r="P10" s="35"/>
      <c r="Q10" s="35"/>
      <c r="R10" s="35"/>
    </row>
    <row r="11" spans="2:18">
      <c r="B11" s="27" t="s">
        <v>31</v>
      </c>
      <c r="C11" s="27" t="s">
        <v>32</v>
      </c>
      <c r="D11" s="27" t="s">
        <v>22</v>
      </c>
      <c r="E11" s="32">
        <v>150</v>
      </c>
      <c r="F11" s="29">
        <v>1505.81</v>
      </c>
      <c r="G11" s="29">
        <v>5.76</v>
      </c>
      <c r="H11" s="29">
        <v>4.47</v>
      </c>
      <c r="K11" s="30"/>
      <c r="L11" s="30"/>
      <c r="M11" s="30"/>
      <c r="O11" s="33" t="s">
        <v>33</v>
      </c>
      <c r="P11" s="34"/>
      <c r="Q11" s="36" t="s">
        <v>34</v>
      </c>
      <c r="R11" s="34"/>
    </row>
    <row r="12" spans="2:18">
      <c r="B12" s="27" t="s">
        <v>35</v>
      </c>
      <c r="C12" s="27" t="s">
        <v>36</v>
      </c>
      <c r="D12" s="27" t="s">
        <v>37</v>
      </c>
      <c r="E12" s="32">
        <v>150</v>
      </c>
      <c r="F12" s="29">
        <v>1486.94</v>
      </c>
      <c r="G12" s="29">
        <v>5.69</v>
      </c>
      <c r="H12" s="29">
        <v>5.0599999999999996</v>
      </c>
      <c r="K12" s="37"/>
      <c r="L12" s="37"/>
      <c r="M12" s="37"/>
      <c r="O12" s="33"/>
      <c r="P12" s="35"/>
      <c r="Q12" s="38"/>
      <c r="R12" s="35"/>
    </row>
    <row r="13" spans="2:18">
      <c r="B13" s="27" t="s">
        <v>38</v>
      </c>
      <c r="C13" s="27" t="s">
        <v>39</v>
      </c>
      <c r="D13" s="27" t="s">
        <v>22</v>
      </c>
      <c r="E13" s="32">
        <v>100</v>
      </c>
      <c r="F13" s="29">
        <v>1045.57</v>
      </c>
      <c r="G13" s="29">
        <v>4</v>
      </c>
      <c r="H13" s="29">
        <v>4.6399999999999997</v>
      </c>
      <c r="L13" s="3" t="s">
        <v>40</v>
      </c>
    </row>
    <row r="14" spans="2:18">
      <c r="B14" s="27" t="s">
        <v>41</v>
      </c>
      <c r="C14" s="27" t="s">
        <v>42</v>
      </c>
      <c r="D14" s="27" t="s">
        <v>22</v>
      </c>
      <c r="E14" s="32">
        <v>100</v>
      </c>
      <c r="F14" s="29">
        <v>1037.3599999999999</v>
      </c>
      <c r="G14" s="29">
        <v>3.97</v>
      </c>
      <c r="H14" s="29">
        <v>5.84</v>
      </c>
    </row>
    <row r="15" spans="2:18">
      <c r="B15" s="27" t="s">
        <v>43</v>
      </c>
      <c r="C15" s="27" t="s">
        <v>44</v>
      </c>
      <c r="D15" s="27" t="s">
        <v>22</v>
      </c>
      <c r="E15" s="32">
        <v>100</v>
      </c>
      <c r="F15" s="29">
        <v>1022.88</v>
      </c>
      <c r="G15" s="29">
        <v>3.92</v>
      </c>
      <c r="H15" s="29">
        <v>5</v>
      </c>
    </row>
    <row r="16" spans="2:18">
      <c r="B16" s="27" t="s">
        <v>45</v>
      </c>
      <c r="C16" s="27" t="s">
        <v>46</v>
      </c>
      <c r="D16" s="27" t="s">
        <v>22</v>
      </c>
      <c r="E16" s="32">
        <v>50</v>
      </c>
      <c r="F16" s="29">
        <v>534.28</v>
      </c>
      <c r="G16" s="29">
        <v>2.0499999999999998</v>
      </c>
      <c r="H16" s="29">
        <v>4.91</v>
      </c>
    </row>
    <row r="17" spans="2:8">
      <c r="B17" s="27" t="s">
        <v>47</v>
      </c>
      <c r="C17" s="27" t="s">
        <v>48</v>
      </c>
      <c r="D17" s="27" t="s">
        <v>22</v>
      </c>
      <c r="E17" s="32">
        <v>50</v>
      </c>
      <c r="F17" s="29">
        <v>525.71</v>
      </c>
      <c r="G17" s="29">
        <v>2.0099999999999998</v>
      </c>
      <c r="H17" s="29">
        <v>5.72</v>
      </c>
    </row>
    <row r="18" spans="2:8">
      <c r="B18" s="27" t="s">
        <v>49</v>
      </c>
      <c r="C18" s="27" t="s">
        <v>50</v>
      </c>
      <c r="D18" s="27" t="s">
        <v>22</v>
      </c>
      <c r="E18" s="32">
        <v>50</v>
      </c>
      <c r="F18" s="29">
        <v>521.87</v>
      </c>
      <c r="G18" s="29">
        <v>2</v>
      </c>
      <c r="H18" s="29">
        <v>5.84</v>
      </c>
    </row>
    <row r="19" spans="2:8">
      <c r="B19" s="27" t="s">
        <v>51</v>
      </c>
      <c r="C19" s="27" t="s">
        <v>52</v>
      </c>
      <c r="D19" s="27" t="s">
        <v>22</v>
      </c>
      <c r="E19" s="32">
        <v>50</v>
      </c>
      <c r="F19" s="29">
        <v>520.28</v>
      </c>
      <c r="G19" s="29">
        <v>1.99</v>
      </c>
      <c r="H19" s="29">
        <v>5.74</v>
      </c>
    </row>
    <row r="20" spans="2:8">
      <c r="B20" s="27" t="s">
        <v>53</v>
      </c>
      <c r="C20" s="27" t="s">
        <v>54</v>
      </c>
      <c r="D20" s="27" t="s">
        <v>22</v>
      </c>
      <c r="E20" s="32">
        <v>50</v>
      </c>
      <c r="F20" s="29">
        <v>519.34</v>
      </c>
      <c r="G20" s="29">
        <v>1.99</v>
      </c>
      <c r="H20" s="29">
        <v>4.74</v>
      </c>
    </row>
    <row r="21" spans="2:8">
      <c r="B21" s="27" t="s">
        <v>55</v>
      </c>
      <c r="C21" s="27" t="s">
        <v>56</v>
      </c>
      <c r="D21" s="27" t="s">
        <v>22</v>
      </c>
      <c r="E21" s="32">
        <v>50</v>
      </c>
      <c r="F21" s="29">
        <v>518.38</v>
      </c>
      <c r="G21" s="29">
        <v>1.98</v>
      </c>
      <c r="H21" s="29">
        <v>5.89</v>
      </c>
    </row>
    <row r="22" spans="2:8">
      <c r="B22" s="27" t="s">
        <v>57</v>
      </c>
      <c r="C22" s="27" t="s">
        <v>58</v>
      </c>
      <c r="D22" s="27" t="s">
        <v>22</v>
      </c>
      <c r="E22" s="32">
        <v>50</v>
      </c>
      <c r="F22" s="29">
        <v>510.04</v>
      </c>
      <c r="G22" s="29">
        <v>1.95</v>
      </c>
      <c r="H22" s="29">
        <v>4.68</v>
      </c>
    </row>
    <row r="23" spans="2:8">
      <c r="B23" s="27" t="s">
        <v>59</v>
      </c>
      <c r="C23" s="27" t="s">
        <v>60</v>
      </c>
      <c r="D23" s="27" t="s">
        <v>22</v>
      </c>
      <c r="E23" s="32">
        <v>50</v>
      </c>
      <c r="F23" s="29">
        <v>508.93</v>
      </c>
      <c r="G23" s="29">
        <v>1.95</v>
      </c>
      <c r="H23" s="29">
        <v>4.68</v>
      </c>
    </row>
    <row r="24" spans="2:8">
      <c r="B24" s="27" t="s">
        <v>61</v>
      </c>
      <c r="C24" s="27" t="s">
        <v>62</v>
      </c>
      <c r="D24" s="27" t="s">
        <v>22</v>
      </c>
      <c r="E24" s="32">
        <v>50</v>
      </c>
      <c r="F24" s="29">
        <v>508.15</v>
      </c>
      <c r="G24" s="29">
        <v>1.95</v>
      </c>
      <c r="H24" s="29">
        <v>4.6399999999999997</v>
      </c>
    </row>
    <row r="25" spans="2:8">
      <c r="B25" s="27" t="s">
        <v>63</v>
      </c>
      <c r="C25" s="27" t="s">
        <v>64</v>
      </c>
      <c r="D25" s="27" t="s">
        <v>22</v>
      </c>
      <c r="E25" s="32">
        <v>50</v>
      </c>
      <c r="F25" s="29">
        <v>505.94</v>
      </c>
      <c r="G25" s="29">
        <v>1.94</v>
      </c>
      <c r="H25" s="29">
        <v>4.08</v>
      </c>
    </row>
    <row r="26" spans="2:8">
      <c r="B26" s="27" t="s">
        <v>65</v>
      </c>
      <c r="C26" s="27" t="s">
        <v>66</v>
      </c>
      <c r="D26" s="27" t="s">
        <v>22</v>
      </c>
      <c r="E26" s="32">
        <v>50</v>
      </c>
      <c r="F26" s="29">
        <v>505.18</v>
      </c>
      <c r="G26" s="29">
        <v>1.93</v>
      </c>
      <c r="H26" s="29">
        <v>4.45</v>
      </c>
    </row>
    <row r="27" spans="2:8">
      <c r="B27" s="27" t="s">
        <v>67</v>
      </c>
      <c r="C27" s="27" t="s">
        <v>68</v>
      </c>
      <c r="D27" s="27" t="s">
        <v>22</v>
      </c>
      <c r="E27" s="32">
        <v>50</v>
      </c>
      <c r="F27" s="29">
        <v>502.73</v>
      </c>
      <c r="G27" s="29">
        <v>1.92</v>
      </c>
      <c r="H27" s="29">
        <v>4.97</v>
      </c>
    </row>
    <row r="28" spans="2:8">
      <c r="B28" s="27" t="s">
        <v>69</v>
      </c>
      <c r="C28" s="27" t="s">
        <v>70</v>
      </c>
      <c r="D28" s="27" t="s">
        <v>22</v>
      </c>
      <c r="E28" s="32">
        <v>50</v>
      </c>
      <c r="F28" s="29">
        <v>497.33</v>
      </c>
      <c r="G28" s="29">
        <v>1.9</v>
      </c>
      <c r="H28" s="29">
        <v>6.21</v>
      </c>
    </row>
    <row r="29" spans="2:8">
      <c r="B29" s="27" t="s">
        <v>71</v>
      </c>
      <c r="C29" s="27" t="s">
        <v>72</v>
      </c>
      <c r="D29" s="27" t="s">
        <v>22</v>
      </c>
      <c r="E29" s="32">
        <v>50</v>
      </c>
      <c r="F29" s="29">
        <v>495.31</v>
      </c>
      <c r="G29" s="29">
        <v>1.9</v>
      </c>
      <c r="H29" s="29">
        <v>5.63</v>
      </c>
    </row>
    <row r="30" spans="2:8">
      <c r="B30" s="39" t="s">
        <v>73</v>
      </c>
      <c r="C30" s="39"/>
      <c r="D30" s="39"/>
      <c r="E30" s="40"/>
      <c r="F30" s="41">
        <f>SUM(F6:F29)</f>
        <v>19466.010000000002</v>
      </c>
      <c r="G30" s="41">
        <f>SUM(G6:G29)</f>
        <v>74.52000000000001</v>
      </c>
      <c r="H30" s="42"/>
    </row>
    <row r="31" spans="2:8">
      <c r="B31" s="43" t="s">
        <v>74</v>
      </c>
      <c r="C31" s="43"/>
      <c r="D31" s="43"/>
      <c r="E31" s="44"/>
      <c r="F31" s="45">
        <f>F30</f>
        <v>19466.010000000002</v>
      </c>
      <c r="G31" s="45">
        <f>G30</f>
        <v>74.52000000000001</v>
      </c>
      <c r="H31" s="45"/>
    </row>
    <row r="32" spans="2:8">
      <c r="B32" s="26" t="s">
        <v>75</v>
      </c>
      <c r="C32" s="27"/>
      <c r="D32" s="27"/>
      <c r="E32" s="28"/>
      <c r="F32" s="29"/>
      <c r="G32" s="29"/>
      <c r="H32" s="29"/>
    </row>
    <row r="33" spans="2:8">
      <c r="B33" s="27" t="s">
        <v>76</v>
      </c>
      <c r="C33" s="27" t="s">
        <v>77</v>
      </c>
      <c r="D33" s="27" t="s">
        <v>78</v>
      </c>
      <c r="E33" s="32">
        <v>1500000</v>
      </c>
      <c r="F33" s="29">
        <v>1534.7</v>
      </c>
      <c r="G33" s="29">
        <v>5.87</v>
      </c>
      <c r="H33" s="29">
        <v>4.37</v>
      </c>
    </row>
    <row r="34" spans="2:8">
      <c r="B34" s="27" t="s">
        <v>79</v>
      </c>
      <c r="C34" s="27" t="s">
        <v>80</v>
      </c>
      <c r="D34" s="27" t="s">
        <v>78</v>
      </c>
      <c r="E34" s="32">
        <v>1500000</v>
      </c>
      <c r="F34" s="29">
        <v>1534.41</v>
      </c>
      <c r="G34" s="29">
        <v>5.87</v>
      </c>
      <c r="H34" s="29">
        <v>5.3</v>
      </c>
    </row>
    <row r="35" spans="2:8">
      <c r="B35" s="27" t="s">
        <v>81</v>
      </c>
      <c r="C35" s="27" t="s">
        <v>82</v>
      </c>
      <c r="D35" s="27" t="s">
        <v>78</v>
      </c>
      <c r="E35" s="32">
        <v>1000000</v>
      </c>
      <c r="F35" s="29">
        <v>993.64</v>
      </c>
      <c r="G35" s="29">
        <v>3.8</v>
      </c>
      <c r="H35" s="29">
        <v>5.8</v>
      </c>
    </row>
    <row r="36" spans="2:8">
      <c r="B36" s="27" t="s">
        <v>83</v>
      </c>
      <c r="C36" s="27" t="s">
        <v>84</v>
      </c>
      <c r="D36" s="27" t="s">
        <v>78</v>
      </c>
      <c r="E36" s="32">
        <v>500000</v>
      </c>
      <c r="F36" s="29">
        <v>516.48</v>
      </c>
      <c r="G36" s="29">
        <v>1.98</v>
      </c>
      <c r="H36" s="29">
        <v>4.55</v>
      </c>
    </row>
    <row r="37" spans="2:8">
      <c r="B37" s="27" t="s">
        <v>85</v>
      </c>
      <c r="C37" s="27" t="s">
        <v>86</v>
      </c>
      <c r="D37" s="27" t="s">
        <v>78</v>
      </c>
      <c r="E37" s="32">
        <v>500000</v>
      </c>
      <c r="F37" s="29">
        <v>500.7</v>
      </c>
      <c r="G37" s="29">
        <v>1.92</v>
      </c>
      <c r="H37" s="29">
        <v>3.88</v>
      </c>
    </row>
    <row r="38" spans="2:8">
      <c r="B38" s="46" t="s">
        <v>87</v>
      </c>
      <c r="C38" s="46" t="s">
        <v>88</v>
      </c>
      <c r="D38" s="46" t="s">
        <v>78</v>
      </c>
      <c r="E38" s="47">
        <v>48000</v>
      </c>
      <c r="F38" s="48">
        <v>48.88</v>
      </c>
      <c r="G38" s="48">
        <v>0.19</v>
      </c>
      <c r="H38" s="48">
        <v>4.34</v>
      </c>
    </row>
    <row r="39" spans="2:8">
      <c r="B39" s="49" t="s">
        <v>74</v>
      </c>
      <c r="C39" s="49"/>
      <c r="D39" s="49"/>
      <c r="E39" s="50"/>
      <c r="F39" s="51">
        <f>SUM(F33:F38)</f>
        <v>5128.8099999999995</v>
      </c>
      <c r="G39" s="51">
        <f>SUM(G33:G38)</f>
        <v>19.63</v>
      </c>
      <c r="H39" s="51"/>
    </row>
    <row r="40" spans="2:8">
      <c r="B40" s="26" t="s">
        <v>89</v>
      </c>
      <c r="C40" s="27"/>
      <c r="D40" s="27"/>
      <c r="E40" s="28"/>
      <c r="F40" s="29"/>
      <c r="G40" s="29"/>
      <c r="H40" s="29"/>
    </row>
    <row r="41" spans="2:8">
      <c r="B41" s="27" t="s">
        <v>89</v>
      </c>
      <c r="C41" s="27"/>
      <c r="D41" s="27"/>
      <c r="E41" s="28"/>
      <c r="F41" s="29">
        <v>919.52</v>
      </c>
      <c r="G41" s="29">
        <v>3.52</v>
      </c>
      <c r="H41" s="29"/>
    </row>
    <row r="42" spans="2:8">
      <c r="B42" s="39" t="s">
        <v>73</v>
      </c>
      <c r="C42" s="39"/>
      <c r="D42" s="39"/>
      <c r="E42" s="40"/>
      <c r="F42" s="41">
        <f>SUM(F40:F41)</f>
        <v>919.52</v>
      </c>
      <c r="G42" s="41">
        <f>SUM(G40:G41)</f>
        <v>3.52</v>
      </c>
      <c r="H42" s="42"/>
    </row>
    <row r="43" spans="2:8">
      <c r="B43" s="52" t="s">
        <v>74</v>
      </c>
      <c r="C43" s="52"/>
      <c r="D43" s="52"/>
      <c r="E43" s="53"/>
      <c r="F43" s="54">
        <f>F42</f>
        <v>919.52</v>
      </c>
      <c r="G43" s="54">
        <f>G42</f>
        <v>3.52</v>
      </c>
      <c r="H43" s="54"/>
    </row>
    <row r="44" spans="2:8">
      <c r="B44" s="55" t="s">
        <v>90</v>
      </c>
      <c r="C44" s="55"/>
      <c r="D44" s="55"/>
      <c r="E44" s="56"/>
      <c r="F44" s="57">
        <f>F45-(+F31+F39+F43)</f>
        <v>609.70999999999913</v>
      </c>
      <c r="G44" s="57">
        <f>G45-(+G31+G39+G43)</f>
        <v>2.3299999999999983</v>
      </c>
      <c r="H44" s="57"/>
    </row>
    <row r="45" spans="2:8">
      <c r="B45" s="55" t="s">
        <v>91</v>
      </c>
      <c r="C45" s="55"/>
      <c r="D45" s="55"/>
      <c r="E45" s="56"/>
      <c r="F45" s="57">
        <v>26124.05</v>
      </c>
      <c r="G45" s="57">
        <v>100</v>
      </c>
      <c r="H45" s="57"/>
    </row>
    <row r="47" spans="2:8">
      <c r="B47" s="58" t="s">
        <v>92</v>
      </c>
    </row>
  </sheetData>
  <mergeCells count="20">
    <mergeCell ref="O11:O12"/>
    <mergeCell ref="P11:P12"/>
    <mergeCell ref="Q11:Q12"/>
    <mergeCell ref="R11:R12"/>
    <mergeCell ref="Q7:Q8"/>
    <mergeCell ref="R7:R8"/>
    <mergeCell ref="O9:O10"/>
    <mergeCell ref="P9:P10"/>
    <mergeCell ref="Q9:Q10"/>
    <mergeCell ref="R9:R10"/>
    <mergeCell ref="B1:H1"/>
    <mergeCell ref="O4:R4"/>
    <mergeCell ref="K5:K12"/>
    <mergeCell ref="L5:L12"/>
    <mergeCell ref="M5:M12"/>
    <mergeCell ref="P5:P6"/>
    <mergeCell ref="Q5:Q6"/>
    <mergeCell ref="R5:R6"/>
    <mergeCell ref="O7:O8"/>
    <mergeCell ref="P7:P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2022-01-07T11:52:01Z</dcterms:created>
  <dcterms:modified xsi:type="dcterms:W3CDTF">2022-01-07T11:52:04Z</dcterms:modified>
</cp:coreProperties>
</file>