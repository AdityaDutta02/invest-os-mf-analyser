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Dec 21\"/>
    </mc:Choice>
  </mc:AlternateContent>
  <bookViews>
    <workbookView xWindow="0" yWindow="0" windowWidth="20490" windowHeight="7350"/>
  </bookViews>
  <sheets>
    <sheet name="F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0" i="1" l="1"/>
  <c r="G41" i="1" s="1"/>
  <c r="F40" i="1"/>
  <c r="F41" i="1" s="1"/>
  <c r="G36" i="1"/>
  <c r="G37" i="1" s="1"/>
  <c r="G42" i="1" s="1"/>
  <c r="F36" i="1"/>
  <c r="F37" i="1" s="1"/>
  <c r="F42" i="1" s="1"/>
</calcChain>
</file>

<file path=xl/sharedStrings.xml><?xml version="1.0" encoding="utf-8"?>
<sst xmlns="http://schemas.openxmlformats.org/spreadsheetml/2006/main" count="109" uniqueCount="97">
  <si>
    <t>CANARA ROBECO FOCUSED EQUITY FUND</t>
  </si>
  <si>
    <t>Monthly Portfolio Statement as on December 31, 2021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</si>
  <si>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</si>
  <si>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</si>
  <si>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</si>
  <si>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</si>
  <si>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</si>
  <si>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</si>
  <si>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Scheme Risk-o-meter Level- Dec'21</t>
  </si>
  <si>
    <t>Benchmark Risk-o-meter Level- Dec'21</t>
  </si>
  <si>
    <t>Previous Scheme Risk-o-meter Level- Nov'21</t>
  </si>
  <si>
    <t>Equity &amp; Equity related</t>
  </si>
  <si>
    <t>(a) Listed / awaiting listing on Stock Exchanges</t>
  </si>
  <si>
    <t>Infosys Ltd</t>
  </si>
  <si>
    <t>INE009A01021</t>
  </si>
  <si>
    <t>Software</t>
  </si>
  <si>
    <t>HDFC Bank Ltd</t>
  </si>
  <si>
    <t>INE040A01034</t>
  </si>
  <si>
    <t>Banks</t>
  </si>
  <si>
    <t>ICICI Bank Ltd</t>
  </si>
  <si>
    <t>INE090A01021</t>
  </si>
  <si>
    <t>Bajaj Finance Ltd</t>
  </si>
  <si>
    <t>INE296A01024</t>
  </si>
  <si>
    <t>Finance</t>
  </si>
  <si>
    <t>Larsen &amp; Toubro Ltd</t>
  </si>
  <si>
    <t>INE018A01030</t>
  </si>
  <si>
    <t>Construction Project</t>
  </si>
  <si>
    <t>Tata Consultancy Services Ltd</t>
  </si>
  <si>
    <t>INE467B01029</t>
  </si>
  <si>
    <t>Ultratech Cement Ltd</t>
  </si>
  <si>
    <t>INE481G01011</t>
  </si>
  <si>
    <t>Cement &amp; Cement Products</t>
  </si>
  <si>
    <t>Benchmark: S&amp;P BSE 500 TRI</t>
  </si>
  <si>
    <t>State Bank of India</t>
  </si>
  <si>
    <t>INE062A01020</t>
  </si>
  <si>
    <t>Avenue Supermarts Ltd</t>
  </si>
  <si>
    <t>INE192R01011</t>
  </si>
  <si>
    <t>Retailing</t>
  </si>
  <si>
    <t>Axis Bank Ltd</t>
  </si>
  <si>
    <t>INE238A01034</t>
  </si>
  <si>
    <t>SBI Life Insurance Co Ltd</t>
  </si>
  <si>
    <t>INE123W01016</t>
  </si>
  <si>
    <t>Insurance</t>
  </si>
  <si>
    <t>Tata Motors Ltd</t>
  </si>
  <si>
    <t>INE155A01022</t>
  </si>
  <si>
    <t>Auto</t>
  </si>
  <si>
    <t>Minda Industries Ltd</t>
  </si>
  <si>
    <t>INE405E01023</t>
  </si>
  <si>
    <t>Auto Ancillaries</t>
  </si>
  <si>
    <t>WABCO India Ltd</t>
  </si>
  <si>
    <t>INE342J01019</t>
  </si>
  <si>
    <t>Max Healthcare Institute Ltd</t>
  </si>
  <si>
    <t>INE027H01010</t>
  </si>
  <si>
    <t>Healthcare Services</t>
  </si>
  <si>
    <t>Gland Pharma Ltd</t>
  </si>
  <si>
    <t>INE068V01023</t>
  </si>
  <si>
    <t>Pharmaceuticals</t>
  </si>
  <si>
    <t>Navin Fluorine International Ltd</t>
  </si>
  <si>
    <t>INE048G01026</t>
  </si>
  <si>
    <t>Chemicals</t>
  </si>
  <si>
    <t>Honeywell Automation India Ltd</t>
  </si>
  <si>
    <t>INE671A01010</t>
  </si>
  <si>
    <t>Industrial Capital Goods</t>
  </si>
  <si>
    <t>Tata Consumer Products Ltd</t>
  </si>
  <si>
    <t>INE192A01025</t>
  </si>
  <si>
    <t>Consumer Non Durables</t>
  </si>
  <si>
    <t>Gujarat Gas Ltd</t>
  </si>
  <si>
    <t>INE844O01030</t>
  </si>
  <si>
    <t>Gas</t>
  </si>
  <si>
    <t>FSN E-Commerce Ventures Ltd</t>
  </si>
  <si>
    <t>INE388Y01029</t>
  </si>
  <si>
    <t>Divi's Laboratories Ltd</t>
  </si>
  <si>
    <t>INE361B01024</t>
  </si>
  <si>
    <t>Polycab India Ltd</t>
  </si>
  <si>
    <t>INE455K01017</t>
  </si>
  <si>
    <t>Industrial Products</t>
  </si>
  <si>
    <t>Titan Co Ltd</t>
  </si>
  <si>
    <t>INE280A01028</t>
  </si>
  <si>
    <t>Consumer Durables</t>
  </si>
  <si>
    <t>Abbott India Ltd</t>
  </si>
  <si>
    <t>INE358A01014</t>
  </si>
  <si>
    <t>TCI Express Ltd</t>
  </si>
  <si>
    <t>INE586V01016</t>
  </si>
  <si>
    <t>Transportation</t>
  </si>
  <si>
    <t>PI Industries Ltd</t>
  </si>
  <si>
    <t>INE603J01030</t>
  </si>
  <si>
    <t>Pesticides</t>
  </si>
  <si>
    <t>Jubilant Foodworks Ltd</t>
  </si>
  <si>
    <t>INE797F01012</t>
  </si>
  <si>
    <t>Leisure Services</t>
  </si>
  <si>
    <t>Cholamandalam Investment and Finance Co Ltd</t>
  </si>
  <si>
    <t>INE121A01024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</si>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</sst>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0" fontId="3" fillId="3" borderId="5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9" fillId="3" borderId="9" xfId="0" applyFont="1" applyFill="1" applyBorder="1"/>
    <xf numFmtId="0" fontId="3" fillId="3" borderId="10" xfId="0" applyFont="1" applyFill="1" applyBorder="1"/>
    <xf numFmtId="0" fontId="3" fillId="3" borderId="10" xfId="0" applyNumberFormat="1" applyFont="1" applyFill="1" applyBorder="1"/>
    <xf numFmtId="4" fontId="3" fillId="3" borderId="10" xfId="0" applyNumberFormat="1" applyFont="1" applyFill="1" applyBorder="1"/>
    <xf numFmtId="0" fontId="3" fillId="3" borderId="11" xfId="0" applyFont="1" applyFill="1" applyBorder="1" applyAlignment="1">
      <alignment horizontal="center"/>
    </xf>
    <xf numFmtId="0" fontId="3" fillId="3" borderId="9" xfId="0" applyFont="1" applyFill="1" applyBorder="1"/>
    <xf numFmtId="3" fontId="3" fillId="3" borderId="10" xfId="0" applyNumberFormat="1" applyFont="1" applyFill="1" applyBorder="1"/>
    <xf numFmtId="0" fontId="3" fillId="3" borderId="12" xfId="0" applyFont="1" applyFill="1" applyBorder="1" applyAlignment="1">
      <alignment horizontal="center"/>
    </xf>
    <xf numFmtId="0" fontId="9" fillId="3" borderId="13" xfId="0" applyFont="1" applyFill="1" applyBorder="1"/>
    <xf numFmtId="0" fontId="9" fillId="3" borderId="14" xfId="0" applyFont="1" applyFill="1" applyBorder="1"/>
    <xf numFmtId="0" fontId="9" fillId="3" borderId="14" xfId="0" applyNumberFormat="1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6" xfId="0" applyNumberFormat="1" applyFont="1" applyFill="1" applyBorder="1"/>
    <xf numFmtId="0" fontId="9" fillId="3" borderId="17" xfId="0" applyFont="1" applyFill="1" applyBorder="1"/>
    <xf numFmtId="0" fontId="3" fillId="3" borderId="18" xfId="0" applyFont="1" applyFill="1" applyBorder="1"/>
    <xf numFmtId="0" fontId="3" fillId="3" borderId="18" xfId="0" applyNumberFormat="1" applyFont="1" applyFill="1" applyBorder="1"/>
    <xf numFmtId="4" fontId="3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9" fillId="3" borderId="5" xfId="0" applyFont="1" applyFill="1" applyBorder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  <xf numFmtId="4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228600</xdr:colOff>
      <xdr:row>4</xdr:row>
      <xdr:rowOff>17433</xdr:rowOff>
    </xdr:from>
    <xdr:to>
      <xdr:col>11</xdr:col>
      <xdr:colOff>1876425</xdr:colOff>
      <xdr:row>11</xdr:row>
      <xdr:rowOff>109941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D056EF-FB47-460C-801A-05F800A67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16075" y="1017558"/>
          <a:ext cx="1647825" cy="11593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122327</xdr:colOff>
      <xdr:row>4</xdr:row>
      <xdr:rowOff>19050</xdr:rowOff>
    </xdr:from>
    <xdr:to>
      <xdr:col>9</xdr:col>
      <xdr:colOff>1886535</xdr:colOff>
      <xdr:row>11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AA1E18-9468-4C0E-B89D-4F4D3EAB4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42652" y="1019175"/>
          <a:ext cx="1764208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133349</xdr:colOff>
      <xdr:row>4</xdr:row>
      <xdr:rowOff>38100</xdr:rowOff>
    </xdr:from>
    <xdr:to>
      <xdr:col>10</xdr:col>
      <xdr:colOff>1800225</xdr:colOff>
      <xdr:row>11</xdr:row>
      <xdr:rowOff>145236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AA1E18-9468-4C0E-B89D-4F4D3EAB4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06299" y="1038225"/>
          <a:ext cx="1666876" cy="11739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45"/>
  <sheetViews>
    <sheetView tabSelected="1" workbookViewId="0">
      <selection activeCell="H1" sqref="H1:H1048576"/>
    </sheetView>
  </sheetViews>
  <sheetFormatPr defaultRowHeight="12"/>
  <cols>
    <col min="1" max="1" width="9.140625" style="4"/>
    <col min="2" max="2" width="60.85546875" style="4" bestFit="1" customWidth="1"/>
    <col min="3" max="3" width="13.5703125" style="4" bestFit="1" customWidth="1"/>
    <col min="4" max="4" width="23.42578125" style="4" bestFit="1" customWidth="1"/>
    <col min="5" max="5" width="8.85546875" style="48" bestFit="1" customWidth="1"/>
    <col min="6" max="6" width="15.28515625" style="49" bestFit="1" customWidth="1"/>
    <col min="7" max="7" width="7.42578125" style="49" bestFit="1" customWidth="1"/>
    <col min="8" max="8" width="10" style="3" bestFit="1" customWidth="1"/>
    <col min="9" max="9" width="4.7109375" style="3" bestFit="1" customWidth="1"/>
    <col min="10" max="10" width="29.28515625" style="3" customWidth="1"/>
    <col min="11" max="11" width="28.7109375" style="3" customWidth="1"/>
    <col min="12" max="12" width="33.5703125" style="4" customWidth="1"/>
    <col min="13" max="16384" width="9.140625" style="4"/>
  </cols>
  <sheetData>
    <row r="1" spans="2:12" ht="20.25">
      <c r="B1" s="1" t="s">
        <v>0</v>
      </c>
      <c r="C1" s="2"/>
      <c r="D1" s="2"/>
      <c r="E1" s="2"/>
      <c r="F1" s="2"/>
      <c r="G1" s="2"/>
    </row>
    <row r="3" spans="2:12" ht="16.5" thickBot="1">
      <c r="B3" s="5" t="s">
        <v>1</v>
      </c>
      <c r="C3" s="6"/>
      <c r="D3" s="7"/>
      <c r="E3" s="8"/>
      <c r="F3" s="9"/>
      <c r="G3" s="9"/>
    </row>
    <row r="4" spans="2:12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J4" s="15" t="s">
        <v>8</v>
      </c>
      <c r="K4" s="15" t="s">
        <v>9</v>
      </c>
      <c r="L4" s="15" t="s">
        <v>10</v>
      </c>
    </row>
    <row r="5" spans="2:12">
      <c r="B5" s="16" t="s">
        <v>11</v>
      </c>
      <c r="C5" s="17"/>
      <c r="D5" s="17"/>
      <c r="E5" s="18"/>
      <c r="F5" s="19"/>
      <c r="G5" s="19"/>
      <c r="J5" s="20"/>
      <c r="K5" s="20"/>
      <c r="L5" s="21"/>
    </row>
    <row r="6" spans="2:12">
      <c r="B6" s="22" t="s">
        <v>12</v>
      </c>
      <c r="C6" s="23"/>
      <c r="D6" s="23"/>
      <c r="E6" s="24"/>
      <c r="F6" s="25"/>
      <c r="G6" s="25"/>
      <c r="J6" s="20"/>
      <c r="K6" s="20"/>
      <c r="L6" s="26"/>
    </row>
    <row r="7" spans="2:12">
      <c r="B7" s="27" t="s">
        <v>13</v>
      </c>
      <c r="C7" s="23" t="s">
        <v>14</v>
      </c>
      <c r="D7" s="23" t="s">
        <v>15</v>
      </c>
      <c r="E7" s="28">
        <v>667000</v>
      </c>
      <c r="F7" s="25">
        <v>12591.29</v>
      </c>
      <c r="G7" s="25">
        <v>9.24</v>
      </c>
      <c r="J7" s="20"/>
      <c r="K7" s="20"/>
      <c r="L7" s="26"/>
    </row>
    <row r="8" spans="2:12">
      <c r="B8" s="27" t="s">
        <v>16</v>
      </c>
      <c r="C8" s="23" t="s">
        <v>17</v>
      </c>
      <c r="D8" s="23" t="s">
        <v>18</v>
      </c>
      <c r="E8" s="28">
        <v>752500</v>
      </c>
      <c r="F8" s="25">
        <v>11132.49</v>
      </c>
      <c r="G8" s="25">
        <v>8.17</v>
      </c>
      <c r="J8" s="20"/>
      <c r="K8" s="20"/>
      <c r="L8" s="26"/>
    </row>
    <row r="9" spans="2:12">
      <c r="B9" s="27" t="s">
        <v>19</v>
      </c>
      <c r="C9" s="23" t="s">
        <v>20</v>
      </c>
      <c r="D9" s="23" t="s">
        <v>18</v>
      </c>
      <c r="E9" s="28">
        <v>1455000</v>
      </c>
      <c r="F9" s="25">
        <v>10769.18</v>
      </c>
      <c r="G9" s="25">
        <v>7.9</v>
      </c>
      <c r="J9" s="20"/>
      <c r="K9" s="20"/>
      <c r="L9" s="26"/>
    </row>
    <row r="10" spans="2:12">
      <c r="B10" s="27" t="s">
        <v>21</v>
      </c>
      <c r="C10" s="23" t="s">
        <v>22</v>
      </c>
      <c r="D10" s="23" t="s">
        <v>23</v>
      </c>
      <c r="E10" s="28">
        <v>101500</v>
      </c>
      <c r="F10" s="25">
        <v>7081.96</v>
      </c>
      <c r="G10" s="25">
        <v>5.2</v>
      </c>
      <c r="J10" s="20"/>
      <c r="K10" s="20"/>
      <c r="L10" s="26"/>
    </row>
    <row r="11" spans="2:12">
      <c r="B11" s="27" t="s">
        <v>24</v>
      </c>
      <c r="C11" s="23" t="s">
        <v>25</v>
      </c>
      <c r="D11" s="23" t="s">
        <v>26</v>
      </c>
      <c r="E11" s="28">
        <v>365000</v>
      </c>
      <c r="F11" s="25">
        <v>6920.04</v>
      </c>
      <c r="G11" s="25">
        <v>5.08</v>
      </c>
      <c r="J11" s="20"/>
      <c r="K11" s="20"/>
      <c r="L11" s="26"/>
    </row>
    <row r="12" spans="2:12">
      <c r="B12" s="27" t="s">
        <v>27</v>
      </c>
      <c r="C12" s="23" t="s">
        <v>28</v>
      </c>
      <c r="D12" s="23" t="s">
        <v>15</v>
      </c>
      <c r="E12" s="28">
        <v>162000</v>
      </c>
      <c r="F12" s="25">
        <v>6056.13</v>
      </c>
      <c r="G12" s="25">
        <v>4.4400000000000004</v>
      </c>
      <c r="J12" s="20"/>
      <c r="K12" s="20"/>
      <c r="L12" s="29"/>
    </row>
    <row r="13" spans="2:12">
      <c r="B13" s="27" t="s">
        <v>29</v>
      </c>
      <c r="C13" s="23" t="s">
        <v>30</v>
      </c>
      <c r="D13" s="23" t="s">
        <v>31</v>
      </c>
      <c r="E13" s="28">
        <v>71000</v>
      </c>
      <c r="F13" s="25">
        <v>5389.65</v>
      </c>
      <c r="G13" s="25">
        <v>3.96</v>
      </c>
      <c r="K13" s="3" t="s">
        <v>32</v>
      </c>
    </row>
    <row r="14" spans="2:12">
      <c r="B14" s="27" t="s">
        <v>33</v>
      </c>
      <c r="C14" s="23" t="s">
        <v>34</v>
      </c>
      <c r="D14" s="23" t="s">
        <v>18</v>
      </c>
      <c r="E14" s="28">
        <v>1095000</v>
      </c>
      <c r="F14" s="25">
        <v>5041.93</v>
      </c>
      <c r="G14" s="25">
        <v>3.7</v>
      </c>
    </row>
    <row r="15" spans="2:12">
      <c r="B15" s="27" t="s">
        <v>35</v>
      </c>
      <c r="C15" s="23" t="s">
        <v>36</v>
      </c>
      <c r="D15" s="23" t="s">
        <v>37</v>
      </c>
      <c r="E15" s="28">
        <v>107500</v>
      </c>
      <c r="F15" s="25">
        <v>5021.8100000000004</v>
      </c>
      <c r="G15" s="25">
        <v>3.69</v>
      </c>
    </row>
    <row r="16" spans="2:12">
      <c r="B16" s="27" t="s">
        <v>38</v>
      </c>
      <c r="C16" s="23" t="s">
        <v>39</v>
      </c>
      <c r="D16" s="23" t="s">
        <v>18</v>
      </c>
      <c r="E16" s="28">
        <v>710000</v>
      </c>
      <c r="F16" s="25">
        <v>4817.71</v>
      </c>
      <c r="G16" s="25">
        <v>3.54</v>
      </c>
    </row>
    <row r="17" spans="2:7">
      <c r="B17" s="27" t="s">
        <v>40</v>
      </c>
      <c r="C17" s="23" t="s">
        <v>41</v>
      </c>
      <c r="D17" s="23" t="s">
        <v>42</v>
      </c>
      <c r="E17" s="28">
        <v>350000</v>
      </c>
      <c r="F17" s="25">
        <v>4186</v>
      </c>
      <c r="G17" s="25">
        <v>3.07</v>
      </c>
    </row>
    <row r="18" spans="2:7">
      <c r="B18" s="27" t="s">
        <v>43</v>
      </c>
      <c r="C18" s="23" t="s">
        <v>44</v>
      </c>
      <c r="D18" s="23" t="s">
        <v>45</v>
      </c>
      <c r="E18" s="28">
        <v>750000</v>
      </c>
      <c r="F18" s="25">
        <v>3618</v>
      </c>
      <c r="G18" s="25">
        <v>2.66</v>
      </c>
    </row>
    <row r="19" spans="2:7">
      <c r="B19" s="27" t="s">
        <v>46</v>
      </c>
      <c r="C19" s="23" t="s">
        <v>47</v>
      </c>
      <c r="D19" s="23" t="s">
        <v>48</v>
      </c>
      <c r="E19" s="28">
        <v>271499</v>
      </c>
      <c r="F19" s="25">
        <v>3325.46</v>
      </c>
      <c r="G19" s="25">
        <v>2.44</v>
      </c>
    </row>
    <row r="20" spans="2:7">
      <c r="B20" s="27" t="s">
        <v>49</v>
      </c>
      <c r="C20" s="23" t="s">
        <v>50</v>
      </c>
      <c r="D20" s="23" t="s">
        <v>48</v>
      </c>
      <c r="E20" s="28">
        <v>38184</v>
      </c>
      <c r="F20" s="25">
        <v>3244</v>
      </c>
      <c r="G20" s="25">
        <v>2.38</v>
      </c>
    </row>
    <row r="21" spans="2:7">
      <c r="B21" s="27" t="s">
        <v>51</v>
      </c>
      <c r="C21" s="23" t="s">
        <v>52</v>
      </c>
      <c r="D21" s="23" t="s">
        <v>53</v>
      </c>
      <c r="E21" s="28">
        <v>716504</v>
      </c>
      <c r="F21" s="25">
        <v>3173.4</v>
      </c>
      <c r="G21" s="25">
        <v>2.33</v>
      </c>
    </row>
    <row r="22" spans="2:7">
      <c r="B22" s="27" t="s">
        <v>54</v>
      </c>
      <c r="C22" s="23" t="s">
        <v>55</v>
      </c>
      <c r="D22" s="23" t="s">
        <v>56</v>
      </c>
      <c r="E22" s="28">
        <v>80500</v>
      </c>
      <c r="F22" s="25">
        <v>3110.96</v>
      </c>
      <c r="G22" s="25">
        <v>2.2799999999999998</v>
      </c>
    </row>
    <row r="23" spans="2:7">
      <c r="B23" s="27" t="s">
        <v>57</v>
      </c>
      <c r="C23" s="23" t="s">
        <v>58</v>
      </c>
      <c r="D23" s="23" t="s">
        <v>59</v>
      </c>
      <c r="E23" s="28">
        <v>73600</v>
      </c>
      <c r="F23" s="25">
        <v>3082.74</v>
      </c>
      <c r="G23" s="25">
        <v>2.2599999999999998</v>
      </c>
    </row>
    <row r="24" spans="2:7">
      <c r="B24" s="27" t="s">
        <v>60</v>
      </c>
      <c r="C24" s="23" t="s">
        <v>61</v>
      </c>
      <c r="D24" s="23" t="s">
        <v>62</v>
      </c>
      <c r="E24" s="28">
        <v>7050</v>
      </c>
      <c r="F24" s="25">
        <v>2973.05</v>
      </c>
      <c r="G24" s="25">
        <v>2.1800000000000002</v>
      </c>
    </row>
    <row r="25" spans="2:7">
      <c r="B25" s="27" t="s">
        <v>63</v>
      </c>
      <c r="C25" s="23" t="s">
        <v>64</v>
      </c>
      <c r="D25" s="23" t="s">
        <v>65</v>
      </c>
      <c r="E25" s="28">
        <v>390000</v>
      </c>
      <c r="F25" s="25">
        <v>2899.46</v>
      </c>
      <c r="G25" s="25">
        <v>2.13</v>
      </c>
    </row>
    <row r="26" spans="2:7">
      <c r="B26" s="27" t="s">
        <v>66</v>
      </c>
      <c r="C26" s="23" t="s">
        <v>67</v>
      </c>
      <c r="D26" s="23" t="s">
        <v>68</v>
      </c>
      <c r="E26" s="28">
        <v>450000</v>
      </c>
      <c r="F26" s="25">
        <v>2856.83</v>
      </c>
      <c r="G26" s="25">
        <v>2.1</v>
      </c>
    </row>
    <row r="27" spans="2:7">
      <c r="B27" s="27" t="s">
        <v>69</v>
      </c>
      <c r="C27" s="23" t="s">
        <v>70</v>
      </c>
      <c r="D27" s="23" t="s">
        <v>37</v>
      </c>
      <c r="E27" s="28">
        <v>124569</v>
      </c>
      <c r="F27" s="25">
        <v>2617.88</v>
      </c>
      <c r="G27" s="25">
        <v>1.92</v>
      </c>
    </row>
    <row r="28" spans="2:7">
      <c r="B28" s="27" t="s">
        <v>71</v>
      </c>
      <c r="C28" s="23" t="s">
        <v>72</v>
      </c>
      <c r="D28" s="23" t="s">
        <v>56</v>
      </c>
      <c r="E28" s="28">
        <v>55500</v>
      </c>
      <c r="F28" s="25">
        <v>2596.4</v>
      </c>
      <c r="G28" s="25">
        <v>1.91</v>
      </c>
    </row>
    <row r="29" spans="2:7">
      <c r="B29" s="27" t="s">
        <v>73</v>
      </c>
      <c r="C29" s="23" t="s">
        <v>74</v>
      </c>
      <c r="D29" s="23" t="s">
        <v>75</v>
      </c>
      <c r="E29" s="28">
        <v>92500</v>
      </c>
      <c r="F29" s="25">
        <v>2281.5100000000002</v>
      </c>
      <c r="G29" s="25">
        <v>1.67</v>
      </c>
    </row>
    <row r="30" spans="2:7">
      <c r="B30" s="27" t="s">
        <v>76</v>
      </c>
      <c r="C30" s="23" t="s">
        <v>77</v>
      </c>
      <c r="D30" s="23" t="s">
        <v>78</v>
      </c>
      <c r="E30" s="28">
        <v>90000</v>
      </c>
      <c r="F30" s="25">
        <v>2270.16</v>
      </c>
      <c r="G30" s="25">
        <v>1.67</v>
      </c>
    </row>
    <row r="31" spans="2:7">
      <c r="B31" s="27" t="s">
        <v>79</v>
      </c>
      <c r="C31" s="23" t="s">
        <v>80</v>
      </c>
      <c r="D31" s="23" t="s">
        <v>56</v>
      </c>
      <c r="E31" s="28">
        <v>11500</v>
      </c>
      <c r="F31" s="25">
        <v>2240.85</v>
      </c>
      <c r="G31" s="25">
        <v>1.64</v>
      </c>
    </row>
    <row r="32" spans="2:7">
      <c r="B32" s="27" t="s">
        <v>81</v>
      </c>
      <c r="C32" s="23" t="s">
        <v>82</v>
      </c>
      <c r="D32" s="23" t="s">
        <v>83</v>
      </c>
      <c r="E32" s="28">
        <v>90057</v>
      </c>
      <c r="F32" s="25">
        <v>1993.14</v>
      </c>
      <c r="G32" s="25">
        <v>1.46</v>
      </c>
    </row>
    <row r="33" spans="2:7">
      <c r="B33" s="27" t="s">
        <v>84</v>
      </c>
      <c r="C33" s="23" t="s">
        <v>85</v>
      </c>
      <c r="D33" s="23" t="s">
        <v>86</v>
      </c>
      <c r="E33" s="28">
        <v>62000</v>
      </c>
      <c r="F33" s="25">
        <v>1881.2</v>
      </c>
      <c r="G33" s="25">
        <v>1.38</v>
      </c>
    </row>
    <row r="34" spans="2:7">
      <c r="B34" s="27" t="s">
        <v>87</v>
      </c>
      <c r="C34" s="23" t="s">
        <v>88</v>
      </c>
      <c r="D34" s="23" t="s">
        <v>89</v>
      </c>
      <c r="E34" s="28">
        <v>42000</v>
      </c>
      <c r="F34" s="25">
        <v>1508.26</v>
      </c>
      <c r="G34" s="25">
        <v>1.1100000000000001</v>
      </c>
    </row>
    <row r="35" spans="2:7">
      <c r="B35" s="27" t="s">
        <v>90</v>
      </c>
      <c r="C35" s="23" t="s">
        <v>91</v>
      </c>
      <c r="D35" s="23" t="s">
        <v>23</v>
      </c>
      <c r="E35" s="28">
        <v>170000</v>
      </c>
      <c r="F35" s="25">
        <v>884.68</v>
      </c>
      <c r="G35" s="25">
        <v>0.65</v>
      </c>
    </row>
    <row r="36" spans="2:7">
      <c r="B36" s="30" t="s">
        <v>92</v>
      </c>
      <c r="C36" s="31"/>
      <c r="D36" s="31"/>
      <c r="E36" s="32"/>
      <c r="F36" s="33">
        <f>SUM(F7:F35)</f>
        <v>125566.17000000001</v>
      </c>
      <c r="G36" s="33">
        <f>SUM(G7:G35)</f>
        <v>92.16</v>
      </c>
    </row>
    <row r="37" spans="2:7">
      <c r="B37" s="34" t="s">
        <v>93</v>
      </c>
      <c r="C37" s="34"/>
      <c r="D37" s="34"/>
      <c r="E37" s="35"/>
      <c r="F37" s="36">
        <f>F36</f>
        <v>125566.17000000001</v>
      </c>
      <c r="G37" s="36">
        <f>G36</f>
        <v>92.16</v>
      </c>
    </row>
    <row r="38" spans="2:7">
      <c r="B38" s="37" t="s">
        <v>94</v>
      </c>
      <c r="C38" s="38"/>
      <c r="D38" s="38"/>
      <c r="E38" s="39"/>
      <c r="F38" s="40"/>
      <c r="G38" s="40"/>
    </row>
    <row r="39" spans="2:7">
      <c r="B39" s="27" t="s">
        <v>94</v>
      </c>
      <c r="C39" s="23"/>
      <c r="D39" s="23"/>
      <c r="E39" s="24"/>
      <c r="F39" s="25">
        <v>11016.12</v>
      </c>
      <c r="G39" s="25">
        <v>8.08</v>
      </c>
    </row>
    <row r="40" spans="2:7">
      <c r="B40" s="30" t="s">
        <v>92</v>
      </c>
      <c r="C40" s="31"/>
      <c r="D40" s="31"/>
      <c r="E40" s="32"/>
      <c r="F40" s="33">
        <f>SUM(F38:F39)</f>
        <v>11016.12</v>
      </c>
      <c r="G40" s="33">
        <f>SUM(G38:G39)</f>
        <v>8.08</v>
      </c>
    </row>
    <row r="41" spans="2:7">
      <c r="B41" s="41" t="s">
        <v>93</v>
      </c>
      <c r="C41" s="41"/>
      <c r="D41" s="41"/>
      <c r="E41" s="42"/>
      <c r="F41" s="43">
        <f>F40</f>
        <v>11016.12</v>
      </c>
      <c r="G41" s="43">
        <f>G40</f>
        <v>8.08</v>
      </c>
    </row>
    <row r="42" spans="2:7">
      <c r="B42" s="44" t="s">
        <v>95</v>
      </c>
      <c r="C42" s="44"/>
      <c r="D42" s="44"/>
      <c r="E42" s="45"/>
      <c r="F42" s="46">
        <f>F43-(+F37+F41)</f>
        <v>-312.17000000001281</v>
      </c>
      <c r="G42" s="46">
        <f>G43-(+G37+G41)</f>
        <v>-0.23999999999999488</v>
      </c>
    </row>
    <row r="43" spans="2:7">
      <c r="B43" s="44" t="s">
        <v>96</v>
      </c>
      <c r="C43" s="44"/>
      <c r="D43" s="44"/>
      <c r="E43" s="45"/>
      <c r="F43" s="46">
        <v>136270.12</v>
      </c>
      <c r="G43" s="46">
        <v>100</v>
      </c>
    </row>
    <row r="45" spans="2:7">
      <c r="B45" s="47"/>
    </row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2022-01-07T11:51:09Z</dcterms:created>
  <dcterms:modified xsi:type="dcterms:W3CDTF">2022-01-07T11:51:12Z</dcterms:modified>
</cp:coreProperties>
</file>