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579D8567-E071-4FD8-9926-114C5F9C0CE6}" xr6:coauthVersionLast="47" xr6:coauthVersionMax="47" xr10:uidLastSave="{00000000-0000-0000-0000-000000000000}"/>
  <bookViews>
    <workbookView xWindow="-120" yWindow="-120" windowWidth="20730" windowHeight="11160" xr2:uid="{69762DD8-99EB-4988-8238-BF7C04A5E663}"/>
  </bookViews>
  <sheets>
    <sheet name="G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20" i="1" s="1"/>
  <c r="F18" i="1"/>
  <c r="F19" i="1" s="1"/>
  <c r="F20" i="1" s="1"/>
  <c r="G15" i="1"/>
  <c r="F15" i="1"/>
</calcChain>
</file>

<file path=xl/sharedStrings.xml><?xml version="1.0" encoding="utf-8"?>
<sst xmlns="http://schemas.openxmlformats.org/spreadsheetml/2006/main" count="61" uniqueCount="51">
  <si>
    <t>CANARA ROBECO GILT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</si>
  <si>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</si>
  <si>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</si>
  <si>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</si>
  <si>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</si>
  <si>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</si>
  <si>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</si>
  <si>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</si>
  <si>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</si>
  <si>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Jun'23</t>
  </si>
  <si>
    <t>Benchmark Risk-o-meter Level- Jun'23</t>
  </si>
  <si>
    <t>Scheme Risk-o-meter Level- May'23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</si>
  <si>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</si>
  <si>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</si>
  <si>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</si>
  <si>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</si>
  <si>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</si>
  <si>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</si>
  <si>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7.26% GOI 06-FEB-33</t>
  </si>
  <si>
    <t>IN0020220151</t>
  </si>
  <si>
    <t>Sovereign</t>
  </si>
  <si>
    <t>Interest Rate Risk ↓</t>
  </si>
  <si>
    <t>7.10% GOI 18-APR-29</t>
  </si>
  <si>
    <t>IN0020220011</t>
  </si>
  <si>
    <t>Relatively Low (Class I)</t>
  </si>
  <si>
    <t>8.83% GOI 2023 (25-NOV-2023)</t>
  </si>
  <si>
    <t>IN0020130061</t>
  </si>
  <si>
    <t>7.41% GOI 19-DEC-36</t>
  </si>
  <si>
    <t>IN0020220102</t>
  </si>
  <si>
    <t>Moderate 
(Class II)</t>
  </si>
  <si>
    <t>8.18% ANDHRA PRADESH SDL 27-MAY-25</t>
  </si>
  <si>
    <t>IN1020150018</t>
  </si>
  <si>
    <t>4.56% GOI 29-NOV-23</t>
  </si>
  <si>
    <t>IN0020210210</t>
  </si>
  <si>
    <t>Relatively High (Class III)</t>
  </si>
  <si>
    <t>A-III</t>
  </si>
  <si>
    <t>5.74% INDIA GOVERNMENT 15-NOV-26</t>
  </si>
  <si>
    <t>IN0020210186</t>
  </si>
  <si>
    <t>7.38% GOI 20-JUN-27</t>
  </si>
  <si>
    <t>IN0020220037</t>
  </si>
  <si>
    <t>Benchmark: CRISIL Dynamic Gilt Index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</si>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</sst>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4" fontId="9" fillId="3" borderId="14" xfId="0" applyNumberFormat="1" applyFont="1" applyFill="1" applyBorder="1"/>
    <xf numFmtId="0" fontId="9" fillId="3" borderId="11" xfId="0" applyFont="1" applyFill="1" applyBorder="1"/>
    <xf numFmtId="0" fontId="9" fillId="3" borderId="15" xfId="0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289114</xdr:colOff>
      <xdr:row>4</xdr:row>
      <xdr:rowOff>50350</xdr:rowOff>
    </xdr:from>
    <xdr:to>
      <xdr:col>9</xdr:col>
      <xdr:colOff>1940046</xdr:colOff>
      <xdr:row>10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C3975-9683-42A6-B8BC-C0F846D3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9789" y="1040950"/>
          <a:ext cx="1650932" cy="1416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169849</xdr:colOff>
      <xdr:row>4</xdr:row>
      <xdr:rowOff>80283</xdr:rowOff>
    </xdr:from>
    <xdr:to>
      <xdr:col>10</xdr:col>
      <xdr:colOff>1866900</xdr:colOff>
      <xdr:row>10</xdr:row>
      <xdr:rowOff>124261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F0D7E-8DFF-4C7E-94E0-4C9EE001F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5549" y="1070883"/>
          <a:ext cx="1697051" cy="1415578"/>
        </a:xfrm>
        <a:prstGeom prst="rect">
          <a:avLst/>
        </a:prstGeom>
      </xdr:spPr>
    </xdr:pic>
    <xdr:clientData/>
  </xdr:twoCellAnchor>
  <xdr:oneCellAnchor>
    <xdr:from>
      <xdr:col>11</xdr:col>
      <xdr:colOff>222439</xdr:colOff>
      <xdr:row>4</xdr:row>
      <xdr:rowOff>69398</xdr:rowOff>
    </xdr:from>
    <xdr:ext cx="1674051" cy="1416502"/>
    <xdr:pic>
      <xdr:nvPicPr>
        <xdr:cNvPr id="4" name="Picture 3">
          <a:extLst>
            <a:ext uri="{FF2B5EF4-FFF2-40B4-BE49-F238E27FC236}">
              <a16:creationId xmlns:a16="http://schemas.microsoft.com/office/drawing/2014/main" id="{B3C6669B-AD4D-4284-AA69-51BEEDFB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6989" y="1059998"/>
          <a:ext cx="1674051" cy="1416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D92B-6724-430C-8855-B5F9B2024C6B}">
  <dimension ref="B1:Q29"/>
  <sheetViews>
    <sheetView tabSelected="1" workbookViewId="0">
      <selection activeCell="C24" sqref="C24"/>
    </sheetView>
  </sheetViews>
  <sheetFormatPr defaultRowHeight="12" x14ac:dyDescent="0.2"/>
  <cols>
    <col min="1" max="1" width="9.140625" style="4"/>
    <col min="2" max="2" width="55" style="4" bestFit="1" customWidth="1"/>
    <col min="3" max="3" width="12.7109375" style="4" bestFit="1" customWidth="1"/>
    <col min="4" max="4" width="14.1406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4" t="s">
        <v>19</v>
      </c>
      <c r="D6" s="24" t="s">
        <v>20</v>
      </c>
      <c r="E6" s="25">
        <v>2750000</v>
      </c>
      <c r="F6" s="26">
        <v>2778</v>
      </c>
      <c r="G6" s="26">
        <v>30.54</v>
      </c>
      <c r="H6" s="26">
        <v>7.24</v>
      </c>
      <c r="J6" s="21"/>
      <c r="K6" s="21"/>
      <c r="L6" s="21"/>
      <c r="N6" s="27" t="s">
        <v>21</v>
      </c>
      <c r="O6" s="23"/>
      <c r="P6" s="23"/>
      <c r="Q6" s="23"/>
    </row>
    <row r="7" spans="2:17" x14ac:dyDescent="0.2">
      <c r="B7" s="24" t="s">
        <v>22</v>
      </c>
      <c r="C7" s="24" t="s">
        <v>23</v>
      </c>
      <c r="D7" s="24" t="s">
        <v>20</v>
      </c>
      <c r="E7" s="25">
        <v>1500000</v>
      </c>
      <c r="F7" s="26">
        <v>1498.56</v>
      </c>
      <c r="G7" s="26">
        <v>16.47</v>
      </c>
      <c r="H7" s="26">
        <v>7.24</v>
      </c>
      <c r="J7" s="21"/>
      <c r="K7" s="21"/>
      <c r="L7" s="21"/>
      <c r="N7" s="28" t="s">
        <v>24</v>
      </c>
      <c r="O7" s="29"/>
      <c r="P7" s="29"/>
      <c r="Q7" s="29"/>
    </row>
    <row r="8" spans="2:17" x14ac:dyDescent="0.2">
      <c r="B8" s="24" t="s">
        <v>25</v>
      </c>
      <c r="C8" s="24" t="s">
        <v>26</v>
      </c>
      <c r="D8" s="24" t="s">
        <v>20</v>
      </c>
      <c r="E8" s="25">
        <v>1000000</v>
      </c>
      <c r="F8" s="26">
        <v>1007.01</v>
      </c>
      <c r="G8" s="26">
        <v>11.07</v>
      </c>
      <c r="H8" s="26">
        <v>6.92</v>
      </c>
      <c r="J8" s="21"/>
      <c r="K8" s="21"/>
      <c r="L8" s="21"/>
      <c r="N8" s="28"/>
      <c r="O8" s="30"/>
      <c r="P8" s="30"/>
      <c r="Q8" s="30"/>
    </row>
    <row r="9" spans="2:17" x14ac:dyDescent="0.2">
      <c r="B9" s="24" t="s">
        <v>27</v>
      </c>
      <c r="C9" s="24" t="s">
        <v>28</v>
      </c>
      <c r="D9" s="24" t="s">
        <v>20</v>
      </c>
      <c r="E9" s="25">
        <v>646900</v>
      </c>
      <c r="F9" s="26">
        <v>657.33</v>
      </c>
      <c r="G9" s="26">
        <v>7.23</v>
      </c>
      <c r="H9" s="26">
        <v>7.35</v>
      </c>
      <c r="J9" s="21"/>
      <c r="K9" s="21"/>
      <c r="L9" s="21"/>
      <c r="N9" s="28" t="s">
        <v>29</v>
      </c>
      <c r="O9" s="29"/>
      <c r="P9" s="29"/>
      <c r="Q9" s="29"/>
    </row>
    <row r="10" spans="2:17" x14ac:dyDescent="0.2">
      <c r="B10" s="24" t="s">
        <v>30</v>
      </c>
      <c r="C10" s="24" t="s">
        <v>31</v>
      </c>
      <c r="D10" s="24" t="s">
        <v>20</v>
      </c>
      <c r="E10" s="25">
        <v>500000</v>
      </c>
      <c r="F10" s="26">
        <v>507.91</v>
      </c>
      <c r="G10" s="26">
        <v>5.58</v>
      </c>
      <c r="H10" s="26">
        <v>7.4</v>
      </c>
      <c r="J10" s="21"/>
      <c r="K10" s="21"/>
      <c r="L10" s="21"/>
      <c r="N10" s="28"/>
      <c r="O10" s="30"/>
      <c r="P10" s="30"/>
      <c r="Q10" s="30"/>
    </row>
    <row r="11" spans="2:17" x14ac:dyDescent="0.2">
      <c r="B11" s="24" t="s">
        <v>32</v>
      </c>
      <c r="C11" s="24" t="s">
        <v>33</v>
      </c>
      <c r="D11" s="24" t="s">
        <v>20</v>
      </c>
      <c r="E11" s="25">
        <v>500000</v>
      </c>
      <c r="F11" s="26">
        <v>495.51</v>
      </c>
      <c r="G11" s="26">
        <v>5.45</v>
      </c>
      <c r="H11" s="26">
        <v>6.74</v>
      </c>
      <c r="J11" s="21"/>
      <c r="K11" s="21"/>
      <c r="L11" s="21"/>
      <c r="N11" s="28" t="s">
        <v>34</v>
      </c>
      <c r="O11" s="31" t="s">
        <v>35</v>
      </c>
      <c r="P11" s="29"/>
      <c r="Q11" s="29"/>
    </row>
    <row r="12" spans="2:17" x14ac:dyDescent="0.2">
      <c r="B12" s="24" t="s">
        <v>36</v>
      </c>
      <c r="C12" s="24" t="s">
        <v>37</v>
      </c>
      <c r="D12" s="24" t="s">
        <v>20</v>
      </c>
      <c r="E12" s="25">
        <v>500000</v>
      </c>
      <c r="F12" s="26">
        <v>480.49</v>
      </c>
      <c r="G12" s="26">
        <v>5.28</v>
      </c>
      <c r="H12" s="26">
        <v>7.18</v>
      </c>
      <c r="J12" s="21"/>
      <c r="K12" s="21"/>
      <c r="L12" s="21"/>
      <c r="N12" s="28"/>
      <c r="O12" s="32"/>
      <c r="P12" s="30"/>
      <c r="Q12" s="30"/>
    </row>
    <row r="13" spans="2:17" x14ac:dyDescent="0.2">
      <c r="B13" s="24" t="s">
        <v>38</v>
      </c>
      <c r="C13" s="24" t="s">
        <v>39</v>
      </c>
      <c r="D13" s="24" t="s">
        <v>20</v>
      </c>
      <c r="E13" s="25">
        <v>250100</v>
      </c>
      <c r="F13" s="26">
        <v>252.66</v>
      </c>
      <c r="G13" s="26">
        <v>2.78</v>
      </c>
      <c r="H13" s="26">
        <v>7.2</v>
      </c>
      <c r="J13" s="33"/>
      <c r="K13" s="33" t="s">
        <v>40</v>
      </c>
    </row>
    <row r="14" spans="2:17" x14ac:dyDescent="0.2">
      <c r="B14" s="34" t="s">
        <v>41</v>
      </c>
      <c r="C14" s="34" t="s">
        <v>42</v>
      </c>
      <c r="D14" s="34" t="s">
        <v>20</v>
      </c>
      <c r="E14" s="35">
        <v>10000</v>
      </c>
      <c r="F14" s="36">
        <v>10.95</v>
      </c>
      <c r="G14" s="36">
        <v>0.12</v>
      </c>
      <c r="H14" s="36">
        <v>7.39</v>
      </c>
    </row>
    <row r="15" spans="2:17" x14ac:dyDescent="0.2">
      <c r="B15" s="37" t="s">
        <v>43</v>
      </c>
      <c r="C15" s="37"/>
      <c r="D15" s="37"/>
      <c r="E15" s="37"/>
      <c r="F15" s="38">
        <f>SUM(F6:F14)</f>
        <v>7688.4199999999992</v>
      </c>
      <c r="G15" s="38">
        <f>SUM(G6:G14)</f>
        <v>84.52000000000001</v>
      </c>
      <c r="H15" s="38"/>
    </row>
    <row r="16" spans="2:17" x14ac:dyDescent="0.2">
      <c r="B16" s="39" t="s">
        <v>44</v>
      </c>
      <c r="C16" s="24"/>
      <c r="D16" s="24"/>
      <c r="E16" s="24"/>
      <c r="F16" s="26"/>
      <c r="G16" s="26"/>
      <c r="H16" s="26"/>
    </row>
    <row r="17" spans="2:8" x14ac:dyDescent="0.2">
      <c r="B17" s="24" t="s">
        <v>44</v>
      </c>
      <c r="C17" s="24"/>
      <c r="D17" s="24"/>
      <c r="E17" s="24"/>
      <c r="F17" s="26">
        <v>1259.08</v>
      </c>
      <c r="G17" s="26">
        <v>13.84</v>
      </c>
      <c r="H17" s="26"/>
    </row>
    <row r="18" spans="2:8" x14ac:dyDescent="0.2">
      <c r="B18" s="40" t="s">
        <v>45</v>
      </c>
      <c r="C18" s="40"/>
      <c r="D18" s="40"/>
      <c r="E18" s="40"/>
      <c r="F18" s="41">
        <f>SUM(F16:F17)</f>
        <v>1259.08</v>
      </c>
      <c r="G18" s="41">
        <f>SUM(G16:G17)</f>
        <v>13.84</v>
      </c>
      <c r="H18" s="42"/>
    </row>
    <row r="19" spans="2:8" x14ac:dyDescent="0.2">
      <c r="B19" s="43" t="s">
        <v>43</v>
      </c>
      <c r="C19" s="43"/>
      <c r="D19" s="43"/>
      <c r="E19" s="43"/>
      <c r="F19" s="44">
        <f>F18</f>
        <v>1259.08</v>
      </c>
      <c r="G19" s="44">
        <f>G18</f>
        <v>13.84</v>
      </c>
      <c r="H19" s="44"/>
    </row>
    <row r="20" spans="2:8" x14ac:dyDescent="0.2">
      <c r="B20" s="45" t="s">
        <v>46</v>
      </c>
      <c r="C20" s="45"/>
      <c r="D20" s="45"/>
      <c r="E20" s="45"/>
      <c r="F20" s="46">
        <f>F21-(+F15+F19)</f>
        <v>148.5</v>
      </c>
      <c r="G20" s="46">
        <f>G21-(+G15+G19)</f>
        <v>1.6399999999999864</v>
      </c>
      <c r="H20" s="46"/>
    </row>
    <row r="21" spans="2:8" x14ac:dyDescent="0.2">
      <c r="B21" s="45" t="s">
        <v>47</v>
      </c>
      <c r="C21" s="45"/>
      <c r="D21" s="45"/>
      <c r="E21" s="45"/>
      <c r="F21" s="46">
        <v>9096</v>
      </c>
      <c r="G21" s="46">
        <v>100</v>
      </c>
      <c r="H21" s="46"/>
    </row>
    <row r="23" spans="2:8" ht="12.75" thickBot="1" x14ac:dyDescent="0.25"/>
    <row r="24" spans="2:8" ht="13.5" thickTop="1" thickBot="1" x14ac:dyDescent="0.25">
      <c r="B24" s="47" t="s">
        <v>48</v>
      </c>
      <c r="C24" s="48">
        <v>3.8246000000000002</v>
      </c>
    </row>
    <row r="25" spans="2:8" ht="13.5" thickTop="1" thickBot="1" x14ac:dyDescent="0.25"/>
    <row r="26" spans="2:8" ht="13.5" thickTop="1" thickBot="1" x14ac:dyDescent="0.25">
      <c r="B26" s="47" t="s">
        <v>49</v>
      </c>
      <c r="C26" s="49">
        <v>7.1199999999999999E-2</v>
      </c>
    </row>
    <row r="27" spans="2:8" ht="13.5" thickTop="1" thickBot="1" x14ac:dyDescent="0.25"/>
    <row r="28" spans="2:8" ht="13.5" thickTop="1" thickBot="1" x14ac:dyDescent="0.25">
      <c r="B28" s="47" t="s">
        <v>50</v>
      </c>
      <c r="C28" s="48">
        <v>4.0549999999999997</v>
      </c>
    </row>
    <row r="29" spans="2:8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11:07:09</KDate>
  <Classification>Public</Classification>
  <Subclassification/>
  <HostName>MUMCMP00915</HostName>
  <Domain_User>CANARAROBECOMF/396</Domain_User>
  <IPAdd>192.9.198.198</IPAdd>
  <FilePath>Book13</FilePath>
  <KID>A4BB6D0D6391638242384291856716</KID>
  <UniqueName/>
  <Suggested/>
  <Justification/>
</Klassify>
</file>

<file path=customXml/itemProps1.xml><?xml version="1.0" encoding="utf-8"?>
<ds:datastoreItem xmlns:ds="http://schemas.openxmlformats.org/officeDocument/2006/customXml" ds:itemID="{9EB568BC-975A-4962-9A26-1206DC786F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2023-07-06T05:37:05Z</dcterms:created>
  <dcterms:modified xsi:type="dcterms:W3CDTF">2023-07-06T05:37:09Z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A4BB6D0D6391638242384291856716</vt:lpwstr>
  </property>
</Properties>
</file>