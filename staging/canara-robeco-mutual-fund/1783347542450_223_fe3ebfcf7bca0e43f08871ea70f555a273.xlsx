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P:\hemangi\data\monthly portfolios with ISIN\FY 2022-23\January 2023\"/>
    </mc:Choice>
  </mc:AlternateContent>
  <bookViews>
    <workbookView xWindow="0" yWindow="0" windowWidth="20490" windowHeight="7620"/>
  </bookViews>
  <sheets>
    <sheet name="FE" sheetId="1" r:id="rId1"/>
  </sheets>
  <calcPr calcId="162913" calcMode="manual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G40" i="1" l="1"/>
  <c r="G41" i="1" s="1"/>
  <c r="F40" i="1"/>
  <c r="F41" i="1" s="1"/>
  <c r="G36" i="1"/>
  <c r="G37" i="1" s="1"/>
  <c r="G42" i="1" s="1"/>
  <c r="F36" i="1"/>
  <c r="F37" i="1" s="1"/>
  <c r="F42" i="1" s="1"/>
</calcChain>
</file>

<file path=xl/sharedStrings.xml><?xml version="1.0" encoding="utf-8"?>
<sst xmlns="http://schemas.openxmlformats.org/spreadsheetml/2006/main" count="197" uniqueCount="105">
  <si>
    <t>CANARA ROBECO FOCUSED EQUITY FUND</t>
  </si>
  <si>
    <t>Monthly Portfolio Statement as on January 31, 2023</t>
  </si>
  <si>
    <t>Name of the Instrument</t>
  </si>
  <si>
    <t>ISIN</t>
  </si>
  <si>
    <t>Industry / Rating</t>
  </si>
  <si>
    <t>Quantity</t>
  </si>
  <si>
    <t>Market/Fair Value
 (Rs. in Lacs)</t>
  </si>
  <si>
    <t>% to Net
 Assets</t>
  </si>
  <si>
    <t>Market Capitalization</t>
  </si>
  <si>
    <t>Scheme Risk-o-meter Level- Jan'23</t>
  </si>
  <si>
    <t>Benchmark Risk-o-meter Level- Jan'23</t>
  </si>
  <si>
    <t>Previous Scheme Risk-o-meter Level- Dec'22</t>
  </si>
  <si>
    <t>Equity &amp; Equity related</t>
  </si>
  <si>
    <t>(a) Listed / awaiting listing on Stock Exchanges</t>
  </si>
  <si>
    <t>HDFC Bank Ltd</t>
  </si>
  <si>
    <t>INE040A01034</t>
  </si>
  <si>
    <t>Banks</t>
  </si>
  <si>
    <t>Large Cap</t>
  </si>
  <si>
    <t>ICICI Bank Ltd</t>
  </si>
  <si>
    <t>INE090A01021</t>
  </si>
  <si>
    <t>Infosys Ltd</t>
  </si>
  <si>
    <t>INE009A01021</t>
  </si>
  <si>
    <t>IT - Software</t>
  </si>
  <si>
    <t>Reliance Industries Ltd</t>
  </si>
  <si>
    <t>INE002A01018</t>
  </si>
  <si>
    <t>Petroleum Products</t>
  </si>
  <si>
    <t>State Bank of India</t>
  </si>
  <si>
    <t>INE062A01020</t>
  </si>
  <si>
    <t>Larsen &amp; Toubro Ltd</t>
  </si>
  <si>
    <t>INE018A01030</t>
  </si>
  <si>
    <t>Construction</t>
  </si>
  <si>
    <t>Bharti Airtel Ltd</t>
  </si>
  <si>
    <t>INE397D01024</t>
  </si>
  <si>
    <t>Telecom - Services</t>
  </si>
  <si>
    <t>Benchmark: S&amp;P BSE 500 TRI</t>
  </si>
  <si>
    <t>Ultratech Cement Ltd</t>
  </si>
  <si>
    <t>INE481G01011</t>
  </si>
  <si>
    <t>Cement &amp; Cement Products</t>
  </si>
  <si>
    <t>Hindustan Unilever Ltd</t>
  </si>
  <si>
    <t>INE030A01027</t>
  </si>
  <si>
    <t>Diversified Fmcg</t>
  </si>
  <si>
    <t>Axis Bank Ltd</t>
  </si>
  <si>
    <t>INE238A01034</t>
  </si>
  <si>
    <t>SBI Life Insurance Co Ltd</t>
  </si>
  <si>
    <t>INE123W01016</t>
  </si>
  <si>
    <t>Insurance</t>
  </si>
  <si>
    <t>Tata Consultancy Services Ltd</t>
  </si>
  <si>
    <t>INE467B01029</t>
  </si>
  <si>
    <t>Maruti Suzuki India Ltd</t>
  </si>
  <si>
    <t>INE585B01010</t>
  </si>
  <si>
    <t>Automobiles</t>
  </si>
  <si>
    <t>Max Healthcare Institute Ltd</t>
  </si>
  <si>
    <t>INE027H01010</t>
  </si>
  <si>
    <t>Healthcare Services</t>
  </si>
  <si>
    <t>Mid Cap</t>
  </si>
  <si>
    <t>Trent Ltd</t>
  </si>
  <si>
    <t>INE849A01020</t>
  </si>
  <si>
    <t>Retailing</t>
  </si>
  <si>
    <t>Bajaj Finance Ltd</t>
  </si>
  <si>
    <t>INE296A01024</t>
  </si>
  <si>
    <t>Finance</t>
  </si>
  <si>
    <t>Indian Hotels Co Ltd</t>
  </si>
  <si>
    <t>INE053A01029</t>
  </si>
  <si>
    <t>Leisure Services</t>
  </si>
  <si>
    <t>J.B. Chemicals &amp; Pharmaceuticals Ltd</t>
  </si>
  <si>
    <t>INE572A01028</t>
  </si>
  <si>
    <t>Pharmaceuticals &amp; Biotechnology</t>
  </si>
  <si>
    <t>Small Cap</t>
  </si>
  <si>
    <t>Uno Minda Ltd</t>
  </si>
  <si>
    <t>INE405E01023</t>
  </si>
  <si>
    <t>Auto Components</t>
  </si>
  <si>
    <t>Bharat Electronics Ltd</t>
  </si>
  <si>
    <t>INE263A01024</t>
  </si>
  <si>
    <t>Aerospace &amp; Defense</t>
  </si>
  <si>
    <t>ZF Commercial Vehicle Control Systems India Ltd</t>
  </si>
  <si>
    <t>INE342J01019</t>
  </si>
  <si>
    <t>Tata Steel Ltd</t>
  </si>
  <si>
    <t>INE081A01020</t>
  </si>
  <si>
    <t>Ferrous Metals</t>
  </si>
  <si>
    <t>Titan Co Ltd</t>
  </si>
  <si>
    <t>INE280A01028</t>
  </si>
  <si>
    <t>Consumer Durables</t>
  </si>
  <si>
    <t>Schaeffler India Ltd</t>
  </si>
  <si>
    <t>INE513A01022</t>
  </si>
  <si>
    <t>PI Industries Ltd</t>
  </si>
  <si>
    <t>INE603J01030</t>
  </si>
  <si>
    <t>Fertilizers &amp; Agrochemicals</t>
  </si>
  <si>
    <t>Abbott India Ltd</t>
  </si>
  <si>
    <t>INE358A01014</t>
  </si>
  <si>
    <t>Navin Fluorine International Ltd</t>
  </si>
  <si>
    <t>INE048G01026</t>
  </si>
  <si>
    <t>Chemicals &amp; Petrochemicals</t>
  </si>
  <si>
    <t>Westlife Foodworld Ltd</t>
  </si>
  <si>
    <t>INE274F01020</t>
  </si>
  <si>
    <t>TCI Express Ltd</t>
  </si>
  <si>
    <t>INE586V01016</t>
  </si>
  <si>
    <t>Transport Services</t>
  </si>
  <si>
    <t>Sub Total</t>
  </si>
  <si>
    <t/>
  </si>
  <si>
    <t>Total</t>
  </si>
  <si>
    <t>TREPS</t>
  </si>
  <si>
    <t>Net Receivables / (Payables)</t>
  </si>
  <si>
    <t>Grand Total</t>
  </si>
  <si>
    <t>Residual Maturity</t>
  </si>
  <si>
    <t>0.0027 Years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</si>
</sst>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43" formatCode="_(* #,##0.00_);_(* \(#,##0.00\);_(* &quot;-&quot;??_);_(@_)"/>
  </numFmts>
  <fonts count="1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6"/>
      <color indexed="63"/>
      <name val="Arial"/>
      <family val="2"/>
    </font>
    <font>
      <sz val="9"/>
      <color theme="1"/>
      <name val="Arial"/>
      <family val="2"/>
    </font>
    <font>
      <b/>
      <sz val="12"/>
      <name val="Arial"/>
      <family val="2"/>
    </font>
    <font>
      <b/>
      <sz val="9"/>
      <name val="Arial"/>
      <family val="2"/>
    </font>
    <font>
      <sz val="9"/>
      <name val="Arial"/>
      <family val="2"/>
    </font>
    <font>
      <b/>
      <sz val="9"/>
      <color indexed="72"/>
      <name val="Arial"/>
      <family val="2"/>
    </font>
    <font>
      <b/>
      <sz val="11"/>
      <color theme="1"/>
      <name val="Taz SemiLight"/>
      <family val="2"/>
    </font>
    <font>
      <b/>
      <sz val="9"/>
      <color theme="1"/>
      <name val="Arial"/>
      <family val="2"/>
    </font>
    <font>
      <b/>
      <sz val="8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  <fill>
      <patternFill patternType="solid">
        <fgColor indexed="65"/>
        <bgColor indexed="64"/>
      </patternFill>
    </fill>
    <fill>
      <patternFill patternType="solid">
        <fgColor rgb="FFD3D3D3"/>
        <bgColor indexed="64"/>
      </patternFill>
    </fill>
  </fills>
  <borders count="31">
    <border>
      <left/>
      <right/>
      <top/>
      <bottom/>
      <diagonal/>
    </border>
    <border>
      <left style="thin">
        <color indexed="64"/>
      </left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0"/>
      </right>
      <top/>
      <bottom/>
      <diagonal/>
    </border>
    <border>
      <left style="thin">
        <color indexed="0"/>
      </left>
      <right style="thin">
        <color indexed="0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0"/>
      </right>
      <top/>
      <bottom style="thin">
        <color indexed="0"/>
      </bottom>
      <diagonal/>
    </border>
    <border>
      <left style="thin">
        <color indexed="0"/>
      </left>
      <right style="thin">
        <color indexed="0"/>
      </right>
      <top/>
      <bottom style="thin">
        <color indexed="0"/>
      </bottom>
      <diagonal/>
    </border>
    <border>
      <left style="thin">
        <color indexed="0"/>
      </left>
      <right style="thin">
        <color indexed="0"/>
      </right>
      <top style="thin">
        <color indexed="64"/>
      </top>
      <bottom style="thin">
        <color indexed="0"/>
      </bottom>
      <diagonal/>
    </border>
    <border>
      <left style="thin">
        <color indexed="0"/>
      </left>
      <right/>
      <top style="thin">
        <color indexed="64"/>
      </top>
      <bottom style="thin">
        <color indexed="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0"/>
      </top>
      <bottom/>
      <diagonal/>
    </border>
    <border>
      <left style="thin">
        <color indexed="64"/>
      </left>
      <right/>
      <top style="thin">
        <color indexed="0"/>
      </top>
      <bottom/>
      <diagonal/>
    </border>
    <border>
      <left style="thin">
        <color indexed="64"/>
      </left>
      <right style="thin">
        <color indexed="0"/>
      </right>
      <top style="thin">
        <color indexed="0"/>
      </top>
      <bottom/>
      <diagonal/>
    </border>
    <border>
      <left style="thin">
        <color indexed="0"/>
      </left>
      <right style="thin">
        <color indexed="0"/>
      </right>
      <top style="thin">
        <color indexed="0"/>
      </top>
      <bottom/>
      <diagonal/>
    </border>
    <border>
      <left style="thin">
        <color indexed="0"/>
      </left>
      <right/>
      <top style="thin">
        <color indexed="0"/>
      </top>
      <bottom/>
      <diagonal/>
    </border>
    <border>
      <left style="thin">
        <color indexed="0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0"/>
      </top>
      <bottom style="thin">
        <color indexed="64"/>
      </bottom>
      <diagonal/>
    </border>
    <border>
      <left style="thin">
        <color indexed="64"/>
      </left>
      <right/>
      <top style="thin">
        <color indexed="0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ck">
        <color indexed="64"/>
      </left>
      <right/>
      <top style="thick">
        <color indexed="64"/>
      </top>
      <bottom style="thick">
        <color indexed="64"/>
      </bottom>
      <diagonal/>
    </border>
    <border>
      <left/>
      <right style="thick">
        <color indexed="64"/>
      </right>
      <top style="thick">
        <color indexed="64"/>
      </top>
      <bottom style="thick">
        <color indexed="64"/>
      </bottom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54">
    <xf numFmtId="0" fontId="0" fillId="0" borderId="0" xfId="0"/>
    <xf numFmtId="0" fontId="2" fillId="2" borderId="1" xfId="0" applyFont="1" applyFill="1" applyBorder="1" applyAlignment="1">
      <alignment horizontal="center" vertical="center" wrapText="1"/>
    </xf>
    <xf numFmtId="0" fontId="2" fillId="2" borderId="0" xfId="0" applyFont="1" applyFill="1" applyAlignment="1">
      <alignment horizontal="center" vertical="center" wrapText="1"/>
    </xf>
    <xf numFmtId="0" fontId="3" fillId="3" borderId="0" xfId="0" applyFont="1" applyFill="1"/>
    <xf numFmtId="43" fontId="3" fillId="3" borderId="0" xfId="1" applyFont="1" applyFill="1"/>
    <xf numFmtId="0" fontId="4" fillId="3" borderId="0" xfId="0" applyFont="1" applyFill="1" applyAlignment="1">
      <alignment horizontal="left" vertical="top"/>
    </xf>
    <xf numFmtId="0" fontId="5" fillId="3" borderId="0" xfId="0" applyFont="1" applyFill="1" applyAlignment="1">
      <alignment horizontal="left" vertical="top" wrapText="1"/>
    </xf>
    <xf numFmtId="0" fontId="6" fillId="3" borderId="0" xfId="0" applyFont="1" applyFill="1" applyAlignment="1">
      <alignment horizontal="left" vertical="top" wrapText="1"/>
    </xf>
    <xf numFmtId="4" fontId="6" fillId="3" borderId="0" xfId="0" applyNumberFormat="1" applyFont="1" applyFill="1" applyAlignment="1">
      <alignment horizontal="left" vertical="top" wrapText="1"/>
    </xf>
    <xf numFmtId="0" fontId="7" fillId="3" borderId="2" xfId="0" applyFont="1" applyFill="1" applyBorder="1" applyAlignment="1">
      <alignment horizontal="left" vertical="center"/>
    </xf>
    <xf numFmtId="0" fontId="7" fillId="3" borderId="3" xfId="0" applyFont="1" applyFill="1" applyBorder="1" applyAlignment="1">
      <alignment horizontal="center" vertical="center" wrapText="1"/>
    </xf>
    <xf numFmtId="4" fontId="7" fillId="3" borderId="3" xfId="0" applyNumberFormat="1" applyFont="1" applyFill="1" applyBorder="1" applyAlignment="1">
      <alignment horizontal="center" vertical="center" wrapText="1"/>
    </xf>
    <xf numFmtId="4" fontId="7" fillId="3" borderId="4" xfId="0" applyNumberFormat="1" applyFont="1" applyFill="1" applyBorder="1" applyAlignment="1">
      <alignment horizontal="center" vertical="center" wrapText="1"/>
    </xf>
    <xf numFmtId="0" fontId="8" fillId="0" borderId="5" xfId="0" applyFont="1" applyBorder="1" applyAlignment="1">
      <alignment horizontal="center" vertical="center" wrapText="1"/>
    </xf>
    <xf numFmtId="0" fontId="9" fillId="3" borderId="6" xfId="0" applyFont="1" applyFill="1" applyBorder="1"/>
    <xf numFmtId="0" fontId="3" fillId="3" borderId="7" xfId="0" applyFont="1" applyFill="1" applyBorder="1"/>
    <xf numFmtId="4" fontId="3" fillId="3" borderId="7" xfId="0" applyNumberFormat="1" applyFont="1" applyFill="1" applyBorder="1"/>
    <xf numFmtId="0" fontId="3" fillId="3" borderId="8" xfId="0" applyFont="1" applyFill="1" applyBorder="1"/>
    <xf numFmtId="43" fontId="3" fillId="3" borderId="9" xfId="1" applyFont="1" applyFill="1" applyBorder="1" applyAlignment="1">
      <alignment horizontal="center"/>
    </xf>
    <xf numFmtId="43" fontId="3" fillId="3" borderId="5" xfId="1" applyFont="1" applyFill="1" applyBorder="1" applyAlignment="1">
      <alignment horizontal="center"/>
    </xf>
    <xf numFmtId="43" fontId="3" fillId="3" borderId="10" xfId="1" applyFont="1" applyFill="1" applyBorder="1" applyAlignment="1">
      <alignment horizontal="center"/>
    </xf>
    <xf numFmtId="43" fontId="3" fillId="3" borderId="1" xfId="1" applyFont="1" applyFill="1" applyBorder="1" applyAlignment="1">
      <alignment horizontal="center"/>
    </xf>
    <xf numFmtId="43" fontId="3" fillId="3" borderId="8" xfId="1" applyFont="1" applyFill="1" applyBorder="1" applyAlignment="1">
      <alignment horizontal="center"/>
    </xf>
    <xf numFmtId="43" fontId="3" fillId="3" borderId="11" xfId="1" applyFont="1" applyFill="1" applyBorder="1" applyAlignment="1">
      <alignment horizontal="center"/>
    </xf>
    <xf numFmtId="0" fontId="3" fillId="3" borderId="6" xfId="0" applyFont="1" applyFill="1" applyBorder="1"/>
    <xf numFmtId="3" fontId="3" fillId="3" borderId="7" xfId="0" applyNumberFormat="1" applyFont="1" applyFill="1" applyBorder="1"/>
    <xf numFmtId="43" fontId="3" fillId="3" borderId="12" xfId="1" applyFont="1" applyFill="1" applyBorder="1" applyAlignment="1">
      <alignment horizontal="center"/>
    </xf>
    <xf numFmtId="43" fontId="3" fillId="3" borderId="13" xfId="1" applyFont="1" applyFill="1" applyBorder="1" applyAlignment="1">
      <alignment horizontal="center"/>
    </xf>
    <xf numFmtId="43" fontId="3" fillId="3" borderId="14" xfId="1" applyFont="1" applyFill="1" applyBorder="1" applyAlignment="1">
      <alignment horizontal="center"/>
    </xf>
    <xf numFmtId="43" fontId="3" fillId="3" borderId="0" xfId="1" applyFont="1" applyFill="1" applyAlignment="1"/>
    <xf numFmtId="0" fontId="9" fillId="3" borderId="15" xfId="0" applyFont="1" applyFill="1" applyBorder="1"/>
    <xf numFmtId="0" fontId="9" fillId="3" borderId="16" xfId="0" applyFont="1" applyFill="1" applyBorder="1"/>
    <xf numFmtId="4" fontId="9" fillId="3" borderId="17" xfId="0" applyNumberFormat="1" applyFont="1" applyFill="1" applyBorder="1"/>
    <xf numFmtId="4" fontId="9" fillId="3" borderId="18" xfId="0" applyNumberFormat="1" applyFont="1" applyFill="1" applyBorder="1"/>
    <xf numFmtId="0" fontId="3" fillId="3" borderId="19" xfId="0" applyFont="1" applyFill="1" applyBorder="1"/>
    <xf numFmtId="0" fontId="9" fillId="3" borderId="20" xfId="0" applyFont="1" applyFill="1" applyBorder="1"/>
    <xf numFmtId="4" fontId="9" fillId="3" borderId="20" xfId="0" applyNumberFormat="1" applyFont="1" applyFill="1" applyBorder="1"/>
    <xf numFmtId="4" fontId="9" fillId="3" borderId="21" xfId="0" applyNumberFormat="1" applyFont="1" applyFill="1" applyBorder="1"/>
    <xf numFmtId="0" fontId="9" fillId="3" borderId="22" xfId="0" applyFont="1" applyFill="1" applyBorder="1"/>
    <xf numFmtId="0" fontId="3" fillId="3" borderId="23" xfId="0" applyFont="1" applyFill="1" applyBorder="1"/>
    <xf numFmtId="4" fontId="3" fillId="3" borderId="23" xfId="0" applyNumberFormat="1" applyFont="1" applyFill="1" applyBorder="1"/>
    <xf numFmtId="4" fontId="3" fillId="3" borderId="24" xfId="0" applyNumberFormat="1" applyFont="1" applyFill="1" applyBorder="1"/>
    <xf numFmtId="4" fontId="3" fillId="3" borderId="25" xfId="0" applyNumberFormat="1" applyFont="1" applyFill="1" applyBorder="1"/>
    <xf numFmtId="0" fontId="9" fillId="3" borderId="26" xfId="0" applyFont="1" applyFill="1" applyBorder="1"/>
    <xf numFmtId="4" fontId="9" fillId="3" borderId="26" xfId="0" applyNumberFormat="1" applyFont="1" applyFill="1" applyBorder="1"/>
    <xf numFmtId="4" fontId="9" fillId="3" borderId="27" xfId="0" applyNumberFormat="1" applyFont="1" applyFill="1" applyBorder="1"/>
    <xf numFmtId="0" fontId="9" fillId="3" borderId="19" xfId="0" applyFont="1" applyFill="1" applyBorder="1"/>
    <xf numFmtId="4" fontId="9" fillId="3" borderId="19" xfId="0" applyNumberFormat="1" applyFont="1" applyFill="1" applyBorder="1"/>
    <xf numFmtId="4" fontId="9" fillId="3" borderId="28" xfId="0" applyNumberFormat="1" applyFont="1" applyFill="1" applyBorder="1"/>
    <xf numFmtId="4" fontId="3" fillId="3" borderId="0" xfId="0" applyNumberFormat="1" applyFont="1" applyFill="1"/>
    <xf numFmtId="0" fontId="3" fillId="3" borderId="0" xfId="0" applyFont="1" applyFill="1" applyBorder="1"/>
    <xf numFmtId="0" fontId="9" fillId="3" borderId="0" xfId="0" applyFont="1" applyFill="1"/>
    <xf numFmtId="49" fontId="10" fillId="4" borderId="29" xfId="0" applyNumberFormat="1" applyFont="1" applyFill="1" applyBorder="1"/>
    <xf numFmtId="2" fontId="10" fillId="0" borderId="30" xfId="0" applyNumberFormat="1" applyFont="1" applyBorder="1" applyAlignment="1">
      <alignment horizontal="right"/>
    </xf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10</xdr:col>
      <xdr:colOff>179183</xdr:colOff>
      <xdr:row>4</xdr:row>
      <xdr:rowOff>48836</xdr:rowOff>
    </xdr:from>
    <xdr:to>
      <xdr:col>10</xdr:col>
      <xdr:colOff>2019300</xdr:colOff>
      <xdr:row>11</xdr:row>
      <xdr:rowOff>99703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DC3A109B-907C-4BDA-AD42-28A563631A7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3599908" y="1068011"/>
          <a:ext cx="1840117" cy="1117667"/>
        </a:xfrm>
        <a:prstGeom prst="rect">
          <a:avLst/>
        </a:prstGeom>
      </xdr:spPr>
    </xdr:pic>
    <xdr:clientData/>
  </xdr:twoCellAnchor>
  <xdr:twoCellAnchor editAs="oneCell">
    <xdr:from>
      <xdr:col>9</xdr:col>
      <xdr:colOff>174398</xdr:colOff>
      <xdr:row>4</xdr:row>
      <xdr:rowOff>41988</xdr:rowOff>
    </xdr:from>
    <xdr:to>
      <xdr:col>9</xdr:col>
      <xdr:colOff>2133600</xdr:colOff>
      <xdr:row>11</xdr:row>
      <xdr:rowOff>74454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D2603181-D4E1-4E92-B25D-2579CC5E304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1432948" y="1061163"/>
          <a:ext cx="1959202" cy="1099266"/>
        </a:xfrm>
        <a:prstGeom prst="rect">
          <a:avLst/>
        </a:prstGeom>
      </xdr:spPr>
    </xdr:pic>
    <xdr:clientData/>
  </xdr:twoCellAnchor>
  <xdr:oneCellAnchor>
    <xdr:from>
      <xdr:col>11</xdr:col>
      <xdr:colOff>229859</xdr:colOff>
      <xdr:row>4</xdr:row>
      <xdr:rowOff>50152</xdr:rowOff>
    </xdr:from>
    <xdr:ext cx="1665144" cy="1104900"/>
    <xdr:pic>
      <xdr:nvPicPr>
        <xdr:cNvPr id="4" name="Picture 3">
          <a:extLst>
            <a:ext uri="{FF2B5EF4-FFF2-40B4-BE49-F238E27FC236}">
              <a16:creationId xmlns:a16="http://schemas.microsoft.com/office/drawing/2014/main" id="{60D935F6-9E54-40AF-8845-BB8C9B82D1E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5746084" y="1069327"/>
          <a:ext cx="1665144" cy="1104900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L106"/>
  <sheetViews>
    <sheetView tabSelected="1" workbookViewId="0"/>
  </sheetViews>
  <sheetFormatPr defaultColWidth="13.7109375" defaultRowHeight="12"/>
  <cols>
    <col min="1" max="1" width="13.7109375" style="3" customWidth="1"/>
    <col min="2" max="2" width="58.42578125" style="3" bestFit="1" customWidth="1"/>
    <col min="3" max="3" width="13.5703125" style="3" bestFit="1" customWidth="1"/>
    <col min="4" max="4" width="27.85546875" style="3" bestFit="1" customWidth="1"/>
    <col min="5" max="5" width="8.85546875" style="3" bestFit="1" customWidth="1"/>
    <col min="6" max="6" width="15.28515625" style="49" bestFit="1" customWidth="1"/>
    <col min="7" max="7" width="7.42578125" style="49" bestFit="1" customWidth="1"/>
    <col min="8" max="8" width="13.7109375" style="3" customWidth="1"/>
    <col min="9" max="9" width="10" style="4" bestFit="1" customWidth="1"/>
    <col min="10" max="10" width="32.42578125" style="4" customWidth="1"/>
    <col min="11" max="11" width="31.42578125" style="4" customWidth="1"/>
    <col min="12" max="12" width="33.42578125" style="4" customWidth="1"/>
    <col min="13" max="16384" width="13.7109375" style="3"/>
  </cols>
  <sheetData>
    <row r="1" spans="2:12" ht="21" customHeight="1">
      <c r="B1" s="1" t="s">
        <v>0</v>
      </c>
      <c r="C1" s="2"/>
      <c r="D1" s="2"/>
      <c r="E1" s="2"/>
      <c r="F1" s="2"/>
      <c r="G1" s="2"/>
    </row>
    <row r="3" spans="2:12" ht="16.5" thickBot="1">
      <c r="B3" s="5" t="s">
        <v>1</v>
      </c>
      <c r="C3" s="6"/>
      <c r="D3" s="7"/>
      <c r="E3" s="7"/>
      <c r="F3" s="8"/>
      <c r="G3" s="8"/>
    </row>
    <row r="4" spans="2:12" ht="30.75" thickBot="1">
      <c r="B4" s="9" t="s">
        <v>2</v>
      </c>
      <c r="C4" s="10" t="s">
        <v>3</v>
      </c>
      <c r="D4" s="10" t="s">
        <v>4</v>
      </c>
      <c r="E4" s="10" t="s">
        <v>5</v>
      </c>
      <c r="F4" s="11" t="s">
        <v>6</v>
      </c>
      <c r="G4" s="12" t="s">
        <v>7</v>
      </c>
      <c r="H4" s="12" t="s">
        <v>8</v>
      </c>
      <c r="J4" s="13" t="s">
        <v>9</v>
      </c>
      <c r="K4" s="13" t="s">
        <v>10</v>
      </c>
      <c r="L4" s="13" t="s">
        <v>11</v>
      </c>
    </row>
    <row r="5" spans="2:12">
      <c r="B5" s="14" t="s">
        <v>12</v>
      </c>
      <c r="C5" s="15"/>
      <c r="D5" s="15"/>
      <c r="E5" s="15"/>
      <c r="F5" s="16"/>
      <c r="G5" s="16"/>
      <c r="H5" s="17"/>
      <c r="J5" s="18"/>
      <c r="K5" s="19"/>
      <c r="L5" s="20"/>
    </row>
    <row r="6" spans="2:12">
      <c r="B6" s="14" t="s">
        <v>13</v>
      </c>
      <c r="C6" s="15"/>
      <c r="D6" s="15"/>
      <c r="E6" s="15"/>
      <c r="F6" s="16"/>
      <c r="G6" s="16"/>
      <c r="H6" s="17"/>
      <c r="J6" s="21"/>
      <c r="K6" s="22"/>
      <c r="L6" s="23"/>
    </row>
    <row r="7" spans="2:12">
      <c r="B7" s="24" t="s">
        <v>14</v>
      </c>
      <c r="C7" s="15" t="s">
        <v>15</v>
      </c>
      <c r="D7" s="15" t="s">
        <v>16</v>
      </c>
      <c r="E7" s="25">
        <v>1027500</v>
      </c>
      <c r="F7" s="16">
        <v>16475.96</v>
      </c>
      <c r="G7" s="16">
        <v>9.76</v>
      </c>
      <c r="H7" s="17" t="s">
        <v>17</v>
      </c>
      <c r="J7" s="21"/>
      <c r="K7" s="22"/>
      <c r="L7" s="23"/>
    </row>
    <row r="8" spans="2:12">
      <c r="B8" s="24" t="s">
        <v>18</v>
      </c>
      <c r="C8" s="15" t="s">
        <v>19</v>
      </c>
      <c r="D8" s="15" t="s">
        <v>16</v>
      </c>
      <c r="E8" s="25">
        <v>1775000</v>
      </c>
      <c r="F8" s="16">
        <v>14766.23</v>
      </c>
      <c r="G8" s="16">
        <v>8.75</v>
      </c>
      <c r="H8" s="17" t="s">
        <v>17</v>
      </c>
      <c r="J8" s="21"/>
      <c r="K8" s="22"/>
      <c r="L8" s="23"/>
    </row>
    <row r="9" spans="2:12">
      <c r="B9" s="24" t="s">
        <v>20</v>
      </c>
      <c r="C9" s="15" t="s">
        <v>21</v>
      </c>
      <c r="D9" s="15" t="s">
        <v>22</v>
      </c>
      <c r="E9" s="25">
        <v>862000</v>
      </c>
      <c r="F9" s="16">
        <v>13220.93</v>
      </c>
      <c r="G9" s="16">
        <v>7.83</v>
      </c>
      <c r="H9" s="17" t="s">
        <v>17</v>
      </c>
      <c r="J9" s="21"/>
      <c r="K9" s="22"/>
      <c r="L9" s="23"/>
    </row>
    <row r="10" spans="2:12">
      <c r="B10" s="24" t="s">
        <v>23</v>
      </c>
      <c r="C10" s="15" t="s">
        <v>24</v>
      </c>
      <c r="D10" s="15" t="s">
        <v>25</v>
      </c>
      <c r="E10" s="25">
        <v>370000</v>
      </c>
      <c r="F10" s="16">
        <v>8709.25</v>
      </c>
      <c r="G10" s="16">
        <v>5.16</v>
      </c>
      <c r="H10" s="17" t="s">
        <v>17</v>
      </c>
      <c r="J10" s="21"/>
      <c r="K10" s="22"/>
      <c r="L10" s="23"/>
    </row>
    <row r="11" spans="2:12">
      <c r="B11" s="24" t="s">
        <v>26</v>
      </c>
      <c r="C11" s="15" t="s">
        <v>27</v>
      </c>
      <c r="D11" s="15" t="s">
        <v>16</v>
      </c>
      <c r="E11" s="25">
        <v>1420000</v>
      </c>
      <c r="F11" s="16">
        <v>7859.7</v>
      </c>
      <c r="G11" s="16">
        <v>4.66</v>
      </c>
      <c r="H11" s="17" t="s">
        <v>17</v>
      </c>
      <c r="J11" s="21"/>
      <c r="K11" s="22"/>
      <c r="L11" s="23"/>
    </row>
    <row r="12" spans="2:12">
      <c r="B12" s="24" t="s">
        <v>28</v>
      </c>
      <c r="C12" s="15" t="s">
        <v>29</v>
      </c>
      <c r="D12" s="15" t="s">
        <v>30</v>
      </c>
      <c r="E12" s="25">
        <v>325500</v>
      </c>
      <c r="F12" s="16">
        <v>6914.92</v>
      </c>
      <c r="G12" s="16">
        <v>4.0999999999999996</v>
      </c>
      <c r="H12" s="17" t="s">
        <v>17</v>
      </c>
      <c r="J12" s="26"/>
      <c r="K12" s="27"/>
      <c r="L12" s="28"/>
    </row>
    <row r="13" spans="2:12">
      <c r="B13" s="24" t="s">
        <v>31</v>
      </c>
      <c r="C13" s="15" t="s">
        <v>32</v>
      </c>
      <c r="D13" s="15" t="s">
        <v>33</v>
      </c>
      <c r="E13" s="25">
        <v>865000</v>
      </c>
      <c r="F13" s="16">
        <v>6663.1</v>
      </c>
      <c r="G13" s="16">
        <v>3.95</v>
      </c>
      <c r="H13" s="17" t="s">
        <v>17</v>
      </c>
      <c r="K13" s="29" t="s">
        <v>34</v>
      </c>
    </row>
    <row r="14" spans="2:12">
      <c r="B14" s="24" t="s">
        <v>35</v>
      </c>
      <c r="C14" s="15" t="s">
        <v>36</v>
      </c>
      <c r="D14" s="15" t="s">
        <v>37</v>
      </c>
      <c r="E14" s="25">
        <v>91000</v>
      </c>
      <c r="F14" s="16">
        <v>6447.85</v>
      </c>
      <c r="G14" s="16">
        <v>3.82</v>
      </c>
      <c r="H14" s="17" t="s">
        <v>17</v>
      </c>
    </row>
    <row r="15" spans="2:12">
      <c r="B15" s="24" t="s">
        <v>38</v>
      </c>
      <c r="C15" s="15" t="s">
        <v>39</v>
      </c>
      <c r="D15" s="15" t="s">
        <v>40</v>
      </c>
      <c r="E15" s="25">
        <v>237000</v>
      </c>
      <c r="F15" s="16">
        <v>6106.9</v>
      </c>
      <c r="G15" s="16">
        <v>3.62</v>
      </c>
      <c r="H15" s="17" t="s">
        <v>17</v>
      </c>
    </row>
    <row r="16" spans="2:12">
      <c r="B16" s="24" t="s">
        <v>41</v>
      </c>
      <c r="C16" s="15" t="s">
        <v>42</v>
      </c>
      <c r="D16" s="15" t="s">
        <v>16</v>
      </c>
      <c r="E16" s="25">
        <v>675000</v>
      </c>
      <c r="F16" s="16">
        <v>5883.3</v>
      </c>
      <c r="G16" s="16">
        <v>3.48</v>
      </c>
      <c r="H16" s="17" t="s">
        <v>17</v>
      </c>
    </row>
    <row r="17" spans="2:8">
      <c r="B17" s="24" t="s">
        <v>43</v>
      </c>
      <c r="C17" s="15" t="s">
        <v>44</v>
      </c>
      <c r="D17" s="15" t="s">
        <v>45</v>
      </c>
      <c r="E17" s="25">
        <v>450000</v>
      </c>
      <c r="F17" s="16">
        <v>5487.98</v>
      </c>
      <c r="G17" s="16">
        <v>3.25</v>
      </c>
      <c r="H17" s="17" t="s">
        <v>17</v>
      </c>
    </row>
    <row r="18" spans="2:8">
      <c r="B18" s="24" t="s">
        <v>46</v>
      </c>
      <c r="C18" s="15" t="s">
        <v>47</v>
      </c>
      <c r="D18" s="15" t="s">
        <v>22</v>
      </c>
      <c r="E18" s="25">
        <v>145444</v>
      </c>
      <c r="F18" s="16">
        <v>4885.03</v>
      </c>
      <c r="G18" s="16">
        <v>2.89</v>
      </c>
      <c r="H18" s="17" t="s">
        <v>17</v>
      </c>
    </row>
    <row r="19" spans="2:8">
      <c r="B19" s="24" t="s">
        <v>48</v>
      </c>
      <c r="C19" s="15" t="s">
        <v>49</v>
      </c>
      <c r="D19" s="15" t="s">
        <v>50</v>
      </c>
      <c r="E19" s="25">
        <v>54900</v>
      </c>
      <c r="F19" s="16">
        <v>4883.5200000000004</v>
      </c>
      <c r="G19" s="16">
        <v>2.89</v>
      </c>
      <c r="H19" s="17" t="s">
        <v>17</v>
      </c>
    </row>
    <row r="20" spans="2:8">
      <c r="B20" s="24" t="s">
        <v>51</v>
      </c>
      <c r="C20" s="15" t="s">
        <v>52</v>
      </c>
      <c r="D20" s="15" t="s">
        <v>53</v>
      </c>
      <c r="E20" s="25">
        <v>1070373</v>
      </c>
      <c r="F20" s="16">
        <v>4727.84</v>
      </c>
      <c r="G20" s="16">
        <v>2.8</v>
      </c>
      <c r="H20" s="17" t="s">
        <v>54</v>
      </c>
    </row>
    <row r="21" spans="2:8">
      <c r="B21" s="24" t="s">
        <v>55</v>
      </c>
      <c r="C21" s="15" t="s">
        <v>56</v>
      </c>
      <c r="D21" s="15" t="s">
        <v>57</v>
      </c>
      <c r="E21" s="25">
        <v>390000</v>
      </c>
      <c r="F21" s="16">
        <v>4666.74</v>
      </c>
      <c r="G21" s="16">
        <v>2.76</v>
      </c>
      <c r="H21" s="17" t="s">
        <v>17</v>
      </c>
    </row>
    <row r="22" spans="2:8">
      <c r="B22" s="24" t="s">
        <v>58</v>
      </c>
      <c r="C22" s="15" t="s">
        <v>59</v>
      </c>
      <c r="D22" s="15" t="s">
        <v>60</v>
      </c>
      <c r="E22" s="25">
        <v>78000</v>
      </c>
      <c r="F22" s="16">
        <v>4591.3900000000003</v>
      </c>
      <c r="G22" s="16">
        <v>2.72</v>
      </c>
      <c r="H22" s="17" t="s">
        <v>17</v>
      </c>
    </row>
    <row r="23" spans="2:8">
      <c r="B23" s="24" t="s">
        <v>61</v>
      </c>
      <c r="C23" s="15" t="s">
        <v>62</v>
      </c>
      <c r="D23" s="15" t="s">
        <v>63</v>
      </c>
      <c r="E23" s="25">
        <v>1400000</v>
      </c>
      <c r="F23" s="16">
        <v>4214</v>
      </c>
      <c r="G23" s="16">
        <v>2.5</v>
      </c>
      <c r="H23" s="17" t="s">
        <v>54</v>
      </c>
    </row>
    <row r="24" spans="2:8">
      <c r="B24" s="24" t="s">
        <v>64</v>
      </c>
      <c r="C24" s="15" t="s">
        <v>65</v>
      </c>
      <c r="D24" s="15" t="s">
        <v>66</v>
      </c>
      <c r="E24" s="25">
        <v>199923</v>
      </c>
      <c r="F24" s="16">
        <v>4084.23</v>
      </c>
      <c r="G24" s="16">
        <v>2.42</v>
      </c>
      <c r="H24" s="17" t="s">
        <v>67</v>
      </c>
    </row>
    <row r="25" spans="2:8">
      <c r="B25" s="24" t="s">
        <v>68</v>
      </c>
      <c r="C25" s="15" t="s">
        <v>69</v>
      </c>
      <c r="D25" s="15" t="s">
        <v>70</v>
      </c>
      <c r="E25" s="25">
        <v>806418</v>
      </c>
      <c r="F25" s="16">
        <v>3935.32</v>
      </c>
      <c r="G25" s="16">
        <v>2.33</v>
      </c>
      <c r="H25" s="17" t="s">
        <v>54</v>
      </c>
    </row>
    <row r="26" spans="2:8">
      <c r="B26" s="24" t="s">
        <v>71</v>
      </c>
      <c r="C26" s="15" t="s">
        <v>72</v>
      </c>
      <c r="D26" s="15" t="s">
        <v>73</v>
      </c>
      <c r="E26" s="25">
        <v>4125000</v>
      </c>
      <c r="F26" s="16">
        <v>3916.69</v>
      </c>
      <c r="G26" s="16">
        <v>2.3199999999999998</v>
      </c>
      <c r="H26" s="17" t="s">
        <v>17</v>
      </c>
    </row>
    <row r="27" spans="2:8">
      <c r="B27" s="24" t="s">
        <v>74</v>
      </c>
      <c r="C27" s="15" t="s">
        <v>75</v>
      </c>
      <c r="D27" s="15" t="s">
        <v>70</v>
      </c>
      <c r="E27" s="25">
        <v>42193</v>
      </c>
      <c r="F27" s="16">
        <v>3904.58</v>
      </c>
      <c r="G27" s="16">
        <v>2.31</v>
      </c>
      <c r="H27" s="17" t="s">
        <v>54</v>
      </c>
    </row>
    <row r="28" spans="2:8">
      <c r="B28" s="24" t="s">
        <v>76</v>
      </c>
      <c r="C28" s="15" t="s">
        <v>77</v>
      </c>
      <c r="D28" s="15" t="s">
        <v>78</v>
      </c>
      <c r="E28" s="25">
        <v>2650000</v>
      </c>
      <c r="F28" s="16">
        <v>3172.05</v>
      </c>
      <c r="G28" s="16">
        <v>1.88</v>
      </c>
      <c r="H28" s="17" t="s">
        <v>17</v>
      </c>
    </row>
    <row r="29" spans="2:8">
      <c r="B29" s="24" t="s">
        <v>79</v>
      </c>
      <c r="C29" s="15" t="s">
        <v>80</v>
      </c>
      <c r="D29" s="15" t="s">
        <v>81</v>
      </c>
      <c r="E29" s="25">
        <v>119500</v>
      </c>
      <c r="F29" s="16">
        <v>2840.69</v>
      </c>
      <c r="G29" s="16">
        <v>1.68</v>
      </c>
      <c r="H29" s="17" t="s">
        <v>17</v>
      </c>
    </row>
    <row r="30" spans="2:8">
      <c r="B30" s="24" t="s">
        <v>82</v>
      </c>
      <c r="C30" s="15" t="s">
        <v>83</v>
      </c>
      <c r="D30" s="15" t="s">
        <v>70</v>
      </c>
      <c r="E30" s="25">
        <v>100835</v>
      </c>
      <c r="F30" s="16">
        <v>2714.38</v>
      </c>
      <c r="G30" s="16">
        <v>1.61</v>
      </c>
      <c r="H30" s="17" t="s">
        <v>54</v>
      </c>
    </row>
    <row r="31" spans="2:8">
      <c r="B31" s="24" t="s">
        <v>84</v>
      </c>
      <c r="C31" s="15" t="s">
        <v>85</v>
      </c>
      <c r="D31" s="15" t="s">
        <v>86</v>
      </c>
      <c r="E31" s="25">
        <v>89000</v>
      </c>
      <c r="F31" s="16">
        <v>2667.64</v>
      </c>
      <c r="G31" s="16">
        <v>1.58</v>
      </c>
      <c r="H31" s="17" t="s">
        <v>17</v>
      </c>
    </row>
    <row r="32" spans="2:8">
      <c r="B32" s="24" t="s">
        <v>87</v>
      </c>
      <c r="C32" s="15" t="s">
        <v>88</v>
      </c>
      <c r="D32" s="15" t="s">
        <v>66</v>
      </c>
      <c r="E32" s="25">
        <v>11350</v>
      </c>
      <c r="F32" s="16">
        <v>2362.7399999999998</v>
      </c>
      <c r="G32" s="16">
        <v>1.4</v>
      </c>
      <c r="H32" s="17" t="s">
        <v>54</v>
      </c>
    </row>
    <row r="33" spans="2:8">
      <c r="B33" s="24" t="s">
        <v>89</v>
      </c>
      <c r="C33" s="15" t="s">
        <v>90</v>
      </c>
      <c r="D33" s="15" t="s">
        <v>91</v>
      </c>
      <c r="E33" s="25">
        <v>52469</v>
      </c>
      <c r="F33" s="16">
        <v>2070.5100000000002</v>
      </c>
      <c r="G33" s="16">
        <v>1.23</v>
      </c>
      <c r="H33" s="17" t="s">
        <v>54</v>
      </c>
    </row>
    <row r="34" spans="2:8">
      <c r="B34" s="24" t="s">
        <v>92</v>
      </c>
      <c r="C34" s="15" t="s">
        <v>93</v>
      </c>
      <c r="D34" s="15" t="s">
        <v>63</v>
      </c>
      <c r="E34" s="25">
        <v>260000</v>
      </c>
      <c r="F34" s="16">
        <v>1912.04</v>
      </c>
      <c r="G34" s="16">
        <v>1.1299999999999999</v>
      </c>
      <c r="H34" s="17" t="s">
        <v>67</v>
      </c>
    </row>
    <row r="35" spans="2:8">
      <c r="B35" s="24" t="s">
        <v>94</v>
      </c>
      <c r="C35" s="15" t="s">
        <v>95</v>
      </c>
      <c r="D35" s="15" t="s">
        <v>96</v>
      </c>
      <c r="E35" s="25">
        <v>92057</v>
      </c>
      <c r="F35" s="16">
        <v>1583.1</v>
      </c>
      <c r="G35" s="16">
        <v>0.94</v>
      </c>
      <c r="H35" s="17" t="s">
        <v>67</v>
      </c>
    </row>
    <row r="36" spans="2:8">
      <c r="B36" s="30" t="s">
        <v>97</v>
      </c>
      <c r="C36" s="31"/>
      <c r="D36" s="31"/>
      <c r="E36" s="31"/>
      <c r="F36" s="32">
        <f>SUM(F7:F35)</f>
        <v>161668.61000000002</v>
      </c>
      <c r="G36" s="33">
        <f>SUM(G7:G35)</f>
        <v>95.77</v>
      </c>
      <c r="H36" s="34" t="s">
        <v>98</v>
      </c>
    </row>
    <row r="37" spans="2:8">
      <c r="B37" s="35" t="s">
        <v>99</v>
      </c>
      <c r="C37" s="35"/>
      <c r="D37" s="35"/>
      <c r="E37" s="35"/>
      <c r="F37" s="36">
        <f>F36</f>
        <v>161668.61000000002</v>
      </c>
      <c r="G37" s="37">
        <f>G36</f>
        <v>95.77</v>
      </c>
      <c r="H37" s="34" t="s">
        <v>98</v>
      </c>
    </row>
    <row r="38" spans="2:8">
      <c r="B38" s="38" t="s">
        <v>100</v>
      </c>
      <c r="C38" s="39"/>
      <c r="D38" s="39"/>
      <c r="E38" s="39"/>
      <c r="F38" s="40"/>
      <c r="G38" s="41"/>
      <c r="H38" s="34" t="s">
        <v>98</v>
      </c>
    </row>
    <row r="39" spans="2:8">
      <c r="B39" s="24" t="s">
        <v>100</v>
      </c>
      <c r="C39" s="24"/>
      <c r="D39" s="15"/>
      <c r="E39" s="15"/>
      <c r="F39" s="16">
        <v>6612.71</v>
      </c>
      <c r="G39" s="42">
        <v>3.92</v>
      </c>
      <c r="H39" s="34" t="s">
        <v>98</v>
      </c>
    </row>
    <row r="40" spans="2:8">
      <c r="B40" s="30" t="s">
        <v>97</v>
      </c>
      <c r="C40" s="31"/>
      <c r="D40" s="31"/>
      <c r="E40" s="31"/>
      <c r="F40" s="32">
        <f>SUM(F38:F39)</f>
        <v>6612.71</v>
      </c>
      <c r="G40" s="33">
        <f>SUM(G38:G39)</f>
        <v>3.92</v>
      </c>
      <c r="H40" s="34" t="s">
        <v>98</v>
      </c>
    </row>
    <row r="41" spans="2:8">
      <c r="B41" s="43" t="s">
        <v>99</v>
      </c>
      <c r="C41" s="43"/>
      <c r="D41" s="43"/>
      <c r="E41" s="43"/>
      <c r="F41" s="44">
        <f>F40</f>
        <v>6612.71</v>
      </c>
      <c r="G41" s="45">
        <f>G40</f>
        <v>3.92</v>
      </c>
      <c r="H41" s="34" t="s">
        <v>98</v>
      </c>
    </row>
    <row r="42" spans="2:8">
      <c r="B42" s="46" t="s">
        <v>101</v>
      </c>
      <c r="C42" s="46"/>
      <c r="D42" s="46"/>
      <c r="E42" s="46"/>
      <c r="F42" s="47">
        <f>F43-(+F37+F41)</f>
        <v>561.14999999999418</v>
      </c>
      <c r="G42" s="48">
        <f>G43-(+G37+G41)</f>
        <v>0.31000000000000227</v>
      </c>
      <c r="H42" s="34" t="s">
        <v>98</v>
      </c>
    </row>
    <row r="43" spans="2:8">
      <c r="B43" s="46" t="s">
        <v>102</v>
      </c>
      <c r="C43" s="46"/>
      <c r="D43" s="46"/>
      <c r="E43" s="46"/>
      <c r="F43" s="47">
        <v>168842.47</v>
      </c>
      <c r="G43" s="48">
        <v>100</v>
      </c>
      <c r="H43" s="34" t="s">
        <v>98</v>
      </c>
    </row>
    <row r="44" spans="2:8">
      <c r="H44" s="50" t="s">
        <v>98</v>
      </c>
    </row>
    <row r="45" spans="2:8" ht="12.75" thickBot="1">
      <c r="B45" s="51"/>
      <c r="H45" s="50" t="s">
        <v>98</v>
      </c>
    </row>
    <row r="46" spans="2:8" ht="13.5" thickTop="1" thickBot="1">
      <c r="B46" s="52" t="s">
        <v>103</v>
      </c>
      <c r="C46" s="53" t="s">
        <v>104</v>
      </c>
      <c r="H46" s="50" t="s">
        <v>98</v>
      </c>
    </row>
    <row r="47" spans="2:8" ht="12.75" thickTop="1">
      <c r="H47" s="50" t="s">
        <v>98</v>
      </c>
    </row>
    <row r="48" spans="2:8">
      <c r="H48" s="50" t="s">
        <v>98</v>
      </c>
    </row>
    <row r="49" spans="8:8">
      <c r="H49" s="50" t="s">
        <v>98</v>
      </c>
    </row>
    <row r="50" spans="8:8">
      <c r="H50" s="50" t="s">
        <v>98</v>
      </c>
    </row>
    <row r="51" spans="8:8">
      <c r="H51" s="50" t="s">
        <v>98</v>
      </c>
    </row>
    <row r="52" spans="8:8">
      <c r="H52" s="50" t="s">
        <v>98</v>
      </c>
    </row>
    <row r="53" spans="8:8">
      <c r="H53" s="50" t="s">
        <v>98</v>
      </c>
    </row>
    <row r="54" spans="8:8">
      <c r="H54" s="50" t="s">
        <v>98</v>
      </c>
    </row>
    <row r="55" spans="8:8">
      <c r="H55" s="50" t="s">
        <v>98</v>
      </c>
    </row>
    <row r="56" spans="8:8">
      <c r="H56" s="50" t="s">
        <v>98</v>
      </c>
    </row>
    <row r="57" spans="8:8">
      <c r="H57" s="50" t="s">
        <v>98</v>
      </c>
    </row>
    <row r="58" spans="8:8">
      <c r="H58" s="50" t="s">
        <v>98</v>
      </c>
    </row>
    <row r="59" spans="8:8">
      <c r="H59" s="50" t="s">
        <v>98</v>
      </c>
    </row>
    <row r="60" spans="8:8">
      <c r="H60" s="50" t="s">
        <v>98</v>
      </c>
    </row>
    <row r="61" spans="8:8">
      <c r="H61" s="50" t="s">
        <v>98</v>
      </c>
    </row>
    <row r="62" spans="8:8">
      <c r="H62" s="50" t="s">
        <v>98</v>
      </c>
    </row>
    <row r="63" spans="8:8">
      <c r="H63" s="50" t="s">
        <v>98</v>
      </c>
    </row>
    <row r="64" spans="8:8">
      <c r="H64" s="50" t="s">
        <v>98</v>
      </c>
    </row>
    <row r="65" spans="8:8">
      <c r="H65" s="50" t="s">
        <v>98</v>
      </c>
    </row>
    <row r="66" spans="8:8">
      <c r="H66" s="50" t="s">
        <v>98</v>
      </c>
    </row>
    <row r="67" spans="8:8">
      <c r="H67" s="50" t="s">
        <v>98</v>
      </c>
    </row>
    <row r="68" spans="8:8">
      <c r="H68" s="50" t="s">
        <v>98</v>
      </c>
    </row>
    <row r="69" spans="8:8">
      <c r="H69" s="50" t="s">
        <v>98</v>
      </c>
    </row>
    <row r="70" spans="8:8">
      <c r="H70" s="50" t="s">
        <v>98</v>
      </c>
    </row>
    <row r="71" spans="8:8">
      <c r="H71" s="50" t="s">
        <v>98</v>
      </c>
    </row>
    <row r="72" spans="8:8">
      <c r="H72" s="50" t="s">
        <v>98</v>
      </c>
    </row>
    <row r="73" spans="8:8">
      <c r="H73" s="50" t="s">
        <v>98</v>
      </c>
    </row>
    <row r="74" spans="8:8">
      <c r="H74" s="50" t="s">
        <v>98</v>
      </c>
    </row>
    <row r="75" spans="8:8">
      <c r="H75" s="50" t="s">
        <v>98</v>
      </c>
    </row>
    <row r="76" spans="8:8">
      <c r="H76" s="50" t="s">
        <v>98</v>
      </c>
    </row>
    <row r="77" spans="8:8">
      <c r="H77" s="50" t="s">
        <v>98</v>
      </c>
    </row>
    <row r="78" spans="8:8">
      <c r="H78" s="50" t="s">
        <v>98</v>
      </c>
    </row>
    <row r="79" spans="8:8">
      <c r="H79" s="50" t="s">
        <v>98</v>
      </c>
    </row>
    <row r="80" spans="8:8">
      <c r="H80" s="50" t="s">
        <v>98</v>
      </c>
    </row>
    <row r="81" spans="8:8">
      <c r="H81" s="50" t="s">
        <v>98</v>
      </c>
    </row>
    <row r="82" spans="8:8">
      <c r="H82" s="50" t="s">
        <v>98</v>
      </c>
    </row>
    <row r="83" spans="8:8">
      <c r="H83" s="50" t="s">
        <v>98</v>
      </c>
    </row>
    <row r="84" spans="8:8">
      <c r="H84" s="50" t="s">
        <v>98</v>
      </c>
    </row>
    <row r="85" spans="8:8">
      <c r="H85" s="50" t="s">
        <v>98</v>
      </c>
    </row>
    <row r="86" spans="8:8">
      <c r="H86" s="50" t="s">
        <v>98</v>
      </c>
    </row>
    <row r="87" spans="8:8">
      <c r="H87" s="50" t="s">
        <v>98</v>
      </c>
    </row>
    <row r="88" spans="8:8">
      <c r="H88" s="50" t="s">
        <v>98</v>
      </c>
    </row>
    <row r="89" spans="8:8">
      <c r="H89" s="50" t="s">
        <v>98</v>
      </c>
    </row>
    <row r="90" spans="8:8">
      <c r="H90" s="50" t="s">
        <v>98</v>
      </c>
    </row>
    <row r="91" spans="8:8">
      <c r="H91" s="50" t="s">
        <v>98</v>
      </c>
    </row>
    <row r="92" spans="8:8">
      <c r="H92" s="50"/>
    </row>
    <row r="93" spans="8:8">
      <c r="H93" s="50"/>
    </row>
    <row r="94" spans="8:8">
      <c r="H94" s="50"/>
    </row>
    <row r="95" spans="8:8">
      <c r="H95" s="50"/>
    </row>
    <row r="96" spans="8:8">
      <c r="H96" s="50"/>
    </row>
    <row r="97" spans="8:8">
      <c r="H97" s="50"/>
    </row>
    <row r="98" spans="8:8">
      <c r="H98" s="50"/>
    </row>
    <row r="99" spans="8:8">
      <c r="H99" s="50"/>
    </row>
    <row r="100" spans="8:8">
      <c r="H100" s="50"/>
    </row>
    <row r="101" spans="8:8">
      <c r="H101" s="50"/>
    </row>
    <row r="102" spans="8:8">
      <c r="H102" s="50"/>
    </row>
    <row r="103" spans="8:8">
      <c r="H103" s="50"/>
    </row>
    <row r="104" spans="8:8">
      <c r="H104" s="50"/>
    </row>
    <row r="105" spans="8:8">
      <c r="H105" s="50"/>
    </row>
    <row r="106" spans="8:8">
      <c r="H106" s="50"/>
    </row>
  </sheetData>
  <mergeCells count="4">
    <mergeCell ref="B1:G1"/>
    <mergeCell ref="J5:J12"/>
    <mergeCell ref="K5:K12"/>
    <mergeCell ref="L5:L12"/>
  </mergeCells>
  <pageMargins left="0.7" right="0.7" top="0.75" bottom="0.75" header="0.3" footer="0.3"/>
  <pageSetup paperSize="9" orientation="portrait" r:id="rId1"/>
  <headerFooter>
    <oddFooter>&amp;C&amp;1#&amp;"Calibri"&amp;10&amp;K000000PUBLIC</oddFooter>
    <evenFooter>&amp;LPUBLIC</evenFooter>
    <firstFooter>&amp;LPUBLIC</firstFooter>
  </headerFooter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<?xml version="1.0" encoding="utf-8"?>
<Klassify>
  <SNO>1</SNO>
  <KDate>2023-02-03 17:11:15</KDate>
  <Classification>Public</Classification>
  <Subclassification/>
  <HostName>MUMCMP00935</HostName>
  <Domain_User>CANARAROBECOMF/628</Domain_User>
  <IPAdd>192.9.198.194</IPAdd>
  <FilePath>Book8</FilePath>
  <KID>C025A5607E97638110410759856120</KID>
  <UniqueName/>
  <Suggested/>
  <Justification/>
</Klassify>
</file>

<file path=customXml/itemProps1.xml><?xml version="1.0" encoding="utf-8"?>
<ds:datastoreItem xmlns:ds="http://schemas.openxmlformats.org/officeDocument/2006/customXml" ds:itemID="{BE3FF1DA-F4C1-4682-B83D-E9C1B31DEBF9}">
  <ds:schemaRefs/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Ruchi Kanabar</dc:creator>
  <cp:lastModifiedBy>Ruchi Kanabar</cp:lastModifiedBy>
  <dcterms:created xsi:type="dcterms:W3CDTF">2023-02-03T11:41:11Z</dcterms:created>
  <dcterms:modified xsi:type="dcterms:W3CDTF">2023-02-03T11:41:16Z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lassification">
    <vt:lpwstr>Public</vt:lpwstr>
  </property>
  <property fmtid="{D5CDD505-2E9C-101B-9397-08002B2CF9AE}" pid="3" name="Rules">
    <vt:lpwstr/>
  </property>
  <property fmtid="{D5CDD505-2E9C-101B-9397-08002B2CF9AE}" pid="4" name="KID">
    <vt:lpwstr>C025A5607E97638110410759856120</vt:lpwstr>
  </property>
</Properties>
</file>