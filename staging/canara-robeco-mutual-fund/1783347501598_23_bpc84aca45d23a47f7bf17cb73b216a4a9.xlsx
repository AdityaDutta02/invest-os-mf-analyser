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29" i="1"/>
  <c r="G30" i="1" s="1"/>
  <c r="F29" i="1"/>
  <c r="F30" i="1" s="1"/>
  <c r="G21" i="1"/>
  <c r="G22" i="1" s="1"/>
  <c r="G42" i="1" s="1"/>
  <c r="F21" i="1"/>
  <c r="F22" i="1" s="1"/>
  <c r="F42" i="1" s="1"/>
</calcChain>
</file>

<file path=xl/sharedStrings.xml><?xml version="1.0" encoding="utf-8"?>
<sst xmlns="http://schemas.openxmlformats.org/spreadsheetml/2006/main" count="113" uniqueCount="90">
  <si>
    <t>CANARA ROBECO BANKING AND PSU DEBT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</si>
  <si>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</si>
  <si>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</si>
  <si>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</si>
  <si>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</si>
  <si>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</si>
  <si>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</si>
  <si>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</si>
  <si>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</si>
  <si>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Jan'23</t>
  </si>
  <si>
    <t>Benchmark Risk-o-meter Level- Jan'23</t>
  </si>
  <si>
    <t>Previous Scheme Risk-o-meter Level- Dec'22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</si>
  <si>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</si>
  <si>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</si>
  <si>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</si>
  <si>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</si>
  <si>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</si>
  <si>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</si>
  <si>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</si>
  <si>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</si>
  <si>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</si>
  <si>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</si>
  <si>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</si>
  <si>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</si>
  <si>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8.65% Power Finance Corporation Ltd (28/12/2024) **</t>
  </si>
  <si>
    <t>INE134E08GV9</t>
  </si>
  <si>
    <t>7.60% ICICI Bank Ltd (07/10/2023)</t>
  </si>
  <si>
    <t>INE090A08TU6</t>
  </si>
  <si>
    <t>CARE AAA</t>
  </si>
  <si>
    <t>Moderate 
(Class II)</t>
  </si>
  <si>
    <t>7.05% National Housing Bank (18/12/2024) **</t>
  </si>
  <si>
    <t>INE557F08FG1</t>
  </si>
  <si>
    <t>7.15% Small Industries Development Bank Of India (21/07/2025) **</t>
  </si>
  <si>
    <t>INE556F08JZ5</t>
  </si>
  <si>
    <t>ICRA AAA</t>
  </si>
  <si>
    <t>Relatively High (Class III)</t>
  </si>
  <si>
    <t>B-III</t>
  </si>
  <si>
    <t>5.84% Indian Oil Corporation Ltd (19/04/2024) **</t>
  </si>
  <si>
    <t>INE242A08510</t>
  </si>
  <si>
    <t>7.77% Housing Development Finance Corporation Ltd (28/06/2027) **</t>
  </si>
  <si>
    <t>INE001A07TN0</t>
  </si>
  <si>
    <t>Benchmark: CRISIL Banking and PSU Debt Index</t>
  </si>
  <si>
    <t>8.45% Indian Railway Finance Corporation Ltd (04/12/2028) **</t>
  </si>
  <si>
    <t>INE053F07AY7</t>
  </si>
  <si>
    <t>6.85% National Bank For Agriculture &amp; Rural Development (21/03/2031) **</t>
  </si>
  <si>
    <t>INE261F08DA8</t>
  </si>
  <si>
    <t>5.23% National Bank For Agriculture &amp; Rural Development (31/01/2025)</t>
  </si>
  <si>
    <t>INE261F08DI1</t>
  </si>
  <si>
    <t>8.79% LIC Housing Finance Ltd (05/03/2024) **</t>
  </si>
  <si>
    <t>INE115A07NY8</t>
  </si>
  <si>
    <t>6.19% LIC Housing Finance Ltd (25/11/2024) **</t>
  </si>
  <si>
    <t>INE115A07OW0</t>
  </si>
  <si>
    <t>8.27% REC Ltd (06/02/2025)</t>
  </si>
  <si>
    <t>INE020B08906</t>
  </si>
  <si>
    <t>8.10% REC Ltd (25/06/2024) **</t>
  </si>
  <si>
    <t>INE020B08BV7</t>
  </si>
  <si>
    <t>Sub Total</t>
  </si>
  <si>
    <t>Total</t>
  </si>
  <si>
    <t>Money Market Instruments</t>
  </si>
  <si>
    <t>Certificate of Deposit</t>
  </si>
  <si>
    <t>Bank of Baroda (17/08/2023) #</t>
  </si>
  <si>
    <t>INE028A16CT7</t>
  </si>
  <si>
    <t>IND A1+</t>
  </si>
  <si>
    <t>Export-Import Bank Of India (17/08/2023) ** #</t>
  </si>
  <si>
    <t>INE514E16CC4</t>
  </si>
  <si>
    <t>CRISIL A1+</t>
  </si>
  <si>
    <t>Axis Bank Ltd (06/12/2023) ** #</t>
  </si>
  <si>
    <t>INE238AD6215</t>
  </si>
  <si>
    <t>Kotak Mahindra Bank Ltd (11/01/2024) ** #</t>
  </si>
  <si>
    <t>INE237A168R6</t>
  </si>
  <si>
    <t>Government Bonds</t>
  </si>
  <si>
    <t>7.38% GOI 20-JUN-27</t>
  </si>
  <si>
    <t>IN0020220037</t>
  </si>
  <si>
    <t>Sovereign</t>
  </si>
  <si>
    <t>GOI FRB 30-OCT-34</t>
  </si>
  <si>
    <t>IN0020210137</t>
  </si>
  <si>
    <t>7.26% GOI 22-AUG-32</t>
  </si>
  <si>
    <t>IN0020220060</t>
  </si>
  <si>
    <t>5.63% INDIA GOVERNMENT 12-APR-26</t>
  </si>
  <si>
    <t>IN0020210012</t>
  </si>
  <si>
    <t>5.74% INDIA GOVERNMENT 15-NOV-26</t>
  </si>
  <si>
    <t>IN0020210186</t>
  </si>
  <si>
    <t>TREPS</t>
  </si>
  <si>
    <t>Net Receivables / (Payables)</t>
  </si>
  <si>
    <t>Grand Total</t>
  </si>
  <si>
    <t>**  Non Traded Security</t>
  </si>
  <si>
    <t>#  Unlisted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</si>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</sst>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9" xfId="0" applyNumberFormat="1" applyFont="1" applyFill="1" applyBorder="1"/>
    <xf numFmtId="2" fontId="10" fillId="0" borderId="20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0" xfId="2" applyNumberFormat="1" applyFont="1" applyBorder="1" applyAlignment="1">
      <alignment horizontal="right"/>
    </xf>
    <xf numFmtId="2" fontId="10" fillId="0" borderId="2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134712</xdr:colOff>
      <xdr:row>4</xdr:row>
      <xdr:rowOff>42181</xdr:rowOff>
    </xdr:from>
    <xdr:ext cx="1797502" cy="1291319"/>
    <xdr:pic>
      <xdr:nvPicPr>
        <xdr:cNvPr id="2" name="Picture 1">
          <a:extLst>
            <a:ext uri="{FF2B5EF4-FFF2-40B4-BE49-F238E27FC236}">
              <a16:creationId xmlns:a16="http://schemas.microsoft.com/office/drawing/2014/main" id="{2E2E6A43-F8E5-4405-9622-0A00A4E5F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6912" y="1051831"/>
          <a:ext cx="1797502" cy="1291319"/>
        </a:xfrm>
        <a:prstGeom prst="rect">
          <a:avLst/>
        </a:prstGeom>
      </xdr:spPr>
    </xdr:pic>
    <xdr:clientData/>
  </xdr:oneCellAnchor>
  <xdr:twoCellAnchor editAs="oneCell">
    <xdr:from>
      <xdr:col>10</xdr:col>
      <xdr:colOff>191861</xdr:colOff>
      <xdr:row>4</xdr:row>
      <xdr:rowOff>76200</xdr:rowOff>
    </xdr:from>
    <xdr:to>
      <xdr:col>10</xdr:col>
      <xdr:colOff>1962150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0D7A7-31EA-459A-AC23-3CCAB188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21936" y="1085850"/>
          <a:ext cx="1770289" cy="1247775"/>
        </a:xfrm>
        <a:prstGeom prst="rect">
          <a:avLst/>
        </a:prstGeom>
      </xdr:spPr>
    </xdr:pic>
    <xdr:clientData/>
  </xdr:twoCellAnchor>
  <xdr:oneCellAnchor>
    <xdr:from>
      <xdr:col>11</xdr:col>
      <xdr:colOff>220437</xdr:colOff>
      <xdr:row>4</xdr:row>
      <xdr:rowOff>89806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A7ACCBAF-5FED-458E-BB6B-11FFBA29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88887" y="1099456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5"/>
  <sheetViews>
    <sheetView tabSelected="1" workbookViewId="0">
      <selection activeCell="A5" sqref="A5"/>
    </sheetView>
  </sheetViews>
  <sheetFormatPr defaultColWidth="13.7109375" defaultRowHeight="12"/>
  <cols>
    <col min="1" max="1" width="13.7109375" style="3" customWidth="1"/>
    <col min="2" max="2" width="60.28515625" style="3" bestFit="1" customWidth="1"/>
    <col min="3" max="3" width="13.85546875" style="3" bestFit="1" customWidth="1"/>
    <col min="4" max="4" width="10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3.7109375" style="3" customWidth="1"/>
    <col min="10" max="10" width="30.7109375" style="4" customWidth="1"/>
    <col min="11" max="11" width="33.5703125" style="4" customWidth="1"/>
    <col min="12" max="12" width="33.42578125" style="4" customWidth="1"/>
    <col min="13" max="13" width="4.7109375" style="4" bestFit="1" customWidth="1"/>
    <col min="14" max="16384" width="13.710937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24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250</v>
      </c>
      <c r="F7" s="26">
        <v>2585.42</v>
      </c>
      <c r="G7" s="26">
        <v>6.54</v>
      </c>
      <c r="H7" s="26">
        <v>7.69</v>
      </c>
      <c r="J7" s="21"/>
      <c r="K7" s="21"/>
      <c r="L7" s="21"/>
      <c r="N7" s="29" t="s">
        <v>23</v>
      </c>
      <c r="O7" s="30"/>
      <c r="P7" s="30"/>
      <c r="Q7" s="30"/>
    </row>
    <row r="8" spans="2:17">
      <c r="B8" s="25" t="s">
        <v>24</v>
      </c>
      <c r="C8" s="25" t="s">
        <v>25</v>
      </c>
      <c r="D8" s="25" t="s">
        <v>22</v>
      </c>
      <c r="E8" s="28">
        <v>250</v>
      </c>
      <c r="F8" s="26">
        <v>2540.52</v>
      </c>
      <c r="G8" s="26">
        <v>6.43</v>
      </c>
      <c r="H8" s="26">
        <v>7.69</v>
      </c>
      <c r="J8" s="21"/>
      <c r="K8" s="21"/>
      <c r="L8" s="21"/>
      <c r="N8" s="29"/>
      <c r="O8" s="31"/>
      <c r="P8" s="31"/>
      <c r="Q8" s="31"/>
    </row>
    <row r="9" spans="2:17">
      <c r="B9" s="25" t="s">
        <v>26</v>
      </c>
      <c r="C9" s="25" t="s">
        <v>27</v>
      </c>
      <c r="D9" s="25" t="s">
        <v>28</v>
      </c>
      <c r="E9" s="28">
        <v>250</v>
      </c>
      <c r="F9" s="26">
        <v>2492.39</v>
      </c>
      <c r="G9" s="26">
        <v>6.31</v>
      </c>
      <c r="H9" s="26">
        <v>7.88</v>
      </c>
      <c r="J9" s="21"/>
      <c r="K9" s="21"/>
      <c r="L9" s="21"/>
      <c r="N9" s="29" t="s">
        <v>29</v>
      </c>
      <c r="O9" s="30"/>
      <c r="P9" s="30"/>
      <c r="Q9" s="30"/>
    </row>
    <row r="10" spans="2:17">
      <c r="B10" s="25" t="s">
        <v>30</v>
      </c>
      <c r="C10" s="25" t="s">
        <v>31</v>
      </c>
      <c r="D10" s="25" t="s">
        <v>22</v>
      </c>
      <c r="E10" s="28">
        <v>250</v>
      </c>
      <c r="F10" s="26">
        <v>2474.71</v>
      </c>
      <c r="G10" s="26">
        <v>6.26</v>
      </c>
      <c r="H10" s="26">
        <v>7.63</v>
      </c>
      <c r="J10" s="21"/>
      <c r="K10" s="21"/>
      <c r="L10" s="21"/>
      <c r="N10" s="29"/>
      <c r="O10" s="31"/>
      <c r="P10" s="31"/>
      <c r="Q10" s="31"/>
    </row>
    <row r="11" spans="2:17">
      <c r="B11" s="25" t="s">
        <v>32</v>
      </c>
      <c r="C11" s="25" t="s">
        <v>33</v>
      </c>
      <c r="D11" s="25" t="s">
        <v>34</v>
      </c>
      <c r="E11" s="28">
        <v>250</v>
      </c>
      <c r="F11" s="26">
        <v>2467.14</v>
      </c>
      <c r="G11" s="26">
        <v>6.25</v>
      </c>
      <c r="H11" s="26">
        <v>7.73</v>
      </c>
      <c r="J11" s="21"/>
      <c r="K11" s="21"/>
      <c r="L11" s="21"/>
      <c r="N11" s="29" t="s">
        <v>35</v>
      </c>
      <c r="O11" s="30"/>
      <c r="P11" s="32" t="s">
        <v>36</v>
      </c>
      <c r="Q11" s="30"/>
    </row>
    <row r="12" spans="2:17">
      <c r="B12" s="25" t="s">
        <v>37</v>
      </c>
      <c r="C12" s="25" t="s">
        <v>38</v>
      </c>
      <c r="D12" s="25" t="s">
        <v>22</v>
      </c>
      <c r="E12" s="28">
        <v>250</v>
      </c>
      <c r="F12" s="26">
        <v>2450.77</v>
      </c>
      <c r="G12" s="26">
        <v>6.2</v>
      </c>
      <c r="H12" s="26">
        <v>7.57</v>
      </c>
      <c r="J12" s="21"/>
      <c r="K12" s="21"/>
      <c r="L12" s="21"/>
      <c r="N12" s="29"/>
      <c r="O12" s="31"/>
      <c r="P12" s="33"/>
      <c r="Q12" s="31"/>
    </row>
    <row r="13" spans="2:17" ht="15">
      <c r="B13" s="25" t="s">
        <v>39</v>
      </c>
      <c r="C13" s="25" t="s">
        <v>40</v>
      </c>
      <c r="D13" s="25" t="s">
        <v>22</v>
      </c>
      <c r="E13" s="28">
        <v>200</v>
      </c>
      <c r="F13" s="26">
        <v>1987.95</v>
      </c>
      <c r="G13" s="26">
        <v>5.03</v>
      </c>
      <c r="H13" s="26">
        <v>7.92</v>
      </c>
      <c r="K13" t="s">
        <v>41</v>
      </c>
    </row>
    <row r="14" spans="2:17">
      <c r="B14" s="25" t="s">
        <v>42</v>
      </c>
      <c r="C14" s="25" t="s">
        <v>43</v>
      </c>
      <c r="D14" s="25" t="s">
        <v>22</v>
      </c>
      <c r="E14" s="28">
        <v>150</v>
      </c>
      <c r="F14" s="26">
        <v>1566.26</v>
      </c>
      <c r="G14" s="26">
        <v>3.96</v>
      </c>
      <c r="H14" s="26">
        <v>7.48</v>
      </c>
    </row>
    <row r="15" spans="2:17">
      <c r="B15" s="25" t="s">
        <v>44</v>
      </c>
      <c r="C15" s="25" t="s">
        <v>45</v>
      </c>
      <c r="D15" s="25" t="s">
        <v>34</v>
      </c>
      <c r="E15" s="28">
        <v>150</v>
      </c>
      <c r="F15" s="26">
        <v>1440.89</v>
      </c>
      <c r="G15" s="26">
        <v>3.65</v>
      </c>
      <c r="H15" s="26">
        <v>7.65</v>
      </c>
    </row>
    <row r="16" spans="2:17">
      <c r="B16" s="25" t="s">
        <v>46</v>
      </c>
      <c r="C16" s="25" t="s">
        <v>47</v>
      </c>
      <c r="D16" s="25" t="s">
        <v>22</v>
      </c>
      <c r="E16" s="28">
        <v>150</v>
      </c>
      <c r="F16" s="26">
        <v>1433.98</v>
      </c>
      <c r="G16" s="26">
        <v>3.63</v>
      </c>
      <c r="H16" s="26">
        <v>7.69</v>
      </c>
    </row>
    <row r="17" spans="2:9">
      <c r="B17" s="25" t="s">
        <v>48</v>
      </c>
      <c r="C17" s="25" t="s">
        <v>49</v>
      </c>
      <c r="D17" s="25" t="s">
        <v>22</v>
      </c>
      <c r="E17" s="28">
        <v>100</v>
      </c>
      <c r="F17" s="26">
        <v>1008.57</v>
      </c>
      <c r="G17" s="26">
        <v>2.5499999999999998</v>
      </c>
      <c r="H17" s="26">
        <v>7.91</v>
      </c>
    </row>
    <row r="18" spans="2:9">
      <c r="B18" s="25" t="s">
        <v>50</v>
      </c>
      <c r="C18" s="25" t="s">
        <v>51</v>
      </c>
      <c r="D18" s="25" t="s">
        <v>22</v>
      </c>
      <c r="E18" s="28">
        <v>100</v>
      </c>
      <c r="F18" s="26">
        <v>971.36</v>
      </c>
      <c r="G18" s="26">
        <v>2.46</v>
      </c>
      <c r="H18" s="26">
        <v>7.93</v>
      </c>
    </row>
    <row r="19" spans="2:9">
      <c r="B19" s="25" t="s">
        <v>52</v>
      </c>
      <c r="C19" s="25" t="s">
        <v>53</v>
      </c>
      <c r="D19" s="25" t="s">
        <v>22</v>
      </c>
      <c r="E19" s="28">
        <v>50</v>
      </c>
      <c r="F19" s="26">
        <v>505.53</v>
      </c>
      <c r="G19" s="26">
        <v>1.28</v>
      </c>
      <c r="H19" s="26">
        <v>7.65</v>
      </c>
    </row>
    <row r="20" spans="2:9">
      <c r="B20" s="25" t="s">
        <v>54</v>
      </c>
      <c r="C20" s="25" t="s">
        <v>55</v>
      </c>
      <c r="D20" s="25" t="s">
        <v>22</v>
      </c>
      <c r="E20" s="28">
        <v>50</v>
      </c>
      <c r="F20" s="26">
        <v>502.32</v>
      </c>
      <c r="G20" s="26">
        <v>1.27</v>
      </c>
      <c r="H20" s="26">
        <v>7.68</v>
      </c>
    </row>
    <row r="21" spans="2:9">
      <c r="B21" s="34" t="s">
        <v>56</v>
      </c>
      <c r="C21" s="34"/>
      <c r="D21" s="34"/>
      <c r="E21" s="34"/>
      <c r="F21" s="35">
        <f>SUM(F6:F20)</f>
        <v>24427.809999999998</v>
      </c>
      <c r="G21" s="35">
        <f>SUM(G6:G20)</f>
        <v>61.820000000000007</v>
      </c>
      <c r="H21" s="36"/>
      <c r="I21" s="37"/>
    </row>
    <row r="22" spans="2:9">
      <c r="B22" s="38" t="s">
        <v>57</v>
      </c>
      <c r="C22" s="38"/>
      <c r="D22" s="38"/>
      <c r="E22" s="38"/>
      <c r="F22" s="39">
        <f>F21</f>
        <v>24427.809999999998</v>
      </c>
      <c r="G22" s="39">
        <f>G21</f>
        <v>61.820000000000007</v>
      </c>
      <c r="H22" s="39"/>
      <c r="I22" s="37"/>
    </row>
    <row r="23" spans="2:9">
      <c r="B23" s="24" t="s">
        <v>58</v>
      </c>
      <c r="C23" s="25"/>
      <c r="D23" s="25"/>
      <c r="E23" s="25"/>
      <c r="F23" s="26"/>
      <c r="G23" s="26"/>
      <c r="H23" s="26"/>
    </row>
    <row r="24" spans="2:9">
      <c r="B24" s="24" t="s">
        <v>59</v>
      </c>
      <c r="C24" s="25"/>
      <c r="D24" s="25"/>
      <c r="E24" s="25"/>
      <c r="F24" s="26"/>
      <c r="G24" s="26"/>
      <c r="H24" s="26"/>
    </row>
    <row r="25" spans="2:9">
      <c r="B25" s="25" t="s">
        <v>60</v>
      </c>
      <c r="C25" s="25" t="s">
        <v>61</v>
      </c>
      <c r="D25" s="25" t="s">
        <v>62</v>
      </c>
      <c r="E25" s="28">
        <v>500</v>
      </c>
      <c r="F25" s="26">
        <v>2401.7399999999998</v>
      </c>
      <c r="G25" s="26">
        <v>6.08</v>
      </c>
      <c r="H25" s="26">
        <v>7.58</v>
      </c>
    </row>
    <row r="26" spans="2:9">
      <c r="B26" s="25" t="s">
        <v>63</v>
      </c>
      <c r="C26" s="25" t="s">
        <v>64</v>
      </c>
      <c r="D26" s="25" t="s">
        <v>65</v>
      </c>
      <c r="E26" s="28">
        <v>500</v>
      </c>
      <c r="F26" s="26">
        <v>2401.37</v>
      </c>
      <c r="G26" s="26">
        <v>6.08</v>
      </c>
      <c r="H26" s="26">
        <v>7.61</v>
      </c>
    </row>
    <row r="27" spans="2:9">
      <c r="B27" s="25" t="s">
        <v>66</v>
      </c>
      <c r="C27" s="25" t="s">
        <v>67</v>
      </c>
      <c r="D27" s="25" t="s">
        <v>65</v>
      </c>
      <c r="E27" s="28">
        <v>500</v>
      </c>
      <c r="F27" s="26">
        <v>2346.92</v>
      </c>
      <c r="G27" s="26">
        <v>5.94</v>
      </c>
      <c r="H27" s="26">
        <v>7.73</v>
      </c>
    </row>
    <row r="28" spans="2:9">
      <c r="B28" s="25" t="s">
        <v>68</v>
      </c>
      <c r="C28" s="25" t="s">
        <v>69</v>
      </c>
      <c r="D28" s="25" t="s">
        <v>65</v>
      </c>
      <c r="E28" s="28">
        <v>500</v>
      </c>
      <c r="F28" s="26">
        <v>2330.85</v>
      </c>
      <c r="G28" s="26">
        <v>5.9</v>
      </c>
      <c r="H28" s="26">
        <v>7.7</v>
      </c>
    </row>
    <row r="29" spans="2:9">
      <c r="B29" s="34" t="s">
        <v>56</v>
      </c>
      <c r="C29" s="34"/>
      <c r="D29" s="34"/>
      <c r="E29" s="34"/>
      <c r="F29" s="35">
        <f>SUM(F24:F28)</f>
        <v>9480.8799999999992</v>
      </c>
      <c r="G29" s="35">
        <f>SUM(G24:G28)</f>
        <v>24</v>
      </c>
      <c r="H29" s="36"/>
      <c r="I29" s="37"/>
    </row>
    <row r="30" spans="2:9">
      <c r="B30" s="38" t="s">
        <v>57</v>
      </c>
      <c r="C30" s="38"/>
      <c r="D30" s="38"/>
      <c r="E30" s="38"/>
      <c r="F30" s="39">
        <f>F29</f>
        <v>9480.8799999999992</v>
      </c>
      <c r="G30" s="39">
        <f>G29</f>
        <v>24</v>
      </c>
      <c r="H30" s="39"/>
      <c r="I30" s="37"/>
    </row>
    <row r="31" spans="2:9">
      <c r="B31" s="24" t="s">
        <v>70</v>
      </c>
      <c r="C31" s="25"/>
      <c r="D31" s="25"/>
      <c r="E31" s="25"/>
      <c r="F31" s="26"/>
      <c r="G31" s="26"/>
      <c r="H31" s="26"/>
    </row>
    <row r="32" spans="2:9">
      <c r="B32" s="25" t="s">
        <v>71</v>
      </c>
      <c r="C32" s="25" t="s">
        <v>72</v>
      </c>
      <c r="D32" s="25" t="s">
        <v>73</v>
      </c>
      <c r="E32" s="28">
        <v>1500000</v>
      </c>
      <c r="F32" s="26">
        <v>1508.54</v>
      </c>
      <c r="G32" s="26">
        <v>3.82</v>
      </c>
      <c r="H32" s="26">
        <v>7.35</v>
      </c>
    </row>
    <row r="33" spans="2:9">
      <c r="B33" s="25" t="s">
        <v>74</v>
      </c>
      <c r="C33" s="25" t="s">
        <v>75</v>
      </c>
      <c r="D33" s="25" t="s">
        <v>73</v>
      </c>
      <c r="E33" s="28">
        <v>1000000</v>
      </c>
      <c r="F33" s="26">
        <v>974.8</v>
      </c>
      <c r="G33" s="26">
        <v>2.4700000000000002</v>
      </c>
      <c r="H33" s="26">
        <v>8.02</v>
      </c>
    </row>
    <row r="34" spans="2:9">
      <c r="B34" s="25" t="s">
        <v>76</v>
      </c>
      <c r="C34" s="25" t="s">
        <v>77</v>
      </c>
      <c r="D34" s="25" t="s">
        <v>73</v>
      </c>
      <c r="E34" s="28">
        <v>500000</v>
      </c>
      <c r="F34" s="26">
        <v>496.64</v>
      </c>
      <c r="G34" s="26">
        <v>1.26</v>
      </c>
      <c r="H34" s="26">
        <v>7.49</v>
      </c>
    </row>
    <row r="35" spans="2:9">
      <c r="B35" s="25" t="s">
        <v>78</v>
      </c>
      <c r="C35" s="25" t="s">
        <v>79</v>
      </c>
      <c r="D35" s="25" t="s">
        <v>73</v>
      </c>
      <c r="E35" s="28">
        <v>500000</v>
      </c>
      <c r="F35" s="26">
        <v>478.73</v>
      </c>
      <c r="G35" s="26">
        <v>1.21</v>
      </c>
      <c r="H35" s="26">
        <v>7.27</v>
      </c>
    </row>
    <row r="36" spans="2:9">
      <c r="B36" s="40" t="s">
        <v>80</v>
      </c>
      <c r="C36" s="40" t="s">
        <v>81</v>
      </c>
      <c r="D36" s="40" t="s">
        <v>73</v>
      </c>
      <c r="E36" s="41">
        <v>500000</v>
      </c>
      <c r="F36" s="42">
        <v>476.25</v>
      </c>
      <c r="G36" s="42">
        <v>1.21</v>
      </c>
      <c r="H36" s="42">
        <v>7.32</v>
      </c>
    </row>
    <row r="37" spans="2:9">
      <c r="B37" s="43" t="s">
        <v>57</v>
      </c>
      <c r="C37" s="43"/>
      <c r="D37" s="43"/>
      <c r="E37" s="43"/>
      <c r="F37" s="44">
        <f>SUM(F32:F36)</f>
        <v>3934.96</v>
      </c>
      <c r="G37" s="44">
        <f>SUM(G32:G36)</f>
        <v>9.9699999999999989</v>
      </c>
      <c r="H37" s="44"/>
      <c r="I37" s="37"/>
    </row>
    <row r="38" spans="2:9">
      <c r="B38" s="24" t="s">
        <v>82</v>
      </c>
      <c r="C38" s="25"/>
      <c r="D38" s="25"/>
      <c r="E38" s="25"/>
      <c r="F38" s="26"/>
      <c r="G38" s="26"/>
      <c r="H38" s="26"/>
    </row>
    <row r="39" spans="2:9">
      <c r="B39" s="25" t="s">
        <v>82</v>
      </c>
      <c r="C39" s="25"/>
      <c r="D39" s="25"/>
      <c r="E39" s="25"/>
      <c r="F39" s="26">
        <v>992.44</v>
      </c>
      <c r="G39" s="26">
        <v>2.5099999999999998</v>
      </c>
      <c r="H39" s="26"/>
    </row>
    <row r="40" spans="2:9">
      <c r="B40" s="34" t="s">
        <v>56</v>
      </c>
      <c r="C40" s="34"/>
      <c r="D40" s="34"/>
      <c r="E40" s="34"/>
      <c r="F40" s="35">
        <f>SUM(F38:F39)</f>
        <v>992.44</v>
      </c>
      <c r="G40" s="35">
        <f>SUM(G38:G39)</f>
        <v>2.5099999999999998</v>
      </c>
      <c r="H40" s="36"/>
      <c r="I40" s="37"/>
    </row>
    <row r="41" spans="2:9">
      <c r="B41" s="45" t="s">
        <v>57</v>
      </c>
      <c r="C41" s="45"/>
      <c r="D41" s="45"/>
      <c r="E41" s="45"/>
      <c r="F41" s="46">
        <f>F40</f>
        <v>992.44</v>
      </c>
      <c r="G41" s="46">
        <f>G40</f>
        <v>2.5099999999999998</v>
      </c>
      <c r="H41" s="46"/>
      <c r="I41" s="37"/>
    </row>
    <row r="42" spans="2:9">
      <c r="B42" s="47" t="s">
        <v>83</v>
      </c>
      <c r="C42" s="47"/>
      <c r="D42" s="47"/>
      <c r="E42" s="47"/>
      <c r="F42" s="48">
        <f>F43-(+F22+F30+F37+F41)</f>
        <v>668.03000000000611</v>
      </c>
      <c r="G42" s="48">
        <f>G43-(+G22+G30+G37+G41)</f>
        <v>1.6999999999999886</v>
      </c>
      <c r="H42" s="48"/>
      <c r="I42" s="37"/>
    </row>
    <row r="43" spans="2:9">
      <c r="B43" s="47" t="s">
        <v>84</v>
      </c>
      <c r="C43" s="47"/>
      <c r="D43" s="47"/>
      <c r="E43" s="47"/>
      <c r="F43" s="48">
        <v>39504.120000000003</v>
      </c>
      <c r="G43" s="48">
        <v>100</v>
      </c>
      <c r="H43" s="48"/>
      <c r="I43" s="37"/>
    </row>
    <row r="45" spans="2:9">
      <c r="B45" s="37" t="s">
        <v>85</v>
      </c>
    </row>
    <row r="46" spans="2:9">
      <c r="B46" s="37" t="s">
        <v>86</v>
      </c>
    </row>
    <row r="47" spans="2:9" ht="12.75" thickBot="1"/>
    <row r="48" spans="2:9" ht="13.5" thickTop="1" thickBot="1">
      <c r="B48" s="49" t="s">
        <v>87</v>
      </c>
      <c r="C48" s="50">
        <v>2.6743254357987691</v>
      </c>
    </row>
    <row r="49" spans="2:3" ht="12.75" thickTop="1">
      <c r="B49" s="51"/>
    </row>
    <row r="50" spans="2:3" ht="12.75" thickBot="1">
      <c r="B50" s="51"/>
    </row>
    <row r="51" spans="2:3" ht="13.5" thickTop="1" thickBot="1">
      <c r="B51" s="49" t="s">
        <v>88</v>
      </c>
      <c r="C51" s="52">
        <v>7.6269199886874181E-2</v>
      </c>
    </row>
    <row r="52" spans="2:3" ht="12.75" thickTop="1">
      <c r="B52" s="51"/>
    </row>
    <row r="53" spans="2:3" ht="12.75" thickBot="1">
      <c r="B53" s="51"/>
    </row>
    <row r="54" spans="2:3" ht="13.5" thickTop="1" thickBot="1">
      <c r="B54" s="49" t="s">
        <v>89</v>
      </c>
      <c r="C54" s="53">
        <v>2.1142606627763794</v>
      </c>
    </row>
    <row r="55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17:13:37</KDate>
  <Classification>Public</Classification>
  <Subclassification/>
  <HostName>MUMCMP00935</HostName>
  <Domain_User>CANARAROBECOMF/628</Domain_User>
  <IPAdd>192.9.198.194</IPAdd>
  <FilePath>Book23</FilePath>
  <KID>C025A5607E97638110412172683206</KID>
  <UniqueName/>
  <Suggested/>
  <Justification/>
</Klassify>
</file>

<file path=customXml/itemProps1.xml><?xml version="1.0" encoding="utf-8"?>
<ds:datastoreItem xmlns:ds="http://schemas.openxmlformats.org/officeDocument/2006/customXml" ds:itemID="{B43A7CEE-B130-48B9-A132-BF75F02FBB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2023-02-03T11:43:32Z</dcterms:created>
  <dcterms:modified xsi:type="dcterms:W3CDTF">2023-02-03T11:43:37Z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C025A5607E97638110412172683206</vt:lpwstr>
  </property>
</Properties>
</file>