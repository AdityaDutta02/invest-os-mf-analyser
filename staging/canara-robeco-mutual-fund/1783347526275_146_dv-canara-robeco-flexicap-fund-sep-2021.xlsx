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D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1" l="1"/>
  <c r="G73" i="1" s="1"/>
  <c r="F72" i="1"/>
  <c r="F73" i="1" s="1"/>
  <c r="G68" i="1"/>
  <c r="G69" i="1" s="1"/>
  <c r="G74" i="1" s="1"/>
  <c r="F68" i="1"/>
  <c r="F69" i="1" s="1"/>
  <c r="F74" i="1" s="1"/>
</calcChain>
</file>

<file path=xl/sharedStrings.xml><?xml version="1.0" encoding="utf-8"?>
<sst xmlns="http://schemas.openxmlformats.org/spreadsheetml/2006/main" count="203" uniqueCount="165">
  <si>
    <t>CANARA ROBECO FLEXICAP FUND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</si>
  <si>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</si>
  <si>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</si>
  <si>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</si>
  <si>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</si>
  <si>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</si>
  <si>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</si>
  <si>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</si>
  <si>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Revised Risk-o-meter Level- Aug'21</t>
  </si>
  <si>
    <t>Revised Risk-o-meter Level- Sep'21</t>
  </si>
  <si>
    <t>Benchmark Risk-o-meter Level- Sep'21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</si>
  <si>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</si>
  <si>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</si>
  <si>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</si>
  <si>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</si>
  <si>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</si>
  <si>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</si>
  <si>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</si>
  <si>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Infosys Ltd</t>
  </si>
  <si>
    <t>INE009A01021</t>
  </si>
  <si>
    <t>Software</t>
  </si>
  <si>
    <t>Reliance Industries Ltd</t>
  </si>
  <si>
    <t>INE002A01018</t>
  </si>
  <si>
    <t>Petroleum Products</t>
  </si>
  <si>
    <t>Housing Development Finance Corporation Ltd</t>
  </si>
  <si>
    <t>INE001A01036</t>
  </si>
  <si>
    <t>Finance</t>
  </si>
  <si>
    <t>Tata Consultancy Services Ltd</t>
  </si>
  <si>
    <t>INE467B01029</t>
  </si>
  <si>
    <t>Bajaj Finance Ltd</t>
  </si>
  <si>
    <t>INE296A01024</t>
  </si>
  <si>
    <t>Benchmark: S&amp;P BSE 500 TRI</t>
  </si>
  <si>
    <t>Axis Bank Ltd</t>
  </si>
  <si>
    <t>INE238A01034</t>
  </si>
  <si>
    <t>Larsen &amp; Toubro Ltd</t>
  </si>
  <si>
    <t>INE018A01030</t>
  </si>
  <si>
    <t>Construction Project</t>
  </si>
  <si>
    <t>State Bank of India</t>
  </si>
  <si>
    <t>INE062A01020</t>
  </si>
  <si>
    <t>Hindustan Unilever Ltd</t>
  </si>
  <si>
    <t>INE030A01027</t>
  </si>
  <si>
    <t>Consumer Non Durables</t>
  </si>
  <si>
    <t>HCL Technologies Ltd</t>
  </si>
  <si>
    <t>INE860A01027</t>
  </si>
  <si>
    <t>Ultratech Cement Ltd</t>
  </si>
  <si>
    <t>INE481G01011</t>
  </si>
  <si>
    <t>Cement &amp; Cement Products</t>
  </si>
  <si>
    <t>Avenue Supermarts Ltd</t>
  </si>
  <si>
    <t>INE192R01011</t>
  </si>
  <si>
    <t>Retailing</t>
  </si>
  <si>
    <t>Sona Blw Precision Forgings Ltd</t>
  </si>
  <si>
    <t>INE073K01018</t>
  </si>
  <si>
    <t>Auto Ancillaries</t>
  </si>
  <si>
    <t>Max Healthcare Institute Ltd</t>
  </si>
  <si>
    <t>INE027H01010</t>
  </si>
  <si>
    <t>Healthcare Services</t>
  </si>
  <si>
    <t>Sun Pharmaceutical Industries Ltd</t>
  </si>
  <si>
    <t>INE044A01036</t>
  </si>
  <si>
    <t>Pharmaceuticals</t>
  </si>
  <si>
    <t>Hindalco Industries Ltd</t>
  </si>
  <si>
    <t>INE038A01020</t>
  </si>
  <si>
    <t>Non - Ferrous Metals</t>
  </si>
  <si>
    <t>Polycab India Ltd</t>
  </si>
  <si>
    <t>INE455K01017</t>
  </si>
  <si>
    <t>Industrial Products</t>
  </si>
  <si>
    <t>Voltas Ltd</t>
  </si>
  <si>
    <t>INE226A01021</t>
  </si>
  <si>
    <t>Consumer Durables</t>
  </si>
  <si>
    <t>Max Financial Services Ltd</t>
  </si>
  <si>
    <t>INE180A01020</t>
  </si>
  <si>
    <t>Insurance</t>
  </si>
  <si>
    <t>TCI Express Ltd</t>
  </si>
  <si>
    <t>INE586V01016</t>
  </si>
  <si>
    <t>Transportation</t>
  </si>
  <si>
    <t>Mphasis Ltd</t>
  </si>
  <si>
    <t>INE356A01018</t>
  </si>
  <si>
    <t>Tata Motors Ltd</t>
  </si>
  <si>
    <t>INE155A01022</t>
  </si>
  <si>
    <t>Auto</t>
  </si>
  <si>
    <t>Divi's Laboratories Ltd</t>
  </si>
  <si>
    <t>INE361B01024</t>
  </si>
  <si>
    <t>Kotak Mahindra Bank Ltd</t>
  </si>
  <si>
    <t>INE237A01028</t>
  </si>
  <si>
    <t>Asian Paints Ltd</t>
  </si>
  <si>
    <t>INE021A01026</t>
  </si>
  <si>
    <t>Bharti Airtel Ltd</t>
  </si>
  <si>
    <t>INE397D01024</t>
  </si>
  <si>
    <t>Telecom - Services</t>
  </si>
  <si>
    <t>Minda Industries Ltd</t>
  </si>
  <si>
    <t>INE405E01023</t>
  </si>
  <si>
    <t>Indraprastha Gas Ltd</t>
  </si>
  <si>
    <t>INE203G01027</t>
  </si>
  <si>
    <t>Gas</t>
  </si>
  <si>
    <t>Can Fin Homes Ltd</t>
  </si>
  <si>
    <t>INE477A01020</t>
  </si>
  <si>
    <t>Bata India Ltd</t>
  </si>
  <si>
    <t>INE176A01028</t>
  </si>
  <si>
    <t>Atul Ltd</t>
  </si>
  <si>
    <t>INE100A01010</t>
  </si>
  <si>
    <t>Chemicals</t>
  </si>
  <si>
    <t>Jubilant Foodworks Ltd</t>
  </si>
  <si>
    <t>INE797F01012</t>
  </si>
  <si>
    <t>Leisure Services</t>
  </si>
  <si>
    <t>Bharat Forge Ltd</t>
  </si>
  <si>
    <t>INE465A01025</t>
  </si>
  <si>
    <t>Titan Co Ltd</t>
  </si>
  <si>
    <t>INE280A01028</t>
  </si>
  <si>
    <t>Tata Consumer Products Ltd</t>
  </si>
  <si>
    <t>INE192A01025</t>
  </si>
  <si>
    <t>Cholamandalam Investment and Finance Co Ltd</t>
  </si>
  <si>
    <t>INE121A01024</t>
  </si>
  <si>
    <t>Gujarat Gas Ltd</t>
  </si>
  <si>
    <t>INE844O01030</t>
  </si>
  <si>
    <t>Vinati Organics Ltd</t>
  </si>
  <si>
    <t>INE410B01037</t>
  </si>
  <si>
    <t>HDFC Life Insurance Co Ltd</t>
  </si>
  <si>
    <t>INE795G01014</t>
  </si>
  <si>
    <t>Cipla Ltd</t>
  </si>
  <si>
    <t>INE059A01026</t>
  </si>
  <si>
    <t>Honeywell Automation India Ltd</t>
  </si>
  <si>
    <t>INE671A01010</t>
  </si>
  <si>
    <t>Industrial Capital Goods</t>
  </si>
  <si>
    <t>PI Industries Ltd</t>
  </si>
  <si>
    <t>INE603J01030</t>
  </si>
  <si>
    <t>Pesticides</t>
  </si>
  <si>
    <t>Maruti Suzuki India Ltd</t>
  </si>
  <si>
    <t>INE585B01010</t>
  </si>
  <si>
    <t>J.K. Cement Ltd</t>
  </si>
  <si>
    <t>INE823G01014</t>
  </si>
  <si>
    <t>Oberoi Realty Ltd</t>
  </si>
  <si>
    <t>INE093I01010</t>
  </si>
  <si>
    <t>Construction</t>
  </si>
  <si>
    <t>Abbott India Ltd</t>
  </si>
  <si>
    <t>INE358A01014</t>
  </si>
  <si>
    <t>TVS Motor Co Ltd</t>
  </si>
  <si>
    <t>INE494B01023</t>
  </si>
  <si>
    <t>Navin Fluorine International Ltd</t>
  </si>
  <si>
    <t>INE048G01026</t>
  </si>
  <si>
    <t>Balkrishna Industries Ltd</t>
  </si>
  <si>
    <t>INE787D01026</t>
  </si>
  <si>
    <t>SBI Cards and Payment Services Ltd</t>
  </si>
  <si>
    <t>INE018E01016</t>
  </si>
  <si>
    <t>Ashok Leyland Ltd</t>
  </si>
  <si>
    <t>INE208A01029</t>
  </si>
  <si>
    <t>ABB India Ltd</t>
  </si>
  <si>
    <t>INE117A01022</t>
  </si>
  <si>
    <t>Havells India Ltd</t>
  </si>
  <si>
    <t>INE176B01034</t>
  </si>
  <si>
    <t>IPCA Laboratories Ltd</t>
  </si>
  <si>
    <t>INE571A01020</t>
  </si>
  <si>
    <t>Tata Steel Ltd</t>
  </si>
  <si>
    <t>INE081A01012</t>
  </si>
  <si>
    <t>Ferrous Metals</t>
  </si>
  <si>
    <t>Britannia Industries Ltd</t>
  </si>
  <si>
    <t>INE216A01030</t>
  </si>
  <si>
    <t>Whirlpool Of India Ltd</t>
  </si>
  <si>
    <t>INE716A01013</t>
  </si>
  <si>
    <t>Rights</t>
  </si>
  <si>
    <t>Bharti Airtel Ltd</t>
  </si>
  <si>
    <t>INE397D20024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</si>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</sst>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0" xfId="0" applyFont="1" applyFill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4</xdr:row>
      <xdr:rowOff>38100</xdr:rowOff>
    </xdr:from>
    <xdr:to>
      <xdr:col>8</xdr:col>
      <xdr:colOff>1685925</xdr:colOff>
      <xdr:row>11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50CE16-E445-424A-93AB-B62A4F319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0525" y="1047750"/>
          <a:ext cx="1638300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47625</xdr:rowOff>
    </xdr:from>
    <xdr:to>
      <xdr:col>10</xdr:col>
      <xdr:colOff>0</xdr:colOff>
      <xdr:row>11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49434D-8EB8-4461-A3D1-9EC618E2C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6925" y="1057275"/>
          <a:ext cx="1638300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4</xdr:row>
      <xdr:rowOff>47625</xdr:rowOff>
    </xdr:from>
    <xdr:to>
      <xdr:col>10</xdr:col>
      <xdr:colOff>1647825</xdr:colOff>
      <xdr:row>11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29378B-D0C9-4932-8D8D-33CF96ED0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0" y="1057275"/>
          <a:ext cx="1638300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7"/>
  <sheetViews>
    <sheetView tabSelected="1" topLeftCell="A61" workbookViewId="0">
      <selection activeCell="B1" sqref="B1:G1"/>
    </sheetView>
  </sheetViews>
  <sheetFormatPr defaultRowHeight="12"/>
  <cols>
    <col min="1" max="1" width="9.140625" style="3"/>
    <col min="2" max="2" width="75.5703125" style="3" customWidth="1"/>
    <col min="3" max="3" width="13.28515625" style="3" bestFit="1" customWidth="1"/>
    <col min="4" max="4" width="24.42578125" style="3" customWidth="1"/>
    <col min="5" max="5" width="22.2851562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.7109375" style="3" customWidth="1"/>
    <col min="10" max="10" width="24.7109375" style="3" customWidth="1"/>
    <col min="11" max="11" width="24.8554687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2322340</v>
      </c>
      <c r="F7" s="23">
        <v>37040.160000000003</v>
      </c>
      <c r="G7" s="23">
        <v>6.11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15</v>
      </c>
      <c r="E8" s="26">
        <v>5215550</v>
      </c>
      <c r="F8" s="23">
        <v>36553.18</v>
      </c>
      <c r="G8" s="23">
        <v>6.03</v>
      </c>
      <c r="I8" s="24"/>
      <c r="J8" s="24"/>
      <c r="K8" s="24"/>
    </row>
    <row r="9" spans="2:11">
      <c r="B9" s="25" t="s">
        <v>18</v>
      </c>
      <c r="C9" s="21" t="s">
        <v>19</v>
      </c>
      <c r="D9" s="21" t="s">
        <v>20</v>
      </c>
      <c r="E9" s="26">
        <v>2077188</v>
      </c>
      <c r="F9" s="23">
        <v>34797.050000000003</v>
      </c>
      <c r="G9" s="23">
        <v>5.74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1032400</v>
      </c>
      <c r="F10" s="23">
        <v>26008.74</v>
      </c>
      <c r="G10" s="23">
        <v>4.29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26</v>
      </c>
      <c r="E11" s="26">
        <v>835900</v>
      </c>
      <c r="F11" s="23">
        <v>23023.19</v>
      </c>
      <c r="G11" s="23">
        <v>3.8</v>
      </c>
      <c r="I11" s="24"/>
      <c r="J11" s="24"/>
      <c r="K11" s="24"/>
    </row>
    <row r="12" spans="2:11">
      <c r="B12" s="25" t="s">
        <v>27</v>
      </c>
      <c r="C12" s="21" t="s">
        <v>28</v>
      </c>
      <c r="D12" s="21" t="s">
        <v>20</v>
      </c>
      <c r="E12" s="26">
        <v>584428</v>
      </c>
      <c r="F12" s="23">
        <v>22065.37</v>
      </c>
      <c r="G12" s="23">
        <v>3.64</v>
      </c>
      <c r="I12" s="27"/>
      <c r="J12" s="27"/>
      <c r="K12" s="27"/>
    </row>
    <row r="13" spans="2:11">
      <c r="B13" s="25" t="s">
        <v>29</v>
      </c>
      <c r="C13" s="21" t="s">
        <v>30</v>
      </c>
      <c r="D13" s="21" t="s">
        <v>26</v>
      </c>
      <c r="E13" s="26">
        <v>281035</v>
      </c>
      <c r="F13" s="23">
        <v>21550.04</v>
      </c>
      <c r="G13" s="23">
        <v>3.55</v>
      </c>
      <c r="K13" s="3" t="s">
        <v>31</v>
      </c>
    </row>
    <row r="14" spans="2:11">
      <c r="B14" s="25" t="s">
        <v>32</v>
      </c>
      <c r="C14" s="21" t="s">
        <v>33</v>
      </c>
      <c r="D14" s="21" t="s">
        <v>15</v>
      </c>
      <c r="E14" s="26">
        <v>2483600</v>
      </c>
      <c r="F14" s="23">
        <v>19038.04</v>
      </c>
      <c r="G14" s="23">
        <v>3.14</v>
      </c>
    </row>
    <row r="15" spans="2:11">
      <c r="B15" s="25" t="s">
        <v>34</v>
      </c>
      <c r="C15" s="21" t="s">
        <v>35</v>
      </c>
      <c r="D15" s="21" t="s">
        <v>36</v>
      </c>
      <c r="E15" s="26">
        <v>1095657</v>
      </c>
      <c r="F15" s="23">
        <v>18658.490000000002</v>
      </c>
      <c r="G15" s="23">
        <v>3.08</v>
      </c>
    </row>
    <row r="16" spans="2:11">
      <c r="B16" s="25" t="s">
        <v>37</v>
      </c>
      <c r="C16" s="21" t="s">
        <v>38</v>
      </c>
      <c r="D16" s="21" t="s">
        <v>15</v>
      </c>
      <c r="E16" s="26">
        <v>4050000</v>
      </c>
      <c r="F16" s="23">
        <v>18346.5</v>
      </c>
      <c r="G16" s="23">
        <v>3.03</v>
      </c>
    </row>
    <row r="17" spans="2:7">
      <c r="B17" s="25" t="s">
        <v>39</v>
      </c>
      <c r="C17" s="21" t="s">
        <v>40</v>
      </c>
      <c r="D17" s="21" t="s">
        <v>41</v>
      </c>
      <c r="E17" s="26">
        <v>510400</v>
      </c>
      <c r="F17" s="23">
        <v>13789.99</v>
      </c>
      <c r="G17" s="23">
        <v>2.27</v>
      </c>
    </row>
    <row r="18" spans="2:7">
      <c r="B18" s="25" t="s">
        <v>42</v>
      </c>
      <c r="C18" s="21" t="s">
        <v>43</v>
      </c>
      <c r="D18" s="21" t="s">
        <v>20</v>
      </c>
      <c r="E18" s="26">
        <v>945000</v>
      </c>
      <c r="F18" s="23">
        <v>12091.75</v>
      </c>
      <c r="G18" s="23">
        <v>1.99</v>
      </c>
    </row>
    <row r="19" spans="2:7">
      <c r="B19" s="25" t="s">
        <v>44</v>
      </c>
      <c r="C19" s="21" t="s">
        <v>45</v>
      </c>
      <c r="D19" s="21" t="s">
        <v>46</v>
      </c>
      <c r="E19" s="26">
        <v>141971</v>
      </c>
      <c r="F19" s="23">
        <v>10500.32</v>
      </c>
      <c r="G19" s="23">
        <v>1.73</v>
      </c>
    </row>
    <row r="20" spans="2:7">
      <c r="B20" s="25" t="s">
        <v>47</v>
      </c>
      <c r="C20" s="21" t="s">
        <v>48</v>
      </c>
      <c r="D20" s="21" t="s">
        <v>49</v>
      </c>
      <c r="E20" s="26">
        <v>228500</v>
      </c>
      <c r="F20" s="23">
        <v>9711.7099999999991</v>
      </c>
      <c r="G20" s="23">
        <v>1.6</v>
      </c>
    </row>
    <row r="21" spans="2:7">
      <c r="B21" s="25" t="s">
        <v>50</v>
      </c>
      <c r="C21" s="21" t="s">
        <v>51</v>
      </c>
      <c r="D21" s="21" t="s">
        <v>52</v>
      </c>
      <c r="E21" s="26">
        <v>1613991</v>
      </c>
      <c r="F21" s="23">
        <v>8971.3700000000008</v>
      </c>
      <c r="G21" s="23">
        <v>1.48</v>
      </c>
    </row>
    <row r="22" spans="2:7">
      <c r="B22" s="25" t="s">
        <v>53</v>
      </c>
      <c r="C22" s="21" t="s">
        <v>54</v>
      </c>
      <c r="D22" s="21" t="s">
        <v>55</v>
      </c>
      <c r="E22" s="26">
        <v>2488533</v>
      </c>
      <c r="F22" s="23">
        <v>8947.52</v>
      </c>
      <c r="G22" s="23">
        <v>1.48</v>
      </c>
    </row>
    <row r="23" spans="2:7">
      <c r="B23" s="25" t="s">
        <v>56</v>
      </c>
      <c r="C23" s="21" t="s">
        <v>57</v>
      </c>
      <c r="D23" s="21" t="s">
        <v>58</v>
      </c>
      <c r="E23" s="26">
        <v>1070000</v>
      </c>
      <c r="F23" s="23">
        <v>8755.2800000000007</v>
      </c>
      <c r="G23" s="23">
        <v>1.44</v>
      </c>
    </row>
    <row r="24" spans="2:7">
      <c r="B24" s="25" t="s">
        <v>59</v>
      </c>
      <c r="C24" s="21" t="s">
        <v>60</v>
      </c>
      <c r="D24" s="21" t="s">
        <v>61</v>
      </c>
      <c r="E24" s="26">
        <v>1775000</v>
      </c>
      <c r="F24" s="23">
        <v>8661.11</v>
      </c>
      <c r="G24" s="23">
        <v>1.43</v>
      </c>
    </row>
    <row r="25" spans="2:7">
      <c r="B25" s="25" t="s">
        <v>62</v>
      </c>
      <c r="C25" s="21" t="s">
        <v>63</v>
      </c>
      <c r="D25" s="21" t="s">
        <v>64</v>
      </c>
      <c r="E25" s="26">
        <v>345000</v>
      </c>
      <c r="F25" s="23">
        <v>8242.0499999999993</v>
      </c>
      <c r="G25" s="23">
        <v>1.36</v>
      </c>
    </row>
    <row r="26" spans="2:7">
      <c r="B26" s="25" t="s">
        <v>65</v>
      </c>
      <c r="C26" s="21" t="s">
        <v>66</v>
      </c>
      <c r="D26" s="21" t="s">
        <v>67</v>
      </c>
      <c r="E26" s="26">
        <v>670429</v>
      </c>
      <c r="F26" s="23">
        <v>8166.16</v>
      </c>
      <c r="G26" s="23">
        <v>1.35</v>
      </c>
    </row>
    <row r="27" spans="2:7">
      <c r="B27" s="25" t="s">
        <v>68</v>
      </c>
      <c r="C27" s="21" t="s">
        <v>69</v>
      </c>
      <c r="D27" s="21" t="s">
        <v>70</v>
      </c>
      <c r="E27" s="26">
        <v>795000</v>
      </c>
      <c r="F27" s="23">
        <v>8063.69</v>
      </c>
      <c r="G27" s="23">
        <v>1.33</v>
      </c>
    </row>
    <row r="28" spans="2:7">
      <c r="B28" s="25" t="s">
        <v>71</v>
      </c>
      <c r="C28" s="21" t="s">
        <v>72</v>
      </c>
      <c r="D28" s="21" t="s">
        <v>73</v>
      </c>
      <c r="E28" s="26">
        <v>517512</v>
      </c>
      <c r="F28" s="23">
        <v>7987.28</v>
      </c>
      <c r="G28" s="23">
        <v>1.32</v>
      </c>
    </row>
    <row r="29" spans="2:7">
      <c r="B29" s="25" t="s">
        <v>74</v>
      </c>
      <c r="C29" s="21" t="s">
        <v>75</v>
      </c>
      <c r="D29" s="21" t="s">
        <v>20</v>
      </c>
      <c r="E29" s="26">
        <v>245000</v>
      </c>
      <c r="F29" s="23">
        <v>7605.78</v>
      </c>
      <c r="G29" s="23">
        <v>1.25</v>
      </c>
    </row>
    <row r="30" spans="2:7">
      <c r="B30" s="25" t="s">
        <v>76</v>
      </c>
      <c r="C30" s="21" t="s">
        <v>77</v>
      </c>
      <c r="D30" s="21" t="s">
        <v>78</v>
      </c>
      <c r="E30" s="26">
        <v>2217500</v>
      </c>
      <c r="F30" s="23">
        <v>7392.04</v>
      </c>
      <c r="G30" s="23">
        <v>1.22</v>
      </c>
    </row>
    <row r="31" spans="2:7">
      <c r="B31" s="25" t="s">
        <v>79</v>
      </c>
      <c r="C31" s="21" t="s">
        <v>80</v>
      </c>
      <c r="D31" s="21" t="s">
        <v>58</v>
      </c>
      <c r="E31" s="26">
        <v>154032</v>
      </c>
      <c r="F31" s="23">
        <v>7391.53</v>
      </c>
      <c r="G31" s="23">
        <v>1.22</v>
      </c>
    </row>
    <row r="32" spans="2:7">
      <c r="B32" s="25" t="s">
        <v>81</v>
      </c>
      <c r="C32" s="21" t="s">
        <v>82</v>
      </c>
      <c r="D32" s="21" t="s">
        <v>15</v>
      </c>
      <c r="E32" s="26">
        <v>366651</v>
      </c>
      <c r="F32" s="23">
        <v>7353.19</v>
      </c>
      <c r="G32" s="23">
        <v>1.21</v>
      </c>
    </row>
    <row r="33" spans="2:7">
      <c r="B33" s="25" t="s">
        <v>83</v>
      </c>
      <c r="C33" s="21" t="s">
        <v>84</v>
      </c>
      <c r="D33" s="21" t="s">
        <v>41</v>
      </c>
      <c r="E33" s="26">
        <v>224500</v>
      </c>
      <c r="F33" s="23">
        <v>7284.24</v>
      </c>
      <c r="G33" s="23">
        <v>1.2</v>
      </c>
    </row>
    <row r="34" spans="2:7">
      <c r="B34" s="25" t="s">
        <v>85</v>
      </c>
      <c r="C34" s="21" t="s">
        <v>86</v>
      </c>
      <c r="D34" s="21" t="s">
        <v>87</v>
      </c>
      <c r="E34" s="26">
        <v>1022334</v>
      </c>
      <c r="F34" s="23">
        <v>7036.72</v>
      </c>
      <c r="G34" s="23">
        <v>1.1599999999999999</v>
      </c>
    </row>
    <row r="35" spans="2:7">
      <c r="B35" s="25" t="s">
        <v>88</v>
      </c>
      <c r="C35" s="21" t="s">
        <v>89</v>
      </c>
      <c r="D35" s="21" t="s">
        <v>52</v>
      </c>
      <c r="E35" s="26">
        <v>950690</v>
      </c>
      <c r="F35" s="23">
        <v>7022.75</v>
      </c>
      <c r="G35" s="23">
        <v>1.1599999999999999</v>
      </c>
    </row>
    <row r="36" spans="2:7">
      <c r="B36" s="25" t="s">
        <v>90</v>
      </c>
      <c r="C36" s="21" t="s">
        <v>91</v>
      </c>
      <c r="D36" s="21" t="s">
        <v>92</v>
      </c>
      <c r="E36" s="26">
        <v>1258000</v>
      </c>
      <c r="F36" s="23">
        <v>6706.4</v>
      </c>
      <c r="G36" s="23">
        <v>1.1100000000000001</v>
      </c>
    </row>
    <row r="37" spans="2:7">
      <c r="B37" s="25" t="s">
        <v>93</v>
      </c>
      <c r="C37" s="21" t="s">
        <v>94</v>
      </c>
      <c r="D37" s="21" t="s">
        <v>26</v>
      </c>
      <c r="E37" s="26">
        <v>942113</v>
      </c>
      <c r="F37" s="23">
        <v>6470.43</v>
      </c>
      <c r="G37" s="23">
        <v>1.07</v>
      </c>
    </row>
    <row r="38" spans="2:7">
      <c r="B38" s="25" t="s">
        <v>95</v>
      </c>
      <c r="C38" s="21" t="s">
        <v>96</v>
      </c>
      <c r="D38" s="21" t="s">
        <v>67</v>
      </c>
      <c r="E38" s="26">
        <v>360000</v>
      </c>
      <c r="F38" s="23">
        <v>6401.34</v>
      </c>
      <c r="G38" s="23">
        <v>1.06</v>
      </c>
    </row>
    <row r="39" spans="2:7">
      <c r="B39" s="25" t="s">
        <v>97</v>
      </c>
      <c r="C39" s="21" t="s">
        <v>98</v>
      </c>
      <c r="D39" s="21" t="s">
        <v>99</v>
      </c>
      <c r="E39" s="26">
        <v>67452</v>
      </c>
      <c r="F39" s="23">
        <v>6382.68</v>
      </c>
      <c r="G39" s="23">
        <v>1.05</v>
      </c>
    </row>
    <row r="40" spans="2:7">
      <c r="B40" s="25" t="s">
        <v>100</v>
      </c>
      <c r="C40" s="21" t="s">
        <v>101</v>
      </c>
      <c r="D40" s="21" t="s">
        <v>102</v>
      </c>
      <c r="E40" s="26">
        <v>157700</v>
      </c>
      <c r="F40" s="23">
        <v>6372.5</v>
      </c>
      <c r="G40" s="23">
        <v>1.05</v>
      </c>
    </row>
    <row r="41" spans="2:7">
      <c r="B41" s="25" t="s">
        <v>103</v>
      </c>
      <c r="C41" s="21" t="s">
        <v>104</v>
      </c>
      <c r="D41" s="21" t="s">
        <v>64</v>
      </c>
      <c r="E41" s="26">
        <v>851750</v>
      </c>
      <c r="F41" s="23">
        <v>6281.23</v>
      </c>
      <c r="G41" s="23">
        <v>1.04</v>
      </c>
    </row>
    <row r="42" spans="2:7">
      <c r="B42" s="25" t="s">
        <v>105</v>
      </c>
      <c r="C42" s="21" t="s">
        <v>106</v>
      </c>
      <c r="D42" s="21" t="s">
        <v>67</v>
      </c>
      <c r="E42" s="26">
        <v>288800</v>
      </c>
      <c r="F42" s="23">
        <v>6243.42</v>
      </c>
      <c r="G42" s="23">
        <v>1.03</v>
      </c>
    </row>
    <row r="43" spans="2:7">
      <c r="B43" s="25" t="s">
        <v>107</v>
      </c>
      <c r="C43" s="21" t="s">
        <v>108</v>
      </c>
      <c r="D43" s="21" t="s">
        <v>41</v>
      </c>
      <c r="E43" s="26">
        <v>765000</v>
      </c>
      <c r="F43" s="23">
        <v>6224.04</v>
      </c>
      <c r="G43" s="23">
        <v>1.03</v>
      </c>
    </row>
    <row r="44" spans="2:7">
      <c r="B44" s="25" t="s">
        <v>109</v>
      </c>
      <c r="C44" s="21" t="s">
        <v>110</v>
      </c>
      <c r="D44" s="21" t="s">
        <v>26</v>
      </c>
      <c r="E44" s="26">
        <v>1075000</v>
      </c>
      <c r="F44" s="23">
        <v>6065.69</v>
      </c>
      <c r="G44" s="23">
        <v>1</v>
      </c>
    </row>
    <row r="45" spans="2:7">
      <c r="B45" s="25" t="s">
        <v>111</v>
      </c>
      <c r="C45" s="21" t="s">
        <v>112</v>
      </c>
      <c r="D45" s="21" t="s">
        <v>92</v>
      </c>
      <c r="E45" s="26">
        <v>951413</v>
      </c>
      <c r="F45" s="23">
        <v>6064.78</v>
      </c>
      <c r="G45" s="23">
        <v>1</v>
      </c>
    </row>
    <row r="46" spans="2:7">
      <c r="B46" s="25" t="s">
        <v>113</v>
      </c>
      <c r="C46" s="21" t="s">
        <v>114</v>
      </c>
      <c r="D46" s="21" t="s">
        <v>99</v>
      </c>
      <c r="E46" s="26">
        <v>308909</v>
      </c>
      <c r="F46" s="23">
        <v>5986.81</v>
      </c>
      <c r="G46" s="23">
        <v>0.99</v>
      </c>
    </row>
    <row r="47" spans="2:7">
      <c r="B47" s="25" t="s">
        <v>115</v>
      </c>
      <c r="C47" s="21" t="s">
        <v>116</v>
      </c>
      <c r="D47" s="21" t="s">
        <v>70</v>
      </c>
      <c r="E47" s="26">
        <v>820000</v>
      </c>
      <c r="F47" s="23">
        <v>5923.68</v>
      </c>
      <c r="G47" s="23">
        <v>0.98</v>
      </c>
    </row>
    <row r="48" spans="2:7">
      <c r="B48" s="25" t="s">
        <v>117</v>
      </c>
      <c r="C48" s="21" t="s">
        <v>118</v>
      </c>
      <c r="D48" s="21" t="s">
        <v>58</v>
      </c>
      <c r="E48" s="26">
        <v>575000</v>
      </c>
      <c r="F48" s="23">
        <v>5655.41</v>
      </c>
      <c r="G48" s="23">
        <v>0.93</v>
      </c>
    </row>
    <row r="49" spans="2:7">
      <c r="B49" s="25" t="s">
        <v>119</v>
      </c>
      <c r="C49" s="21" t="s">
        <v>120</v>
      </c>
      <c r="D49" s="21" t="s">
        <v>121</v>
      </c>
      <c r="E49" s="26">
        <v>12347</v>
      </c>
      <c r="F49" s="23">
        <v>5644.37</v>
      </c>
      <c r="G49" s="23">
        <v>0.93</v>
      </c>
    </row>
    <row r="50" spans="2:7">
      <c r="B50" s="25" t="s">
        <v>122</v>
      </c>
      <c r="C50" s="21" t="s">
        <v>123</v>
      </c>
      <c r="D50" s="21" t="s">
        <v>124</v>
      </c>
      <c r="E50" s="26">
        <v>176375</v>
      </c>
      <c r="F50" s="23">
        <v>5605.81</v>
      </c>
      <c r="G50" s="23">
        <v>0.92</v>
      </c>
    </row>
    <row r="51" spans="2:7">
      <c r="B51" s="25" t="s">
        <v>125</v>
      </c>
      <c r="C51" s="21" t="s">
        <v>126</v>
      </c>
      <c r="D51" s="21" t="s">
        <v>78</v>
      </c>
      <c r="E51" s="26">
        <v>76326</v>
      </c>
      <c r="F51" s="23">
        <v>5600.84</v>
      </c>
      <c r="G51" s="23">
        <v>0.92</v>
      </c>
    </row>
    <row r="52" spans="2:7">
      <c r="B52" s="25" t="s">
        <v>127</v>
      </c>
      <c r="C52" s="21" t="s">
        <v>128</v>
      </c>
      <c r="D52" s="21" t="s">
        <v>46</v>
      </c>
      <c r="E52" s="26">
        <v>179240</v>
      </c>
      <c r="F52" s="23">
        <v>5570.33</v>
      </c>
      <c r="G52" s="23">
        <v>0.92</v>
      </c>
    </row>
    <row r="53" spans="2:7">
      <c r="B53" s="25" t="s">
        <v>129</v>
      </c>
      <c r="C53" s="21" t="s">
        <v>130</v>
      </c>
      <c r="D53" s="21" t="s">
        <v>131</v>
      </c>
      <c r="E53" s="26">
        <v>575000</v>
      </c>
      <c r="F53" s="23">
        <v>5544.15</v>
      </c>
      <c r="G53" s="23">
        <v>0.91</v>
      </c>
    </row>
    <row r="54" spans="2:7">
      <c r="B54" s="25" t="s">
        <v>132</v>
      </c>
      <c r="C54" s="21" t="s">
        <v>133</v>
      </c>
      <c r="D54" s="21" t="s">
        <v>58</v>
      </c>
      <c r="E54" s="26">
        <v>26860</v>
      </c>
      <c r="F54" s="23">
        <v>5511.08</v>
      </c>
      <c r="G54" s="23">
        <v>0.91</v>
      </c>
    </row>
    <row r="55" spans="2:7">
      <c r="B55" s="25" t="s">
        <v>134</v>
      </c>
      <c r="C55" s="21" t="s">
        <v>135</v>
      </c>
      <c r="D55" s="21" t="s">
        <v>78</v>
      </c>
      <c r="E55" s="26">
        <v>1000000</v>
      </c>
      <c r="F55" s="23">
        <v>5494.5</v>
      </c>
      <c r="G55" s="23">
        <v>0.91</v>
      </c>
    </row>
    <row r="56" spans="2:7">
      <c r="B56" s="25" t="s">
        <v>136</v>
      </c>
      <c r="C56" s="21" t="s">
        <v>137</v>
      </c>
      <c r="D56" s="21" t="s">
        <v>99</v>
      </c>
      <c r="E56" s="26">
        <v>146780</v>
      </c>
      <c r="F56" s="23">
        <v>5408.48</v>
      </c>
      <c r="G56" s="23">
        <v>0.89</v>
      </c>
    </row>
    <row r="57" spans="2:7">
      <c r="B57" s="25" t="s">
        <v>138</v>
      </c>
      <c r="C57" s="21" t="s">
        <v>139</v>
      </c>
      <c r="D57" s="21" t="s">
        <v>52</v>
      </c>
      <c r="E57" s="26">
        <v>212500</v>
      </c>
      <c r="F57" s="23">
        <v>5384.01</v>
      </c>
      <c r="G57" s="23">
        <v>0.89</v>
      </c>
    </row>
    <row r="58" spans="2:7">
      <c r="B58" s="25" t="s">
        <v>140</v>
      </c>
      <c r="C58" s="21" t="s">
        <v>141</v>
      </c>
      <c r="D58" s="21" t="s">
        <v>26</v>
      </c>
      <c r="E58" s="26">
        <v>518000</v>
      </c>
      <c r="F58" s="23">
        <v>5333.33</v>
      </c>
      <c r="G58" s="23">
        <v>0.88</v>
      </c>
    </row>
    <row r="59" spans="2:7">
      <c r="B59" s="25" t="s">
        <v>142</v>
      </c>
      <c r="C59" s="21" t="s">
        <v>143</v>
      </c>
      <c r="D59" s="21" t="s">
        <v>78</v>
      </c>
      <c r="E59" s="26">
        <v>3950000</v>
      </c>
      <c r="F59" s="23">
        <v>5285.1</v>
      </c>
      <c r="G59" s="23">
        <v>0.87</v>
      </c>
    </row>
    <row r="60" spans="2:7">
      <c r="B60" s="25" t="s">
        <v>144</v>
      </c>
      <c r="C60" s="21" t="s">
        <v>145</v>
      </c>
      <c r="D60" s="21" t="s">
        <v>121</v>
      </c>
      <c r="E60" s="26">
        <v>278500</v>
      </c>
      <c r="F60" s="23">
        <v>5209.62</v>
      </c>
      <c r="G60" s="23">
        <v>0.86</v>
      </c>
    </row>
    <row r="61" spans="2:7">
      <c r="B61" s="25" t="s">
        <v>146</v>
      </c>
      <c r="C61" s="21" t="s">
        <v>147</v>
      </c>
      <c r="D61" s="21" t="s">
        <v>67</v>
      </c>
      <c r="E61" s="26">
        <v>345000</v>
      </c>
      <c r="F61" s="23">
        <v>4737.2</v>
      </c>
      <c r="G61" s="23">
        <v>0.78</v>
      </c>
    </row>
    <row r="62" spans="2:7">
      <c r="B62" s="25" t="s">
        <v>148</v>
      </c>
      <c r="C62" s="21" t="s">
        <v>149</v>
      </c>
      <c r="D62" s="21" t="s">
        <v>58</v>
      </c>
      <c r="E62" s="26">
        <v>163393</v>
      </c>
      <c r="F62" s="23">
        <v>3939.98</v>
      </c>
      <c r="G62" s="23">
        <v>0.65</v>
      </c>
    </row>
    <row r="63" spans="2:7">
      <c r="B63" s="25" t="s">
        <v>150</v>
      </c>
      <c r="C63" s="21" t="s">
        <v>151</v>
      </c>
      <c r="D63" s="21" t="s">
        <v>152</v>
      </c>
      <c r="E63" s="26">
        <v>280000</v>
      </c>
      <c r="F63" s="23">
        <v>3608.92</v>
      </c>
      <c r="G63" s="23">
        <v>0.6</v>
      </c>
    </row>
    <row r="64" spans="2:7">
      <c r="B64" s="25" t="s">
        <v>153</v>
      </c>
      <c r="C64" s="21" t="s">
        <v>154</v>
      </c>
      <c r="D64" s="21" t="s">
        <v>41</v>
      </c>
      <c r="E64" s="26">
        <v>83690</v>
      </c>
      <c r="F64" s="23">
        <v>3304.88</v>
      </c>
      <c r="G64" s="23">
        <v>0.55000000000000004</v>
      </c>
    </row>
    <row r="65" spans="2:9">
      <c r="B65" s="25" t="s">
        <v>155</v>
      </c>
      <c r="C65" s="21" t="s">
        <v>156</v>
      </c>
      <c r="D65" s="21" t="s">
        <v>67</v>
      </c>
      <c r="E65" s="26">
        <v>66282</v>
      </c>
      <c r="F65" s="23">
        <v>1514.51</v>
      </c>
      <c r="G65" s="23">
        <v>0.25</v>
      </c>
    </row>
    <row r="66" spans="2:9">
      <c r="B66" s="20" t="s">
        <v>157</v>
      </c>
      <c r="C66" s="21"/>
      <c r="D66" s="21"/>
      <c r="E66" s="26"/>
      <c r="F66" s="23"/>
      <c r="G66" s="23"/>
    </row>
    <row r="67" spans="2:9">
      <c r="B67" s="25" t="s">
        <v>158</v>
      </c>
      <c r="C67" s="21" t="s">
        <v>159</v>
      </c>
      <c r="D67" s="21" t="s">
        <v>87</v>
      </c>
      <c r="E67" s="26">
        <v>87309</v>
      </c>
      <c r="F67" s="23">
        <v>133.84</v>
      </c>
      <c r="G67" s="23">
        <v>2.207199719251584E-2</v>
      </c>
    </row>
    <row r="68" spans="2:9">
      <c r="B68" s="28" t="s">
        <v>160</v>
      </c>
      <c r="C68" s="29"/>
      <c r="D68" s="29"/>
      <c r="E68" s="30"/>
      <c r="F68" s="31">
        <f>SUM(F7:F67)</f>
        <v>585664.59999999986</v>
      </c>
      <c r="G68" s="31">
        <f>SUM(G7:G67)</f>
        <v>96.612071997192501</v>
      </c>
      <c r="H68" s="32"/>
      <c r="I68" s="32"/>
    </row>
    <row r="69" spans="2:9">
      <c r="B69" s="33" t="s">
        <v>161</v>
      </c>
      <c r="C69" s="33"/>
      <c r="D69" s="33"/>
      <c r="E69" s="34"/>
      <c r="F69" s="35">
        <f>F68</f>
        <v>585664.59999999986</v>
      </c>
      <c r="G69" s="35">
        <f>G68</f>
        <v>96.612071997192501</v>
      </c>
      <c r="H69" s="32"/>
      <c r="I69" s="32"/>
    </row>
    <row r="70" spans="2:9">
      <c r="B70" s="36" t="s">
        <v>162</v>
      </c>
      <c r="C70" s="37"/>
      <c r="D70" s="37"/>
      <c r="E70" s="38"/>
      <c r="F70" s="39"/>
      <c r="G70" s="39"/>
    </row>
    <row r="71" spans="2:9">
      <c r="B71" s="25" t="s">
        <v>162</v>
      </c>
      <c r="C71" s="21"/>
      <c r="D71" s="21"/>
      <c r="E71" s="22"/>
      <c r="F71" s="23">
        <v>20723.919999999998</v>
      </c>
      <c r="G71" s="23">
        <v>3.42</v>
      </c>
    </row>
    <row r="72" spans="2:9">
      <c r="B72" s="28" t="s">
        <v>160</v>
      </c>
      <c r="C72" s="29"/>
      <c r="D72" s="29"/>
      <c r="E72" s="30"/>
      <c r="F72" s="31">
        <f>SUM(F70:F71)</f>
        <v>20723.919999999998</v>
      </c>
      <c r="G72" s="31">
        <f>SUM(G70:G71)</f>
        <v>3.42</v>
      </c>
      <c r="H72" s="32"/>
      <c r="I72" s="32"/>
    </row>
    <row r="73" spans="2:9">
      <c r="B73" s="40" t="s">
        <v>161</v>
      </c>
      <c r="C73" s="40"/>
      <c r="D73" s="40"/>
      <c r="E73" s="41"/>
      <c r="F73" s="42">
        <f>F72</f>
        <v>20723.919999999998</v>
      </c>
      <c r="G73" s="42">
        <f>G72</f>
        <v>3.42</v>
      </c>
      <c r="H73" s="32"/>
      <c r="I73" s="32"/>
    </row>
    <row r="74" spans="2:9">
      <c r="B74" s="43" t="s">
        <v>163</v>
      </c>
      <c r="C74" s="43"/>
      <c r="D74" s="43"/>
      <c r="E74" s="44"/>
      <c r="F74" s="45">
        <f>F75-(+F69+F73)</f>
        <v>-9.3199999999487773</v>
      </c>
      <c r="G74" s="45">
        <f>G75-(+G69+G73)</f>
        <v>-3.2071997192502977E-2</v>
      </c>
      <c r="H74" s="32"/>
      <c r="I74" s="32"/>
    </row>
    <row r="75" spans="2:9">
      <c r="B75" s="43" t="s">
        <v>164</v>
      </c>
      <c r="C75" s="43"/>
      <c r="D75" s="43"/>
      <c r="E75" s="44"/>
      <c r="F75" s="45">
        <v>606379.19999999995</v>
      </c>
      <c r="G75" s="45">
        <v>100</v>
      </c>
      <c r="H75" s="32"/>
      <c r="I75" s="32"/>
    </row>
    <row r="77" spans="2:9">
      <c r="B77" s="32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2021-10-08T11:17:44Z</dcterms:created>
  <dcterms:modified xsi:type="dcterms:W3CDTF">2021-10-08T11:17:46Z</dcterms:modified>
</cp:coreProperties>
</file>