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1" l="1"/>
  <c r="G63" i="1"/>
  <c r="G64" i="1" s="1"/>
  <c r="F63" i="1"/>
  <c r="G60" i="1"/>
  <c r="F60" i="1"/>
  <c r="G44" i="1"/>
  <c r="G45" i="1" s="1"/>
  <c r="F44" i="1"/>
  <c r="F45" i="1" s="1"/>
  <c r="G38" i="1"/>
  <c r="G39" i="1" s="1"/>
  <c r="G65" i="1" s="1"/>
  <c r="F38" i="1"/>
  <c r="F39" i="1" s="1"/>
  <c r="F65" i="1" l="1"/>
</calcChain>
</file>

<file path=xl/sharedStrings.xml><?xml version="1.0" encoding="utf-8"?>
<sst xmlns="http://schemas.openxmlformats.org/spreadsheetml/2006/main" count="178" uniqueCount="131">
  <si>
    <t>CANARA ROBECO SHORT DURATION FUND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</si>
  <si>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</si>
  <si>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</si>
  <si>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</si>
  <si>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</si>
  <si>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</si>
  <si>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</si>
  <si>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</si>
  <si>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</si>
  <si>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Oct'21</t>
  </si>
  <si>
    <t>Revised Risk-o-meter Level- Nov'21</t>
  </si>
  <si>
    <t>Benchmark Risk-o-meter Level- Nov'21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</si>
  <si>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</si>
  <si>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</si>
  <si>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</si>
  <si>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</si>
  <si>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</si>
  <si>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</si>
  <si>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</si>
  <si>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</si>
  <si>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5.05% Indian Oil Corporation Ltd (25/11/2022)</t>
  </si>
  <si>
    <t>INE242A08460</t>
  </si>
  <si>
    <t>CRISIL AAA</t>
  </si>
  <si>
    <t>Relatively Low (Class I)</t>
  </si>
  <si>
    <t>7.09% REC Ltd (13/12/2022)</t>
  </si>
  <si>
    <t>INE020B08CD3</t>
  </si>
  <si>
    <t>6.59% Indian Railway Finance Corporation Ltd (14/04/2023) **</t>
  </si>
  <si>
    <t>INE053F07BZ2</t>
  </si>
  <si>
    <t>CARE AAA</t>
  </si>
  <si>
    <t>Moderate 
(Class II)</t>
  </si>
  <si>
    <t>B-II</t>
  </si>
  <si>
    <t>7.17% Reliance Industries Ltd (08/11/2022) **</t>
  </si>
  <si>
    <t>INE002A08500</t>
  </si>
  <si>
    <t>7.20% Housing Development Finance Corporation Ltd (13/04/2023)</t>
  </si>
  <si>
    <t>INE001A07SJ0</t>
  </si>
  <si>
    <t>Relatively High (Class III)</t>
  </si>
  <si>
    <t>7.4450% LIC HOUSING FINANCE LTD13-JAN-23 **</t>
  </si>
  <si>
    <t>INE115A07OJ7</t>
  </si>
  <si>
    <t>6.50% Power Finance Corporation Ltd (17/09/2025) **</t>
  </si>
  <si>
    <t>INE134E08LD7</t>
  </si>
  <si>
    <t>Benchmark: CRISIL Short Term Bond Fund Index</t>
  </si>
  <si>
    <t>6.70% National Bank For Agriculture &amp; Rural Development (11/11/2022) **</t>
  </si>
  <si>
    <t>INE261F08BQ8</t>
  </si>
  <si>
    <t>6.98% National Bank For Agriculture &amp; Rural Development (19/09/2022) **</t>
  </si>
  <si>
    <t>INE261F08BO3</t>
  </si>
  <si>
    <t>7.00% Reliance Industries Ltd (31/08/2022) **</t>
  </si>
  <si>
    <t>INE002A08476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</si>
  <si>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</si>
  <si>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</si>
  <si>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</si>
  <si>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</si>
  <si>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</si>
  <si>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</si>
  <si>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ICRA AAA</t>
  </si>
  <si>
    <t>4.58% Small Industries Development Bank Of India (18/12/2023) **</t>
  </si>
  <si>
    <t>INE556F08JR2</t>
  </si>
  <si>
    <t>7.79% LIC Housing Finance Ltd (18/10/2024) **</t>
  </si>
  <si>
    <t>INE115A07OM1</t>
  </si>
  <si>
    <t>7.40% LIC Housing Finance Ltd (06/09/2024) **</t>
  </si>
  <si>
    <t>INE115A07ML7</t>
  </si>
  <si>
    <t>6.80% Small Industries Development Bank Of India (29/09/2022) **</t>
  </si>
  <si>
    <t>INE556F08JO9</t>
  </si>
  <si>
    <t>7.87% Larsen &amp; Toubro Ltd (18/04/2022) **</t>
  </si>
  <si>
    <t>INE018A08AR3</t>
  </si>
  <si>
    <t>5.40% Housing Development Finance Corporation Ltd (11/08/2023)</t>
  </si>
  <si>
    <t>INE001A07SP7</t>
  </si>
  <si>
    <t>7.05% National Housing Bank (18/12/2024) **</t>
  </si>
  <si>
    <t>INE557F08FG1</t>
  </si>
  <si>
    <t>7.24% REC Ltd (31/12/2022) **</t>
  </si>
  <si>
    <t>INE020B08CG6</t>
  </si>
  <si>
    <t>7.85% National Bank For Agriculture &amp; Rural Development (23/05/2022) **</t>
  </si>
  <si>
    <t>INE261F08BJ3</t>
  </si>
  <si>
    <t>8.02% Larsen &amp; Toubro Ltd (22/05/2022)</t>
  </si>
  <si>
    <t>INE018A08AS1</t>
  </si>
  <si>
    <t>6.99% Small Industries Development Bank Of India (08/08/2022) **</t>
  </si>
  <si>
    <t>INE556F08JN1</t>
  </si>
  <si>
    <t>8.40% Power Grid Corporation of India Ltd (27/05/2027) **</t>
  </si>
  <si>
    <t>INE752E07MT2</t>
  </si>
  <si>
    <t>8.40% Power Grid Corporation of India Ltd (27/05/2026) **</t>
  </si>
  <si>
    <t>INE752E07MS4</t>
  </si>
  <si>
    <t>7.99% Housing Development Finance Corporation Ltd (11/07/2024) **</t>
  </si>
  <si>
    <t>INE001A07RV7</t>
  </si>
  <si>
    <t>8.50% National Bank For Agriculture &amp; Rural Development (31/01/2023)</t>
  </si>
  <si>
    <t>INE261F08AT4</t>
  </si>
  <si>
    <t>8.50% LIC Housing Finance Ltd (20/06/2022) **</t>
  </si>
  <si>
    <t>INE115A07OD0</t>
  </si>
  <si>
    <t>7.49% Power Grid Corporation of India Ltd (25/10/2024) **</t>
  </si>
  <si>
    <t>INE752E08593</t>
  </si>
  <si>
    <t>8.58% Housing Development Finance Corporation Ltd (18/03/2022) **</t>
  </si>
  <si>
    <t>INE001A07RS3</t>
  </si>
  <si>
    <t>Sub Total</t>
  </si>
  <si>
    <t>Total</t>
  </si>
  <si>
    <t>Money Market Instruments</t>
  </si>
  <si>
    <t>Treasury Bill</t>
  </si>
  <si>
    <t>91 DAYS INDIA TREASURY BILLS 16-DEC-21</t>
  </si>
  <si>
    <t>IN002021X272</t>
  </si>
  <si>
    <t xml:space="preserve"> Sovereign</t>
  </si>
  <si>
    <t>364 DAYS INDIA TREASURY BILLS 23-DEC-21</t>
  </si>
  <si>
    <t>IN002020Z386</t>
  </si>
  <si>
    <t>Government Bonds</t>
  </si>
  <si>
    <t>4.48% GOI (02/11/2023)</t>
  </si>
  <si>
    <t>IN0020200211</t>
  </si>
  <si>
    <t>Sovereign</t>
  </si>
  <si>
    <t>5.74% GOI (15/11/2026)</t>
  </si>
  <si>
    <t>IN0020210186</t>
  </si>
  <si>
    <t>6.10% INDIA GOVERNMENT 12-JUL-31</t>
  </si>
  <si>
    <t>IN0020210095</t>
  </si>
  <si>
    <t>8.75% UTTAR PRADESH SDL 11-JAN-22</t>
  </si>
  <si>
    <t>IN3320110130</t>
  </si>
  <si>
    <t>8.62% MAHARASHTRA SDL 06-MAR-23</t>
  </si>
  <si>
    <t>IN2220120116</t>
  </si>
  <si>
    <t>8.20% GOI (15/02/2022)</t>
  </si>
  <si>
    <t>IN0020060037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</si>
  <si>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</si>
  <si>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</si>
  <si>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</si>
  <si>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</si>
  <si>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</si>
  <si>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</si>
  <si>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8.49% Punjab SDL Uday 31-Mar-22</t>
  </si>
  <si>
    <t>IN2820150273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</si>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</sst>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3" borderId="9" xfId="0" applyFont="1" applyFill="1" applyBorder="1"/>
    <xf numFmtId="0" fontId="2" fillId="3" borderId="9" xfId="0" applyFont="1" applyFill="1" applyBorder="1"/>
    <xf numFmtId="0" fontId="2" fillId="3" borderId="9" xfId="0" applyNumberFormat="1" applyFont="1" applyFill="1" applyBorder="1"/>
    <xf numFmtId="4" fontId="2" fillId="3" borderId="9" xfId="0" applyNumberFormat="1" applyFont="1" applyFill="1" applyBorder="1"/>
    <xf numFmtId="0" fontId="2" fillId="3" borderId="10" xfId="0" applyFont="1" applyFill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3" borderId="11" xfId="0" applyFont="1" applyFill="1" applyBorder="1"/>
    <xf numFmtId="0" fontId="2" fillId="3" borderId="11" xfId="0" applyFont="1" applyFill="1" applyBorder="1"/>
    <xf numFmtId="0" fontId="2" fillId="3" borderId="11" xfId="0" applyNumberFormat="1" applyFont="1" applyFill="1" applyBorder="1"/>
    <xf numFmtId="4" fontId="2" fillId="3" borderId="11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3" fontId="2" fillId="3" borderId="11" xfId="0" applyNumberFormat="1" applyFont="1" applyFill="1" applyBorder="1"/>
    <xf numFmtId="0" fontId="8" fillId="0" borderId="5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4" fontId="8" fillId="3" borderId="14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2" fillId="3" borderId="17" xfId="0" applyFont="1" applyFill="1" applyBorder="1"/>
    <xf numFmtId="3" fontId="2" fillId="3" borderId="17" xfId="0" applyNumberFormat="1" applyFont="1" applyFill="1" applyBorder="1"/>
    <xf numFmtId="4" fontId="2" fillId="3" borderId="17" xfId="0" applyNumberFormat="1" applyFont="1" applyFill="1" applyBorder="1"/>
    <xf numFmtId="0" fontId="8" fillId="3" borderId="18" xfId="0" applyFont="1" applyFill="1" applyBorder="1"/>
    <xf numFmtId="0" fontId="8" fillId="3" borderId="18" xfId="0" applyNumberFormat="1" applyFont="1" applyFill="1" applyBorder="1"/>
    <xf numFmtId="4" fontId="8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28575</xdr:rowOff>
    </xdr:from>
    <xdr:to>
      <xdr:col>9</xdr:col>
      <xdr:colOff>1647825</xdr:colOff>
      <xdr:row>8</xdr:row>
      <xdr:rowOff>123825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B2AD9B6-4484-4445-9670-1BB640B24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1038225"/>
          <a:ext cx="16097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4</xdr:row>
      <xdr:rowOff>38100</xdr:rowOff>
    </xdr:from>
    <xdr:to>
      <xdr:col>10</xdr:col>
      <xdr:colOff>1647825</xdr:colOff>
      <xdr:row>8</xdr:row>
      <xdr:rowOff>133350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D0E682C7-FA94-48AB-B809-8BBB41AC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1047750"/>
          <a:ext cx="16097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4</xdr:row>
      <xdr:rowOff>38100</xdr:rowOff>
    </xdr:from>
    <xdr:to>
      <xdr:col>11</xdr:col>
      <xdr:colOff>1666875</xdr:colOff>
      <xdr:row>8</xdr:row>
      <xdr:rowOff>123825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F31429D0-3063-4DB8-AC68-14F4FB3B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047750"/>
          <a:ext cx="16383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8"/>
  <sheetViews>
    <sheetView tabSelected="1" workbookViewId="0">
      <selection activeCell="N4" sqref="N4:Q4"/>
    </sheetView>
  </sheetViews>
  <sheetFormatPr defaultRowHeight="12"/>
  <cols>
    <col min="1" max="1" width="9.140625" style="3"/>
    <col min="2" max="2" width="61" style="3" bestFit="1" customWidth="1"/>
    <col min="3" max="3" width="13.7109375" style="3" bestFit="1" customWidth="1"/>
    <col min="4" max="4" width="14.140625" style="3" bestFit="1" customWidth="1"/>
    <col min="5" max="5" width="8.85546875" style="59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42578125" style="3" customWidth="1"/>
    <col min="11" max="11" width="25.28515625" style="3" customWidth="1"/>
    <col min="12" max="12" width="25.5703125" style="3" customWidth="1"/>
    <col min="13" max="13" width="9.140625" style="3"/>
    <col min="14" max="14" width="11.85546875" style="3" customWidth="1"/>
    <col min="15" max="15" width="8.5703125" style="3" customWidth="1"/>
    <col min="16" max="16" width="10" style="3" customWidth="1"/>
    <col min="17" max="17" width="9.4257812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24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2">
        <v>650</v>
      </c>
      <c r="F7" s="29">
        <v>6536.67</v>
      </c>
      <c r="G7" s="29">
        <v>7.3</v>
      </c>
      <c r="H7" s="29">
        <v>4.34</v>
      </c>
      <c r="J7" s="30"/>
      <c r="K7" s="30"/>
      <c r="L7" s="30"/>
      <c r="N7" s="33" t="s">
        <v>23</v>
      </c>
      <c r="O7" s="34"/>
      <c r="P7" s="34"/>
      <c r="Q7" s="34"/>
    </row>
    <row r="8" spans="2:17">
      <c r="B8" s="27" t="s">
        <v>24</v>
      </c>
      <c r="C8" s="27" t="s">
        <v>25</v>
      </c>
      <c r="D8" s="27" t="s">
        <v>22</v>
      </c>
      <c r="E8" s="32">
        <v>450</v>
      </c>
      <c r="F8" s="29">
        <v>4610.34</v>
      </c>
      <c r="G8" s="29">
        <v>5.15</v>
      </c>
      <c r="H8" s="29">
        <v>4.5999999999999996</v>
      </c>
      <c r="J8" s="30"/>
      <c r="K8" s="30"/>
      <c r="L8" s="30"/>
      <c r="N8" s="33"/>
      <c r="O8" s="35"/>
      <c r="P8" s="35"/>
      <c r="Q8" s="35"/>
    </row>
    <row r="9" spans="2:17">
      <c r="B9" s="27" t="s">
        <v>26</v>
      </c>
      <c r="C9" s="27" t="s">
        <v>27</v>
      </c>
      <c r="D9" s="27" t="s">
        <v>28</v>
      </c>
      <c r="E9" s="32">
        <v>350</v>
      </c>
      <c r="F9" s="29">
        <v>3584.92</v>
      </c>
      <c r="G9" s="29">
        <v>4</v>
      </c>
      <c r="H9" s="29">
        <v>4.7300000000000004</v>
      </c>
      <c r="J9" s="30"/>
      <c r="K9" s="30"/>
      <c r="L9" s="30"/>
      <c r="N9" s="33" t="s">
        <v>29</v>
      </c>
      <c r="O9" s="34"/>
      <c r="P9" s="36" t="s">
        <v>30</v>
      </c>
      <c r="Q9" s="34"/>
    </row>
    <row r="10" spans="2:17">
      <c r="B10" s="27" t="s">
        <v>31</v>
      </c>
      <c r="C10" s="27" t="s">
        <v>32</v>
      </c>
      <c r="D10" s="27" t="s">
        <v>22</v>
      </c>
      <c r="E10" s="32">
        <v>350</v>
      </c>
      <c r="F10" s="29">
        <v>3580.96</v>
      </c>
      <c r="G10" s="29">
        <v>4</v>
      </c>
      <c r="H10" s="29">
        <v>4.58</v>
      </c>
      <c r="J10" s="30"/>
      <c r="K10" s="30"/>
      <c r="L10" s="30"/>
      <c r="N10" s="33"/>
      <c r="O10" s="35"/>
      <c r="P10" s="37"/>
      <c r="Q10" s="35"/>
    </row>
    <row r="11" spans="2:17">
      <c r="B11" s="27" t="s">
        <v>33</v>
      </c>
      <c r="C11" s="27" t="s">
        <v>34</v>
      </c>
      <c r="D11" s="27" t="s">
        <v>22</v>
      </c>
      <c r="E11" s="32">
        <v>250</v>
      </c>
      <c r="F11" s="29">
        <v>2566.5100000000002</v>
      </c>
      <c r="G11" s="29">
        <v>2.87</v>
      </c>
      <c r="H11" s="29">
        <v>5.0999999999999996</v>
      </c>
      <c r="J11" s="30"/>
      <c r="K11" s="30"/>
      <c r="L11" s="30"/>
      <c r="N11" s="33" t="s">
        <v>35</v>
      </c>
      <c r="O11" s="34"/>
      <c r="P11" s="34"/>
      <c r="Q11" s="34"/>
    </row>
    <row r="12" spans="2:17">
      <c r="B12" s="27" t="s">
        <v>36</v>
      </c>
      <c r="C12" s="27" t="s">
        <v>37</v>
      </c>
      <c r="D12" s="27" t="s">
        <v>22</v>
      </c>
      <c r="E12" s="32">
        <v>250</v>
      </c>
      <c r="F12" s="29">
        <v>2560.6</v>
      </c>
      <c r="G12" s="29">
        <v>2.86</v>
      </c>
      <c r="H12" s="29">
        <v>5.14</v>
      </c>
      <c r="J12" s="38"/>
      <c r="K12" s="38"/>
      <c r="L12" s="38"/>
      <c r="N12" s="33"/>
      <c r="O12" s="35"/>
      <c r="P12" s="35"/>
      <c r="Q12" s="35"/>
    </row>
    <row r="13" spans="2:17">
      <c r="B13" s="27" t="s">
        <v>38</v>
      </c>
      <c r="C13" s="27" t="s">
        <v>39</v>
      </c>
      <c r="D13" s="27" t="s">
        <v>22</v>
      </c>
      <c r="E13" s="32">
        <v>250</v>
      </c>
      <c r="F13" s="29">
        <v>2558.64</v>
      </c>
      <c r="G13" s="29">
        <v>2.86</v>
      </c>
      <c r="H13" s="29">
        <v>5.79</v>
      </c>
      <c r="L13" s="3" t="s">
        <v>40</v>
      </c>
    </row>
    <row r="14" spans="2:17">
      <c r="B14" s="27" t="s">
        <v>41</v>
      </c>
      <c r="C14" s="27" t="s">
        <v>42</v>
      </c>
      <c r="D14" s="27" t="s">
        <v>22</v>
      </c>
      <c r="E14" s="32">
        <v>250</v>
      </c>
      <c r="F14" s="29">
        <v>2549.0300000000002</v>
      </c>
      <c r="G14" s="29">
        <v>2.85</v>
      </c>
      <c r="H14" s="29">
        <v>4.53</v>
      </c>
    </row>
    <row r="15" spans="2:17">
      <c r="B15" s="27" t="s">
        <v>43</v>
      </c>
      <c r="C15" s="27" t="s">
        <v>44</v>
      </c>
      <c r="D15" s="27" t="s">
        <v>22</v>
      </c>
      <c r="E15" s="32">
        <v>250</v>
      </c>
      <c r="F15" s="29">
        <v>2547.96</v>
      </c>
      <c r="G15" s="29">
        <v>2.85</v>
      </c>
      <c r="H15" s="29">
        <v>4.4400000000000004</v>
      </c>
    </row>
    <row r="16" spans="2:17">
      <c r="B16" s="27" t="s">
        <v>45</v>
      </c>
      <c r="C16" s="27" t="s">
        <v>46</v>
      </c>
      <c r="D16" s="27" t="s">
        <v>22</v>
      </c>
      <c r="E16" s="32">
        <v>250</v>
      </c>
      <c r="F16" s="29">
        <v>2543.98</v>
      </c>
      <c r="G16" s="29">
        <v>2.84</v>
      </c>
      <c r="H16" s="29">
        <v>4.5</v>
      </c>
    </row>
    <row r="17" spans="2:8">
      <c r="B17" s="27" t="s">
        <v>47</v>
      </c>
      <c r="C17" s="27" t="s">
        <v>48</v>
      </c>
      <c r="D17" s="27" t="s">
        <v>22</v>
      </c>
      <c r="E17" s="32">
        <v>250</v>
      </c>
      <c r="F17" s="29">
        <v>2519.86</v>
      </c>
      <c r="G17" s="29">
        <v>2.81</v>
      </c>
      <c r="H17" s="29">
        <v>4.83</v>
      </c>
    </row>
    <row r="18" spans="2:8">
      <c r="B18" s="27" t="s">
        <v>49</v>
      </c>
      <c r="C18" s="27" t="s">
        <v>50</v>
      </c>
      <c r="D18" s="27" t="s">
        <v>22</v>
      </c>
      <c r="E18" s="32">
        <v>200</v>
      </c>
      <c r="F18" s="29">
        <v>2088.16</v>
      </c>
      <c r="G18" s="29">
        <v>2.33</v>
      </c>
      <c r="H18" s="29">
        <v>5.68</v>
      </c>
    </row>
    <row r="19" spans="2:8">
      <c r="B19" s="27" t="s">
        <v>51</v>
      </c>
      <c r="C19" s="27" t="s">
        <v>52</v>
      </c>
      <c r="D19" s="27" t="s">
        <v>53</v>
      </c>
      <c r="E19" s="32">
        <v>200</v>
      </c>
      <c r="F19" s="29">
        <v>2028.93</v>
      </c>
      <c r="G19" s="29">
        <v>2.27</v>
      </c>
      <c r="H19" s="29">
        <v>4.0999999999999996</v>
      </c>
    </row>
    <row r="20" spans="2:8">
      <c r="B20" s="27" t="s">
        <v>54</v>
      </c>
      <c r="C20" s="27" t="s">
        <v>55</v>
      </c>
      <c r="D20" s="27" t="s">
        <v>53</v>
      </c>
      <c r="E20" s="32">
        <v>200</v>
      </c>
      <c r="F20" s="29">
        <v>1986.77</v>
      </c>
      <c r="G20" s="29">
        <v>2.2200000000000002</v>
      </c>
      <c r="H20" s="29">
        <v>4.93</v>
      </c>
    </row>
    <row r="21" spans="2:8">
      <c r="B21" s="27" t="s">
        <v>56</v>
      </c>
      <c r="C21" s="27" t="s">
        <v>57</v>
      </c>
      <c r="D21" s="27" t="s">
        <v>22</v>
      </c>
      <c r="E21" s="32">
        <v>150</v>
      </c>
      <c r="F21" s="29">
        <v>1578.79</v>
      </c>
      <c r="G21" s="29">
        <v>1.76</v>
      </c>
      <c r="H21" s="29">
        <v>5.75</v>
      </c>
    </row>
    <row r="22" spans="2:8">
      <c r="B22" s="27" t="s">
        <v>58</v>
      </c>
      <c r="C22" s="27" t="s">
        <v>59</v>
      </c>
      <c r="D22" s="27" t="s">
        <v>22</v>
      </c>
      <c r="E22" s="32">
        <v>150</v>
      </c>
      <c r="F22" s="29">
        <v>1562.06</v>
      </c>
      <c r="G22" s="29">
        <v>1.74</v>
      </c>
      <c r="H22" s="29">
        <v>5.73</v>
      </c>
    </row>
    <row r="23" spans="2:8">
      <c r="B23" s="27" t="s">
        <v>60</v>
      </c>
      <c r="C23" s="27" t="s">
        <v>61</v>
      </c>
      <c r="D23" s="27" t="s">
        <v>28</v>
      </c>
      <c r="E23" s="32">
        <v>150</v>
      </c>
      <c r="F23" s="29">
        <v>1527.44</v>
      </c>
      <c r="G23" s="29">
        <v>1.71</v>
      </c>
      <c r="H23" s="29">
        <v>4.46</v>
      </c>
    </row>
    <row r="24" spans="2:8">
      <c r="B24" s="27" t="s">
        <v>62</v>
      </c>
      <c r="C24" s="27" t="s">
        <v>63</v>
      </c>
      <c r="D24" s="27" t="s">
        <v>22</v>
      </c>
      <c r="E24" s="32">
        <v>150</v>
      </c>
      <c r="F24" s="29">
        <v>1519.26</v>
      </c>
      <c r="G24" s="29">
        <v>1.7</v>
      </c>
      <c r="H24" s="29">
        <v>4.24</v>
      </c>
    </row>
    <row r="25" spans="2:8">
      <c r="B25" s="27" t="s">
        <v>64</v>
      </c>
      <c r="C25" s="27" t="s">
        <v>65</v>
      </c>
      <c r="D25" s="27" t="s">
        <v>22</v>
      </c>
      <c r="E25" s="32">
        <v>150</v>
      </c>
      <c r="F25" s="29">
        <v>1504.79</v>
      </c>
      <c r="G25" s="29">
        <v>1.68</v>
      </c>
      <c r="H25" s="29">
        <v>5.18</v>
      </c>
    </row>
    <row r="26" spans="2:8">
      <c r="B26" s="27" t="s">
        <v>66</v>
      </c>
      <c r="C26" s="27" t="s">
        <v>67</v>
      </c>
      <c r="D26" s="27" t="s">
        <v>22</v>
      </c>
      <c r="E26" s="32">
        <v>100</v>
      </c>
      <c r="F26" s="29">
        <v>1046.8599999999999</v>
      </c>
      <c r="G26" s="29">
        <v>1.17</v>
      </c>
      <c r="H26" s="29">
        <v>5.34</v>
      </c>
    </row>
    <row r="27" spans="2:8">
      <c r="B27" s="27" t="s">
        <v>68</v>
      </c>
      <c r="C27" s="27" t="s">
        <v>69</v>
      </c>
      <c r="D27" s="27" t="s">
        <v>22</v>
      </c>
      <c r="E27" s="32">
        <v>100</v>
      </c>
      <c r="F27" s="29">
        <v>1027.1400000000001</v>
      </c>
      <c r="G27" s="29">
        <v>1.1499999999999999</v>
      </c>
      <c r="H27" s="29">
        <v>4.5999999999999996</v>
      </c>
    </row>
    <row r="28" spans="2:8">
      <c r="B28" s="27" t="s">
        <v>70</v>
      </c>
      <c r="C28" s="27" t="s">
        <v>71</v>
      </c>
      <c r="D28" s="27" t="s">
        <v>22</v>
      </c>
      <c r="E28" s="32">
        <v>100</v>
      </c>
      <c r="F28" s="29">
        <v>1016.65</v>
      </c>
      <c r="G28" s="29">
        <v>1.1399999999999999</v>
      </c>
      <c r="H28" s="29">
        <v>4.12</v>
      </c>
    </row>
    <row r="29" spans="2:8">
      <c r="B29" s="27" t="s">
        <v>72</v>
      </c>
      <c r="C29" s="27" t="s">
        <v>73</v>
      </c>
      <c r="D29" s="27" t="s">
        <v>22</v>
      </c>
      <c r="E29" s="32">
        <v>100</v>
      </c>
      <c r="F29" s="29">
        <v>1016.58</v>
      </c>
      <c r="G29" s="29">
        <v>1.1399999999999999</v>
      </c>
      <c r="H29" s="29">
        <v>4.2699999999999996</v>
      </c>
    </row>
    <row r="30" spans="2:8">
      <c r="B30" s="27" t="s">
        <v>74</v>
      </c>
      <c r="C30" s="27" t="s">
        <v>75</v>
      </c>
      <c r="D30" s="27" t="s">
        <v>28</v>
      </c>
      <c r="E30" s="32">
        <v>100</v>
      </c>
      <c r="F30" s="29">
        <v>1016.34</v>
      </c>
      <c r="G30" s="29">
        <v>1.1299999999999999</v>
      </c>
      <c r="H30" s="29">
        <v>4.4400000000000004</v>
      </c>
    </row>
    <row r="31" spans="2:8">
      <c r="B31" s="27" t="s">
        <v>76</v>
      </c>
      <c r="C31" s="27" t="s">
        <v>77</v>
      </c>
      <c r="D31" s="27" t="s">
        <v>22</v>
      </c>
      <c r="E31" s="32">
        <v>50</v>
      </c>
      <c r="F31" s="29">
        <v>551.24</v>
      </c>
      <c r="G31" s="29">
        <v>0.62</v>
      </c>
      <c r="H31" s="29">
        <v>6.13</v>
      </c>
    </row>
    <row r="32" spans="2:8">
      <c r="B32" s="27" t="s">
        <v>78</v>
      </c>
      <c r="C32" s="27" t="s">
        <v>79</v>
      </c>
      <c r="D32" s="27" t="s">
        <v>22</v>
      </c>
      <c r="E32" s="32">
        <v>50</v>
      </c>
      <c r="F32" s="29">
        <v>547.53</v>
      </c>
      <c r="G32" s="29">
        <v>0.61</v>
      </c>
      <c r="H32" s="29">
        <v>5.91</v>
      </c>
    </row>
    <row r="33" spans="2:8">
      <c r="B33" s="27" t="s">
        <v>80</v>
      </c>
      <c r="C33" s="27" t="s">
        <v>81</v>
      </c>
      <c r="D33" s="27" t="s">
        <v>22</v>
      </c>
      <c r="E33" s="32">
        <v>50</v>
      </c>
      <c r="F33" s="29">
        <v>527.39</v>
      </c>
      <c r="G33" s="29">
        <v>0.59</v>
      </c>
      <c r="H33" s="29">
        <v>5.65</v>
      </c>
    </row>
    <row r="34" spans="2:8">
      <c r="B34" s="27" t="s">
        <v>82</v>
      </c>
      <c r="C34" s="27" t="s">
        <v>83</v>
      </c>
      <c r="D34" s="27" t="s">
        <v>22</v>
      </c>
      <c r="E34" s="32">
        <v>50</v>
      </c>
      <c r="F34" s="29">
        <v>521.72</v>
      </c>
      <c r="G34" s="29">
        <v>0.57999999999999996</v>
      </c>
      <c r="H34" s="29">
        <v>4.57</v>
      </c>
    </row>
    <row r="35" spans="2:8">
      <c r="B35" s="27" t="s">
        <v>84</v>
      </c>
      <c r="C35" s="27" t="s">
        <v>85</v>
      </c>
      <c r="D35" s="27" t="s">
        <v>22</v>
      </c>
      <c r="E35" s="32">
        <v>50</v>
      </c>
      <c r="F35" s="29">
        <v>510.86</v>
      </c>
      <c r="G35" s="29">
        <v>0.56999999999999995</v>
      </c>
      <c r="H35" s="29">
        <v>4.32</v>
      </c>
    </row>
    <row r="36" spans="2:8">
      <c r="B36" s="27" t="s">
        <v>86</v>
      </c>
      <c r="C36" s="27" t="s">
        <v>87</v>
      </c>
      <c r="D36" s="27" t="s">
        <v>22</v>
      </c>
      <c r="E36" s="32">
        <v>100</v>
      </c>
      <c r="F36" s="29">
        <v>317.95999999999998</v>
      </c>
      <c r="G36" s="29">
        <v>0.36</v>
      </c>
      <c r="H36" s="29">
        <v>5.21</v>
      </c>
    </row>
    <row r="37" spans="2:8">
      <c r="B37" s="27" t="s">
        <v>88</v>
      </c>
      <c r="C37" s="27" t="s">
        <v>89</v>
      </c>
      <c r="D37" s="27" t="s">
        <v>22</v>
      </c>
      <c r="E37" s="32">
        <v>10</v>
      </c>
      <c r="F37" s="29">
        <v>101.32</v>
      </c>
      <c r="G37" s="29">
        <v>0.11</v>
      </c>
      <c r="H37" s="29">
        <v>3.83</v>
      </c>
    </row>
    <row r="38" spans="2:8">
      <c r="B38" s="39" t="s">
        <v>90</v>
      </c>
      <c r="C38" s="39"/>
      <c r="D38" s="39"/>
      <c r="E38" s="40"/>
      <c r="F38" s="41">
        <f>SUM(F6:F37)</f>
        <v>58157.26</v>
      </c>
      <c r="G38" s="41">
        <f>SUM(G6:G37)</f>
        <v>64.97</v>
      </c>
      <c r="H38" s="42"/>
    </row>
    <row r="39" spans="2:8">
      <c r="B39" s="43" t="s">
        <v>91</v>
      </c>
      <c r="C39" s="43"/>
      <c r="D39" s="43"/>
      <c r="E39" s="44"/>
      <c r="F39" s="45">
        <f>F38</f>
        <v>58157.26</v>
      </c>
      <c r="G39" s="45">
        <f>G38</f>
        <v>64.97</v>
      </c>
      <c r="H39" s="45"/>
    </row>
    <row r="40" spans="2:8">
      <c r="B40" s="26" t="s">
        <v>92</v>
      </c>
      <c r="C40" s="27"/>
      <c r="D40" s="27"/>
      <c r="E40" s="28"/>
      <c r="F40" s="29"/>
      <c r="G40" s="29"/>
      <c r="H40" s="29"/>
    </row>
    <row r="41" spans="2:8">
      <c r="B41" s="26" t="s">
        <v>93</v>
      </c>
      <c r="C41" s="27"/>
      <c r="D41" s="27"/>
      <c r="E41" s="28"/>
      <c r="F41" s="29"/>
      <c r="G41" s="29"/>
      <c r="H41" s="29"/>
    </row>
    <row r="42" spans="2:8">
      <c r="B42" s="27" t="s">
        <v>94</v>
      </c>
      <c r="C42" s="27" t="s">
        <v>95</v>
      </c>
      <c r="D42" s="27" t="s">
        <v>96</v>
      </c>
      <c r="E42" s="32">
        <v>5000000</v>
      </c>
      <c r="F42" s="29">
        <v>4993.26</v>
      </c>
      <c r="G42" s="29">
        <v>5.58</v>
      </c>
      <c r="H42" s="29">
        <v>3.28</v>
      </c>
    </row>
    <row r="43" spans="2:8">
      <c r="B43" s="27" t="s">
        <v>97</v>
      </c>
      <c r="C43" s="27" t="s">
        <v>98</v>
      </c>
      <c r="D43" s="27" t="s">
        <v>96</v>
      </c>
      <c r="E43" s="32">
        <v>5000000</v>
      </c>
      <c r="F43" s="29">
        <v>4990.17</v>
      </c>
      <c r="G43" s="29">
        <v>5.57</v>
      </c>
      <c r="H43" s="29">
        <v>3.27</v>
      </c>
    </row>
    <row r="44" spans="2:8">
      <c r="B44" s="39" t="s">
        <v>90</v>
      </c>
      <c r="C44" s="39"/>
      <c r="D44" s="39"/>
      <c r="E44" s="40"/>
      <c r="F44" s="41">
        <f>SUM(F41:F43)</f>
        <v>9983.43</v>
      </c>
      <c r="G44" s="41">
        <f>SUM(G41:G43)</f>
        <v>11.15</v>
      </c>
      <c r="H44" s="42"/>
    </row>
    <row r="45" spans="2:8">
      <c r="B45" s="43" t="s">
        <v>91</v>
      </c>
      <c r="C45" s="43"/>
      <c r="D45" s="43"/>
      <c r="E45" s="44"/>
      <c r="F45" s="45">
        <f>+F44</f>
        <v>9983.43</v>
      </c>
      <c r="G45" s="45">
        <f>+G44</f>
        <v>11.15</v>
      </c>
      <c r="H45" s="45"/>
    </row>
    <row r="46" spans="2:8">
      <c r="B46" s="26" t="s">
        <v>99</v>
      </c>
      <c r="C46" s="27"/>
      <c r="D46" s="27"/>
      <c r="E46" s="28"/>
      <c r="F46" s="29"/>
      <c r="G46" s="29"/>
      <c r="H46" s="29"/>
    </row>
    <row r="47" spans="2:8">
      <c r="B47" s="27" t="s">
        <v>100</v>
      </c>
      <c r="C47" s="27" t="s">
        <v>101</v>
      </c>
      <c r="D47" s="27" t="s">
        <v>102</v>
      </c>
      <c r="E47" s="32">
        <v>4500000</v>
      </c>
      <c r="F47" s="29">
        <v>4494.8100000000004</v>
      </c>
      <c r="G47" s="29">
        <v>5.0199999999999996</v>
      </c>
      <c r="H47" s="29">
        <v>4.54</v>
      </c>
    </row>
    <row r="48" spans="2:8">
      <c r="B48" s="27" t="s">
        <v>103</v>
      </c>
      <c r="C48" s="27" t="s">
        <v>104</v>
      </c>
      <c r="D48" s="27" t="s">
        <v>102</v>
      </c>
      <c r="E48" s="32">
        <v>2500000</v>
      </c>
      <c r="F48" s="29">
        <v>2505.38</v>
      </c>
      <c r="G48" s="29">
        <v>2.8</v>
      </c>
      <c r="H48" s="29">
        <v>5.69</v>
      </c>
    </row>
    <row r="49" spans="2:8">
      <c r="B49" s="27" t="s">
        <v>105</v>
      </c>
      <c r="C49" s="27" t="s">
        <v>106</v>
      </c>
      <c r="D49" s="27" t="s">
        <v>102</v>
      </c>
      <c r="E49" s="32">
        <v>2500000</v>
      </c>
      <c r="F49" s="29">
        <v>2459.13</v>
      </c>
      <c r="G49" s="29">
        <v>2.75</v>
      </c>
      <c r="H49" s="29">
        <v>6.33</v>
      </c>
    </row>
    <row r="50" spans="2:8">
      <c r="B50" s="27" t="s">
        <v>107</v>
      </c>
      <c r="C50" s="27" t="s">
        <v>108</v>
      </c>
      <c r="D50" s="27" t="s">
        <v>102</v>
      </c>
      <c r="E50" s="32">
        <v>2000000</v>
      </c>
      <c r="F50" s="29">
        <v>2010.8</v>
      </c>
      <c r="G50" s="29">
        <v>2.25</v>
      </c>
      <c r="H50" s="29">
        <v>3.87</v>
      </c>
    </row>
    <row r="51" spans="2:8">
      <c r="B51" s="27" t="s">
        <v>109</v>
      </c>
      <c r="C51" s="27" t="s">
        <v>110</v>
      </c>
      <c r="D51" s="27" t="s">
        <v>102</v>
      </c>
      <c r="E51" s="32">
        <v>1000000</v>
      </c>
      <c r="F51" s="29">
        <v>1049.31</v>
      </c>
      <c r="G51" s="29">
        <v>1.17</v>
      </c>
      <c r="H51" s="29">
        <v>4.55</v>
      </c>
    </row>
    <row r="52" spans="2:8">
      <c r="B52" s="27" t="s">
        <v>111</v>
      </c>
      <c r="C52" s="27" t="s">
        <v>112</v>
      </c>
      <c r="D52" s="27" t="s">
        <v>102</v>
      </c>
      <c r="E52" s="32">
        <v>600000</v>
      </c>
      <c r="F52" s="29">
        <v>605.58000000000004</v>
      </c>
      <c r="G52" s="29">
        <v>0.68</v>
      </c>
      <c r="H52" s="29">
        <v>3.63</v>
      </c>
    </row>
    <row r="53" spans="2:8">
      <c r="B53" s="27" t="s">
        <v>113</v>
      </c>
      <c r="C53" s="27" t="s">
        <v>114</v>
      </c>
      <c r="D53" s="27" t="s">
        <v>102</v>
      </c>
      <c r="E53" s="32">
        <v>500000</v>
      </c>
      <c r="F53" s="29">
        <v>514.53</v>
      </c>
      <c r="G53" s="29">
        <v>0.56999999999999995</v>
      </c>
      <c r="H53" s="29">
        <v>4.1399999999999997</v>
      </c>
    </row>
    <row r="54" spans="2:8">
      <c r="B54" s="27" t="s">
        <v>115</v>
      </c>
      <c r="C54" s="27" t="s">
        <v>116</v>
      </c>
      <c r="D54" s="27" t="s">
        <v>102</v>
      </c>
      <c r="E54" s="32">
        <v>500000</v>
      </c>
      <c r="F54" s="29">
        <v>514.5</v>
      </c>
      <c r="G54" s="29">
        <v>0.56999999999999995</v>
      </c>
      <c r="H54" s="29">
        <v>4.1399999999999997</v>
      </c>
    </row>
    <row r="55" spans="2:8">
      <c r="B55" s="27" t="s">
        <v>117</v>
      </c>
      <c r="C55" s="27" t="s">
        <v>118</v>
      </c>
      <c r="D55" s="27" t="s">
        <v>102</v>
      </c>
      <c r="E55" s="32">
        <v>500000</v>
      </c>
      <c r="F55" s="29">
        <v>511.1</v>
      </c>
      <c r="G55" s="29">
        <v>0.56999999999999995</v>
      </c>
      <c r="H55" s="29">
        <v>4.2300000000000004</v>
      </c>
    </row>
    <row r="56" spans="2:8">
      <c r="B56" s="27" t="s">
        <v>119</v>
      </c>
      <c r="C56" s="27" t="s">
        <v>120</v>
      </c>
      <c r="D56" s="27" t="s">
        <v>102</v>
      </c>
      <c r="E56" s="32">
        <v>500000</v>
      </c>
      <c r="F56" s="29">
        <v>507.62</v>
      </c>
      <c r="G56" s="29">
        <v>0.56999999999999995</v>
      </c>
      <c r="H56" s="29">
        <v>3.79</v>
      </c>
    </row>
    <row r="57" spans="2:8">
      <c r="B57" s="27" t="s">
        <v>121</v>
      </c>
      <c r="C57" s="27" t="s">
        <v>122</v>
      </c>
      <c r="D57" s="27" t="s">
        <v>102</v>
      </c>
      <c r="E57" s="32">
        <v>500000</v>
      </c>
      <c r="F57" s="29">
        <v>507.22</v>
      </c>
      <c r="G57" s="29">
        <v>0.56999999999999995</v>
      </c>
      <c r="H57" s="29">
        <v>3.76</v>
      </c>
    </row>
    <row r="58" spans="2:8">
      <c r="B58" s="27" t="s">
        <v>123</v>
      </c>
      <c r="C58" s="27" t="s">
        <v>124</v>
      </c>
      <c r="D58" s="27" t="s">
        <v>102</v>
      </c>
      <c r="E58" s="32">
        <v>400000</v>
      </c>
      <c r="F58" s="29">
        <v>409.78</v>
      </c>
      <c r="G58" s="29">
        <v>0.46</v>
      </c>
      <c r="H58" s="29">
        <v>4.04</v>
      </c>
    </row>
    <row r="59" spans="2:8">
      <c r="B59" s="46" t="s">
        <v>125</v>
      </c>
      <c r="C59" s="46" t="s">
        <v>126</v>
      </c>
      <c r="D59" s="46" t="s">
        <v>102</v>
      </c>
      <c r="E59" s="47">
        <v>28300</v>
      </c>
      <c r="F59" s="48">
        <v>30.39</v>
      </c>
      <c r="G59" s="48">
        <v>0.03</v>
      </c>
      <c r="H59" s="48">
        <v>6.2</v>
      </c>
    </row>
    <row r="60" spans="2:8">
      <c r="B60" s="49" t="s">
        <v>91</v>
      </c>
      <c r="C60" s="49"/>
      <c r="D60" s="49"/>
      <c r="E60" s="50"/>
      <c r="F60" s="51">
        <f>SUM(F47:F59)</f>
        <v>16120.15</v>
      </c>
      <c r="G60" s="51">
        <f>SUM(G47:G59)</f>
        <v>18.010000000000002</v>
      </c>
      <c r="H60" s="51"/>
    </row>
    <row r="61" spans="2:8">
      <c r="B61" s="26" t="s">
        <v>127</v>
      </c>
      <c r="C61" s="27"/>
      <c r="D61" s="27"/>
      <c r="E61" s="28"/>
      <c r="F61" s="29"/>
      <c r="G61" s="29"/>
      <c r="H61" s="29"/>
    </row>
    <row r="62" spans="2:8">
      <c r="B62" s="27" t="s">
        <v>127</v>
      </c>
      <c r="C62" s="27"/>
      <c r="D62" s="27"/>
      <c r="E62" s="28"/>
      <c r="F62" s="29">
        <v>3276.8</v>
      </c>
      <c r="G62" s="29">
        <v>3.66</v>
      </c>
      <c r="H62" s="29"/>
    </row>
    <row r="63" spans="2:8">
      <c r="B63" s="39" t="s">
        <v>90</v>
      </c>
      <c r="C63" s="39"/>
      <c r="D63" s="39"/>
      <c r="E63" s="40"/>
      <c r="F63" s="41">
        <f>SUM(F61:F62)</f>
        <v>3276.8</v>
      </c>
      <c r="G63" s="41">
        <f>SUM(G61:G62)</f>
        <v>3.66</v>
      </c>
      <c r="H63" s="42"/>
    </row>
    <row r="64" spans="2:8">
      <c r="B64" s="52" t="s">
        <v>91</v>
      </c>
      <c r="C64" s="52"/>
      <c r="D64" s="52"/>
      <c r="E64" s="53"/>
      <c r="F64" s="54">
        <f>F63</f>
        <v>3276.8</v>
      </c>
      <c r="G64" s="54">
        <f>G63</f>
        <v>3.66</v>
      </c>
      <c r="H64" s="54"/>
    </row>
    <row r="65" spans="2:8">
      <c r="B65" s="55" t="s">
        <v>128</v>
      </c>
      <c r="C65" s="55"/>
      <c r="D65" s="55"/>
      <c r="E65" s="56"/>
      <c r="F65" s="57">
        <f>F66-(+F39+F45+F60+F64)</f>
        <v>2017.0500000000029</v>
      </c>
      <c r="G65" s="57">
        <f>G66-(+G39+G45+G60+G64)</f>
        <v>2.2099999999999937</v>
      </c>
      <c r="H65" s="57"/>
    </row>
    <row r="66" spans="2:8">
      <c r="B66" s="55" t="s">
        <v>129</v>
      </c>
      <c r="C66" s="55"/>
      <c r="D66" s="55"/>
      <c r="E66" s="56"/>
      <c r="F66" s="57">
        <v>89554.69</v>
      </c>
      <c r="G66" s="57">
        <v>100</v>
      </c>
      <c r="H66" s="57"/>
    </row>
    <row r="68" spans="2:8">
      <c r="B68" s="58" t="s">
        <v>130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2021-12-08T10:27:27Z</dcterms:created>
  <dcterms:modified xsi:type="dcterms:W3CDTF">2021-12-08T10:27:29Z</dcterms:modified>
</cp:coreProperties>
</file>