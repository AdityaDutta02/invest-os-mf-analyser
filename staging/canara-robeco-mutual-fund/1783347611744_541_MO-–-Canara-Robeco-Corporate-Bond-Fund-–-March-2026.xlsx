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6D8C3F5B-A9AB-4775-97A3-EBF6B3772EB8}" xr6:coauthVersionLast="47" xr6:coauthVersionMax="47" xr10:uidLastSave="{00000000-0000-0000-0000-000000000000}"/>
  <bookViews>
    <workbookView xWindow="-110" yWindow="-110" windowWidth="19420" windowHeight="10300" xr2:uid="{9F37D8DC-2B05-4874-AAD7-6B1444C9888B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 s="1"/>
  <c r="F36" i="1"/>
  <c r="F37" i="1" s="1"/>
  <c r="G33" i="1"/>
  <c r="F33" i="1"/>
  <c r="G30" i="1"/>
  <c r="F30" i="1"/>
  <c r="G23" i="1"/>
  <c r="G24" i="1" s="1"/>
  <c r="F23" i="1"/>
  <c r="F24" i="1" s="1"/>
  <c r="G18" i="1"/>
  <c r="G19" i="1" s="1"/>
  <c r="F18" i="1"/>
  <c r="F19" i="1" s="1"/>
  <c r="F38" i="1" l="1"/>
  <c r="G3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<sst xmlns="http://schemas.openxmlformats.org/spreadsheetml/2006/main" count="99" uniqueCount="79">
  <si>
    <t>CANARA ROBECO CORPORATE BOND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</si>
  <si>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</si>
  <si>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</si>
  <si>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</si>
  <si>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</si>
  <si>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</si>
  <si>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</si>
  <si>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</si>
  <si>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</si>
  <si>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</si>
  <si>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</si>
  <si>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</si>
  <si>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</si>
  <si>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</si>
  <si>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</si>
  <si>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</si>
  <si>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</si>
  <si>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</si>
  <si>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</si>
  <si>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</si>
  <si>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</si>
  <si>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7.63% Grasim industries Ltd (01/12/2027) **</t>
  </si>
  <si>
    <t>INE047A08208</t>
  </si>
  <si>
    <t>CRISIL AAA</t>
  </si>
  <si>
    <t>Relatively Low (Class I)</t>
  </si>
  <si>
    <t>8.23% Kotak Mahindra Prime Ltd (21/12/2026) **</t>
  </si>
  <si>
    <t>INE916DA7SP4</t>
  </si>
  <si>
    <t>7.51% REC Ltd (31/07/2026) **</t>
  </si>
  <si>
    <t>INE020B08EI8</t>
  </si>
  <si>
    <t>Moderate 
(Class II)</t>
  </si>
  <si>
    <t>7.44% Small Industries Development Bank Of India (04/09/2026) **</t>
  </si>
  <si>
    <t>INE556F08KI9</t>
  </si>
  <si>
    <t>CARE AAA</t>
  </si>
  <si>
    <t>7.68% LIC Housing Finance Ltd (29/05/2034) **</t>
  </si>
  <si>
    <t>INE115A07QR5</t>
  </si>
  <si>
    <t>Relatively High (Class III)</t>
  </si>
  <si>
    <t>B-III</t>
  </si>
  <si>
    <t>8.55% HDFC Bank Ltd (27/03/2029) **</t>
  </si>
  <si>
    <t>INE040A08724</t>
  </si>
  <si>
    <t>8.45% Indian Railway Finance Corporation Ltd (04/12/2028) **</t>
  </si>
  <si>
    <t>INE053F07AY7</t>
  </si>
  <si>
    <t>Benchmark: CRISIL Corporate Debt A-II Index</t>
  </si>
  <si>
    <t>8.40% Power Grid Corporation of India Ltd (27/05/2027) **</t>
  </si>
  <si>
    <t>INE752E07MT2</t>
  </si>
  <si>
    <t>7.70% Power Finance Corporation Ltd (15/04/2033) **</t>
  </si>
  <si>
    <t>INE134E08MI4</t>
  </si>
  <si>
    <t>7.48% National Bank For Agriculture &amp; Rural Development (15/09/2028)</t>
  </si>
  <si>
    <t>INE261F08EO7</t>
  </si>
  <si>
    <t>7.3763% BAJAJ FINANCE LTD 26-JUN-28</t>
  </si>
  <si>
    <t>INE296A07TJ4</t>
  </si>
  <si>
    <t>Sub Total</t>
  </si>
  <si>
    <t>Total</t>
  </si>
  <si>
    <t>Money Market Instruments</t>
  </si>
  <si>
    <t>Treasury Bill</t>
  </si>
  <si>
    <t>364 DTB (10-SEP-2026)</t>
  </si>
  <si>
    <t>IN002025Z245</t>
  </si>
  <si>
    <t xml:space="preserve"> Sovereign</t>
  </si>
  <si>
    <t>Government Bonds</t>
  </si>
  <si>
    <t>8.15% RAJASTHAN SDL 16-APR-29</t>
  </si>
  <si>
    <t>IN2920190021</t>
  </si>
  <si>
    <t>Sovereign</t>
  </si>
  <si>
    <t>7.18% MAHARASHTRA SDL 28-JUN-29</t>
  </si>
  <si>
    <t>IN2220170038</t>
  </si>
  <si>
    <t>6.79% GOI 2031 (30-DEC-2031)</t>
  </si>
  <si>
    <t>IN0020240191</t>
  </si>
  <si>
    <t>6.68% GOI 2033 (27-JAN-2033)</t>
  </si>
  <si>
    <t>IN0020250133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</si>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</sst>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4" fontId="11" fillId="3" borderId="0" xfId="0" applyNumberFormat="1" applyFont="1" applyFill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4430-2887-417A-AB13-45578BB6F020}">
  <dimension ref="B1:S51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2.26953125" style="4" bestFit="1" customWidth="1"/>
    <col min="4" max="4" width="20.81640625" style="4" bestFit="1" customWidth="1"/>
    <col min="5" max="5" width="7.26953125" style="4" bestFit="1" customWidth="1"/>
    <col min="6" max="6" width="14.54296875" style="9" bestFit="1" customWidth="1"/>
    <col min="7" max="7" width="7.453125" style="9" bestFit="1" customWidth="1"/>
    <col min="8" max="8" width="6.7265625" style="9" bestFit="1" customWidth="1"/>
    <col min="9" max="9" width="6.7265625" style="9" customWidth="1"/>
    <col min="10" max="10" width="9.1796875" style="4"/>
    <col min="11" max="11" width="31.54296875" style="4" customWidth="1"/>
    <col min="12" max="12" width="35.54296875" style="4" customWidth="1"/>
    <col min="13" max="14" width="31.453125" style="4" customWidth="1"/>
    <col min="15" max="15" width="9.1796875" style="4"/>
    <col min="16" max="16" width="13" style="4" customWidth="1"/>
    <col min="17" max="16384" width="9.1796875" style="4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  <c r="I1" s="3"/>
    </row>
    <row r="3" spans="2:19" ht="16" thickBot="1">
      <c r="B3" s="5" t="s">
        <v>1</v>
      </c>
      <c r="C3" s="6"/>
      <c r="D3" s="7"/>
      <c r="E3" s="7"/>
      <c r="F3" s="8"/>
      <c r="G3" s="8"/>
    </row>
    <row r="4" spans="2:19" ht="34.5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4"/>
      <c r="K4" s="15" t="s">
        <v>9</v>
      </c>
      <c r="L4" s="15" t="s">
        <v>10</v>
      </c>
      <c r="M4" s="15" t="s">
        <v>11</v>
      </c>
      <c r="N4" s="15" t="s">
        <v>12</v>
      </c>
      <c r="P4" s="16" t="s">
        <v>13</v>
      </c>
      <c r="Q4" s="17"/>
      <c r="R4" s="17"/>
      <c r="S4" s="18"/>
    </row>
    <row r="5" spans="2:19">
      <c r="B5" s="19" t="s">
        <v>14</v>
      </c>
      <c r="C5" s="20"/>
      <c r="D5" s="20"/>
      <c r="E5" s="20"/>
      <c r="F5" s="21"/>
      <c r="G5" s="21"/>
      <c r="H5" s="21"/>
      <c r="K5" s="22" t="e" vm="1">
        <v>#VALUE!</v>
      </c>
      <c r="L5" s="23" t="e" vm="2">
        <v>#VALUE!</v>
      </c>
      <c r="M5" s="22" t="e" vm="1">
        <v>#VALUE!</v>
      </c>
      <c r="N5" s="23" t="e" vm="2">
        <v>#VALUE!</v>
      </c>
      <c r="P5" s="24" t="s">
        <v>15</v>
      </c>
      <c r="Q5" s="25" t="s">
        <v>16</v>
      </c>
      <c r="R5" s="25" t="s">
        <v>17</v>
      </c>
      <c r="S5" s="25" t="s">
        <v>18</v>
      </c>
    </row>
    <row r="6" spans="2:19" ht="23">
      <c r="B6" s="26" t="s">
        <v>19</v>
      </c>
      <c r="C6" s="27"/>
      <c r="D6" s="27"/>
      <c r="E6" s="27"/>
      <c r="F6" s="28"/>
      <c r="G6" s="28"/>
      <c r="H6" s="28"/>
      <c r="K6" s="29"/>
      <c r="L6" s="23"/>
      <c r="M6" s="29"/>
      <c r="N6" s="23"/>
      <c r="P6" s="30" t="s">
        <v>20</v>
      </c>
      <c r="Q6" s="25"/>
      <c r="R6" s="25"/>
      <c r="S6" s="25"/>
    </row>
    <row r="7" spans="2:19">
      <c r="B7" s="27" t="s">
        <v>21</v>
      </c>
      <c r="C7" s="27" t="s">
        <v>22</v>
      </c>
      <c r="D7" s="27" t="s">
        <v>23</v>
      </c>
      <c r="E7" s="31">
        <v>100</v>
      </c>
      <c r="F7" s="28">
        <v>1003.58</v>
      </c>
      <c r="G7" s="28">
        <v>9.25</v>
      </c>
      <c r="H7" s="28">
        <v>7.36</v>
      </c>
      <c r="K7" s="29"/>
      <c r="L7" s="23"/>
      <c r="M7" s="29"/>
      <c r="N7" s="23"/>
      <c r="P7" s="32" t="s">
        <v>24</v>
      </c>
      <c r="Q7" s="33"/>
      <c r="R7" s="33"/>
      <c r="S7" s="33"/>
    </row>
    <row r="8" spans="2:19">
      <c r="B8" s="27" t="s">
        <v>25</v>
      </c>
      <c r="C8" s="27" t="s">
        <v>26</v>
      </c>
      <c r="D8" s="27" t="s">
        <v>23</v>
      </c>
      <c r="E8" s="31">
        <v>1000</v>
      </c>
      <c r="F8" s="28">
        <v>1002.16</v>
      </c>
      <c r="G8" s="28">
        <v>9.23</v>
      </c>
      <c r="H8" s="28">
        <v>7.74</v>
      </c>
      <c r="K8" s="29"/>
      <c r="L8" s="23"/>
      <c r="M8" s="29"/>
      <c r="N8" s="23"/>
      <c r="P8" s="32"/>
      <c r="Q8" s="34"/>
      <c r="R8" s="34"/>
      <c r="S8" s="34"/>
    </row>
    <row r="9" spans="2:19">
      <c r="B9" s="27" t="s">
        <v>27</v>
      </c>
      <c r="C9" s="27" t="s">
        <v>28</v>
      </c>
      <c r="D9" s="27" t="s">
        <v>23</v>
      </c>
      <c r="E9" s="31">
        <v>1000</v>
      </c>
      <c r="F9" s="28">
        <v>998.68</v>
      </c>
      <c r="G9" s="28">
        <v>9.1999999999999993</v>
      </c>
      <c r="H9" s="28">
        <v>7.54</v>
      </c>
      <c r="K9" s="29"/>
      <c r="L9" s="23"/>
      <c r="M9" s="29"/>
      <c r="N9" s="23"/>
      <c r="P9" s="32" t="s">
        <v>29</v>
      </c>
      <c r="Q9" s="33"/>
      <c r="R9" s="33"/>
      <c r="S9" s="33"/>
    </row>
    <row r="10" spans="2:19">
      <c r="B10" s="27" t="s">
        <v>30</v>
      </c>
      <c r="C10" s="27" t="s">
        <v>31</v>
      </c>
      <c r="D10" s="27" t="s">
        <v>32</v>
      </c>
      <c r="E10" s="31">
        <v>1000</v>
      </c>
      <c r="F10" s="28">
        <v>998.34</v>
      </c>
      <c r="G10" s="28">
        <v>9.1999999999999993</v>
      </c>
      <c r="H10" s="28">
        <v>7.52</v>
      </c>
      <c r="K10" s="29"/>
      <c r="L10" s="23"/>
      <c r="M10" s="29"/>
      <c r="N10" s="23"/>
      <c r="P10" s="32"/>
      <c r="Q10" s="34"/>
      <c r="R10" s="34"/>
      <c r="S10" s="34"/>
    </row>
    <row r="11" spans="2:19">
      <c r="B11" s="27" t="s">
        <v>33</v>
      </c>
      <c r="C11" s="27" t="s">
        <v>34</v>
      </c>
      <c r="D11" s="27" t="s">
        <v>23</v>
      </c>
      <c r="E11" s="31">
        <v>1000</v>
      </c>
      <c r="F11" s="28">
        <v>996.67</v>
      </c>
      <c r="G11" s="28">
        <v>9.18</v>
      </c>
      <c r="H11" s="28">
        <v>7.73</v>
      </c>
      <c r="K11" s="29"/>
      <c r="L11" s="23"/>
      <c r="M11" s="29"/>
      <c r="N11" s="23"/>
      <c r="P11" s="32" t="s">
        <v>35</v>
      </c>
      <c r="Q11" s="33"/>
      <c r="R11" s="35" t="s">
        <v>36</v>
      </c>
      <c r="S11" s="33"/>
    </row>
    <row r="12" spans="2:19">
      <c r="B12" s="27" t="s">
        <v>37</v>
      </c>
      <c r="C12" s="27" t="s">
        <v>38</v>
      </c>
      <c r="D12" s="27" t="s">
        <v>23</v>
      </c>
      <c r="E12" s="31">
        <v>50</v>
      </c>
      <c r="F12" s="28">
        <v>512.39</v>
      </c>
      <c r="G12" s="28">
        <v>4.72</v>
      </c>
      <c r="H12" s="28">
        <v>7.59</v>
      </c>
      <c r="K12" s="36"/>
      <c r="L12" s="23"/>
      <c r="M12" s="36"/>
      <c r="N12" s="23"/>
      <c r="P12" s="32"/>
      <c r="Q12" s="34"/>
      <c r="R12" s="37"/>
      <c r="S12" s="34"/>
    </row>
    <row r="13" spans="2:19">
      <c r="B13" s="27" t="s">
        <v>39</v>
      </c>
      <c r="C13" s="27" t="s">
        <v>40</v>
      </c>
      <c r="D13" s="27" t="s">
        <v>23</v>
      </c>
      <c r="E13" s="31">
        <v>50</v>
      </c>
      <c r="F13" s="28">
        <v>511.39</v>
      </c>
      <c r="G13" s="28">
        <v>4.71</v>
      </c>
      <c r="H13" s="28">
        <v>7.46</v>
      </c>
      <c r="K13" s="38"/>
      <c r="L13" s="4" t="s">
        <v>41</v>
      </c>
      <c r="M13" s="38"/>
      <c r="N13" s="38"/>
    </row>
    <row r="14" spans="2:19">
      <c r="B14" s="27" t="s">
        <v>42</v>
      </c>
      <c r="C14" s="27" t="s">
        <v>43</v>
      </c>
      <c r="D14" s="27" t="s">
        <v>23</v>
      </c>
      <c r="E14" s="31">
        <v>50</v>
      </c>
      <c r="F14" s="28">
        <v>505.63</v>
      </c>
      <c r="G14" s="28">
        <v>4.66</v>
      </c>
      <c r="H14" s="28">
        <v>7.31</v>
      </c>
    </row>
    <row r="15" spans="2:19">
      <c r="B15" s="27" t="s">
        <v>44</v>
      </c>
      <c r="C15" s="27" t="s">
        <v>45</v>
      </c>
      <c r="D15" s="27" t="s">
        <v>23</v>
      </c>
      <c r="E15" s="31">
        <v>500</v>
      </c>
      <c r="F15" s="28">
        <v>501.74</v>
      </c>
      <c r="G15" s="28">
        <v>4.62</v>
      </c>
      <c r="H15" s="28">
        <v>7.64</v>
      </c>
    </row>
    <row r="16" spans="2:19">
      <c r="B16" s="27" t="s">
        <v>46</v>
      </c>
      <c r="C16" s="27" t="s">
        <v>47</v>
      </c>
      <c r="D16" s="27" t="s">
        <v>23</v>
      </c>
      <c r="E16" s="31">
        <v>500</v>
      </c>
      <c r="F16" s="28">
        <v>499.01</v>
      </c>
      <c r="G16" s="28">
        <v>4.5999999999999996</v>
      </c>
      <c r="H16" s="28">
        <v>7.54</v>
      </c>
    </row>
    <row r="17" spans="2:10">
      <c r="B17" s="27" t="s">
        <v>48</v>
      </c>
      <c r="C17" s="27" t="s">
        <v>49</v>
      </c>
      <c r="D17" s="27" t="s">
        <v>23</v>
      </c>
      <c r="E17" s="31">
        <v>500</v>
      </c>
      <c r="F17" s="28">
        <v>495.53</v>
      </c>
      <c r="G17" s="28">
        <v>4.57</v>
      </c>
      <c r="H17" s="28">
        <v>7.79</v>
      </c>
    </row>
    <row r="18" spans="2:10">
      <c r="B18" s="39" t="s">
        <v>50</v>
      </c>
      <c r="C18" s="39"/>
      <c r="D18" s="39"/>
      <c r="E18" s="39"/>
      <c r="F18" s="40">
        <f>SUM(F6:F17)</f>
        <v>8025.1200000000008</v>
      </c>
      <c r="G18" s="40">
        <f>SUM(G6:G17)</f>
        <v>73.94</v>
      </c>
      <c r="H18" s="41"/>
      <c r="I18" s="42"/>
      <c r="J18" s="43"/>
    </row>
    <row r="19" spans="2:10">
      <c r="B19" s="44" t="s">
        <v>51</v>
      </c>
      <c r="C19" s="44"/>
      <c r="D19" s="44"/>
      <c r="E19" s="44"/>
      <c r="F19" s="45">
        <f>F18</f>
        <v>8025.1200000000008</v>
      </c>
      <c r="G19" s="45">
        <f>G18</f>
        <v>73.94</v>
      </c>
      <c r="H19" s="45"/>
      <c r="I19" s="42"/>
      <c r="J19" s="43"/>
    </row>
    <row r="20" spans="2:10">
      <c r="B20" s="26" t="s">
        <v>52</v>
      </c>
      <c r="C20" s="27"/>
      <c r="D20" s="27"/>
      <c r="E20" s="27"/>
      <c r="F20" s="28"/>
      <c r="G20" s="28"/>
      <c r="H20" s="28"/>
    </row>
    <row r="21" spans="2:10">
      <c r="B21" s="26" t="s">
        <v>53</v>
      </c>
      <c r="C21" s="27"/>
      <c r="D21" s="27"/>
      <c r="E21" s="27"/>
      <c r="F21" s="28"/>
      <c r="G21" s="28"/>
      <c r="H21" s="28"/>
    </row>
    <row r="22" spans="2:10">
      <c r="B22" s="27" t="s">
        <v>54</v>
      </c>
      <c r="C22" s="27" t="s">
        <v>55</v>
      </c>
      <c r="D22" s="27" t="s">
        <v>56</v>
      </c>
      <c r="E22" s="31">
        <v>100000</v>
      </c>
      <c r="F22" s="28">
        <v>97.61</v>
      </c>
      <c r="G22" s="28">
        <v>0.9</v>
      </c>
      <c r="H22" s="28">
        <v>5.53</v>
      </c>
    </row>
    <row r="23" spans="2:10">
      <c r="B23" s="39" t="s">
        <v>50</v>
      </c>
      <c r="C23" s="39"/>
      <c r="D23" s="39"/>
      <c r="E23" s="39"/>
      <c r="F23" s="40">
        <f>SUM(F21:F22)</f>
        <v>97.61</v>
      </c>
      <c r="G23" s="40">
        <f>SUM(G21:G22)</f>
        <v>0.9</v>
      </c>
      <c r="H23" s="41"/>
      <c r="I23" s="42"/>
      <c r="J23" s="43"/>
    </row>
    <row r="24" spans="2:10">
      <c r="B24" s="44" t="s">
        <v>51</v>
      </c>
      <c r="C24" s="44"/>
      <c r="D24" s="44"/>
      <c r="E24" s="44"/>
      <c r="F24" s="45">
        <f>+F23</f>
        <v>97.61</v>
      </c>
      <c r="G24" s="45">
        <f>+G23</f>
        <v>0.9</v>
      </c>
      <c r="H24" s="45"/>
      <c r="I24" s="42"/>
      <c r="J24" s="43"/>
    </row>
    <row r="25" spans="2:10">
      <c r="B25" s="26" t="s">
        <v>57</v>
      </c>
      <c r="C25" s="27"/>
      <c r="D25" s="27"/>
      <c r="E25" s="27"/>
      <c r="F25" s="28"/>
      <c r="G25" s="28"/>
      <c r="H25" s="28"/>
    </row>
    <row r="26" spans="2:10">
      <c r="B26" s="27" t="s">
        <v>58</v>
      </c>
      <c r="C26" s="27" t="s">
        <v>59</v>
      </c>
      <c r="D26" s="27" t="s">
        <v>60</v>
      </c>
      <c r="E26" s="31">
        <v>500000</v>
      </c>
      <c r="F26" s="28">
        <v>516.04999999999995</v>
      </c>
      <c r="G26" s="28">
        <v>4.75</v>
      </c>
      <c r="H26" s="28">
        <v>7.08</v>
      </c>
    </row>
    <row r="27" spans="2:10">
      <c r="B27" s="27" t="s">
        <v>61</v>
      </c>
      <c r="C27" s="27" t="s">
        <v>62</v>
      </c>
      <c r="D27" s="27" t="s">
        <v>60</v>
      </c>
      <c r="E27" s="31">
        <v>500000</v>
      </c>
      <c r="F27" s="28">
        <v>504.15</v>
      </c>
      <c r="G27" s="28">
        <v>4.6500000000000004</v>
      </c>
      <c r="H27" s="28">
        <v>7</v>
      </c>
    </row>
    <row r="28" spans="2:10">
      <c r="B28" s="27" t="s">
        <v>63</v>
      </c>
      <c r="C28" s="27" t="s">
        <v>64</v>
      </c>
      <c r="D28" s="27" t="s">
        <v>60</v>
      </c>
      <c r="E28" s="31">
        <v>500000</v>
      </c>
      <c r="F28" s="28">
        <v>496.09</v>
      </c>
      <c r="G28" s="28">
        <v>4.57</v>
      </c>
      <c r="H28" s="28">
        <v>7.08</v>
      </c>
    </row>
    <row r="29" spans="2:10">
      <c r="B29" s="46" t="s">
        <v>65</v>
      </c>
      <c r="C29" s="46" t="s">
        <v>66</v>
      </c>
      <c r="D29" s="46" t="s">
        <v>60</v>
      </c>
      <c r="E29" s="47">
        <v>500000</v>
      </c>
      <c r="F29" s="48">
        <v>492.95</v>
      </c>
      <c r="G29" s="48">
        <v>4.54</v>
      </c>
      <c r="H29" s="48">
        <v>7.06</v>
      </c>
    </row>
    <row r="30" spans="2:10">
      <c r="B30" s="49" t="s">
        <v>51</v>
      </c>
      <c r="C30" s="49"/>
      <c r="D30" s="49"/>
      <c r="E30" s="49"/>
      <c r="F30" s="50">
        <f>SUM(F26:F29)</f>
        <v>2009.24</v>
      </c>
      <c r="G30" s="50">
        <f>SUM(G26:G29)</f>
        <v>18.510000000000002</v>
      </c>
      <c r="H30" s="50"/>
      <c r="I30" s="42"/>
      <c r="J30" s="43"/>
    </row>
    <row r="31" spans="2:10">
      <c r="B31" s="26" t="s">
        <v>67</v>
      </c>
      <c r="C31" s="27"/>
      <c r="D31" s="27"/>
      <c r="E31" s="27"/>
      <c r="F31" s="28"/>
      <c r="G31" s="28"/>
      <c r="H31" s="28"/>
    </row>
    <row r="32" spans="2:10">
      <c r="B32" s="46" t="s">
        <v>68</v>
      </c>
      <c r="C32" s="46" t="s">
        <v>69</v>
      </c>
      <c r="D32" s="46" t="s">
        <v>67</v>
      </c>
      <c r="E32" s="47">
        <v>488.87599999999998</v>
      </c>
      <c r="F32" s="48">
        <v>57.16</v>
      </c>
      <c r="G32" s="48">
        <v>0.53</v>
      </c>
      <c r="H32" s="48">
        <v>5.72</v>
      </c>
    </row>
    <row r="33" spans="2:10">
      <c r="B33" s="49" t="s">
        <v>51</v>
      </c>
      <c r="C33" s="49"/>
      <c r="D33" s="49"/>
      <c r="E33" s="49"/>
      <c r="F33" s="50">
        <f>SUM(F32:F32)</f>
        <v>57.16</v>
      </c>
      <c r="G33" s="50">
        <f>SUM(G32:G32)</f>
        <v>0.53</v>
      </c>
      <c r="H33" s="50"/>
      <c r="I33" s="42"/>
      <c r="J33" s="43"/>
    </row>
    <row r="34" spans="2:10">
      <c r="B34" s="26" t="s">
        <v>70</v>
      </c>
      <c r="C34" s="27"/>
      <c r="D34" s="27"/>
      <c r="E34" s="27"/>
      <c r="F34" s="28"/>
      <c r="G34" s="28"/>
      <c r="H34" s="28"/>
    </row>
    <row r="35" spans="2:10">
      <c r="B35" s="27" t="s">
        <v>70</v>
      </c>
      <c r="C35" s="27"/>
      <c r="D35" s="27"/>
      <c r="E35" s="27"/>
      <c r="F35" s="28">
        <v>276.45</v>
      </c>
      <c r="G35" s="28">
        <v>2.5499999999999998</v>
      </c>
      <c r="H35" s="28"/>
    </row>
    <row r="36" spans="2:10">
      <c r="B36" s="39" t="s">
        <v>50</v>
      </c>
      <c r="C36" s="39"/>
      <c r="D36" s="39"/>
      <c r="E36" s="39"/>
      <c r="F36" s="40">
        <f>SUM(F34:F35)</f>
        <v>276.45</v>
      </c>
      <c r="G36" s="40">
        <f>SUM(G34:G35)</f>
        <v>2.5499999999999998</v>
      </c>
      <c r="H36" s="41"/>
      <c r="I36" s="42"/>
      <c r="J36" s="43"/>
    </row>
    <row r="37" spans="2:10">
      <c r="B37" s="51" t="s">
        <v>51</v>
      </c>
      <c r="C37" s="51"/>
      <c r="D37" s="51"/>
      <c r="E37" s="51"/>
      <c r="F37" s="52">
        <f>F36</f>
        <v>276.45</v>
      </c>
      <c r="G37" s="52">
        <f>G36</f>
        <v>2.5499999999999998</v>
      </c>
      <c r="H37" s="52"/>
      <c r="I37" s="42"/>
      <c r="J37" s="43"/>
    </row>
    <row r="38" spans="2:10">
      <c r="B38" s="53" t="s">
        <v>71</v>
      </c>
      <c r="C38" s="53"/>
      <c r="D38" s="53"/>
      <c r="E38" s="53"/>
      <c r="F38" s="54">
        <f>F39-(+F19+F24+F30+F33+F37)</f>
        <v>387.15999999999804</v>
      </c>
      <c r="G38" s="54">
        <f>G39-(+G19+G24+G30+G33+G37)</f>
        <v>3.5699999999999932</v>
      </c>
      <c r="H38" s="54"/>
      <c r="I38" s="42"/>
      <c r="J38" s="43"/>
    </row>
    <row r="39" spans="2:10">
      <c r="B39" s="53" t="s">
        <v>72</v>
      </c>
      <c r="C39" s="53"/>
      <c r="D39" s="53"/>
      <c r="E39" s="53"/>
      <c r="F39" s="54">
        <v>10852.74</v>
      </c>
      <c r="G39" s="54">
        <v>100</v>
      </c>
      <c r="H39" s="54"/>
      <c r="I39" s="42"/>
      <c r="J39" s="43"/>
    </row>
    <row r="41" spans="2:10">
      <c r="B41" s="43" t="s">
        <v>73</v>
      </c>
    </row>
    <row r="42" spans="2:10" ht="12" thickBot="1"/>
    <row r="43" spans="2:10" ht="12.5" thickTop="1" thickBot="1">
      <c r="B43" s="55" t="s">
        <v>74</v>
      </c>
      <c r="C43" s="56">
        <v>2.2423000000000002</v>
      </c>
    </row>
    <row r="44" spans="2:10" ht="12.5" thickTop="1" thickBot="1"/>
    <row r="45" spans="2:10" ht="12.5" thickTop="1" thickBot="1">
      <c r="B45" s="55" t="s">
        <v>75</v>
      </c>
      <c r="C45" s="57">
        <v>7.3899999999999993E-2</v>
      </c>
    </row>
    <row r="46" spans="2:10" ht="12.5" thickTop="1" thickBot="1"/>
    <row r="47" spans="2:10" ht="12.5" thickTop="1" thickBot="1">
      <c r="B47" s="55" t="s">
        <v>76</v>
      </c>
      <c r="C47" s="56">
        <v>2.3965999999999998</v>
      </c>
    </row>
    <row r="48" spans="2:10" ht="12" thickTop="1"/>
    <row r="49" spans="2:2">
      <c r="B49" s="43" t="s">
        <v>77</v>
      </c>
    </row>
    <row r="51" spans="2:2" ht="14.5">
      <c r="B51" s="58" t="s">
        <v>78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1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5D221FEF-951D-420B-B3B6-22034133BD7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14:31:34</KDate>
  <Classification>PUBLIC</Classification>
  <Subclassification/>
  <HostName>MUMCMP01346</HostName>
  <Domain_User>CANARAROBECOMF/396</Domain_User>
  <IPAdd>192.9.198.198</IPAdd>
  <FilePath>Book80</FilePath>
  <KID>1098191A8D7D639113418948362887</KID>
  <UniqueName/>
  <Suggested/>
  <Justification/>
  <KlassifyGUID/>
</Klassify>
</file>

<file path=customXml/itemProps1.xml><?xml version="1.0" encoding="utf-8"?>
<ds:datastoreItem xmlns:ds="http://schemas.openxmlformats.org/officeDocument/2006/customXml" ds:itemID="{F93919D9-E3CD-41BF-99E8-2DCF10BA1D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2026-04-09T09:01:28Z</dcterms:created>
  <dcterms:modified xsi:type="dcterms:W3CDTF">2026-04-09T09:01:35Z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1098191A8D7D639113418948362887</vt:lpwstr>
  </property>
</Properties>
</file>