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Jun 25\"/>
    </mc:Choice>
  </mc:AlternateContent>
  <xr:revisionPtr revIDLastSave="0" documentId="8_{D7EF457F-4D58-4B2F-BB5C-AA60AD21C4FA}" xr6:coauthVersionLast="47" xr6:coauthVersionMax="47" xr10:uidLastSave="{00000000-0000-0000-0000-000000000000}"/>
  <bookViews>
    <workbookView xWindow="-120" yWindow="-120" windowWidth="20730" windowHeight="11040" xr2:uid="{8DE2D773-A036-498F-9AA2-0031E1AC46BF}"/>
  </bookViews>
  <sheets>
    <sheet name="F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1" l="1"/>
  <c r="G41" i="1" s="1"/>
  <c r="F40" i="1"/>
  <c r="F41" i="1" s="1"/>
  <c r="G36" i="1"/>
  <c r="G37" i="1" s="1"/>
  <c r="G42" i="1" s="1"/>
  <c r="F36" i="1"/>
  <c r="F37" i="1" s="1"/>
  <c r="F42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<sst xmlns="http://schemas.openxmlformats.org/spreadsheetml/2006/main" count="142" uniqueCount="103">
  <si>
    <t>CANARA ROBECO FOCUSED FUND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</si>
  <si>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</si>
  <si>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</si>
  <si>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</si>
  <si>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</si>
  <si>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</si>
  <si>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</si>
  <si>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</si>
  <si>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</si>
  <si>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June'25</t>
  </si>
  <si>
    <t>Benchmark Risk-O-Meter Level- June'25</t>
  </si>
  <si>
    <t>Scheme Risk-O-Meter Level- May'25</t>
  </si>
  <si>
    <t>Benchmark Risk-O-Meter Level- May'25</t>
  </si>
  <si>
    <t>Equity &amp; Equity related</t>
  </si>
  <si>
    <t>(a) Listed / awaiting listing on Stock Exchanges</t>
  </si>
  <si>
    <t>ICICI Bank Ltd</t>
  </si>
  <si>
    <t>INE090A01021</t>
  </si>
  <si>
    <t>Banks</t>
  </si>
  <si>
    <t>Large Cap</t>
  </si>
  <si>
    <t>HDFC Bank Ltd</t>
  </si>
  <si>
    <t>INE040A01034</t>
  </si>
  <si>
    <t>Infosys Ltd</t>
  </si>
  <si>
    <t>INE009A01021</t>
  </si>
  <si>
    <t>IT - Software</t>
  </si>
  <si>
    <t>Bharti Airtel Ltd</t>
  </si>
  <si>
    <t>INE397D01024</t>
  </si>
  <si>
    <t>Telecom - Services</t>
  </si>
  <si>
    <t>Reliance Industries Ltd</t>
  </si>
  <si>
    <t>INE002A01018</t>
  </si>
  <si>
    <t>Petroleum Products</t>
  </si>
  <si>
    <t>Divi's Laboratories Ltd</t>
  </si>
  <si>
    <t>INE361B01024</t>
  </si>
  <si>
    <t>Pharmaceuticals &amp; Biotechnology</t>
  </si>
  <si>
    <t>Larsen &amp; Toubro Ltd</t>
  </si>
  <si>
    <t>INE018A01030</t>
  </si>
  <si>
    <t>Construction</t>
  </si>
  <si>
    <t>Benchmark: BSE 500 TRI</t>
  </si>
  <si>
    <t>Eternal Ltd</t>
  </si>
  <si>
    <t>INE758T01015</t>
  </si>
  <si>
    <t>Retailing</t>
  </si>
  <si>
    <t>Trent Ltd</t>
  </si>
  <si>
    <t>INE849A01020</t>
  </si>
  <si>
    <t>Bajaj Finance Ltd</t>
  </si>
  <si>
    <t>INE296A01032</t>
  </si>
  <si>
    <t>Finance</t>
  </si>
  <si>
    <t>Max Healthcare Institute Ltd</t>
  </si>
  <si>
    <t>INE027H01010</t>
  </si>
  <si>
    <t>Healthcare Services</t>
  </si>
  <si>
    <t>TVS Motor Co Ltd</t>
  </si>
  <si>
    <t>INE494B01023</t>
  </si>
  <si>
    <t>Automobiles</t>
  </si>
  <si>
    <t>Ge Vernova T&amp;D India Ltd</t>
  </si>
  <si>
    <t>INE200A01026</t>
  </si>
  <si>
    <t>Electrical Equipment</t>
  </si>
  <si>
    <t>Mid Cap</t>
  </si>
  <si>
    <t>Uno Minda Ltd</t>
  </si>
  <si>
    <t>INE405E01023</t>
  </si>
  <si>
    <t>Auto Components</t>
  </si>
  <si>
    <t>Ultratech Cement Ltd</t>
  </si>
  <si>
    <t>INE481G01011</t>
  </si>
  <si>
    <t>Cement &amp; Cement Products</t>
  </si>
  <si>
    <t>Bharat Electronics Ltd</t>
  </si>
  <si>
    <t>INE263A01024</t>
  </si>
  <si>
    <t>Aerospace &amp; Defense</t>
  </si>
  <si>
    <t>Avenue Supermarts Ltd</t>
  </si>
  <si>
    <t>INE192R01011</t>
  </si>
  <si>
    <t>Axis Bank Ltd</t>
  </si>
  <si>
    <t>INE238A01034</t>
  </si>
  <si>
    <t>Tata Consultancy Services Ltd</t>
  </si>
  <si>
    <t>INE467B01029</t>
  </si>
  <si>
    <t>Dr. Agarwals Health Care Ltd</t>
  </si>
  <si>
    <t>INE943P01029</t>
  </si>
  <si>
    <t>Small Cap</t>
  </si>
  <si>
    <t>Aditya Birla Real Estate Ltd</t>
  </si>
  <si>
    <t>INE055A01016</t>
  </si>
  <si>
    <t>Paper, Forest &amp; Jute Products</t>
  </si>
  <si>
    <t>Varun Beverages Ltd</t>
  </si>
  <si>
    <t>INE200M01039</t>
  </si>
  <si>
    <t>Beverages</t>
  </si>
  <si>
    <t>Maruti Suzuki India Ltd</t>
  </si>
  <si>
    <t>INE585B01010</t>
  </si>
  <si>
    <t>Mankind Pharma Ltd</t>
  </si>
  <si>
    <t>INE634S01028</t>
  </si>
  <si>
    <t>SBI Life Insurance Co Ltd</t>
  </si>
  <si>
    <t>INE123W01016</t>
  </si>
  <si>
    <t>Insurance</t>
  </si>
  <si>
    <t>Indian Hotels Co Ltd</t>
  </si>
  <si>
    <t>INE053A01029</t>
  </si>
  <si>
    <t>Leisure Services</t>
  </si>
  <si>
    <t>Interglobe Aviation Ltd</t>
  </si>
  <si>
    <t>INE646L01027</t>
  </si>
  <si>
    <t>Transport Services</t>
  </si>
  <si>
    <t>State Bank of India</t>
  </si>
  <si>
    <t>INE062A01020</t>
  </si>
  <si>
    <t>ICICI Lombard General Insurance Co Ltd</t>
  </si>
  <si>
    <t>INE765G01017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</si>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</sst>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3736-277C-44DC-A987-C546A761DCAD}">
  <dimension ref="B1:M47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55" style="3" bestFit="1" customWidth="1"/>
    <col min="3" max="3" width="13.5703125" style="3" bestFit="1" customWidth="1"/>
    <col min="4" max="4" width="27.85546875" style="3" bestFit="1" customWidth="1"/>
    <col min="5" max="5" width="8.85546875" style="3" bestFit="1" customWidth="1"/>
    <col min="6" max="6" width="15.28515625" style="38" bestFit="1" customWidth="1"/>
    <col min="7" max="7" width="7.42578125" style="38" bestFit="1" customWidth="1"/>
    <col min="8" max="8" width="13.5703125" style="3" customWidth="1"/>
    <col min="9" max="9" width="9.140625" style="3"/>
    <col min="10" max="10" width="31.5703125" style="3" customWidth="1"/>
    <col min="11" max="11" width="35.5703125" style="3" customWidth="1"/>
    <col min="12" max="12" width="31.42578125" style="3" customWidth="1"/>
    <col min="13" max="13" width="35.5703125" style="3" customWidth="1"/>
    <col min="14" max="16384" width="9.140625" style="3"/>
  </cols>
  <sheetData>
    <row r="1" spans="2:13" ht="21" customHeight="1" x14ac:dyDescent="0.2">
      <c r="B1" s="1" t="s">
        <v>0</v>
      </c>
      <c r="C1" s="2"/>
      <c r="D1" s="2"/>
      <c r="E1" s="2"/>
      <c r="F1" s="2"/>
      <c r="G1" s="2"/>
    </row>
    <row r="3" spans="2:13" ht="16.5" thickBot="1" x14ac:dyDescent="0.25">
      <c r="B3" s="4" t="s">
        <v>1</v>
      </c>
      <c r="C3" s="5"/>
      <c r="D3" s="6"/>
      <c r="E3" s="6"/>
      <c r="F3" s="7"/>
      <c r="G3" s="7"/>
    </row>
    <row r="4" spans="2:13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 x14ac:dyDescent="0.2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 x14ac:dyDescent="0.2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 x14ac:dyDescent="0.2">
      <c r="B7" s="21" t="s">
        <v>15</v>
      </c>
      <c r="C7" s="18" t="s">
        <v>16</v>
      </c>
      <c r="D7" s="18" t="s">
        <v>17</v>
      </c>
      <c r="E7" s="22">
        <v>1625000</v>
      </c>
      <c r="F7" s="19">
        <v>23494.25</v>
      </c>
      <c r="G7" s="19">
        <v>8.56</v>
      </c>
      <c r="H7" s="19" t="s">
        <v>18</v>
      </c>
      <c r="J7" s="20"/>
      <c r="K7" s="20"/>
      <c r="L7" s="20"/>
      <c r="M7" s="20"/>
    </row>
    <row r="8" spans="2:13" x14ac:dyDescent="0.2">
      <c r="B8" s="21" t="s">
        <v>19</v>
      </c>
      <c r="C8" s="18" t="s">
        <v>20</v>
      </c>
      <c r="D8" s="18" t="s">
        <v>17</v>
      </c>
      <c r="E8" s="22">
        <v>1107500</v>
      </c>
      <c r="F8" s="19">
        <v>22166.61</v>
      </c>
      <c r="G8" s="19">
        <v>8.08</v>
      </c>
      <c r="H8" s="19" t="s">
        <v>18</v>
      </c>
      <c r="J8" s="20"/>
      <c r="K8" s="20"/>
      <c r="L8" s="20"/>
      <c r="M8" s="20"/>
    </row>
    <row r="9" spans="2:13" x14ac:dyDescent="0.2">
      <c r="B9" s="21" t="s">
        <v>21</v>
      </c>
      <c r="C9" s="18" t="s">
        <v>22</v>
      </c>
      <c r="D9" s="18" t="s">
        <v>23</v>
      </c>
      <c r="E9" s="22">
        <v>745000</v>
      </c>
      <c r="F9" s="19">
        <v>11933.41</v>
      </c>
      <c r="G9" s="19">
        <v>4.3499999999999996</v>
      </c>
      <c r="H9" s="19" t="s">
        <v>18</v>
      </c>
      <c r="J9" s="20"/>
      <c r="K9" s="20"/>
      <c r="L9" s="20"/>
      <c r="M9" s="20"/>
    </row>
    <row r="10" spans="2:13" x14ac:dyDescent="0.2">
      <c r="B10" s="21" t="s">
        <v>24</v>
      </c>
      <c r="C10" s="18" t="s">
        <v>25</v>
      </c>
      <c r="D10" s="18" t="s">
        <v>26</v>
      </c>
      <c r="E10" s="22">
        <v>589800</v>
      </c>
      <c r="F10" s="19">
        <v>11852.62</v>
      </c>
      <c r="G10" s="19">
        <v>4.32</v>
      </c>
      <c r="H10" s="19" t="s">
        <v>18</v>
      </c>
      <c r="J10" s="20"/>
      <c r="K10" s="20"/>
      <c r="L10" s="20"/>
      <c r="M10" s="20"/>
    </row>
    <row r="11" spans="2:13" x14ac:dyDescent="0.2">
      <c r="B11" s="21" t="s">
        <v>27</v>
      </c>
      <c r="C11" s="18" t="s">
        <v>28</v>
      </c>
      <c r="D11" s="18" t="s">
        <v>29</v>
      </c>
      <c r="E11" s="22">
        <v>776800</v>
      </c>
      <c r="F11" s="19">
        <v>11656.66</v>
      </c>
      <c r="G11" s="19">
        <v>4.25</v>
      </c>
      <c r="H11" s="19" t="s">
        <v>18</v>
      </c>
      <c r="J11" s="20"/>
      <c r="K11" s="20"/>
      <c r="L11" s="20"/>
      <c r="M11" s="20"/>
    </row>
    <row r="12" spans="2:13" x14ac:dyDescent="0.2">
      <c r="B12" s="21" t="s">
        <v>30</v>
      </c>
      <c r="C12" s="18" t="s">
        <v>31</v>
      </c>
      <c r="D12" s="18" t="s">
        <v>32</v>
      </c>
      <c r="E12" s="22">
        <v>157500</v>
      </c>
      <c r="F12" s="19">
        <v>10724.96</v>
      </c>
      <c r="G12" s="19">
        <v>3.91</v>
      </c>
      <c r="H12" s="19" t="s">
        <v>18</v>
      </c>
      <c r="J12" s="23"/>
      <c r="K12" s="23"/>
      <c r="L12" s="23"/>
      <c r="M12" s="23"/>
    </row>
    <row r="13" spans="2:13" x14ac:dyDescent="0.2">
      <c r="B13" s="21" t="s">
        <v>33</v>
      </c>
      <c r="C13" s="18" t="s">
        <v>34</v>
      </c>
      <c r="D13" s="18" t="s">
        <v>35</v>
      </c>
      <c r="E13" s="22">
        <v>291261</v>
      </c>
      <c r="F13" s="19">
        <v>10688.7</v>
      </c>
      <c r="G13" s="19">
        <v>3.9</v>
      </c>
      <c r="H13" s="19" t="s">
        <v>18</v>
      </c>
      <c r="K13" s="24" t="s">
        <v>36</v>
      </c>
    </row>
    <row r="14" spans="2:13" x14ac:dyDescent="0.2">
      <c r="B14" s="21" t="s">
        <v>37</v>
      </c>
      <c r="C14" s="18" t="s">
        <v>38</v>
      </c>
      <c r="D14" s="18" t="s">
        <v>39</v>
      </c>
      <c r="E14" s="22">
        <v>4010000</v>
      </c>
      <c r="F14" s="19">
        <v>10592.42</v>
      </c>
      <c r="G14" s="19">
        <v>3.86</v>
      </c>
      <c r="H14" s="19" t="s">
        <v>18</v>
      </c>
    </row>
    <row r="15" spans="2:13" x14ac:dyDescent="0.2">
      <c r="B15" s="21" t="s">
        <v>40</v>
      </c>
      <c r="C15" s="18" t="s">
        <v>41</v>
      </c>
      <c r="D15" s="18" t="s">
        <v>39</v>
      </c>
      <c r="E15" s="22">
        <v>170047</v>
      </c>
      <c r="F15" s="19">
        <v>10572.67</v>
      </c>
      <c r="G15" s="19">
        <v>3.85</v>
      </c>
      <c r="H15" s="19" t="s">
        <v>18</v>
      </c>
    </row>
    <row r="16" spans="2:13" x14ac:dyDescent="0.2">
      <c r="B16" s="21" t="s">
        <v>42</v>
      </c>
      <c r="C16" s="18" t="s">
        <v>43</v>
      </c>
      <c r="D16" s="18" t="s">
        <v>44</v>
      </c>
      <c r="E16" s="22">
        <v>1125000</v>
      </c>
      <c r="F16" s="19">
        <v>10535.63</v>
      </c>
      <c r="G16" s="19">
        <v>3.84</v>
      </c>
      <c r="H16" s="19" t="s">
        <v>18</v>
      </c>
    </row>
    <row r="17" spans="2:8" x14ac:dyDescent="0.2">
      <c r="B17" s="21" t="s">
        <v>45</v>
      </c>
      <c r="C17" s="18" t="s">
        <v>46</v>
      </c>
      <c r="D17" s="18" t="s">
        <v>47</v>
      </c>
      <c r="E17" s="22">
        <v>824782</v>
      </c>
      <c r="F17" s="19">
        <v>10524.22</v>
      </c>
      <c r="G17" s="19">
        <v>3.84</v>
      </c>
      <c r="H17" s="19" t="s">
        <v>18</v>
      </c>
    </row>
    <row r="18" spans="2:8" x14ac:dyDescent="0.2">
      <c r="B18" s="21" t="s">
        <v>48</v>
      </c>
      <c r="C18" s="18" t="s">
        <v>49</v>
      </c>
      <c r="D18" s="18" t="s">
        <v>50</v>
      </c>
      <c r="E18" s="22">
        <v>358383</v>
      </c>
      <c r="F18" s="19">
        <v>10457.620000000001</v>
      </c>
      <c r="G18" s="19">
        <v>3.81</v>
      </c>
      <c r="H18" s="19" t="s">
        <v>18</v>
      </c>
    </row>
    <row r="19" spans="2:8" x14ac:dyDescent="0.2">
      <c r="B19" s="21" t="s">
        <v>51</v>
      </c>
      <c r="C19" s="18" t="s">
        <v>52</v>
      </c>
      <c r="D19" s="18" t="s">
        <v>53</v>
      </c>
      <c r="E19" s="22">
        <v>396743</v>
      </c>
      <c r="F19" s="19">
        <v>9367.5</v>
      </c>
      <c r="G19" s="19">
        <v>3.41</v>
      </c>
      <c r="H19" s="19" t="s">
        <v>54</v>
      </c>
    </row>
    <row r="20" spans="2:8" x14ac:dyDescent="0.2">
      <c r="B20" s="21" t="s">
        <v>55</v>
      </c>
      <c r="C20" s="18" t="s">
        <v>56</v>
      </c>
      <c r="D20" s="18" t="s">
        <v>57</v>
      </c>
      <c r="E20" s="22">
        <v>734316</v>
      </c>
      <c r="F20" s="19">
        <v>8109.05</v>
      </c>
      <c r="G20" s="19">
        <v>2.96</v>
      </c>
      <c r="H20" s="19" t="s">
        <v>54</v>
      </c>
    </row>
    <row r="21" spans="2:8" x14ac:dyDescent="0.2">
      <c r="B21" s="21" t="s">
        <v>58</v>
      </c>
      <c r="C21" s="18" t="s">
        <v>59</v>
      </c>
      <c r="D21" s="18" t="s">
        <v>60</v>
      </c>
      <c r="E21" s="22">
        <v>61000</v>
      </c>
      <c r="F21" s="19">
        <v>7376.73</v>
      </c>
      <c r="G21" s="19">
        <v>2.69</v>
      </c>
      <c r="H21" s="19" t="s">
        <v>18</v>
      </c>
    </row>
    <row r="22" spans="2:8" x14ac:dyDescent="0.2">
      <c r="B22" s="21" t="s">
        <v>61</v>
      </c>
      <c r="C22" s="18" t="s">
        <v>62</v>
      </c>
      <c r="D22" s="18" t="s">
        <v>63</v>
      </c>
      <c r="E22" s="22">
        <v>1735307</v>
      </c>
      <c r="F22" s="19">
        <v>7314.32</v>
      </c>
      <c r="G22" s="19">
        <v>2.67</v>
      </c>
      <c r="H22" s="19" t="s">
        <v>18</v>
      </c>
    </row>
    <row r="23" spans="2:8" x14ac:dyDescent="0.2">
      <c r="B23" s="21" t="s">
        <v>64</v>
      </c>
      <c r="C23" s="18" t="s">
        <v>65</v>
      </c>
      <c r="D23" s="18" t="s">
        <v>39</v>
      </c>
      <c r="E23" s="22">
        <v>159000</v>
      </c>
      <c r="F23" s="19">
        <v>6951.96</v>
      </c>
      <c r="G23" s="19">
        <v>2.5299999999999998</v>
      </c>
      <c r="H23" s="19" t="s">
        <v>18</v>
      </c>
    </row>
    <row r="24" spans="2:8" x14ac:dyDescent="0.2">
      <c r="B24" s="21" t="s">
        <v>66</v>
      </c>
      <c r="C24" s="18" t="s">
        <v>67</v>
      </c>
      <c r="D24" s="18" t="s">
        <v>17</v>
      </c>
      <c r="E24" s="22">
        <v>570000</v>
      </c>
      <c r="F24" s="19">
        <v>6835.44</v>
      </c>
      <c r="G24" s="19">
        <v>2.4900000000000002</v>
      </c>
      <c r="H24" s="19" t="s">
        <v>18</v>
      </c>
    </row>
    <row r="25" spans="2:8" x14ac:dyDescent="0.2">
      <c r="B25" s="21" t="s">
        <v>68</v>
      </c>
      <c r="C25" s="18" t="s">
        <v>69</v>
      </c>
      <c r="D25" s="18" t="s">
        <v>23</v>
      </c>
      <c r="E25" s="22">
        <v>173402</v>
      </c>
      <c r="F25" s="19">
        <v>6003.18</v>
      </c>
      <c r="G25" s="19">
        <v>2.19</v>
      </c>
      <c r="H25" s="19" t="s">
        <v>18</v>
      </c>
    </row>
    <row r="26" spans="2:8" x14ac:dyDescent="0.2">
      <c r="B26" s="21" t="s">
        <v>70</v>
      </c>
      <c r="C26" s="18" t="s">
        <v>71</v>
      </c>
      <c r="D26" s="18" t="s">
        <v>47</v>
      </c>
      <c r="E26" s="22">
        <v>1441753</v>
      </c>
      <c r="F26" s="19">
        <v>5836.22</v>
      </c>
      <c r="G26" s="19">
        <v>2.13</v>
      </c>
      <c r="H26" s="19" t="s">
        <v>72</v>
      </c>
    </row>
    <row r="27" spans="2:8" x14ac:dyDescent="0.2">
      <c r="B27" s="21" t="s">
        <v>73</v>
      </c>
      <c r="C27" s="18" t="s">
        <v>74</v>
      </c>
      <c r="D27" s="18" t="s">
        <v>75</v>
      </c>
      <c r="E27" s="22">
        <v>238428</v>
      </c>
      <c r="F27" s="19">
        <v>5807.63</v>
      </c>
      <c r="G27" s="19">
        <v>2.12</v>
      </c>
      <c r="H27" s="19" t="s">
        <v>72</v>
      </c>
    </row>
    <row r="28" spans="2:8" x14ac:dyDescent="0.2">
      <c r="B28" s="21" t="s">
        <v>76</v>
      </c>
      <c r="C28" s="18" t="s">
        <v>77</v>
      </c>
      <c r="D28" s="18" t="s">
        <v>78</v>
      </c>
      <c r="E28" s="22">
        <v>1268042</v>
      </c>
      <c r="F28" s="19">
        <v>5801.93</v>
      </c>
      <c r="G28" s="19">
        <v>2.11</v>
      </c>
      <c r="H28" s="19" t="s">
        <v>18</v>
      </c>
    </row>
    <row r="29" spans="2:8" x14ac:dyDescent="0.2">
      <c r="B29" s="21" t="s">
        <v>79</v>
      </c>
      <c r="C29" s="18" t="s">
        <v>80</v>
      </c>
      <c r="D29" s="18" t="s">
        <v>50</v>
      </c>
      <c r="E29" s="22">
        <v>44900</v>
      </c>
      <c r="F29" s="19">
        <v>5567.6</v>
      </c>
      <c r="G29" s="19">
        <v>2.0299999999999998</v>
      </c>
      <c r="H29" s="19" t="s">
        <v>18</v>
      </c>
    </row>
    <row r="30" spans="2:8" x14ac:dyDescent="0.2">
      <c r="B30" s="21" t="s">
        <v>81</v>
      </c>
      <c r="C30" s="18" t="s">
        <v>82</v>
      </c>
      <c r="D30" s="18" t="s">
        <v>32</v>
      </c>
      <c r="E30" s="22">
        <v>232483</v>
      </c>
      <c r="F30" s="19">
        <v>5393.14</v>
      </c>
      <c r="G30" s="19">
        <v>1.97</v>
      </c>
      <c r="H30" s="19" t="s">
        <v>18</v>
      </c>
    </row>
    <row r="31" spans="2:8" x14ac:dyDescent="0.2">
      <c r="B31" s="21" t="s">
        <v>83</v>
      </c>
      <c r="C31" s="18" t="s">
        <v>84</v>
      </c>
      <c r="D31" s="18" t="s">
        <v>85</v>
      </c>
      <c r="E31" s="22">
        <v>290443</v>
      </c>
      <c r="F31" s="19">
        <v>5339.21</v>
      </c>
      <c r="G31" s="19">
        <v>1.95</v>
      </c>
      <c r="H31" s="19" t="s">
        <v>18</v>
      </c>
    </row>
    <row r="32" spans="2:8" x14ac:dyDescent="0.2">
      <c r="B32" s="21" t="s">
        <v>86</v>
      </c>
      <c r="C32" s="18" t="s">
        <v>87</v>
      </c>
      <c r="D32" s="18" t="s">
        <v>88</v>
      </c>
      <c r="E32" s="22">
        <v>689372</v>
      </c>
      <c r="F32" s="19">
        <v>5241.3</v>
      </c>
      <c r="G32" s="19">
        <v>1.91</v>
      </c>
      <c r="H32" s="19" t="s">
        <v>18</v>
      </c>
    </row>
    <row r="33" spans="2:8" x14ac:dyDescent="0.2">
      <c r="B33" s="21" t="s">
        <v>89</v>
      </c>
      <c r="C33" s="18" t="s">
        <v>90</v>
      </c>
      <c r="D33" s="18" t="s">
        <v>91</v>
      </c>
      <c r="E33" s="22">
        <v>84272</v>
      </c>
      <c r="F33" s="19">
        <v>5036.5200000000004</v>
      </c>
      <c r="G33" s="19">
        <v>1.84</v>
      </c>
      <c r="H33" s="19" t="s">
        <v>18</v>
      </c>
    </row>
    <row r="34" spans="2:8" x14ac:dyDescent="0.2">
      <c r="B34" s="21" t="s">
        <v>92</v>
      </c>
      <c r="C34" s="18" t="s">
        <v>93</v>
      </c>
      <c r="D34" s="18" t="s">
        <v>17</v>
      </c>
      <c r="E34" s="22">
        <v>544500</v>
      </c>
      <c r="F34" s="19">
        <v>4466.8100000000004</v>
      </c>
      <c r="G34" s="19">
        <v>1.63</v>
      </c>
      <c r="H34" s="19" t="s">
        <v>18</v>
      </c>
    </row>
    <row r="35" spans="2:8" x14ac:dyDescent="0.2">
      <c r="B35" s="21" t="s">
        <v>94</v>
      </c>
      <c r="C35" s="18" t="s">
        <v>95</v>
      </c>
      <c r="D35" s="18" t="s">
        <v>85</v>
      </c>
      <c r="E35" s="22">
        <v>213954</v>
      </c>
      <c r="F35" s="19">
        <v>4365.09</v>
      </c>
      <c r="G35" s="19">
        <v>1.59</v>
      </c>
      <c r="H35" s="19" t="s">
        <v>54</v>
      </c>
    </row>
    <row r="36" spans="2:8" x14ac:dyDescent="0.2">
      <c r="B36" s="25" t="s">
        <v>96</v>
      </c>
      <c r="C36" s="26"/>
      <c r="D36" s="26"/>
      <c r="E36" s="26"/>
      <c r="F36" s="27">
        <f>SUM(F7:F35)</f>
        <v>260013.39999999997</v>
      </c>
      <c r="G36" s="27">
        <f>SUM(G7:G35)</f>
        <v>94.79</v>
      </c>
      <c r="H36" s="27"/>
    </row>
    <row r="37" spans="2:8" x14ac:dyDescent="0.2">
      <c r="B37" s="28" t="s">
        <v>97</v>
      </c>
      <c r="C37" s="28"/>
      <c r="D37" s="28"/>
      <c r="E37" s="28"/>
      <c r="F37" s="29">
        <f>F36</f>
        <v>260013.39999999997</v>
      </c>
      <c r="G37" s="29">
        <f>G36</f>
        <v>94.79</v>
      </c>
      <c r="H37" s="29"/>
    </row>
    <row r="38" spans="2:8" x14ac:dyDescent="0.2">
      <c r="B38" s="30" t="s">
        <v>98</v>
      </c>
      <c r="C38" s="31"/>
      <c r="D38" s="31"/>
      <c r="E38" s="31"/>
      <c r="F38" s="32"/>
      <c r="G38" s="32"/>
      <c r="H38" s="32"/>
    </row>
    <row r="39" spans="2:8" x14ac:dyDescent="0.2">
      <c r="B39" s="21" t="s">
        <v>98</v>
      </c>
      <c r="C39" s="18"/>
      <c r="D39" s="18"/>
      <c r="E39" s="18"/>
      <c r="F39" s="19">
        <v>14563.8</v>
      </c>
      <c r="G39" s="19">
        <v>5.31</v>
      </c>
      <c r="H39" s="19"/>
    </row>
    <row r="40" spans="2:8" x14ac:dyDescent="0.2">
      <c r="B40" s="25" t="s">
        <v>96</v>
      </c>
      <c r="C40" s="26"/>
      <c r="D40" s="26"/>
      <c r="E40" s="26"/>
      <c r="F40" s="27">
        <f>SUM(F38:F39)</f>
        <v>14563.8</v>
      </c>
      <c r="G40" s="27">
        <f>SUM(G38:G39)</f>
        <v>5.31</v>
      </c>
      <c r="H40" s="27"/>
    </row>
    <row r="41" spans="2:8" x14ac:dyDescent="0.2">
      <c r="B41" s="33" t="s">
        <v>97</v>
      </c>
      <c r="C41" s="33"/>
      <c r="D41" s="33"/>
      <c r="E41" s="33"/>
      <c r="F41" s="34">
        <f>F40</f>
        <v>14563.8</v>
      </c>
      <c r="G41" s="34">
        <f>G40</f>
        <v>5.31</v>
      </c>
      <c r="H41" s="34"/>
    </row>
    <row r="42" spans="2:8" x14ac:dyDescent="0.2">
      <c r="B42" s="35" t="s">
        <v>99</v>
      </c>
      <c r="C42" s="35"/>
      <c r="D42" s="35"/>
      <c r="E42" s="35"/>
      <c r="F42" s="36">
        <f>F43-(+F37+F41)</f>
        <v>-228.98999999993248</v>
      </c>
      <c r="G42" s="36">
        <f>G43-(+G37+G41)</f>
        <v>-0.10000000000000853</v>
      </c>
      <c r="H42" s="36"/>
    </row>
    <row r="43" spans="2:8" x14ac:dyDescent="0.2">
      <c r="B43" s="35" t="s">
        <v>100</v>
      </c>
      <c r="C43" s="35"/>
      <c r="D43" s="35"/>
      <c r="E43" s="35"/>
      <c r="F43" s="36">
        <v>274348.21000000002</v>
      </c>
      <c r="G43" s="36">
        <v>100</v>
      </c>
      <c r="H43" s="36"/>
    </row>
    <row r="45" spans="2:8" ht="12.75" thickBot="1" x14ac:dyDescent="0.25">
      <c r="B45" s="37"/>
    </row>
    <row r="46" spans="2:8" ht="13.5" thickTop="1" thickBot="1" x14ac:dyDescent="0.25">
      <c r="B46" s="39" t="s">
        <v>101</v>
      </c>
      <c r="C46" s="40" t="s">
        <v>102</v>
      </c>
    </row>
    <row r="47" spans="2:8" ht="12.75" thickTop="1" x14ac:dyDescent="0.2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2025-07-08T08:17:11Z</dcterms:created>
  <dcterms:modified xsi:type="dcterms:W3CDTF">2025-07-08T08:17:12Z</dcterms:modified>
</cp:coreProperties>
</file>