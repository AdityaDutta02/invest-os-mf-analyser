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0490" windowHeight="7770" tabRatio="868"/>
  </bookViews>
  <sheets>
    <sheet name="Riskometer" sheetId="24" r:id="rId1"/>
    <sheet name="CRI" sheetId="1" r:id="rId2"/>
    <sheet name="CREDF" sheetId="2" r:id="rId3"/>
    <sheet name="CRETSF" sheetId="3" r:id="rId4"/>
    <sheet name="CREE" sheetId="4" r:id="rId5"/>
    <sheet name="CRCTF" sheetId="5" r:id="rId6"/>
    <sheet name="CRBCEF" sheetId="6" r:id="rId7"/>
    <sheet name="CRSCF" sheetId="7" r:id="rId8"/>
    <sheet name="CREHF" sheetId="8" r:id="rId9"/>
    <sheet name="CRDBF" sheetId="9" r:id="rId10"/>
    <sheet name="CRGILT" sheetId="10" r:id="rId11"/>
    <sheet name="CRINC" sheetId="11" r:id="rId12"/>
    <sheet name="CRSF" sheetId="12" r:id="rId13"/>
    <sheet name="CRCHF" sheetId="13" r:id="rId14"/>
    <sheet name="CRG1988" sheetId="14" r:id="rId15"/>
    <sheet name="CRL" sheetId="15" r:id="rId16"/>
    <sheet name="CRUSTF" sheetId="16" r:id="rId17"/>
    <sheet name="CROF" sheetId="17" r:id="rId18"/>
    <sheet name="CRSDF" sheetId="18" r:id="rId19"/>
    <sheet name="CRCBF" sheetId="19" r:id="rId20"/>
    <sheet name="CRCPOF9" sheetId="20" r:id="rId21"/>
    <sheet name="CRDAF1" sheetId="21" r:id="rId22"/>
    <sheet name="CRFMP8" sheetId="22" r:id="rId23"/>
    <sheet name="CRCPOF10" sheetId="23" r:id="rId24"/>
  </sheets>
  <calcPr calcId="162913"/>
</workbook>
</file>

<file path=xl/calcChain.xml><?xml version="1.0" encoding="utf-8"?>
<calcChain xmlns="http://schemas.openxmlformats.org/spreadsheetml/2006/main">
  <c r="G67" i="23" l="1"/>
  <c r="F67" i="23"/>
  <c r="G66" i="23"/>
  <c r="F66" i="23"/>
  <c r="G63" i="23"/>
  <c r="F63" i="23"/>
  <c r="G58" i="23"/>
  <c r="F58" i="23"/>
  <c r="G57" i="23"/>
  <c r="F57" i="23"/>
  <c r="G47" i="23"/>
  <c r="G48" i="23" s="1"/>
  <c r="G68" i="23" s="1"/>
  <c r="F47" i="23"/>
  <c r="F48" i="23" s="1"/>
  <c r="F68" i="23" s="1"/>
  <c r="G30" i="22"/>
  <c r="G31" i="22" s="1"/>
  <c r="F30" i="22"/>
  <c r="F31" i="22" s="1"/>
  <c r="G27" i="22"/>
  <c r="F27" i="22"/>
  <c r="G23" i="22"/>
  <c r="G24" i="22" s="1"/>
  <c r="F23" i="22"/>
  <c r="F24" i="22" s="1"/>
  <c r="G19" i="22"/>
  <c r="F19" i="22"/>
  <c r="F32" i="22" s="1"/>
  <c r="G18" i="22"/>
  <c r="F18" i="22"/>
  <c r="G69" i="21"/>
  <c r="F69" i="21"/>
  <c r="G68" i="21"/>
  <c r="F68" i="21"/>
  <c r="G65" i="21"/>
  <c r="F65" i="21"/>
  <c r="G61" i="21"/>
  <c r="F61" i="21"/>
  <c r="G60" i="21"/>
  <c r="F60" i="21"/>
  <c r="G56" i="21"/>
  <c r="F56" i="21"/>
  <c r="G55" i="21"/>
  <c r="F55" i="21"/>
  <c r="G38" i="21"/>
  <c r="G39" i="21" s="1"/>
  <c r="G70" i="21" s="1"/>
  <c r="F38" i="21"/>
  <c r="F39" i="21" s="1"/>
  <c r="F70" i="21" s="1"/>
  <c r="G55" i="20"/>
  <c r="G56" i="20" s="1"/>
  <c r="F55" i="20"/>
  <c r="F56" i="20" s="1"/>
  <c r="G52" i="20"/>
  <c r="F52" i="20"/>
  <c r="G45" i="20"/>
  <c r="G46" i="20" s="1"/>
  <c r="F45" i="20"/>
  <c r="F46" i="20" s="1"/>
  <c r="G31" i="20"/>
  <c r="G57" i="20" s="1"/>
  <c r="F31" i="20"/>
  <c r="F57" i="20" s="1"/>
  <c r="G30" i="20"/>
  <c r="F30" i="20"/>
  <c r="G56" i="19"/>
  <c r="F56" i="19"/>
  <c r="G55" i="19"/>
  <c r="F55" i="19"/>
  <c r="G52" i="19"/>
  <c r="F52" i="19"/>
  <c r="G45" i="19"/>
  <c r="F45" i="19"/>
  <c r="G44" i="19"/>
  <c r="F44" i="19"/>
  <c r="G40" i="19"/>
  <c r="G57" i="19" s="1"/>
  <c r="F40" i="19"/>
  <c r="F57" i="19" s="1"/>
  <c r="G39" i="19"/>
  <c r="F39" i="19"/>
  <c r="G87" i="18"/>
  <c r="F87" i="18"/>
  <c r="G86" i="18"/>
  <c r="F86" i="18"/>
  <c r="G83" i="18"/>
  <c r="F83" i="18"/>
  <c r="G66" i="18"/>
  <c r="F66" i="18"/>
  <c r="G65" i="18"/>
  <c r="F65" i="18"/>
  <c r="G57" i="18"/>
  <c r="G58" i="18" s="1"/>
  <c r="G88" i="18" s="1"/>
  <c r="F57" i="18"/>
  <c r="F58" i="18" s="1"/>
  <c r="F88" i="18" s="1"/>
  <c r="G7" i="17"/>
  <c r="G8" i="17" s="1"/>
  <c r="G9" i="17" s="1"/>
  <c r="F7" i="17"/>
  <c r="F8" i="17" s="1"/>
  <c r="F9" i="17" s="1"/>
  <c r="G47" i="16"/>
  <c r="G48" i="16" s="1"/>
  <c r="F47" i="16"/>
  <c r="F48" i="16" s="1"/>
  <c r="G44" i="16"/>
  <c r="F44" i="16"/>
  <c r="G40" i="16"/>
  <c r="F40" i="16"/>
  <c r="G31" i="16"/>
  <c r="F31" i="16"/>
  <c r="G24" i="16"/>
  <c r="G41" i="16" s="1"/>
  <c r="F24" i="16"/>
  <c r="F41" i="16" s="1"/>
  <c r="G18" i="16"/>
  <c r="G49" i="16" s="1"/>
  <c r="F18" i="16"/>
  <c r="F49" i="16" s="1"/>
  <c r="G17" i="16"/>
  <c r="F17" i="16"/>
  <c r="G35" i="15"/>
  <c r="F35" i="15"/>
  <c r="G34" i="15"/>
  <c r="F34" i="15"/>
  <c r="G30" i="15"/>
  <c r="F30" i="15"/>
  <c r="G22" i="15"/>
  <c r="F22" i="15"/>
  <c r="G11" i="15"/>
  <c r="G31" i="15" s="1"/>
  <c r="G36" i="15" s="1"/>
  <c r="F11" i="15"/>
  <c r="F31" i="15" s="1"/>
  <c r="F36" i="15" s="1"/>
  <c r="G13" i="14"/>
  <c r="G12" i="14"/>
  <c r="F12" i="14"/>
  <c r="G11" i="14"/>
  <c r="F11" i="14"/>
  <c r="G8" i="14"/>
  <c r="F8" i="14"/>
  <c r="F13" i="14" s="1"/>
  <c r="G76" i="13"/>
  <c r="G77" i="13" s="1"/>
  <c r="F76" i="13"/>
  <c r="F77" i="13" s="1"/>
  <c r="G73" i="13"/>
  <c r="F73" i="13"/>
  <c r="G62" i="13"/>
  <c r="G63" i="13" s="1"/>
  <c r="F62" i="13"/>
  <c r="F63" i="13" s="1"/>
  <c r="G58" i="13"/>
  <c r="F58" i="13"/>
  <c r="G57" i="13"/>
  <c r="F57" i="13"/>
  <c r="G43" i="13"/>
  <c r="G78" i="13" s="1"/>
  <c r="F43" i="13"/>
  <c r="F78" i="13" s="1"/>
  <c r="G42" i="13"/>
  <c r="F42" i="13"/>
  <c r="G70" i="12"/>
  <c r="F70" i="12"/>
  <c r="G69" i="12"/>
  <c r="F69" i="12"/>
  <c r="G66" i="12"/>
  <c r="F66" i="12"/>
  <c r="G59" i="12"/>
  <c r="F59" i="12"/>
  <c r="G48" i="12"/>
  <c r="F48" i="12"/>
  <c r="G39" i="12"/>
  <c r="G60" i="12" s="1"/>
  <c r="F39" i="12"/>
  <c r="F60" i="12" s="1"/>
  <c r="G31" i="12"/>
  <c r="G71" i="12" s="1"/>
  <c r="F31" i="12"/>
  <c r="F71" i="12" s="1"/>
  <c r="G30" i="12"/>
  <c r="F30" i="12"/>
  <c r="G35" i="11"/>
  <c r="F35" i="11"/>
  <c r="G34" i="11"/>
  <c r="F34" i="11"/>
  <c r="G31" i="11"/>
  <c r="G36" i="11" s="1"/>
  <c r="F31" i="11"/>
  <c r="F36" i="11" s="1"/>
  <c r="G20" i="11"/>
  <c r="F20" i="11"/>
  <c r="G19" i="11"/>
  <c r="F19" i="11"/>
  <c r="G20" i="10"/>
  <c r="F20" i="10"/>
  <c r="G19" i="10"/>
  <c r="F19" i="10"/>
  <c r="G16" i="10"/>
  <c r="G21" i="10" s="1"/>
  <c r="F16" i="10"/>
  <c r="F21" i="10" s="1"/>
  <c r="G27" i="9"/>
  <c r="G28" i="9" s="1"/>
  <c r="F27" i="9"/>
  <c r="F28" i="9" s="1"/>
  <c r="G24" i="9"/>
  <c r="F24" i="9"/>
  <c r="G14" i="9"/>
  <c r="G15" i="9" s="1"/>
  <c r="F14" i="9"/>
  <c r="F15" i="9" s="1"/>
  <c r="G9" i="9"/>
  <c r="G29" i="9" s="1"/>
  <c r="F9" i="9"/>
  <c r="G8" i="9"/>
  <c r="F8" i="9"/>
  <c r="G115" i="8"/>
  <c r="F115" i="8"/>
  <c r="G114" i="8"/>
  <c r="F114" i="8"/>
  <c r="G111" i="8"/>
  <c r="F111" i="8"/>
  <c r="G97" i="8"/>
  <c r="F97" i="8"/>
  <c r="G96" i="8"/>
  <c r="F96" i="8"/>
  <c r="G59" i="8"/>
  <c r="G116" i="8" s="1"/>
  <c r="F59" i="8"/>
  <c r="F116" i="8" s="1"/>
  <c r="G58" i="8"/>
  <c r="F58" i="8"/>
  <c r="G70" i="7"/>
  <c r="F70" i="7"/>
  <c r="G69" i="7"/>
  <c r="F69" i="7"/>
  <c r="G65" i="7"/>
  <c r="G66" i="7" s="1"/>
  <c r="G71" i="7" s="1"/>
  <c r="F65" i="7"/>
  <c r="F66" i="7" s="1"/>
  <c r="F71" i="7" s="1"/>
  <c r="G58" i="6"/>
  <c r="G59" i="6" s="1"/>
  <c r="F58" i="6"/>
  <c r="F59" i="6" s="1"/>
  <c r="G55" i="6"/>
  <c r="F55" i="6"/>
  <c r="G54" i="6"/>
  <c r="F54" i="6"/>
  <c r="G55" i="5"/>
  <c r="F55" i="5"/>
  <c r="G54" i="5"/>
  <c r="F54" i="5"/>
  <c r="G51" i="5"/>
  <c r="G56" i="5" s="1"/>
  <c r="F51" i="5"/>
  <c r="F56" i="5" s="1"/>
  <c r="G50" i="5"/>
  <c r="F50" i="5"/>
  <c r="G69" i="4"/>
  <c r="F69" i="4"/>
  <c r="G68" i="4"/>
  <c r="F68" i="4"/>
  <c r="G64" i="4"/>
  <c r="G65" i="4" s="1"/>
  <c r="G70" i="4" s="1"/>
  <c r="F64" i="4"/>
  <c r="F65" i="4" s="1"/>
  <c r="F70" i="4" s="1"/>
  <c r="G65" i="3"/>
  <c r="G66" i="3" s="1"/>
  <c r="F65" i="3"/>
  <c r="F66" i="3" s="1"/>
  <c r="G62" i="3"/>
  <c r="G67" i="3" s="1"/>
  <c r="F62" i="3"/>
  <c r="F67" i="3" s="1"/>
  <c r="G61" i="3"/>
  <c r="F61" i="3"/>
  <c r="G70" i="2"/>
  <c r="F70" i="2"/>
  <c r="G69" i="2"/>
  <c r="F69" i="2"/>
  <c r="G66" i="2"/>
  <c r="G71" i="2" s="1"/>
  <c r="F66" i="2"/>
  <c r="F71" i="2" s="1"/>
  <c r="G65" i="2"/>
  <c r="F65" i="2"/>
  <c r="G46" i="1"/>
  <c r="F46" i="1"/>
  <c r="G45" i="1"/>
  <c r="F45" i="1"/>
  <c r="G41" i="1"/>
  <c r="G42" i="1" s="1"/>
  <c r="G47" i="1" s="1"/>
  <c r="F41" i="1"/>
  <c r="F42" i="1" s="1"/>
  <c r="F47" i="1" s="1"/>
  <c r="G60" i="6" l="1"/>
  <c r="F29" i="9"/>
  <c r="F60" i="6"/>
  <c r="G32" i="22"/>
</calcChain>
</file>

<file path=xl/sharedStrings.xml><?xml version="1.0" encoding="utf-8"?>
<sst xmlns="http://schemas.openxmlformats.org/spreadsheetml/2006/main" count="3265" uniqueCount="848">
  <si>
    <t>Name of the Instrument</t>
  </si>
  <si>
    <t>ISIN</t>
  </si>
  <si>
    <t>Quantity</t>
  </si>
  <si>
    <t>Market/Fair Value
 (Rs. in Lacs)</t>
  </si>
  <si>
    <t>% to Net
 Assets</t>
  </si>
  <si>
    <t>Industry / Rating</t>
  </si>
  <si>
    <t>Yield %</t>
  </si>
  <si>
    <t>Monthly Portfolio Statement as on January 31, 2021</t>
  </si>
  <si>
    <t>CANARA ROBECO INFRASTRUCTURE</t>
  </si>
  <si>
    <t>CANARA ROBECO EQUITY DIVERSIFIED FUND</t>
  </si>
  <si>
    <t>CANARA ROBECO EQUITY TAX SAVER FUND</t>
  </si>
  <si>
    <t>CANARA ROBECO EMERGING EQUITIES</t>
  </si>
  <si>
    <t>CANARA ROBECO CONSUMER TRENDS FUND</t>
  </si>
  <si>
    <t>CANARA ROBECO BLUE CHIP EQUITY FUND</t>
  </si>
  <si>
    <t>CANARA ROBECO SMALL CAP FUND</t>
  </si>
  <si>
    <t>CANARA ROBECO EQUITY HYBRID FUND</t>
  </si>
  <si>
    <t>CANARA ROBECO DYNAMIC BOND FUND</t>
  </si>
  <si>
    <t>CANARA ROBECO GILT FUND</t>
  </si>
  <si>
    <t>CANARA ROBECO INCOME FUND</t>
  </si>
  <si>
    <t>CANARA ROBECO SAVINGS FUND</t>
  </si>
  <si>
    <t>CANARA ROBECO CONSERVATIVE HYBRID FUND</t>
  </si>
  <si>
    <t>CANARA ROBECO GILT 1988</t>
  </si>
  <si>
    <t>CANARA ROBECO LIQUID FUND</t>
  </si>
  <si>
    <t>CANARA ROBECO ULTRA SHORT TERM FUND</t>
  </si>
  <si>
    <t>CANARA ROBECO OVERNIGHT FUND</t>
  </si>
  <si>
    <t>CANARA ROBECO SHORT DURATION FUND</t>
  </si>
  <si>
    <t>CANARA ROBECO CORPORATE BOND FUND</t>
  </si>
  <si>
    <t>CANARA ROBECO   CAPITAL  PROTECTION  ORIENTED  FUND– SERIES 9</t>
  </si>
  <si>
    <t>CANARA ROBECO DUAL ADVANTAGE FUND - SERIES 1</t>
  </si>
  <si>
    <t>CANARA ROBECO FIXED MATURITY PLAN SERIES 8</t>
  </si>
  <si>
    <t>CANARA  ROBECO  CAPITAL  PROTECTION  ORIENTED FUND– SERIES 10</t>
  </si>
  <si>
    <t>Equity &amp; Equity related</t>
  </si>
  <si>
    <t>(a) Listed / awaiting listing on Stock Exchanges</t>
  </si>
  <si>
    <t>Larsen &amp; Toubro Ltd</t>
  </si>
  <si>
    <t>INE018A01030</t>
  </si>
  <si>
    <t>Construction Project</t>
  </si>
  <si>
    <t>Bharat Electronics Ltd</t>
  </si>
  <si>
    <t>INE263A01024</t>
  </si>
  <si>
    <t>Industrial Capital Goods</t>
  </si>
  <si>
    <t>ICICI Bank Ltd</t>
  </si>
  <si>
    <t>INE090A01021</t>
  </si>
  <si>
    <t>Banks</t>
  </si>
  <si>
    <t>KNR Constructions Ltd</t>
  </si>
  <si>
    <t>INE634I01029</t>
  </si>
  <si>
    <t>Construction</t>
  </si>
  <si>
    <t>Honeywell Automation India Ltd</t>
  </si>
  <si>
    <t>INE671A01010</t>
  </si>
  <si>
    <t>Siemens Ltd</t>
  </si>
  <si>
    <t>INE003A01024</t>
  </si>
  <si>
    <t>State Bank of India</t>
  </si>
  <si>
    <t>INE062A01020</t>
  </si>
  <si>
    <t>TCI Express Ltd</t>
  </si>
  <si>
    <t>INE586V01016</t>
  </si>
  <si>
    <t>Transportation</t>
  </si>
  <si>
    <t>Voltas Ltd</t>
  </si>
  <si>
    <t>INE226A01021</t>
  </si>
  <si>
    <t>Consumer Durables</t>
  </si>
  <si>
    <t>PNC Infratech Ltd</t>
  </si>
  <si>
    <t>INE195J01029</t>
  </si>
  <si>
    <t>Sobha Ltd</t>
  </si>
  <si>
    <t>INE671H01015</t>
  </si>
  <si>
    <t>Ahluwalia Contracts (India) Ltd</t>
  </si>
  <si>
    <t>INE758C01029</t>
  </si>
  <si>
    <t>ABB India Ltd</t>
  </si>
  <si>
    <t>INE117A01022</t>
  </si>
  <si>
    <t>Amber Enterprises India Ltd</t>
  </si>
  <si>
    <t>INE371P01015</t>
  </si>
  <si>
    <t>The Ramco Cements Ltd</t>
  </si>
  <si>
    <t>INE331A01037</t>
  </si>
  <si>
    <t>Cement</t>
  </si>
  <si>
    <t>Crompton Greaves Consumer Electricals Ltd</t>
  </si>
  <si>
    <t>INE299U01018</t>
  </si>
  <si>
    <t>GAIL (India) Ltd</t>
  </si>
  <si>
    <t>INE129A01019</t>
  </si>
  <si>
    <t>Gas</t>
  </si>
  <si>
    <t>Timken India Ltd</t>
  </si>
  <si>
    <t>INE325A01013</t>
  </si>
  <si>
    <t>Industrial Products</t>
  </si>
  <si>
    <t>Dixon Technologies (India) Ltd</t>
  </si>
  <si>
    <t>INE935N01012</t>
  </si>
  <si>
    <t>Ambuja Cements Ltd</t>
  </si>
  <si>
    <t>INE079A01024</t>
  </si>
  <si>
    <t>Gujarat Gas Ltd</t>
  </si>
  <si>
    <t>INE844O01030</t>
  </si>
  <si>
    <t>Ultratech Cement Ltd</t>
  </si>
  <si>
    <t>INE481G01011</t>
  </si>
  <si>
    <t>Shree Cement Ltd</t>
  </si>
  <si>
    <t>INE070A01015</t>
  </si>
  <si>
    <t>Schaeffler India Ltd</t>
  </si>
  <si>
    <t>INE513A01014</t>
  </si>
  <si>
    <t>Cummins India Ltd</t>
  </si>
  <si>
    <t>INE298A01020</t>
  </si>
  <si>
    <t>Indraprastha Gas Ltd</t>
  </si>
  <si>
    <t>INE203G01027</t>
  </si>
  <si>
    <t>Hindalco Industries Ltd</t>
  </si>
  <si>
    <t>INE038A01020</t>
  </si>
  <si>
    <t>Non - Ferrous Metals</t>
  </si>
  <si>
    <t>Power Grid Corporation of India Ltd</t>
  </si>
  <si>
    <t>INE752E01010</t>
  </si>
  <si>
    <t>Power</t>
  </si>
  <si>
    <t>Thermax Ltd</t>
  </si>
  <si>
    <t>INE152A01029</t>
  </si>
  <si>
    <t>NTPC Ltd</t>
  </si>
  <si>
    <t>INE733E01010</t>
  </si>
  <si>
    <t>Blue Star Ltd</t>
  </si>
  <si>
    <t>INE472A01039</t>
  </si>
  <si>
    <t>Bharti Airtel Ltd</t>
  </si>
  <si>
    <t>INE397D01024</t>
  </si>
  <si>
    <t>Telecom - Services</t>
  </si>
  <si>
    <t>Hindustan Petroleum Corporation Ltd</t>
  </si>
  <si>
    <t>INE094A01015</t>
  </si>
  <si>
    <t>Petroleum Products</t>
  </si>
  <si>
    <t>Grindwell Norton Ltd</t>
  </si>
  <si>
    <t>INE536A01023</t>
  </si>
  <si>
    <t>Sub Total</t>
  </si>
  <si>
    <t>Total</t>
  </si>
  <si>
    <t>TREPS</t>
  </si>
  <si>
    <t>Grand Total</t>
  </si>
  <si>
    <t>Net Receivables / (Payables)</t>
  </si>
  <si>
    <t>Infosys Ltd</t>
  </si>
  <si>
    <t>INE009A01021</t>
  </si>
  <si>
    <t>Software</t>
  </si>
  <si>
    <t>HDFC Bank Ltd</t>
  </si>
  <si>
    <t>INE040A01034</t>
  </si>
  <si>
    <t>Reliance Industries Ltd</t>
  </si>
  <si>
    <t>INE002A01018</t>
  </si>
  <si>
    <t>Bajaj Finance Ltd</t>
  </si>
  <si>
    <t>INE296A01024</t>
  </si>
  <si>
    <t>Finance</t>
  </si>
  <si>
    <t>Tata Consultancy Services Ltd</t>
  </si>
  <si>
    <t>INE467B01029</t>
  </si>
  <si>
    <t>Axis Bank Ltd</t>
  </si>
  <si>
    <t>INE238A01034</t>
  </si>
  <si>
    <t>Housing Development Finance Corporation Ltd</t>
  </si>
  <si>
    <t>INE001A01036</t>
  </si>
  <si>
    <t>HCL Technologies Ltd</t>
  </si>
  <si>
    <t>INE860A01027</t>
  </si>
  <si>
    <t>Hindustan Unilever Ltd</t>
  </si>
  <si>
    <t>INE030A01027</t>
  </si>
  <si>
    <t>Consumer Non Durables</t>
  </si>
  <si>
    <t>Kotak Mahindra Bank Ltd</t>
  </si>
  <si>
    <t>INE237A01028</t>
  </si>
  <si>
    <t>Mahindra &amp; Mahindra Ltd</t>
  </si>
  <si>
    <t>INE101A01026</t>
  </si>
  <si>
    <t>Auto</t>
  </si>
  <si>
    <t>Divi's Laboratories Ltd</t>
  </si>
  <si>
    <t>INE361B01024</t>
  </si>
  <si>
    <t>Pharmaceuticals</t>
  </si>
  <si>
    <t>Maruti Suzuki India Ltd</t>
  </si>
  <si>
    <t>INE585B01010</t>
  </si>
  <si>
    <t>Polycab India Ltd</t>
  </si>
  <si>
    <t>INE455K01017</t>
  </si>
  <si>
    <t>Britannia Industries Ltd</t>
  </si>
  <si>
    <t>INE216A01030</t>
  </si>
  <si>
    <t>Can Fin Homes Ltd</t>
  </si>
  <si>
    <t>INE477A01020</t>
  </si>
  <si>
    <t>Eicher Motors Ltd</t>
  </si>
  <si>
    <t>INE066A01021</t>
  </si>
  <si>
    <t>Cipla Ltd</t>
  </si>
  <si>
    <t>INE059A01026</t>
  </si>
  <si>
    <t>PI Industries Ltd</t>
  </si>
  <si>
    <t>INE603J01030</t>
  </si>
  <si>
    <t>Pesticides</t>
  </si>
  <si>
    <t>Max Financial Services Ltd</t>
  </si>
  <si>
    <t>INE180A01020</t>
  </si>
  <si>
    <t>Minda Industries Ltd</t>
  </si>
  <si>
    <t>INE405E01023</t>
  </si>
  <si>
    <t>Auto Ancillaries</t>
  </si>
  <si>
    <t>Cholamandalam Investment and Finance Co Ltd</t>
  </si>
  <si>
    <t>INE121A01024</t>
  </si>
  <si>
    <t>Sun Pharmaceutical Industries Ltd</t>
  </si>
  <si>
    <t>INE044A01036</t>
  </si>
  <si>
    <t>Multi Commodity Exchange Of India Ltd</t>
  </si>
  <si>
    <t>INE745G01035</t>
  </si>
  <si>
    <t>Atul Ltd</t>
  </si>
  <si>
    <t>INE100A01010</t>
  </si>
  <si>
    <t>Chemicals</t>
  </si>
  <si>
    <t>Bharat Forge Ltd</t>
  </si>
  <si>
    <t>INE465A01025</t>
  </si>
  <si>
    <t>Balkrishna Industries Ltd</t>
  </si>
  <si>
    <t>INE787D01026</t>
  </si>
  <si>
    <t>Whirlpool Of India Ltd</t>
  </si>
  <si>
    <t>INE716A01013</t>
  </si>
  <si>
    <t>Abbott India Ltd</t>
  </si>
  <si>
    <t>INE358A01014</t>
  </si>
  <si>
    <t>Titan Co Ltd</t>
  </si>
  <si>
    <t>INE280A01028</t>
  </si>
  <si>
    <t>Vinati Organics Ltd</t>
  </si>
  <si>
    <t>INE410B01037</t>
  </si>
  <si>
    <t>Dr. Lal Path Labs Ltd</t>
  </si>
  <si>
    <t>INE600L01024</t>
  </si>
  <si>
    <t>Healthcare Services</t>
  </si>
  <si>
    <t>Navin Fluorine International Ltd</t>
  </si>
  <si>
    <t>INE048G01026</t>
  </si>
  <si>
    <t>Asian Paints Ltd</t>
  </si>
  <si>
    <t>INE021A01026</t>
  </si>
  <si>
    <t>Bata India Ltd</t>
  </si>
  <si>
    <t>INE176A01028</t>
  </si>
  <si>
    <t>SBI Cards and Payment Services Ltd</t>
  </si>
  <si>
    <t>INE018E01016</t>
  </si>
  <si>
    <t>HDFC Life Insurance Co Ltd</t>
  </si>
  <si>
    <t>INE795G01014</t>
  </si>
  <si>
    <t>Avenue Supermarts Ltd</t>
  </si>
  <si>
    <t>INE192R01011</t>
  </si>
  <si>
    <t>Retailing</t>
  </si>
  <si>
    <t>EPL Ltd</t>
  </si>
  <si>
    <t>INE255A01020</t>
  </si>
  <si>
    <t>IPCA Laboratories Ltd</t>
  </si>
  <si>
    <t>INE571A01020</t>
  </si>
  <si>
    <t>AIA Engineering Ltd</t>
  </si>
  <si>
    <t>INE212H01026</t>
  </si>
  <si>
    <t>UTI Asset Management Co Ltd</t>
  </si>
  <si>
    <t>INE094J01016</t>
  </si>
  <si>
    <t>Havells India Ltd</t>
  </si>
  <si>
    <t>INE176B01034</t>
  </si>
  <si>
    <t>Alkem Laboratories Ltd</t>
  </si>
  <si>
    <t>INE540L01014</t>
  </si>
  <si>
    <t>Nestle India Ltd</t>
  </si>
  <si>
    <t>INE239A01016</t>
  </si>
  <si>
    <t>Jubilant Foodworks Ltd</t>
  </si>
  <si>
    <t>INE797F01012</t>
  </si>
  <si>
    <t>Bajaj Auto Ltd</t>
  </si>
  <si>
    <t>INE917I01010</t>
  </si>
  <si>
    <t>ICICI Prudential Life Insurance Co Ltd</t>
  </si>
  <si>
    <t>INE726G01019</t>
  </si>
  <si>
    <t>Indiamart Intermesh Ltd</t>
  </si>
  <si>
    <t>INE933S01016</t>
  </si>
  <si>
    <t>Persistent Systems Ltd</t>
  </si>
  <si>
    <t>INE262H01013</t>
  </si>
  <si>
    <t>Larsen &amp; Toubro Infotech Ltd</t>
  </si>
  <si>
    <t>INE214T01019</t>
  </si>
  <si>
    <t>Mphasis Ltd</t>
  </si>
  <si>
    <t>INE356A01018</t>
  </si>
  <si>
    <t>Ashok Leyland Ltd</t>
  </si>
  <si>
    <t>INE208A01029</t>
  </si>
  <si>
    <t>Info Edge (India) Ltd</t>
  </si>
  <si>
    <t>INE663F01024</t>
  </si>
  <si>
    <t>J.K. Cement Ltd</t>
  </si>
  <si>
    <t>INE823G01014</t>
  </si>
  <si>
    <t>Tata Consumer Products Ltd</t>
  </si>
  <si>
    <t>INE192A01025</t>
  </si>
  <si>
    <t>LIC Housing Finance Ltd</t>
  </si>
  <si>
    <t>INE115A01026</t>
  </si>
  <si>
    <t>Dr. Reddy's Laboratories Ltd</t>
  </si>
  <si>
    <t>INE089A01023</t>
  </si>
  <si>
    <t>Aarti Industries Ltd</t>
  </si>
  <si>
    <t>INE769A01020</t>
  </si>
  <si>
    <t>AU Small Finance Bank Ltd</t>
  </si>
  <si>
    <t>INE949L01017</t>
  </si>
  <si>
    <t>Dabur India Ltd</t>
  </si>
  <si>
    <t>INE016A01026</t>
  </si>
  <si>
    <t>Mahindra &amp; Mahindra Financial Services Ltd</t>
  </si>
  <si>
    <t>INE774D01024</t>
  </si>
  <si>
    <t>Gland Pharma Ltd</t>
  </si>
  <si>
    <t>INE068V01023</t>
  </si>
  <si>
    <t>Kansai Nerolac Paints Ltd</t>
  </si>
  <si>
    <t>INE531A01024</t>
  </si>
  <si>
    <t>Aditya Birla Fashion and Retail Ltd</t>
  </si>
  <si>
    <t>INE647O01011</t>
  </si>
  <si>
    <t>City Union Bank Ltd</t>
  </si>
  <si>
    <t>INE491A01021</t>
  </si>
  <si>
    <t>Indian Railway Catering And Tourism Corp Ltd</t>
  </si>
  <si>
    <t>INE335Y01012</t>
  </si>
  <si>
    <t>Services</t>
  </si>
  <si>
    <t>Computer Age Management Services Ltd</t>
  </si>
  <si>
    <t>INE596I01012</t>
  </si>
  <si>
    <t>Century Textile &amp; Industries Ltd</t>
  </si>
  <si>
    <t>INE055A01016</t>
  </si>
  <si>
    <t>Paper</t>
  </si>
  <si>
    <t>Syngene International Ltd</t>
  </si>
  <si>
    <t>INE398R01022</t>
  </si>
  <si>
    <t>ISGEC Heavy Engineering Ltd</t>
  </si>
  <si>
    <t>INE858B01029</t>
  </si>
  <si>
    <t>IN9647O01019</t>
  </si>
  <si>
    <t>Orient Electric Ltd</t>
  </si>
  <si>
    <t>INE142Z01019</t>
  </si>
  <si>
    <t>Affle India Ltd</t>
  </si>
  <si>
    <t>INE00WC01019</t>
  </si>
  <si>
    <t>Marico Ltd</t>
  </si>
  <si>
    <t>INE196A01026</t>
  </si>
  <si>
    <t>Berger Paints India Ltd</t>
  </si>
  <si>
    <t>INE463A01038</t>
  </si>
  <si>
    <t>ITC Ltd</t>
  </si>
  <si>
    <t>INE154A01025</t>
  </si>
  <si>
    <t>ICICI Lombard General Insurance Co Ltd</t>
  </si>
  <si>
    <t>INE765G01017</t>
  </si>
  <si>
    <t>National Aluminium Co Ltd</t>
  </si>
  <si>
    <t>INE139A01034</t>
  </si>
  <si>
    <t>Deepak Nitrite Ltd</t>
  </si>
  <si>
    <t>INE288B01029</t>
  </si>
  <si>
    <t>Rallis India Ltd</t>
  </si>
  <si>
    <t>INE613A01020</t>
  </si>
  <si>
    <t>Subros Ltd</t>
  </si>
  <si>
    <t>INE287B01021</t>
  </si>
  <si>
    <t>V-Mart Retail Ltd</t>
  </si>
  <si>
    <t>INE665J01013</t>
  </si>
  <si>
    <t>K.P.R. Mill Ltd</t>
  </si>
  <si>
    <t>INE930H01023</t>
  </si>
  <si>
    <t>Textile Products</t>
  </si>
  <si>
    <t>Happiest Minds Technologies Ltd</t>
  </si>
  <si>
    <t>INE419U01012</t>
  </si>
  <si>
    <t>Galaxy Surfactants Ltd</t>
  </si>
  <si>
    <t>INE600K01018</t>
  </si>
  <si>
    <t>Central Depository Services (India) Ltd</t>
  </si>
  <si>
    <t>INE736A01011</t>
  </si>
  <si>
    <t>NOCIL Ltd</t>
  </si>
  <si>
    <t>INE163A01018</t>
  </si>
  <si>
    <t>Creditaccess Grameen Ltd</t>
  </si>
  <si>
    <t>INE741K01010</t>
  </si>
  <si>
    <t>BSE Ltd</t>
  </si>
  <si>
    <t>INE118H01025</t>
  </si>
  <si>
    <t>Greenply Industries Ltd</t>
  </si>
  <si>
    <t>INE461C01038</t>
  </si>
  <si>
    <t>Finolex Industries Ltd</t>
  </si>
  <si>
    <t>INE183A01016</t>
  </si>
  <si>
    <t>Hindustan Zinc Ltd</t>
  </si>
  <si>
    <t>INE267A01025</t>
  </si>
  <si>
    <t>Gulf Oil Lubricants India Ltd</t>
  </si>
  <si>
    <t>INE635Q01029</t>
  </si>
  <si>
    <t>Orient Refractories Ltd</t>
  </si>
  <si>
    <t>INE743M01012</t>
  </si>
  <si>
    <t>MindTree Ltd</t>
  </si>
  <si>
    <t>INE018I01017</t>
  </si>
  <si>
    <t>Teamlease Services Ltd</t>
  </si>
  <si>
    <t>INE985S01024</t>
  </si>
  <si>
    <t>Commercial Services</t>
  </si>
  <si>
    <t>EID Parry India Ltd</t>
  </si>
  <si>
    <t>INE126A01031</t>
  </si>
  <si>
    <t>Fertilisers</t>
  </si>
  <si>
    <t>Blue Dart Express Ltd</t>
  </si>
  <si>
    <t>INE233B01017</t>
  </si>
  <si>
    <t>The Great Eastern Shipping Co Ltd</t>
  </si>
  <si>
    <t>INE017A01032</t>
  </si>
  <si>
    <t>Dhanuka Agritech Ltd</t>
  </si>
  <si>
    <t>INE435G01025</t>
  </si>
  <si>
    <t>Avanti Feeds Ltd</t>
  </si>
  <si>
    <t>INE871C01038</t>
  </si>
  <si>
    <t>J.B. Chemicals &amp; Pharmaceuticals Ltd</t>
  </si>
  <si>
    <t>INE572A01028</t>
  </si>
  <si>
    <t>Indian Energy Exchange Ltd</t>
  </si>
  <si>
    <t>INE022Q01020</t>
  </si>
  <si>
    <t>Escorts Ltd</t>
  </si>
  <si>
    <t>INE042A01014</t>
  </si>
  <si>
    <t>Fine Organic Industries Ltd</t>
  </si>
  <si>
    <t>INE686Y01026</t>
  </si>
  <si>
    <t>Cera Sanitaryware Ltd</t>
  </si>
  <si>
    <t>INE739E01017</t>
  </si>
  <si>
    <t>Cholamandalam Financial Holdings Ltd</t>
  </si>
  <si>
    <t>INE149A01033</t>
  </si>
  <si>
    <t>DCB Bank Ltd</t>
  </si>
  <si>
    <t>INE503A01015</t>
  </si>
  <si>
    <t>Greenlam Industries Ltd</t>
  </si>
  <si>
    <t>INE544R01013</t>
  </si>
  <si>
    <t>SBI Life Insurance Co Ltd</t>
  </si>
  <si>
    <t>INE123W01016</t>
  </si>
  <si>
    <t>Debt Instruments</t>
  </si>
  <si>
    <t>4.96% LIC Housing Finance Ltd (14/09/2023) **</t>
  </si>
  <si>
    <t>INE115A07OZ3</t>
  </si>
  <si>
    <t>CARE AAA</t>
  </si>
  <si>
    <t>7.87% Housing Development Finance Corporation Ltd (18/07/2022)</t>
  </si>
  <si>
    <t>INE001A07RW5</t>
  </si>
  <si>
    <t>CRISIL AAA</t>
  </si>
  <si>
    <t>7.40% Power Finance Corporation Ltd (30/09/2021) **</t>
  </si>
  <si>
    <t>INE134E08IM4</t>
  </si>
  <si>
    <t>8.65% Reliance Industries Ltd (11/12/2028) **</t>
  </si>
  <si>
    <t>INE002A08567</t>
  </si>
  <si>
    <t>7.17% Reliance Industries Ltd (08/11/2022) **</t>
  </si>
  <si>
    <t>INE002A08500</t>
  </si>
  <si>
    <t>7.21% Housing Development Finance Corporation Ltd (30/12/2022)</t>
  </si>
  <si>
    <t>INE001A07SD3</t>
  </si>
  <si>
    <t>7.22% LIC Housing Finance Ltd (19/11/2021) **</t>
  </si>
  <si>
    <t>INE115A07OP4</t>
  </si>
  <si>
    <t>7.15% Housing Development Finance Corporation Ltd (16/09/2021) **</t>
  </si>
  <si>
    <t>INE001A07RY1</t>
  </si>
  <si>
    <t>5.45% NTPC Ltd (15/10/2025)</t>
  </si>
  <si>
    <t>INE733E08163</t>
  </si>
  <si>
    <t>7.99% Housing Development Finance Corporation Ltd (11/07/2024) **</t>
  </si>
  <si>
    <t>INE001A07RV7</t>
  </si>
  <si>
    <t>7.39% LIC Housing Finance Ltd (30/08/2022)</t>
  </si>
  <si>
    <t>INE115A07MJ1</t>
  </si>
  <si>
    <t>8.40% Indian Railway Finance Corporation Ltd (08/01/2029) **</t>
  </si>
  <si>
    <t>INE053F07AZ4</t>
  </si>
  <si>
    <t>7.69% National Bank For Agriculture &amp; Rural Development (29/05/2024) **</t>
  </si>
  <si>
    <t>INE261F08BK1</t>
  </si>
  <si>
    <t>7.75% LIC Housing Finance Ltd (23/07/2024) **</t>
  </si>
  <si>
    <t>INE115A07OL3</t>
  </si>
  <si>
    <t>7.45% REC Ltd (30/11/2022)</t>
  </si>
  <si>
    <t>INE020B08AP1</t>
  </si>
  <si>
    <t>7.50% Power Finance Corporation Ltd (16/08/2021) **</t>
  </si>
  <si>
    <t>INE134E08IH4</t>
  </si>
  <si>
    <t>7.65% Small Industries Development Bank Of India (15/04/2021) **</t>
  </si>
  <si>
    <t>INE556F08JD2</t>
  </si>
  <si>
    <t>0.00% Sundaram Finance Ltd (15/06/2021) **</t>
  </si>
  <si>
    <t>INE660A07PN1</t>
  </si>
  <si>
    <t>ICRA AAA</t>
  </si>
  <si>
    <t>8.22% National Bank For Agriculture &amp; Rural Development (13/12/2028) **</t>
  </si>
  <si>
    <t>INE261F08AV0</t>
  </si>
  <si>
    <t>8.35% Indian Railway Finance Corporation Ltd (13/03/2029) **</t>
  </si>
  <si>
    <t>INE053F07BC1</t>
  </si>
  <si>
    <t>8.80% LIC Housing Finance Ltd (25/01/2029) **</t>
  </si>
  <si>
    <t>INE115A07NU6</t>
  </si>
  <si>
    <t>8.33% LIC Housing Finance Ltd (31/05/2024) **</t>
  </si>
  <si>
    <t>INE115A07OE8</t>
  </si>
  <si>
    <t>7.79% LIC Housing Finance Ltd (18/10/2024) **</t>
  </si>
  <si>
    <t>INE115A07OM1</t>
  </si>
  <si>
    <t>7.09% REC Ltd (13/12/2022) **</t>
  </si>
  <si>
    <t>INE020B08CD3</t>
  </si>
  <si>
    <t>6.27% Small Industries Development Bank Of India (27/02/2023) **</t>
  </si>
  <si>
    <t>INE556F08JP6</t>
  </si>
  <si>
    <t>8.70% Reliance Industries Ltd (15/06/2021) **</t>
  </si>
  <si>
    <t>INE110L07112</t>
  </si>
  <si>
    <t>7.47% Power Finance Corporation Ltd (16/09/2021)</t>
  </si>
  <si>
    <t>INE134E08IJ0</t>
  </si>
  <si>
    <t>7.70% REC Ltd (15/03/2021) **</t>
  </si>
  <si>
    <t>INE020B08AS5</t>
  </si>
  <si>
    <t>8.30% Reliance Industries Ltd (08/03/2022) **</t>
  </si>
  <si>
    <t>INE002A08575</t>
  </si>
  <si>
    <t>8.13% Power Grid Corporation of India Ltd (25/04/2024) **</t>
  </si>
  <si>
    <t>INE752E07NQ6</t>
  </si>
  <si>
    <t>7.85% Power Finance Corporation Ltd (03/04/2028) **</t>
  </si>
  <si>
    <t>INE134E08JP5</t>
  </si>
  <si>
    <t>7.32% NTPC Ltd (17/07/2029) **</t>
  </si>
  <si>
    <t>INE733E07KL3</t>
  </si>
  <si>
    <t>7.35% Bharat Petroleum Corporation Ltd (10/03/2022) **</t>
  </si>
  <si>
    <t>INE029A07075</t>
  </si>
  <si>
    <t>8.60% National Bank For Agriculture &amp; Rural Development (31/01/2022) **</t>
  </si>
  <si>
    <t>INE261F08AI7</t>
  </si>
  <si>
    <t>Government Bonds</t>
  </si>
  <si>
    <t>6.84% GOI (19/12/2022)</t>
  </si>
  <si>
    <t>IN0020160050</t>
  </si>
  <si>
    <t>Sovereign</t>
  </si>
  <si>
    <t>6.17% GOI (15/07/2021)</t>
  </si>
  <si>
    <t>IN0020190099</t>
  </si>
  <si>
    <t>7.37% GOI (16/04/2023)</t>
  </si>
  <si>
    <t>IN0020180025</t>
  </si>
  <si>
    <t>8.15% GOI (11/06/2022)</t>
  </si>
  <si>
    <t>IN0020120013</t>
  </si>
  <si>
    <t>6.79% GOI (15/05/2027)</t>
  </si>
  <si>
    <t>IN0020170026</t>
  </si>
  <si>
    <t>5.85% GOI (01/12/2030)</t>
  </si>
  <si>
    <t>IN0020200294</t>
  </si>
  <si>
    <t>5.77% GOI (03/08/2030)</t>
  </si>
  <si>
    <t>IN0020200153</t>
  </si>
  <si>
    <t>7.35% GOI (22/06/2024)</t>
  </si>
  <si>
    <t>IN0020090034</t>
  </si>
  <si>
    <t>7.26% GOI (14/01/2029)</t>
  </si>
  <si>
    <t>IN0020180454</t>
  </si>
  <si>
    <t>8.24% GOI (15/02/2027)</t>
  </si>
  <si>
    <t>IN0020060078</t>
  </si>
  <si>
    <t>8.15% GOI (24/11/2026)</t>
  </si>
  <si>
    <t>IN0020140060</t>
  </si>
  <si>
    <t>7.42% Maharashtra SDL 11-May-22</t>
  </si>
  <si>
    <t>IN2220170012</t>
  </si>
  <si>
    <t>8.81% Small Industries Development Bank Of India (25/01/2022) **</t>
  </si>
  <si>
    <t>INE556F08JI1</t>
  </si>
  <si>
    <t>Money Market Instruments</t>
  </si>
  <si>
    <t>Treasury Bill</t>
  </si>
  <si>
    <t>364 DAYS INDIA TREASURY BILLS 04-FEB-21</t>
  </si>
  <si>
    <t>IN002019Z461</t>
  </si>
  <si>
    <t xml:space="preserve"> Sovereign</t>
  </si>
  <si>
    <t>182 DAYS INDIA TREASURY BILLS 25-FEB-21</t>
  </si>
  <si>
    <t>IN002020Y215</t>
  </si>
  <si>
    <t>7.17% GOI (08/01/2028)</t>
  </si>
  <si>
    <t>IN0020170174</t>
  </si>
  <si>
    <t>7.57% GOI (17/06/2033)</t>
  </si>
  <si>
    <t>IN0020190065</t>
  </si>
  <si>
    <t>6.79% GOI (26/12/2029)</t>
  </si>
  <si>
    <t>IN0020160118</t>
  </si>
  <si>
    <t>6.45% GOI (07/10/2029)</t>
  </si>
  <si>
    <t>IN0020190362</t>
  </si>
  <si>
    <t>6.68% GOI (17/09/2031)</t>
  </si>
  <si>
    <t>IN0020170042</t>
  </si>
  <si>
    <t>6.22% GOI (16/03/2035)</t>
  </si>
  <si>
    <t>IN0020200245</t>
  </si>
  <si>
    <t>8.13% GOI (22/06/2045)</t>
  </si>
  <si>
    <t>IN0020150044</t>
  </si>
  <si>
    <t>7.48% Indian Railway Finance Corporation Ltd (13/08/2029) **</t>
  </si>
  <si>
    <t>INE053F07BU3</t>
  </si>
  <si>
    <t>7.14% REC Ltd (09/12/2021)</t>
  </si>
  <si>
    <t>INE020B08AB1</t>
  </si>
  <si>
    <t>8.79% LIC Housing Finance Ltd (05/03/2024)</t>
  </si>
  <si>
    <t>INE115A07NY8</t>
  </si>
  <si>
    <t>8.13% Power Grid Corporation of India Ltd (25/04/2023) **</t>
  </si>
  <si>
    <t>INE752E07NP8</t>
  </si>
  <si>
    <t>7.43% National Bank For Agriculture &amp; Rural Development (31/01/2030) **</t>
  </si>
  <si>
    <t>INE261F08BX4</t>
  </si>
  <si>
    <t>7.50% Housing Development Finance Corporation Ltd (08/01/2025) **</t>
  </si>
  <si>
    <t>INE001A07SE1</t>
  </si>
  <si>
    <t>6.87% National Bank For Agriculture &amp; Rural Development (08/03/2030) **</t>
  </si>
  <si>
    <t>INE261F08CB8</t>
  </si>
  <si>
    <t>8.39% National Bank For Agriculture &amp; Rural Development (19/07/2021) **</t>
  </si>
  <si>
    <t>INE261F08AL1</t>
  </si>
  <si>
    <t>6.68% UTTAR PRADESH SDL 16-SEP-30</t>
  </si>
  <si>
    <t>IN3320200097</t>
  </si>
  <si>
    <t>6.50% GUJARAT SDL 11-NOV-30</t>
  </si>
  <si>
    <t>IN1520200206</t>
  </si>
  <si>
    <t>6.19% GOI (16/09/2034)</t>
  </si>
  <si>
    <t>IN0020200096</t>
  </si>
  <si>
    <t>8.47% Maharashtra SDL 10-Feb-26</t>
  </si>
  <si>
    <t>IN2220150188</t>
  </si>
  <si>
    <t>8.2534% LIC Housing Finance Ltd (17/09/2021) **</t>
  </si>
  <si>
    <t>INE115A07OA6</t>
  </si>
  <si>
    <t>7.35% Power Finance Corporation Ltd (15/10/2022) **</t>
  </si>
  <si>
    <t>INE134E08KG2</t>
  </si>
  <si>
    <t>8.18% Power Finance Corporation Ltd (19/03/2022)</t>
  </si>
  <si>
    <t>INE134E08JW1</t>
  </si>
  <si>
    <t>9.36% Power Finance Corporation Ltd (01/08/2021) **</t>
  </si>
  <si>
    <t>INE134E08DR4</t>
  </si>
  <si>
    <t>7.66% LIC Housing Finance Ltd (21/10/2021) **</t>
  </si>
  <si>
    <t>INE115A07KR8</t>
  </si>
  <si>
    <t>6.32% REC Ltd (31/12/2021)</t>
  </si>
  <si>
    <t>INE020B08CL6</t>
  </si>
  <si>
    <t>8.32% Reliance Industries Ltd (08/07/2021) **</t>
  </si>
  <si>
    <t>INE110L07070</t>
  </si>
  <si>
    <t>6.57% LIC Housing Finance Ltd (13/07/2021) **</t>
  </si>
  <si>
    <t>INE115A07OT6</t>
  </si>
  <si>
    <t>6.99% Housing Development Finance Corporation Ltd (25/11/2021)</t>
  </si>
  <si>
    <t>INE001A07SC5</t>
  </si>
  <si>
    <t>6.99% Small Industries Development Bank Of India (08/08/2022) **</t>
  </si>
  <si>
    <t>INE556F08JN1</t>
  </si>
  <si>
    <t>4.58% Small Industries Development Bank Of India (18/12/2023) **</t>
  </si>
  <si>
    <t>INE556F08JR2</t>
  </si>
  <si>
    <t>7.49% Power Grid Corporation of India Ltd (25/10/2024) **</t>
  </si>
  <si>
    <t>INE752E08593</t>
  </si>
  <si>
    <t>8.02% Larsen &amp; Toubro Ltd (22/05/2022) **</t>
  </si>
  <si>
    <t>INE018A08AS1</t>
  </si>
  <si>
    <t>6.75% Power Finance Corporation Ltd (22/05/2023) **</t>
  </si>
  <si>
    <t>INE134E08KS7</t>
  </si>
  <si>
    <t>8.13% Power Grid Corporation of India Ltd (25/04/2022) **</t>
  </si>
  <si>
    <t>INE752E07NO1</t>
  </si>
  <si>
    <t>7.24% REC Ltd (31/12/2022)</t>
  </si>
  <si>
    <t>INE020B08CG6</t>
  </si>
  <si>
    <t>6.98% National Bank For Agriculture &amp; Rural Development (19/09/2022) **</t>
  </si>
  <si>
    <t>INE261F08BO3</t>
  </si>
  <si>
    <t>7.24% LIC Housing Finance Ltd (23/08/2021) **</t>
  </si>
  <si>
    <t>INE115A07OK5</t>
  </si>
  <si>
    <t>Certificate of Deposit</t>
  </si>
  <si>
    <t>Bank of Baroda (01/06/2021) ** #</t>
  </si>
  <si>
    <t>INE028A16CG4</t>
  </si>
  <si>
    <t>IND A1+</t>
  </si>
  <si>
    <t>National Bank For Agriculture &amp; Rural Development (17/06/2021) ** #</t>
  </si>
  <si>
    <t>INE261F16546</t>
  </si>
  <si>
    <t>Axis Bank Ltd (22/10/2021) ** #</t>
  </si>
  <si>
    <t>INE238A166U3</t>
  </si>
  <si>
    <t>CRISIL A1+</t>
  </si>
  <si>
    <t>Axis Bank Ltd (10/03/2021) ** #</t>
  </si>
  <si>
    <t>INE238A165U5</t>
  </si>
  <si>
    <t>Axis Bank Ltd (12/02/2021) ** #</t>
  </si>
  <si>
    <t>INE238A161U4</t>
  </si>
  <si>
    <t>Commercial Paper</t>
  </si>
  <si>
    <t>Sundaram Finance Ltd (18/03/2021) ** #</t>
  </si>
  <si>
    <t>INE660A14VN5</t>
  </si>
  <si>
    <t>ICRA A1+</t>
  </si>
  <si>
    <t>Godrej Industries Ltd (26/04/2021) ** #</t>
  </si>
  <si>
    <t>INE233A14RD0</t>
  </si>
  <si>
    <t>Housing Development Finance Corporation Ltd (10/03/2021) #</t>
  </si>
  <si>
    <t>INE001A14WM2</t>
  </si>
  <si>
    <t>Reliance Industries Ltd (02/03/2021) ** #</t>
  </si>
  <si>
    <t>INE002A14EM8</t>
  </si>
  <si>
    <t>Larsen &amp; Toubro Ltd (25/03/2021) ** #</t>
  </si>
  <si>
    <t>INE018A14ID4</t>
  </si>
  <si>
    <t>National Bank For Agriculture &amp; Rural Development (01/06/2021) ** #</t>
  </si>
  <si>
    <t>INE261F14HF6</t>
  </si>
  <si>
    <t>Reliance Industries Ltd (15/06/2021) #</t>
  </si>
  <si>
    <t>INE002A14FP8</t>
  </si>
  <si>
    <t>CARE A1+</t>
  </si>
  <si>
    <t>182 DAYS INDIA TREASURY BILLS 24-JUN-21</t>
  </si>
  <si>
    <t>IN002020Y389</t>
  </si>
  <si>
    <t>182 DAYS INDIA TREASURY BILLS 15-JUL-21</t>
  </si>
  <si>
    <t>IN002020Y413</t>
  </si>
  <si>
    <t>364 DAYS INDIA TREASURY BILLS 29-JUL-21</t>
  </si>
  <si>
    <t>IN002020Z170</t>
  </si>
  <si>
    <t>364 DAYS INDIA TREASURY BILLS 22-JUL-21</t>
  </si>
  <si>
    <t>IN002020Z162</t>
  </si>
  <si>
    <t>364 DAYS INDIA TREASURY BILLS 15-APR-21</t>
  </si>
  <si>
    <t>IN002020Z022</t>
  </si>
  <si>
    <t>364 DAYS INDIA TREASURY BILLS 08-APR-21</t>
  </si>
  <si>
    <t>IN002020Z014</t>
  </si>
  <si>
    <t>182 DAYS INDIA TREASURY BILLS 29-APR-21</t>
  </si>
  <si>
    <t>IN002020Y298</t>
  </si>
  <si>
    <t>364 DAYS INDIA TREASURY BILLS 07-MAY-21</t>
  </si>
  <si>
    <t>IN002020Z055</t>
  </si>
  <si>
    <t>5.54% GOI (15/10/2021)</t>
  </si>
  <si>
    <t>IN2120200059</t>
  </si>
  <si>
    <t>9.23% GUJARAT SDL 23-NOV-21</t>
  </si>
  <si>
    <t>IN1520110090</t>
  </si>
  <si>
    <t>#  Unlisted Security</t>
  </si>
  <si>
    <t>Dalmia Bharat Ltd</t>
  </si>
  <si>
    <t>INE00R701025</t>
  </si>
  <si>
    <t>Transport Corporation of India Ltd</t>
  </si>
  <si>
    <t>INE688A01022</t>
  </si>
  <si>
    <t>8.95% Reliance Industries Ltd (09/11/2028) **</t>
  </si>
  <si>
    <t>INE002A08542</t>
  </si>
  <si>
    <t>364 DAYS INDIA TREASURY BILLS 23-SEP-21</t>
  </si>
  <si>
    <t>IN002020Z253</t>
  </si>
  <si>
    <t>6.58% UTTAR PRADESH SDL 25-NOV-30</t>
  </si>
  <si>
    <t>IN3320200188</t>
  </si>
  <si>
    <t>8.49% Punjab SDL Uday 31-Mar-22</t>
  </si>
  <si>
    <t>IN2820150273</t>
  </si>
  <si>
    <t>7.72% GOI (26/10/2055)</t>
  </si>
  <si>
    <t>IN0020150077</t>
  </si>
  <si>
    <t>7.59% GOI (11/01/2026)</t>
  </si>
  <si>
    <t>IN0020150093</t>
  </si>
  <si>
    <t>Kotak Mahindra Bank Ltd (10/02/2021) ** #</t>
  </si>
  <si>
    <t>INE237A162M0</t>
  </si>
  <si>
    <t>Bank of Baroda (11/02/2021) ** #</t>
  </si>
  <si>
    <t>INE028A16BX1</t>
  </si>
  <si>
    <t>National Bank For Agriculture &amp; Rural Development (03/02/2021) #</t>
  </si>
  <si>
    <t>INE261F16488</t>
  </si>
  <si>
    <t>Axis Bank Ltd (05/02/2021) #</t>
  </si>
  <si>
    <t>INE238A160U6</t>
  </si>
  <si>
    <t>NTPC Ltd (01/02/2021) #</t>
  </si>
  <si>
    <t>INE733E14948</t>
  </si>
  <si>
    <t>Bajaj Finance Ltd (01/02/2021) #</t>
  </si>
  <si>
    <t>INE296A14RF2</t>
  </si>
  <si>
    <t>Oil &amp; Natural Gas Corporation Ltd (02/02/2021) ** #</t>
  </si>
  <si>
    <t>INE213A14253</t>
  </si>
  <si>
    <t>National Bank For Agriculture &amp; Rural Development (02/03/2021) #</t>
  </si>
  <si>
    <t>INE261F14GU7</t>
  </si>
  <si>
    <t>Housing Development Finance Corporation Ltd (24/02/2021) #</t>
  </si>
  <si>
    <t>INE001A14WK6</t>
  </si>
  <si>
    <t>LIC Housing Finance Ltd (10/03/2021) ** #</t>
  </si>
  <si>
    <t>INE115A14CN0</t>
  </si>
  <si>
    <t>364 DAYS INDIA TREASURY BILLS 11-FEB-21</t>
  </si>
  <si>
    <t>IN002019Z479</t>
  </si>
  <si>
    <t>182 DAYS INDIA TREASURY BILLS 04-MAR-21</t>
  </si>
  <si>
    <t>IN002020Y223</t>
  </si>
  <si>
    <t>91 DAYS INDIA TREASURY BILLS 04-FEB-21</t>
  </si>
  <si>
    <t>IN002020X324</t>
  </si>
  <si>
    <t>364 DAYS INDIA TREASURY BILLS 04-MAR-21</t>
  </si>
  <si>
    <t>IN002019Z503</t>
  </si>
  <si>
    <t>7.67% LIC Housing Finance Ltd (29/07/2021) **</t>
  </si>
  <si>
    <t>INE115A07LX4</t>
  </si>
  <si>
    <t>7.20% Power Grid Corporation of India Ltd (21/12/2021) **</t>
  </si>
  <si>
    <t>INE752E07OD2</t>
  </si>
  <si>
    <t>7.06% Housing Development Finance Corporation Ltd (13/12/2021)</t>
  </si>
  <si>
    <t>INE001A07SL6</t>
  </si>
  <si>
    <t>7.10% Power Finance Corporation Ltd (08/08/2022) **</t>
  </si>
  <si>
    <t>INE134E08JD1</t>
  </si>
  <si>
    <t>8.70% Reliance Industries Ltd (16/07/2021) **</t>
  </si>
  <si>
    <t>INE110L07120</t>
  </si>
  <si>
    <t>9.4041% L&amp;T Housing Finance Ltd (11/10/2021) **</t>
  </si>
  <si>
    <t>INE476M07BQ0</t>
  </si>
  <si>
    <t>National Bank For Agriculture &amp; Rural Development (27/07/2021) ** #</t>
  </si>
  <si>
    <t>INE261F16553</t>
  </si>
  <si>
    <t>Reliance Industries Ltd (25/02/2021) ** #</t>
  </si>
  <si>
    <t>INE002A14GT8</t>
  </si>
  <si>
    <t>182 DAYS INDIA TREASURY BILLS 18-FEB-21</t>
  </si>
  <si>
    <t>IN002020Y207</t>
  </si>
  <si>
    <t>364 DAYS INDIA TREASURY BILLS 26-AUG-21</t>
  </si>
  <si>
    <t>IN002020Z212</t>
  </si>
  <si>
    <t>5.05% Indian Oil Corporation Ltd (25/11/2022) **</t>
  </si>
  <si>
    <t>INE242A08460</t>
  </si>
  <si>
    <t>6.59% Indian Railway Finance Corporation Ltd (14/04/2023) **</t>
  </si>
  <si>
    <t>INE053F07BZ2</t>
  </si>
  <si>
    <t>6.72% Power Finance Corporation Ltd (09/06/2023) **</t>
  </si>
  <si>
    <t>INE134E08KW9</t>
  </si>
  <si>
    <t>7.42% Power Finance Corporation Ltd (19/11/2024) **</t>
  </si>
  <si>
    <t>INE134E08KH0</t>
  </si>
  <si>
    <t>7.20% Housing Development Finance Corporation Ltd (13/04/2023) **</t>
  </si>
  <si>
    <t>INE001A07SJ0</t>
  </si>
  <si>
    <t>7.4450% LIC HOUSING FINANCE LTD13-JAN-23 **</t>
  </si>
  <si>
    <t>INE115A07OJ7</t>
  </si>
  <si>
    <t>6.70% National Bank For Agriculture &amp; Rural Development (11/11/2022) **</t>
  </si>
  <si>
    <t>INE261F08BQ8</t>
  </si>
  <si>
    <t>5.32% National Housing Bank (01/09/2023) **</t>
  </si>
  <si>
    <t>INE557F08FK3</t>
  </si>
  <si>
    <t>7.16% Power Finance Corporation Ltd (24/04/2025) **</t>
  </si>
  <si>
    <t>INE134E08KP3</t>
  </si>
  <si>
    <t>7.95% Small Industries Development Bank Of India (26/04/2022) **</t>
  </si>
  <si>
    <t>INE556F08JK7</t>
  </si>
  <si>
    <t>8.15% REC Ltd (10/06/2022) **</t>
  </si>
  <si>
    <t>INE020B08BT1</t>
  </si>
  <si>
    <t>7.87% Larsen &amp; Toubro Ltd (18/04/2022) **</t>
  </si>
  <si>
    <t>INE018A08AR3</t>
  </si>
  <si>
    <t>6.80% Small Industries Development Bank Of India (29/09/2022) **</t>
  </si>
  <si>
    <t>INE556F08JO9</t>
  </si>
  <si>
    <t>5.40% Housing Development Finance Corporation Ltd (11/08/2023)</t>
  </si>
  <si>
    <t>INE001A07SP7</t>
  </si>
  <si>
    <t>7.20% Power Grid Corporation of India Ltd (09/08/2027) **</t>
  </si>
  <si>
    <t>INE752E07OG5</t>
  </si>
  <si>
    <t>7.85% LIC Housing Finance Ltd (23/09/2022) **</t>
  </si>
  <si>
    <t>INE115A07OG3</t>
  </si>
  <si>
    <t>7.85% National Bank For Agriculture &amp; Rural Development (23/05/2022) **</t>
  </si>
  <si>
    <t>INE261F08BJ3</t>
  </si>
  <si>
    <t>7.00% Reliance Industries Ltd (31/08/2022) **</t>
  </si>
  <si>
    <t>INE002A08476</t>
  </si>
  <si>
    <t>6.93% UltraTech Cement Ltd (25/11/2021) **</t>
  </si>
  <si>
    <t>INE481G08032</t>
  </si>
  <si>
    <t>4.50% Housing Development Finance Corporation Ltd (14/12/2022) **</t>
  </si>
  <si>
    <t>INE001A07SU7</t>
  </si>
  <si>
    <t>8.40% Power Grid Corporation of India Ltd (14/09/2021) **</t>
  </si>
  <si>
    <t>INE752E07MZ9</t>
  </si>
  <si>
    <t>8.40% Power Grid Corporation of India Ltd (27/05/2026) **</t>
  </si>
  <si>
    <t>INE752E07MS4</t>
  </si>
  <si>
    <t>8.40% Power Grid Corporation of India Ltd (27/05/2027) **</t>
  </si>
  <si>
    <t>INE752E07MT2</t>
  </si>
  <si>
    <t>8.50% National Bank For Agriculture &amp; Rural Development (31/01/2023) **</t>
  </si>
  <si>
    <t>INE261F08AT4</t>
  </si>
  <si>
    <t>7.55% Indian Railway Finance Corporation Ltd (12/04/2030) **</t>
  </si>
  <si>
    <t>INE053F07BY5</t>
  </si>
  <si>
    <t>8.50% LIC Housing Finance Ltd (20/06/2022)</t>
  </si>
  <si>
    <t>INE115A07OD0</t>
  </si>
  <si>
    <t>6.72% NTPC Ltd (24/11/2021) **</t>
  </si>
  <si>
    <t>INE733E07KH1</t>
  </si>
  <si>
    <t>8.10% NTPC Ltd (27/05/2021) **</t>
  </si>
  <si>
    <t>INE733E07KB4</t>
  </si>
  <si>
    <t>8.58% Housing Development Finance Corporation Ltd (18/03/2022) **</t>
  </si>
  <si>
    <t>INE001A07RS3</t>
  </si>
  <si>
    <t>364 DAYS INDIA TREASURY BILLS 16-SEP-21</t>
  </si>
  <si>
    <t>IN002020Z246</t>
  </si>
  <si>
    <t>364 DAYS INDIA TREASURY BILLS 05-AUG-21</t>
  </si>
  <si>
    <t>IN002020Z188</t>
  </si>
  <si>
    <t>4.48% GOI (02/11/2023)</t>
  </si>
  <si>
    <t>IN0020200211</t>
  </si>
  <si>
    <t>8.75% UTTAR PRADESH SDL 11-JAN-22</t>
  </si>
  <si>
    <t>IN3320110130</t>
  </si>
  <si>
    <t>8.62% MAHARASHTRA SDL 06-MAR-23</t>
  </si>
  <si>
    <t>IN2220120116</t>
  </si>
  <si>
    <t>8.85% MAHARASHTRA SDL 18-JUL-22</t>
  </si>
  <si>
    <t>IN2220120017</t>
  </si>
  <si>
    <t>8.84% TAMILNADU SDL 18-JUL-22</t>
  </si>
  <si>
    <t>IN3120120032</t>
  </si>
  <si>
    <t>8.27% Rajasthan SDL 23-Jun-22</t>
  </si>
  <si>
    <t>IN2920160081</t>
  </si>
  <si>
    <t>8.21% Haryana SDL Uday 31-Mar-22</t>
  </si>
  <si>
    <t>IN1620150145</t>
  </si>
  <si>
    <t>8.88% GUJARAT SDL 06-JUN-22</t>
  </si>
  <si>
    <t>IN1520120032</t>
  </si>
  <si>
    <t>8.21% Rajasthan Uday 31-Mar-21</t>
  </si>
  <si>
    <t>IN2920150405</t>
  </si>
  <si>
    <t>7.86% Karnataka SDL 15-Mar-27</t>
  </si>
  <si>
    <t>IN1920160117</t>
  </si>
  <si>
    <t>8.73% NTPC Ltd (07/03/2023) **</t>
  </si>
  <si>
    <t>INE733E07JC4</t>
  </si>
  <si>
    <t>7.40% LIC Housing Finance Ltd (06/09/2024) **</t>
  </si>
  <si>
    <t>INE115A07ML7</t>
  </si>
  <si>
    <t>6.60% REC Ltd (21/03/2022)</t>
  </si>
  <si>
    <t>INE020B08CV5</t>
  </si>
  <si>
    <t>9.35% Power Grid Corporation of India Ltd (29/08/2023) **</t>
  </si>
  <si>
    <t>INE752E07IT0</t>
  </si>
  <si>
    <t>7.60% Grasim Industries Ltd (04/06/2024) **</t>
  </si>
  <si>
    <t>INE047A08158</t>
  </si>
  <si>
    <t>7.40% National Bank For Agriculture &amp; Rural Development (19/03/2030) **</t>
  </si>
  <si>
    <t>INE261F08CC6</t>
  </si>
  <si>
    <t>7.50% Indian Railway Finance Corporation Ltd (07/09/2029) **</t>
  </si>
  <si>
    <t>INE053F07BW9</t>
  </si>
  <si>
    <t>7.28% Housing Development Finance Corporation Ltd (26/09/2022)</t>
  </si>
  <si>
    <t>INE001A07RZ8</t>
  </si>
  <si>
    <t>7.80% LIC Housing Finance Ltd (03/05/2022) **</t>
  </si>
  <si>
    <t>INE115A07LQ8</t>
  </si>
  <si>
    <t>7.25% Housing Development Finance Corporation Ltd (17/06/2030) **</t>
  </si>
  <si>
    <t>INE001A07SO0</t>
  </si>
  <si>
    <t>0.00% Aditya Birla Finance Ltd (12/10/2021) **</t>
  </si>
  <si>
    <t>INE860H07GD2</t>
  </si>
  <si>
    <t>8.84% MAHARASHTRA SDL 17-OCT-22</t>
  </si>
  <si>
    <t>IN2220120058</t>
  </si>
  <si>
    <t>8.72% MAHARASHTRA SDL 11-JAN-22</t>
  </si>
  <si>
    <t>IN2220110083</t>
  </si>
  <si>
    <t>9.25% UTTAR PRADESH SDL 23-NOV-21</t>
  </si>
  <si>
    <t>IN3320110106</t>
  </si>
  <si>
    <t>6.70% GUJARAT SDL 23-SEP-30</t>
  </si>
  <si>
    <t>IN1520200156</t>
  </si>
  <si>
    <t>Petronet LNG Ltd</t>
  </si>
  <si>
    <t>INE347G01014</t>
  </si>
  <si>
    <t>0.00% Kotak Mahindra Prime Ltd (29/03/2021) **</t>
  </si>
  <si>
    <t>INE916DA7PK1</t>
  </si>
  <si>
    <t>0.00% HDB Financial Services Ltd (06/04/2021) **</t>
  </si>
  <si>
    <t>INE756I07BW1</t>
  </si>
  <si>
    <t>7.65% Indian Railway Finance Corporation Ltd (15/03/2021) **</t>
  </si>
  <si>
    <t>INE053F07AK6</t>
  </si>
  <si>
    <t>7.73% Power Finance Corporation Ltd (12/03/2021) **</t>
  </si>
  <si>
    <t>INE134E08JJ8</t>
  </si>
  <si>
    <t>0.00% Mahindra &amp; Mahindra Financial Services Ltd (07/04/2021) **</t>
  </si>
  <si>
    <t>INE774D07RY7</t>
  </si>
  <si>
    <t>IND AAA</t>
  </si>
  <si>
    <t>8.33% NTPC Ltd (24/02/2021) **</t>
  </si>
  <si>
    <t>INE733E07JZ5</t>
  </si>
  <si>
    <t>8.75% LIC Housing Finance Ltd (12/02/2021) **</t>
  </si>
  <si>
    <t>INE115A07JB4</t>
  </si>
  <si>
    <t>8.75% Housing Development Finance Corporation Ltd (04/03/2021) **</t>
  </si>
  <si>
    <t>INE001A07OO9</t>
  </si>
  <si>
    <t>0.00% LIC Housing Finance Ltd (25/03/2021) **</t>
  </si>
  <si>
    <t>INE115A07MX2</t>
  </si>
  <si>
    <t>7.73% Power Finance Corporation Ltd (05/04/2021) **</t>
  </si>
  <si>
    <t>INE134E08JK6</t>
  </si>
  <si>
    <t>8.39% Rajasthan SDL 15-Mar-21</t>
  </si>
  <si>
    <t>IN2920150306</t>
  </si>
  <si>
    <t>8.43% Uttar Pradesh SDL Uday 29-Mar-21</t>
  </si>
  <si>
    <t>IN3320150656</t>
  </si>
  <si>
    <t>8.51% Uttar Pradesh SDL Uday 21-Mar-21</t>
  </si>
  <si>
    <t>IN3320150532</t>
  </si>
  <si>
    <t>V.I.P. Industries Ltd</t>
  </si>
  <si>
    <t>INE054A01027</t>
  </si>
  <si>
    <t>7.73% REC Ltd (15/06/2021) **</t>
  </si>
  <si>
    <t>INE020B08AW7</t>
  </si>
  <si>
    <t>7.93% Power Grid Corporation of India Ltd (20/05/2021) **</t>
  </si>
  <si>
    <t>INE752E07KS8</t>
  </si>
  <si>
    <t>8.71% HDB Financial Services Ltd (17/05/2021) **</t>
  </si>
  <si>
    <t>INE756I07CQ1</t>
  </si>
  <si>
    <t>9.57% Indian Railway Finance Corporation Ltd (31/05/2021) **</t>
  </si>
  <si>
    <t>INE053F09HR2</t>
  </si>
  <si>
    <t>9.64% Power Grid Corporation of India Ltd (31/05/2021) **</t>
  </si>
  <si>
    <t>INE752E07IG7</t>
  </si>
  <si>
    <t>7.18% REC Ltd (21/05/2021) **</t>
  </si>
  <si>
    <t>INE020B08AO4</t>
  </si>
  <si>
    <t>7.94% GOI (24/05/2021)</t>
  </si>
  <si>
    <t>IN0020060318</t>
  </si>
  <si>
    <t>10.25% GOI (30/05/2021)</t>
  </si>
  <si>
    <t>IN0020010040</t>
  </si>
  <si>
    <t>8.62% GUJARAT SDL 07-SEP-21</t>
  </si>
  <si>
    <t>IN1520110066</t>
  </si>
  <si>
    <t>7.95% LIC Housing Finance Ltd (24/03/2022) **</t>
  </si>
  <si>
    <t>INE115A07LM7</t>
  </si>
  <si>
    <t>8.99% GUJARAT SDL 14-MAR-22</t>
  </si>
  <si>
    <t>IN1520110132</t>
  </si>
  <si>
    <t>**  Non Traded Security</t>
  </si>
  <si>
    <t>Product Labeling ( Risk-o-meter) in Canara Robeco Mutual Fund schemes</t>
  </si>
  <si>
    <t>Sr No.</t>
  </si>
  <si>
    <t>Fund Name</t>
  </si>
  <si>
    <r>
      <t xml:space="preserve">Product Labelling
</t>
    </r>
    <r>
      <rPr>
        <sz val="12"/>
        <color theme="1"/>
        <rFont val="Taz SemiLight"/>
        <family val="2"/>
      </rPr>
      <t>This product is suitable for investors who are seeking*:</t>
    </r>
  </si>
  <si>
    <t>Existing Risk-o-meter Level</t>
  </si>
  <si>
    <t>Revised Risk-o-meter Level</t>
  </si>
  <si>
    <t>• Capital appreciation over long term
• Investing predominantly in equities and equity related instruments of large cap companies</t>
  </si>
  <si>
    <t>• Capital appreciation over long term
• Investment in equity and equity related instruments across large cap, mid cap, small cap stocks</t>
  </si>
  <si>
    <t>• Capital appreciation over long term
• Investing predominantly in equities and equity related instruments of both large cap and mid cap companies</t>
  </si>
  <si>
    <t>• Capital appreciation over long term
• Investment in equity and equity related securities with a statutory lock in of 3 years and tax benefit</t>
  </si>
  <si>
    <t>• Capital appreciation over long term
• Investing predominantly in equities and equity
related instruments of small cap companies</t>
  </si>
  <si>
    <t>• Capital appreciation over long term
• Investing in equities and equity related instruments of companies following the Infrastructure Theme</t>
  </si>
  <si>
    <t>• Capital appreciation over long term
• Investing in equity and equity related securities of companies following the Consumption and Financial Theme</t>
  </si>
  <si>
    <t>•  Regular income over short  term that may be in line with the overnight call rates
•  Investment in Overnight Securities</t>
  </si>
  <si>
    <t>•  Income/ Capital appreciation while maintaining a level of high liquidity
• Investment in a mix of Debt and Money Market instruments with maturity of upto 91 days only</t>
  </si>
  <si>
    <t>• Income/ Capital appreciation over ultra-short term through a low risk strategy
• Investment in a mix of Debt and Money Market instruments such that the Macaulay duration of the portfolio is between 3 months and 6 months</t>
  </si>
  <si>
    <t xml:space="preserve">• Income / Capital appreciation through a low duration strategy
• Investment in debt &amp; money market instruments such that the Macaulay duration of the portfolio is between 6 months and 12 months </t>
  </si>
  <si>
    <t>• Income / capital appreciation over short term
•Investment in debt &amp; money market instruments such that the Macaulay duration of the portfolio is between 1 year and 3 years</t>
  </si>
  <si>
    <t>• Income / capital appreciation through a low credit risk strategy
• Investment in a portfolio constituted predominantly of AA+ and above rated corporate bonds</t>
  </si>
  <si>
    <t>• Income/ Capital appreciation by dynamically managing duration
• Investment in Debt and Money Market securities across duration</t>
  </si>
  <si>
    <t>• Income / Capital appreciation over Medium to Long term
• Investment in debt &amp; money market instruments such that the Macaulay duration of the portfolio is between 4 years and 7 years (Portfolio Macaulay duration under anticipated adverse situation is 1 year to 7 years)</t>
  </si>
  <si>
    <t>• Risk free return (except interest rate risk) and long term capital appreciation
•  Investment in government securities across maturity</t>
  </si>
  <si>
    <t xml:space="preserve">• Income / Capital appreciation over medium term to long term.
• Investment predominantly in debt and money market instruments and small portion in equity </t>
  </si>
  <si>
    <t>•  Income/capital appreciation over long term
•  Investment predominantly in equity and equity related instruments and a small portion in debt and money market instruments</t>
  </si>
  <si>
    <t>CANARA ROBECO CAPITAL PROTECTION ORIENTED FUND– SERIES 9</t>
  </si>
  <si>
    <t>• Capital protection at maturity and capital appreciation over medium term
• Investment in debt and money market securities (70%-100%) and equity and equity related instruments (0%-30%)</t>
  </si>
  <si>
    <t>CANARA ROBECO CAPITAL PROTECTION ORIENTED FUND– SERIES 10</t>
  </si>
  <si>
    <t>• Income/ Capital appreciation over long term
• Investment primarily in Debt and Money Market instruments for regular returns &amp; equity and equity-related instruments for capital appreciation</t>
  </si>
  <si>
    <t>• Generate income over the tenure of the scheme
• Generate income by investing in debt and money market instruments</t>
  </si>
  <si>
    <t>*Investors should consult their financial advisers if in doubt about whether the product is suitable for them.</t>
  </si>
  <si>
    <r>
      <t xml:space="preserve">Note: The risk-o-meter level of respective schemes are revised based on the </t>
    </r>
    <r>
      <rPr>
        <i/>
        <sz val="10"/>
        <color rgb="FFFF0000"/>
        <rFont val="Taz SemiLight"/>
        <family val="2"/>
      </rPr>
      <t xml:space="preserve">Notice-cum-Addendum No.46., dated 09-02-2021. </t>
    </r>
    <r>
      <rPr>
        <i/>
        <sz val="10"/>
        <color theme="1"/>
        <rFont val="Taz SemiLight"/>
        <family val="2"/>
      </rPr>
      <t>However, there is no change in the product labelling of the schemes.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</si>
</sst>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b/>
      <sz val="9"/>
      <color indexed="72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16"/>
      <color theme="1"/>
      <name val="Taz SemiLight"/>
      <family val="2"/>
    </font>
    <font>
      <sz val="10"/>
      <color theme="1"/>
      <name val="Taz SemiLight"/>
      <family val="2"/>
    </font>
    <font>
      <b/>
      <sz val="12"/>
      <color theme="1"/>
      <name val="Taz SemiLight"/>
      <family val="2"/>
    </font>
    <font>
      <sz val="12"/>
      <color theme="1"/>
      <name val="Taz SemiLight"/>
      <family val="2"/>
    </font>
    <font>
      <b/>
      <sz val="10"/>
      <color theme="1"/>
      <name val="Taz SemiLight"/>
      <family val="2"/>
    </font>
    <font>
      <sz val="10"/>
      <color rgb="FFFF0000"/>
      <name val="Taz SemiLight"/>
      <family val="2"/>
    </font>
    <font>
      <i/>
      <sz val="10"/>
      <color theme="1"/>
      <name val="Taz SemiLight"/>
      <family val="2"/>
    </font>
    <font>
      <i/>
      <sz val="10"/>
      <color rgb="FFFF0000"/>
      <name val="Taz SemiLight"/>
      <family val="2"/>
    </font>
  </fonts>
  <fills count="6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64"/>
      </right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64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8" fillId="0" borderId="0"/>
  </cellStyleXfs>
  <cellXfs count="80">
    <xf numFmtId="0" fontId="0" fillId="0" borderId="0" xfId="0"/>
    <xf numFmtId="0" fontId="6" fillId="2" borderId="0" xfId="0" applyFont="1" applyFill="1"/>
    <xf numFmtId="0" fontId="3" fillId="2" borderId="0" xfId="0" applyFont="1" applyFill="1" applyAlignment="1">
      <alignment horizontal="left" vertical="top"/>
    </xf>
    <xf numFmtId="0" fontId="4" fillId="2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left" vertical="top" wrapText="1"/>
    </xf>
    <xf numFmtId="0" fontId="5" fillId="2" borderId="0" xfId="0" applyNumberFormat="1" applyFont="1" applyFill="1" applyAlignment="1">
      <alignment horizontal="left" vertical="top" wrapText="1"/>
    </xf>
    <xf numFmtId="4" fontId="5" fillId="2" borderId="0" xfId="0" applyNumberFormat="1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NumberFormat="1" applyFont="1" applyFill="1" applyBorder="1" applyAlignment="1">
      <alignment horizontal="center" vertical="center" wrapText="1"/>
    </xf>
    <xf numFmtId="4" fontId="2" fillId="2" borderId="2" xfId="0" applyNumberFormat="1" applyFont="1" applyFill="1" applyBorder="1" applyAlignment="1">
      <alignment horizontal="center" vertical="center" wrapText="1"/>
    </xf>
    <xf numFmtId="4" fontId="2" fillId="2" borderId="3" xfId="0" applyNumberFormat="1" applyFont="1" applyFill="1" applyBorder="1" applyAlignment="1">
      <alignment horizontal="center" vertical="center" wrapText="1"/>
    </xf>
    <xf numFmtId="0" fontId="6" fillId="2" borderId="0" xfId="0" applyNumberFormat="1" applyFont="1" applyFill="1"/>
    <xf numFmtId="4" fontId="6" fillId="2" borderId="0" xfId="0" applyNumberFormat="1" applyFont="1" applyFill="1"/>
    <xf numFmtId="0" fontId="7" fillId="2" borderId="0" xfId="0" applyFont="1" applyFill="1"/>
    <xf numFmtId="4" fontId="7" fillId="2" borderId="0" xfId="0" applyNumberFormat="1" applyFont="1" applyFill="1"/>
    <xf numFmtId="4" fontId="7" fillId="2" borderId="4" xfId="0" applyNumberFormat="1" applyFont="1" applyFill="1" applyBorder="1"/>
    <xf numFmtId="0" fontId="7" fillId="2" borderId="5" xfId="0" applyFont="1" applyFill="1" applyBorder="1"/>
    <xf numFmtId="0" fontId="6" fillId="2" borderId="6" xfId="0" applyFont="1" applyFill="1" applyBorder="1"/>
    <xf numFmtId="0" fontId="6" fillId="2" borderId="6" xfId="0" applyNumberFormat="1" applyFont="1" applyFill="1" applyBorder="1"/>
    <xf numFmtId="4" fontId="6" fillId="2" borderId="6" xfId="0" applyNumberFormat="1" applyFont="1" applyFill="1" applyBorder="1"/>
    <xf numFmtId="4" fontId="6" fillId="2" borderId="7" xfId="0" applyNumberFormat="1" applyFont="1" applyFill="1" applyBorder="1"/>
    <xf numFmtId="0" fontId="7" fillId="2" borderId="8" xfId="0" applyFont="1" applyFill="1" applyBorder="1"/>
    <xf numFmtId="0" fontId="6" fillId="2" borderId="9" xfId="0" applyFont="1" applyFill="1" applyBorder="1"/>
    <xf numFmtId="0" fontId="6" fillId="2" borderId="9" xfId="0" applyNumberFormat="1" applyFont="1" applyFill="1" applyBorder="1"/>
    <xf numFmtId="4" fontId="6" fillId="2" borderId="9" xfId="0" applyNumberFormat="1" applyFont="1" applyFill="1" applyBorder="1"/>
    <xf numFmtId="4" fontId="6" fillId="2" borderId="10" xfId="0" applyNumberFormat="1" applyFont="1" applyFill="1" applyBorder="1"/>
    <xf numFmtId="0" fontId="6" fillId="2" borderId="8" xfId="0" applyFont="1" applyFill="1" applyBorder="1"/>
    <xf numFmtId="3" fontId="6" fillId="2" borderId="9" xfId="0" applyNumberFormat="1" applyFont="1" applyFill="1" applyBorder="1"/>
    <xf numFmtId="0" fontId="7" fillId="2" borderId="11" xfId="0" applyFont="1" applyFill="1" applyBorder="1"/>
    <xf numFmtId="0" fontId="7" fillId="2" borderId="12" xfId="0" applyFont="1" applyFill="1" applyBorder="1"/>
    <xf numFmtId="0" fontId="7" fillId="2" borderId="12" xfId="0" applyNumberFormat="1" applyFont="1" applyFill="1" applyBorder="1"/>
    <xf numFmtId="4" fontId="7" fillId="2" borderId="13" xfId="0" applyNumberFormat="1" applyFont="1" applyFill="1" applyBorder="1"/>
    <xf numFmtId="4" fontId="7" fillId="2" borderId="14" xfId="0" applyNumberFormat="1" applyFont="1" applyFill="1" applyBorder="1"/>
    <xf numFmtId="0" fontId="7" fillId="2" borderId="15" xfId="0" applyFont="1" applyFill="1" applyBorder="1"/>
    <xf numFmtId="0" fontId="7" fillId="2" borderId="15" xfId="0" applyNumberFormat="1" applyFont="1" applyFill="1" applyBorder="1"/>
    <xf numFmtId="4" fontId="7" fillId="2" borderId="15" xfId="0" applyNumberFormat="1" applyFont="1" applyFill="1" applyBorder="1"/>
    <xf numFmtId="0" fontId="7" fillId="2" borderId="16" xfId="0" applyFont="1" applyFill="1" applyBorder="1"/>
    <xf numFmtId="0" fontId="7" fillId="2" borderId="16" xfId="0" applyNumberFormat="1" applyFont="1" applyFill="1" applyBorder="1"/>
    <xf numFmtId="4" fontId="7" fillId="2" borderId="16" xfId="0" applyNumberFormat="1" applyFont="1" applyFill="1" applyBorder="1"/>
    <xf numFmtId="0" fontId="7" fillId="2" borderId="17" xfId="0" applyFont="1" applyFill="1" applyBorder="1"/>
    <xf numFmtId="0" fontId="6" fillId="2" borderId="18" xfId="0" applyFont="1" applyFill="1" applyBorder="1"/>
    <xf numFmtId="0" fontId="6" fillId="2" borderId="18" xfId="0" applyNumberFormat="1" applyFont="1" applyFill="1" applyBorder="1"/>
    <xf numFmtId="4" fontId="6" fillId="2" borderId="18" xfId="0" applyNumberFormat="1" applyFont="1" applyFill="1" applyBorder="1"/>
    <xf numFmtId="4" fontId="6" fillId="2" borderId="19" xfId="0" applyNumberFormat="1" applyFont="1" applyFill="1" applyBorder="1"/>
    <xf numFmtId="0" fontId="7" fillId="2" borderId="4" xfId="0" applyFont="1" applyFill="1" applyBorder="1"/>
    <xf numFmtId="0" fontId="7" fillId="2" borderId="4" xfId="0" applyNumberFormat="1" applyFont="1" applyFill="1" applyBorder="1"/>
    <xf numFmtId="0" fontId="7" fillId="2" borderId="18" xfId="0" applyFont="1" applyFill="1" applyBorder="1"/>
    <xf numFmtId="0" fontId="7" fillId="2" borderId="9" xfId="0" applyFont="1" applyFill="1" applyBorder="1"/>
    <xf numFmtId="4" fontId="7" fillId="2" borderId="12" xfId="0" applyNumberFormat="1" applyFont="1" applyFill="1" applyBorder="1"/>
    <xf numFmtId="0" fontId="7" fillId="2" borderId="20" xfId="0" applyFont="1" applyFill="1" applyBorder="1"/>
    <xf numFmtId="0" fontId="7" fillId="2" borderId="20" xfId="0" applyNumberFormat="1" applyFont="1" applyFill="1" applyBorder="1"/>
    <xf numFmtId="4" fontId="7" fillId="2" borderId="20" xfId="0" applyNumberFormat="1" applyFont="1" applyFill="1" applyBorder="1"/>
    <xf numFmtId="0" fontId="6" fillId="2" borderId="21" xfId="0" applyFont="1" applyFill="1" applyBorder="1"/>
    <xf numFmtId="3" fontId="6" fillId="2" borderId="21" xfId="0" applyNumberFormat="1" applyFont="1" applyFill="1" applyBorder="1"/>
    <xf numFmtId="4" fontId="6" fillId="2" borderId="21" xfId="0" applyNumberFormat="1" applyFont="1" applyFill="1" applyBorder="1"/>
    <xf numFmtId="0" fontId="7" fillId="2" borderId="22" xfId="0" applyFont="1" applyFill="1" applyBorder="1"/>
    <xf numFmtId="0" fontId="7" fillId="2" borderId="22" xfId="0" applyNumberFormat="1" applyFont="1" applyFill="1" applyBorder="1"/>
    <xf numFmtId="4" fontId="7" fillId="2" borderId="22" xfId="0" applyNumberFormat="1" applyFont="1" applyFill="1" applyBorder="1"/>
    <xf numFmtId="0" fontId="7" fillId="2" borderId="6" xfId="0" applyFont="1" applyFill="1" applyBorder="1"/>
    <xf numFmtId="0" fontId="7" fillId="2" borderId="9" xfId="0" applyNumberFormat="1" applyFont="1" applyFill="1" applyBorder="1"/>
    <xf numFmtId="4" fontId="7" fillId="2" borderId="9" xfId="0" applyNumberFormat="1" applyFont="1" applyFill="1" applyBorder="1"/>
    <xf numFmtId="0" fontId="1" fillId="3" borderId="23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9" fillId="0" borderId="24" xfId="0" applyFont="1" applyBorder="1" applyAlignment="1">
      <alignment horizontal="center"/>
    </xf>
    <xf numFmtId="0" fontId="10" fillId="4" borderId="0" xfId="0" applyFont="1" applyFill="1"/>
    <xf numFmtId="0" fontId="10" fillId="0" borderId="0" xfId="0" applyFont="1"/>
    <xf numFmtId="0" fontId="11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 wrapText="1"/>
    </xf>
    <xf numFmtId="0" fontId="13" fillId="4" borderId="4" xfId="1" applyFont="1" applyFill="1" applyBorder="1" applyAlignment="1">
      <alignment horizontal="center" vertical="center" wrapText="1"/>
    </xf>
    <xf numFmtId="0" fontId="10" fillId="4" borderId="4" xfId="1" applyFont="1" applyFill="1" applyBorder="1" applyAlignment="1">
      <alignment horizontal="justify" vertical="center" wrapText="1"/>
    </xf>
    <xf numFmtId="2" fontId="14" fillId="4" borderId="4" xfId="0" applyNumberFormat="1" applyFont="1" applyFill="1" applyBorder="1" applyAlignment="1">
      <alignment horizontal="center"/>
    </xf>
    <xf numFmtId="2" fontId="10" fillId="4" borderId="4" xfId="0" applyNumberFormat="1" applyFont="1" applyFill="1" applyBorder="1" applyAlignment="1">
      <alignment horizontal="center"/>
    </xf>
    <xf numFmtId="0" fontId="15" fillId="0" borderId="25" xfId="0" applyFont="1" applyBorder="1" applyAlignment="1">
      <alignment horizontal="left"/>
    </xf>
    <xf numFmtId="0" fontId="15" fillId="0" borderId="26" xfId="0" applyFont="1" applyBorder="1" applyAlignment="1">
      <alignment horizontal="left"/>
    </xf>
    <xf numFmtId="0" fontId="15" fillId="5" borderId="23" xfId="0" applyFont="1" applyFill="1" applyBorder="1" applyAlignment="1">
      <alignment horizontal="left" wrapText="1"/>
    </xf>
    <xf numFmtId="0" fontId="15" fillId="5" borderId="0" xfId="0" applyFont="1" applyFill="1" applyBorder="1" applyAlignment="1">
      <alignment horizontal="left" wrapText="1"/>
    </xf>
    <xf numFmtId="0" fontId="10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0" fillId="0" borderId="0" xfId="0" applyFont="1" applyAlignment="1">
      <alignment wrapText="1"/>
    </xf>
  </cellXfs>
  <cellStyles count="2">
    <cellStyle name="Normal" xfId="0" builtinId="0"/>
    <cellStyle name="Normal 6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19051</xdr:colOff>
      <xdr:row>2</xdr:row>
      <xdr:rowOff>19050</xdr:rowOff>
    </xdr:from>
    <xdr:to>
      <xdr:col>3</xdr:col>
      <xdr:colOff>1790701</xdr:colOff>
      <xdr:row>2</xdr:row>
      <xdr:rowOff>1260787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DCCFB478-06E3-49A6-96F3-171A5480B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1" y="647700"/>
          <a:ext cx="1771650" cy="1241737"/>
        </a:xfrm>
        <a:prstGeom prst="rect">
          <a:avLst/>
        </a:prstGeom>
      </xdr:spPr>
    </xdr:pic>
    <xdr:clientData/>
  </xdr:twoCellAnchor>
  <xdr:twoCellAnchor editAs="oneCell">
    <xdr:from>
      <xdr:col>3</xdr:col>
      <xdr:colOff>19051</xdr:colOff>
      <xdr:row>3</xdr:row>
      <xdr:rowOff>19050</xdr:rowOff>
    </xdr:from>
    <xdr:to>
      <xdr:col>3</xdr:col>
      <xdr:colOff>1790701</xdr:colOff>
      <xdr:row>3</xdr:row>
      <xdr:rowOff>1260787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A349D267-CDBC-4EA7-BDF2-5DDD416F0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1" y="1905000"/>
          <a:ext cx="1771650" cy="1241737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4</xdr:row>
      <xdr:rowOff>38100</xdr:rowOff>
    </xdr:from>
    <xdr:to>
      <xdr:col>3</xdr:col>
      <xdr:colOff>1800225</xdr:colOff>
      <xdr:row>4</xdr:row>
      <xdr:rowOff>1304925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A9A6F56F-B752-4122-8452-7F307BAC5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3200400"/>
          <a:ext cx="1771650" cy="1266825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5</xdr:row>
      <xdr:rowOff>28575</xdr:rowOff>
    </xdr:from>
    <xdr:to>
      <xdr:col>3</xdr:col>
      <xdr:colOff>1790700</xdr:colOff>
      <xdr:row>5</xdr:row>
      <xdr:rowOff>1295400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F136DBFF-C5EF-4570-BE12-CAC3FC14F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4514850"/>
          <a:ext cx="1771650" cy="1266825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6</xdr:row>
      <xdr:rowOff>28575</xdr:rowOff>
    </xdr:from>
    <xdr:to>
      <xdr:col>3</xdr:col>
      <xdr:colOff>1800225</xdr:colOff>
      <xdr:row>6</xdr:row>
      <xdr:rowOff>1295400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xmlns="" id="{76B18D38-0FB8-421F-9317-9F6C18955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5829300"/>
          <a:ext cx="1771650" cy="1266825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7</xdr:row>
      <xdr:rowOff>19050</xdr:rowOff>
    </xdr:from>
    <xdr:to>
      <xdr:col>3</xdr:col>
      <xdr:colOff>1800225</xdr:colOff>
      <xdr:row>7</xdr:row>
      <xdr:rowOff>1238249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xmlns="" id="{75E961AF-68EE-4D83-B7F5-77B33DEE5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7134225"/>
          <a:ext cx="1771650" cy="1219199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8</xdr:row>
      <xdr:rowOff>28575</xdr:rowOff>
    </xdr:from>
    <xdr:to>
      <xdr:col>3</xdr:col>
      <xdr:colOff>1790700</xdr:colOff>
      <xdr:row>8</xdr:row>
      <xdr:rowOff>1249362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xmlns="" id="{2023F30D-3464-433A-B6EF-B98E15CBD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8401050"/>
          <a:ext cx="1771650" cy="1220787"/>
        </a:xfrm>
        <a:prstGeom prst="rect">
          <a:avLst/>
        </a:prstGeom>
      </xdr:spPr>
    </xdr:pic>
    <xdr:clientData/>
  </xdr:twoCellAnchor>
  <xdr:twoCellAnchor editAs="oneCell">
    <xdr:from>
      <xdr:col>3</xdr:col>
      <xdr:colOff>19049</xdr:colOff>
      <xdr:row>9</xdr:row>
      <xdr:rowOff>28574</xdr:rowOff>
    </xdr:from>
    <xdr:to>
      <xdr:col>4</xdr:col>
      <xdr:colOff>2019</xdr:colOff>
      <xdr:row>9</xdr:row>
      <xdr:rowOff>1219199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xmlns="" id="{24854270-9C5B-4C2E-8CCD-9798BFB33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799" y="9648824"/>
          <a:ext cx="1792720" cy="1190625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10</xdr:row>
      <xdr:rowOff>28574</xdr:rowOff>
    </xdr:from>
    <xdr:to>
      <xdr:col>4</xdr:col>
      <xdr:colOff>0</xdr:colOff>
      <xdr:row>10</xdr:row>
      <xdr:rowOff>1228725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xmlns="" id="{A084AB83-4244-4DE4-A20A-6DB638C27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10896599"/>
          <a:ext cx="1790700" cy="1200151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11</xdr:row>
      <xdr:rowOff>19050</xdr:rowOff>
    </xdr:from>
    <xdr:to>
      <xdr:col>4</xdr:col>
      <xdr:colOff>0</xdr:colOff>
      <xdr:row>11</xdr:row>
      <xdr:rowOff>1219201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xmlns="" id="{BC70AE55-F03C-45EC-8D47-F95D027FD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12125325"/>
          <a:ext cx="1790700" cy="1200151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12</xdr:row>
      <xdr:rowOff>28575</xdr:rowOff>
    </xdr:from>
    <xdr:to>
      <xdr:col>3</xdr:col>
      <xdr:colOff>1800225</xdr:colOff>
      <xdr:row>12</xdr:row>
      <xdr:rowOff>1228726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xmlns="" id="{C6819020-0338-4EEA-92B2-BA5DFA947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0275" y="13373100"/>
          <a:ext cx="1790700" cy="1200151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13</xdr:row>
      <xdr:rowOff>28575</xdr:rowOff>
    </xdr:from>
    <xdr:to>
      <xdr:col>4</xdr:col>
      <xdr:colOff>0</xdr:colOff>
      <xdr:row>13</xdr:row>
      <xdr:rowOff>1228726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xmlns="" id="{877DE2D3-5B1E-4573-9A39-841BE6936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14611350"/>
          <a:ext cx="1790700" cy="1200151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14</xdr:row>
      <xdr:rowOff>19049</xdr:rowOff>
    </xdr:from>
    <xdr:to>
      <xdr:col>3</xdr:col>
      <xdr:colOff>1790700</xdr:colOff>
      <xdr:row>14</xdr:row>
      <xdr:rowOff>1219200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xmlns="" id="{79A4A49A-6DD9-4E54-B527-90DB07CF8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15849599"/>
          <a:ext cx="1771650" cy="1200151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15</xdr:row>
      <xdr:rowOff>28576</xdr:rowOff>
    </xdr:from>
    <xdr:to>
      <xdr:col>3</xdr:col>
      <xdr:colOff>1790700</xdr:colOff>
      <xdr:row>15</xdr:row>
      <xdr:rowOff>1238250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xmlns="" id="{54280D61-9B8F-42C0-BF02-7D033C818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17097376"/>
          <a:ext cx="1771650" cy="1209674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16</xdr:row>
      <xdr:rowOff>19050</xdr:rowOff>
    </xdr:from>
    <xdr:to>
      <xdr:col>3</xdr:col>
      <xdr:colOff>1790700</xdr:colOff>
      <xdr:row>16</xdr:row>
      <xdr:rowOff>1228724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xmlns="" id="{537179BC-CF13-4E57-90D3-350225221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18354675"/>
          <a:ext cx="1771650" cy="1209674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17</xdr:row>
      <xdr:rowOff>19050</xdr:rowOff>
    </xdr:from>
    <xdr:to>
      <xdr:col>3</xdr:col>
      <xdr:colOff>1790700</xdr:colOff>
      <xdr:row>17</xdr:row>
      <xdr:rowOff>1228724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xmlns="" id="{6CB27B1A-9DE3-4A97-A054-49D98DC62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19602450"/>
          <a:ext cx="1771650" cy="1209674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18</xdr:row>
      <xdr:rowOff>19049</xdr:rowOff>
    </xdr:from>
    <xdr:to>
      <xdr:col>3</xdr:col>
      <xdr:colOff>1790700</xdr:colOff>
      <xdr:row>18</xdr:row>
      <xdr:rowOff>1323975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xmlns="" id="{8A73348D-96F8-4C29-B0E6-671A6065A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20840699"/>
          <a:ext cx="1771650" cy="1304926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22</xdr:row>
      <xdr:rowOff>28574</xdr:rowOff>
    </xdr:from>
    <xdr:to>
      <xdr:col>3</xdr:col>
      <xdr:colOff>1790700</xdr:colOff>
      <xdr:row>22</xdr:row>
      <xdr:rowOff>1257300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xmlns="" id="{3B01475A-0BB2-477F-A86D-F37B297CE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26060399"/>
          <a:ext cx="1771650" cy="1228726"/>
        </a:xfrm>
        <a:prstGeom prst="rect">
          <a:avLst/>
        </a:prstGeom>
      </xdr:spPr>
    </xdr:pic>
    <xdr:clientData/>
  </xdr:twoCellAnchor>
  <xdr:twoCellAnchor editAs="oneCell">
    <xdr:from>
      <xdr:col>3</xdr:col>
      <xdr:colOff>19049</xdr:colOff>
      <xdr:row>19</xdr:row>
      <xdr:rowOff>19049</xdr:rowOff>
    </xdr:from>
    <xdr:to>
      <xdr:col>3</xdr:col>
      <xdr:colOff>1785725</xdr:colOff>
      <xdr:row>19</xdr:row>
      <xdr:rowOff>1343025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xmlns="" id="{B55E06E5-9281-4D23-B1B3-E2D9FE374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799" y="22183724"/>
          <a:ext cx="1766676" cy="1323976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20</xdr:row>
      <xdr:rowOff>28575</xdr:rowOff>
    </xdr:from>
    <xdr:to>
      <xdr:col>3</xdr:col>
      <xdr:colOff>1800225</xdr:colOff>
      <xdr:row>20</xdr:row>
      <xdr:rowOff>1238249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xmlns="" id="{75A28D33-ADD7-4DC8-8F92-B480DC3480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23536275"/>
          <a:ext cx="1771650" cy="1209674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21</xdr:row>
      <xdr:rowOff>38100</xdr:rowOff>
    </xdr:from>
    <xdr:to>
      <xdr:col>3</xdr:col>
      <xdr:colOff>1790700</xdr:colOff>
      <xdr:row>21</xdr:row>
      <xdr:rowOff>1247774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xmlns="" id="{701E1CED-1925-4A98-9A3C-9E6D0952E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24812625"/>
          <a:ext cx="1771650" cy="1209674"/>
        </a:xfrm>
        <a:prstGeom prst="rect">
          <a:avLst/>
        </a:prstGeom>
      </xdr:spPr>
    </xdr:pic>
    <xdr:clientData/>
  </xdr:twoCellAnchor>
  <xdr:twoCellAnchor editAs="oneCell">
    <xdr:from>
      <xdr:col>3</xdr:col>
      <xdr:colOff>19049</xdr:colOff>
      <xdr:row>23</xdr:row>
      <xdr:rowOff>19049</xdr:rowOff>
    </xdr:from>
    <xdr:to>
      <xdr:col>3</xdr:col>
      <xdr:colOff>1790700</xdr:colOff>
      <xdr:row>23</xdr:row>
      <xdr:rowOff>1247775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xmlns="" id="{0E76FB4F-CC35-4D89-B2E6-07B08DE9B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799" y="27317699"/>
          <a:ext cx="1771651" cy="1228726"/>
        </a:xfrm>
        <a:prstGeom prst="rect">
          <a:avLst/>
        </a:prstGeom>
      </xdr:spPr>
    </xdr:pic>
    <xdr:clientData/>
  </xdr:twoCellAnchor>
  <xdr:oneCellAnchor>
    <xdr:from>
      <xdr:col>4</xdr:col>
      <xdr:colOff>19051</xdr:colOff>
      <xdr:row>2</xdr:row>
      <xdr:rowOff>19050</xdr:rowOff>
    </xdr:from>
    <xdr:ext cx="1771650" cy="1240005"/>
    <xdr:pic>
      <xdr:nvPicPr>
        <xdr:cNvPr id="24" name="Picture 23">
          <a:extLst>
            <a:ext uri="{FF2B5EF4-FFF2-40B4-BE49-F238E27FC236}">
              <a16:creationId xmlns:a16="http://schemas.microsoft.com/office/drawing/2014/main" xmlns="" id="{E947D17E-96E5-4171-A066-0D6AFAF36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1" y="647700"/>
          <a:ext cx="1771650" cy="1240005"/>
        </a:xfrm>
        <a:prstGeom prst="rect">
          <a:avLst/>
        </a:prstGeom>
      </xdr:spPr>
    </xdr:pic>
    <xdr:clientData/>
  </xdr:oneCellAnchor>
  <xdr:oneCellAnchor>
    <xdr:from>
      <xdr:col>4</xdr:col>
      <xdr:colOff>19051</xdr:colOff>
      <xdr:row>3</xdr:row>
      <xdr:rowOff>19050</xdr:rowOff>
    </xdr:from>
    <xdr:ext cx="1771650" cy="1241737"/>
    <xdr:pic>
      <xdr:nvPicPr>
        <xdr:cNvPr id="25" name="Picture 24">
          <a:extLst>
            <a:ext uri="{FF2B5EF4-FFF2-40B4-BE49-F238E27FC236}">
              <a16:creationId xmlns:a16="http://schemas.microsoft.com/office/drawing/2014/main" xmlns="" id="{ACFA0674-1139-47C5-9FC4-4FE7E1F84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1" y="1905000"/>
          <a:ext cx="1771650" cy="1241737"/>
        </a:xfrm>
        <a:prstGeom prst="rect">
          <a:avLst/>
        </a:prstGeom>
      </xdr:spPr>
    </xdr:pic>
    <xdr:clientData/>
  </xdr:oneCellAnchor>
  <xdr:oneCellAnchor>
    <xdr:from>
      <xdr:col>4</xdr:col>
      <xdr:colOff>28575</xdr:colOff>
      <xdr:row>4</xdr:row>
      <xdr:rowOff>38100</xdr:rowOff>
    </xdr:from>
    <xdr:ext cx="1771650" cy="1266825"/>
    <xdr:pic>
      <xdr:nvPicPr>
        <xdr:cNvPr id="26" name="Picture 25">
          <a:extLst>
            <a:ext uri="{FF2B5EF4-FFF2-40B4-BE49-F238E27FC236}">
              <a16:creationId xmlns:a16="http://schemas.microsoft.com/office/drawing/2014/main" xmlns="" id="{8E9B91C5-F886-4221-B3C5-4D3F86BA0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39075" y="3200400"/>
          <a:ext cx="1771650" cy="1266825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5</xdr:row>
      <xdr:rowOff>28575</xdr:rowOff>
    </xdr:from>
    <xdr:ext cx="1771650" cy="1266825"/>
    <xdr:pic>
      <xdr:nvPicPr>
        <xdr:cNvPr id="27" name="Picture 26">
          <a:extLst>
            <a:ext uri="{FF2B5EF4-FFF2-40B4-BE49-F238E27FC236}">
              <a16:creationId xmlns:a16="http://schemas.microsoft.com/office/drawing/2014/main" xmlns="" id="{B716CCBB-0901-413A-9430-CF0D00180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0" y="4514850"/>
          <a:ext cx="1771650" cy="1266825"/>
        </a:xfrm>
        <a:prstGeom prst="rect">
          <a:avLst/>
        </a:prstGeom>
      </xdr:spPr>
    </xdr:pic>
    <xdr:clientData/>
  </xdr:oneCellAnchor>
  <xdr:oneCellAnchor>
    <xdr:from>
      <xdr:col>4</xdr:col>
      <xdr:colOff>28575</xdr:colOff>
      <xdr:row>6</xdr:row>
      <xdr:rowOff>28575</xdr:rowOff>
    </xdr:from>
    <xdr:ext cx="1771650" cy="1266825"/>
    <xdr:pic>
      <xdr:nvPicPr>
        <xdr:cNvPr id="28" name="Picture 27">
          <a:extLst>
            <a:ext uri="{FF2B5EF4-FFF2-40B4-BE49-F238E27FC236}">
              <a16:creationId xmlns:a16="http://schemas.microsoft.com/office/drawing/2014/main" xmlns="" id="{DDF8A3BB-FB63-4703-8E43-32A5E7B5D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39075" y="5829300"/>
          <a:ext cx="1771650" cy="1266825"/>
        </a:xfrm>
        <a:prstGeom prst="rect">
          <a:avLst/>
        </a:prstGeom>
      </xdr:spPr>
    </xdr:pic>
    <xdr:clientData/>
  </xdr:oneCellAnchor>
  <xdr:oneCellAnchor>
    <xdr:from>
      <xdr:col>4</xdr:col>
      <xdr:colOff>28575</xdr:colOff>
      <xdr:row>7</xdr:row>
      <xdr:rowOff>19050</xdr:rowOff>
    </xdr:from>
    <xdr:ext cx="1771650" cy="1219199"/>
    <xdr:pic>
      <xdr:nvPicPr>
        <xdr:cNvPr id="29" name="Picture 28">
          <a:extLst>
            <a:ext uri="{FF2B5EF4-FFF2-40B4-BE49-F238E27FC236}">
              <a16:creationId xmlns:a16="http://schemas.microsoft.com/office/drawing/2014/main" xmlns="" id="{F1DB2F60-90D3-4F86-A39E-9B272A3A5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39075" y="7134225"/>
          <a:ext cx="1771650" cy="121919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8</xdr:row>
      <xdr:rowOff>28575</xdr:rowOff>
    </xdr:from>
    <xdr:ext cx="1771650" cy="1219921"/>
    <xdr:pic>
      <xdr:nvPicPr>
        <xdr:cNvPr id="30" name="Picture 29">
          <a:extLst>
            <a:ext uri="{FF2B5EF4-FFF2-40B4-BE49-F238E27FC236}">
              <a16:creationId xmlns:a16="http://schemas.microsoft.com/office/drawing/2014/main" xmlns="" id="{7BEB80F9-362B-4D27-8537-66C85401D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0" y="8401050"/>
          <a:ext cx="1771650" cy="1219921"/>
        </a:xfrm>
        <a:prstGeom prst="rect">
          <a:avLst/>
        </a:prstGeom>
      </xdr:spPr>
    </xdr:pic>
    <xdr:clientData/>
  </xdr:oneCellAnchor>
  <xdr:oneCellAnchor>
    <xdr:from>
      <xdr:col>4</xdr:col>
      <xdr:colOff>19049</xdr:colOff>
      <xdr:row>9</xdr:row>
      <xdr:rowOff>28574</xdr:rowOff>
    </xdr:from>
    <xdr:ext cx="1792720" cy="1190625"/>
    <xdr:pic>
      <xdr:nvPicPr>
        <xdr:cNvPr id="31" name="Picture 30">
          <a:extLst>
            <a:ext uri="{FF2B5EF4-FFF2-40B4-BE49-F238E27FC236}">
              <a16:creationId xmlns:a16="http://schemas.microsoft.com/office/drawing/2014/main" xmlns="" id="{3EF8C261-656E-4C54-9EEA-62374E2DC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49" y="9648824"/>
          <a:ext cx="1792720" cy="1190625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10</xdr:row>
      <xdr:rowOff>28574</xdr:rowOff>
    </xdr:from>
    <xdr:ext cx="1790700" cy="1200151"/>
    <xdr:pic>
      <xdr:nvPicPr>
        <xdr:cNvPr id="32" name="Picture 31">
          <a:extLst>
            <a:ext uri="{FF2B5EF4-FFF2-40B4-BE49-F238E27FC236}">
              <a16:creationId xmlns:a16="http://schemas.microsoft.com/office/drawing/2014/main" xmlns="" id="{0CACEF3A-FB3C-47F7-B982-651982E6A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0" y="10896599"/>
          <a:ext cx="1790700" cy="1200151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11</xdr:row>
      <xdr:rowOff>19050</xdr:rowOff>
    </xdr:from>
    <xdr:ext cx="1790700" cy="1200151"/>
    <xdr:pic>
      <xdr:nvPicPr>
        <xdr:cNvPr id="33" name="Picture 32">
          <a:extLst>
            <a:ext uri="{FF2B5EF4-FFF2-40B4-BE49-F238E27FC236}">
              <a16:creationId xmlns:a16="http://schemas.microsoft.com/office/drawing/2014/main" xmlns="" id="{A5A63152-7B09-4876-8732-BF0AA2F41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0" y="12125325"/>
          <a:ext cx="1790700" cy="1200151"/>
        </a:xfrm>
        <a:prstGeom prst="rect">
          <a:avLst/>
        </a:prstGeom>
      </xdr:spPr>
    </xdr:pic>
    <xdr:clientData/>
  </xdr:oneCellAnchor>
  <xdr:oneCellAnchor>
    <xdr:from>
      <xdr:col>4</xdr:col>
      <xdr:colOff>9525</xdr:colOff>
      <xdr:row>12</xdr:row>
      <xdr:rowOff>28575</xdr:rowOff>
    </xdr:from>
    <xdr:ext cx="1790700" cy="1200151"/>
    <xdr:pic>
      <xdr:nvPicPr>
        <xdr:cNvPr id="34" name="Picture 33">
          <a:extLst>
            <a:ext uri="{FF2B5EF4-FFF2-40B4-BE49-F238E27FC236}">
              <a16:creationId xmlns:a16="http://schemas.microsoft.com/office/drawing/2014/main" xmlns="" id="{EC33AB04-37AC-48BF-9570-9ECF3EF3E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0025" y="13373100"/>
          <a:ext cx="1790700" cy="1200151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13</xdr:row>
      <xdr:rowOff>28575</xdr:rowOff>
    </xdr:from>
    <xdr:ext cx="1790700" cy="1200151"/>
    <xdr:pic>
      <xdr:nvPicPr>
        <xdr:cNvPr id="35" name="Picture 34">
          <a:extLst>
            <a:ext uri="{FF2B5EF4-FFF2-40B4-BE49-F238E27FC236}">
              <a16:creationId xmlns:a16="http://schemas.microsoft.com/office/drawing/2014/main" xmlns="" id="{BC11D71D-52FE-4BF9-A8CC-F5D03E363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0" y="14611350"/>
          <a:ext cx="1790700" cy="1200151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14</xdr:row>
      <xdr:rowOff>19049</xdr:rowOff>
    </xdr:from>
    <xdr:ext cx="1771650" cy="1200151"/>
    <xdr:pic>
      <xdr:nvPicPr>
        <xdr:cNvPr id="36" name="Picture 35">
          <a:extLst>
            <a:ext uri="{FF2B5EF4-FFF2-40B4-BE49-F238E27FC236}">
              <a16:creationId xmlns:a16="http://schemas.microsoft.com/office/drawing/2014/main" xmlns="" id="{50454959-A723-4CE9-9B09-7416956D1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0" y="15849599"/>
          <a:ext cx="1771650" cy="1200151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15</xdr:row>
      <xdr:rowOff>28576</xdr:rowOff>
    </xdr:from>
    <xdr:ext cx="1771650" cy="1209674"/>
    <xdr:pic>
      <xdr:nvPicPr>
        <xdr:cNvPr id="37" name="Picture 36">
          <a:extLst>
            <a:ext uri="{FF2B5EF4-FFF2-40B4-BE49-F238E27FC236}">
              <a16:creationId xmlns:a16="http://schemas.microsoft.com/office/drawing/2014/main" xmlns="" id="{86298644-A54D-4F81-B4F7-E8A6CA4C8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0" y="17097376"/>
          <a:ext cx="1771650" cy="1209674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16</xdr:row>
      <xdr:rowOff>19050</xdr:rowOff>
    </xdr:from>
    <xdr:ext cx="1771650" cy="1209674"/>
    <xdr:pic>
      <xdr:nvPicPr>
        <xdr:cNvPr id="38" name="Picture 37">
          <a:extLst>
            <a:ext uri="{FF2B5EF4-FFF2-40B4-BE49-F238E27FC236}">
              <a16:creationId xmlns:a16="http://schemas.microsoft.com/office/drawing/2014/main" xmlns="" id="{0A1CD947-7EAF-489B-B1A1-FDF5CA304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0" y="18354675"/>
          <a:ext cx="1771650" cy="1209674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17</xdr:row>
      <xdr:rowOff>19050</xdr:rowOff>
    </xdr:from>
    <xdr:ext cx="1771650" cy="1209674"/>
    <xdr:pic>
      <xdr:nvPicPr>
        <xdr:cNvPr id="39" name="Picture 38">
          <a:extLst>
            <a:ext uri="{FF2B5EF4-FFF2-40B4-BE49-F238E27FC236}">
              <a16:creationId xmlns:a16="http://schemas.microsoft.com/office/drawing/2014/main" xmlns="" id="{D7999917-76B2-4026-9AF3-82200A7D8A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0" y="19602450"/>
          <a:ext cx="1771650" cy="1209674"/>
        </a:xfrm>
        <a:prstGeom prst="rect">
          <a:avLst/>
        </a:prstGeom>
      </xdr:spPr>
    </xdr:pic>
    <xdr:clientData/>
  </xdr:oneCellAnchor>
  <xdr:oneCellAnchor>
    <xdr:from>
      <xdr:col>4</xdr:col>
      <xdr:colOff>85724</xdr:colOff>
      <xdr:row>19</xdr:row>
      <xdr:rowOff>9525</xdr:rowOff>
    </xdr:from>
    <xdr:ext cx="1766676" cy="1295400"/>
    <xdr:pic>
      <xdr:nvPicPr>
        <xdr:cNvPr id="40" name="Picture 39">
          <a:extLst>
            <a:ext uri="{FF2B5EF4-FFF2-40B4-BE49-F238E27FC236}">
              <a16:creationId xmlns:a16="http://schemas.microsoft.com/office/drawing/2014/main" xmlns="" id="{9841DE63-5953-4E4C-A543-24523D7CB5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6224" y="22174200"/>
          <a:ext cx="1766676" cy="1295400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21</xdr:row>
      <xdr:rowOff>38100</xdr:rowOff>
    </xdr:from>
    <xdr:ext cx="1771650" cy="1209674"/>
    <xdr:pic>
      <xdr:nvPicPr>
        <xdr:cNvPr id="41" name="Picture 40">
          <a:extLst>
            <a:ext uri="{FF2B5EF4-FFF2-40B4-BE49-F238E27FC236}">
              <a16:creationId xmlns:a16="http://schemas.microsoft.com/office/drawing/2014/main" xmlns="" id="{448C0A8B-35A8-4F3A-B347-BC592815B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0" y="24812625"/>
          <a:ext cx="1771650" cy="1209674"/>
        </a:xfrm>
        <a:prstGeom prst="rect">
          <a:avLst/>
        </a:prstGeom>
      </xdr:spPr>
    </xdr:pic>
    <xdr:clientData/>
  </xdr:oneCellAnchor>
  <xdr:oneCellAnchor>
    <xdr:from>
      <xdr:col>4</xdr:col>
      <xdr:colOff>19049</xdr:colOff>
      <xdr:row>23</xdr:row>
      <xdr:rowOff>19049</xdr:rowOff>
    </xdr:from>
    <xdr:ext cx="1771651" cy="1228726"/>
    <xdr:pic>
      <xdr:nvPicPr>
        <xdr:cNvPr id="42" name="Picture 41">
          <a:extLst>
            <a:ext uri="{FF2B5EF4-FFF2-40B4-BE49-F238E27FC236}">
              <a16:creationId xmlns:a16="http://schemas.microsoft.com/office/drawing/2014/main" xmlns="" id="{9F065972-3D75-4B72-B376-7C88D3D2B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49" y="27317699"/>
          <a:ext cx="1771651" cy="1228726"/>
        </a:xfrm>
        <a:prstGeom prst="rect">
          <a:avLst/>
        </a:prstGeom>
      </xdr:spPr>
    </xdr:pic>
    <xdr:clientData/>
  </xdr:oneCellAnchor>
  <xdr:twoCellAnchor editAs="oneCell">
    <xdr:from>
      <xdr:col>4</xdr:col>
      <xdr:colOff>47625</xdr:colOff>
      <xdr:row>20</xdr:row>
      <xdr:rowOff>28575</xdr:rowOff>
    </xdr:from>
    <xdr:to>
      <xdr:col>4</xdr:col>
      <xdr:colOff>1819276</xdr:colOff>
      <xdr:row>20</xdr:row>
      <xdr:rowOff>1228726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xmlns="" id="{59647768-7CFA-47C4-A2C6-698C96309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58125" y="23536275"/>
          <a:ext cx="1771651" cy="1200151"/>
        </a:xfrm>
        <a:prstGeom prst="rect">
          <a:avLst/>
        </a:prstGeom>
      </xdr:spPr>
    </xdr:pic>
    <xdr:clientData/>
  </xdr:twoCellAnchor>
  <xdr:twoCellAnchor editAs="oneCell">
    <xdr:from>
      <xdr:col>4</xdr:col>
      <xdr:colOff>57150</xdr:colOff>
      <xdr:row>18</xdr:row>
      <xdr:rowOff>57150</xdr:rowOff>
    </xdr:from>
    <xdr:to>
      <xdr:col>4</xdr:col>
      <xdr:colOff>1828800</xdr:colOff>
      <xdr:row>18</xdr:row>
      <xdr:rowOff>1266824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xmlns="" id="{04E80E1B-58D4-4AFE-AC7F-E3BC039B2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67650" y="20878800"/>
          <a:ext cx="1771650" cy="1209674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</xdr:colOff>
      <xdr:row>22</xdr:row>
      <xdr:rowOff>28575</xdr:rowOff>
    </xdr:from>
    <xdr:to>
      <xdr:col>4</xdr:col>
      <xdr:colOff>1857375</xdr:colOff>
      <xdr:row>22</xdr:row>
      <xdr:rowOff>1209675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xmlns="" id="{12C7084B-38FE-4F5A-9FAA-CBBFB5491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6225" y="26060400"/>
          <a:ext cx="1771650" cy="1181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abSelected="1" workbookViewId="0">
      <selection activeCell="A3" sqref="A3:XFD24"/>
    </sheetView>
  </sheetViews>
  <sheetFormatPr defaultRowHeight="12.75" x14ac:dyDescent="0.2"/>
  <cols>
    <col min="1" max="1" width="7.7109375" style="78" customWidth="1"/>
    <col min="2" max="2" width="32.28515625" style="79" customWidth="1"/>
    <col min="3" max="3" width="50" style="66" customWidth="1"/>
    <col min="4" max="4" width="27.140625" style="66" customWidth="1"/>
    <col min="5" max="5" width="28.85546875" style="66" customWidth="1"/>
    <col min="6" max="6" width="9.140625" style="65"/>
    <col min="7" max="16384" width="9.140625" style="66"/>
  </cols>
  <sheetData>
    <row r="1" spans="1:5" ht="19.5" x14ac:dyDescent="0.25">
      <c r="A1" s="64" t="s">
        <v>817</v>
      </c>
      <c r="B1" s="64"/>
      <c r="C1" s="64"/>
      <c r="D1" s="64"/>
      <c r="E1" s="64"/>
    </row>
    <row r="2" spans="1:5" ht="30" x14ac:dyDescent="0.2">
      <c r="A2" s="67" t="s">
        <v>818</v>
      </c>
      <c r="B2" s="67" t="s">
        <v>819</v>
      </c>
      <c r="C2" s="68" t="s">
        <v>820</v>
      </c>
      <c r="D2" s="67" t="s">
        <v>821</v>
      </c>
      <c r="E2" s="67" t="s">
        <v>822</v>
      </c>
    </row>
    <row r="3" spans="1:5" ht="125.1" customHeight="1" x14ac:dyDescent="0.2">
      <c r="A3" s="69">
        <v>1</v>
      </c>
      <c r="B3" s="70" t="s">
        <v>13</v>
      </c>
      <c r="C3" s="70" t="s">
        <v>823</v>
      </c>
      <c r="D3" s="71"/>
      <c r="E3" s="71"/>
    </row>
    <row r="4" spans="1:5" ht="125.1" customHeight="1" x14ac:dyDescent="0.2">
      <c r="A4" s="69">
        <v>2</v>
      </c>
      <c r="B4" s="70" t="s">
        <v>9</v>
      </c>
      <c r="C4" s="70" t="s">
        <v>824</v>
      </c>
      <c r="D4" s="71"/>
      <c r="E4" s="71"/>
    </row>
    <row r="5" spans="1:5" ht="125.1" customHeight="1" x14ac:dyDescent="0.2">
      <c r="A5" s="69">
        <v>3</v>
      </c>
      <c r="B5" s="70" t="s">
        <v>11</v>
      </c>
      <c r="C5" s="70" t="s">
        <v>825</v>
      </c>
      <c r="D5" s="71"/>
      <c r="E5" s="71"/>
    </row>
    <row r="6" spans="1:5" ht="125.1" customHeight="1" x14ac:dyDescent="0.2">
      <c r="A6" s="69">
        <v>4</v>
      </c>
      <c r="B6" s="70" t="s">
        <v>10</v>
      </c>
      <c r="C6" s="70" t="s">
        <v>826</v>
      </c>
      <c r="D6" s="71"/>
      <c r="E6" s="71"/>
    </row>
    <row r="7" spans="1:5" ht="125.1" customHeight="1" x14ac:dyDescent="0.2">
      <c r="A7" s="69">
        <v>5</v>
      </c>
      <c r="B7" s="70" t="s">
        <v>14</v>
      </c>
      <c r="C7" s="70" t="s">
        <v>827</v>
      </c>
      <c r="D7" s="71"/>
      <c r="E7" s="71"/>
    </row>
    <row r="8" spans="1:5" ht="125.1" customHeight="1" x14ac:dyDescent="0.2">
      <c r="A8" s="69">
        <v>6</v>
      </c>
      <c r="B8" s="70" t="s">
        <v>8</v>
      </c>
      <c r="C8" s="70" t="s">
        <v>828</v>
      </c>
      <c r="D8" s="71"/>
      <c r="E8" s="71"/>
    </row>
    <row r="9" spans="1:5" ht="125.1" customHeight="1" x14ac:dyDescent="0.2">
      <c r="A9" s="69">
        <v>7</v>
      </c>
      <c r="B9" s="70" t="s">
        <v>12</v>
      </c>
      <c r="C9" s="70" t="s">
        <v>829</v>
      </c>
      <c r="D9" s="71"/>
      <c r="E9" s="71"/>
    </row>
    <row r="10" spans="1:5" ht="125.1" customHeight="1" x14ac:dyDescent="0.2">
      <c r="A10" s="69">
        <v>8</v>
      </c>
      <c r="B10" s="70" t="s">
        <v>24</v>
      </c>
      <c r="C10" s="70" t="s">
        <v>830</v>
      </c>
      <c r="D10" s="72"/>
      <c r="E10" s="72"/>
    </row>
    <row r="11" spans="1:5" ht="125.1" customHeight="1" x14ac:dyDescent="0.2">
      <c r="A11" s="69">
        <v>9</v>
      </c>
      <c r="B11" s="70" t="s">
        <v>22</v>
      </c>
      <c r="C11" s="70" t="s">
        <v>831</v>
      </c>
      <c r="D11" s="71"/>
      <c r="E11" s="71"/>
    </row>
    <row r="12" spans="1:5" ht="125.1" customHeight="1" x14ac:dyDescent="0.2">
      <c r="A12" s="69">
        <v>10</v>
      </c>
      <c r="B12" s="70" t="s">
        <v>23</v>
      </c>
      <c r="C12" s="70" t="s">
        <v>832</v>
      </c>
      <c r="D12" s="71"/>
      <c r="E12" s="71"/>
    </row>
    <row r="13" spans="1:5" ht="125.1" customHeight="1" x14ac:dyDescent="0.2">
      <c r="A13" s="69">
        <v>11</v>
      </c>
      <c r="B13" s="70" t="s">
        <v>19</v>
      </c>
      <c r="C13" s="70" t="s">
        <v>833</v>
      </c>
      <c r="D13" s="71"/>
      <c r="E13" s="71"/>
    </row>
    <row r="14" spans="1:5" ht="125.1" customHeight="1" x14ac:dyDescent="0.2">
      <c r="A14" s="69">
        <v>12</v>
      </c>
      <c r="B14" s="70" t="s">
        <v>25</v>
      </c>
      <c r="C14" s="70" t="s">
        <v>834</v>
      </c>
      <c r="D14" s="71"/>
      <c r="E14" s="71"/>
    </row>
    <row r="15" spans="1:5" ht="125.1" customHeight="1" x14ac:dyDescent="0.2">
      <c r="A15" s="69">
        <v>13</v>
      </c>
      <c r="B15" s="70" t="s">
        <v>26</v>
      </c>
      <c r="C15" s="70" t="s">
        <v>835</v>
      </c>
      <c r="D15" s="72"/>
      <c r="E15" s="72"/>
    </row>
    <row r="16" spans="1:5" ht="125.1" customHeight="1" x14ac:dyDescent="0.2">
      <c r="A16" s="69">
        <v>14</v>
      </c>
      <c r="B16" s="70" t="s">
        <v>16</v>
      </c>
      <c r="C16" s="70" t="s">
        <v>836</v>
      </c>
      <c r="D16" s="72"/>
      <c r="E16" s="72"/>
    </row>
    <row r="17" spans="1:5" ht="125.1" customHeight="1" x14ac:dyDescent="0.2">
      <c r="A17" s="69">
        <v>15</v>
      </c>
      <c r="B17" s="70" t="s">
        <v>18</v>
      </c>
      <c r="C17" s="70" t="s">
        <v>837</v>
      </c>
      <c r="D17" s="72"/>
      <c r="E17" s="72"/>
    </row>
    <row r="18" spans="1:5" ht="125.1" customHeight="1" x14ac:dyDescent="0.2">
      <c r="A18" s="69">
        <v>16</v>
      </c>
      <c r="B18" s="70" t="s">
        <v>17</v>
      </c>
      <c r="C18" s="70" t="s">
        <v>838</v>
      </c>
      <c r="D18" s="72"/>
      <c r="E18" s="72"/>
    </row>
    <row r="19" spans="1:5" ht="125.1" customHeight="1" x14ac:dyDescent="0.2">
      <c r="A19" s="69">
        <v>17</v>
      </c>
      <c r="B19" s="70" t="s">
        <v>20</v>
      </c>
      <c r="C19" s="70" t="s">
        <v>839</v>
      </c>
      <c r="D19" s="72"/>
      <c r="E19" s="72"/>
    </row>
    <row r="20" spans="1:5" ht="125.1" customHeight="1" x14ac:dyDescent="0.2">
      <c r="A20" s="69">
        <v>18</v>
      </c>
      <c r="B20" s="70" t="s">
        <v>15</v>
      </c>
      <c r="C20" s="70" t="s">
        <v>840</v>
      </c>
      <c r="D20" s="71"/>
      <c r="E20" s="71"/>
    </row>
    <row r="21" spans="1:5" ht="125.1" customHeight="1" x14ac:dyDescent="0.2">
      <c r="A21" s="69">
        <v>19</v>
      </c>
      <c r="B21" s="70" t="s">
        <v>841</v>
      </c>
      <c r="C21" s="70" t="s">
        <v>842</v>
      </c>
      <c r="D21" s="71"/>
      <c r="E21" s="71"/>
    </row>
    <row r="22" spans="1:5" ht="125.1" customHeight="1" x14ac:dyDescent="0.2">
      <c r="A22" s="69">
        <v>20</v>
      </c>
      <c r="B22" s="70" t="s">
        <v>843</v>
      </c>
      <c r="C22" s="70" t="s">
        <v>842</v>
      </c>
      <c r="D22" s="71"/>
      <c r="E22" s="71"/>
    </row>
    <row r="23" spans="1:5" ht="125.1" customHeight="1" x14ac:dyDescent="0.2">
      <c r="A23" s="69">
        <v>21</v>
      </c>
      <c r="B23" s="70" t="s">
        <v>28</v>
      </c>
      <c r="C23" s="70" t="s">
        <v>844</v>
      </c>
      <c r="D23" s="71"/>
      <c r="E23" s="71"/>
    </row>
    <row r="24" spans="1:5" ht="125.1" customHeight="1" x14ac:dyDescent="0.2">
      <c r="A24" s="69">
        <v>22</v>
      </c>
      <c r="B24" s="70" t="s">
        <v>29</v>
      </c>
      <c r="C24" s="70" t="s">
        <v>845</v>
      </c>
      <c r="D24" s="71"/>
      <c r="E24" s="71"/>
    </row>
    <row r="25" spans="1:5" x14ac:dyDescent="0.2">
      <c r="A25" s="73" t="s">
        <v>846</v>
      </c>
      <c r="B25" s="74"/>
      <c r="C25" s="74"/>
      <c r="D25" s="74"/>
      <c r="E25" s="74"/>
    </row>
    <row r="26" spans="1:5" x14ac:dyDescent="0.2">
      <c r="A26" s="75" t="s">
        <v>847</v>
      </c>
      <c r="B26" s="76"/>
      <c r="C26" s="76"/>
      <c r="D26" s="76"/>
      <c r="E26" s="76"/>
    </row>
    <row r="28" spans="1:5" x14ac:dyDescent="0.2">
      <c r="A28" s="77"/>
      <c r="B28" s="77"/>
      <c r="C28" s="77"/>
      <c r="D28" s="77"/>
    </row>
    <row r="29" spans="1:5" x14ac:dyDescent="0.2">
      <c r="A29" s="77"/>
      <c r="B29" s="77"/>
      <c r="C29" s="77"/>
      <c r="D29" s="77"/>
    </row>
  </sheetData>
  <mergeCells count="5">
    <mergeCell ref="A1:E1"/>
    <mergeCell ref="A25:E25"/>
    <mergeCell ref="A26:E26"/>
    <mergeCell ref="A28:D28"/>
    <mergeCell ref="A29:D2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50"/>
  <sheetViews>
    <sheetView workbookViewId="0">
      <selection activeCell="B13" sqref="B13"/>
    </sheetView>
  </sheetViews>
  <sheetFormatPr defaultRowHeight="12" x14ac:dyDescent="0.2"/>
  <cols>
    <col min="1" max="1" width="9.140625" style="1"/>
    <col min="2" max="2" width="58.42578125" style="1" bestFit="1" customWidth="1"/>
    <col min="3" max="3" width="13.28515625" style="1" bestFit="1" customWidth="1"/>
    <col min="4" max="4" width="20.28515625" style="1" bestFit="1" customWidth="1"/>
    <col min="5" max="5" width="7.71093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62" t="s">
        <v>8</v>
      </c>
      <c r="C1" s="63"/>
      <c r="D1" s="63"/>
      <c r="E1" s="63"/>
      <c r="F1" s="63"/>
      <c r="G1" s="63"/>
      <c r="H1" s="63"/>
    </row>
    <row r="3" spans="2:8" ht="16.5" thickBot="1" x14ac:dyDescent="0.25">
      <c r="B3" s="2" t="s">
        <v>7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17" t="s">
        <v>31</v>
      </c>
      <c r="C5" s="18"/>
      <c r="D5" s="18"/>
      <c r="E5" s="19"/>
      <c r="F5" s="20"/>
      <c r="G5" s="20"/>
      <c r="H5" s="21"/>
    </row>
    <row r="6" spans="2:8" x14ac:dyDescent="0.2">
      <c r="B6" s="22" t="s">
        <v>32</v>
      </c>
      <c r="C6" s="23"/>
      <c r="D6" s="23"/>
      <c r="E6" s="24"/>
      <c r="F6" s="25"/>
      <c r="G6" s="25"/>
      <c r="H6" s="26"/>
    </row>
    <row r="7" spans="2:8" x14ac:dyDescent="0.2">
      <c r="B7" s="27" t="s">
        <v>33</v>
      </c>
      <c r="C7" s="23" t="s">
        <v>34</v>
      </c>
      <c r="D7" s="23" t="s">
        <v>35</v>
      </c>
      <c r="E7" s="28">
        <v>73800</v>
      </c>
      <c r="F7" s="25">
        <v>985.01</v>
      </c>
      <c r="G7" s="25">
        <v>9.65</v>
      </c>
      <c r="H7" s="26"/>
    </row>
    <row r="8" spans="2:8" x14ac:dyDescent="0.2">
      <c r="B8" s="27" t="s">
        <v>36</v>
      </c>
      <c r="C8" s="23" t="s">
        <v>37</v>
      </c>
      <c r="D8" s="23" t="s">
        <v>38</v>
      </c>
      <c r="E8" s="28">
        <v>461000</v>
      </c>
      <c r="F8" s="25">
        <v>599.53</v>
      </c>
      <c r="G8" s="25">
        <v>5.87</v>
      </c>
      <c r="H8" s="26"/>
    </row>
    <row r="9" spans="2:8" x14ac:dyDescent="0.2">
      <c r="B9" s="27" t="s">
        <v>39</v>
      </c>
      <c r="C9" s="23" t="s">
        <v>40</v>
      </c>
      <c r="D9" s="23" t="s">
        <v>41</v>
      </c>
      <c r="E9" s="28">
        <v>110500</v>
      </c>
      <c r="F9" s="25">
        <v>593.39</v>
      </c>
      <c r="G9" s="25">
        <v>5.81</v>
      </c>
      <c r="H9" s="26"/>
    </row>
    <row r="10" spans="2:8" x14ac:dyDescent="0.2">
      <c r="B10" s="27" t="s">
        <v>42</v>
      </c>
      <c r="C10" s="23" t="s">
        <v>43</v>
      </c>
      <c r="D10" s="23" t="s">
        <v>44</v>
      </c>
      <c r="E10" s="28">
        <v>158937</v>
      </c>
      <c r="F10" s="25">
        <v>586.32000000000005</v>
      </c>
      <c r="G10" s="25">
        <v>5.75</v>
      </c>
      <c r="H10" s="26"/>
    </row>
    <row r="11" spans="2:8" x14ac:dyDescent="0.2">
      <c r="B11" s="27" t="s">
        <v>45</v>
      </c>
      <c r="C11" s="23" t="s">
        <v>46</v>
      </c>
      <c r="D11" s="23" t="s">
        <v>38</v>
      </c>
      <c r="E11" s="28">
        <v>1320</v>
      </c>
      <c r="F11" s="25">
        <v>514.6</v>
      </c>
      <c r="G11" s="25">
        <v>5.04</v>
      </c>
      <c r="H11" s="26"/>
    </row>
    <row r="12" spans="2:8" x14ac:dyDescent="0.2">
      <c r="B12" s="27" t="s">
        <v>47</v>
      </c>
      <c r="C12" s="23" t="s">
        <v>48</v>
      </c>
      <c r="D12" s="23" t="s">
        <v>38</v>
      </c>
      <c r="E12" s="28">
        <v>31500</v>
      </c>
      <c r="F12" s="25">
        <v>499.73</v>
      </c>
      <c r="G12" s="25">
        <v>4.9000000000000004</v>
      </c>
      <c r="H12" s="26"/>
    </row>
    <row r="13" spans="2:8" x14ac:dyDescent="0.2">
      <c r="B13" s="27" t="s">
        <v>49</v>
      </c>
      <c r="C13" s="23" t="s">
        <v>50</v>
      </c>
      <c r="D13" s="23" t="s">
        <v>41</v>
      </c>
      <c r="E13" s="28">
        <v>149500</v>
      </c>
      <c r="F13" s="25">
        <v>421.74</v>
      </c>
      <c r="G13" s="25">
        <v>4.13</v>
      </c>
      <c r="H13" s="26"/>
    </row>
    <row r="14" spans="2:8" x14ac:dyDescent="0.2">
      <c r="B14" s="27" t="s">
        <v>51</v>
      </c>
      <c r="C14" s="23" t="s">
        <v>52</v>
      </c>
      <c r="D14" s="23" t="s">
        <v>53</v>
      </c>
      <c r="E14" s="28">
        <v>44243</v>
      </c>
      <c r="F14" s="25">
        <v>402.94</v>
      </c>
      <c r="G14" s="25">
        <v>3.95</v>
      </c>
      <c r="H14" s="26"/>
    </row>
    <row r="15" spans="2:8" x14ac:dyDescent="0.2">
      <c r="B15" s="27" t="s">
        <v>54</v>
      </c>
      <c r="C15" s="23" t="s">
        <v>55</v>
      </c>
      <c r="D15" s="23" t="s">
        <v>56</v>
      </c>
      <c r="E15" s="28">
        <v>43000</v>
      </c>
      <c r="F15" s="25">
        <v>390.48</v>
      </c>
      <c r="G15" s="25">
        <v>3.83</v>
      </c>
      <c r="H15" s="26"/>
    </row>
    <row r="16" spans="2:8" x14ac:dyDescent="0.2">
      <c r="B16" s="27" t="s">
        <v>57</v>
      </c>
      <c r="C16" s="23" t="s">
        <v>58</v>
      </c>
      <c r="D16" s="23" t="s">
        <v>44</v>
      </c>
      <c r="E16" s="28">
        <v>195000</v>
      </c>
      <c r="F16" s="25">
        <v>369.23</v>
      </c>
      <c r="G16" s="25">
        <v>3.62</v>
      </c>
      <c r="H16" s="26"/>
    </row>
    <row r="17" spans="2:8" x14ac:dyDescent="0.2">
      <c r="B17" s="27" t="s">
        <v>59</v>
      </c>
      <c r="C17" s="23" t="s">
        <v>60</v>
      </c>
      <c r="D17" s="23" t="s">
        <v>44</v>
      </c>
      <c r="E17" s="28">
        <v>75000</v>
      </c>
      <c r="F17" s="25">
        <v>345.56</v>
      </c>
      <c r="G17" s="25">
        <v>3.39</v>
      </c>
      <c r="H17" s="26"/>
    </row>
    <row r="18" spans="2:8" x14ac:dyDescent="0.2">
      <c r="B18" s="27" t="s">
        <v>61</v>
      </c>
      <c r="C18" s="23" t="s">
        <v>62</v>
      </c>
      <c r="D18" s="23" t="s">
        <v>44</v>
      </c>
      <c r="E18" s="28">
        <v>126772</v>
      </c>
      <c r="F18" s="25">
        <v>342.03</v>
      </c>
      <c r="G18" s="25">
        <v>3.35</v>
      </c>
      <c r="H18" s="26"/>
    </row>
    <row r="19" spans="2:8" x14ac:dyDescent="0.2">
      <c r="B19" s="27" t="s">
        <v>63</v>
      </c>
      <c r="C19" s="23" t="s">
        <v>64</v>
      </c>
      <c r="D19" s="23" t="s">
        <v>38</v>
      </c>
      <c r="E19" s="28">
        <v>20500</v>
      </c>
      <c r="F19" s="25">
        <v>284.60000000000002</v>
      </c>
      <c r="G19" s="25">
        <v>2.79</v>
      </c>
      <c r="H19" s="26"/>
    </row>
    <row r="20" spans="2:8" x14ac:dyDescent="0.2">
      <c r="B20" s="27" t="s">
        <v>65</v>
      </c>
      <c r="C20" s="23" t="s">
        <v>66</v>
      </c>
      <c r="D20" s="23" t="s">
        <v>56</v>
      </c>
      <c r="E20" s="28">
        <v>11000</v>
      </c>
      <c r="F20" s="25">
        <v>283.77</v>
      </c>
      <c r="G20" s="25">
        <v>2.78</v>
      </c>
      <c r="H20" s="26"/>
    </row>
    <row r="21" spans="2:8" x14ac:dyDescent="0.2">
      <c r="B21" s="27" t="s">
        <v>67</v>
      </c>
      <c r="C21" s="23" t="s">
        <v>68</v>
      </c>
      <c r="D21" s="23" t="s">
        <v>69</v>
      </c>
      <c r="E21" s="28">
        <v>35500</v>
      </c>
      <c r="F21" s="25">
        <v>277.26</v>
      </c>
      <c r="G21" s="25">
        <v>2.72</v>
      </c>
      <c r="H21" s="26"/>
    </row>
    <row r="22" spans="2:8" x14ac:dyDescent="0.2">
      <c r="B22" s="27" t="s">
        <v>70</v>
      </c>
      <c r="C22" s="23" t="s">
        <v>71</v>
      </c>
      <c r="D22" s="23" t="s">
        <v>56</v>
      </c>
      <c r="E22" s="28">
        <v>59000</v>
      </c>
      <c r="F22" s="25">
        <v>252.37</v>
      </c>
      <c r="G22" s="25">
        <v>2.4700000000000002</v>
      </c>
      <c r="H22" s="26"/>
    </row>
    <row r="23" spans="2:8" x14ac:dyDescent="0.2">
      <c r="B23" s="27" t="s">
        <v>72</v>
      </c>
      <c r="C23" s="23" t="s">
        <v>73</v>
      </c>
      <c r="D23" s="23" t="s">
        <v>74</v>
      </c>
      <c r="E23" s="28">
        <v>200000</v>
      </c>
      <c r="F23" s="25">
        <v>250.6</v>
      </c>
      <c r="G23" s="25">
        <v>2.46</v>
      </c>
      <c r="H23" s="26"/>
    </row>
    <row r="24" spans="2:8" x14ac:dyDescent="0.2">
      <c r="B24" s="27" t="s">
        <v>75</v>
      </c>
      <c r="C24" s="23" t="s">
        <v>76</v>
      </c>
      <c r="D24" s="23" t="s">
        <v>77</v>
      </c>
      <c r="E24" s="28">
        <v>20500</v>
      </c>
      <c r="F24" s="25">
        <v>245.5</v>
      </c>
      <c r="G24" s="25">
        <v>2.41</v>
      </c>
      <c r="H24" s="26"/>
    </row>
    <row r="25" spans="2:8" x14ac:dyDescent="0.2">
      <c r="B25" s="27" t="s">
        <v>78</v>
      </c>
      <c r="C25" s="23" t="s">
        <v>79</v>
      </c>
      <c r="D25" s="23" t="s">
        <v>56</v>
      </c>
      <c r="E25" s="28">
        <v>1550</v>
      </c>
      <c r="F25" s="25">
        <v>218.98</v>
      </c>
      <c r="G25" s="25">
        <v>2.15</v>
      </c>
      <c r="H25" s="26"/>
    </row>
    <row r="26" spans="2:8" x14ac:dyDescent="0.2">
      <c r="B26" s="27" t="s">
        <v>80</v>
      </c>
      <c r="C26" s="23" t="s">
        <v>81</v>
      </c>
      <c r="D26" s="23" t="s">
        <v>69</v>
      </c>
      <c r="E26" s="28">
        <v>85000</v>
      </c>
      <c r="F26" s="25">
        <v>206.85</v>
      </c>
      <c r="G26" s="25">
        <v>2.0299999999999998</v>
      </c>
      <c r="H26" s="26"/>
    </row>
    <row r="27" spans="2:8" x14ac:dyDescent="0.2">
      <c r="B27" s="27" t="s">
        <v>82</v>
      </c>
      <c r="C27" s="23" t="s">
        <v>83</v>
      </c>
      <c r="D27" s="23" t="s">
        <v>74</v>
      </c>
      <c r="E27" s="28">
        <v>54342</v>
      </c>
      <c r="F27" s="25">
        <v>201.2</v>
      </c>
      <c r="G27" s="25">
        <v>1.97</v>
      </c>
      <c r="H27" s="26"/>
    </row>
    <row r="28" spans="2:8" x14ac:dyDescent="0.2">
      <c r="B28" s="27" t="s">
        <v>84</v>
      </c>
      <c r="C28" s="23" t="s">
        <v>85</v>
      </c>
      <c r="D28" s="23" t="s">
        <v>69</v>
      </c>
      <c r="E28" s="28">
        <v>3750</v>
      </c>
      <c r="F28" s="25">
        <v>199.77</v>
      </c>
      <c r="G28" s="25">
        <v>1.96</v>
      </c>
      <c r="H28" s="26"/>
    </row>
    <row r="29" spans="2:8" x14ac:dyDescent="0.2">
      <c r="B29" s="27" t="s">
        <v>86</v>
      </c>
      <c r="C29" s="23" t="s">
        <v>87</v>
      </c>
      <c r="D29" s="23" t="s">
        <v>69</v>
      </c>
      <c r="E29" s="28">
        <v>800</v>
      </c>
      <c r="F29" s="25">
        <v>182.19</v>
      </c>
      <c r="G29" s="25">
        <v>1.79</v>
      </c>
      <c r="H29" s="26"/>
    </row>
    <row r="30" spans="2:8" x14ac:dyDescent="0.2">
      <c r="B30" s="27" t="s">
        <v>88</v>
      </c>
      <c r="C30" s="23" t="s">
        <v>89</v>
      </c>
      <c r="D30" s="23" t="s">
        <v>77</v>
      </c>
      <c r="E30" s="28">
        <v>4000</v>
      </c>
      <c r="F30" s="25">
        <v>171.95</v>
      </c>
      <c r="G30" s="25">
        <v>1.68</v>
      </c>
      <c r="H30" s="26"/>
    </row>
    <row r="31" spans="2:8" x14ac:dyDescent="0.2">
      <c r="B31" s="27" t="s">
        <v>90</v>
      </c>
      <c r="C31" s="23" t="s">
        <v>91</v>
      </c>
      <c r="D31" s="23" t="s">
        <v>77</v>
      </c>
      <c r="E31" s="28">
        <v>25000</v>
      </c>
      <c r="F31" s="25">
        <v>166.59</v>
      </c>
      <c r="G31" s="25">
        <v>1.63</v>
      </c>
      <c r="H31" s="26"/>
    </row>
    <row r="32" spans="2:8" x14ac:dyDescent="0.2">
      <c r="B32" s="27" t="s">
        <v>92</v>
      </c>
      <c r="C32" s="23" t="s">
        <v>93</v>
      </c>
      <c r="D32" s="23" t="s">
        <v>74</v>
      </c>
      <c r="E32" s="28">
        <v>29000</v>
      </c>
      <c r="F32" s="25">
        <v>149.58000000000001</v>
      </c>
      <c r="G32" s="25">
        <v>1.47</v>
      </c>
      <c r="H32" s="26"/>
    </row>
    <row r="33" spans="2:10" x14ac:dyDescent="0.2">
      <c r="B33" s="27" t="s">
        <v>94</v>
      </c>
      <c r="C33" s="23" t="s">
        <v>95</v>
      </c>
      <c r="D33" s="23" t="s">
        <v>96</v>
      </c>
      <c r="E33" s="28">
        <v>65000</v>
      </c>
      <c r="F33" s="25">
        <v>147.1</v>
      </c>
      <c r="G33" s="25">
        <v>1.44</v>
      </c>
      <c r="H33" s="26"/>
    </row>
    <row r="34" spans="2:10" x14ac:dyDescent="0.2">
      <c r="B34" s="27" t="s">
        <v>97</v>
      </c>
      <c r="C34" s="23" t="s">
        <v>98</v>
      </c>
      <c r="D34" s="23" t="s">
        <v>99</v>
      </c>
      <c r="E34" s="28">
        <v>74558</v>
      </c>
      <c r="F34" s="25">
        <v>137.52000000000001</v>
      </c>
      <c r="G34" s="25">
        <v>1.35</v>
      </c>
      <c r="H34" s="26"/>
    </row>
    <row r="35" spans="2:10" x14ac:dyDescent="0.2">
      <c r="B35" s="27" t="s">
        <v>100</v>
      </c>
      <c r="C35" s="23" t="s">
        <v>101</v>
      </c>
      <c r="D35" s="23" t="s">
        <v>38</v>
      </c>
      <c r="E35" s="28">
        <v>13701</v>
      </c>
      <c r="F35" s="25">
        <v>135.93</v>
      </c>
      <c r="G35" s="25">
        <v>1.33</v>
      </c>
      <c r="H35" s="26"/>
    </row>
    <row r="36" spans="2:10" x14ac:dyDescent="0.2">
      <c r="B36" s="27" t="s">
        <v>102</v>
      </c>
      <c r="C36" s="23" t="s">
        <v>103</v>
      </c>
      <c r="D36" s="23" t="s">
        <v>99</v>
      </c>
      <c r="E36" s="28">
        <v>127600</v>
      </c>
      <c r="F36" s="25">
        <v>113.5</v>
      </c>
      <c r="G36" s="25">
        <v>1.1100000000000001</v>
      </c>
      <c r="H36" s="26"/>
    </row>
    <row r="37" spans="2:10" x14ac:dyDescent="0.2">
      <c r="B37" s="27" t="s">
        <v>104</v>
      </c>
      <c r="C37" s="23" t="s">
        <v>105</v>
      </c>
      <c r="D37" s="23" t="s">
        <v>56</v>
      </c>
      <c r="E37" s="28">
        <v>15000</v>
      </c>
      <c r="F37" s="25">
        <v>110.12</v>
      </c>
      <c r="G37" s="25">
        <v>1.08</v>
      </c>
      <c r="H37" s="26"/>
    </row>
    <row r="38" spans="2:10" x14ac:dyDescent="0.2">
      <c r="B38" s="27" t="s">
        <v>106</v>
      </c>
      <c r="C38" s="23" t="s">
        <v>107</v>
      </c>
      <c r="D38" s="23" t="s">
        <v>108</v>
      </c>
      <c r="E38" s="28">
        <v>18040</v>
      </c>
      <c r="F38" s="25">
        <v>99.87</v>
      </c>
      <c r="G38" s="25">
        <v>0.98</v>
      </c>
      <c r="H38" s="26"/>
    </row>
    <row r="39" spans="2:10" x14ac:dyDescent="0.2">
      <c r="B39" s="27" t="s">
        <v>109</v>
      </c>
      <c r="C39" s="23" t="s">
        <v>110</v>
      </c>
      <c r="D39" s="23" t="s">
        <v>111</v>
      </c>
      <c r="E39" s="28">
        <v>29000</v>
      </c>
      <c r="F39" s="25">
        <v>63.39</v>
      </c>
      <c r="G39" s="25">
        <v>0.62</v>
      </c>
      <c r="H39" s="26"/>
    </row>
    <row r="40" spans="2:10" x14ac:dyDescent="0.2">
      <c r="B40" s="27" t="s">
        <v>112</v>
      </c>
      <c r="C40" s="23" t="s">
        <v>113</v>
      </c>
      <c r="D40" s="23" t="s">
        <v>77</v>
      </c>
      <c r="E40" s="28">
        <v>8500</v>
      </c>
      <c r="F40" s="25">
        <v>58.48</v>
      </c>
      <c r="G40" s="25">
        <v>0.56999999999999995</v>
      </c>
      <c r="H40" s="26"/>
    </row>
    <row r="41" spans="2:10" x14ac:dyDescent="0.2">
      <c r="B41" s="29" t="s">
        <v>114</v>
      </c>
      <c r="C41" s="30"/>
      <c r="D41" s="30"/>
      <c r="E41" s="31"/>
      <c r="F41" s="32">
        <f>SUM(F7:F40)</f>
        <v>10007.680000000004</v>
      </c>
      <c r="G41" s="32">
        <f>SUM(G7:G40)</f>
        <v>98.079999999999984</v>
      </c>
      <c r="H41" s="33"/>
      <c r="I41" s="14"/>
      <c r="J41" s="14"/>
    </row>
    <row r="42" spans="2:10" x14ac:dyDescent="0.2">
      <c r="B42" s="37" t="s">
        <v>115</v>
      </c>
      <c r="C42" s="37"/>
      <c r="D42" s="37"/>
      <c r="E42" s="38"/>
      <c r="F42" s="39">
        <f>F41</f>
        <v>10007.680000000004</v>
      </c>
      <c r="G42" s="39">
        <f>G41</f>
        <v>98.079999999999984</v>
      </c>
      <c r="H42" s="15"/>
      <c r="I42" s="14"/>
      <c r="J42" s="14"/>
    </row>
    <row r="43" spans="2:10" x14ac:dyDescent="0.2">
      <c r="B43" s="40" t="s">
        <v>116</v>
      </c>
      <c r="C43" s="41"/>
      <c r="D43" s="41"/>
      <c r="E43" s="42"/>
      <c r="F43" s="43"/>
      <c r="G43" s="43"/>
      <c r="H43" s="44"/>
    </row>
    <row r="44" spans="2:10" x14ac:dyDescent="0.2">
      <c r="B44" s="27" t="s">
        <v>116</v>
      </c>
      <c r="C44" s="23"/>
      <c r="D44" s="23"/>
      <c r="E44" s="24"/>
      <c r="F44" s="25">
        <v>333.55</v>
      </c>
      <c r="G44" s="25">
        <v>3.27</v>
      </c>
      <c r="H44" s="26"/>
    </row>
    <row r="45" spans="2:10" x14ac:dyDescent="0.2">
      <c r="B45" s="29" t="s">
        <v>114</v>
      </c>
      <c r="C45" s="30"/>
      <c r="D45" s="30"/>
      <c r="E45" s="31"/>
      <c r="F45" s="32">
        <f>SUM(F43:F44)</f>
        <v>333.55</v>
      </c>
      <c r="G45" s="32">
        <f>SUM(G43:G44)</f>
        <v>3.27</v>
      </c>
      <c r="H45" s="33"/>
      <c r="I45" s="14"/>
      <c r="J45" s="14"/>
    </row>
    <row r="46" spans="2:10" x14ac:dyDescent="0.2">
      <c r="B46" s="34" t="s">
        <v>115</v>
      </c>
      <c r="C46" s="34"/>
      <c r="D46" s="34"/>
      <c r="E46" s="35"/>
      <c r="F46" s="36">
        <f>F45</f>
        <v>333.55</v>
      </c>
      <c r="G46" s="36">
        <f>G45</f>
        <v>3.27</v>
      </c>
      <c r="H46" s="36"/>
      <c r="I46" s="14"/>
      <c r="J46" s="14"/>
    </row>
    <row r="47" spans="2:10" x14ac:dyDescent="0.2">
      <c r="B47" s="45" t="s">
        <v>118</v>
      </c>
      <c r="C47" s="45"/>
      <c r="D47" s="45"/>
      <c r="E47" s="46"/>
      <c r="F47" s="16">
        <f>F48-(+F42+F46)</f>
        <v>-113.77000000000407</v>
      </c>
      <c r="G47" s="16">
        <f>G48-(+G42+G46)</f>
        <v>-1.3499999999999801</v>
      </c>
      <c r="H47" s="16"/>
      <c r="I47" s="14"/>
      <c r="J47" s="14"/>
    </row>
    <row r="48" spans="2:10" x14ac:dyDescent="0.2">
      <c r="B48" s="45" t="s">
        <v>117</v>
      </c>
      <c r="C48" s="45"/>
      <c r="D48" s="45"/>
      <c r="E48" s="46"/>
      <c r="F48" s="16">
        <v>10227.459999999999</v>
      </c>
      <c r="G48" s="16">
        <v>100</v>
      </c>
      <c r="H48" s="16"/>
      <c r="I48" s="14"/>
      <c r="J48" s="14"/>
    </row>
    <row r="50" spans="2:2" x14ac:dyDescent="0.2">
      <c r="B50" s="14"/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74"/>
  <sheetViews>
    <sheetView workbookViewId="0">
      <selection activeCell="F68" sqref="F68"/>
    </sheetView>
  </sheetViews>
  <sheetFormatPr defaultRowHeight="12" x14ac:dyDescent="0.2"/>
  <cols>
    <col min="1" max="1" width="9.140625" style="1"/>
    <col min="2" max="2" width="58.42578125" style="1" bestFit="1" customWidth="1"/>
    <col min="3" max="3" width="13.28515625" style="1" bestFit="1" customWidth="1"/>
    <col min="4" max="4" width="21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62" t="s">
        <v>9</v>
      </c>
      <c r="C1" s="63"/>
      <c r="D1" s="63"/>
      <c r="E1" s="63"/>
      <c r="F1" s="63"/>
      <c r="G1" s="63"/>
      <c r="H1" s="63"/>
    </row>
    <row r="3" spans="2:8" ht="16.5" thickBot="1" x14ac:dyDescent="0.25">
      <c r="B3" s="2" t="s">
        <v>7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17" t="s">
        <v>31</v>
      </c>
      <c r="C5" s="18"/>
      <c r="D5" s="18"/>
      <c r="E5" s="19"/>
      <c r="F5" s="20"/>
      <c r="G5" s="20"/>
      <c r="H5" s="21"/>
    </row>
    <row r="6" spans="2:8" x14ac:dyDescent="0.2">
      <c r="B6" s="22" t="s">
        <v>32</v>
      </c>
      <c r="C6" s="23"/>
      <c r="D6" s="23"/>
      <c r="E6" s="24"/>
      <c r="F6" s="25"/>
      <c r="G6" s="25"/>
      <c r="H6" s="26"/>
    </row>
    <row r="7" spans="2:8" x14ac:dyDescent="0.2">
      <c r="B7" s="27" t="s">
        <v>39</v>
      </c>
      <c r="C7" s="23" t="s">
        <v>40</v>
      </c>
      <c r="D7" s="23" t="s">
        <v>41</v>
      </c>
      <c r="E7" s="28">
        <v>4265550</v>
      </c>
      <c r="F7" s="25">
        <v>22906</v>
      </c>
      <c r="G7" s="25">
        <v>7.34</v>
      </c>
      <c r="H7" s="26"/>
    </row>
    <row r="8" spans="2:8" x14ac:dyDescent="0.2">
      <c r="B8" s="27" t="s">
        <v>119</v>
      </c>
      <c r="C8" s="23" t="s">
        <v>120</v>
      </c>
      <c r="D8" s="23" t="s">
        <v>121</v>
      </c>
      <c r="E8" s="28">
        <v>1782188</v>
      </c>
      <c r="F8" s="25">
        <v>22082.2</v>
      </c>
      <c r="G8" s="25">
        <v>7.08</v>
      </c>
      <c r="H8" s="26"/>
    </row>
    <row r="9" spans="2:8" x14ac:dyDescent="0.2">
      <c r="B9" s="27" t="s">
        <v>122</v>
      </c>
      <c r="C9" s="23" t="s">
        <v>123</v>
      </c>
      <c r="D9" s="23" t="s">
        <v>41</v>
      </c>
      <c r="E9" s="28">
        <v>1577340</v>
      </c>
      <c r="F9" s="25">
        <v>21932.91</v>
      </c>
      <c r="G9" s="25">
        <v>7.03</v>
      </c>
      <c r="H9" s="26"/>
    </row>
    <row r="10" spans="2:8" x14ac:dyDescent="0.2">
      <c r="B10" s="27" t="s">
        <v>124</v>
      </c>
      <c r="C10" s="23" t="s">
        <v>125</v>
      </c>
      <c r="D10" s="23" t="s">
        <v>111</v>
      </c>
      <c r="E10" s="28">
        <v>682400</v>
      </c>
      <c r="F10" s="25">
        <v>12569.47</v>
      </c>
      <c r="G10" s="25">
        <v>4.03</v>
      </c>
      <c r="H10" s="26"/>
    </row>
    <row r="11" spans="2:8" x14ac:dyDescent="0.2">
      <c r="B11" s="27" t="s">
        <v>126</v>
      </c>
      <c r="C11" s="23" t="s">
        <v>127</v>
      </c>
      <c r="D11" s="23" t="s">
        <v>128</v>
      </c>
      <c r="E11" s="28">
        <v>234535</v>
      </c>
      <c r="F11" s="25">
        <v>11104.18</v>
      </c>
      <c r="G11" s="25">
        <v>3.56</v>
      </c>
      <c r="H11" s="26"/>
    </row>
    <row r="12" spans="2:8" x14ac:dyDescent="0.2">
      <c r="B12" s="27" t="s">
        <v>129</v>
      </c>
      <c r="C12" s="23" t="s">
        <v>130</v>
      </c>
      <c r="D12" s="23" t="s">
        <v>121</v>
      </c>
      <c r="E12" s="28">
        <v>341928</v>
      </c>
      <c r="F12" s="25">
        <v>10638.58</v>
      </c>
      <c r="G12" s="25">
        <v>3.41</v>
      </c>
      <c r="H12" s="26"/>
    </row>
    <row r="13" spans="2:8" x14ac:dyDescent="0.2">
      <c r="B13" s="27" t="s">
        <v>131</v>
      </c>
      <c r="C13" s="23" t="s">
        <v>132</v>
      </c>
      <c r="D13" s="23" t="s">
        <v>41</v>
      </c>
      <c r="E13" s="28">
        <v>1528600</v>
      </c>
      <c r="F13" s="25">
        <v>10133.09</v>
      </c>
      <c r="G13" s="25">
        <v>3.25</v>
      </c>
      <c r="H13" s="26"/>
    </row>
    <row r="14" spans="2:8" x14ac:dyDescent="0.2">
      <c r="B14" s="27" t="s">
        <v>133</v>
      </c>
      <c r="C14" s="23" t="s">
        <v>134</v>
      </c>
      <c r="D14" s="23" t="s">
        <v>128</v>
      </c>
      <c r="E14" s="28">
        <v>415900</v>
      </c>
      <c r="F14" s="25">
        <v>9889.27</v>
      </c>
      <c r="G14" s="25">
        <v>3.17</v>
      </c>
      <c r="H14" s="26"/>
    </row>
    <row r="15" spans="2:8" x14ac:dyDescent="0.2">
      <c r="B15" s="27" t="s">
        <v>33</v>
      </c>
      <c r="C15" s="23" t="s">
        <v>34</v>
      </c>
      <c r="D15" s="23" t="s">
        <v>35</v>
      </c>
      <c r="E15" s="28">
        <v>655657</v>
      </c>
      <c r="F15" s="25">
        <v>8751.0499999999993</v>
      </c>
      <c r="G15" s="25">
        <v>2.8</v>
      </c>
      <c r="H15" s="26"/>
    </row>
    <row r="16" spans="2:8" x14ac:dyDescent="0.2">
      <c r="B16" s="27" t="s">
        <v>49</v>
      </c>
      <c r="C16" s="23" t="s">
        <v>50</v>
      </c>
      <c r="D16" s="23" t="s">
        <v>41</v>
      </c>
      <c r="E16" s="28">
        <v>2800000</v>
      </c>
      <c r="F16" s="25">
        <v>7898.8</v>
      </c>
      <c r="G16" s="25">
        <v>2.5299999999999998</v>
      </c>
      <c r="H16" s="26"/>
    </row>
    <row r="17" spans="2:8" x14ac:dyDescent="0.2">
      <c r="B17" s="27" t="s">
        <v>135</v>
      </c>
      <c r="C17" s="23" t="s">
        <v>136</v>
      </c>
      <c r="D17" s="23" t="s">
        <v>121</v>
      </c>
      <c r="E17" s="28">
        <v>825000</v>
      </c>
      <c r="F17" s="25">
        <v>7540.5</v>
      </c>
      <c r="G17" s="25">
        <v>2.42</v>
      </c>
      <c r="H17" s="26"/>
    </row>
    <row r="18" spans="2:8" x14ac:dyDescent="0.2">
      <c r="B18" s="27" t="s">
        <v>137</v>
      </c>
      <c r="C18" s="23" t="s">
        <v>138</v>
      </c>
      <c r="D18" s="23" t="s">
        <v>139</v>
      </c>
      <c r="E18" s="28">
        <v>295400</v>
      </c>
      <c r="F18" s="25">
        <v>6687.56</v>
      </c>
      <c r="G18" s="25">
        <v>2.14</v>
      </c>
      <c r="H18" s="26"/>
    </row>
    <row r="19" spans="2:8" x14ac:dyDescent="0.2">
      <c r="B19" s="27" t="s">
        <v>106</v>
      </c>
      <c r="C19" s="23" t="s">
        <v>107</v>
      </c>
      <c r="D19" s="23" t="s">
        <v>108</v>
      </c>
      <c r="E19" s="28">
        <v>1122334</v>
      </c>
      <c r="F19" s="25">
        <v>6213.24</v>
      </c>
      <c r="G19" s="25">
        <v>1.99</v>
      </c>
      <c r="H19" s="26"/>
    </row>
    <row r="20" spans="2:8" x14ac:dyDescent="0.2">
      <c r="B20" s="27" t="s">
        <v>84</v>
      </c>
      <c r="C20" s="23" t="s">
        <v>85</v>
      </c>
      <c r="D20" s="23" t="s">
        <v>69</v>
      </c>
      <c r="E20" s="28">
        <v>111971</v>
      </c>
      <c r="F20" s="25">
        <v>5964.98</v>
      </c>
      <c r="G20" s="25">
        <v>1.91</v>
      </c>
      <c r="H20" s="26"/>
    </row>
    <row r="21" spans="2:8" x14ac:dyDescent="0.2">
      <c r="B21" s="27" t="s">
        <v>140</v>
      </c>
      <c r="C21" s="23" t="s">
        <v>141</v>
      </c>
      <c r="D21" s="23" t="s">
        <v>41</v>
      </c>
      <c r="E21" s="28">
        <v>316651</v>
      </c>
      <c r="F21" s="25">
        <v>5424.07</v>
      </c>
      <c r="G21" s="25">
        <v>1.74</v>
      </c>
      <c r="H21" s="26"/>
    </row>
    <row r="22" spans="2:8" x14ac:dyDescent="0.2">
      <c r="B22" s="27" t="s">
        <v>54</v>
      </c>
      <c r="C22" s="23" t="s">
        <v>55</v>
      </c>
      <c r="D22" s="23" t="s">
        <v>56</v>
      </c>
      <c r="E22" s="28">
        <v>575429</v>
      </c>
      <c r="F22" s="25">
        <v>5225.47</v>
      </c>
      <c r="G22" s="25">
        <v>1.67</v>
      </c>
      <c r="H22" s="26"/>
    </row>
    <row r="23" spans="2:8" x14ac:dyDescent="0.2">
      <c r="B23" s="27" t="s">
        <v>142</v>
      </c>
      <c r="C23" s="23" t="s">
        <v>143</v>
      </c>
      <c r="D23" s="23" t="s">
        <v>144</v>
      </c>
      <c r="E23" s="28">
        <v>695000</v>
      </c>
      <c r="F23" s="25">
        <v>5209.72</v>
      </c>
      <c r="G23" s="25">
        <v>1.67</v>
      </c>
      <c r="H23" s="26"/>
    </row>
    <row r="24" spans="2:8" x14ac:dyDescent="0.2">
      <c r="B24" s="27" t="s">
        <v>145</v>
      </c>
      <c r="C24" s="23" t="s">
        <v>146</v>
      </c>
      <c r="D24" s="23" t="s">
        <v>147</v>
      </c>
      <c r="E24" s="28">
        <v>147032</v>
      </c>
      <c r="F24" s="25">
        <v>4954.76</v>
      </c>
      <c r="G24" s="25">
        <v>1.59</v>
      </c>
      <c r="H24" s="26"/>
    </row>
    <row r="25" spans="2:8" x14ac:dyDescent="0.2">
      <c r="B25" s="27" t="s">
        <v>148</v>
      </c>
      <c r="C25" s="23" t="s">
        <v>149</v>
      </c>
      <c r="D25" s="23" t="s">
        <v>144</v>
      </c>
      <c r="E25" s="28">
        <v>66626</v>
      </c>
      <c r="F25" s="25">
        <v>4801.5</v>
      </c>
      <c r="G25" s="25">
        <v>1.54</v>
      </c>
      <c r="H25" s="26"/>
    </row>
    <row r="26" spans="2:8" x14ac:dyDescent="0.2">
      <c r="B26" s="27" t="s">
        <v>150</v>
      </c>
      <c r="C26" s="23" t="s">
        <v>151</v>
      </c>
      <c r="D26" s="23" t="s">
        <v>77</v>
      </c>
      <c r="E26" s="28">
        <v>360000</v>
      </c>
      <c r="F26" s="25">
        <v>4402.4399999999996</v>
      </c>
      <c r="G26" s="25">
        <v>1.41</v>
      </c>
      <c r="H26" s="26"/>
    </row>
    <row r="27" spans="2:8" x14ac:dyDescent="0.2">
      <c r="B27" s="27" t="s">
        <v>152</v>
      </c>
      <c r="C27" s="23" t="s">
        <v>153</v>
      </c>
      <c r="D27" s="23" t="s">
        <v>139</v>
      </c>
      <c r="E27" s="28">
        <v>111490</v>
      </c>
      <c r="F27" s="25">
        <v>3903.38</v>
      </c>
      <c r="G27" s="25">
        <v>1.25</v>
      </c>
      <c r="H27" s="26"/>
    </row>
    <row r="28" spans="2:8" x14ac:dyDescent="0.2">
      <c r="B28" s="27" t="s">
        <v>45</v>
      </c>
      <c r="C28" s="23" t="s">
        <v>46</v>
      </c>
      <c r="D28" s="23" t="s">
        <v>38</v>
      </c>
      <c r="E28" s="28">
        <v>9910</v>
      </c>
      <c r="F28" s="25">
        <v>3863.38</v>
      </c>
      <c r="G28" s="25">
        <v>1.24</v>
      </c>
      <c r="H28" s="26"/>
    </row>
    <row r="29" spans="2:8" x14ac:dyDescent="0.2">
      <c r="B29" s="27" t="s">
        <v>154</v>
      </c>
      <c r="C29" s="23" t="s">
        <v>155</v>
      </c>
      <c r="D29" s="23" t="s">
        <v>128</v>
      </c>
      <c r="E29" s="28">
        <v>776940</v>
      </c>
      <c r="F29" s="25">
        <v>3731.64</v>
      </c>
      <c r="G29" s="25">
        <v>1.2</v>
      </c>
      <c r="H29" s="26"/>
    </row>
    <row r="30" spans="2:8" x14ac:dyDescent="0.2">
      <c r="B30" s="27" t="s">
        <v>156</v>
      </c>
      <c r="C30" s="23" t="s">
        <v>157</v>
      </c>
      <c r="D30" s="23" t="s">
        <v>144</v>
      </c>
      <c r="E30" s="28">
        <v>135000</v>
      </c>
      <c r="F30" s="25">
        <v>3704.81</v>
      </c>
      <c r="G30" s="25">
        <v>1.19</v>
      </c>
      <c r="H30" s="26"/>
    </row>
    <row r="31" spans="2:8" x14ac:dyDescent="0.2">
      <c r="B31" s="27" t="s">
        <v>158</v>
      </c>
      <c r="C31" s="23" t="s">
        <v>159</v>
      </c>
      <c r="D31" s="23" t="s">
        <v>147</v>
      </c>
      <c r="E31" s="28">
        <v>440000</v>
      </c>
      <c r="F31" s="25">
        <v>3633.96</v>
      </c>
      <c r="G31" s="25">
        <v>1.1599999999999999</v>
      </c>
      <c r="H31" s="26"/>
    </row>
    <row r="32" spans="2:8" x14ac:dyDescent="0.2">
      <c r="B32" s="27" t="s">
        <v>160</v>
      </c>
      <c r="C32" s="23" t="s">
        <v>161</v>
      </c>
      <c r="D32" s="23" t="s">
        <v>162</v>
      </c>
      <c r="E32" s="28">
        <v>174975</v>
      </c>
      <c r="F32" s="25">
        <v>3532.22</v>
      </c>
      <c r="G32" s="25">
        <v>1.1299999999999999</v>
      </c>
      <c r="H32" s="26"/>
    </row>
    <row r="33" spans="2:8" x14ac:dyDescent="0.2">
      <c r="B33" s="27" t="s">
        <v>163</v>
      </c>
      <c r="C33" s="23" t="s">
        <v>164</v>
      </c>
      <c r="D33" s="23" t="s">
        <v>128</v>
      </c>
      <c r="E33" s="28">
        <v>515000</v>
      </c>
      <c r="F33" s="25">
        <v>3517.45</v>
      </c>
      <c r="G33" s="25">
        <v>1.1299999999999999</v>
      </c>
      <c r="H33" s="26"/>
    </row>
    <row r="34" spans="2:8" x14ac:dyDescent="0.2">
      <c r="B34" s="27" t="s">
        <v>165</v>
      </c>
      <c r="C34" s="23" t="s">
        <v>166</v>
      </c>
      <c r="D34" s="23" t="s">
        <v>167</v>
      </c>
      <c r="E34" s="28">
        <v>753531</v>
      </c>
      <c r="F34" s="25">
        <v>3439.87</v>
      </c>
      <c r="G34" s="25">
        <v>1.1000000000000001</v>
      </c>
      <c r="H34" s="26"/>
    </row>
    <row r="35" spans="2:8" x14ac:dyDescent="0.2">
      <c r="B35" s="27" t="s">
        <v>168</v>
      </c>
      <c r="C35" s="23" t="s">
        <v>169</v>
      </c>
      <c r="D35" s="23" t="s">
        <v>128</v>
      </c>
      <c r="E35" s="28">
        <v>850000</v>
      </c>
      <c r="F35" s="25">
        <v>3381.73</v>
      </c>
      <c r="G35" s="25">
        <v>1.08</v>
      </c>
      <c r="H35" s="26"/>
    </row>
    <row r="36" spans="2:8" x14ac:dyDescent="0.2">
      <c r="B36" s="27" t="s">
        <v>170</v>
      </c>
      <c r="C36" s="23" t="s">
        <v>171</v>
      </c>
      <c r="D36" s="23" t="s">
        <v>147</v>
      </c>
      <c r="E36" s="28">
        <v>565000</v>
      </c>
      <c r="F36" s="25">
        <v>3312.03</v>
      </c>
      <c r="G36" s="25">
        <v>1.06</v>
      </c>
      <c r="H36" s="26"/>
    </row>
    <row r="37" spans="2:8" x14ac:dyDescent="0.2">
      <c r="B37" s="27" t="s">
        <v>172</v>
      </c>
      <c r="C37" s="23" t="s">
        <v>173</v>
      </c>
      <c r="D37" s="23" t="s">
        <v>128</v>
      </c>
      <c r="E37" s="28">
        <v>193250</v>
      </c>
      <c r="F37" s="25">
        <v>3175.97</v>
      </c>
      <c r="G37" s="25">
        <v>1.02</v>
      </c>
      <c r="H37" s="26"/>
    </row>
    <row r="38" spans="2:8" x14ac:dyDescent="0.2">
      <c r="B38" s="27" t="s">
        <v>174</v>
      </c>
      <c r="C38" s="23" t="s">
        <v>175</v>
      </c>
      <c r="D38" s="23" t="s">
        <v>176</v>
      </c>
      <c r="E38" s="28">
        <v>49752</v>
      </c>
      <c r="F38" s="25">
        <v>3170.5</v>
      </c>
      <c r="G38" s="25">
        <v>1.02</v>
      </c>
      <c r="H38" s="26"/>
    </row>
    <row r="39" spans="2:8" x14ac:dyDescent="0.2">
      <c r="B39" s="27" t="s">
        <v>92</v>
      </c>
      <c r="C39" s="23" t="s">
        <v>93</v>
      </c>
      <c r="D39" s="23" t="s">
        <v>74</v>
      </c>
      <c r="E39" s="28">
        <v>608000</v>
      </c>
      <c r="F39" s="25">
        <v>3136.06</v>
      </c>
      <c r="G39" s="25">
        <v>1.01</v>
      </c>
      <c r="H39" s="26"/>
    </row>
    <row r="40" spans="2:8" x14ac:dyDescent="0.2">
      <c r="B40" s="27" t="s">
        <v>177</v>
      </c>
      <c r="C40" s="23" t="s">
        <v>178</v>
      </c>
      <c r="D40" s="23" t="s">
        <v>77</v>
      </c>
      <c r="E40" s="28">
        <v>536750</v>
      </c>
      <c r="F40" s="25">
        <v>3133.55</v>
      </c>
      <c r="G40" s="25">
        <v>1</v>
      </c>
      <c r="H40" s="26"/>
    </row>
    <row r="41" spans="2:8" x14ac:dyDescent="0.2">
      <c r="B41" s="27" t="s">
        <v>51</v>
      </c>
      <c r="C41" s="23" t="s">
        <v>52</v>
      </c>
      <c r="D41" s="23" t="s">
        <v>53</v>
      </c>
      <c r="E41" s="28">
        <v>340979</v>
      </c>
      <c r="F41" s="25">
        <v>3105.47</v>
      </c>
      <c r="G41" s="25">
        <v>1</v>
      </c>
      <c r="H41" s="26"/>
    </row>
    <row r="42" spans="2:8" x14ac:dyDescent="0.2">
      <c r="B42" s="27" t="s">
        <v>82</v>
      </c>
      <c r="C42" s="23" t="s">
        <v>83</v>
      </c>
      <c r="D42" s="23" t="s">
        <v>74</v>
      </c>
      <c r="E42" s="28">
        <v>814056</v>
      </c>
      <c r="F42" s="25">
        <v>3014.04</v>
      </c>
      <c r="G42" s="25">
        <v>0.97</v>
      </c>
      <c r="H42" s="26"/>
    </row>
    <row r="43" spans="2:8" x14ac:dyDescent="0.2">
      <c r="B43" s="27" t="s">
        <v>179</v>
      </c>
      <c r="C43" s="23" t="s">
        <v>180</v>
      </c>
      <c r="D43" s="23" t="s">
        <v>167</v>
      </c>
      <c r="E43" s="28">
        <v>187500</v>
      </c>
      <c r="F43" s="25">
        <v>2978.16</v>
      </c>
      <c r="G43" s="25">
        <v>0.95</v>
      </c>
      <c r="H43" s="26"/>
    </row>
    <row r="44" spans="2:8" x14ac:dyDescent="0.2">
      <c r="B44" s="27" t="s">
        <v>181</v>
      </c>
      <c r="C44" s="23" t="s">
        <v>182</v>
      </c>
      <c r="D44" s="23" t="s">
        <v>56</v>
      </c>
      <c r="E44" s="28">
        <v>116282</v>
      </c>
      <c r="F44" s="25">
        <v>2968.74</v>
      </c>
      <c r="G44" s="25">
        <v>0.95</v>
      </c>
      <c r="H44" s="26"/>
    </row>
    <row r="45" spans="2:8" x14ac:dyDescent="0.2">
      <c r="B45" s="27" t="s">
        <v>86</v>
      </c>
      <c r="C45" s="23" t="s">
        <v>87</v>
      </c>
      <c r="D45" s="23" t="s">
        <v>69</v>
      </c>
      <c r="E45" s="28">
        <v>12842</v>
      </c>
      <c r="F45" s="25">
        <v>2924.55</v>
      </c>
      <c r="G45" s="25">
        <v>0.94</v>
      </c>
      <c r="H45" s="26"/>
    </row>
    <row r="46" spans="2:8" x14ac:dyDescent="0.2">
      <c r="B46" s="27" t="s">
        <v>183</v>
      </c>
      <c r="C46" s="23" t="s">
        <v>184</v>
      </c>
      <c r="D46" s="23" t="s">
        <v>147</v>
      </c>
      <c r="E46" s="28">
        <v>19860</v>
      </c>
      <c r="F46" s="25">
        <v>2824.5</v>
      </c>
      <c r="G46" s="25">
        <v>0.91</v>
      </c>
      <c r="H46" s="26"/>
    </row>
    <row r="47" spans="2:8" x14ac:dyDescent="0.2">
      <c r="B47" s="27" t="s">
        <v>185</v>
      </c>
      <c r="C47" s="23" t="s">
        <v>186</v>
      </c>
      <c r="D47" s="23" t="s">
        <v>56</v>
      </c>
      <c r="E47" s="28">
        <v>198800</v>
      </c>
      <c r="F47" s="25">
        <v>2823.56</v>
      </c>
      <c r="G47" s="25">
        <v>0.9</v>
      </c>
      <c r="H47" s="26"/>
    </row>
    <row r="48" spans="2:8" x14ac:dyDescent="0.2">
      <c r="B48" s="27" t="s">
        <v>187</v>
      </c>
      <c r="C48" s="23" t="s">
        <v>188</v>
      </c>
      <c r="D48" s="23" t="s">
        <v>176</v>
      </c>
      <c r="E48" s="28">
        <v>225000</v>
      </c>
      <c r="F48" s="25">
        <v>2736.68</v>
      </c>
      <c r="G48" s="25">
        <v>0.88</v>
      </c>
      <c r="H48" s="26"/>
    </row>
    <row r="49" spans="2:8" x14ac:dyDescent="0.2">
      <c r="B49" s="27" t="s">
        <v>189</v>
      </c>
      <c r="C49" s="23" t="s">
        <v>190</v>
      </c>
      <c r="D49" s="23" t="s">
        <v>191</v>
      </c>
      <c r="E49" s="28">
        <v>115394</v>
      </c>
      <c r="F49" s="25">
        <v>2593.48</v>
      </c>
      <c r="G49" s="25">
        <v>0.83</v>
      </c>
      <c r="H49" s="26"/>
    </row>
    <row r="50" spans="2:8" x14ac:dyDescent="0.2">
      <c r="B50" s="27" t="s">
        <v>192</v>
      </c>
      <c r="C50" s="23" t="s">
        <v>193</v>
      </c>
      <c r="D50" s="23" t="s">
        <v>176</v>
      </c>
      <c r="E50" s="28">
        <v>111780</v>
      </c>
      <c r="F50" s="25">
        <v>2562.11</v>
      </c>
      <c r="G50" s="25">
        <v>0.82</v>
      </c>
      <c r="H50" s="26"/>
    </row>
    <row r="51" spans="2:8" x14ac:dyDescent="0.2">
      <c r="B51" s="27" t="s">
        <v>194</v>
      </c>
      <c r="C51" s="23" t="s">
        <v>195</v>
      </c>
      <c r="D51" s="23" t="s">
        <v>139</v>
      </c>
      <c r="E51" s="28">
        <v>104500</v>
      </c>
      <c r="F51" s="25">
        <v>2515.6799999999998</v>
      </c>
      <c r="G51" s="25">
        <v>0.81</v>
      </c>
      <c r="H51" s="26"/>
    </row>
    <row r="52" spans="2:8" x14ac:dyDescent="0.2">
      <c r="B52" s="27" t="s">
        <v>196</v>
      </c>
      <c r="C52" s="23" t="s">
        <v>197</v>
      </c>
      <c r="D52" s="23" t="s">
        <v>56</v>
      </c>
      <c r="E52" s="28">
        <v>160000</v>
      </c>
      <c r="F52" s="25">
        <v>2402.08</v>
      </c>
      <c r="G52" s="25">
        <v>0.77</v>
      </c>
      <c r="H52" s="26"/>
    </row>
    <row r="53" spans="2:8" x14ac:dyDescent="0.2">
      <c r="B53" s="27" t="s">
        <v>198</v>
      </c>
      <c r="C53" s="23" t="s">
        <v>199</v>
      </c>
      <c r="D53" s="23" t="s">
        <v>128</v>
      </c>
      <c r="E53" s="28">
        <v>243000</v>
      </c>
      <c r="F53" s="25">
        <v>2396.1</v>
      </c>
      <c r="G53" s="25">
        <v>0.77</v>
      </c>
      <c r="H53" s="26"/>
    </row>
    <row r="54" spans="2:8" x14ac:dyDescent="0.2">
      <c r="B54" s="27" t="s">
        <v>200</v>
      </c>
      <c r="C54" s="23" t="s">
        <v>201</v>
      </c>
      <c r="D54" s="23" t="s">
        <v>128</v>
      </c>
      <c r="E54" s="28">
        <v>345000</v>
      </c>
      <c r="F54" s="25">
        <v>2338.9299999999998</v>
      </c>
      <c r="G54" s="25">
        <v>0.75</v>
      </c>
      <c r="H54" s="26"/>
    </row>
    <row r="55" spans="2:8" x14ac:dyDescent="0.2">
      <c r="B55" s="27" t="s">
        <v>202</v>
      </c>
      <c r="C55" s="23" t="s">
        <v>203</v>
      </c>
      <c r="D55" s="23" t="s">
        <v>204</v>
      </c>
      <c r="E55" s="28">
        <v>86500</v>
      </c>
      <c r="F55" s="25">
        <v>2293.5500000000002</v>
      </c>
      <c r="G55" s="25">
        <v>0.74</v>
      </c>
      <c r="H55" s="26"/>
    </row>
    <row r="56" spans="2:8" x14ac:dyDescent="0.2">
      <c r="B56" s="27" t="s">
        <v>205</v>
      </c>
      <c r="C56" s="23" t="s">
        <v>206</v>
      </c>
      <c r="D56" s="23" t="s">
        <v>77</v>
      </c>
      <c r="E56" s="28">
        <v>920000</v>
      </c>
      <c r="F56" s="25">
        <v>2250.3200000000002</v>
      </c>
      <c r="G56" s="25">
        <v>0.72</v>
      </c>
      <c r="H56" s="26"/>
    </row>
    <row r="57" spans="2:8" x14ac:dyDescent="0.2">
      <c r="B57" s="27" t="s">
        <v>207</v>
      </c>
      <c r="C57" s="23" t="s">
        <v>208</v>
      </c>
      <c r="D57" s="23" t="s">
        <v>147</v>
      </c>
      <c r="E57" s="28">
        <v>120659</v>
      </c>
      <c r="F57" s="25">
        <v>2234.67</v>
      </c>
      <c r="G57" s="25">
        <v>0.72</v>
      </c>
      <c r="H57" s="26"/>
    </row>
    <row r="58" spans="2:8" x14ac:dyDescent="0.2">
      <c r="B58" s="27" t="s">
        <v>209</v>
      </c>
      <c r="C58" s="23" t="s">
        <v>210</v>
      </c>
      <c r="D58" s="23" t="s">
        <v>77</v>
      </c>
      <c r="E58" s="28">
        <v>102400</v>
      </c>
      <c r="F58" s="25">
        <v>2001.05</v>
      </c>
      <c r="G58" s="25">
        <v>0.64</v>
      </c>
      <c r="H58" s="26"/>
    </row>
    <row r="59" spans="2:8" x14ac:dyDescent="0.2">
      <c r="B59" s="27" t="s">
        <v>211</v>
      </c>
      <c r="C59" s="23" t="s">
        <v>212</v>
      </c>
      <c r="D59" s="23" t="s">
        <v>128</v>
      </c>
      <c r="E59" s="28">
        <v>349621</v>
      </c>
      <c r="F59" s="25">
        <v>1944.59</v>
      </c>
      <c r="G59" s="25">
        <v>0.62</v>
      </c>
      <c r="H59" s="26"/>
    </row>
    <row r="60" spans="2:8" x14ac:dyDescent="0.2">
      <c r="B60" s="27" t="s">
        <v>213</v>
      </c>
      <c r="C60" s="23" t="s">
        <v>214</v>
      </c>
      <c r="D60" s="23" t="s">
        <v>56</v>
      </c>
      <c r="E60" s="28">
        <v>175000</v>
      </c>
      <c r="F60" s="25">
        <v>1828.31</v>
      </c>
      <c r="G60" s="25">
        <v>0.59</v>
      </c>
      <c r="H60" s="26"/>
    </row>
    <row r="61" spans="2:8" x14ac:dyDescent="0.2">
      <c r="B61" s="27" t="s">
        <v>215</v>
      </c>
      <c r="C61" s="23" t="s">
        <v>216</v>
      </c>
      <c r="D61" s="23" t="s">
        <v>147</v>
      </c>
      <c r="E61" s="28">
        <v>40104</v>
      </c>
      <c r="F61" s="25">
        <v>1205.9100000000001</v>
      </c>
      <c r="G61" s="25">
        <v>0.39</v>
      </c>
      <c r="H61" s="26"/>
    </row>
    <row r="62" spans="2:8" x14ac:dyDescent="0.2">
      <c r="B62" s="27" t="s">
        <v>217</v>
      </c>
      <c r="C62" s="23" t="s">
        <v>218</v>
      </c>
      <c r="D62" s="23" t="s">
        <v>139</v>
      </c>
      <c r="E62" s="28">
        <v>5000</v>
      </c>
      <c r="F62" s="25">
        <v>853</v>
      </c>
      <c r="G62" s="25">
        <v>0.27</v>
      </c>
      <c r="H62" s="26"/>
    </row>
    <row r="63" spans="2:8" x14ac:dyDescent="0.2">
      <c r="B63" s="27" t="s">
        <v>219</v>
      </c>
      <c r="C63" s="23" t="s">
        <v>220</v>
      </c>
      <c r="D63" s="23" t="s">
        <v>139</v>
      </c>
      <c r="E63" s="28">
        <v>30200</v>
      </c>
      <c r="F63" s="25">
        <v>782.23</v>
      </c>
      <c r="G63" s="25">
        <v>0.25</v>
      </c>
      <c r="H63" s="26"/>
    </row>
    <row r="64" spans="2:8" x14ac:dyDescent="0.2">
      <c r="B64" s="27" t="s">
        <v>94</v>
      </c>
      <c r="C64" s="23" t="s">
        <v>95</v>
      </c>
      <c r="D64" s="23" t="s">
        <v>96</v>
      </c>
      <c r="E64" s="28">
        <v>100000</v>
      </c>
      <c r="F64" s="25">
        <v>226.3</v>
      </c>
      <c r="G64" s="25">
        <v>7.0000000000000007E-2</v>
      </c>
      <c r="H64" s="26"/>
    </row>
    <row r="65" spans="2:10" x14ac:dyDescent="0.2">
      <c r="B65" s="29" t="s">
        <v>114</v>
      </c>
      <c r="C65" s="30"/>
      <c r="D65" s="30"/>
      <c r="E65" s="31"/>
      <c r="F65" s="32">
        <f>SUM(F7:F64)</f>
        <v>296770.34999999992</v>
      </c>
      <c r="G65" s="32">
        <f>SUM(G7:G64)</f>
        <v>95.129999999999967</v>
      </c>
      <c r="H65" s="33"/>
      <c r="I65" s="14"/>
      <c r="J65" s="14"/>
    </row>
    <row r="66" spans="2:10" x14ac:dyDescent="0.2">
      <c r="B66" s="37" t="s">
        <v>115</v>
      </c>
      <c r="C66" s="37"/>
      <c r="D66" s="37"/>
      <c r="E66" s="38"/>
      <c r="F66" s="39">
        <f>F65</f>
        <v>296770.34999999992</v>
      </c>
      <c r="G66" s="39">
        <f>G65</f>
        <v>95.129999999999967</v>
      </c>
      <c r="H66" s="15"/>
      <c r="I66" s="14"/>
      <c r="J66" s="14"/>
    </row>
    <row r="67" spans="2:10" x14ac:dyDescent="0.2">
      <c r="B67" s="40" t="s">
        <v>116</v>
      </c>
      <c r="C67" s="41"/>
      <c r="D67" s="41"/>
      <c r="E67" s="42"/>
      <c r="F67" s="43"/>
      <c r="G67" s="43"/>
      <c r="H67" s="44"/>
    </row>
    <row r="68" spans="2:10" x14ac:dyDescent="0.2">
      <c r="B68" s="27" t="s">
        <v>116</v>
      </c>
      <c r="C68" s="23"/>
      <c r="D68" s="23"/>
      <c r="E68" s="24"/>
      <c r="F68" s="25">
        <v>20368.490000000002</v>
      </c>
      <c r="G68" s="25">
        <v>6.53</v>
      </c>
      <c r="H68" s="26"/>
    </row>
    <row r="69" spans="2:10" x14ac:dyDescent="0.2">
      <c r="B69" s="29" t="s">
        <v>114</v>
      </c>
      <c r="C69" s="30"/>
      <c r="D69" s="30"/>
      <c r="E69" s="31"/>
      <c r="F69" s="32">
        <f>SUM(F67:F68)</f>
        <v>20368.490000000002</v>
      </c>
      <c r="G69" s="32">
        <f>SUM(G67:G68)</f>
        <v>6.53</v>
      </c>
      <c r="H69" s="33"/>
      <c r="I69" s="14"/>
      <c r="J69" s="14"/>
    </row>
    <row r="70" spans="2:10" x14ac:dyDescent="0.2">
      <c r="B70" s="34" t="s">
        <v>115</v>
      </c>
      <c r="C70" s="34"/>
      <c r="D70" s="34"/>
      <c r="E70" s="35"/>
      <c r="F70" s="36">
        <f>F69</f>
        <v>20368.490000000002</v>
      </c>
      <c r="G70" s="36">
        <f>G69</f>
        <v>6.53</v>
      </c>
      <c r="H70" s="36"/>
      <c r="I70" s="14"/>
      <c r="J70" s="14"/>
    </row>
    <row r="71" spans="2:10" x14ac:dyDescent="0.2">
      <c r="B71" s="45" t="s">
        <v>118</v>
      </c>
      <c r="C71" s="45"/>
      <c r="D71" s="45"/>
      <c r="E71" s="46"/>
      <c r="F71" s="16">
        <f>F72-(+F66+F70)</f>
        <v>-4190.8199999998906</v>
      </c>
      <c r="G71" s="16">
        <f>G72-(+G66+G70)</f>
        <v>-1.6599999999999682</v>
      </c>
      <c r="H71" s="16"/>
      <c r="I71" s="14"/>
      <c r="J71" s="14"/>
    </row>
    <row r="72" spans="2:10" x14ac:dyDescent="0.2">
      <c r="B72" s="45" t="s">
        <v>117</v>
      </c>
      <c r="C72" s="45"/>
      <c r="D72" s="45"/>
      <c r="E72" s="46"/>
      <c r="F72" s="16">
        <v>312948.02</v>
      </c>
      <c r="G72" s="16">
        <v>100</v>
      </c>
      <c r="H72" s="16"/>
      <c r="I72" s="14"/>
      <c r="J72" s="14"/>
    </row>
    <row r="74" spans="2:10" x14ac:dyDescent="0.2">
      <c r="B74" s="14"/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70"/>
  <sheetViews>
    <sheetView workbookViewId="0">
      <selection activeCell="B70" sqref="B70"/>
    </sheetView>
  </sheetViews>
  <sheetFormatPr defaultRowHeight="12" x14ac:dyDescent="0.2"/>
  <cols>
    <col min="1" max="1" width="9.140625" style="1"/>
    <col min="2" max="2" width="58.42578125" style="1" bestFit="1" customWidth="1"/>
    <col min="3" max="3" width="13.28515625" style="1" bestFit="1" customWidth="1"/>
    <col min="4" max="4" width="21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62" t="s">
        <v>10</v>
      </c>
      <c r="C1" s="63"/>
      <c r="D1" s="63"/>
      <c r="E1" s="63"/>
      <c r="F1" s="63"/>
      <c r="G1" s="63"/>
      <c r="H1" s="63"/>
    </row>
    <row r="3" spans="2:8" ht="16.5" thickBot="1" x14ac:dyDescent="0.25">
      <c r="B3" s="2" t="s">
        <v>7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17" t="s">
        <v>31</v>
      </c>
      <c r="C5" s="18"/>
      <c r="D5" s="18"/>
      <c r="E5" s="19"/>
      <c r="F5" s="20"/>
      <c r="G5" s="20"/>
      <c r="H5" s="21"/>
    </row>
    <row r="6" spans="2:8" x14ac:dyDescent="0.2">
      <c r="B6" s="22" t="s">
        <v>32</v>
      </c>
      <c r="C6" s="23"/>
      <c r="D6" s="23"/>
      <c r="E6" s="24"/>
      <c r="F6" s="25"/>
      <c r="G6" s="25"/>
      <c r="H6" s="26"/>
    </row>
    <row r="7" spans="2:8" x14ac:dyDescent="0.2">
      <c r="B7" s="27" t="s">
        <v>119</v>
      </c>
      <c r="C7" s="23" t="s">
        <v>120</v>
      </c>
      <c r="D7" s="23" t="s">
        <v>121</v>
      </c>
      <c r="E7" s="28">
        <v>1074500</v>
      </c>
      <c r="F7" s="25">
        <v>13313.59</v>
      </c>
      <c r="G7" s="25">
        <v>8.68</v>
      </c>
      <c r="H7" s="26"/>
    </row>
    <row r="8" spans="2:8" x14ac:dyDescent="0.2">
      <c r="B8" s="27" t="s">
        <v>39</v>
      </c>
      <c r="C8" s="23" t="s">
        <v>40</v>
      </c>
      <c r="D8" s="23" t="s">
        <v>41</v>
      </c>
      <c r="E8" s="28">
        <v>2381000</v>
      </c>
      <c r="F8" s="25">
        <v>12785.97</v>
      </c>
      <c r="G8" s="25">
        <v>8.34</v>
      </c>
      <c r="H8" s="26"/>
    </row>
    <row r="9" spans="2:8" x14ac:dyDescent="0.2">
      <c r="B9" s="27" t="s">
        <v>122</v>
      </c>
      <c r="C9" s="23" t="s">
        <v>123</v>
      </c>
      <c r="D9" s="23" t="s">
        <v>41</v>
      </c>
      <c r="E9" s="28">
        <v>692184</v>
      </c>
      <c r="F9" s="25">
        <v>9624.82</v>
      </c>
      <c r="G9" s="25">
        <v>6.27</v>
      </c>
      <c r="H9" s="26"/>
    </row>
    <row r="10" spans="2:8" x14ac:dyDescent="0.2">
      <c r="B10" s="27" t="s">
        <v>33</v>
      </c>
      <c r="C10" s="23" t="s">
        <v>34</v>
      </c>
      <c r="D10" s="23" t="s">
        <v>35</v>
      </c>
      <c r="E10" s="28">
        <v>580000</v>
      </c>
      <c r="F10" s="25">
        <v>7741.26</v>
      </c>
      <c r="G10" s="25">
        <v>5.05</v>
      </c>
      <c r="H10" s="26"/>
    </row>
    <row r="11" spans="2:8" x14ac:dyDescent="0.2">
      <c r="B11" s="27" t="s">
        <v>49</v>
      </c>
      <c r="C11" s="23" t="s">
        <v>50</v>
      </c>
      <c r="D11" s="23" t="s">
        <v>41</v>
      </c>
      <c r="E11" s="28">
        <v>2225000</v>
      </c>
      <c r="F11" s="25">
        <v>6276.73</v>
      </c>
      <c r="G11" s="25">
        <v>4.09</v>
      </c>
      <c r="H11" s="26"/>
    </row>
    <row r="12" spans="2:8" x14ac:dyDescent="0.2">
      <c r="B12" s="27" t="s">
        <v>131</v>
      </c>
      <c r="C12" s="23" t="s">
        <v>132</v>
      </c>
      <c r="D12" s="23" t="s">
        <v>41</v>
      </c>
      <c r="E12" s="28">
        <v>928000</v>
      </c>
      <c r="F12" s="25">
        <v>6151.71</v>
      </c>
      <c r="G12" s="25">
        <v>4.01</v>
      </c>
      <c r="H12" s="26"/>
    </row>
    <row r="13" spans="2:8" x14ac:dyDescent="0.2">
      <c r="B13" s="27" t="s">
        <v>126</v>
      </c>
      <c r="C13" s="23" t="s">
        <v>127</v>
      </c>
      <c r="D13" s="23" t="s">
        <v>128</v>
      </c>
      <c r="E13" s="28">
        <v>124950</v>
      </c>
      <c r="F13" s="25">
        <v>5915.82</v>
      </c>
      <c r="G13" s="25">
        <v>3.86</v>
      </c>
      <c r="H13" s="26"/>
    </row>
    <row r="14" spans="2:8" x14ac:dyDescent="0.2">
      <c r="B14" s="27" t="s">
        <v>135</v>
      </c>
      <c r="C14" s="23" t="s">
        <v>136</v>
      </c>
      <c r="D14" s="23" t="s">
        <v>121</v>
      </c>
      <c r="E14" s="28">
        <v>465000</v>
      </c>
      <c r="F14" s="25">
        <v>4250.1000000000004</v>
      </c>
      <c r="G14" s="25">
        <v>2.77</v>
      </c>
      <c r="H14" s="26"/>
    </row>
    <row r="15" spans="2:8" x14ac:dyDescent="0.2">
      <c r="B15" s="27" t="s">
        <v>133</v>
      </c>
      <c r="C15" s="23" t="s">
        <v>134</v>
      </c>
      <c r="D15" s="23" t="s">
        <v>128</v>
      </c>
      <c r="E15" s="28">
        <v>165000</v>
      </c>
      <c r="F15" s="25">
        <v>3923.37</v>
      </c>
      <c r="G15" s="25">
        <v>2.56</v>
      </c>
      <c r="H15" s="26"/>
    </row>
    <row r="16" spans="2:8" x14ac:dyDescent="0.2">
      <c r="B16" s="27" t="s">
        <v>129</v>
      </c>
      <c r="C16" s="23" t="s">
        <v>130</v>
      </c>
      <c r="D16" s="23" t="s">
        <v>121</v>
      </c>
      <c r="E16" s="28">
        <v>122815</v>
      </c>
      <c r="F16" s="25">
        <v>3821.2</v>
      </c>
      <c r="G16" s="25">
        <v>2.4900000000000002</v>
      </c>
      <c r="H16" s="26"/>
    </row>
    <row r="17" spans="2:8" x14ac:dyDescent="0.2">
      <c r="B17" s="27" t="s">
        <v>54</v>
      </c>
      <c r="C17" s="23" t="s">
        <v>55</v>
      </c>
      <c r="D17" s="23" t="s">
        <v>56</v>
      </c>
      <c r="E17" s="28">
        <v>380000</v>
      </c>
      <c r="F17" s="25">
        <v>3450.78</v>
      </c>
      <c r="G17" s="25">
        <v>2.25</v>
      </c>
      <c r="H17" s="26"/>
    </row>
    <row r="18" spans="2:8" x14ac:dyDescent="0.2">
      <c r="B18" s="27" t="s">
        <v>145</v>
      </c>
      <c r="C18" s="23" t="s">
        <v>146</v>
      </c>
      <c r="D18" s="23" t="s">
        <v>147</v>
      </c>
      <c r="E18" s="28">
        <v>94000</v>
      </c>
      <c r="F18" s="25">
        <v>3167.66</v>
      </c>
      <c r="G18" s="25">
        <v>2.0699999999999998</v>
      </c>
      <c r="H18" s="26"/>
    </row>
    <row r="19" spans="2:8" x14ac:dyDescent="0.2">
      <c r="B19" s="27" t="s">
        <v>219</v>
      </c>
      <c r="C19" s="23" t="s">
        <v>220</v>
      </c>
      <c r="D19" s="23" t="s">
        <v>139</v>
      </c>
      <c r="E19" s="28">
        <v>116200</v>
      </c>
      <c r="F19" s="25">
        <v>3009.75</v>
      </c>
      <c r="G19" s="25">
        <v>1.96</v>
      </c>
      <c r="H19" s="26"/>
    </row>
    <row r="20" spans="2:8" x14ac:dyDescent="0.2">
      <c r="B20" s="27" t="s">
        <v>70</v>
      </c>
      <c r="C20" s="23" t="s">
        <v>71</v>
      </c>
      <c r="D20" s="23" t="s">
        <v>56</v>
      </c>
      <c r="E20" s="28">
        <v>664272</v>
      </c>
      <c r="F20" s="25">
        <v>2841.42</v>
      </c>
      <c r="G20" s="25">
        <v>1.85</v>
      </c>
      <c r="H20" s="26"/>
    </row>
    <row r="21" spans="2:8" x14ac:dyDescent="0.2">
      <c r="B21" s="27" t="s">
        <v>194</v>
      </c>
      <c r="C21" s="23" t="s">
        <v>195</v>
      </c>
      <c r="D21" s="23" t="s">
        <v>139</v>
      </c>
      <c r="E21" s="28">
        <v>115700</v>
      </c>
      <c r="F21" s="25">
        <v>2785.3</v>
      </c>
      <c r="G21" s="25">
        <v>1.82</v>
      </c>
      <c r="H21" s="26"/>
    </row>
    <row r="22" spans="2:8" x14ac:dyDescent="0.2">
      <c r="B22" s="27" t="s">
        <v>213</v>
      </c>
      <c r="C22" s="23" t="s">
        <v>214</v>
      </c>
      <c r="D22" s="23" t="s">
        <v>56</v>
      </c>
      <c r="E22" s="28">
        <v>255000</v>
      </c>
      <c r="F22" s="25">
        <v>2664.11</v>
      </c>
      <c r="G22" s="25">
        <v>1.74</v>
      </c>
      <c r="H22" s="26"/>
    </row>
    <row r="23" spans="2:8" x14ac:dyDescent="0.2">
      <c r="B23" s="27" t="s">
        <v>221</v>
      </c>
      <c r="C23" s="23" t="s">
        <v>222</v>
      </c>
      <c r="D23" s="23" t="s">
        <v>144</v>
      </c>
      <c r="E23" s="28">
        <v>66000</v>
      </c>
      <c r="F23" s="25">
        <v>2643.83</v>
      </c>
      <c r="G23" s="25">
        <v>1.72</v>
      </c>
      <c r="H23" s="26"/>
    </row>
    <row r="24" spans="2:8" x14ac:dyDescent="0.2">
      <c r="B24" s="27" t="s">
        <v>148</v>
      </c>
      <c r="C24" s="23" t="s">
        <v>149</v>
      </c>
      <c r="D24" s="23" t="s">
        <v>144</v>
      </c>
      <c r="E24" s="28">
        <v>33450</v>
      </c>
      <c r="F24" s="25">
        <v>2410.62</v>
      </c>
      <c r="G24" s="25">
        <v>1.57</v>
      </c>
      <c r="H24" s="26"/>
    </row>
    <row r="25" spans="2:8" x14ac:dyDescent="0.2">
      <c r="B25" s="27" t="s">
        <v>168</v>
      </c>
      <c r="C25" s="23" t="s">
        <v>169</v>
      </c>
      <c r="D25" s="23" t="s">
        <v>128</v>
      </c>
      <c r="E25" s="28">
        <v>605000</v>
      </c>
      <c r="F25" s="25">
        <v>2406.9899999999998</v>
      </c>
      <c r="G25" s="25">
        <v>1.57</v>
      </c>
      <c r="H25" s="26"/>
    </row>
    <row r="26" spans="2:8" x14ac:dyDescent="0.2">
      <c r="B26" s="27" t="s">
        <v>223</v>
      </c>
      <c r="C26" s="23" t="s">
        <v>224</v>
      </c>
      <c r="D26" s="23" t="s">
        <v>128</v>
      </c>
      <c r="E26" s="28">
        <v>500000</v>
      </c>
      <c r="F26" s="25">
        <v>2405</v>
      </c>
      <c r="G26" s="25">
        <v>1.57</v>
      </c>
      <c r="H26" s="26"/>
    </row>
    <row r="27" spans="2:8" x14ac:dyDescent="0.2">
      <c r="B27" s="27" t="s">
        <v>165</v>
      </c>
      <c r="C27" s="23" t="s">
        <v>166</v>
      </c>
      <c r="D27" s="23" t="s">
        <v>167</v>
      </c>
      <c r="E27" s="28">
        <v>500000</v>
      </c>
      <c r="F27" s="25">
        <v>2282.5</v>
      </c>
      <c r="G27" s="25">
        <v>1.49</v>
      </c>
      <c r="H27" s="26"/>
    </row>
    <row r="28" spans="2:8" x14ac:dyDescent="0.2">
      <c r="B28" s="27" t="s">
        <v>160</v>
      </c>
      <c r="C28" s="23" t="s">
        <v>161</v>
      </c>
      <c r="D28" s="23" t="s">
        <v>162</v>
      </c>
      <c r="E28" s="28">
        <v>113000</v>
      </c>
      <c r="F28" s="25">
        <v>2281.13</v>
      </c>
      <c r="G28" s="25">
        <v>1.49</v>
      </c>
      <c r="H28" s="26"/>
    </row>
    <row r="29" spans="2:8" x14ac:dyDescent="0.2">
      <c r="B29" s="27" t="s">
        <v>225</v>
      </c>
      <c r="C29" s="23" t="s">
        <v>226</v>
      </c>
      <c r="D29" s="23" t="s">
        <v>121</v>
      </c>
      <c r="E29" s="28">
        <v>29235</v>
      </c>
      <c r="F29" s="25">
        <v>2281.08</v>
      </c>
      <c r="G29" s="25">
        <v>1.49</v>
      </c>
      <c r="H29" s="26"/>
    </row>
    <row r="30" spans="2:8" x14ac:dyDescent="0.2">
      <c r="B30" s="27" t="s">
        <v>158</v>
      </c>
      <c r="C30" s="23" t="s">
        <v>159</v>
      </c>
      <c r="D30" s="23" t="s">
        <v>147</v>
      </c>
      <c r="E30" s="28">
        <v>245000</v>
      </c>
      <c r="F30" s="25">
        <v>2023.46</v>
      </c>
      <c r="G30" s="25">
        <v>1.32</v>
      </c>
      <c r="H30" s="26"/>
    </row>
    <row r="31" spans="2:8" x14ac:dyDescent="0.2">
      <c r="B31" s="27" t="s">
        <v>227</v>
      </c>
      <c r="C31" s="23" t="s">
        <v>228</v>
      </c>
      <c r="D31" s="23" t="s">
        <v>121</v>
      </c>
      <c r="E31" s="28">
        <v>130500</v>
      </c>
      <c r="F31" s="25">
        <v>1989.15</v>
      </c>
      <c r="G31" s="25">
        <v>1.3</v>
      </c>
      <c r="H31" s="26"/>
    </row>
    <row r="32" spans="2:8" x14ac:dyDescent="0.2">
      <c r="B32" s="27" t="s">
        <v>45</v>
      </c>
      <c r="C32" s="23" t="s">
        <v>46</v>
      </c>
      <c r="D32" s="23" t="s">
        <v>38</v>
      </c>
      <c r="E32" s="28">
        <v>5016</v>
      </c>
      <c r="F32" s="25">
        <v>1955.47</v>
      </c>
      <c r="G32" s="25">
        <v>1.27</v>
      </c>
      <c r="H32" s="26"/>
    </row>
    <row r="33" spans="2:8" x14ac:dyDescent="0.2">
      <c r="B33" s="27" t="s">
        <v>229</v>
      </c>
      <c r="C33" s="23" t="s">
        <v>230</v>
      </c>
      <c r="D33" s="23" t="s">
        <v>121</v>
      </c>
      <c r="E33" s="28">
        <v>49000</v>
      </c>
      <c r="F33" s="25">
        <v>1942.31</v>
      </c>
      <c r="G33" s="25">
        <v>1.27</v>
      </c>
      <c r="H33" s="26"/>
    </row>
    <row r="34" spans="2:8" x14ac:dyDescent="0.2">
      <c r="B34" s="27" t="s">
        <v>231</v>
      </c>
      <c r="C34" s="23" t="s">
        <v>232</v>
      </c>
      <c r="D34" s="23" t="s">
        <v>121</v>
      </c>
      <c r="E34" s="28">
        <v>126000</v>
      </c>
      <c r="F34" s="25">
        <v>1929.5</v>
      </c>
      <c r="G34" s="25">
        <v>1.26</v>
      </c>
      <c r="H34" s="26"/>
    </row>
    <row r="35" spans="2:8" x14ac:dyDescent="0.2">
      <c r="B35" s="27" t="s">
        <v>233</v>
      </c>
      <c r="C35" s="23" t="s">
        <v>234</v>
      </c>
      <c r="D35" s="23" t="s">
        <v>144</v>
      </c>
      <c r="E35" s="28">
        <v>1730000</v>
      </c>
      <c r="F35" s="25">
        <v>1916.84</v>
      </c>
      <c r="G35" s="25">
        <v>1.25</v>
      </c>
      <c r="H35" s="26"/>
    </row>
    <row r="36" spans="2:8" x14ac:dyDescent="0.2">
      <c r="B36" s="27" t="s">
        <v>78</v>
      </c>
      <c r="C36" s="23" t="s">
        <v>79</v>
      </c>
      <c r="D36" s="23" t="s">
        <v>56</v>
      </c>
      <c r="E36" s="28">
        <v>12964</v>
      </c>
      <c r="F36" s="25">
        <v>1831.49</v>
      </c>
      <c r="G36" s="25">
        <v>1.19</v>
      </c>
      <c r="H36" s="26"/>
    </row>
    <row r="37" spans="2:8" x14ac:dyDescent="0.2">
      <c r="B37" s="27" t="s">
        <v>65</v>
      </c>
      <c r="C37" s="23" t="s">
        <v>66</v>
      </c>
      <c r="D37" s="23" t="s">
        <v>56</v>
      </c>
      <c r="E37" s="28">
        <v>68144</v>
      </c>
      <c r="F37" s="25">
        <v>1757.94</v>
      </c>
      <c r="G37" s="25">
        <v>1.1499999999999999</v>
      </c>
      <c r="H37" s="26"/>
    </row>
    <row r="38" spans="2:8" x14ac:dyDescent="0.2">
      <c r="B38" s="27" t="s">
        <v>51</v>
      </c>
      <c r="C38" s="23" t="s">
        <v>52</v>
      </c>
      <c r="D38" s="23" t="s">
        <v>53</v>
      </c>
      <c r="E38" s="28">
        <v>191575</v>
      </c>
      <c r="F38" s="25">
        <v>1744.77</v>
      </c>
      <c r="G38" s="25">
        <v>1.1399999999999999</v>
      </c>
      <c r="H38" s="26"/>
    </row>
    <row r="39" spans="2:8" x14ac:dyDescent="0.2">
      <c r="B39" s="27" t="s">
        <v>211</v>
      </c>
      <c r="C39" s="23" t="s">
        <v>212</v>
      </c>
      <c r="D39" s="23" t="s">
        <v>128</v>
      </c>
      <c r="E39" s="28">
        <v>295150</v>
      </c>
      <c r="F39" s="25">
        <v>1641.62</v>
      </c>
      <c r="G39" s="25">
        <v>1.07</v>
      </c>
      <c r="H39" s="26"/>
    </row>
    <row r="40" spans="2:8" x14ac:dyDescent="0.2">
      <c r="B40" s="27" t="s">
        <v>235</v>
      </c>
      <c r="C40" s="23" t="s">
        <v>236</v>
      </c>
      <c r="D40" s="23" t="s">
        <v>121</v>
      </c>
      <c r="E40" s="28">
        <v>35000</v>
      </c>
      <c r="F40" s="25">
        <v>1527.4</v>
      </c>
      <c r="G40" s="25">
        <v>1</v>
      </c>
      <c r="H40" s="26"/>
    </row>
    <row r="41" spans="2:8" x14ac:dyDescent="0.2">
      <c r="B41" s="27" t="s">
        <v>237</v>
      </c>
      <c r="C41" s="23" t="s">
        <v>238</v>
      </c>
      <c r="D41" s="23" t="s">
        <v>69</v>
      </c>
      <c r="E41" s="28">
        <v>70500</v>
      </c>
      <c r="F41" s="25">
        <v>1502.28</v>
      </c>
      <c r="G41" s="25">
        <v>0.98</v>
      </c>
      <c r="H41" s="26"/>
    </row>
    <row r="42" spans="2:8" x14ac:dyDescent="0.2">
      <c r="B42" s="27" t="s">
        <v>179</v>
      </c>
      <c r="C42" s="23" t="s">
        <v>180</v>
      </c>
      <c r="D42" s="23" t="s">
        <v>167</v>
      </c>
      <c r="E42" s="28">
        <v>89000</v>
      </c>
      <c r="F42" s="25">
        <v>1413.63</v>
      </c>
      <c r="G42" s="25">
        <v>0.92</v>
      </c>
      <c r="H42" s="26"/>
    </row>
    <row r="43" spans="2:8" x14ac:dyDescent="0.2">
      <c r="B43" s="27" t="s">
        <v>239</v>
      </c>
      <c r="C43" s="23" t="s">
        <v>240</v>
      </c>
      <c r="D43" s="23" t="s">
        <v>139</v>
      </c>
      <c r="E43" s="28">
        <v>252000</v>
      </c>
      <c r="F43" s="25">
        <v>1410.7</v>
      </c>
      <c r="G43" s="25">
        <v>0.92</v>
      </c>
      <c r="H43" s="26"/>
    </row>
    <row r="44" spans="2:8" x14ac:dyDescent="0.2">
      <c r="B44" s="27" t="s">
        <v>187</v>
      </c>
      <c r="C44" s="23" t="s">
        <v>188</v>
      </c>
      <c r="D44" s="23" t="s">
        <v>176</v>
      </c>
      <c r="E44" s="28">
        <v>111563</v>
      </c>
      <c r="F44" s="25">
        <v>1356.94</v>
      </c>
      <c r="G44" s="25">
        <v>0.88</v>
      </c>
      <c r="H44" s="26"/>
    </row>
    <row r="45" spans="2:8" x14ac:dyDescent="0.2">
      <c r="B45" s="27" t="s">
        <v>241</v>
      </c>
      <c r="C45" s="23" t="s">
        <v>242</v>
      </c>
      <c r="D45" s="23" t="s">
        <v>128</v>
      </c>
      <c r="E45" s="28">
        <v>340000</v>
      </c>
      <c r="F45" s="25">
        <v>1345.38</v>
      </c>
      <c r="G45" s="25">
        <v>0.88</v>
      </c>
      <c r="H45" s="26"/>
    </row>
    <row r="46" spans="2:8" x14ac:dyDescent="0.2">
      <c r="B46" s="27" t="s">
        <v>243</v>
      </c>
      <c r="C46" s="23" t="s">
        <v>244</v>
      </c>
      <c r="D46" s="23" t="s">
        <v>147</v>
      </c>
      <c r="E46" s="28">
        <v>27000</v>
      </c>
      <c r="F46" s="25">
        <v>1242.73</v>
      </c>
      <c r="G46" s="25">
        <v>0.81</v>
      </c>
      <c r="H46" s="26"/>
    </row>
    <row r="47" spans="2:8" x14ac:dyDescent="0.2">
      <c r="B47" s="27" t="s">
        <v>63</v>
      </c>
      <c r="C47" s="23" t="s">
        <v>64</v>
      </c>
      <c r="D47" s="23" t="s">
        <v>38</v>
      </c>
      <c r="E47" s="28">
        <v>85500</v>
      </c>
      <c r="F47" s="25">
        <v>1187</v>
      </c>
      <c r="G47" s="25">
        <v>0.77</v>
      </c>
      <c r="H47" s="26"/>
    </row>
    <row r="48" spans="2:8" x14ac:dyDescent="0.2">
      <c r="B48" s="27" t="s">
        <v>198</v>
      </c>
      <c r="C48" s="23" t="s">
        <v>199</v>
      </c>
      <c r="D48" s="23" t="s">
        <v>128</v>
      </c>
      <c r="E48" s="28">
        <v>116000</v>
      </c>
      <c r="F48" s="25">
        <v>1143.82</v>
      </c>
      <c r="G48" s="25">
        <v>0.75</v>
      </c>
      <c r="H48" s="26"/>
    </row>
    <row r="49" spans="2:10" x14ac:dyDescent="0.2">
      <c r="B49" s="27" t="s">
        <v>245</v>
      </c>
      <c r="C49" s="23" t="s">
        <v>246</v>
      </c>
      <c r="D49" s="23" t="s">
        <v>176</v>
      </c>
      <c r="E49" s="28">
        <v>92781</v>
      </c>
      <c r="F49" s="25">
        <v>1075.56</v>
      </c>
      <c r="G49" s="25">
        <v>0.7</v>
      </c>
      <c r="H49" s="26"/>
    </row>
    <row r="50" spans="2:10" x14ac:dyDescent="0.2">
      <c r="B50" s="27" t="s">
        <v>247</v>
      </c>
      <c r="C50" s="23" t="s">
        <v>248</v>
      </c>
      <c r="D50" s="23" t="s">
        <v>41</v>
      </c>
      <c r="E50" s="28">
        <v>120000</v>
      </c>
      <c r="F50" s="25">
        <v>1047</v>
      </c>
      <c r="G50" s="25">
        <v>0.68</v>
      </c>
      <c r="H50" s="26"/>
    </row>
    <row r="51" spans="2:10" x14ac:dyDescent="0.2">
      <c r="B51" s="27" t="s">
        <v>249</v>
      </c>
      <c r="C51" s="23" t="s">
        <v>250</v>
      </c>
      <c r="D51" s="23" t="s">
        <v>139</v>
      </c>
      <c r="E51" s="28">
        <v>200000</v>
      </c>
      <c r="F51" s="25">
        <v>1029.0999999999999</v>
      </c>
      <c r="G51" s="25">
        <v>0.67</v>
      </c>
      <c r="H51" s="26"/>
    </row>
    <row r="52" spans="2:10" x14ac:dyDescent="0.2">
      <c r="B52" s="27" t="s">
        <v>192</v>
      </c>
      <c r="C52" s="23" t="s">
        <v>193</v>
      </c>
      <c r="D52" s="23" t="s">
        <v>176</v>
      </c>
      <c r="E52" s="28">
        <v>42849</v>
      </c>
      <c r="F52" s="25">
        <v>982.14</v>
      </c>
      <c r="G52" s="25">
        <v>0.64</v>
      </c>
      <c r="H52" s="26"/>
    </row>
    <row r="53" spans="2:10" x14ac:dyDescent="0.2">
      <c r="B53" s="27" t="s">
        <v>251</v>
      </c>
      <c r="C53" s="23" t="s">
        <v>252</v>
      </c>
      <c r="D53" s="23" t="s">
        <v>128</v>
      </c>
      <c r="E53" s="28">
        <v>600000</v>
      </c>
      <c r="F53" s="25">
        <v>928.5</v>
      </c>
      <c r="G53" s="25">
        <v>0.61</v>
      </c>
      <c r="H53" s="26"/>
    </row>
    <row r="54" spans="2:10" x14ac:dyDescent="0.2">
      <c r="B54" s="27" t="s">
        <v>80</v>
      </c>
      <c r="C54" s="23" t="s">
        <v>81</v>
      </c>
      <c r="D54" s="23" t="s">
        <v>69</v>
      </c>
      <c r="E54" s="28">
        <v>360000</v>
      </c>
      <c r="F54" s="25">
        <v>876.06</v>
      </c>
      <c r="G54" s="25">
        <v>0.56999999999999995</v>
      </c>
      <c r="H54" s="26"/>
    </row>
    <row r="55" spans="2:10" x14ac:dyDescent="0.2">
      <c r="B55" s="27" t="s">
        <v>47</v>
      </c>
      <c r="C55" s="23" t="s">
        <v>48</v>
      </c>
      <c r="D55" s="23" t="s">
        <v>38</v>
      </c>
      <c r="E55" s="28">
        <v>47500</v>
      </c>
      <c r="F55" s="25">
        <v>753.56</v>
      </c>
      <c r="G55" s="25">
        <v>0.49</v>
      </c>
      <c r="H55" s="26"/>
    </row>
    <row r="56" spans="2:10" x14ac:dyDescent="0.2">
      <c r="B56" s="27" t="s">
        <v>124</v>
      </c>
      <c r="C56" s="23" t="s">
        <v>125</v>
      </c>
      <c r="D56" s="23" t="s">
        <v>111</v>
      </c>
      <c r="E56" s="28">
        <v>40500</v>
      </c>
      <c r="F56" s="25">
        <v>745.99</v>
      </c>
      <c r="G56" s="25">
        <v>0.49</v>
      </c>
      <c r="H56" s="26"/>
    </row>
    <row r="57" spans="2:10" x14ac:dyDescent="0.2">
      <c r="B57" s="27" t="s">
        <v>137</v>
      </c>
      <c r="C57" s="23" t="s">
        <v>138</v>
      </c>
      <c r="D57" s="23" t="s">
        <v>139</v>
      </c>
      <c r="E57" s="28">
        <v>32830</v>
      </c>
      <c r="F57" s="25">
        <v>743.24</v>
      </c>
      <c r="G57" s="25">
        <v>0.48</v>
      </c>
      <c r="H57" s="26"/>
    </row>
    <row r="58" spans="2:10" x14ac:dyDescent="0.2">
      <c r="B58" s="27" t="s">
        <v>104</v>
      </c>
      <c r="C58" s="23" t="s">
        <v>105</v>
      </c>
      <c r="D58" s="23" t="s">
        <v>56</v>
      </c>
      <c r="E58" s="28">
        <v>101010</v>
      </c>
      <c r="F58" s="25">
        <v>741.56</v>
      </c>
      <c r="G58" s="25">
        <v>0.48</v>
      </c>
      <c r="H58" s="26"/>
    </row>
    <row r="59" spans="2:10" x14ac:dyDescent="0.2">
      <c r="B59" s="27" t="s">
        <v>177</v>
      </c>
      <c r="C59" s="23" t="s">
        <v>178</v>
      </c>
      <c r="D59" s="23" t="s">
        <v>77</v>
      </c>
      <c r="E59" s="28">
        <v>121500</v>
      </c>
      <c r="F59" s="25">
        <v>709.32</v>
      </c>
      <c r="G59" s="25">
        <v>0.46</v>
      </c>
      <c r="H59" s="26"/>
    </row>
    <row r="60" spans="2:10" x14ac:dyDescent="0.2">
      <c r="B60" s="27" t="s">
        <v>67</v>
      </c>
      <c r="C60" s="23" t="s">
        <v>68</v>
      </c>
      <c r="D60" s="23" t="s">
        <v>69</v>
      </c>
      <c r="E60" s="28">
        <v>80000</v>
      </c>
      <c r="F60" s="25">
        <v>624.79999999999995</v>
      </c>
      <c r="G60" s="25">
        <v>0.41</v>
      </c>
      <c r="H60" s="26"/>
    </row>
    <row r="61" spans="2:10" x14ac:dyDescent="0.2">
      <c r="B61" s="29" t="s">
        <v>114</v>
      </c>
      <c r="C61" s="30"/>
      <c r="D61" s="30"/>
      <c r="E61" s="31"/>
      <c r="F61" s="32">
        <f>SUM(F7:F60)</f>
        <v>149554.00000000003</v>
      </c>
      <c r="G61" s="32">
        <f>SUM(G7:G60)</f>
        <v>97.519999999999953</v>
      </c>
      <c r="H61" s="33"/>
      <c r="I61" s="14"/>
      <c r="J61" s="14"/>
    </row>
    <row r="62" spans="2:10" x14ac:dyDescent="0.2">
      <c r="B62" s="37" t="s">
        <v>115</v>
      </c>
      <c r="C62" s="37"/>
      <c r="D62" s="37"/>
      <c r="E62" s="38"/>
      <c r="F62" s="39">
        <f>F61</f>
        <v>149554.00000000003</v>
      </c>
      <c r="G62" s="39">
        <f>G61</f>
        <v>97.519999999999953</v>
      </c>
      <c r="H62" s="15"/>
      <c r="I62" s="14"/>
      <c r="J62" s="14"/>
    </row>
    <row r="63" spans="2:10" x14ac:dyDescent="0.2">
      <c r="B63" s="40" t="s">
        <v>116</v>
      </c>
      <c r="C63" s="41"/>
      <c r="D63" s="41"/>
      <c r="E63" s="42"/>
      <c r="F63" s="43"/>
      <c r="G63" s="43"/>
      <c r="H63" s="44"/>
    </row>
    <row r="64" spans="2:10" x14ac:dyDescent="0.2">
      <c r="B64" s="27" t="s">
        <v>116</v>
      </c>
      <c r="C64" s="23"/>
      <c r="D64" s="23"/>
      <c r="E64" s="24"/>
      <c r="F64" s="25">
        <v>3300.63</v>
      </c>
      <c r="G64" s="25">
        <v>2.15</v>
      </c>
      <c r="H64" s="26"/>
    </row>
    <row r="65" spans="2:10" x14ac:dyDescent="0.2">
      <c r="B65" s="29" t="s">
        <v>114</v>
      </c>
      <c r="C65" s="30"/>
      <c r="D65" s="30"/>
      <c r="E65" s="31"/>
      <c r="F65" s="32">
        <f>SUM(F63:F64)</f>
        <v>3300.63</v>
      </c>
      <c r="G65" s="32">
        <f>SUM(G63:G64)</f>
        <v>2.15</v>
      </c>
      <c r="H65" s="33"/>
      <c r="I65" s="14"/>
      <c r="J65" s="14"/>
    </row>
    <row r="66" spans="2:10" x14ac:dyDescent="0.2">
      <c r="B66" s="34" t="s">
        <v>115</v>
      </c>
      <c r="C66" s="34"/>
      <c r="D66" s="34"/>
      <c r="E66" s="35"/>
      <c r="F66" s="36">
        <f>F65</f>
        <v>3300.63</v>
      </c>
      <c r="G66" s="36">
        <f>G65</f>
        <v>2.15</v>
      </c>
      <c r="H66" s="36"/>
      <c r="I66" s="14"/>
      <c r="J66" s="14"/>
    </row>
    <row r="67" spans="2:10" x14ac:dyDescent="0.2">
      <c r="B67" s="45" t="s">
        <v>118</v>
      </c>
      <c r="C67" s="45"/>
      <c r="D67" s="45"/>
      <c r="E67" s="46"/>
      <c r="F67" s="16">
        <f>F68-(+F62+F66)</f>
        <v>993.07999999995809</v>
      </c>
      <c r="G67" s="16">
        <f>G68-(+G62+G66)</f>
        <v>0.33000000000004093</v>
      </c>
      <c r="H67" s="16"/>
      <c r="I67" s="14"/>
      <c r="J67" s="14"/>
    </row>
    <row r="68" spans="2:10" x14ac:dyDescent="0.2">
      <c r="B68" s="45" t="s">
        <v>117</v>
      </c>
      <c r="C68" s="45"/>
      <c r="D68" s="45"/>
      <c r="E68" s="46"/>
      <c r="F68" s="16">
        <v>153847.71</v>
      </c>
      <c r="G68" s="16">
        <v>100</v>
      </c>
      <c r="H68" s="16"/>
      <c r="I68" s="14"/>
      <c r="J68" s="14"/>
    </row>
    <row r="70" spans="2:10" x14ac:dyDescent="0.2">
      <c r="B70" s="14"/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73"/>
  <sheetViews>
    <sheetView workbookViewId="0">
      <selection activeCell="B73" sqref="B73"/>
    </sheetView>
  </sheetViews>
  <sheetFormatPr defaultRowHeight="12" x14ac:dyDescent="0.2"/>
  <cols>
    <col min="1" max="1" width="9.140625" style="1"/>
    <col min="2" max="2" width="58.42578125" style="1" bestFit="1" customWidth="1"/>
    <col min="3" max="3" width="13.28515625" style="1" bestFit="1" customWidth="1"/>
    <col min="4" max="4" width="21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62" t="s">
        <v>11</v>
      </c>
      <c r="C1" s="63"/>
      <c r="D1" s="63"/>
      <c r="E1" s="63"/>
      <c r="F1" s="63"/>
      <c r="G1" s="63"/>
      <c r="H1" s="63"/>
    </row>
    <row r="3" spans="2:8" ht="16.5" thickBot="1" x14ac:dyDescent="0.25">
      <c r="B3" s="2" t="s">
        <v>7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17" t="s">
        <v>31</v>
      </c>
      <c r="C5" s="18"/>
      <c r="D5" s="18"/>
      <c r="E5" s="19"/>
      <c r="F5" s="20"/>
      <c r="G5" s="20"/>
      <c r="H5" s="21"/>
    </row>
    <row r="6" spans="2:8" x14ac:dyDescent="0.2">
      <c r="B6" s="22" t="s">
        <v>32</v>
      </c>
      <c r="C6" s="23"/>
      <c r="D6" s="23"/>
      <c r="E6" s="24"/>
      <c r="F6" s="25"/>
      <c r="G6" s="25"/>
      <c r="H6" s="26"/>
    </row>
    <row r="7" spans="2:8" x14ac:dyDescent="0.2">
      <c r="B7" s="27" t="s">
        <v>122</v>
      </c>
      <c r="C7" s="23" t="s">
        <v>123</v>
      </c>
      <c r="D7" s="23" t="s">
        <v>41</v>
      </c>
      <c r="E7" s="28">
        <v>2941000</v>
      </c>
      <c r="F7" s="25">
        <v>40894.61</v>
      </c>
      <c r="G7" s="25">
        <v>5.68</v>
      </c>
      <c r="H7" s="26"/>
    </row>
    <row r="8" spans="2:8" x14ac:dyDescent="0.2">
      <c r="B8" s="27" t="s">
        <v>39</v>
      </c>
      <c r="C8" s="23" t="s">
        <v>40</v>
      </c>
      <c r="D8" s="23" t="s">
        <v>41</v>
      </c>
      <c r="E8" s="28">
        <v>7098000</v>
      </c>
      <c r="F8" s="25">
        <v>38116.26</v>
      </c>
      <c r="G8" s="25">
        <v>5.29</v>
      </c>
      <c r="H8" s="26"/>
    </row>
    <row r="9" spans="2:8" x14ac:dyDescent="0.2">
      <c r="B9" s="27" t="s">
        <v>119</v>
      </c>
      <c r="C9" s="23" t="s">
        <v>120</v>
      </c>
      <c r="D9" s="23" t="s">
        <v>121</v>
      </c>
      <c r="E9" s="28">
        <v>2935000</v>
      </c>
      <c r="F9" s="25">
        <v>36366.120000000003</v>
      </c>
      <c r="G9" s="25">
        <v>5.05</v>
      </c>
      <c r="H9" s="26"/>
    </row>
    <row r="10" spans="2:8" x14ac:dyDescent="0.2">
      <c r="B10" s="27" t="s">
        <v>124</v>
      </c>
      <c r="C10" s="23" t="s">
        <v>125</v>
      </c>
      <c r="D10" s="23" t="s">
        <v>111</v>
      </c>
      <c r="E10" s="28">
        <v>1633000</v>
      </c>
      <c r="F10" s="25">
        <v>30079.040000000001</v>
      </c>
      <c r="G10" s="25">
        <v>4.18</v>
      </c>
      <c r="H10" s="26"/>
    </row>
    <row r="11" spans="2:8" x14ac:dyDescent="0.2">
      <c r="B11" s="27" t="s">
        <v>126</v>
      </c>
      <c r="C11" s="23" t="s">
        <v>127</v>
      </c>
      <c r="D11" s="23" t="s">
        <v>128</v>
      </c>
      <c r="E11" s="28">
        <v>618000</v>
      </c>
      <c r="F11" s="25">
        <v>29259.52</v>
      </c>
      <c r="G11" s="25">
        <v>4.0599999999999996</v>
      </c>
      <c r="H11" s="26"/>
    </row>
    <row r="12" spans="2:8" x14ac:dyDescent="0.2">
      <c r="B12" s="27" t="s">
        <v>131</v>
      </c>
      <c r="C12" s="23" t="s">
        <v>132</v>
      </c>
      <c r="D12" s="23" t="s">
        <v>41</v>
      </c>
      <c r="E12" s="28">
        <v>4063090</v>
      </c>
      <c r="F12" s="25">
        <v>26934.22</v>
      </c>
      <c r="G12" s="25">
        <v>3.74</v>
      </c>
      <c r="H12" s="26"/>
    </row>
    <row r="13" spans="2:8" x14ac:dyDescent="0.2">
      <c r="B13" s="27" t="s">
        <v>54</v>
      </c>
      <c r="C13" s="23" t="s">
        <v>55</v>
      </c>
      <c r="D13" s="23" t="s">
        <v>56</v>
      </c>
      <c r="E13" s="28">
        <v>2021175</v>
      </c>
      <c r="F13" s="25">
        <v>18354.29</v>
      </c>
      <c r="G13" s="25">
        <v>2.5499999999999998</v>
      </c>
      <c r="H13" s="26"/>
    </row>
    <row r="14" spans="2:8" x14ac:dyDescent="0.2">
      <c r="B14" s="27" t="s">
        <v>165</v>
      </c>
      <c r="C14" s="23" t="s">
        <v>166</v>
      </c>
      <c r="D14" s="23" t="s">
        <v>167</v>
      </c>
      <c r="E14" s="28">
        <v>3894476</v>
      </c>
      <c r="F14" s="25">
        <v>17778.28</v>
      </c>
      <c r="G14" s="25">
        <v>2.4700000000000002</v>
      </c>
      <c r="H14" s="26"/>
    </row>
    <row r="15" spans="2:8" x14ac:dyDescent="0.2">
      <c r="B15" s="27" t="s">
        <v>106</v>
      </c>
      <c r="C15" s="23" t="s">
        <v>107</v>
      </c>
      <c r="D15" s="23" t="s">
        <v>108</v>
      </c>
      <c r="E15" s="28">
        <v>2589667</v>
      </c>
      <c r="F15" s="25">
        <v>14336.4</v>
      </c>
      <c r="G15" s="25">
        <v>1.99</v>
      </c>
      <c r="H15" s="26"/>
    </row>
    <row r="16" spans="2:8" x14ac:dyDescent="0.2">
      <c r="B16" s="27" t="s">
        <v>82</v>
      </c>
      <c r="C16" s="23" t="s">
        <v>83</v>
      </c>
      <c r="D16" s="23" t="s">
        <v>74</v>
      </c>
      <c r="E16" s="28">
        <v>3769300</v>
      </c>
      <c r="F16" s="25">
        <v>13955.83</v>
      </c>
      <c r="G16" s="25">
        <v>1.94</v>
      </c>
      <c r="H16" s="26"/>
    </row>
    <row r="17" spans="2:8" x14ac:dyDescent="0.2">
      <c r="B17" s="27" t="s">
        <v>174</v>
      </c>
      <c r="C17" s="23" t="s">
        <v>175</v>
      </c>
      <c r="D17" s="23" t="s">
        <v>176</v>
      </c>
      <c r="E17" s="28">
        <v>218427</v>
      </c>
      <c r="F17" s="25">
        <v>13919.48</v>
      </c>
      <c r="G17" s="25">
        <v>1.93</v>
      </c>
      <c r="H17" s="26"/>
    </row>
    <row r="18" spans="2:8" x14ac:dyDescent="0.2">
      <c r="B18" s="27" t="s">
        <v>241</v>
      </c>
      <c r="C18" s="23" t="s">
        <v>242</v>
      </c>
      <c r="D18" s="23" t="s">
        <v>128</v>
      </c>
      <c r="E18" s="28">
        <v>3500000</v>
      </c>
      <c r="F18" s="25">
        <v>13849.5</v>
      </c>
      <c r="G18" s="25">
        <v>1.92</v>
      </c>
      <c r="H18" s="26"/>
    </row>
    <row r="19" spans="2:8" x14ac:dyDescent="0.2">
      <c r="B19" s="27" t="s">
        <v>92</v>
      </c>
      <c r="C19" s="23" t="s">
        <v>93</v>
      </c>
      <c r="D19" s="23" t="s">
        <v>74</v>
      </c>
      <c r="E19" s="28">
        <v>2635534</v>
      </c>
      <c r="F19" s="25">
        <v>13594.08</v>
      </c>
      <c r="G19" s="25">
        <v>1.89</v>
      </c>
      <c r="H19" s="26"/>
    </row>
    <row r="20" spans="2:8" x14ac:dyDescent="0.2">
      <c r="B20" s="27" t="s">
        <v>181</v>
      </c>
      <c r="C20" s="23" t="s">
        <v>182</v>
      </c>
      <c r="D20" s="23" t="s">
        <v>56</v>
      </c>
      <c r="E20" s="28">
        <v>532336</v>
      </c>
      <c r="F20" s="25">
        <v>13590.8</v>
      </c>
      <c r="G20" s="25">
        <v>1.89</v>
      </c>
      <c r="H20" s="26"/>
    </row>
    <row r="21" spans="2:8" x14ac:dyDescent="0.2">
      <c r="B21" s="27" t="s">
        <v>251</v>
      </c>
      <c r="C21" s="23" t="s">
        <v>252</v>
      </c>
      <c r="D21" s="23" t="s">
        <v>128</v>
      </c>
      <c r="E21" s="28">
        <v>8500000</v>
      </c>
      <c r="F21" s="25">
        <v>13153.75</v>
      </c>
      <c r="G21" s="25">
        <v>1.83</v>
      </c>
      <c r="H21" s="26"/>
    </row>
    <row r="22" spans="2:8" x14ac:dyDescent="0.2">
      <c r="B22" s="27" t="s">
        <v>202</v>
      </c>
      <c r="C22" s="23" t="s">
        <v>203</v>
      </c>
      <c r="D22" s="23" t="s">
        <v>204</v>
      </c>
      <c r="E22" s="28">
        <v>493005</v>
      </c>
      <c r="F22" s="25">
        <v>13072.03</v>
      </c>
      <c r="G22" s="25">
        <v>1.81</v>
      </c>
      <c r="H22" s="26"/>
    </row>
    <row r="23" spans="2:8" x14ac:dyDescent="0.2">
      <c r="B23" s="27" t="s">
        <v>198</v>
      </c>
      <c r="C23" s="23" t="s">
        <v>199</v>
      </c>
      <c r="D23" s="23" t="s">
        <v>128</v>
      </c>
      <c r="E23" s="28">
        <v>1289619</v>
      </c>
      <c r="F23" s="25">
        <v>12716.29</v>
      </c>
      <c r="G23" s="25">
        <v>1.77</v>
      </c>
      <c r="H23" s="26"/>
    </row>
    <row r="24" spans="2:8" x14ac:dyDescent="0.2">
      <c r="B24" s="27" t="s">
        <v>45</v>
      </c>
      <c r="C24" s="23" t="s">
        <v>46</v>
      </c>
      <c r="D24" s="23" t="s">
        <v>38</v>
      </c>
      <c r="E24" s="28">
        <v>32070</v>
      </c>
      <c r="F24" s="25">
        <v>12502.39</v>
      </c>
      <c r="G24" s="25">
        <v>1.74</v>
      </c>
      <c r="H24" s="26"/>
    </row>
    <row r="25" spans="2:8" x14ac:dyDescent="0.2">
      <c r="B25" s="27" t="s">
        <v>135</v>
      </c>
      <c r="C25" s="23" t="s">
        <v>136</v>
      </c>
      <c r="D25" s="23" t="s">
        <v>121</v>
      </c>
      <c r="E25" s="28">
        <v>1350000</v>
      </c>
      <c r="F25" s="25">
        <v>12339</v>
      </c>
      <c r="G25" s="25">
        <v>1.71</v>
      </c>
      <c r="H25" s="26"/>
    </row>
    <row r="26" spans="2:8" x14ac:dyDescent="0.2">
      <c r="B26" s="27" t="s">
        <v>207</v>
      </c>
      <c r="C26" s="23" t="s">
        <v>208</v>
      </c>
      <c r="D26" s="23" t="s">
        <v>147</v>
      </c>
      <c r="E26" s="28">
        <v>656438</v>
      </c>
      <c r="F26" s="25">
        <v>12157.56</v>
      </c>
      <c r="G26" s="25">
        <v>1.69</v>
      </c>
      <c r="H26" s="26"/>
    </row>
    <row r="27" spans="2:8" x14ac:dyDescent="0.2">
      <c r="B27" s="27" t="s">
        <v>150</v>
      </c>
      <c r="C27" s="23" t="s">
        <v>151</v>
      </c>
      <c r="D27" s="23" t="s">
        <v>77</v>
      </c>
      <c r="E27" s="28">
        <v>985000</v>
      </c>
      <c r="F27" s="25">
        <v>12045.57</v>
      </c>
      <c r="G27" s="25">
        <v>1.67</v>
      </c>
      <c r="H27" s="26"/>
    </row>
    <row r="28" spans="2:8" x14ac:dyDescent="0.2">
      <c r="B28" s="27" t="s">
        <v>129</v>
      </c>
      <c r="C28" s="23" t="s">
        <v>130</v>
      </c>
      <c r="D28" s="23" t="s">
        <v>121</v>
      </c>
      <c r="E28" s="28">
        <v>385264</v>
      </c>
      <c r="F28" s="25">
        <v>11986.91</v>
      </c>
      <c r="G28" s="25">
        <v>1.66</v>
      </c>
      <c r="H28" s="26"/>
    </row>
    <row r="29" spans="2:8" x14ac:dyDescent="0.2">
      <c r="B29" s="27" t="s">
        <v>168</v>
      </c>
      <c r="C29" s="23" t="s">
        <v>169</v>
      </c>
      <c r="D29" s="23" t="s">
        <v>128</v>
      </c>
      <c r="E29" s="28">
        <v>2899707</v>
      </c>
      <c r="F29" s="25">
        <v>11536.48</v>
      </c>
      <c r="G29" s="25">
        <v>1.6</v>
      </c>
      <c r="H29" s="26"/>
    </row>
    <row r="30" spans="2:8" x14ac:dyDescent="0.2">
      <c r="B30" s="27" t="s">
        <v>196</v>
      </c>
      <c r="C30" s="23" t="s">
        <v>197</v>
      </c>
      <c r="D30" s="23" t="s">
        <v>56</v>
      </c>
      <c r="E30" s="28">
        <v>758211</v>
      </c>
      <c r="F30" s="25">
        <v>11383.02</v>
      </c>
      <c r="G30" s="25">
        <v>1.58</v>
      </c>
      <c r="H30" s="26"/>
    </row>
    <row r="31" spans="2:8" x14ac:dyDescent="0.2">
      <c r="B31" s="27" t="s">
        <v>142</v>
      </c>
      <c r="C31" s="23" t="s">
        <v>143</v>
      </c>
      <c r="D31" s="23" t="s">
        <v>144</v>
      </c>
      <c r="E31" s="28">
        <v>1500000</v>
      </c>
      <c r="F31" s="25">
        <v>11244</v>
      </c>
      <c r="G31" s="25">
        <v>1.56</v>
      </c>
      <c r="H31" s="26"/>
    </row>
    <row r="32" spans="2:8" x14ac:dyDescent="0.2">
      <c r="B32" s="27" t="s">
        <v>163</v>
      </c>
      <c r="C32" s="23" t="s">
        <v>164</v>
      </c>
      <c r="D32" s="23" t="s">
        <v>128</v>
      </c>
      <c r="E32" s="28">
        <v>1602802</v>
      </c>
      <c r="F32" s="25">
        <v>10947.14</v>
      </c>
      <c r="G32" s="25">
        <v>1.52</v>
      </c>
      <c r="H32" s="26"/>
    </row>
    <row r="33" spans="2:8" x14ac:dyDescent="0.2">
      <c r="B33" s="27" t="s">
        <v>253</v>
      </c>
      <c r="C33" s="23" t="s">
        <v>254</v>
      </c>
      <c r="D33" s="23" t="s">
        <v>191</v>
      </c>
      <c r="E33" s="28">
        <v>499184</v>
      </c>
      <c r="F33" s="25">
        <v>10564.23</v>
      </c>
      <c r="G33" s="25">
        <v>1.47</v>
      </c>
      <c r="H33" s="26"/>
    </row>
    <row r="34" spans="2:8" x14ac:dyDescent="0.2">
      <c r="B34" s="27" t="s">
        <v>255</v>
      </c>
      <c r="C34" s="23" t="s">
        <v>256</v>
      </c>
      <c r="D34" s="23" t="s">
        <v>139</v>
      </c>
      <c r="E34" s="28">
        <v>1908216</v>
      </c>
      <c r="F34" s="25">
        <v>10470.379999999999</v>
      </c>
      <c r="G34" s="25">
        <v>1.45</v>
      </c>
      <c r="H34" s="26"/>
    </row>
    <row r="35" spans="2:8" x14ac:dyDescent="0.2">
      <c r="B35" s="27" t="s">
        <v>257</v>
      </c>
      <c r="C35" s="23" t="s">
        <v>258</v>
      </c>
      <c r="D35" s="23" t="s">
        <v>204</v>
      </c>
      <c r="E35" s="28">
        <v>6706869</v>
      </c>
      <c r="F35" s="25">
        <v>10067.01</v>
      </c>
      <c r="G35" s="25">
        <v>1.4</v>
      </c>
      <c r="H35" s="26"/>
    </row>
    <row r="36" spans="2:8" x14ac:dyDescent="0.2">
      <c r="B36" s="27" t="s">
        <v>239</v>
      </c>
      <c r="C36" s="23" t="s">
        <v>240</v>
      </c>
      <c r="D36" s="23" t="s">
        <v>139</v>
      </c>
      <c r="E36" s="28">
        <v>1780000</v>
      </c>
      <c r="F36" s="25">
        <v>9964.44</v>
      </c>
      <c r="G36" s="25">
        <v>1.38</v>
      </c>
      <c r="H36" s="26"/>
    </row>
    <row r="37" spans="2:8" x14ac:dyDescent="0.2">
      <c r="B37" s="27" t="s">
        <v>192</v>
      </c>
      <c r="C37" s="23" t="s">
        <v>193</v>
      </c>
      <c r="D37" s="23" t="s">
        <v>176</v>
      </c>
      <c r="E37" s="28">
        <v>423802</v>
      </c>
      <c r="F37" s="25">
        <v>9713.9699999999993</v>
      </c>
      <c r="G37" s="25">
        <v>1.35</v>
      </c>
      <c r="H37" s="26"/>
    </row>
    <row r="38" spans="2:8" x14ac:dyDescent="0.2">
      <c r="B38" s="27" t="s">
        <v>179</v>
      </c>
      <c r="C38" s="23" t="s">
        <v>180</v>
      </c>
      <c r="D38" s="23" t="s">
        <v>167</v>
      </c>
      <c r="E38" s="28">
        <v>611072</v>
      </c>
      <c r="F38" s="25">
        <v>9705.9599999999991</v>
      </c>
      <c r="G38" s="25">
        <v>1.35</v>
      </c>
      <c r="H38" s="26"/>
    </row>
    <row r="39" spans="2:8" x14ac:dyDescent="0.2">
      <c r="B39" s="27" t="s">
        <v>160</v>
      </c>
      <c r="C39" s="23" t="s">
        <v>161</v>
      </c>
      <c r="D39" s="23" t="s">
        <v>162</v>
      </c>
      <c r="E39" s="28">
        <v>468084</v>
      </c>
      <c r="F39" s="25">
        <v>9449.2099999999991</v>
      </c>
      <c r="G39" s="25">
        <v>1.31</v>
      </c>
      <c r="H39" s="26"/>
    </row>
    <row r="40" spans="2:8" x14ac:dyDescent="0.2">
      <c r="B40" s="27" t="s">
        <v>145</v>
      </c>
      <c r="C40" s="23" t="s">
        <v>146</v>
      </c>
      <c r="D40" s="23" t="s">
        <v>147</v>
      </c>
      <c r="E40" s="28">
        <v>280378</v>
      </c>
      <c r="F40" s="25">
        <v>9448.32</v>
      </c>
      <c r="G40" s="25">
        <v>1.31</v>
      </c>
      <c r="H40" s="26"/>
    </row>
    <row r="41" spans="2:8" x14ac:dyDescent="0.2">
      <c r="B41" s="27" t="s">
        <v>219</v>
      </c>
      <c r="C41" s="23" t="s">
        <v>220</v>
      </c>
      <c r="D41" s="23" t="s">
        <v>139</v>
      </c>
      <c r="E41" s="28">
        <v>363954</v>
      </c>
      <c r="F41" s="25">
        <v>9426.9500000000007</v>
      </c>
      <c r="G41" s="25">
        <v>1.31</v>
      </c>
      <c r="H41" s="26"/>
    </row>
    <row r="42" spans="2:8" x14ac:dyDescent="0.2">
      <c r="B42" s="27" t="s">
        <v>259</v>
      </c>
      <c r="C42" s="23" t="s">
        <v>260</v>
      </c>
      <c r="D42" s="23" t="s">
        <v>41</v>
      </c>
      <c r="E42" s="28">
        <v>5492674</v>
      </c>
      <c r="F42" s="25">
        <v>9296.35</v>
      </c>
      <c r="G42" s="25">
        <v>1.29</v>
      </c>
      <c r="H42" s="26"/>
    </row>
    <row r="43" spans="2:8" x14ac:dyDescent="0.2">
      <c r="B43" s="27" t="s">
        <v>209</v>
      </c>
      <c r="C43" s="23" t="s">
        <v>210</v>
      </c>
      <c r="D43" s="23" t="s">
        <v>77</v>
      </c>
      <c r="E43" s="28">
        <v>436085</v>
      </c>
      <c r="F43" s="25">
        <v>8521.76</v>
      </c>
      <c r="G43" s="25">
        <v>1.18</v>
      </c>
      <c r="H43" s="26"/>
    </row>
    <row r="44" spans="2:8" x14ac:dyDescent="0.2">
      <c r="B44" s="27" t="s">
        <v>189</v>
      </c>
      <c r="C44" s="23" t="s">
        <v>190</v>
      </c>
      <c r="D44" s="23" t="s">
        <v>191</v>
      </c>
      <c r="E44" s="28">
        <v>362586</v>
      </c>
      <c r="F44" s="25">
        <v>8149.12</v>
      </c>
      <c r="G44" s="25">
        <v>1.1299999999999999</v>
      </c>
      <c r="H44" s="26"/>
    </row>
    <row r="45" spans="2:8" x14ac:dyDescent="0.2">
      <c r="B45" s="27" t="s">
        <v>172</v>
      </c>
      <c r="C45" s="23" t="s">
        <v>173</v>
      </c>
      <c r="D45" s="23" t="s">
        <v>128</v>
      </c>
      <c r="E45" s="28">
        <v>492000</v>
      </c>
      <c r="F45" s="25">
        <v>8085.77</v>
      </c>
      <c r="G45" s="25">
        <v>1.1200000000000001</v>
      </c>
      <c r="H45" s="26"/>
    </row>
    <row r="46" spans="2:8" x14ac:dyDescent="0.2">
      <c r="B46" s="27" t="s">
        <v>67</v>
      </c>
      <c r="C46" s="23" t="s">
        <v>68</v>
      </c>
      <c r="D46" s="23" t="s">
        <v>69</v>
      </c>
      <c r="E46" s="28">
        <v>1024043</v>
      </c>
      <c r="F46" s="25">
        <v>7997.78</v>
      </c>
      <c r="G46" s="25">
        <v>1.1100000000000001</v>
      </c>
      <c r="H46" s="26"/>
    </row>
    <row r="47" spans="2:8" x14ac:dyDescent="0.2">
      <c r="B47" s="27" t="s">
        <v>170</v>
      </c>
      <c r="C47" s="23" t="s">
        <v>171</v>
      </c>
      <c r="D47" s="23" t="s">
        <v>147</v>
      </c>
      <c r="E47" s="28">
        <v>1350000</v>
      </c>
      <c r="F47" s="25">
        <v>7913.7</v>
      </c>
      <c r="G47" s="25">
        <v>1.1000000000000001</v>
      </c>
      <c r="H47" s="26"/>
    </row>
    <row r="48" spans="2:8" x14ac:dyDescent="0.2">
      <c r="B48" s="27" t="s">
        <v>261</v>
      </c>
      <c r="C48" s="23" t="s">
        <v>262</v>
      </c>
      <c r="D48" s="23" t="s">
        <v>263</v>
      </c>
      <c r="E48" s="28">
        <v>527028</v>
      </c>
      <c r="F48" s="25">
        <v>7674.05</v>
      </c>
      <c r="G48" s="25">
        <v>1.07</v>
      </c>
      <c r="H48" s="26"/>
    </row>
    <row r="49" spans="2:10" x14ac:dyDescent="0.2">
      <c r="B49" s="27" t="s">
        <v>183</v>
      </c>
      <c r="C49" s="23" t="s">
        <v>184</v>
      </c>
      <c r="D49" s="23" t="s">
        <v>147</v>
      </c>
      <c r="E49" s="28">
        <v>53776</v>
      </c>
      <c r="F49" s="25">
        <v>7648.05</v>
      </c>
      <c r="G49" s="25">
        <v>1.06</v>
      </c>
      <c r="H49" s="26"/>
    </row>
    <row r="50" spans="2:10" x14ac:dyDescent="0.2">
      <c r="B50" s="27" t="s">
        <v>152</v>
      </c>
      <c r="C50" s="23" t="s">
        <v>153</v>
      </c>
      <c r="D50" s="23" t="s">
        <v>139</v>
      </c>
      <c r="E50" s="28">
        <v>218012</v>
      </c>
      <c r="F50" s="25">
        <v>7632.82</v>
      </c>
      <c r="G50" s="25">
        <v>1.06</v>
      </c>
      <c r="H50" s="26"/>
    </row>
    <row r="51" spans="2:10" x14ac:dyDescent="0.2">
      <c r="B51" s="27" t="s">
        <v>137</v>
      </c>
      <c r="C51" s="23" t="s">
        <v>138</v>
      </c>
      <c r="D51" s="23" t="s">
        <v>139</v>
      </c>
      <c r="E51" s="28">
        <v>325000</v>
      </c>
      <c r="F51" s="25">
        <v>7357.68</v>
      </c>
      <c r="G51" s="25">
        <v>1.02</v>
      </c>
      <c r="H51" s="26"/>
    </row>
    <row r="52" spans="2:10" x14ac:dyDescent="0.2">
      <c r="B52" s="27" t="s">
        <v>233</v>
      </c>
      <c r="C52" s="23" t="s">
        <v>234</v>
      </c>
      <c r="D52" s="23" t="s">
        <v>144</v>
      </c>
      <c r="E52" s="28">
        <v>6500000</v>
      </c>
      <c r="F52" s="25">
        <v>7202</v>
      </c>
      <c r="G52" s="25">
        <v>1</v>
      </c>
      <c r="H52" s="26"/>
    </row>
    <row r="53" spans="2:10" x14ac:dyDescent="0.2">
      <c r="B53" s="27" t="s">
        <v>177</v>
      </c>
      <c r="C53" s="23" t="s">
        <v>178</v>
      </c>
      <c r="D53" s="23" t="s">
        <v>77</v>
      </c>
      <c r="E53" s="28">
        <v>1206703</v>
      </c>
      <c r="F53" s="25">
        <v>7044.73</v>
      </c>
      <c r="G53" s="25">
        <v>0.98</v>
      </c>
      <c r="H53" s="26"/>
    </row>
    <row r="54" spans="2:10" x14ac:dyDescent="0.2">
      <c r="B54" s="27" t="s">
        <v>84</v>
      </c>
      <c r="C54" s="23" t="s">
        <v>85</v>
      </c>
      <c r="D54" s="23" t="s">
        <v>69</v>
      </c>
      <c r="E54" s="28">
        <v>130000</v>
      </c>
      <c r="F54" s="25">
        <v>6925.43</v>
      </c>
      <c r="G54" s="25">
        <v>0.96</v>
      </c>
      <c r="H54" s="26"/>
    </row>
    <row r="55" spans="2:10" x14ac:dyDescent="0.2">
      <c r="B55" s="27" t="s">
        <v>264</v>
      </c>
      <c r="C55" s="23" t="s">
        <v>265</v>
      </c>
      <c r="D55" s="23" t="s">
        <v>128</v>
      </c>
      <c r="E55" s="28">
        <v>375000</v>
      </c>
      <c r="F55" s="25">
        <v>6662.81</v>
      </c>
      <c r="G55" s="25">
        <v>0.93</v>
      </c>
      <c r="H55" s="26"/>
    </row>
    <row r="56" spans="2:10" x14ac:dyDescent="0.2">
      <c r="B56" s="27" t="s">
        <v>140</v>
      </c>
      <c r="C56" s="23" t="s">
        <v>141</v>
      </c>
      <c r="D56" s="23" t="s">
        <v>41</v>
      </c>
      <c r="E56" s="28">
        <v>374657</v>
      </c>
      <c r="F56" s="25">
        <v>6417.69</v>
      </c>
      <c r="G56" s="25">
        <v>0.89</v>
      </c>
      <c r="H56" s="26"/>
    </row>
    <row r="57" spans="2:10" x14ac:dyDescent="0.2">
      <c r="B57" s="27" t="s">
        <v>185</v>
      </c>
      <c r="C57" s="23" t="s">
        <v>186</v>
      </c>
      <c r="D57" s="23" t="s">
        <v>56</v>
      </c>
      <c r="E57" s="28">
        <v>438000</v>
      </c>
      <c r="F57" s="25">
        <v>6220.91</v>
      </c>
      <c r="G57" s="25">
        <v>0.86</v>
      </c>
      <c r="H57" s="26"/>
    </row>
    <row r="58" spans="2:10" x14ac:dyDescent="0.2">
      <c r="B58" s="27" t="s">
        <v>187</v>
      </c>
      <c r="C58" s="23" t="s">
        <v>188</v>
      </c>
      <c r="D58" s="23" t="s">
        <v>176</v>
      </c>
      <c r="E58" s="28">
        <v>494365</v>
      </c>
      <c r="F58" s="25">
        <v>6012.96</v>
      </c>
      <c r="G58" s="25">
        <v>0.83</v>
      </c>
      <c r="H58" s="26"/>
    </row>
    <row r="59" spans="2:10" x14ac:dyDescent="0.2">
      <c r="B59" s="27" t="s">
        <v>266</v>
      </c>
      <c r="C59" s="23" t="s">
        <v>267</v>
      </c>
      <c r="D59" s="23" t="s">
        <v>268</v>
      </c>
      <c r="E59" s="28">
        <v>1196805</v>
      </c>
      <c r="F59" s="25">
        <v>5013.42</v>
      </c>
      <c r="G59" s="25">
        <v>0.7</v>
      </c>
      <c r="H59" s="26"/>
    </row>
    <row r="60" spans="2:10" x14ac:dyDescent="0.2">
      <c r="B60" s="27" t="s">
        <v>269</v>
      </c>
      <c r="C60" s="23" t="s">
        <v>270</v>
      </c>
      <c r="D60" s="23" t="s">
        <v>147</v>
      </c>
      <c r="E60" s="28">
        <v>879191</v>
      </c>
      <c r="F60" s="25">
        <v>4979.74</v>
      </c>
      <c r="G60" s="25">
        <v>0.69</v>
      </c>
      <c r="H60" s="26"/>
    </row>
    <row r="61" spans="2:10" x14ac:dyDescent="0.2">
      <c r="B61" s="27" t="s">
        <v>51</v>
      </c>
      <c r="C61" s="23" t="s">
        <v>52</v>
      </c>
      <c r="D61" s="23" t="s">
        <v>53</v>
      </c>
      <c r="E61" s="28">
        <v>378781</v>
      </c>
      <c r="F61" s="25">
        <v>3449.75</v>
      </c>
      <c r="G61" s="25">
        <v>0.48</v>
      </c>
      <c r="H61" s="26"/>
    </row>
    <row r="62" spans="2:10" x14ac:dyDescent="0.2">
      <c r="B62" s="27" t="s">
        <v>271</v>
      </c>
      <c r="C62" s="23" t="s">
        <v>272</v>
      </c>
      <c r="D62" s="23" t="s">
        <v>38</v>
      </c>
      <c r="E62" s="28">
        <v>498790</v>
      </c>
      <c r="F62" s="25">
        <v>1787.91</v>
      </c>
      <c r="G62" s="25">
        <v>0.25</v>
      </c>
      <c r="H62" s="26"/>
    </row>
    <row r="63" spans="2:10" x14ac:dyDescent="0.2">
      <c r="B63" s="27" t="s">
        <v>257</v>
      </c>
      <c r="C63" s="23" t="s">
        <v>273</v>
      </c>
      <c r="D63" s="23" t="s">
        <v>204</v>
      </c>
      <c r="E63" s="28">
        <v>767000</v>
      </c>
      <c r="F63" s="25">
        <v>940.34</v>
      </c>
      <c r="G63" s="25">
        <v>0.13</v>
      </c>
      <c r="H63" s="26"/>
    </row>
    <row r="64" spans="2:10" x14ac:dyDescent="0.2">
      <c r="B64" s="29" t="s">
        <v>114</v>
      </c>
      <c r="C64" s="30"/>
      <c r="D64" s="30"/>
      <c r="E64" s="31"/>
      <c r="F64" s="32">
        <f>SUM(F7:F63)</f>
        <v>697857.80999999994</v>
      </c>
      <c r="G64" s="32">
        <f>SUM(G7:G63)</f>
        <v>96.890000000000015</v>
      </c>
      <c r="H64" s="33"/>
      <c r="I64" s="14"/>
      <c r="J64" s="14"/>
    </row>
    <row r="65" spans="2:10" x14ac:dyDescent="0.2">
      <c r="B65" s="37" t="s">
        <v>115</v>
      </c>
      <c r="C65" s="37"/>
      <c r="D65" s="37"/>
      <c r="E65" s="38"/>
      <c r="F65" s="39">
        <f>F64</f>
        <v>697857.80999999994</v>
      </c>
      <c r="G65" s="39">
        <f>G64</f>
        <v>96.890000000000015</v>
      </c>
      <c r="H65" s="15"/>
      <c r="I65" s="14"/>
      <c r="J65" s="14"/>
    </row>
    <row r="66" spans="2:10" x14ac:dyDescent="0.2">
      <c r="B66" s="40" t="s">
        <v>116</v>
      </c>
      <c r="C66" s="41"/>
      <c r="D66" s="41"/>
      <c r="E66" s="42"/>
      <c r="F66" s="43"/>
      <c r="G66" s="43"/>
      <c r="H66" s="44"/>
    </row>
    <row r="67" spans="2:10" x14ac:dyDescent="0.2">
      <c r="B67" s="27" t="s">
        <v>116</v>
      </c>
      <c r="C67" s="23"/>
      <c r="D67" s="23"/>
      <c r="E67" s="24"/>
      <c r="F67" s="25">
        <v>25238.1</v>
      </c>
      <c r="G67" s="25">
        <v>3.5</v>
      </c>
      <c r="H67" s="26"/>
    </row>
    <row r="68" spans="2:10" x14ac:dyDescent="0.2">
      <c r="B68" s="29" t="s">
        <v>114</v>
      </c>
      <c r="C68" s="30"/>
      <c r="D68" s="30"/>
      <c r="E68" s="31"/>
      <c r="F68" s="32">
        <f>SUM(F66:F67)</f>
        <v>25238.1</v>
      </c>
      <c r="G68" s="32">
        <f>SUM(G66:G67)</f>
        <v>3.5</v>
      </c>
      <c r="H68" s="33"/>
      <c r="I68" s="14"/>
      <c r="J68" s="14"/>
    </row>
    <row r="69" spans="2:10" x14ac:dyDescent="0.2">
      <c r="B69" s="34" t="s">
        <v>115</v>
      </c>
      <c r="C69" s="34"/>
      <c r="D69" s="34"/>
      <c r="E69" s="35"/>
      <c r="F69" s="36">
        <f>F68</f>
        <v>25238.1</v>
      </c>
      <c r="G69" s="36">
        <f>G68</f>
        <v>3.5</v>
      </c>
      <c r="H69" s="36"/>
      <c r="I69" s="14"/>
      <c r="J69" s="14"/>
    </row>
    <row r="70" spans="2:10" x14ac:dyDescent="0.2">
      <c r="B70" s="45" t="s">
        <v>118</v>
      </c>
      <c r="C70" s="45"/>
      <c r="D70" s="45"/>
      <c r="E70" s="46"/>
      <c r="F70" s="16">
        <f>F71-(+F65+F69)</f>
        <v>-1602.2399999998743</v>
      </c>
      <c r="G70" s="16">
        <f>G71-(+G65+G69)</f>
        <v>-0.39000000000001478</v>
      </c>
      <c r="H70" s="16"/>
      <c r="I70" s="14"/>
      <c r="J70" s="14"/>
    </row>
    <row r="71" spans="2:10" x14ac:dyDescent="0.2">
      <c r="B71" s="45" t="s">
        <v>117</v>
      </c>
      <c r="C71" s="45"/>
      <c r="D71" s="45"/>
      <c r="E71" s="46"/>
      <c r="F71" s="16">
        <v>721493.67</v>
      </c>
      <c r="G71" s="16">
        <v>100</v>
      </c>
      <c r="H71" s="16"/>
      <c r="I71" s="14"/>
      <c r="J71" s="14"/>
    </row>
    <row r="73" spans="2:10" x14ac:dyDescent="0.2">
      <c r="B73" s="14"/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59"/>
  <sheetViews>
    <sheetView workbookViewId="0">
      <selection activeCell="F58" sqref="F58"/>
    </sheetView>
  </sheetViews>
  <sheetFormatPr defaultRowHeight="12" x14ac:dyDescent="0.2"/>
  <cols>
    <col min="1" max="1" width="9.140625" style="1"/>
    <col min="2" max="2" width="58.42578125" style="1" bestFit="1" customWidth="1"/>
    <col min="3" max="3" width="13.85546875" style="1" bestFit="1" customWidth="1"/>
    <col min="4" max="4" width="21.140625" style="1" bestFit="1" customWidth="1"/>
    <col min="5" max="5" width="7.71093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62" t="s">
        <v>12</v>
      </c>
      <c r="C1" s="63"/>
      <c r="D1" s="63"/>
      <c r="E1" s="63"/>
      <c r="F1" s="63"/>
      <c r="G1" s="63"/>
      <c r="H1" s="63"/>
    </row>
    <row r="3" spans="2:8" ht="16.5" thickBot="1" x14ac:dyDescent="0.25">
      <c r="B3" s="2" t="s">
        <v>7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17" t="s">
        <v>31</v>
      </c>
      <c r="C5" s="18"/>
      <c r="D5" s="18"/>
      <c r="E5" s="19"/>
      <c r="F5" s="20"/>
      <c r="G5" s="20"/>
      <c r="H5" s="21"/>
    </row>
    <row r="6" spans="2:8" x14ac:dyDescent="0.2">
      <c r="B6" s="22" t="s">
        <v>32</v>
      </c>
      <c r="C6" s="23"/>
      <c r="D6" s="23"/>
      <c r="E6" s="24"/>
      <c r="F6" s="25"/>
      <c r="G6" s="25"/>
      <c r="H6" s="26"/>
    </row>
    <row r="7" spans="2:8" x14ac:dyDescent="0.2">
      <c r="B7" s="27" t="s">
        <v>39</v>
      </c>
      <c r="C7" s="23" t="s">
        <v>40</v>
      </c>
      <c r="D7" s="23" t="s">
        <v>41</v>
      </c>
      <c r="E7" s="28">
        <v>642000</v>
      </c>
      <c r="F7" s="25">
        <v>3447.54</v>
      </c>
      <c r="G7" s="25">
        <v>7.02</v>
      </c>
      <c r="H7" s="26"/>
    </row>
    <row r="8" spans="2:8" x14ac:dyDescent="0.2">
      <c r="B8" s="27" t="s">
        <v>122</v>
      </c>
      <c r="C8" s="23" t="s">
        <v>123</v>
      </c>
      <c r="D8" s="23" t="s">
        <v>41</v>
      </c>
      <c r="E8" s="28">
        <v>230800</v>
      </c>
      <c r="F8" s="25">
        <v>3209.27</v>
      </c>
      <c r="G8" s="25">
        <v>6.53</v>
      </c>
      <c r="H8" s="26"/>
    </row>
    <row r="9" spans="2:8" x14ac:dyDescent="0.2">
      <c r="B9" s="27" t="s">
        <v>54</v>
      </c>
      <c r="C9" s="23" t="s">
        <v>55</v>
      </c>
      <c r="D9" s="23" t="s">
        <v>56</v>
      </c>
      <c r="E9" s="28">
        <v>252500</v>
      </c>
      <c r="F9" s="25">
        <v>2292.9499999999998</v>
      </c>
      <c r="G9" s="25">
        <v>4.67</v>
      </c>
      <c r="H9" s="26"/>
    </row>
    <row r="10" spans="2:8" x14ac:dyDescent="0.2">
      <c r="B10" s="27" t="s">
        <v>126</v>
      </c>
      <c r="C10" s="23" t="s">
        <v>127</v>
      </c>
      <c r="D10" s="23" t="s">
        <v>128</v>
      </c>
      <c r="E10" s="28">
        <v>47175</v>
      </c>
      <c r="F10" s="25">
        <v>2233.52</v>
      </c>
      <c r="G10" s="25">
        <v>4.55</v>
      </c>
      <c r="H10" s="26"/>
    </row>
    <row r="11" spans="2:8" x14ac:dyDescent="0.2">
      <c r="B11" s="27" t="s">
        <v>213</v>
      </c>
      <c r="C11" s="23" t="s">
        <v>214</v>
      </c>
      <c r="D11" s="23" t="s">
        <v>56</v>
      </c>
      <c r="E11" s="28">
        <v>195000</v>
      </c>
      <c r="F11" s="25">
        <v>2037.26</v>
      </c>
      <c r="G11" s="25">
        <v>4.1500000000000004</v>
      </c>
      <c r="H11" s="26"/>
    </row>
    <row r="12" spans="2:8" x14ac:dyDescent="0.2">
      <c r="B12" s="27" t="s">
        <v>49</v>
      </c>
      <c r="C12" s="23" t="s">
        <v>50</v>
      </c>
      <c r="D12" s="23" t="s">
        <v>41</v>
      </c>
      <c r="E12" s="28">
        <v>702755</v>
      </c>
      <c r="F12" s="25">
        <v>1982.47</v>
      </c>
      <c r="G12" s="25">
        <v>4.04</v>
      </c>
      <c r="H12" s="26"/>
    </row>
    <row r="13" spans="2:8" x14ac:dyDescent="0.2">
      <c r="B13" s="27" t="s">
        <v>219</v>
      </c>
      <c r="C13" s="23" t="s">
        <v>220</v>
      </c>
      <c r="D13" s="23" t="s">
        <v>139</v>
      </c>
      <c r="E13" s="28">
        <v>73500</v>
      </c>
      <c r="F13" s="25">
        <v>1903.76</v>
      </c>
      <c r="G13" s="25">
        <v>3.88</v>
      </c>
      <c r="H13" s="26"/>
    </row>
    <row r="14" spans="2:8" x14ac:dyDescent="0.2">
      <c r="B14" s="27" t="s">
        <v>194</v>
      </c>
      <c r="C14" s="23" t="s">
        <v>195</v>
      </c>
      <c r="D14" s="23" t="s">
        <v>139</v>
      </c>
      <c r="E14" s="28">
        <v>78175</v>
      </c>
      <c r="F14" s="25">
        <v>1881.95</v>
      </c>
      <c r="G14" s="25">
        <v>3.83</v>
      </c>
      <c r="H14" s="26"/>
    </row>
    <row r="15" spans="2:8" x14ac:dyDescent="0.2">
      <c r="B15" s="27" t="s">
        <v>239</v>
      </c>
      <c r="C15" s="23" t="s">
        <v>240</v>
      </c>
      <c r="D15" s="23" t="s">
        <v>139</v>
      </c>
      <c r="E15" s="28">
        <v>285000</v>
      </c>
      <c r="F15" s="25">
        <v>1595.43</v>
      </c>
      <c r="G15" s="25">
        <v>3.25</v>
      </c>
      <c r="H15" s="26"/>
    </row>
    <row r="16" spans="2:8" x14ac:dyDescent="0.2">
      <c r="B16" s="27" t="s">
        <v>70</v>
      </c>
      <c r="C16" s="23" t="s">
        <v>71</v>
      </c>
      <c r="D16" s="23" t="s">
        <v>56</v>
      </c>
      <c r="E16" s="28">
        <v>338791</v>
      </c>
      <c r="F16" s="25">
        <v>1449.18</v>
      </c>
      <c r="G16" s="25">
        <v>2.95</v>
      </c>
      <c r="H16" s="26"/>
    </row>
    <row r="17" spans="2:8" x14ac:dyDescent="0.2">
      <c r="B17" s="27" t="s">
        <v>133</v>
      </c>
      <c r="C17" s="23" t="s">
        <v>134</v>
      </c>
      <c r="D17" s="23" t="s">
        <v>128</v>
      </c>
      <c r="E17" s="28">
        <v>60000</v>
      </c>
      <c r="F17" s="25">
        <v>1426.68</v>
      </c>
      <c r="G17" s="25">
        <v>2.9</v>
      </c>
      <c r="H17" s="26"/>
    </row>
    <row r="18" spans="2:8" x14ac:dyDescent="0.2">
      <c r="B18" s="27" t="s">
        <v>148</v>
      </c>
      <c r="C18" s="23" t="s">
        <v>149</v>
      </c>
      <c r="D18" s="23" t="s">
        <v>144</v>
      </c>
      <c r="E18" s="28">
        <v>19250</v>
      </c>
      <c r="F18" s="25">
        <v>1387.28</v>
      </c>
      <c r="G18" s="25">
        <v>2.82</v>
      </c>
      <c r="H18" s="26"/>
    </row>
    <row r="19" spans="2:8" x14ac:dyDescent="0.2">
      <c r="B19" s="27" t="s">
        <v>225</v>
      </c>
      <c r="C19" s="23" t="s">
        <v>226</v>
      </c>
      <c r="D19" s="23" t="s">
        <v>121</v>
      </c>
      <c r="E19" s="28">
        <v>16910</v>
      </c>
      <c r="F19" s="25">
        <v>1319.41</v>
      </c>
      <c r="G19" s="25">
        <v>2.69</v>
      </c>
      <c r="H19" s="26"/>
    </row>
    <row r="20" spans="2:8" x14ac:dyDescent="0.2">
      <c r="B20" s="27" t="s">
        <v>221</v>
      </c>
      <c r="C20" s="23" t="s">
        <v>222</v>
      </c>
      <c r="D20" s="23" t="s">
        <v>144</v>
      </c>
      <c r="E20" s="28">
        <v>29500</v>
      </c>
      <c r="F20" s="25">
        <v>1181.71</v>
      </c>
      <c r="G20" s="25">
        <v>2.41</v>
      </c>
      <c r="H20" s="26"/>
    </row>
    <row r="21" spans="2:8" x14ac:dyDescent="0.2">
      <c r="B21" s="27" t="s">
        <v>249</v>
      </c>
      <c r="C21" s="23" t="s">
        <v>250</v>
      </c>
      <c r="D21" s="23" t="s">
        <v>139</v>
      </c>
      <c r="E21" s="28">
        <v>227500</v>
      </c>
      <c r="F21" s="25">
        <v>1170.5999999999999</v>
      </c>
      <c r="G21" s="25">
        <v>2.38</v>
      </c>
      <c r="H21" s="26"/>
    </row>
    <row r="22" spans="2:8" x14ac:dyDescent="0.2">
      <c r="B22" s="27" t="s">
        <v>131</v>
      </c>
      <c r="C22" s="23" t="s">
        <v>132</v>
      </c>
      <c r="D22" s="23" t="s">
        <v>41</v>
      </c>
      <c r="E22" s="28">
        <v>175000</v>
      </c>
      <c r="F22" s="25">
        <v>1160.08</v>
      </c>
      <c r="G22" s="25">
        <v>2.36</v>
      </c>
      <c r="H22" s="26"/>
    </row>
    <row r="23" spans="2:8" x14ac:dyDescent="0.2">
      <c r="B23" s="27" t="s">
        <v>78</v>
      </c>
      <c r="C23" s="23" t="s">
        <v>79</v>
      </c>
      <c r="D23" s="23" t="s">
        <v>56</v>
      </c>
      <c r="E23" s="28">
        <v>7901</v>
      </c>
      <c r="F23" s="25">
        <v>1116.21</v>
      </c>
      <c r="G23" s="25">
        <v>2.27</v>
      </c>
      <c r="H23" s="26"/>
    </row>
    <row r="24" spans="2:8" x14ac:dyDescent="0.2">
      <c r="B24" s="27" t="s">
        <v>65</v>
      </c>
      <c r="C24" s="23" t="s">
        <v>66</v>
      </c>
      <c r="D24" s="23" t="s">
        <v>56</v>
      </c>
      <c r="E24" s="28">
        <v>41870</v>
      </c>
      <c r="F24" s="25">
        <v>1080.1400000000001</v>
      </c>
      <c r="G24" s="25">
        <v>2.2000000000000002</v>
      </c>
      <c r="H24" s="26"/>
    </row>
    <row r="25" spans="2:8" x14ac:dyDescent="0.2">
      <c r="B25" s="27" t="s">
        <v>274</v>
      </c>
      <c r="C25" s="23" t="s">
        <v>275</v>
      </c>
      <c r="D25" s="23" t="s">
        <v>56</v>
      </c>
      <c r="E25" s="28">
        <v>413087</v>
      </c>
      <c r="F25" s="25">
        <v>1047.3800000000001</v>
      </c>
      <c r="G25" s="25">
        <v>2.13</v>
      </c>
      <c r="H25" s="26"/>
    </row>
    <row r="26" spans="2:8" x14ac:dyDescent="0.2">
      <c r="B26" s="27" t="s">
        <v>137</v>
      </c>
      <c r="C26" s="23" t="s">
        <v>138</v>
      </c>
      <c r="D26" s="23" t="s">
        <v>139</v>
      </c>
      <c r="E26" s="28">
        <v>44850</v>
      </c>
      <c r="F26" s="25">
        <v>1015.36</v>
      </c>
      <c r="G26" s="25">
        <v>2.0699999999999998</v>
      </c>
      <c r="H26" s="26"/>
    </row>
    <row r="27" spans="2:8" x14ac:dyDescent="0.2">
      <c r="B27" s="27" t="s">
        <v>198</v>
      </c>
      <c r="C27" s="23" t="s">
        <v>199</v>
      </c>
      <c r="D27" s="23" t="s">
        <v>128</v>
      </c>
      <c r="E27" s="28">
        <v>102500</v>
      </c>
      <c r="F27" s="25">
        <v>1010.7</v>
      </c>
      <c r="G27" s="25">
        <v>2.06</v>
      </c>
      <c r="H27" s="26"/>
    </row>
    <row r="28" spans="2:8" x14ac:dyDescent="0.2">
      <c r="B28" s="27" t="s">
        <v>202</v>
      </c>
      <c r="C28" s="23" t="s">
        <v>203</v>
      </c>
      <c r="D28" s="23" t="s">
        <v>204</v>
      </c>
      <c r="E28" s="28">
        <v>37250</v>
      </c>
      <c r="F28" s="25">
        <v>987.68</v>
      </c>
      <c r="G28" s="25">
        <v>2.0099999999999998</v>
      </c>
      <c r="H28" s="26"/>
    </row>
    <row r="29" spans="2:8" x14ac:dyDescent="0.2">
      <c r="B29" s="27" t="s">
        <v>235</v>
      </c>
      <c r="C29" s="23" t="s">
        <v>236</v>
      </c>
      <c r="D29" s="23" t="s">
        <v>121</v>
      </c>
      <c r="E29" s="28">
        <v>20499</v>
      </c>
      <c r="F29" s="25">
        <v>894.58</v>
      </c>
      <c r="G29" s="25">
        <v>1.82</v>
      </c>
      <c r="H29" s="26"/>
    </row>
    <row r="30" spans="2:8" x14ac:dyDescent="0.2">
      <c r="B30" s="27" t="s">
        <v>233</v>
      </c>
      <c r="C30" s="23" t="s">
        <v>234</v>
      </c>
      <c r="D30" s="23" t="s">
        <v>144</v>
      </c>
      <c r="E30" s="28">
        <v>750000</v>
      </c>
      <c r="F30" s="25">
        <v>831</v>
      </c>
      <c r="G30" s="25">
        <v>1.69</v>
      </c>
      <c r="H30" s="26"/>
    </row>
    <row r="31" spans="2:8" x14ac:dyDescent="0.2">
      <c r="B31" s="27" t="s">
        <v>241</v>
      </c>
      <c r="C31" s="23" t="s">
        <v>242</v>
      </c>
      <c r="D31" s="23" t="s">
        <v>128</v>
      </c>
      <c r="E31" s="28">
        <v>200000</v>
      </c>
      <c r="F31" s="25">
        <v>791.4</v>
      </c>
      <c r="G31" s="25">
        <v>1.61</v>
      </c>
      <c r="H31" s="26"/>
    </row>
    <row r="32" spans="2:8" x14ac:dyDescent="0.2">
      <c r="B32" s="27" t="s">
        <v>276</v>
      </c>
      <c r="C32" s="23" t="s">
        <v>277</v>
      </c>
      <c r="D32" s="23" t="s">
        <v>121</v>
      </c>
      <c r="E32" s="28">
        <v>21597</v>
      </c>
      <c r="F32" s="25">
        <v>787.43</v>
      </c>
      <c r="G32" s="25">
        <v>1.6</v>
      </c>
      <c r="H32" s="26"/>
    </row>
    <row r="33" spans="2:8" x14ac:dyDescent="0.2">
      <c r="B33" s="27" t="s">
        <v>247</v>
      </c>
      <c r="C33" s="23" t="s">
        <v>248</v>
      </c>
      <c r="D33" s="23" t="s">
        <v>41</v>
      </c>
      <c r="E33" s="28">
        <v>88500</v>
      </c>
      <c r="F33" s="25">
        <v>772.16</v>
      </c>
      <c r="G33" s="25">
        <v>1.57</v>
      </c>
      <c r="H33" s="26"/>
    </row>
    <row r="34" spans="2:8" x14ac:dyDescent="0.2">
      <c r="B34" s="27" t="s">
        <v>104</v>
      </c>
      <c r="C34" s="23" t="s">
        <v>105</v>
      </c>
      <c r="D34" s="23" t="s">
        <v>56</v>
      </c>
      <c r="E34" s="28">
        <v>105000</v>
      </c>
      <c r="F34" s="25">
        <v>770.86</v>
      </c>
      <c r="G34" s="25">
        <v>1.57</v>
      </c>
      <c r="H34" s="26"/>
    </row>
    <row r="35" spans="2:8" x14ac:dyDescent="0.2">
      <c r="B35" s="27" t="s">
        <v>278</v>
      </c>
      <c r="C35" s="23" t="s">
        <v>279</v>
      </c>
      <c r="D35" s="23" t="s">
        <v>139</v>
      </c>
      <c r="E35" s="28">
        <v>182500</v>
      </c>
      <c r="F35" s="25">
        <v>758.47</v>
      </c>
      <c r="G35" s="25">
        <v>1.54</v>
      </c>
      <c r="H35" s="26"/>
    </row>
    <row r="36" spans="2:8" x14ac:dyDescent="0.2">
      <c r="B36" s="27" t="s">
        <v>152</v>
      </c>
      <c r="C36" s="23" t="s">
        <v>153</v>
      </c>
      <c r="D36" s="23" t="s">
        <v>139</v>
      </c>
      <c r="E36" s="28">
        <v>21200</v>
      </c>
      <c r="F36" s="25">
        <v>742.23</v>
      </c>
      <c r="G36" s="25">
        <v>1.51</v>
      </c>
      <c r="H36" s="26"/>
    </row>
    <row r="37" spans="2:8" x14ac:dyDescent="0.2">
      <c r="B37" s="27" t="s">
        <v>168</v>
      </c>
      <c r="C37" s="23" t="s">
        <v>169</v>
      </c>
      <c r="D37" s="23" t="s">
        <v>128</v>
      </c>
      <c r="E37" s="28">
        <v>181000</v>
      </c>
      <c r="F37" s="25">
        <v>720.11</v>
      </c>
      <c r="G37" s="25">
        <v>1.47</v>
      </c>
      <c r="H37" s="26"/>
    </row>
    <row r="38" spans="2:8" x14ac:dyDescent="0.2">
      <c r="B38" s="27" t="s">
        <v>280</v>
      </c>
      <c r="C38" s="23" t="s">
        <v>281</v>
      </c>
      <c r="D38" s="23" t="s">
        <v>139</v>
      </c>
      <c r="E38" s="28">
        <v>91000</v>
      </c>
      <c r="F38" s="25">
        <v>643.23</v>
      </c>
      <c r="G38" s="25">
        <v>1.31</v>
      </c>
      <c r="H38" s="26"/>
    </row>
    <row r="39" spans="2:8" x14ac:dyDescent="0.2">
      <c r="B39" s="27" t="s">
        <v>255</v>
      </c>
      <c r="C39" s="23" t="s">
        <v>256</v>
      </c>
      <c r="D39" s="23" t="s">
        <v>139</v>
      </c>
      <c r="E39" s="28">
        <v>112000</v>
      </c>
      <c r="F39" s="25">
        <v>614.54</v>
      </c>
      <c r="G39" s="25">
        <v>1.25</v>
      </c>
      <c r="H39" s="26"/>
    </row>
    <row r="40" spans="2:8" x14ac:dyDescent="0.2">
      <c r="B40" s="27" t="s">
        <v>217</v>
      </c>
      <c r="C40" s="23" t="s">
        <v>218</v>
      </c>
      <c r="D40" s="23" t="s">
        <v>139</v>
      </c>
      <c r="E40" s="28">
        <v>3400</v>
      </c>
      <c r="F40" s="25">
        <v>580.04</v>
      </c>
      <c r="G40" s="25">
        <v>1.18</v>
      </c>
      <c r="H40" s="26"/>
    </row>
    <row r="41" spans="2:8" x14ac:dyDescent="0.2">
      <c r="B41" s="27" t="s">
        <v>179</v>
      </c>
      <c r="C41" s="23" t="s">
        <v>180</v>
      </c>
      <c r="D41" s="23" t="s">
        <v>167</v>
      </c>
      <c r="E41" s="28">
        <v>35000</v>
      </c>
      <c r="F41" s="25">
        <v>555.91999999999996</v>
      </c>
      <c r="G41" s="25">
        <v>1.1299999999999999</v>
      </c>
      <c r="H41" s="26"/>
    </row>
    <row r="42" spans="2:8" x14ac:dyDescent="0.2">
      <c r="B42" s="27" t="s">
        <v>160</v>
      </c>
      <c r="C42" s="23" t="s">
        <v>161</v>
      </c>
      <c r="D42" s="23" t="s">
        <v>162</v>
      </c>
      <c r="E42" s="28">
        <v>26082</v>
      </c>
      <c r="F42" s="25">
        <v>526.52</v>
      </c>
      <c r="G42" s="25">
        <v>1.07</v>
      </c>
      <c r="H42" s="26"/>
    </row>
    <row r="43" spans="2:8" x14ac:dyDescent="0.2">
      <c r="B43" s="27" t="s">
        <v>223</v>
      </c>
      <c r="C43" s="23" t="s">
        <v>224</v>
      </c>
      <c r="D43" s="23" t="s">
        <v>128</v>
      </c>
      <c r="E43" s="28">
        <v>105000</v>
      </c>
      <c r="F43" s="25">
        <v>505.05</v>
      </c>
      <c r="G43" s="25">
        <v>1.03</v>
      </c>
      <c r="H43" s="26"/>
    </row>
    <row r="44" spans="2:8" x14ac:dyDescent="0.2">
      <c r="B44" s="27" t="s">
        <v>145</v>
      </c>
      <c r="C44" s="23" t="s">
        <v>146</v>
      </c>
      <c r="D44" s="23" t="s">
        <v>147</v>
      </c>
      <c r="E44" s="28">
        <v>14125</v>
      </c>
      <c r="F44" s="25">
        <v>475.99</v>
      </c>
      <c r="G44" s="25">
        <v>0.97</v>
      </c>
      <c r="H44" s="26"/>
    </row>
    <row r="45" spans="2:8" x14ac:dyDescent="0.2">
      <c r="B45" s="27" t="s">
        <v>158</v>
      </c>
      <c r="C45" s="23" t="s">
        <v>159</v>
      </c>
      <c r="D45" s="23" t="s">
        <v>147</v>
      </c>
      <c r="E45" s="28">
        <v>48500</v>
      </c>
      <c r="F45" s="25">
        <v>400.56</v>
      </c>
      <c r="G45" s="25">
        <v>0.82</v>
      </c>
      <c r="H45" s="26"/>
    </row>
    <row r="46" spans="2:8" x14ac:dyDescent="0.2">
      <c r="B46" s="27" t="s">
        <v>211</v>
      </c>
      <c r="C46" s="23" t="s">
        <v>212</v>
      </c>
      <c r="D46" s="23" t="s">
        <v>128</v>
      </c>
      <c r="E46" s="28">
        <v>44054</v>
      </c>
      <c r="F46" s="25">
        <v>245.03</v>
      </c>
      <c r="G46" s="25">
        <v>0.5</v>
      </c>
      <c r="H46" s="26"/>
    </row>
    <row r="47" spans="2:8" x14ac:dyDescent="0.2">
      <c r="B47" s="27" t="s">
        <v>181</v>
      </c>
      <c r="C47" s="23" t="s">
        <v>182</v>
      </c>
      <c r="D47" s="23" t="s">
        <v>56</v>
      </c>
      <c r="E47" s="28">
        <v>9539</v>
      </c>
      <c r="F47" s="25">
        <v>243.54</v>
      </c>
      <c r="G47" s="25">
        <v>0.5</v>
      </c>
      <c r="H47" s="26"/>
    </row>
    <row r="48" spans="2:8" x14ac:dyDescent="0.2">
      <c r="B48" s="27" t="s">
        <v>124</v>
      </c>
      <c r="C48" s="23" t="s">
        <v>125</v>
      </c>
      <c r="D48" s="23" t="s">
        <v>111</v>
      </c>
      <c r="E48" s="28">
        <v>13000</v>
      </c>
      <c r="F48" s="25">
        <v>239.45</v>
      </c>
      <c r="G48" s="25">
        <v>0.49</v>
      </c>
      <c r="H48" s="26"/>
    </row>
    <row r="49" spans="2:10" x14ac:dyDescent="0.2">
      <c r="B49" s="27" t="s">
        <v>200</v>
      </c>
      <c r="C49" s="23" t="s">
        <v>201</v>
      </c>
      <c r="D49" s="23" t="s">
        <v>128</v>
      </c>
      <c r="E49" s="28">
        <v>18000</v>
      </c>
      <c r="F49" s="25">
        <v>122.03</v>
      </c>
      <c r="G49" s="25">
        <v>0.25</v>
      </c>
      <c r="H49" s="26"/>
    </row>
    <row r="50" spans="2:10" x14ac:dyDescent="0.2">
      <c r="B50" s="29" t="s">
        <v>114</v>
      </c>
      <c r="C50" s="30"/>
      <c r="D50" s="30"/>
      <c r="E50" s="31"/>
      <c r="F50" s="32">
        <f>SUM(F7:F49)</f>
        <v>48156.7</v>
      </c>
      <c r="G50" s="32">
        <f>SUM(G7:G49)</f>
        <v>98.049999999999969</v>
      </c>
      <c r="H50" s="33"/>
      <c r="I50" s="14"/>
      <c r="J50" s="14"/>
    </row>
    <row r="51" spans="2:10" x14ac:dyDescent="0.2">
      <c r="B51" s="37" t="s">
        <v>115</v>
      </c>
      <c r="C51" s="37"/>
      <c r="D51" s="37"/>
      <c r="E51" s="38"/>
      <c r="F51" s="39">
        <f>F50</f>
        <v>48156.7</v>
      </c>
      <c r="G51" s="39">
        <f>G50</f>
        <v>98.049999999999969</v>
      </c>
      <c r="H51" s="15"/>
      <c r="I51" s="14"/>
      <c r="J51" s="14"/>
    </row>
    <row r="52" spans="2:10" x14ac:dyDescent="0.2">
      <c r="B52" s="40" t="s">
        <v>116</v>
      </c>
      <c r="C52" s="41"/>
      <c r="D52" s="41"/>
      <c r="E52" s="42"/>
      <c r="F52" s="43"/>
      <c r="G52" s="43"/>
      <c r="H52" s="44"/>
    </row>
    <row r="53" spans="2:10" x14ac:dyDescent="0.2">
      <c r="B53" s="27" t="s">
        <v>116</v>
      </c>
      <c r="C53" s="23"/>
      <c r="D53" s="23"/>
      <c r="E53" s="24"/>
      <c r="F53" s="25">
        <v>900.88</v>
      </c>
      <c r="G53" s="25">
        <v>1.83</v>
      </c>
      <c r="H53" s="26"/>
    </row>
    <row r="54" spans="2:10" x14ac:dyDescent="0.2">
      <c r="B54" s="29" t="s">
        <v>114</v>
      </c>
      <c r="C54" s="30"/>
      <c r="D54" s="30"/>
      <c r="E54" s="31"/>
      <c r="F54" s="32">
        <f>SUM(F52:F53)</f>
        <v>900.88</v>
      </c>
      <c r="G54" s="32">
        <f>SUM(G52:G53)</f>
        <v>1.83</v>
      </c>
      <c r="H54" s="33"/>
      <c r="I54" s="14"/>
      <c r="J54" s="14"/>
    </row>
    <row r="55" spans="2:10" x14ac:dyDescent="0.2">
      <c r="B55" s="34" t="s">
        <v>115</v>
      </c>
      <c r="C55" s="34"/>
      <c r="D55" s="34"/>
      <c r="E55" s="35"/>
      <c r="F55" s="36">
        <f>F54</f>
        <v>900.88</v>
      </c>
      <c r="G55" s="36">
        <f>G54</f>
        <v>1.83</v>
      </c>
      <c r="H55" s="36"/>
      <c r="I55" s="14"/>
      <c r="J55" s="14"/>
    </row>
    <row r="56" spans="2:10" x14ac:dyDescent="0.2">
      <c r="B56" s="45" t="s">
        <v>118</v>
      </c>
      <c r="C56" s="45"/>
      <c r="D56" s="45"/>
      <c r="E56" s="46"/>
      <c r="F56" s="16">
        <f>F57-(+F51+F55)</f>
        <v>119.94000000000233</v>
      </c>
      <c r="G56" s="16">
        <f>G57-(+G51+G55)</f>
        <v>0.12000000000003297</v>
      </c>
      <c r="H56" s="16"/>
      <c r="I56" s="14"/>
      <c r="J56" s="14"/>
    </row>
    <row r="57" spans="2:10" x14ac:dyDescent="0.2">
      <c r="B57" s="45" t="s">
        <v>117</v>
      </c>
      <c r="C57" s="45"/>
      <c r="D57" s="45"/>
      <c r="E57" s="46"/>
      <c r="F57" s="16">
        <v>49177.52</v>
      </c>
      <c r="G57" s="16">
        <v>100</v>
      </c>
      <c r="H57" s="16"/>
      <c r="I57" s="14"/>
      <c r="J57" s="14"/>
    </row>
    <row r="59" spans="2:10" x14ac:dyDescent="0.2">
      <c r="B59" s="14"/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63"/>
  <sheetViews>
    <sheetView workbookViewId="0">
      <selection activeCell="F62" sqref="F62"/>
    </sheetView>
  </sheetViews>
  <sheetFormatPr defaultRowHeight="12" x14ac:dyDescent="0.2"/>
  <cols>
    <col min="1" max="1" width="9.140625" style="1"/>
    <col min="2" max="2" width="58.42578125" style="1" bestFit="1" customWidth="1"/>
    <col min="3" max="3" width="13.28515625" style="1" bestFit="1" customWidth="1"/>
    <col min="4" max="4" width="21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62" t="s">
        <v>13</v>
      </c>
      <c r="C1" s="63"/>
      <c r="D1" s="63"/>
      <c r="E1" s="63"/>
      <c r="F1" s="63"/>
      <c r="G1" s="63"/>
      <c r="H1" s="63"/>
    </row>
    <row r="3" spans="2:8" ht="16.5" thickBot="1" x14ac:dyDescent="0.25">
      <c r="B3" s="2" t="s">
        <v>7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17" t="s">
        <v>31</v>
      </c>
      <c r="C5" s="18"/>
      <c r="D5" s="18"/>
      <c r="E5" s="19"/>
      <c r="F5" s="20"/>
      <c r="G5" s="20"/>
      <c r="H5" s="21"/>
    </row>
    <row r="6" spans="2:8" x14ac:dyDescent="0.2">
      <c r="B6" s="22" t="s">
        <v>32</v>
      </c>
      <c r="C6" s="23"/>
      <c r="D6" s="23"/>
      <c r="E6" s="24"/>
      <c r="F6" s="25"/>
      <c r="G6" s="25"/>
      <c r="H6" s="26"/>
    </row>
    <row r="7" spans="2:8" x14ac:dyDescent="0.2">
      <c r="B7" s="27" t="s">
        <v>122</v>
      </c>
      <c r="C7" s="23" t="s">
        <v>123</v>
      </c>
      <c r="D7" s="23" t="s">
        <v>41</v>
      </c>
      <c r="E7" s="28">
        <v>914700</v>
      </c>
      <c r="F7" s="25">
        <v>12718.9</v>
      </c>
      <c r="G7" s="25">
        <v>8.4499999999999993</v>
      </c>
      <c r="H7" s="26"/>
    </row>
    <row r="8" spans="2:8" x14ac:dyDescent="0.2">
      <c r="B8" s="27" t="s">
        <v>119</v>
      </c>
      <c r="C8" s="23" t="s">
        <v>120</v>
      </c>
      <c r="D8" s="23" t="s">
        <v>121</v>
      </c>
      <c r="E8" s="28">
        <v>949142</v>
      </c>
      <c r="F8" s="25">
        <v>11760.34</v>
      </c>
      <c r="G8" s="25">
        <v>7.81</v>
      </c>
      <c r="H8" s="26"/>
    </row>
    <row r="9" spans="2:8" x14ac:dyDescent="0.2">
      <c r="B9" s="27" t="s">
        <v>39</v>
      </c>
      <c r="C9" s="23" t="s">
        <v>40</v>
      </c>
      <c r="D9" s="23" t="s">
        <v>41</v>
      </c>
      <c r="E9" s="28">
        <v>1995600</v>
      </c>
      <c r="F9" s="25">
        <v>10716.37</v>
      </c>
      <c r="G9" s="25">
        <v>7.12</v>
      </c>
      <c r="H9" s="26"/>
    </row>
    <row r="10" spans="2:8" x14ac:dyDescent="0.2">
      <c r="B10" s="27" t="s">
        <v>124</v>
      </c>
      <c r="C10" s="23" t="s">
        <v>125</v>
      </c>
      <c r="D10" s="23" t="s">
        <v>111</v>
      </c>
      <c r="E10" s="28">
        <v>452250</v>
      </c>
      <c r="F10" s="25">
        <v>8330.2199999999993</v>
      </c>
      <c r="G10" s="25">
        <v>5.53</v>
      </c>
      <c r="H10" s="26"/>
    </row>
    <row r="11" spans="2:8" x14ac:dyDescent="0.2">
      <c r="B11" s="27" t="s">
        <v>133</v>
      </c>
      <c r="C11" s="23" t="s">
        <v>134</v>
      </c>
      <c r="D11" s="23" t="s">
        <v>128</v>
      </c>
      <c r="E11" s="28">
        <v>263450</v>
      </c>
      <c r="F11" s="25">
        <v>6264.31</v>
      </c>
      <c r="G11" s="25">
        <v>4.16</v>
      </c>
      <c r="H11" s="26"/>
    </row>
    <row r="12" spans="2:8" x14ac:dyDescent="0.2">
      <c r="B12" s="27" t="s">
        <v>129</v>
      </c>
      <c r="C12" s="23" t="s">
        <v>130</v>
      </c>
      <c r="D12" s="23" t="s">
        <v>121</v>
      </c>
      <c r="E12" s="28">
        <v>189961</v>
      </c>
      <c r="F12" s="25">
        <v>5910.35</v>
      </c>
      <c r="G12" s="25">
        <v>3.93</v>
      </c>
      <c r="H12" s="26"/>
    </row>
    <row r="13" spans="2:8" x14ac:dyDescent="0.2">
      <c r="B13" s="27" t="s">
        <v>126</v>
      </c>
      <c r="C13" s="23" t="s">
        <v>127</v>
      </c>
      <c r="D13" s="23" t="s">
        <v>128</v>
      </c>
      <c r="E13" s="28">
        <v>118434</v>
      </c>
      <c r="F13" s="25">
        <v>5607.32</v>
      </c>
      <c r="G13" s="25">
        <v>3.72</v>
      </c>
      <c r="H13" s="26"/>
    </row>
    <row r="14" spans="2:8" x14ac:dyDescent="0.2">
      <c r="B14" s="27" t="s">
        <v>135</v>
      </c>
      <c r="C14" s="23" t="s">
        <v>136</v>
      </c>
      <c r="D14" s="23" t="s">
        <v>121</v>
      </c>
      <c r="E14" s="28">
        <v>557000</v>
      </c>
      <c r="F14" s="25">
        <v>5090.9799999999996</v>
      </c>
      <c r="G14" s="25">
        <v>3.38</v>
      </c>
      <c r="H14" s="26"/>
    </row>
    <row r="15" spans="2:8" x14ac:dyDescent="0.2">
      <c r="B15" s="27" t="s">
        <v>33</v>
      </c>
      <c r="C15" s="23" t="s">
        <v>34</v>
      </c>
      <c r="D15" s="23" t="s">
        <v>35</v>
      </c>
      <c r="E15" s="28">
        <v>380685</v>
      </c>
      <c r="F15" s="25">
        <v>5081</v>
      </c>
      <c r="G15" s="25">
        <v>3.37</v>
      </c>
      <c r="H15" s="26"/>
    </row>
    <row r="16" spans="2:8" x14ac:dyDescent="0.2">
      <c r="B16" s="27" t="s">
        <v>131</v>
      </c>
      <c r="C16" s="23" t="s">
        <v>132</v>
      </c>
      <c r="D16" s="23" t="s">
        <v>41</v>
      </c>
      <c r="E16" s="28">
        <v>764200</v>
      </c>
      <c r="F16" s="25">
        <v>5065.88</v>
      </c>
      <c r="G16" s="25">
        <v>3.36</v>
      </c>
      <c r="H16" s="26"/>
    </row>
    <row r="17" spans="2:8" x14ac:dyDescent="0.2">
      <c r="B17" s="27" t="s">
        <v>106</v>
      </c>
      <c r="C17" s="23" t="s">
        <v>107</v>
      </c>
      <c r="D17" s="23" t="s">
        <v>108</v>
      </c>
      <c r="E17" s="28">
        <v>833316</v>
      </c>
      <c r="F17" s="25">
        <v>4613.24</v>
      </c>
      <c r="G17" s="25">
        <v>3.06</v>
      </c>
      <c r="H17" s="26"/>
    </row>
    <row r="18" spans="2:8" x14ac:dyDescent="0.2">
      <c r="B18" s="27" t="s">
        <v>49</v>
      </c>
      <c r="C18" s="23" t="s">
        <v>50</v>
      </c>
      <c r="D18" s="23" t="s">
        <v>41</v>
      </c>
      <c r="E18" s="28">
        <v>1475000</v>
      </c>
      <c r="F18" s="25">
        <v>4160.9799999999996</v>
      </c>
      <c r="G18" s="25">
        <v>2.76</v>
      </c>
      <c r="H18" s="26"/>
    </row>
    <row r="19" spans="2:8" x14ac:dyDescent="0.2">
      <c r="B19" s="27" t="s">
        <v>137</v>
      </c>
      <c r="C19" s="23" t="s">
        <v>138</v>
      </c>
      <c r="D19" s="23" t="s">
        <v>139</v>
      </c>
      <c r="E19" s="28">
        <v>159800</v>
      </c>
      <c r="F19" s="25">
        <v>3617.71</v>
      </c>
      <c r="G19" s="25">
        <v>2.4</v>
      </c>
      <c r="H19" s="26"/>
    </row>
    <row r="20" spans="2:8" x14ac:dyDescent="0.2">
      <c r="B20" s="27" t="s">
        <v>148</v>
      </c>
      <c r="C20" s="23" t="s">
        <v>149</v>
      </c>
      <c r="D20" s="23" t="s">
        <v>144</v>
      </c>
      <c r="E20" s="28">
        <v>42900</v>
      </c>
      <c r="F20" s="25">
        <v>3091.65</v>
      </c>
      <c r="G20" s="25">
        <v>2.0499999999999998</v>
      </c>
      <c r="H20" s="26"/>
    </row>
    <row r="21" spans="2:8" x14ac:dyDescent="0.2">
      <c r="B21" s="27" t="s">
        <v>84</v>
      </c>
      <c r="C21" s="23" t="s">
        <v>85</v>
      </c>
      <c r="D21" s="23" t="s">
        <v>69</v>
      </c>
      <c r="E21" s="28">
        <v>57152</v>
      </c>
      <c r="F21" s="25">
        <v>3044.63</v>
      </c>
      <c r="G21" s="25">
        <v>2.02</v>
      </c>
      <c r="H21" s="26"/>
    </row>
    <row r="22" spans="2:8" x14ac:dyDescent="0.2">
      <c r="B22" s="27" t="s">
        <v>140</v>
      </c>
      <c r="C22" s="23" t="s">
        <v>141</v>
      </c>
      <c r="D22" s="23" t="s">
        <v>41</v>
      </c>
      <c r="E22" s="28">
        <v>173750</v>
      </c>
      <c r="F22" s="25">
        <v>2976.25</v>
      </c>
      <c r="G22" s="25">
        <v>1.98</v>
      </c>
      <c r="H22" s="26"/>
    </row>
    <row r="23" spans="2:8" x14ac:dyDescent="0.2">
      <c r="B23" s="27" t="s">
        <v>70</v>
      </c>
      <c r="C23" s="23" t="s">
        <v>71</v>
      </c>
      <c r="D23" s="23" t="s">
        <v>56</v>
      </c>
      <c r="E23" s="28">
        <v>620000</v>
      </c>
      <c r="F23" s="25">
        <v>2652.05</v>
      </c>
      <c r="G23" s="25">
        <v>1.76</v>
      </c>
      <c r="H23" s="26"/>
    </row>
    <row r="24" spans="2:8" x14ac:dyDescent="0.2">
      <c r="B24" s="27" t="s">
        <v>221</v>
      </c>
      <c r="C24" s="23" t="s">
        <v>222</v>
      </c>
      <c r="D24" s="23" t="s">
        <v>144</v>
      </c>
      <c r="E24" s="28">
        <v>66000</v>
      </c>
      <c r="F24" s="25">
        <v>2643.83</v>
      </c>
      <c r="G24" s="25">
        <v>1.76</v>
      </c>
      <c r="H24" s="26"/>
    </row>
    <row r="25" spans="2:8" x14ac:dyDescent="0.2">
      <c r="B25" s="27" t="s">
        <v>54</v>
      </c>
      <c r="C25" s="23" t="s">
        <v>55</v>
      </c>
      <c r="D25" s="23" t="s">
        <v>56</v>
      </c>
      <c r="E25" s="28">
        <v>256200</v>
      </c>
      <c r="F25" s="25">
        <v>2326.5500000000002</v>
      </c>
      <c r="G25" s="25">
        <v>1.55</v>
      </c>
      <c r="H25" s="26"/>
    </row>
    <row r="26" spans="2:8" x14ac:dyDescent="0.2">
      <c r="B26" s="27" t="s">
        <v>243</v>
      </c>
      <c r="C26" s="23" t="s">
        <v>244</v>
      </c>
      <c r="D26" s="23" t="s">
        <v>147</v>
      </c>
      <c r="E26" s="28">
        <v>44400</v>
      </c>
      <c r="F26" s="25">
        <v>2043.6</v>
      </c>
      <c r="G26" s="25">
        <v>1.36</v>
      </c>
      <c r="H26" s="26"/>
    </row>
    <row r="27" spans="2:8" x14ac:dyDescent="0.2">
      <c r="B27" s="27" t="s">
        <v>142</v>
      </c>
      <c r="C27" s="23" t="s">
        <v>143</v>
      </c>
      <c r="D27" s="23" t="s">
        <v>144</v>
      </c>
      <c r="E27" s="28">
        <v>267000</v>
      </c>
      <c r="F27" s="25">
        <v>2001.43</v>
      </c>
      <c r="G27" s="25">
        <v>1.33</v>
      </c>
      <c r="H27" s="26"/>
    </row>
    <row r="28" spans="2:8" x14ac:dyDescent="0.2">
      <c r="B28" s="27" t="s">
        <v>158</v>
      </c>
      <c r="C28" s="23" t="s">
        <v>159</v>
      </c>
      <c r="D28" s="23" t="s">
        <v>147</v>
      </c>
      <c r="E28" s="28">
        <v>242000</v>
      </c>
      <c r="F28" s="25">
        <v>1998.68</v>
      </c>
      <c r="G28" s="25">
        <v>1.33</v>
      </c>
      <c r="H28" s="26"/>
    </row>
    <row r="29" spans="2:8" x14ac:dyDescent="0.2">
      <c r="B29" s="27" t="s">
        <v>145</v>
      </c>
      <c r="C29" s="23" t="s">
        <v>146</v>
      </c>
      <c r="D29" s="23" t="s">
        <v>147</v>
      </c>
      <c r="E29" s="28">
        <v>56981</v>
      </c>
      <c r="F29" s="25">
        <v>1920.17</v>
      </c>
      <c r="G29" s="25">
        <v>1.28</v>
      </c>
      <c r="H29" s="26"/>
    </row>
    <row r="30" spans="2:8" x14ac:dyDescent="0.2">
      <c r="B30" s="27" t="s">
        <v>202</v>
      </c>
      <c r="C30" s="23" t="s">
        <v>203</v>
      </c>
      <c r="D30" s="23" t="s">
        <v>204</v>
      </c>
      <c r="E30" s="28">
        <v>71300</v>
      </c>
      <c r="F30" s="25">
        <v>1890.52</v>
      </c>
      <c r="G30" s="25">
        <v>1.26</v>
      </c>
      <c r="H30" s="26"/>
    </row>
    <row r="31" spans="2:8" x14ac:dyDescent="0.2">
      <c r="B31" s="27" t="s">
        <v>152</v>
      </c>
      <c r="C31" s="23" t="s">
        <v>153</v>
      </c>
      <c r="D31" s="23" t="s">
        <v>139</v>
      </c>
      <c r="E31" s="28">
        <v>52094</v>
      </c>
      <c r="F31" s="25">
        <v>1823.86</v>
      </c>
      <c r="G31" s="25">
        <v>1.21</v>
      </c>
      <c r="H31" s="26"/>
    </row>
    <row r="32" spans="2:8" x14ac:dyDescent="0.2">
      <c r="B32" s="27" t="s">
        <v>170</v>
      </c>
      <c r="C32" s="23" t="s">
        <v>171</v>
      </c>
      <c r="D32" s="23" t="s">
        <v>147</v>
      </c>
      <c r="E32" s="28">
        <v>304500</v>
      </c>
      <c r="F32" s="25">
        <v>1784.98</v>
      </c>
      <c r="G32" s="25">
        <v>1.19</v>
      </c>
      <c r="H32" s="26"/>
    </row>
    <row r="33" spans="2:8" x14ac:dyDescent="0.2">
      <c r="B33" s="27" t="s">
        <v>239</v>
      </c>
      <c r="C33" s="23" t="s">
        <v>240</v>
      </c>
      <c r="D33" s="23" t="s">
        <v>139</v>
      </c>
      <c r="E33" s="28">
        <v>316324</v>
      </c>
      <c r="F33" s="25">
        <v>1770.78</v>
      </c>
      <c r="G33" s="25">
        <v>1.18</v>
      </c>
      <c r="H33" s="26"/>
    </row>
    <row r="34" spans="2:8" x14ac:dyDescent="0.2">
      <c r="B34" s="27" t="s">
        <v>282</v>
      </c>
      <c r="C34" s="23" t="s">
        <v>283</v>
      </c>
      <c r="D34" s="23" t="s">
        <v>139</v>
      </c>
      <c r="E34" s="28">
        <v>850500</v>
      </c>
      <c r="F34" s="25">
        <v>1728.64</v>
      </c>
      <c r="G34" s="25">
        <v>1.1499999999999999</v>
      </c>
      <c r="H34" s="26"/>
    </row>
    <row r="35" spans="2:8" x14ac:dyDescent="0.2">
      <c r="B35" s="27" t="s">
        <v>160</v>
      </c>
      <c r="C35" s="23" t="s">
        <v>161</v>
      </c>
      <c r="D35" s="23" t="s">
        <v>162</v>
      </c>
      <c r="E35" s="28">
        <v>83858</v>
      </c>
      <c r="F35" s="25">
        <v>1692.84</v>
      </c>
      <c r="G35" s="25">
        <v>1.1200000000000001</v>
      </c>
      <c r="H35" s="26"/>
    </row>
    <row r="36" spans="2:8" x14ac:dyDescent="0.2">
      <c r="B36" s="27" t="s">
        <v>163</v>
      </c>
      <c r="C36" s="23" t="s">
        <v>164</v>
      </c>
      <c r="D36" s="23" t="s">
        <v>128</v>
      </c>
      <c r="E36" s="28">
        <v>235000</v>
      </c>
      <c r="F36" s="25">
        <v>1605.05</v>
      </c>
      <c r="G36" s="25">
        <v>1.07</v>
      </c>
      <c r="H36" s="26"/>
    </row>
    <row r="37" spans="2:8" x14ac:dyDescent="0.2">
      <c r="B37" s="27" t="s">
        <v>185</v>
      </c>
      <c r="C37" s="23" t="s">
        <v>186</v>
      </c>
      <c r="D37" s="23" t="s">
        <v>56</v>
      </c>
      <c r="E37" s="28">
        <v>109700</v>
      </c>
      <c r="F37" s="25">
        <v>1558.07</v>
      </c>
      <c r="G37" s="25">
        <v>1.03</v>
      </c>
      <c r="H37" s="26"/>
    </row>
    <row r="38" spans="2:8" x14ac:dyDescent="0.2">
      <c r="B38" s="27" t="s">
        <v>82</v>
      </c>
      <c r="C38" s="23" t="s">
        <v>83</v>
      </c>
      <c r="D38" s="23" t="s">
        <v>74</v>
      </c>
      <c r="E38" s="28">
        <v>413220</v>
      </c>
      <c r="F38" s="25">
        <v>1529.95</v>
      </c>
      <c r="G38" s="25">
        <v>1.02</v>
      </c>
      <c r="H38" s="26"/>
    </row>
    <row r="39" spans="2:8" x14ac:dyDescent="0.2">
      <c r="B39" s="27" t="s">
        <v>181</v>
      </c>
      <c r="C39" s="23" t="s">
        <v>182</v>
      </c>
      <c r="D39" s="23" t="s">
        <v>56</v>
      </c>
      <c r="E39" s="28">
        <v>56377</v>
      </c>
      <c r="F39" s="25">
        <v>1439.33</v>
      </c>
      <c r="G39" s="25">
        <v>0.96</v>
      </c>
      <c r="H39" s="26"/>
    </row>
    <row r="40" spans="2:8" x14ac:dyDescent="0.2">
      <c r="B40" s="27" t="s">
        <v>92</v>
      </c>
      <c r="C40" s="23" t="s">
        <v>93</v>
      </c>
      <c r="D40" s="23" t="s">
        <v>74</v>
      </c>
      <c r="E40" s="28">
        <v>270000</v>
      </c>
      <c r="F40" s="25">
        <v>1392.66</v>
      </c>
      <c r="G40" s="25">
        <v>0.92</v>
      </c>
      <c r="H40" s="26"/>
    </row>
    <row r="41" spans="2:8" x14ac:dyDescent="0.2">
      <c r="B41" s="27" t="s">
        <v>156</v>
      </c>
      <c r="C41" s="23" t="s">
        <v>157</v>
      </c>
      <c r="D41" s="23" t="s">
        <v>144</v>
      </c>
      <c r="E41" s="28">
        <v>50000</v>
      </c>
      <c r="F41" s="25">
        <v>1372.15</v>
      </c>
      <c r="G41" s="25">
        <v>0.91</v>
      </c>
      <c r="H41" s="26"/>
    </row>
    <row r="42" spans="2:8" x14ac:dyDescent="0.2">
      <c r="B42" s="27" t="s">
        <v>200</v>
      </c>
      <c r="C42" s="23" t="s">
        <v>201</v>
      </c>
      <c r="D42" s="23" t="s">
        <v>128</v>
      </c>
      <c r="E42" s="28">
        <v>200000</v>
      </c>
      <c r="F42" s="25">
        <v>1355.9</v>
      </c>
      <c r="G42" s="25">
        <v>0.9</v>
      </c>
      <c r="H42" s="26"/>
    </row>
    <row r="43" spans="2:8" x14ac:dyDescent="0.2">
      <c r="B43" s="27" t="s">
        <v>86</v>
      </c>
      <c r="C43" s="23" t="s">
        <v>87</v>
      </c>
      <c r="D43" s="23" t="s">
        <v>69</v>
      </c>
      <c r="E43" s="28">
        <v>5875</v>
      </c>
      <c r="F43" s="25">
        <v>1337.93</v>
      </c>
      <c r="G43" s="25">
        <v>0.89</v>
      </c>
      <c r="H43" s="26"/>
    </row>
    <row r="44" spans="2:8" x14ac:dyDescent="0.2">
      <c r="B44" s="27" t="s">
        <v>255</v>
      </c>
      <c r="C44" s="23" t="s">
        <v>256</v>
      </c>
      <c r="D44" s="23" t="s">
        <v>139</v>
      </c>
      <c r="E44" s="28">
        <v>240000</v>
      </c>
      <c r="F44" s="25">
        <v>1316.88</v>
      </c>
      <c r="G44" s="25">
        <v>0.87</v>
      </c>
      <c r="H44" s="26"/>
    </row>
    <row r="45" spans="2:8" x14ac:dyDescent="0.2">
      <c r="B45" s="27" t="s">
        <v>194</v>
      </c>
      <c r="C45" s="23" t="s">
        <v>195</v>
      </c>
      <c r="D45" s="23" t="s">
        <v>139</v>
      </c>
      <c r="E45" s="28">
        <v>52100</v>
      </c>
      <c r="F45" s="25">
        <v>1254.23</v>
      </c>
      <c r="G45" s="25">
        <v>0.83</v>
      </c>
      <c r="H45" s="26"/>
    </row>
    <row r="46" spans="2:8" x14ac:dyDescent="0.2">
      <c r="B46" s="27" t="s">
        <v>183</v>
      </c>
      <c r="C46" s="23" t="s">
        <v>184</v>
      </c>
      <c r="D46" s="23" t="s">
        <v>147</v>
      </c>
      <c r="E46" s="28">
        <v>8035</v>
      </c>
      <c r="F46" s="25">
        <v>1142.74</v>
      </c>
      <c r="G46" s="25">
        <v>0.76</v>
      </c>
      <c r="H46" s="26"/>
    </row>
    <row r="47" spans="2:8" x14ac:dyDescent="0.2">
      <c r="B47" s="27" t="s">
        <v>284</v>
      </c>
      <c r="C47" s="23" t="s">
        <v>285</v>
      </c>
      <c r="D47" s="23" t="s">
        <v>128</v>
      </c>
      <c r="E47" s="28">
        <v>74786</v>
      </c>
      <c r="F47" s="25">
        <v>983.81</v>
      </c>
      <c r="G47" s="25">
        <v>0.65</v>
      </c>
      <c r="H47" s="26"/>
    </row>
    <row r="48" spans="2:8" x14ac:dyDescent="0.2">
      <c r="B48" s="27" t="s">
        <v>231</v>
      </c>
      <c r="C48" s="23" t="s">
        <v>232</v>
      </c>
      <c r="D48" s="23" t="s">
        <v>121</v>
      </c>
      <c r="E48" s="28">
        <v>50000</v>
      </c>
      <c r="F48" s="25">
        <v>765.68</v>
      </c>
      <c r="G48" s="25">
        <v>0.51</v>
      </c>
      <c r="H48" s="26"/>
    </row>
    <row r="49" spans="2:10" x14ac:dyDescent="0.2">
      <c r="B49" s="27" t="s">
        <v>217</v>
      </c>
      <c r="C49" s="23" t="s">
        <v>218</v>
      </c>
      <c r="D49" s="23" t="s">
        <v>139</v>
      </c>
      <c r="E49" s="28">
        <v>4400</v>
      </c>
      <c r="F49" s="25">
        <v>750.64</v>
      </c>
      <c r="G49" s="25">
        <v>0.5</v>
      </c>
      <c r="H49" s="26"/>
    </row>
    <row r="50" spans="2:10" x14ac:dyDescent="0.2">
      <c r="B50" s="27" t="s">
        <v>90</v>
      </c>
      <c r="C50" s="23" t="s">
        <v>91</v>
      </c>
      <c r="D50" s="23" t="s">
        <v>77</v>
      </c>
      <c r="E50" s="28">
        <v>100000</v>
      </c>
      <c r="F50" s="25">
        <v>666.35</v>
      </c>
      <c r="G50" s="25">
        <v>0.44</v>
      </c>
      <c r="H50" s="26"/>
    </row>
    <row r="51" spans="2:10" x14ac:dyDescent="0.2">
      <c r="B51" s="27" t="s">
        <v>189</v>
      </c>
      <c r="C51" s="23" t="s">
        <v>190</v>
      </c>
      <c r="D51" s="23" t="s">
        <v>191</v>
      </c>
      <c r="E51" s="28">
        <v>25498</v>
      </c>
      <c r="F51" s="25">
        <v>573.07000000000005</v>
      </c>
      <c r="G51" s="25">
        <v>0.38</v>
      </c>
      <c r="H51" s="26"/>
    </row>
    <row r="52" spans="2:10" x14ac:dyDescent="0.2">
      <c r="B52" s="27" t="s">
        <v>219</v>
      </c>
      <c r="C52" s="23" t="s">
        <v>220</v>
      </c>
      <c r="D52" s="23" t="s">
        <v>139</v>
      </c>
      <c r="E52" s="28">
        <v>12000</v>
      </c>
      <c r="F52" s="25">
        <v>310.82</v>
      </c>
      <c r="G52" s="25">
        <v>0.21</v>
      </c>
      <c r="H52" s="26"/>
    </row>
    <row r="53" spans="2:10" x14ac:dyDescent="0.2">
      <c r="B53" s="27" t="s">
        <v>94</v>
      </c>
      <c r="C53" s="23" t="s">
        <v>95</v>
      </c>
      <c r="D53" s="23" t="s">
        <v>96</v>
      </c>
      <c r="E53" s="28">
        <v>50000</v>
      </c>
      <c r="F53" s="25">
        <v>113.15</v>
      </c>
      <c r="G53" s="25">
        <v>0.08</v>
      </c>
      <c r="H53" s="26"/>
    </row>
    <row r="54" spans="2:10" x14ac:dyDescent="0.2">
      <c r="B54" s="29" t="s">
        <v>114</v>
      </c>
      <c r="C54" s="30"/>
      <c r="D54" s="30"/>
      <c r="E54" s="31"/>
      <c r="F54" s="32">
        <f>SUM(F7:F53)</f>
        <v>143796.47</v>
      </c>
      <c r="G54" s="32">
        <f>SUM(G7:G53)</f>
        <v>95.51</v>
      </c>
      <c r="H54" s="33"/>
      <c r="I54" s="14"/>
      <c r="J54" s="14"/>
    </row>
    <row r="55" spans="2:10" x14ac:dyDescent="0.2">
      <c r="B55" s="37" t="s">
        <v>115</v>
      </c>
      <c r="C55" s="37"/>
      <c r="D55" s="37"/>
      <c r="E55" s="38"/>
      <c r="F55" s="39">
        <f>F54</f>
        <v>143796.47</v>
      </c>
      <c r="G55" s="39">
        <f>G54</f>
        <v>95.51</v>
      </c>
      <c r="H55" s="15"/>
      <c r="I55" s="14"/>
      <c r="J55" s="14"/>
    </row>
    <row r="56" spans="2:10" x14ac:dyDescent="0.2">
      <c r="B56" s="40" t="s">
        <v>116</v>
      </c>
      <c r="C56" s="41"/>
      <c r="D56" s="41"/>
      <c r="E56" s="42"/>
      <c r="F56" s="43"/>
      <c r="G56" s="43"/>
      <c r="H56" s="44"/>
    </row>
    <row r="57" spans="2:10" x14ac:dyDescent="0.2">
      <c r="B57" s="27" t="s">
        <v>116</v>
      </c>
      <c r="C57" s="23"/>
      <c r="D57" s="23"/>
      <c r="E57" s="24"/>
      <c r="F57" s="25">
        <v>8326.23</v>
      </c>
      <c r="G57" s="25">
        <v>5.53</v>
      </c>
      <c r="H57" s="26"/>
    </row>
    <row r="58" spans="2:10" x14ac:dyDescent="0.2">
      <c r="B58" s="29" t="s">
        <v>114</v>
      </c>
      <c r="C58" s="30"/>
      <c r="D58" s="30"/>
      <c r="E58" s="31"/>
      <c r="F58" s="32">
        <f>SUM(F56:F57)</f>
        <v>8326.23</v>
      </c>
      <c r="G58" s="32">
        <f>SUM(G56:G57)</f>
        <v>5.53</v>
      </c>
      <c r="H58" s="33"/>
      <c r="I58" s="14"/>
      <c r="J58" s="14"/>
    </row>
    <row r="59" spans="2:10" x14ac:dyDescent="0.2">
      <c r="B59" s="34" t="s">
        <v>115</v>
      </c>
      <c r="C59" s="34"/>
      <c r="D59" s="34"/>
      <c r="E59" s="35"/>
      <c r="F59" s="36">
        <f>F58</f>
        <v>8326.23</v>
      </c>
      <c r="G59" s="36">
        <f>G58</f>
        <v>5.53</v>
      </c>
      <c r="H59" s="36"/>
      <c r="I59" s="14"/>
      <c r="J59" s="14"/>
    </row>
    <row r="60" spans="2:10" x14ac:dyDescent="0.2">
      <c r="B60" s="45" t="s">
        <v>118</v>
      </c>
      <c r="C60" s="45"/>
      <c r="D60" s="45"/>
      <c r="E60" s="46"/>
      <c r="F60" s="16">
        <f>F61-(+F55+F59)</f>
        <v>-297.98000000001048</v>
      </c>
      <c r="G60" s="16">
        <f>G61-(+G55+G59)</f>
        <v>-1.0400000000000063</v>
      </c>
      <c r="H60" s="16"/>
      <c r="I60" s="14"/>
      <c r="J60" s="14"/>
    </row>
    <row r="61" spans="2:10" x14ac:dyDescent="0.2">
      <c r="B61" s="45" t="s">
        <v>117</v>
      </c>
      <c r="C61" s="45"/>
      <c r="D61" s="45"/>
      <c r="E61" s="46"/>
      <c r="F61" s="16">
        <v>151824.72</v>
      </c>
      <c r="G61" s="16">
        <v>100</v>
      </c>
      <c r="H61" s="16"/>
      <c r="I61" s="14"/>
      <c r="J61" s="14"/>
    </row>
    <row r="63" spans="2:10" x14ac:dyDescent="0.2">
      <c r="B63" s="14"/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74"/>
  <sheetViews>
    <sheetView workbookViewId="0">
      <selection activeCell="A74" sqref="A74"/>
    </sheetView>
  </sheetViews>
  <sheetFormatPr defaultRowHeight="12" x14ac:dyDescent="0.2"/>
  <cols>
    <col min="1" max="1" width="9.140625" style="1"/>
    <col min="2" max="2" width="58.42578125" style="1" bestFit="1" customWidth="1"/>
    <col min="3" max="3" width="13.28515625" style="1" bestFit="1" customWidth="1"/>
    <col min="4" max="4" width="21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62" t="s">
        <v>14</v>
      </c>
      <c r="C1" s="63"/>
      <c r="D1" s="63"/>
      <c r="E1" s="63"/>
      <c r="F1" s="63"/>
      <c r="G1" s="63"/>
      <c r="H1" s="63"/>
    </row>
    <row r="3" spans="2:8" ht="16.5" thickBot="1" x14ac:dyDescent="0.25">
      <c r="B3" s="2" t="s">
        <v>7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17" t="s">
        <v>31</v>
      </c>
      <c r="C5" s="18"/>
      <c r="D5" s="18"/>
      <c r="E5" s="19"/>
      <c r="F5" s="20"/>
      <c r="G5" s="20"/>
      <c r="H5" s="21"/>
    </row>
    <row r="6" spans="2:8" x14ac:dyDescent="0.2">
      <c r="B6" s="22" t="s">
        <v>32</v>
      </c>
      <c r="C6" s="23"/>
      <c r="D6" s="23"/>
      <c r="E6" s="24"/>
      <c r="F6" s="25"/>
      <c r="G6" s="25"/>
      <c r="H6" s="26"/>
    </row>
    <row r="7" spans="2:8" x14ac:dyDescent="0.2">
      <c r="B7" s="27" t="s">
        <v>42</v>
      </c>
      <c r="C7" s="23" t="s">
        <v>43</v>
      </c>
      <c r="D7" s="23" t="s">
        <v>44</v>
      </c>
      <c r="E7" s="28">
        <v>544881</v>
      </c>
      <c r="F7" s="25">
        <v>2010.07</v>
      </c>
      <c r="G7" s="25">
        <v>3.02</v>
      </c>
      <c r="H7" s="26"/>
    </row>
    <row r="8" spans="2:8" x14ac:dyDescent="0.2">
      <c r="B8" s="27" t="s">
        <v>286</v>
      </c>
      <c r="C8" s="23" t="s">
        <v>287</v>
      </c>
      <c r="D8" s="23" t="s">
        <v>96</v>
      </c>
      <c r="E8" s="28">
        <v>4085000</v>
      </c>
      <c r="F8" s="25">
        <v>1956.72</v>
      </c>
      <c r="G8" s="25">
        <v>2.94</v>
      </c>
      <c r="H8" s="26"/>
    </row>
    <row r="9" spans="2:8" x14ac:dyDescent="0.2">
      <c r="B9" s="27" t="s">
        <v>78</v>
      </c>
      <c r="C9" s="23" t="s">
        <v>79</v>
      </c>
      <c r="D9" s="23" t="s">
        <v>56</v>
      </c>
      <c r="E9" s="28">
        <v>13759</v>
      </c>
      <c r="F9" s="25">
        <v>1943.8</v>
      </c>
      <c r="G9" s="25">
        <v>2.92</v>
      </c>
      <c r="H9" s="26"/>
    </row>
    <row r="10" spans="2:8" x14ac:dyDescent="0.2">
      <c r="B10" s="27" t="s">
        <v>227</v>
      </c>
      <c r="C10" s="23" t="s">
        <v>228</v>
      </c>
      <c r="D10" s="23" t="s">
        <v>121</v>
      </c>
      <c r="E10" s="28">
        <v>125030</v>
      </c>
      <c r="F10" s="25">
        <v>1905.77</v>
      </c>
      <c r="G10" s="25">
        <v>2.86</v>
      </c>
      <c r="H10" s="26"/>
    </row>
    <row r="11" spans="2:8" x14ac:dyDescent="0.2">
      <c r="B11" s="27" t="s">
        <v>288</v>
      </c>
      <c r="C11" s="23" t="s">
        <v>289</v>
      </c>
      <c r="D11" s="23" t="s">
        <v>176</v>
      </c>
      <c r="E11" s="28">
        <v>192175</v>
      </c>
      <c r="F11" s="25">
        <v>1867.08</v>
      </c>
      <c r="G11" s="25">
        <v>2.8</v>
      </c>
      <c r="H11" s="26"/>
    </row>
    <row r="12" spans="2:8" x14ac:dyDescent="0.2">
      <c r="B12" s="27" t="s">
        <v>290</v>
      </c>
      <c r="C12" s="23" t="s">
        <v>291</v>
      </c>
      <c r="D12" s="23" t="s">
        <v>162</v>
      </c>
      <c r="E12" s="28">
        <v>637559</v>
      </c>
      <c r="F12" s="25">
        <v>1735.12</v>
      </c>
      <c r="G12" s="25">
        <v>2.6</v>
      </c>
      <c r="H12" s="26"/>
    </row>
    <row r="13" spans="2:8" x14ac:dyDescent="0.2">
      <c r="B13" s="27" t="s">
        <v>292</v>
      </c>
      <c r="C13" s="23" t="s">
        <v>293</v>
      </c>
      <c r="D13" s="23" t="s">
        <v>167</v>
      </c>
      <c r="E13" s="28">
        <v>503518</v>
      </c>
      <c r="F13" s="25">
        <v>1726.06</v>
      </c>
      <c r="G13" s="25">
        <v>2.59</v>
      </c>
      <c r="H13" s="26"/>
    </row>
    <row r="14" spans="2:8" x14ac:dyDescent="0.2">
      <c r="B14" s="27" t="s">
        <v>264</v>
      </c>
      <c r="C14" s="23" t="s">
        <v>265</v>
      </c>
      <c r="D14" s="23" t="s">
        <v>128</v>
      </c>
      <c r="E14" s="28">
        <v>96496</v>
      </c>
      <c r="F14" s="25">
        <v>1714.49</v>
      </c>
      <c r="G14" s="25">
        <v>2.57</v>
      </c>
      <c r="H14" s="26"/>
    </row>
    <row r="15" spans="2:8" x14ac:dyDescent="0.2">
      <c r="B15" s="27" t="s">
        <v>294</v>
      </c>
      <c r="C15" s="23" t="s">
        <v>295</v>
      </c>
      <c r="D15" s="23" t="s">
        <v>204</v>
      </c>
      <c r="E15" s="28">
        <v>66922</v>
      </c>
      <c r="F15" s="25">
        <v>1641.4</v>
      </c>
      <c r="G15" s="25">
        <v>2.46</v>
      </c>
      <c r="H15" s="26"/>
    </row>
    <row r="16" spans="2:8" x14ac:dyDescent="0.2">
      <c r="B16" s="27" t="s">
        <v>88</v>
      </c>
      <c r="C16" s="23" t="s">
        <v>89</v>
      </c>
      <c r="D16" s="23" t="s">
        <v>77</v>
      </c>
      <c r="E16" s="28">
        <v>37710</v>
      </c>
      <c r="F16" s="25">
        <v>1621.04</v>
      </c>
      <c r="G16" s="25">
        <v>2.4300000000000002</v>
      </c>
      <c r="H16" s="26"/>
    </row>
    <row r="17" spans="2:8" x14ac:dyDescent="0.2">
      <c r="B17" s="27" t="s">
        <v>296</v>
      </c>
      <c r="C17" s="23" t="s">
        <v>297</v>
      </c>
      <c r="D17" s="23" t="s">
        <v>298</v>
      </c>
      <c r="E17" s="28">
        <v>174729</v>
      </c>
      <c r="F17" s="25">
        <v>1598.16</v>
      </c>
      <c r="G17" s="25">
        <v>2.4</v>
      </c>
      <c r="H17" s="26"/>
    </row>
    <row r="18" spans="2:8" x14ac:dyDescent="0.2">
      <c r="B18" s="27" t="s">
        <v>177</v>
      </c>
      <c r="C18" s="23" t="s">
        <v>178</v>
      </c>
      <c r="D18" s="23" t="s">
        <v>77</v>
      </c>
      <c r="E18" s="28">
        <v>257500</v>
      </c>
      <c r="F18" s="25">
        <v>1503.29</v>
      </c>
      <c r="G18" s="25">
        <v>2.2599999999999998</v>
      </c>
      <c r="H18" s="26"/>
    </row>
    <row r="19" spans="2:8" x14ac:dyDescent="0.2">
      <c r="B19" s="27" t="s">
        <v>205</v>
      </c>
      <c r="C19" s="23" t="s">
        <v>206</v>
      </c>
      <c r="D19" s="23" t="s">
        <v>77</v>
      </c>
      <c r="E19" s="28">
        <v>589685</v>
      </c>
      <c r="F19" s="25">
        <v>1442.37</v>
      </c>
      <c r="G19" s="25">
        <v>2.16</v>
      </c>
      <c r="H19" s="26"/>
    </row>
    <row r="20" spans="2:8" x14ac:dyDescent="0.2">
      <c r="B20" s="27" t="s">
        <v>299</v>
      </c>
      <c r="C20" s="23" t="s">
        <v>300</v>
      </c>
      <c r="D20" s="23" t="s">
        <v>121</v>
      </c>
      <c r="E20" s="28">
        <v>415000</v>
      </c>
      <c r="F20" s="25">
        <v>1440.67</v>
      </c>
      <c r="G20" s="25">
        <v>2.16</v>
      </c>
      <c r="H20" s="26"/>
    </row>
    <row r="21" spans="2:8" x14ac:dyDescent="0.2">
      <c r="B21" s="27" t="s">
        <v>75</v>
      </c>
      <c r="C21" s="23" t="s">
        <v>76</v>
      </c>
      <c r="D21" s="23" t="s">
        <v>77</v>
      </c>
      <c r="E21" s="28">
        <v>114771</v>
      </c>
      <c r="F21" s="25">
        <v>1374.44</v>
      </c>
      <c r="G21" s="25">
        <v>2.06</v>
      </c>
      <c r="H21" s="26"/>
    </row>
    <row r="22" spans="2:8" x14ac:dyDescent="0.2">
      <c r="B22" s="27" t="s">
        <v>154</v>
      </c>
      <c r="C22" s="23" t="s">
        <v>155</v>
      </c>
      <c r="D22" s="23" t="s">
        <v>128</v>
      </c>
      <c r="E22" s="28">
        <v>283000</v>
      </c>
      <c r="F22" s="25">
        <v>1359.25</v>
      </c>
      <c r="G22" s="25">
        <v>2.04</v>
      </c>
      <c r="H22" s="26"/>
    </row>
    <row r="23" spans="2:8" x14ac:dyDescent="0.2">
      <c r="B23" s="27" t="s">
        <v>172</v>
      </c>
      <c r="C23" s="23" t="s">
        <v>173</v>
      </c>
      <c r="D23" s="23" t="s">
        <v>128</v>
      </c>
      <c r="E23" s="28">
        <v>81500</v>
      </c>
      <c r="F23" s="25">
        <v>1339.41</v>
      </c>
      <c r="G23" s="25">
        <v>2.0099999999999998</v>
      </c>
      <c r="H23" s="26"/>
    </row>
    <row r="24" spans="2:8" x14ac:dyDescent="0.2">
      <c r="B24" s="27" t="s">
        <v>51</v>
      </c>
      <c r="C24" s="23" t="s">
        <v>52</v>
      </c>
      <c r="D24" s="23" t="s">
        <v>53</v>
      </c>
      <c r="E24" s="28">
        <v>143353</v>
      </c>
      <c r="F24" s="25">
        <v>1305.5899999999999</v>
      </c>
      <c r="G24" s="25">
        <v>1.96</v>
      </c>
      <c r="H24" s="26"/>
    </row>
    <row r="25" spans="2:8" x14ac:dyDescent="0.2">
      <c r="B25" s="27" t="s">
        <v>301</v>
      </c>
      <c r="C25" s="23" t="s">
        <v>302</v>
      </c>
      <c r="D25" s="23" t="s">
        <v>176</v>
      </c>
      <c r="E25" s="28">
        <v>62184</v>
      </c>
      <c r="F25" s="25">
        <v>1286.56</v>
      </c>
      <c r="G25" s="25">
        <v>1.93</v>
      </c>
      <c r="H25" s="26"/>
    </row>
    <row r="26" spans="2:8" x14ac:dyDescent="0.2">
      <c r="B26" s="27" t="s">
        <v>303</v>
      </c>
      <c r="C26" s="23" t="s">
        <v>304</v>
      </c>
      <c r="D26" s="23" t="s">
        <v>128</v>
      </c>
      <c r="E26" s="28">
        <v>263016</v>
      </c>
      <c r="F26" s="25">
        <v>1269.58</v>
      </c>
      <c r="G26" s="25">
        <v>1.9</v>
      </c>
      <c r="H26" s="26"/>
    </row>
    <row r="27" spans="2:8" x14ac:dyDescent="0.2">
      <c r="B27" s="27" t="s">
        <v>305</v>
      </c>
      <c r="C27" s="23" t="s">
        <v>306</v>
      </c>
      <c r="D27" s="23" t="s">
        <v>176</v>
      </c>
      <c r="E27" s="28">
        <v>879870</v>
      </c>
      <c r="F27" s="25">
        <v>1266.1300000000001</v>
      </c>
      <c r="G27" s="25">
        <v>1.9</v>
      </c>
      <c r="H27" s="26"/>
    </row>
    <row r="28" spans="2:8" x14ac:dyDescent="0.2">
      <c r="B28" s="27" t="s">
        <v>307</v>
      </c>
      <c r="C28" s="23" t="s">
        <v>308</v>
      </c>
      <c r="D28" s="23" t="s">
        <v>128</v>
      </c>
      <c r="E28" s="28">
        <v>181911</v>
      </c>
      <c r="F28" s="25">
        <v>1262.46</v>
      </c>
      <c r="G28" s="25">
        <v>1.89</v>
      </c>
      <c r="H28" s="26"/>
    </row>
    <row r="29" spans="2:8" x14ac:dyDescent="0.2">
      <c r="B29" s="27" t="s">
        <v>309</v>
      </c>
      <c r="C29" s="23" t="s">
        <v>310</v>
      </c>
      <c r="D29" s="23" t="s">
        <v>128</v>
      </c>
      <c r="E29" s="28">
        <v>208142</v>
      </c>
      <c r="F29" s="25">
        <v>1224.19</v>
      </c>
      <c r="G29" s="25">
        <v>1.84</v>
      </c>
      <c r="H29" s="26"/>
    </row>
    <row r="30" spans="2:8" x14ac:dyDescent="0.2">
      <c r="B30" s="27" t="s">
        <v>311</v>
      </c>
      <c r="C30" s="23" t="s">
        <v>312</v>
      </c>
      <c r="D30" s="23" t="s">
        <v>56</v>
      </c>
      <c r="E30" s="28">
        <v>1027584</v>
      </c>
      <c r="F30" s="25">
        <v>1218.2</v>
      </c>
      <c r="G30" s="25">
        <v>1.83</v>
      </c>
      <c r="H30" s="26"/>
    </row>
    <row r="31" spans="2:8" x14ac:dyDescent="0.2">
      <c r="B31" s="27" t="s">
        <v>313</v>
      </c>
      <c r="C31" s="23" t="s">
        <v>314</v>
      </c>
      <c r="D31" s="23" t="s">
        <v>77</v>
      </c>
      <c r="E31" s="28">
        <v>209466</v>
      </c>
      <c r="F31" s="25">
        <v>1208.83</v>
      </c>
      <c r="G31" s="25">
        <v>1.81</v>
      </c>
      <c r="H31" s="26"/>
    </row>
    <row r="32" spans="2:8" x14ac:dyDescent="0.2">
      <c r="B32" s="27" t="s">
        <v>209</v>
      </c>
      <c r="C32" s="23" t="s">
        <v>210</v>
      </c>
      <c r="D32" s="23" t="s">
        <v>77</v>
      </c>
      <c r="E32" s="28">
        <v>60004</v>
      </c>
      <c r="F32" s="25">
        <v>1172.57</v>
      </c>
      <c r="G32" s="25">
        <v>1.76</v>
      </c>
      <c r="H32" s="26"/>
    </row>
    <row r="33" spans="2:8" x14ac:dyDescent="0.2">
      <c r="B33" s="27" t="s">
        <v>315</v>
      </c>
      <c r="C33" s="23" t="s">
        <v>316</v>
      </c>
      <c r="D33" s="23" t="s">
        <v>96</v>
      </c>
      <c r="E33" s="28">
        <v>425000</v>
      </c>
      <c r="F33" s="25">
        <v>1167.69</v>
      </c>
      <c r="G33" s="25">
        <v>1.75</v>
      </c>
      <c r="H33" s="26"/>
    </row>
    <row r="34" spans="2:8" x14ac:dyDescent="0.2">
      <c r="B34" s="27" t="s">
        <v>241</v>
      </c>
      <c r="C34" s="23" t="s">
        <v>242</v>
      </c>
      <c r="D34" s="23" t="s">
        <v>128</v>
      </c>
      <c r="E34" s="28">
        <v>291000</v>
      </c>
      <c r="F34" s="25">
        <v>1151.49</v>
      </c>
      <c r="G34" s="25">
        <v>1.73</v>
      </c>
      <c r="H34" s="26"/>
    </row>
    <row r="35" spans="2:8" x14ac:dyDescent="0.2">
      <c r="B35" s="27" t="s">
        <v>59</v>
      </c>
      <c r="C35" s="23" t="s">
        <v>60</v>
      </c>
      <c r="D35" s="23" t="s">
        <v>44</v>
      </c>
      <c r="E35" s="28">
        <v>249124</v>
      </c>
      <c r="F35" s="25">
        <v>1147.8399999999999</v>
      </c>
      <c r="G35" s="25">
        <v>1.72</v>
      </c>
      <c r="H35" s="26"/>
    </row>
    <row r="36" spans="2:8" x14ac:dyDescent="0.2">
      <c r="B36" s="27" t="s">
        <v>317</v>
      </c>
      <c r="C36" s="23" t="s">
        <v>318</v>
      </c>
      <c r="D36" s="23" t="s">
        <v>111</v>
      </c>
      <c r="E36" s="28">
        <v>163752</v>
      </c>
      <c r="F36" s="25">
        <v>1122.5999999999999</v>
      </c>
      <c r="G36" s="25">
        <v>1.68</v>
      </c>
      <c r="H36" s="26"/>
    </row>
    <row r="37" spans="2:8" x14ac:dyDescent="0.2">
      <c r="B37" s="27" t="s">
        <v>319</v>
      </c>
      <c r="C37" s="23" t="s">
        <v>320</v>
      </c>
      <c r="D37" s="23" t="s">
        <v>77</v>
      </c>
      <c r="E37" s="28">
        <v>505505</v>
      </c>
      <c r="F37" s="25">
        <v>1091.1300000000001</v>
      </c>
      <c r="G37" s="25">
        <v>1.64</v>
      </c>
      <c r="H37" s="26"/>
    </row>
    <row r="38" spans="2:8" x14ac:dyDescent="0.2">
      <c r="B38" s="27" t="s">
        <v>112</v>
      </c>
      <c r="C38" s="23" t="s">
        <v>113</v>
      </c>
      <c r="D38" s="23" t="s">
        <v>77</v>
      </c>
      <c r="E38" s="28">
        <v>157236</v>
      </c>
      <c r="F38" s="25">
        <v>1081.8599999999999</v>
      </c>
      <c r="G38" s="25">
        <v>1.62</v>
      </c>
      <c r="H38" s="26"/>
    </row>
    <row r="39" spans="2:8" x14ac:dyDescent="0.2">
      <c r="B39" s="27" t="s">
        <v>321</v>
      </c>
      <c r="C39" s="23" t="s">
        <v>322</v>
      </c>
      <c r="D39" s="23" t="s">
        <v>121</v>
      </c>
      <c r="E39" s="28">
        <v>63700</v>
      </c>
      <c r="F39" s="25">
        <v>1047.96</v>
      </c>
      <c r="G39" s="25">
        <v>1.57</v>
      </c>
      <c r="H39" s="26"/>
    </row>
    <row r="40" spans="2:8" x14ac:dyDescent="0.2">
      <c r="B40" s="27" t="s">
        <v>65</v>
      </c>
      <c r="C40" s="23" t="s">
        <v>66</v>
      </c>
      <c r="D40" s="23" t="s">
        <v>56</v>
      </c>
      <c r="E40" s="28">
        <v>39671</v>
      </c>
      <c r="F40" s="25">
        <v>1023.41</v>
      </c>
      <c r="G40" s="25">
        <v>1.54</v>
      </c>
      <c r="H40" s="26"/>
    </row>
    <row r="41" spans="2:8" x14ac:dyDescent="0.2">
      <c r="B41" s="27" t="s">
        <v>323</v>
      </c>
      <c r="C41" s="23" t="s">
        <v>324</v>
      </c>
      <c r="D41" s="23" t="s">
        <v>325</v>
      </c>
      <c r="E41" s="28">
        <v>35700</v>
      </c>
      <c r="F41" s="25">
        <v>1017.77</v>
      </c>
      <c r="G41" s="25">
        <v>1.53</v>
      </c>
      <c r="H41" s="26"/>
    </row>
    <row r="42" spans="2:8" x14ac:dyDescent="0.2">
      <c r="B42" s="27" t="s">
        <v>326</v>
      </c>
      <c r="C42" s="23" t="s">
        <v>327</v>
      </c>
      <c r="D42" s="23" t="s">
        <v>328</v>
      </c>
      <c r="E42" s="28">
        <v>289000</v>
      </c>
      <c r="F42" s="25">
        <v>984.19</v>
      </c>
      <c r="G42" s="25">
        <v>1.48</v>
      </c>
      <c r="H42" s="26"/>
    </row>
    <row r="43" spans="2:8" x14ac:dyDescent="0.2">
      <c r="B43" s="27" t="s">
        <v>329</v>
      </c>
      <c r="C43" s="23" t="s">
        <v>330</v>
      </c>
      <c r="D43" s="23" t="s">
        <v>53</v>
      </c>
      <c r="E43" s="28">
        <v>24750</v>
      </c>
      <c r="F43" s="25">
        <v>983.45</v>
      </c>
      <c r="G43" s="25">
        <v>1.48</v>
      </c>
      <c r="H43" s="26"/>
    </row>
    <row r="44" spans="2:8" x14ac:dyDescent="0.2">
      <c r="B44" s="27" t="s">
        <v>331</v>
      </c>
      <c r="C44" s="23" t="s">
        <v>332</v>
      </c>
      <c r="D44" s="23" t="s">
        <v>53</v>
      </c>
      <c r="E44" s="28">
        <v>364500</v>
      </c>
      <c r="F44" s="25">
        <v>950.07</v>
      </c>
      <c r="G44" s="25">
        <v>1.43</v>
      </c>
      <c r="H44" s="26"/>
    </row>
    <row r="45" spans="2:8" x14ac:dyDescent="0.2">
      <c r="B45" s="27" t="s">
        <v>333</v>
      </c>
      <c r="C45" s="23" t="s">
        <v>334</v>
      </c>
      <c r="D45" s="23" t="s">
        <v>162</v>
      </c>
      <c r="E45" s="28">
        <v>121927</v>
      </c>
      <c r="F45" s="25">
        <v>900.98</v>
      </c>
      <c r="G45" s="25">
        <v>1.35</v>
      </c>
      <c r="H45" s="26"/>
    </row>
    <row r="46" spans="2:8" x14ac:dyDescent="0.2">
      <c r="B46" s="27" t="s">
        <v>335</v>
      </c>
      <c r="C46" s="23" t="s">
        <v>336</v>
      </c>
      <c r="D46" s="23" t="s">
        <v>139</v>
      </c>
      <c r="E46" s="28">
        <v>161000</v>
      </c>
      <c r="F46" s="25">
        <v>819.09</v>
      </c>
      <c r="G46" s="25">
        <v>1.23</v>
      </c>
      <c r="H46" s="26"/>
    </row>
    <row r="47" spans="2:8" x14ac:dyDescent="0.2">
      <c r="B47" s="27" t="s">
        <v>187</v>
      </c>
      <c r="C47" s="23" t="s">
        <v>188</v>
      </c>
      <c r="D47" s="23" t="s">
        <v>176</v>
      </c>
      <c r="E47" s="28">
        <v>65800</v>
      </c>
      <c r="F47" s="25">
        <v>800.33</v>
      </c>
      <c r="G47" s="25">
        <v>1.2</v>
      </c>
      <c r="H47" s="26"/>
    </row>
    <row r="48" spans="2:8" x14ac:dyDescent="0.2">
      <c r="B48" s="27" t="s">
        <v>337</v>
      </c>
      <c r="C48" s="23" t="s">
        <v>338</v>
      </c>
      <c r="D48" s="23" t="s">
        <v>147</v>
      </c>
      <c r="E48" s="28">
        <v>75266</v>
      </c>
      <c r="F48" s="25">
        <v>753.53</v>
      </c>
      <c r="G48" s="25">
        <v>1.1299999999999999</v>
      </c>
      <c r="H48" s="26"/>
    </row>
    <row r="49" spans="2:8" x14ac:dyDescent="0.2">
      <c r="B49" s="27" t="s">
        <v>61</v>
      </c>
      <c r="C49" s="23" t="s">
        <v>62</v>
      </c>
      <c r="D49" s="23" t="s">
        <v>44</v>
      </c>
      <c r="E49" s="28">
        <v>274000</v>
      </c>
      <c r="F49" s="25">
        <v>739.25</v>
      </c>
      <c r="G49" s="25">
        <v>1.1100000000000001</v>
      </c>
      <c r="H49" s="26"/>
    </row>
    <row r="50" spans="2:8" x14ac:dyDescent="0.2">
      <c r="B50" s="27" t="s">
        <v>266</v>
      </c>
      <c r="C50" s="23" t="s">
        <v>267</v>
      </c>
      <c r="D50" s="23" t="s">
        <v>268</v>
      </c>
      <c r="E50" s="28">
        <v>175000</v>
      </c>
      <c r="F50" s="25">
        <v>733.08</v>
      </c>
      <c r="G50" s="25">
        <v>1.1000000000000001</v>
      </c>
      <c r="H50" s="26"/>
    </row>
    <row r="51" spans="2:8" x14ac:dyDescent="0.2">
      <c r="B51" s="27" t="s">
        <v>339</v>
      </c>
      <c r="C51" s="23" t="s">
        <v>340</v>
      </c>
      <c r="D51" s="23" t="s">
        <v>128</v>
      </c>
      <c r="E51" s="28">
        <v>278000</v>
      </c>
      <c r="F51" s="25">
        <v>684.58</v>
      </c>
      <c r="G51" s="25">
        <v>1.03</v>
      </c>
      <c r="H51" s="26"/>
    </row>
    <row r="52" spans="2:8" x14ac:dyDescent="0.2">
      <c r="B52" s="27" t="s">
        <v>174</v>
      </c>
      <c r="C52" s="23" t="s">
        <v>175</v>
      </c>
      <c r="D52" s="23" t="s">
        <v>176</v>
      </c>
      <c r="E52" s="28">
        <v>10444</v>
      </c>
      <c r="F52" s="25">
        <v>665.55</v>
      </c>
      <c r="G52" s="25">
        <v>1</v>
      </c>
      <c r="H52" s="26"/>
    </row>
    <row r="53" spans="2:8" x14ac:dyDescent="0.2">
      <c r="B53" s="27" t="s">
        <v>341</v>
      </c>
      <c r="C53" s="23" t="s">
        <v>342</v>
      </c>
      <c r="D53" s="23" t="s">
        <v>144</v>
      </c>
      <c r="E53" s="28">
        <v>55100</v>
      </c>
      <c r="F53" s="25">
        <v>664.34</v>
      </c>
      <c r="G53" s="25">
        <v>1</v>
      </c>
      <c r="H53" s="26"/>
    </row>
    <row r="54" spans="2:8" x14ac:dyDescent="0.2">
      <c r="B54" s="27" t="s">
        <v>45</v>
      </c>
      <c r="C54" s="23" t="s">
        <v>46</v>
      </c>
      <c r="D54" s="23" t="s">
        <v>38</v>
      </c>
      <c r="E54" s="28">
        <v>1700</v>
      </c>
      <c r="F54" s="25">
        <v>662.74</v>
      </c>
      <c r="G54" s="25">
        <v>0.99</v>
      </c>
      <c r="H54" s="26"/>
    </row>
    <row r="55" spans="2:8" x14ac:dyDescent="0.2">
      <c r="B55" s="27" t="s">
        <v>343</v>
      </c>
      <c r="C55" s="23" t="s">
        <v>344</v>
      </c>
      <c r="D55" s="23" t="s">
        <v>176</v>
      </c>
      <c r="E55" s="28">
        <v>27812</v>
      </c>
      <c r="F55" s="25">
        <v>656.88</v>
      </c>
      <c r="G55" s="25">
        <v>0.99</v>
      </c>
      <c r="H55" s="26"/>
    </row>
    <row r="56" spans="2:8" x14ac:dyDescent="0.2">
      <c r="B56" s="27" t="s">
        <v>251</v>
      </c>
      <c r="C56" s="23" t="s">
        <v>252</v>
      </c>
      <c r="D56" s="23" t="s">
        <v>128</v>
      </c>
      <c r="E56" s="28">
        <v>420000</v>
      </c>
      <c r="F56" s="25">
        <v>649.95000000000005</v>
      </c>
      <c r="G56" s="25">
        <v>0.98</v>
      </c>
      <c r="H56" s="26"/>
    </row>
    <row r="57" spans="2:8" x14ac:dyDescent="0.2">
      <c r="B57" s="27" t="s">
        <v>192</v>
      </c>
      <c r="C57" s="23" t="s">
        <v>193</v>
      </c>
      <c r="D57" s="23" t="s">
        <v>176</v>
      </c>
      <c r="E57" s="28">
        <v>28025</v>
      </c>
      <c r="F57" s="25">
        <v>642.36</v>
      </c>
      <c r="G57" s="25">
        <v>0.96</v>
      </c>
      <c r="H57" s="26"/>
    </row>
    <row r="58" spans="2:8" x14ac:dyDescent="0.2">
      <c r="B58" s="27" t="s">
        <v>165</v>
      </c>
      <c r="C58" s="23" t="s">
        <v>166</v>
      </c>
      <c r="D58" s="23" t="s">
        <v>167</v>
      </c>
      <c r="E58" s="28">
        <v>140000</v>
      </c>
      <c r="F58" s="25">
        <v>639.1</v>
      </c>
      <c r="G58" s="25">
        <v>0.96</v>
      </c>
      <c r="H58" s="26"/>
    </row>
    <row r="59" spans="2:8" x14ac:dyDescent="0.2">
      <c r="B59" s="27" t="s">
        <v>345</v>
      </c>
      <c r="C59" s="23" t="s">
        <v>346</v>
      </c>
      <c r="D59" s="23" t="s">
        <v>44</v>
      </c>
      <c r="E59" s="28">
        <v>18522</v>
      </c>
      <c r="F59" s="25">
        <v>633.29999999999995</v>
      </c>
      <c r="G59" s="25">
        <v>0.95</v>
      </c>
      <c r="H59" s="26"/>
    </row>
    <row r="60" spans="2:8" x14ac:dyDescent="0.2">
      <c r="B60" s="27" t="s">
        <v>347</v>
      </c>
      <c r="C60" s="23" t="s">
        <v>348</v>
      </c>
      <c r="D60" s="23" t="s">
        <v>128</v>
      </c>
      <c r="E60" s="28">
        <v>122153</v>
      </c>
      <c r="F60" s="25">
        <v>610.58000000000004</v>
      </c>
      <c r="G60" s="25">
        <v>0.92</v>
      </c>
      <c r="H60" s="26"/>
    </row>
    <row r="61" spans="2:8" x14ac:dyDescent="0.2">
      <c r="B61" s="27" t="s">
        <v>150</v>
      </c>
      <c r="C61" s="23" t="s">
        <v>151</v>
      </c>
      <c r="D61" s="23" t="s">
        <v>77</v>
      </c>
      <c r="E61" s="28">
        <v>44000</v>
      </c>
      <c r="F61" s="25">
        <v>538.08000000000004</v>
      </c>
      <c r="G61" s="25">
        <v>0.81</v>
      </c>
      <c r="H61" s="26"/>
    </row>
    <row r="62" spans="2:8" x14ac:dyDescent="0.2">
      <c r="B62" s="27" t="s">
        <v>349</v>
      </c>
      <c r="C62" s="23" t="s">
        <v>350</v>
      </c>
      <c r="D62" s="23" t="s">
        <v>41</v>
      </c>
      <c r="E62" s="28">
        <v>535000</v>
      </c>
      <c r="F62" s="25">
        <v>536.61</v>
      </c>
      <c r="G62" s="25">
        <v>0.81</v>
      </c>
      <c r="H62" s="26"/>
    </row>
    <row r="63" spans="2:8" x14ac:dyDescent="0.2">
      <c r="B63" s="27" t="s">
        <v>351</v>
      </c>
      <c r="C63" s="23" t="s">
        <v>352</v>
      </c>
      <c r="D63" s="23" t="s">
        <v>56</v>
      </c>
      <c r="E63" s="28">
        <v>55992</v>
      </c>
      <c r="F63" s="25">
        <v>460.2</v>
      </c>
      <c r="G63" s="25">
        <v>0.69</v>
      </c>
      <c r="H63" s="26"/>
    </row>
    <row r="64" spans="2:8" x14ac:dyDescent="0.2">
      <c r="B64" s="27" t="s">
        <v>104</v>
      </c>
      <c r="C64" s="23" t="s">
        <v>105</v>
      </c>
      <c r="D64" s="23" t="s">
        <v>56</v>
      </c>
      <c r="E64" s="28">
        <v>52000</v>
      </c>
      <c r="F64" s="25">
        <v>381.76</v>
      </c>
      <c r="G64" s="25">
        <v>0.56999999999999995</v>
      </c>
      <c r="H64" s="26"/>
    </row>
    <row r="65" spans="2:10" x14ac:dyDescent="0.2">
      <c r="B65" s="29" t="s">
        <v>114</v>
      </c>
      <c r="C65" s="30"/>
      <c r="D65" s="30"/>
      <c r="E65" s="31"/>
      <c r="F65" s="32">
        <f>SUM(F7:F64)</f>
        <v>65334.999999999993</v>
      </c>
      <c r="G65" s="32">
        <f>SUM(G7:G64)</f>
        <v>98.05</v>
      </c>
      <c r="H65" s="33"/>
      <c r="I65" s="14"/>
      <c r="J65" s="14"/>
    </row>
    <row r="66" spans="2:10" x14ac:dyDescent="0.2">
      <c r="B66" s="37" t="s">
        <v>115</v>
      </c>
      <c r="C66" s="37"/>
      <c r="D66" s="37"/>
      <c r="E66" s="38"/>
      <c r="F66" s="39">
        <f>F65</f>
        <v>65334.999999999993</v>
      </c>
      <c r="G66" s="39">
        <f>G65</f>
        <v>98.05</v>
      </c>
      <c r="H66" s="15"/>
      <c r="I66" s="14"/>
      <c r="J66" s="14"/>
    </row>
    <row r="67" spans="2:10" x14ac:dyDescent="0.2">
      <c r="B67" s="40" t="s">
        <v>116</v>
      </c>
      <c r="C67" s="41"/>
      <c r="D67" s="41"/>
      <c r="E67" s="42"/>
      <c r="F67" s="43"/>
      <c r="G67" s="43"/>
      <c r="H67" s="44"/>
    </row>
    <row r="68" spans="2:10" x14ac:dyDescent="0.2">
      <c r="B68" s="27" t="s">
        <v>116</v>
      </c>
      <c r="C68" s="23"/>
      <c r="D68" s="23"/>
      <c r="E68" s="24"/>
      <c r="F68" s="25">
        <v>1580.52</v>
      </c>
      <c r="G68" s="25">
        <v>2.37</v>
      </c>
      <c r="H68" s="26"/>
    </row>
    <row r="69" spans="2:10" x14ac:dyDescent="0.2">
      <c r="B69" s="29" t="s">
        <v>114</v>
      </c>
      <c r="C69" s="30"/>
      <c r="D69" s="30"/>
      <c r="E69" s="31"/>
      <c r="F69" s="32">
        <f>SUM(F67:F68)</f>
        <v>1580.52</v>
      </c>
      <c r="G69" s="32">
        <f>SUM(G67:G68)</f>
        <v>2.37</v>
      </c>
      <c r="H69" s="33"/>
      <c r="I69" s="14"/>
      <c r="J69" s="14"/>
    </row>
    <row r="70" spans="2:10" x14ac:dyDescent="0.2">
      <c r="B70" s="34" t="s">
        <v>115</v>
      </c>
      <c r="C70" s="34"/>
      <c r="D70" s="34"/>
      <c r="E70" s="35"/>
      <c r="F70" s="36">
        <f>F69</f>
        <v>1580.52</v>
      </c>
      <c r="G70" s="36">
        <f>G69</f>
        <v>2.37</v>
      </c>
      <c r="H70" s="36"/>
      <c r="I70" s="14"/>
      <c r="J70" s="14"/>
    </row>
    <row r="71" spans="2:10" x14ac:dyDescent="0.2">
      <c r="B71" s="45" t="s">
        <v>118</v>
      </c>
      <c r="C71" s="45"/>
      <c r="D71" s="45"/>
      <c r="E71" s="46"/>
      <c r="F71" s="16">
        <f>F72-(+F66+F70)</f>
        <v>-35.049999999988358</v>
      </c>
      <c r="G71" s="16">
        <f>G72-(+G66+G70)</f>
        <v>-0.42000000000000171</v>
      </c>
      <c r="H71" s="16"/>
      <c r="I71" s="14"/>
      <c r="J71" s="14"/>
    </row>
    <row r="72" spans="2:10" x14ac:dyDescent="0.2">
      <c r="B72" s="45" t="s">
        <v>117</v>
      </c>
      <c r="C72" s="45"/>
      <c r="D72" s="45"/>
      <c r="E72" s="46"/>
      <c r="F72" s="16">
        <v>66880.47</v>
      </c>
      <c r="G72" s="16">
        <v>100</v>
      </c>
      <c r="H72" s="16"/>
      <c r="I72" s="14"/>
      <c r="J72" s="14"/>
    </row>
    <row r="74" spans="2:10" x14ac:dyDescent="0.2">
      <c r="B74" s="14"/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19"/>
  <sheetViews>
    <sheetView topLeftCell="A103" workbookViewId="0">
      <selection activeCell="H100" sqref="H100"/>
    </sheetView>
  </sheetViews>
  <sheetFormatPr defaultRowHeight="12" x14ac:dyDescent="0.2"/>
  <cols>
    <col min="1" max="1" width="9.140625" style="1"/>
    <col min="2" max="2" width="60.28515625" style="1" bestFit="1" customWidth="1"/>
    <col min="3" max="3" width="13.85546875" style="1" bestFit="1" customWidth="1"/>
    <col min="4" max="4" width="21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62" t="s">
        <v>15</v>
      </c>
      <c r="C1" s="63"/>
      <c r="D1" s="63"/>
      <c r="E1" s="63"/>
      <c r="F1" s="63"/>
      <c r="G1" s="63"/>
      <c r="H1" s="63"/>
    </row>
    <row r="3" spans="2:8" ht="16.5" thickBot="1" x14ac:dyDescent="0.25">
      <c r="B3" s="2" t="s">
        <v>7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17" t="s">
        <v>31</v>
      </c>
      <c r="C5" s="18"/>
      <c r="D5" s="18"/>
      <c r="E5" s="19"/>
      <c r="F5" s="20"/>
      <c r="G5" s="20"/>
      <c r="H5" s="21"/>
    </row>
    <row r="6" spans="2:8" x14ac:dyDescent="0.2">
      <c r="B6" s="22" t="s">
        <v>32</v>
      </c>
      <c r="C6" s="23"/>
      <c r="D6" s="23"/>
      <c r="E6" s="24"/>
      <c r="F6" s="25"/>
      <c r="G6" s="25"/>
      <c r="H6" s="26"/>
    </row>
    <row r="7" spans="2:8" x14ac:dyDescent="0.2">
      <c r="B7" s="27" t="s">
        <v>122</v>
      </c>
      <c r="C7" s="23" t="s">
        <v>123</v>
      </c>
      <c r="D7" s="23" t="s">
        <v>41</v>
      </c>
      <c r="E7" s="28">
        <v>1979950</v>
      </c>
      <c r="F7" s="25">
        <v>27531.200000000001</v>
      </c>
      <c r="G7" s="25">
        <v>6.54</v>
      </c>
      <c r="H7" s="26"/>
    </row>
    <row r="8" spans="2:8" x14ac:dyDescent="0.2">
      <c r="B8" s="27" t="s">
        <v>119</v>
      </c>
      <c r="C8" s="23" t="s">
        <v>120</v>
      </c>
      <c r="D8" s="23" t="s">
        <v>121</v>
      </c>
      <c r="E8" s="28">
        <v>2045472</v>
      </c>
      <c r="F8" s="25">
        <v>25344.42</v>
      </c>
      <c r="G8" s="25">
        <v>6.02</v>
      </c>
      <c r="H8" s="26"/>
    </row>
    <row r="9" spans="2:8" x14ac:dyDescent="0.2">
      <c r="B9" s="27" t="s">
        <v>39</v>
      </c>
      <c r="C9" s="23" t="s">
        <v>40</v>
      </c>
      <c r="D9" s="23" t="s">
        <v>41</v>
      </c>
      <c r="E9" s="28">
        <v>4403600</v>
      </c>
      <c r="F9" s="25">
        <v>23647.33</v>
      </c>
      <c r="G9" s="25">
        <v>5.62</v>
      </c>
      <c r="H9" s="26"/>
    </row>
    <row r="10" spans="2:8" x14ac:dyDescent="0.2">
      <c r="B10" s="27" t="s">
        <v>131</v>
      </c>
      <c r="C10" s="23" t="s">
        <v>132</v>
      </c>
      <c r="D10" s="23" t="s">
        <v>41</v>
      </c>
      <c r="E10" s="28">
        <v>2038100</v>
      </c>
      <c r="F10" s="25">
        <v>13510.56</v>
      </c>
      <c r="G10" s="25">
        <v>3.21</v>
      </c>
      <c r="H10" s="26"/>
    </row>
    <row r="11" spans="2:8" x14ac:dyDescent="0.2">
      <c r="B11" s="27" t="s">
        <v>124</v>
      </c>
      <c r="C11" s="23" t="s">
        <v>125</v>
      </c>
      <c r="D11" s="23" t="s">
        <v>111</v>
      </c>
      <c r="E11" s="28">
        <v>711900</v>
      </c>
      <c r="F11" s="25">
        <v>13112.84</v>
      </c>
      <c r="G11" s="25">
        <v>3.12</v>
      </c>
      <c r="H11" s="26"/>
    </row>
    <row r="12" spans="2:8" x14ac:dyDescent="0.2">
      <c r="B12" s="27" t="s">
        <v>129</v>
      </c>
      <c r="C12" s="23" t="s">
        <v>130</v>
      </c>
      <c r="D12" s="23" t="s">
        <v>121</v>
      </c>
      <c r="E12" s="28">
        <v>369665</v>
      </c>
      <c r="F12" s="25">
        <v>11501.57</v>
      </c>
      <c r="G12" s="25">
        <v>2.73</v>
      </c>
      <c r="H12" s="26"/>
    </row>
    <row r="13" spans="2:8" x14ac:dyDescent="0.2">
      <c r="B13" s="27" t="s">
        <v>126</v>
      </c>
      <c r="C13" s="23" t="s">
        <v>127</v>
      </c>
      <c r="D13" s="23" t="s">
        <v>128</v>
      </c>
      <c r="E13" s="28">
        <v>223908</v>
      </c>
      <c r="F13" s="25">
        <v>10601.04</v>
      </c>
      <c r="G13" s="25">
        <v>2.52</v>
      </c>
      <c r="H13" s="26"/>
    </row>
    <row r="14" spans="2:8" x14ac:dyDescent="0.2">
      <c r="B14" s="27" t="s">
        <v>133</v>
      </c>
      <c r="C14" s="23" t="s">
        <v>134</v>
      </c>
      <c r="D14" s="23" t="s">
        <v>128</v>
      </c>
      <c r="E14" s="28">
        <v>408000</v>
      </c>
      <c r="F14" s="25">
        <v>9701.42</v>
      </c>
      <c r="G14" s="25">
        <v>2.31</v>
      </c>
      <c r="H14" s="26"/>
    </row>
    <row r="15" spans="2:8" x14ac:dyDescent="0.2">
      <c r="B15" s="27" t="s">
        <v>135</v>
      </c>
      <c r="C15" s="23" t="s">
        <v>136</v>
      </c>
      <c r="D15" s="23" t="s">
        <v>121</v>
      </c>
      <c r="E15" s="28">
        <v>895000</v>
      </c>
      <c r="F15" s="25">
        <v>8180.3</v>
      </c>
      <c r="G15" s="25">
        <v>1.94</v>
      </c>
      <c r="H15" s="26"/>
    </row>
    <row r="16" spans="2:8" x14ac:dyDescent="0.2">
      <c r="B16" s="27" t="s">
        <v>33</v>
      </c>
      <c r="C16" s="23" t="s">
        <v>34</v>
      </c>
      <c r="D16" s="23" t="s">
        <v>35</v>
      </c>
      <c r="E16" s="28">
        <v>601418</v>
      </c>
      <c r="F16" s="25">
        <v>8027.13</v>
      </c>
      <c r="G16" s="25">
        <v>1.91</v>
      </c>
      <c r="H16" s="26"/>
    </row>
    <row r="17" spans="2:8" x14ac:dyDescent="0.2">
      <c r="B17" s="27" t="s">
        <v>106</v>
      </c>
      <c r="C17" s="23" t="s">
        <v>107</v>
      </c>
      <c r="D17" s="23" t="s">
        <v>108</v>
      </c>
      <c r="E17" s="28">
        <v>1421515</v>
      </c>
      <c r="F17" s="25">
        <v>7869.51</v>
      </c>
      <c r="G17" s="25">
        <v>1.87</v>
      </c>
      <c r="H17" s="26"/>
    </row>
    <row r="18" spans="2:8" x14ac:dyDescent="0.2">
      <c r="B18" s="27" t="s">
        <v>137</v>
      </c>
      <c r="C18" s="23" t="s">
        <v>138</v>
      </c>
      <c r="D18" s="23" t="s">
        <v>139</v>
      </c>
      <c r="E18" s="28">
        <v>296800</v>
      </c>
      <c r="F18" s="25">
        <v>6719.26</v>
      </c>
      <c r="G18" s="25">
        <v>1.6</v>
      </c>
      <c r="H18" s="26"/>
    </row>
    <row r="19" spans="2:8" x14ac:dyDescent="0.2">
      <c r="B19" s="27" t="s">
        <v>142</v>
      </c>
      <c r="C19" s="23" t="s">
        <v>143</v>
      </c>
      <c r="D19" s="23" t="s">
        <v>144</v>
      </c>
      <c r="E19" s="28">
        <v>800000</v>
      </c>
      <c r="F19" s="25">
        <v>5996.8</v>
      </c>
      <c r="G19" s="25">
        <v>1.43</v>
      </c>
      <c r="H19" s="26"/>
    </row>
    <row r="20" spans="2:8" x14ac:dyDescent="0.2">
      <c r="B20" s="27" t="s">
        <v>54</v>
      </c>
      <c r="C20" s="23" t="s">
        <v>55</v>
      </c>
      <c r="D20" s="23" t="s">
        <v>56</v>
      </c>
      <c r="E20" s="28">
        <v>652573</v>
      </c>
      <c r="F20" s="25">
        <v>5926.02</v>
      </c>
      <c r="G20" s="25">
        <v>1.41</v>
      </c>
      <c r="H20" s="26"/>
    </row>
    <row r="21" spans="2:8" x14ac:dyDescent="0.2">
      <c r="B21" s="27" t="s">
        <v>84</v>
      </c>
      <c r="C21" s="23" t="s">
        <v>85</v>
      </c>
      <c r="D21" s="23" t="s">
        <v>69</v>
      </c>
      <c r="E21" s="28">
        <v>107621</v>
      </c>
      <c r="F21" s="25">
        <v>5733.24</v>
      </c>
      <c r="G21" s="25">
        <v>1.36</v>
      </c>
      <c r="H21" s="26"/>
    </row>
    <row r="22" spans="2:8" x14ac:dyDescent="0.2">
      <c r="B22" s="27" t="s">
        <v>148</v>
      </c>
      <c r="C22" s="23" t="s">
        <v>149</v>
      </c>
      <c r="D22" s="23" t="s">
        <v>144</v>
      </c>
      <c r="E22" s="28">
        <v>77848</v>
      </c>
      <c r="F22" s="25">
        <v>5610.23</v>
      </c>
      <c r="G22" s="25">
        <v>1.33</v>
      </c>
      <c r="H22" s="26"/>
    </row>
    <row r="23" spans="2:8" x14ac:dyDescent="0.2">
      <c r="B23" s="27" t="s">
        <v>49</v>
      </c>
      <c r="C23" s="23" t="s">
        <v>50</v>
      </c>
      <c r="D23" s="23" t="s">
        <v>41</v>
      </c>
      <c r="E23" s="28">
        <v>1900000</v>
      </c>
      <c r="F23" s="25">
        <v>5359.9</v>
      </c>
      <c r="G23" s="25">
        <v>1.27</v>
      </c>
      <c r="H23" s="26"/>
    </row>
    <row r="24" spans="2:8" x14ac:dyDescent="0.2">
      <c r="B24" s="27" t="s">
        <v>221</v>
      </c>
      <c r="C24" s="23" t="s">
        <v>222</v>
      </c>
      <c r="D24" s="23" t="s">
        <v>144</v>
      </c>
      <c r="E24" s="28">
        <v>125000</v>
      </c>
      <c r="F24" s="25">
        <v>5007.25</v>
      </c>
      <c r="G24" s="25">
        <v>1.19</v>
      </c>
      <c r="H24" s="26"/>
    </row>
    <row r="25" spans="2:8" x14ac:dyDescent="0.2">
      <c r="B25" s="27" t="s">
        <v>150</v>
      </c>
      <c r="C25" s="23" t="s">
        <v>151</v>
      </c>
      <c r="D25" s="23" t="s">
        <v>77</v>
      </c>
      <c r="E25" s="28">
        <v>362305</v>
      </c>
      <c r="F25" s="25">
        <v>4430.63</v>
      </c>
      <c r="G25" s="25">
        <v>1.05</v>
      </c>
      <c r="H25" s="26"/>
    </row>
    <row r="26" spans="2:8" x14ac:dyDescent="0.2">
      <c r="B26" s="27" t="s">
        <v>152</v>
      </c>
      <c r="C26" s="23" t="s">
        <v>153</v>
      </c>
      <c r="D26" s="23" t="s">
        <v>139</v>
      </c>
      <c r="E26" s="28">
        <v>125266</v>
      </c>
      <c r="F26" s="25">
        <v>4385.6899999999996</v>
      </c>
      <c r="G26" s="25">
        <v>1.04</v>
      </c>
      <c r="H26" s="26"/>
    </row>
    <row r="27" spans="2:8" x14ac:dyDescent="0.2">
      <c r="B27" s="27" t="s">
        <v>140</v>
      </c>
      <c r="C27" s="23" t="s">
        <v>141</v>
      </c>
      <c r="D27" s="23" t="s">
        <v>41</v>
      </c>
      <c r="E27" s="28">
        <v>242829</v>
      </c>
      <c r="F27" s="25">
        <v>4159.54</v>
      </c>
      <c r="G27" s="25">
        <v>0.99</v>
      </c>
      <c r="H27" s="26"/>
    </row>
    <row r="28" spans="2:8" x14ac:dyDescent="0.2">
      <c r="B28" s="27" t="s">
        <v>174</v>
      </c>
      <c r="C28" s="23" t="s">
        <v>175</v>
      </c>
      <c r="D28" s="23" t="s">
        <v>176</v>
      </c>
      <c r="E28" s="28">
        <v>65109</v>
      </c>
      <c r="F28" s="25">
        <v>4149.1400000000003</v>
      </c>
      <c r="G28" s="25">
        <v>0.99</v>
      </c>
      <c r="H28" s="26"/>
    </row>
    <row r="29" spans="2:8" x14ac:dyDescent="0.2">
      <c r="B29" s="27" t="s">
        <v>145</v>
      </c>
      <c r="C29" s="23" t="s">
        <v>146</v>
      </c>
      <c r="D29" s="23" t="s">
        <v>147</v>
      </c>
      <c r="E29" s="28">
        <v>119608</v>
      </c>
      <c r="F29" s="25">
        <v>4030.61</v>
      </c>
      <c r="G29" s="25">
        <v>0.96</v>
      </c>
      <c r="H29" s="26"/>
    </row>
    <row r="30" spans="2:8" x14ac:dyDescent="0.2">
      <c r="B30" s="27" t="s">
        <v>45</v>
      </c>
      <c r="C30" s="23" t="s">
        <v>46</v>
      </c>
      <c r="D30" s="23" t="s">
        <v>38</v>
      </c>
      <c r="E30" s="28">
        <v>10146</v>
      </c>
      <c r="F30" s="25">
        <v>3955.39</v>
      </c>
      <c r="G30" s="25">
        <v>0.94</v>
      </c>
      <c r="H30" s="26"/>
    </row>
    <row r="31" spans="2:8" x14ac:dyDescent="0.2">
      <c r="B31" s="27" t="s">
        <v>251</v>
      </c>
      <c r="C31" s="23" t="s">
        <v>252</v>
      </c>
      <c r="D31" s="23" t="s">
        <v>128</v>
      </c>
      <c r="E31" s="28">
        <v>2400000</v>
      </c>
      <c r="F31" s="25">
        <v>3714</v>
      </c>
      <c r="G31" s="25">
        <v>0.88</v>
      </c>
      <c r="H31" s="26"/>
    </row>
    <row r="32" spans="2:8" x14ac:dyDescent="0.2">
      <c r="B32" s="27" t="s">
        <v>253</v>
      </c>
      <c r="C32" s="23" t="s">
        <v>254</v>
      </c>
      <c r="D32" s="23" t="s">
        <v>191</v>
      </c>
      <c r="E32" s="28">
        <v>173610</v>
      </c>
      <c r="F32" s="25">
        <v>3674.11</v>
      </c>
      <c r="G32" s="25">
        <v>0.87</v>
      </c>
      <c r="H32" s="26"/>
    </row>
    <row r="33" spans="2:8" x14ac:dyDescent="0.2">
      <c r="B33" s="27" t="s">
        <v>241</v>
      </c>
      <c r="C33" s="23" t="s">
        <v>242</v>
      </c>
      <c r="D33" s="23" t="s">
        <v>128</v>
      </c>
      <c r="E33" s="28">
        <v>923939</v>
      </c>
      <c r="F33" s="25">
        <v>3656.03</v>
      </c>
      <c r="G33" s="25">
        <v>0.87</v>
      </c>
      <c r="H33" s="26"/>
    </row>
    <row r="34" spans="2:8" x14ac:dyDescent="0.2">
      <c r="B34" s="27" t="s">
        <v>202</v>
      </c>
      <c r="C34" s="23" t="s">
        <v>203</v>
      </c>
      <c r="D34" s="23" t="s">
        <v>204</v>
      </c>
      <c r="E34" s="28">
        <v>135840</v>
      </c>
      <c r="F34" s="25">
        <v>3601.8</v>
      </c>
      <c r="G34" s="25">
        <v>0.86</v>
      </c>
      <c r="H34" s="26"/>
    </row>
    <row r="35" spans="2:8" x14ac:dyDescent="0.2">
      <c r="B35" s="27" t="s">
        <v>158</v>
      </c>
      <c r="C35" s="23" t="s">
        <v>159</v>
      </c>
      <c r="D35" s="23" t="s">
        <v>147</v>
      </c>
      <c r="E35" s="28">
        <v>430000</v>
      </c>
      <c r="F35" s="25">
        <v>3551.37</v>
      </c>
      <c r="G35" s="25">
        <v>0.84</v>
      </c>
      <c r="H35" s="26"/>
    </row>
    <row r="36" spans="2:8" x14ac:dyDescent="0.2">
      <c r="B36" s="27" t="s">
        <v>177</v>
      </c>
      <c r="C36" s="23" t="s">
        <v>178</v>
      </c>
      <c r="D36" s="23" t="s">
        <v>77</v>
      </c>
      <c r="E36" s="28">
        <v>605000</v>
      </c>
      <c r="F36" s="25">
        <v>3531.99</v>
      </c>
      <c r="G36" s="25">
        <v>0.84</v>
      </c>
      <c r="H36" s="26"/>
    </row>
    <row r="37" spans="2:8" x14ac:dyDescent="0.2">
      <c r="B37" s="27" t="s">
        <v>165</v>
      </c>
      <c r="C37" s="23" t="s">
        <v>166</v>
      </c>
      <c r="D37" s="23" t="s">
        <v>167</v>
      </c>
      <c r="E37" s="28">
        <v>768226</v>
      </c>
      <c r="F37" s="25">
        <v>3506.95</v>
      </c>
      <c r="G37" s="25">
        <v>0.83</v>
      </c>
      <c r="H37" s="26"/>
    </row>
    <row r="38" spans="2:8" x14ac:dyDescent="0.2">
      <c r="B38" s="27" t="s">
        <v>353</v>
      </c>
      <c r="C38" s="23" t="s">
        <v>354</v>
      </c>
      <c r="D38" s="23" t="s">
        <v>128</v>
      </c>
      <c r="E38" s="28">
        <v>405000</v>
      </c>
      <c r="F38" s="25">
        <v>3501.02</v>
      </c>
      <c r="G38" s="25">
        <v>0.83</v>
      </c>
      <c r="H38" s="26"/>
    </row>
    <row r="39" spans="2:8" x14ac:dyDescent="0.2">
      <c r="B39" s="27" t="s">
        <v>192</v>
      </c>
      <c r="C39" s="23" t="s">
        <v>193</v>
      </c>
      <c r="D39" s="23" t="s">
        <v>176</v>
      </c>
      <c r="E39" s="28">
        <v>151968</v>
      </c>
      <c r="F39" s="25">
        <v>3483.26</v>
      </c>
      <c r="G39" s="25">
        <v>0.83</v>
      </c>
      <c r="H39" s="26"/>
    </row>
    <row r="40" spans="2:8" x14ac:dyDescent="0.2">
      <c r="B40" s="27" t="s">
        <v>183</v>
      </c>
      <c r="C40" s="23" t="s">
        <v>184</v>
      </c>
      <c r="D40" s="23" t="s">
        <v>147</v>
      </c>
      <c r="E40" s="28">
        <v>22696</v>
      </c>
      <c r="F40" s="25">
        <v>3227.84</v>
      </c>
      <c r="G40" s="25">
        <v>0.77</v>
      </c>
      <c r="H40" s="26"/>
    </row>
    <row r="41" spans="2:8" x14ac:dyDescent="0.2">
      <c r="B41" s="27" t="s">
        <v>92</v>
      </c>
      <c r="C41" s="23" t="s">
        <v>93</v>
      </c>
      <c r="D41" s="23" t="s">
        <v>74</v>
      </c>
      <c r="E41" s="28">
        <v>615000</v>
      </c>
      <c r="F41" s="25">
        <v>3172.17</v>
      </c>
      <c r="G41" s="25">
        <v>0.75</v>
      </c>
      <c r="H41" s="26"/>
    </row>
    <row r="42" spans="2:8" x14ac:dyDescent="0.2">
      <c r="B42" s="27" t="s">
        <v>170</v>
      </c>
      <c r="C42" s="23" t="s">
        <v>171</v>
      </c>
      <c r="D42" s="23" t="s">
        <v>147</v>
      </c>
      <c r="E42" s="28">
        <v>540000</v>
      </c>
      <c r="F42" s="25">
        <v>3165.48</v>
      </c>
      <c r="G42" s="25">
        <v>0.75</v>
      </c>
      <c r="H42" s="26"/>
    </row>
    <row r="43" spans="2:8" x14ac:dyDescent="0.2">
      <c r="B43" s="27" t="s">
        <v>194</v>
      </c>
      <c r="C43" s="23" t="s">
        <v>195</v>
      </c>
      <c r="D43" s="23" t="s">
        <v>139</v>
      </c>
      <c r="E43" s="28">
        <v>130100</v>
      </c>
      <c r="F43" s="25">
        <v>3131.96</v>
      </c>
      <c r="G43" s="25">
        <v>0.74</v>
      </c>
      <c r="H43" s="26"/>
    </row>
    <row r="44" spans="2:8" x14ac:dyDescent="0.2">
      <c r="B44" s="27" t="s">
        <v>160</v>
      </c>
      <c r="C44" s="23" t="s">
        <v>161</v>
      </c>
      <c r="D44" s="23" t="s">
        <v>162</v>
      </c>
      <c r="E44" s="28">
        <v>152248</v>
      </c>
      <c r="F44" s="25">
        <v>3073.43</v>
      </c>
      <c r="G44" s="25">
        <v>0.73</v>
      </c>
      <c r="H44" s="26"/>
    </row>
    <row r="45" spans="2:8" x14ac:dyDescent="0.2">
      <c r="B45" s="27" t="s">
        <v>181</v>
      </c>
      <c r="C45" s="23" t="s">
        <v>182</v>
      </c>
      <c r="D45" s="23" t="s">
        <v>56</v>
      </c>
      <c r="E45" s="28">
        <v>120256</v>
      </c>
      <c r="F45" s="25">
        <v>3070.2</v>
      </c>
      <c r="G45" s="25">
        <v>0.73</v>
      </c>
      <c r="H45" s="26"/>
    </row>
    <row r="46" spans="2:8" x14ac:dyDescent="0.2">
      <c r="B46" s="27" t="s">
        <v>86</v>
      </c>
      <c r="C46" s="23" t="s">
        <v>87</v>
      </c>
      <c r="D46" s="23" t="s">
        <v>69</v>
      </c>
      <c r="E46" s="28">
        <v>12920</v>
      </c>
      <c r="F46" s="25">
        <v>2942.32</v>
      </c>
      <c r="G46" s="25">
        <v>0.7</v>
      </c>
      <c r="H46" s="26"/>
    </row>
    <row r="47" spans="2:8" x14ac:dyDescent="0.2">
      <c r="B47" s="27" t="s">
        <v>82</v>
      </c>
      <c r="C47" s="23" t="s">
        <v>83</v>
      </c>
      <c r="D47" s="23" t="s">
        <v>74</v>
      </c>
      <c r="E47" s="28">
        <v>767498</v>
      </c>
      <c r="F47" s="25">
        <v>2841.66</v>
      </c>
      <c r="G47" s="25">
        <v>0.68</v>
      </c>
      <c r="H47" s="26"/>
    </row>
    <row r="48" spans="2:8" x14ac:dyDescent="0.2">
      <c r="B48" s="27" t="s">
        <v>179</v>
      </c>
      <c r="C48" s="23" t="s">
        <v>180</v>
      </c>
      <c r="D48" s="23" t="s">
        <v>167</v>
      </c>
      <c r="E48" s="28">
        <v>172946</v>
      </c>
      <c r="F48" s="25">
        <v>2746.99</v>
      </c>
      <c r="G48" s="25">
        <v>0.65</v>
      </c>
      <c r="H48" s="26"/>
    </row>
    <row r="49" spans="2:10" x14ac:dyDescent="0.2">
      <c r="B49" s="27" t="s">
        <v>172</v>
      </c>
      <c r="C49" s="23" t="s">
        <v>173</v>
      </c>
      <c r="D49" s="23" t="s">
        <v>128</v>
      </c>
      <c r="E49" s="28">
        <v>161500</v>
      </c>
      <c r="F49" s="25">
        <v>2654.17</v>
      </c>
      <c r="G49" s="25">
        <v>0.63</v>
      </c>
      <c r="H49" s="26"/>
    </row>
    <row r="50" spans="2:10" x14ac:dyDescent="0.2">
      <c r="B50" s="27" t="s">
        <v>257</v>
      </c>
      <c r="C50" s="23" t="s">
        <v>258</v>
      </c>
      <c r="D50" s="23" t="s">
        <v>204</v>
      </c>
      <c r="E50" s="28">
        <v>1735947</v>
      </c>
      <c r="F50" s="25">
        <v>2605.66</v>
      </c>
      <c r="G50" s="25">
        <v>0.62</v>
      </c>
      <c r="H50" s="26"/>
    </row>
    <row r="51" spans="2:10" x14ac:dyDescent="0.2">
      <c r="B51" s="27" t="s">
        <v>207</v>
      </c>
      <c r="C51" s="23" t="s">
        <v>208</v>
      </c>
      <c r="D51" s="23" t="s">
        <v>147</v>
      </c>
      <c r="E51" s="28">
        <v>140637</v>
      </c>
      <c r="F51" s="25">
        <v>2604.67</v>
      </c>
      <c r="G51" s="25">
        <v>0.62</v>
      </c>
      <c r="H51" s="26"/>
    </row>
    <row r="52" spans="2:10" x14ac:dyDescent="0.2">
      <c r="B52" s="27" t="s">
        <v>67</v>
      </c>
      <c r="C52" s="23" t="s">
        <v>68</v>
      </c>
      <c r="D52" s="23" t="s">
        <v>69</v>
      </c>
      <c r="E52" s="28">
        <v>325000</v>
      </c>
      <c r="F52" s="25">
        <v>2538.25</v>
      </c>
      <c r="G52" s="25">
        <v>0.6</v>
      </c>
      <c r="H52" s="26"/>
    </row>
    <row r="53" spans="2:10" x14ac:dyDescent="0.2">
      <c r="B53" s="27" t="s">
        <v>185</v>
      </c>
      <c r="C53" s="23" t="s">
        <v>186</v>
      </c>
      <c r="D53" s="23" t="s">
        <v>56</v>
      </c>
      <c r="E53" s="28">
        <v>176700</v>
      </c>
      <c r="F53" s="25">
        <v>2509.67</v>
      </c>
      <c r="G53" s="25">
        <v>0.6</v>
      </c>
      <c r="H53" s="26"/>
    </row>
    <row r="54" spans="2:10" x14ac:dyDescent="0.2">
      <c r="B54" s="27" t="s">
        <v>189</v>
      </c>
      <c r="C54" s="23" t="s">
        <v>190</v>
      </c>
      <c r="D54" s="23" t="s">
        <v>191</v>
      </c>
      <c r="E54" s="28">
        <v>100721</v>
      </c>
      <c r="F54" s="25">
        <v>2263.6999999999998</v>
      </c>
      <c r="G54" s="25">
        <v>0.54</v>
      </c>
      <c r="H54" s="26"/>
    </row>
    <row r="55" spans="2:10" x14ac:dyDescent="0.2">
      <c r="B55" s="27" t="s">
        <v>217</v>
      </c>
      <c r="C55" s="23" t="s">
        <v>218</v>
      </c>
      <c r="D55" s="23" t="s">
        <v>139</v>
      </c>
      <c r="E55" s="28">
        <v>6000</v>
      </c>
      <c r="F55" s="25">
        <v>1023.6</v>
      </c>
      <c r="G55" s="25">
        <v>0.24</v>
      </c>
      <c r="H55" s="26"/>
    </row>
    <row r="56" spans="2:10" x14ac:dyDescent="0.2">
      <c r="B56" s="27" t="s">
        <v>219</v>
      </c>
      <c r="C56" s="23" t="s">
        <v>220</v>
      </c>
      <c r="D56" s="23" t="s">
        <v>139</v>
      </c>
      <c r="E56" s="28">
        <v>36117</v>
      </c>
      <c r="F56" s="25">
        <v>935.48</v>
      </c>
      <c r="G56" s="25">
        <v>0.22</v>
      </c>
      <c r="H56" s="26"/>
    </row>
    <row r="57" spans="2:10" x14ac:dyDescent="0.2">
      <c r="B57" s="27" t="s">
        <v>163</v>
      </c>
      <c r="C57" s="23" t="s">
        <v>164</v>
      </c>
      <c r="D57" s="23" t="s">
        <v>128</v>
      </c>
      <c r="E57" s="28">
        <v>100000</v>
      </c>
      <c r="F57" s="25">
        <v>683</v>
      </c>
      <c r="G57" s="25">
        <v>0.16</v>
      </c>
      <c r="H57" s="26"/>
    </row>
    <row r="58" spans="2:10" x14ac:dyDescent="0.2">
      <c r="B58" s="29" t="s">
        <v>114</v>
      </c>
      <c r="C58" s="30"/>
      <c r="D58" s="30"/>
      <c r="E58" s="31"/>
      <c r="F58" s="32">
        <f>SUM(F7:F57)</f>
        <v>301901.79999999987</v>
      </c>
      <c r="G58" s="32">
        <f>SUM(G7:G57)</f>
        <v>71.73</v>
      </c>
      <c r="H58" s="33"/>
      <c r="I58" s="14"/>
      <c r="J58" s="14"/>
    </row>
    <row r="59" spans="2:10" x14ac:dyDescent="0.2">
      <c r="B59" s="37" t="s">
        <v>115</v>
      </c>
      <c r="C59" s="37"/>
      <c r="D59" s="37"/>
      <c r="E59" s="38"/>
      <c r="F59" s="39">
        <f>F58</f>
        <v>301901.79999999987</v>
      </c>
      <c r="G59" s="39">
        <f>G58</f>
        <v>71.73</v>
      </c>
      <c r="H59" s="15"/>
      <c r="I59" s="14"/>
      <c r="J59" s="14"/>
    </row>
    <row r="60" spans="2:10" x14ac:dyDescent="0.2">
      <c r="B60" s="47" t="s">
        <v>355</v>
      </c>
      <c r="C60" s="41"/>
      <c r="D60" s="41"/>
      <c r="E60" s="42"/>
      <c r="F60" s="43"/>
      <c r="G60" s="43"/>
      <c r="H60" s="43"/>
    </row>
    <row r="61" spans="2:10" x14ac:dyDescent="0.2">
      <c r="B61" s="48" t="s">
        <v>32</v>
      </c>
      <c r="C61" s="23"/>
      <c r="D61" s="23"/>
      <c r="E61" s="24"/>
      <c r="F61" s="25"/>
      <c r="G61" s="25"/>
      <c r="H61" s="25"/>
    </row>
    <row r="62" spans="2:10" x14ac:dyDescent="0.2">
      <c r="B62" s="23" t="s">
        <v>356</v>
      </c>
      <c r="C62" s="23" t="s">
        <v>357</v>
      </c>
      <c r="D62" s="23" t="s">
        <v>358</v>
      </c>
      <c r="E62" s="28">
        <v>500</v>
      </c>
      <c r="F62" s="25">
        <v>4970.33</v>
      </c>
      <c r="G62" s="25">
        <v>1.18</v>
      </c>
      <c r="H62" s="25">
        <v>5.22</v>
      </c>
    </row>
    <row r="63" spans="2:10" x14ac:dyDescent="0.2">
      <c r="B63" s="23" t="s">
        <v>359</v>
      </c>
      <c r="C63" s="23" t="s">
        <v>360</v>
      </c>
      <c r="D63" s="23" t="s">
        <v>361</v>
      </c>
      <c r="E63" s="28">
        <v>450</v>
      </c>
      <c r="F63" s="25">
        <v>4688.05</v>
      </c>
      <c r="G63" s="25">
        <v>1.1100000000000001</v>
      </c>
      <c r="H63" s="25">
        <v>4.8</v>
      </c>
    </row>
    <row r="64" spans="2:10" x14ac:dyDescent="0.2">
      <c r="B64" s="23" t="s">
        <v>362</v>
      </c>
      <c r="C64" s="23" t="s">
        <v>363</v>
      </c>
      <c r="D64" s="23" t="s">
        <v>361</v>
      </c>
      <c r="E64" s="28">
        <v>350</v>
      </c>
      <c r="F64" s="25">
        <v>3572.4</v>
      </c>
      <c r="G64" s="25">
        <v>0.85</v>
      </c>
      <c r="H64" s="25">
        <v>4.09</v>
      </c>
    </row>
    <row r="65" spans="2:8" x14ac:dyDescent="0.2">
      <c r="B65" s="23" t="s">
        <v>364</v>
      </c>
      <c r="C65" s="23" t="s">
        <v>365</v>
      </c>
      <c r="D65" s="23" t="s">
        <v>361</v>
      </c>
      <c r="E65" s="28">
        <v>300</v>
      </c>
      <c r="F65" s="25">
        <v>3396.11</v>
      </c>
      <c r="G65" s="25">
        <v>0.81</v>
      </c>
      <c r="H65" s="25">
        <v>6.45</v>
      </c>
    </row>
    <row r="66" spans="2:8" x14ac:dyDescent="0.2">
      <c r="B66" s="23" t="s">
        <v>366</v>
      </c>
      <c r="C66" s="23" t="s">
        <v>367</v>
      </c>
      <c r="D66" s="23" t="s">
        <v>361</v>
      </c>
      <c r="E66" s="28">
        <v>250</v>
      </c>
      <c r="F66" s="25">
        <v>2602.12</v>
      </c>
      <c r="G66" s="25">
        <v>0.62</v>
      </c>
      <c r="H66" s="25">
        <v>4.6900000000000004</v>
      </c>
    </row>
    <row r="67" spans="2:8" x14ac:dyDescent="0.2">
      <c r="B67" s="23" t="s">
        <v>368</v>
      </c>
      <c r="C67" s="23" t="s">
        <v>369</v>
      </c>
      <c r="D67" s="23" t="s">
        <v>361</v>
      </c>
      <c r="E67" s="28">
        <v>250</v>
      </c>
      <c r="F67" s="25">
        <v>2601.16</v>
      </c>
      <c r="G67" s="25">
        <v>0.62</v>
      </c>
      <c r="H67" s="25">
        <v>4.93</v>
      </c>
    </row>
    <row r="68" spans="2:8" x14ac:dyDescent="0.2">
      <c r="B68" s="23" t="s">
        <v>370</v>
      </c>
      <c r="C68" s="23" t="s">
        <v>371</v>
      </c>
      <c r="D68" s="23" t="s">
        <v>358</v>
      </c>
      <c r="E68" s="28">
        <v>250</v>
      </c>
      <c r="F68" s="25">
        <v>2554.5100000000002</v>
      </c>
      <c r="G68" s="25">
        <v>0.61</v>
      </c>
      <c r="H68" s="25">
        <v>4.34</v>
      </c>
    </row>
    <row r="69" spans="2:8" x14ac:dyDescent="0.2">
      <c r="B69" s="23" t="s">
        <v>372</v>
      </c>
      <c r="C69" s="23" t="s">
        <v>373</v>
      </c>
      <c r="D69" s="23" t="s">
        <v>361</v>
      </c>
      <c r="E69" s="28">
        <v>250</v>
      </c>
      <c r="F69" s="25">
        <v>2543.38</v>
      </c>
      <c r="G69" s="25">
        <v>0.6</v>
      </c>
      <c r="H69" s="25">
        <v>4.1900000000000004</v>
      </c>
    </row>
    <row r="70" spans="2:8" x14ac:dyDescent="0.2">
      <c r="B70" s="23" t="s">
        <v>374</v>
      </c>
      <c r="C70" s="23" t="s">
        <v>375</v>
      </c>
      <c r="D70" s="23" t="s">
        <v>361</v>
      </c>
      <c r="E70" s="28">
        <v>250</v>
      </c>
      <c r="F70" s="25">
        <v>2492.16</v>
      </c>
      <c r="G70" s="25">
        <v>0.59</v>
      </c>
      <c r="H70" s="25">
        <v>5.52</v>
      </c>
    </row>
    <row r="71" spans="2:8" x14ac:dyDescent="0.2">
      <c r="B71" s="23" t="s">
        <v>376</v>
      </c>
      <c r="C71" s="23" t="s">
        <v>377</v>
      </c>
      <c r="D71" s="23" t="s">
        <v>361</v>
      </c>
      <c r="E71" s="28">
        <v>200</v>
      </c>
      <c r="F71" s="25">
        <v>2143.4699999999998</v>
      </c>
      <c r="G71" s="25">
        <v>0.51</v>
      </c>
      <c r="H71" s="25">
        <v>5.62</v>
      </c>
    </row>
    <row r="72" spans="2:8" x14ac:dyDescent="0.2">
      <c r="B72" s="23" t="s">
        <v>378</v>
      </c>
      <c r="C72" s="23" t="s">
        <v>379</v>
      </c>
      <c r="D72" s="23" t="s">
        <v>361</v>
      </c>
      <c r="E72" s="28">
        <v>200</v>
      </c>
      <c r="F72" s="25">
        <v>2073.9</v>
      </c>
      <c r="G72" s="25">
        <v>0.49</v>
      </c>
      <c r="H72" s="25">
        <v>4.87</v>
      </c>
    </row>
    <row r="73" spans="2:8" x14ac:dyDescent="0.2">
      <c r="B73" s="23" t="s">
        <v>380</v>
      </c>
      <c r="C73" s="23" t="s">
        <v>381</v>
      </c>
      <c r="D73" s="23" t="s">
        <v>361</v>
      </c>
      <c r="E73" s="28">
        <v>150</v>
      </c>
      <c r="F73" s="25">
        <v>1666.19</v>
      </c>
      <c r="G73" s="25">
        <v>0.4</v>
      </c>
      <c r="H73" s="25">
        <v>6.56</v>
      </c>
    </row>
    <row r="74" spans="2:8" x14ac:dyDescent="0.2">
      <c r="B74" s="23" t="s">
        <v>382</v>
      </c>
      <c r="C74" s="23" t="s">
        <v>383</v>
      </c>
      <c r="D74" s="23" t="s">
        <v>361</v>
      </c>
      <c r="E74" s="28">
        <v>150</v>
      </c>
      <c r="F74" s="25">
        <v>1614.65</v>
      </c>
      <c r="G74" s="25">
        <v>0.38</v>
      </c>
      <c r="H74" s="25">
        <v>5.12</v>
      </c>
    </row>
    <row r="75" spans="2:8" x14ac:dyDescent="0.2">
      <c r="B75" s="23" t="s">
        <v>384</v>
      </c>
      <c r="C75" s="23" t="s">
        <v>385</v>
      </c>
      <c r="D75" s="23" t="s">
        <v>361</v>
      </c>
      <c r="E75" s="28">
        <v>150</v>
      </c>
      <c r="F75" s="25">
        <v>1593.63</v>
      </c>
      <c r="G75" s="25">
        <v>0.38</v>
      </c>
      <c r="H75" s="25">
        <v>5.7</v>
      </c>
    </row>
    <row r="76" spans="2:8" x14ac:dyDescent="0.2">
      <c r="B76" s="23" t="s">
        <v>386</v>
      </c>
      <c r="C76" s="23" t="s">
        <v>387</v>
      </c>
      <c r="D76" s="23" t="s">
        <v>361</v>
      </c>
      <c r="E76" s="28">
        <v>150</v>
      </c>
      <c r="F76" s="25">
        <v>1565.23</v>
      </c>
      <c r="G76" s="25">
        <v>0.37</v>
      </c>
      <c r="H76" s="25">
        <v>4.8899999999999997</v>
      </c>
    </row>
    <row r="77" spans="2:8" x14ac:dyDescent="0.2">
      <c r="B77" s="23" t="s">
        <v>388</v>
      </c>
      <c r="C77" s="23" t="s">
        <v>389</v>
      </c>
      <c r="D77" s="23" t="s">
        <v>361</v>
      </c>
      <c r="E77" s="28">
        <v>150</v>
      </c>
      <c r="F77" s="25">
        <v>1526.59</v>
      </c>
      <c r="G77" s="25">
        <v>0.36</v>
      </c>
      <c r="H77" s="25">
        <v>4.01</v>
      </c>
    </row>
    <row r="78" spans="2:8" x14ac:dyDescent="0.2">
      <c r="B78" s="23" t="s">
        <v>390</v>
      </c>
      <c r="C78" s="23" t="s">
        <v>391</v>
      </c>
      <c r="D78" s="23" t="s">
        <v>358</v>
      </c>
      <c r="E78" s="28">
        <v>150</v>
      </c>
      <c r="F78" s="25">
        <v>1511.63</v>
      </c>
      <c r="G78" s="25">
        <v>0.36</v>
      </c>
      <c r="H78" s="25">
        <v>3.58</v>
      </c>
    </row>
    <row r="79" spans="2:8" x14ac:dyDescent="0.2">
      <c r="B79" s="23" t="s">
        <v>392</v>
      </c>
      <c r="C79" s="23" t="s">
        <v>393</v>
      </c>
      <c r="D79" s="23" t="s">
        <v>394</v>
      </c>
      <c r="E79" s="28">
        <v>152</v>
      </c>
      <c r="F79" s="25">
        <v>1497.42</v>
      </c>
      <c r="G79" s="25">
        <v>0.36</v>
      </c>
      <c r="H79" s="25">
        <v>4.08</v>
      </c>
    </row>
    <row r="80" spans="2:8" x14ac:dyDescent="0.2">
      <c r="B80" s="23" t="s">
        <v>395</v>
      </c>
      <c r="C80" s="23" t="s">
        <v>396</v>
      </c>
      <c r="D80" s="23" t="s">
        <v>361</v>
      </c>
      <c r="E80" s="28">
        <v>112</v>
      </c>
      <c r="F80" s="25">
        <v>1249.06</v>
      </c>
      <c r="G80" s="25">
        <v>0.3</v>
      </c>
      <c r="H80" s="25">
        <v>6.44</v>
      </c>
    </row>
    <row r="81" spans="2:10" x14ac:dyDescent="0.2">
      <c r="B81" s="23" t="s">
        <v>397</v>
      </c>
      <c r="C81" s="23" t="s">
        <v>398</v>
      </c>
      <c r="D81" s="23" t="s">
        <v>361</v>
      </c>
      <c r="E81" s="28">
        <v>100</v>
      </c>
      <c r="F81" s="25">
        <v>1109.7</v>
      </c>
      <c r="G81" s="25">
        <v>0.26</v>
      </c>
      <c r="H81" s="25">
        <v>6.56</v>
      </c>
    </row>
    <row r="82" spans="2:10" x14ac:dyDescent="0.2">
      <c r="B82" s="23" t="s">
        <v>399</v>
      </c>
      <c r="C82" s="23" t="s">
        <v>400</v>
      </c>
      <c r="D82" s="23" t="s">
        <v>361</v>
      </c>
      <c r="E82" s="28">
        <v>100</v>
      </c>
      <c r="F82" s="25">
        <v>1106.04</v>
      </c>
      <c r="G82" s="25">
        <v>0.26</v>
      </c>
      <c r="H82" s="25">
        <v>7.02</v>
      </c>
    </row>
    <row r="83" spans="2:10" x14ac:dyDescent="0.2">
      <c r="B83" s="23" t="s">
        <v>401</v>
      </c>
      <c r="C83" s="23" t="s">
        <v>402</v>
      </c>
      <c r="D83" s="23" t="s">
        <v>361</v>
      </c>
      <c r="E83" s="28">
        <v>100</v>
      </c>
      <c r="F83" s="25">
        <v>1078.74</v>
      </c>
      <c r="G83" s="25">
        <v>0.26</v>
      </c>
      <c r="H83" s="25">
        <v>5.65</v>
      </c>
    </row>
    <row r="84" spans="2:10" x14ac:dyDescent="0.2">
      <c r="B84" s="23" t="s">
        <v>403</v>
      </c>
      <c r="C84" s="23" t="s">
        <v>404</v>
      </c>
      <c r="D84" s="23" t="s">
        <v>361</v>
      </c>
      <c r="E84" s="28">
        <v>100</v>
      </c>
      <c r="F84" s="25">
        <v>1066.8599999999999</v>
      </c>
      <c r="G84" s="25">
        <v>0.25</v>
      </c>
      <c r="H84" s="25">
        <v>5.72</v>
      </c>
    </row>
    <row r="85" spans="2:10" x14ac:dyDescent="0.2">
      <c r="B85" s="23" t="s">
        <v>405</v>
      </c>
      <c r="C85" s="23" t="s">
        <v>406</v>
      </c>
      <c r="D85" s="23" t="s">
        <v>361</v>
      </c>
      <c r="E85" s="28">
        <v>100</v>
      </c>
      <c r="F85" s="25">
        <v>1038.0899999999999</v>
      </c>
      <c r="G85" s="25">
        <v>0.25</v>
      </c>
      <c r="H85" s="25">
        <v>4.8899999999999997</v>
      </c>
    </row>
    <row r="86" spans="2:10" x14ac:dyDescent="0.2">
      <c r="B86" s="23" t="s">
        <v>407</v>
      </c>
      <c r="C86" s="23" t="s">
        <v>408</v>
      </c>
      <c r="D86" s="23" t="s">
        <v>394</v>
      </c>
      <c r="E86" s="28">
        <v>100</v>
      </c>
      <c r="F86" s="25">
        <v>1030.21</v>
      </c>
      <c r="G86" s="25">
        <v>0.24</v>
      </c>
      <c r="H86" s="25">
        <v>4.7</v>
      </c>
    </row>
    <row r="87" spans="2:10" x14ac:dyDescent="0.2">
      <c r="B87" s="23" t="s">
        <v>409</v>
      </c>
      <c r="C87" s="23" t="s">
        <v>410</v>
      </c>
      <c r="D87" s="23" t="s">
        <v>361</v>
      </c>
      <c r="E87" s="28">
        <v>100</v>
      </c>
      <c r="F87" s="25">
        <v>1017.26</v>
      </c>
      <c r="G87" s="25">
        <v>0.24</v>
      </c>
      <c r="H87" s="25">
        <v>3.76</v>
      </c>
    </row>
    <row r="88" spans="2:10" x14ac:dyDescent="0.2">
      <c r="B88" s="23" t="s">
        <v>411</v>
      </c>
      <c r="C88" s="23" t="s">
        <v>412</v>
      </c>
      <c r="D88" s="23" t="s">
        <v>361</v>
      </c>
      <c r="E88" s="28">
        <v>69</v>
      </c>
      <c r="F88" s="25">
        <v>703.7</v>
      </c>
      <c r="G88" s="25">
        <v>0.17</v>
      </c>
      <c r="H88" s="25">
        <v>4.09</v>
      </c>
    </row>
    <row r="89" spans="2:10" x14ac:dyDescent="0.2">
      <c r="B89" s="23" t="s">
        <v>413</v>
      </c>
      <c r="C89" s="23" t="s">
        <v>414</v>
      </c>
      <c r="D89" s="23" t="s">
        <v>361</v>
      </c>
      <c r="E89" s="28">
        <v>70</v>
      </c>
      <c r="F89" s="25">
        <v>703.26</v>
      </c>
      <c r="G89" s="25">
        <v>0.17</v>
      </c>
      <c r="H89" s="25">
        <v>3.49</v>
      </c>
    </row>
    <row r="90" spans="2:10" x14ac:dyDescent="0.2">
      <c r="B90" s="23" t="s">
        <v>415</v>
      </c>
      <c r="C90" s="23" t="s">
        <v>416</v>
      </c>
      <c r="D90" s="23" t="s">
        <v>361</v>
      </c>
      <c r="E90" s="28">
        <v>60</v>
      </c>
      <c r="F90" s="25">
        <v>624.94000000000005</v>
      </c>
      <c r="G90" s="25">
        <v>0.15</v>
      </c>
      <c r="H90" s="25">
        <v>4.32</v>
      </c>
    </row>
    <row r="91" spans="2:10" x14ac:dyDescent="0.2">
      <c r="B91" s="23" t="s">
        <v>417</v>
      </c>
      <c r="C91" s="23" t="s">
        <v>418</v>
      </c>
      <c r="D91" s="23" t="s">
        <v>361</v>
      </c>
      <c r="E91" s="28">
        <v>50</v>
      </c>
      <c r="F91" s="25">
        <v>544.97</v>
      </c>
      <c r="G91" s="25">
        <v>0.13</v>
      </c>
      <c r="H91" s="25">
        <v>5.03</v>
      </c>
    </row>
    <row r="92" spans="2:10" x14ac:dyDescent="0.2">
      <c r="B92" s="23" t="s">
        <v>419</v>
      </c>
      <c r="C92" s="23" t="s">
        <v>420</v>
      </c>
      <c r="D92" s="23" t="s">
        <v>361</v>
      </c>
      <c r="E92" s="28">
        <v>50</v>
      </c>
      <c r="F92" s="25">
        <v>533.12</v>
      </c>
      <c r="G92" s="25">
        <v>0.13</v>
      </c>
      <c r="H92" s="25">
        <v>6.78</v>
      </c>
    </row>
    <row r="93" spans="2:10" x14ac:dyDescent="0.2">
      <c r="B93" s="23" t="s">
        <v>421</v>
      </c>
      <c r="C93" s="23" t="s">
        <v>422</v>
      </c>
      <c r="D93" s="23" t="s">
        <v>361</v>
      </c>
      <c r="E93" s="28">
        <v>50</v>
      </c>
      <c r="F93" s="25">
        <v>526.74</v>
      </c>
      <c r="G93" s="25">
        <v>0.13</v>
      </c>
      <c r="H93" s="25">
        <v>6.47</v>
      </c>
    </row>
    <row r="94" spans="2:10" x14ac:dyDescent="0.2">
      <c r="B94" s="23" t="s">
        <v>423</v>
      </c>
      <c r="C94" s="23" t="s">
        <v>424</v>
      </c>
      <c r="D94" s="23" t="s">
        <v>361</v>
      </c>
      <c r="E94" s="28">
        <v>50</v>
      </c>
      <c r="F94" s="25">
        <v>514.19000000000005</v>
      </c>
      <c r="G94" s="25">
        <v>0.12</v>
      </c>
      <c r="H94" s="25">
        <v>4.72</v>
      </c>
    </row>
    <row r="95" spans="2:10" x14ac:dyDescent="0.2">
      <c r="B95" s="23" t="s">
        <v>425</v>
      </c>
      <c r="C95" s="23" t="s">
        <v>426</v>
      </c>
      <c r="D95" s="23" t="s">
        <v>361</v>
      </c>
      <c r="E95" s="28">
        <v>10</v>
      </c>
      <c r="F95" s="25">
        <v>104.27</v>
      </c>
      <c r="G95" s="25">
        <v>0.02</v>
      </c>
      <c r="H95" s="25">
        <v>3.83</v>
      </c>
    </row>
    <row r="96" spans="2:10" x14ac:dyDescent="0.2">
      <c r="B96" s="30" t="s">
        <v>114</v>
      </c>
      <c r="C96" s="30"/>
      <c r="D96" s="30"/>
      <c r="E96" s="31"/>
      <c r="F96" s="32">
        <f>SUM(F61:F95)</f>
        <v>57564.079999999994</v>
      </c>
      <c r="G96" s="32">
        <f>SUM(G61:G95)</f>
        <v>13.680000000000001</v>
      </c>
      <c r="H96" s="49"/>
      <c r="I96" s="14"/>
      <c r="J96" s="14"/>
    </row>
    <row r="97" spans="2:10" x14ac:dyDescent="0.2">
      <c r="B97" s="50" t="s">
        <v>115</v>
      </c>
      <c r="C97" s="50"/>
      <c r="D97" s="50"/>
      <c r="E97" s="51"/>
      <c r="F97" s="52">
        <f>F96</f>
        <v>57564.079999999994</v>
      </c>
      <c r="G97" s="52">
        <f>G96</f>
        <v>13.680000000000001</v>
      </c>
      <c r="H97" s="52"/>
      <c r="I97" s="14"/>
      <c r="J97" s="14"/>
    </row>
    <row r="98" spans="2:10" x14ac:dyDescent="0.2">
      <c r="B98" s="48" t="s">
        <v>427</v>
      </c>
      <c r="C98" s="23"/>
      <c r="D98" s="23"/>
      <c r="E98" s="24"/>
      <c r="F98" s="25"/>
      <c r="G98" s="25"/>
      <c r="H98" s="25"/>
    </row>
    <row r="99" spans="2:10" x14ac:dyDescent="0.2">
      <c r="B99" s="23" t="s">
        <v>428</v>
      </c>
      <c r="C99" s="23" t="s">
        <v>429</v>
      </c>
      <c r="D99" s="23" t="s">
        <v>430</v>
      </c>
      <c r="E99" s="28">
        <v>6500000</v>
      </c>
      <c r="F99" s="25">
        <v>6808.75</v>
      </c>
      <c r="G99" s="25">
        <v>1.62</v>
      </c>
      <c r="H99" s="25">
        <v>4.1900000000000004</v>
      </c>
    </row>
    <row r="100" spans="2:10" x14ac:dyDescent="0.2">
      <c r="B100" s="23" t="s">
        <v>431</v>
      </c>
      <c r="C100" s="23" t="s">
        <v>432</v>
      </c>
      <c r="D100" s="23" t="s">
        <v>430</v>
      </c>
      <c r="E100" s="28">
        <v>6000000</v>
      </c>
      <c r="F100" s="25">
        <v>6069.67</v>
      </c>
      <c r="G100" s="25">
        <v>1.44</v>
      </c>
      <c r="H100" s="25">
        <v>3.57</v>
      </c>
    </row>
    <row r="101" spans="2:10" x14ac:dyDescent="0.2">
      <c r="B101" s="23" t="s">
        <v>433</v>
      </c>
      <c r="C101" s="23" t="s">
        <v>434</v>
      </c>
      <c r="D101" s="23" t="s">
        <v>430</v>
      </c>
      <c r="E101" s="28">
        <v>5000000</v>
      </c>
      <c r="F101" s="25">
        <v>5305.01</v>
      </c>
      <c r="G101" s="25">
        <v>1.26</v>
      </c>
      <c r="H101" s="25">
        <v>4.43</v>
      </c>
    </row>
    <row r="102" spans="2:10" x14ac:dyDescent="0.2">
      <c r="B102" s="23" t="s">
        <v>435</v>
      </c>
      <c r="C102" s="23" t="s">
        <v>436</v>
      </c>
      <c r="D102" s="23" t="s">
        <v>430</v>
      </c>
      <c r="E102" s="28">
        <v>5000000</v>
      </c>
      <c r="F102" s="25">
        <v>5271.55</v>
      </c>
      <c r="G102" s="25">
        <v>1.25</v>
      </c>
      <c r="H102" s="25">
        <v>4</v>
      </c>
    </row>
    <row r="103" spans="2:10" x14ac:dyDescent="0.2">
      <c r="B103" s="23" t="s">
        <v>437</v>
      </c>
      <c r="C103" s="23" t="s">
        <v>438</v>
      </c>
      <c r="D103" s="23" t="s">
        <v>430</v>
      </c>
      <c r="E103" s="28">
        <v>2500000</v>
      </c>
      <c r="F103" s="25">
        <v>2636.79</v>
      </c>
      <c r="G103" s="25">
        <v>0.63</v>
      </c>
      <c r="H103" s="25">
        <v>5.74</v>
      </c>
    </row>
    <row r="104" spans="2:10" x14ac:dyDescent="0.2">
      <c r="B104" s="23" t="s">
        <v>439</v>
      </c>
      <c r="C104" s="23" t="s">
        <v>440</v>
      </c>
      <c r="D104" s="23" t="s">
        <v>430</v>
      </c>
      <c r="E104" s="28">
        <v>2000000</v>
      </c>
      <c r="F104" s="25">
        <v>1992.35</v>
      </c>
      <c r="G104" s="25">
        <v>0.47</v>
      </c>
      <c r="H104" s="25">
        <v>5.9</v>
      </c>
    </row>
    <row r="105" spans="2:10" x14ac:dyDescent="0.2">
      <c r="B105" s="23" t="s">
        <v>441</v>
      </c>
      <c r="C105" s="23" t="s">
        <v>442</v>
      </c>
      <c r="D105" s="23" t="s">
        <v>430</v>
      </c>
      <c r="E105" s="28">
        <v>2000000</v>
      </c>
      <c r="F105" s="25">
        <v>1973.94</v>
      </c>
      <c r="G105" s="25">
        <v>0.47</v>
      </c>
      <c r="H105" s="25">
        <v>5.95</v>
      </c>
    </row>
    <row r="106" spans="2:10" x14ac:dyDescent="0.2">
      <c r="B106" s="23" t="s">
        <v>443</v>
      </c>
      <c r="C106" s="23" t="s">
        <v>444</v>
      </c>
      <c r="D106" s="23" t="s">
        <v>430</v>
      </c>
      <c r="E106" s="28">
        <v>1500000</v>
      </c>
      <c r="F106" s="25">
        <v>1612.1</v>
      </c>
      <c r="G106" s="25">
        <v>0.38</v>
      </c>
      <c r="H106" s="25">
        <v>4.93</v>
      </c>
    </row>
    <row r="107" spans="2:10" x14ac:dyDescent="0.2">
      <c r="B107" s="23" t="s">
        <v>445</v>
      </c>
      <c r="C107" s="23" t="s">
        <v>446</v>
      </c>
      <c r="D107" s="23" t="s">
        <v>430</v>
      </c>
      <c r="E107" s="28">
        <v>1000000</v>
      </c>
      <c r="F107" s="25">
        <v>1076.21</v>
      </c>
      <c r="G107" s="25">
        <v>0.26</v>
      </c>
      <c r="H107" s="25">
        <v>6.04</v>
      </c>
    </row>
    <row r="108" spans="2:10" x14ac:dyDescent="0.2">
      <c r="B108" s="23" t="s">
        <v>447</v>
      </c>
      <c r="C108" s="23" t="s">
        <v>448</v>
      </c>
      <c r="D108" s="23" t="s">
        <v>430</v>
      </c>
      <c r="E108" s="28">
        <v>500000</v>
      </c>
      <c r="F108" s="25">
        <v>562.55999999999995</v>
      </c>
      <c r="G108" s="25">
        <v>0.13</v>
      </c>
      <c r="H108" s="25">
        <v>5.76</v>
      </c>
    </row>
    <row r="109" spans="2:10" x14ac:dyDescent="0.2">
      <c r="B109" s="23" t="s">
        <v>449</v>
      </c>
      <c r="C109" s="23" t="s">
        <v>450</v>
      </c>
      <c r="D109" s="23" t="s">
        <v>430</v>
      </c>
      <c r="E109" s="28">
        <v>500000</v>
      </c>
      <c r="F109" s="25">
        <v>560.83000000000004</v>
      </c>
      <c r="G109" s="25">
        <v>0.13</v>
      </c>
      <c r="H109" s="25">
        <v>5.66</v>
      </c>
    </row>
    <row r="110" spans="2:10" x14ac:dyDescent="0.2">
      <c r="B110" s="53" t="s">
        <v>451</v>
      </c>
      <c r="C110" s="53" t="s">
        <v>452</v>
      </c>
      <c r="D110" s="53" t="s">
        <v>430</v>
      </c>
      <c r="E110" s="54">
        <v>191700</v>
      </c>
      <c r="F110" s="55">
        <v>199.17</v>
      </c>
      <c r="G110" s="55">
        <v>0.05</v>
      </c>
      <c r="H110" s="55">
        <v>4.24</v>
      </c>
    </row>
    <row r="111" spans="2:10" x14ac:dyDescent="0.2">
      <c r="B111" s="56" t="s">
        <v>115</v>
      </c>
      <c r="C111" s="56"/>
      <c r="D111" s="56"/>
      <c r="E111" s="57"/>
      <c r="F111" s="58">
        <f>SUM(F99:F110)</f>
        <v>34068.929999999993</v>
      </c>
      <c r="G111" s="58">
        <f>SUM(G99:G110)</f>
        <v>8.09</v>
      </c>
      <c r="H111" s="58"/>
      <c r="I111" s="14"/>
      <c r="J111" s="14"/>
    </row>
    <row r="112" spans="2:10" x14ac:dyDescent="0.2">
      <c r="B112" s="48" t="s">
        <v>116</v>
      </c>
      <c r="C112" s="23"/>
      <c r="D112" s="23"/>
      <c r="E112" s="24"/>
      <c r="F112" s="25"/>
      <c r="G112" s="25"/>
      <c r="H112" s="25"/>
    </row>
    <row r="113" spans="2:10" x14ac:dyDescent="0.2">
      <c r="B113" s="23" t="s">
        <v>116</v>
      </c>
      <c r="C113" s="23"/>
      <c r="D113" s="23"/>
      <c r="E113" s="24"/>
      <c r="F113" s="25">
        <v>28179.4</v>
      </c>
      <c r="G113" s="25">
        <v>6.7</v>
      </c>
      <c r="H113" s="25"/>
    </row>
    <row r="114" spans="2:10" x14ac:dyDescent="0.2">
      <c r="B114" s="30" t="s">
        <v>114</v>
      </c>
      <c r="C114" s="30"/>
      <c r="D114" s="30"/>
      <c r="E114" s="31"/>
      <c r="F114" s="32">
        <f>SUM(F112:F113)</f>
        <v>28179.4</v>
      </c>
      <c r="G114" s="32">
        <f>SUM(G112:G113)</f>
        <v>6.7</v>
      </c>
      <c r="H114" s="49"/>
      <c r="I114" s="14"/>
      <c r="J114" s="14"/>
    </row>
    <row r="115" spans="2:10" x14ac:dyDescent="0.2">
      <c r="B115" s="34" t="s">
        <v>115</v>
      </c>
      <c r="C115" s="34"/>
      <c r="D115" s="34"/>
      <c r="E115" s="35"/>
      <c r="F115" s="36">
        <f>F114</f>
        <v>28179.4</v>
      </c>
      <c r="G115" s="36">
        <f>G114</f>
        <v>6.7</v>
      </c>
      <c r="H115" s="36"/>
      <c r="I115" s="14"/>
      <c r="J115" s="14"/>
    </row>
    <row r="116" spans="2:10" x14ac:dyDescent="0.2">
      <c r="B116" s="45" t="s">
        <v>118</v>
      </c>
      <c r="C116" s="45"/>
      <c r="D116" s="45"/>
      <c r="E116" s="46"/>
      <c r="F116" s="16">
        <f>F117-(+F59+F97+F111+F115)</f>
        <v>-912.21999999991385</v>
      </c>
      <c r="G116" s="16">
        <f>G117-(+G59+G97+G111+G115)</f>
        <v>-0.20000000000001705</v>
      </c>
      <c r="H116" s="16"/>
      <c r="I116" s="14"/>
      <c r="J116" s="14"/>
    </row>
    <row r="117" spans="2:10" x14ac:dyDescent="0.2">
      <c r="B117" s="45" t="s">
        <v>117</v>
      </c>
      <c r="C117" s="45"/>
      <c r="D117" s="45"/>
      <c r="E117" s="46"/>
      <c r="F117" s="16">
        <v>420801.99</v>
      </c>
      <c r="G117" s="16">
        <v>100</v>
      </c>
      <c r="H117" s="16"/>
      <c r="I117" s="14"/>
      <c r="J117" s="14"/>
    </row>
    <row r="119" spans="2:10" x14ac:dyDescent="0.2">
      <c r="B119" s="14" t="s">
        <v>816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2"/>
  <sheetViews>
    <sheetView workbookViewId="0">
      <selection activeCell="B28" sqref="B28"/>
    </sheetView>
  </sheetViews>
  <sheetFormatPr defaultRowHeight="12" x14ac:dyDescent="0.2"/>
  <cols>
    <col min="1" max="1" width="9.140625" style="1"/>
    <col min="2" max="2" width="58.42578125" style="1" bestFit="1" customWidth="1"/>
    <col min="3" max="3" width="12.710937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10" ht="21" customHeight="1" x14ac:dyDescent="0.2">
      <c r="B1" s="62" t="s">
        <v>16</v>
      </c>
      <c r="C1" s="63"/>
      <c r="D1" s="63"/>
      <c r="E1" s="63"/>
      <c r="F1" s="63"/>
      <c r="G1" s="63"/>
      <c r="H1" s="63"/>
    </row>
    <row r="3" spans="2:10" ht="16.5" thickBot="1" x14ac:dyDescent="0.25">
      <c r="B3" s="2" t="s">
        <v>7</v>
      </c>
      <c r="C3" s="3"/>
      <c r="D3" s="4"/>
      <c r="E3" s="5"/>
      <c r="F3" s="6"/>
      <c r="G3" s="6"/>
    </row>
    <row r="4" spans="2:10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10" x14ac:dyDescent="0.2">
      <c r="B5" s="59" t="s">
        <v>355</v>
      </c>
      <c r="C5" s="18"/>
      <c r="D5" s="18"/>
      <c r="E5" s="19"/>
      <c r="F5" s="20"/>
      <c r="G5" s="20"/>
      <c r="H5" s="20"/>
    </row>
    <row r="6" spans="2:10" x14ac:dyDescent="0.2">
      <c r="B6" s="48" t="s">
        <v>32</v>
      </c>
      <c r="C6" s="23"/>
      <c r="D6" s="23"/>
      <c r="E6" s="24"/>
      <c r="F6" s="25"/>
      <c r="G6" s="25"/>
      <c r="H6" s="25"/>
    </row>
    <row r="7" spans="2:10" x14ac:dyDescent="0.2">
      <c r="B7" s="23" t="s">
        <v>453</v>
      </c>
      <c r="C7" s="23" t="s">
        <v>454</v>
      </c>
      <c r="D7" s="23" t="s">
        <v>358</v>
      </c>
      <c r="E7" s="28">
        <v>50</v>
      </c>
      <c r="F7" s="25">
        <v>522.1</v>
      </c>
      <c r="G7" s="25">
        <v>4.29</v>
      </c>
      <c r="H7" s="25">
        <v>4.13</v>
      </c>
    </row>
    <row r="8" spans="2:10" x14ac:dyDescent="0.2">
      <c r="B8" s="30" t="s">
        <v>114</v>
      </c>
      <c r="C8" s="30"/>
      <c r="D8" s="30"/>
      <c r="E8" s="31"/>
      <c r="F8" s="32">
        <f>SUM(F6:F7)</f>
        <v>522.1</v>
      </c>
      <c r="G8" s="32">
        <f>SUM(G6:G7)</f>
        <v>4.29</v>
      </c>
      <c r="H8" s="49"/>
      <c r="I8" s="14"/>
      <c r="J8" s="14"/>
    </row>
    <row r="9" spans="2:10" x14ac:dyDescent="0.2">
      <c r="B9" s="50" t="s">
        <v>115</v>
      </c>
      <c r="C9" s="50"/>
      <c r="D9" s="50"/>
      <c r="E9" s="51"/>
      <c r="F9" s="52">
        <f>F8</f>
        <v>522.1</v>
      </c>
      <c r="G9" s="52">
        <f>G8</f>
        <v>4.29</v>
      </c>
      <c r="H9" s="52"/>
      <c r="I9" s="14"/>
      <c r="J9" s="14"/>
    </row>
    <row r="10" spans="2:10" x14ac:dyDescent="0.2">
      <c r="B10" s="48" t="s">
        <v>455</v>
      </c>
      <c r="C10" s="23"/>
      <c r="D10" s="23"/>
      <c r="E10" s="24"/>
      <c r="F10" s="25"/>
      <c r="G10" s="25"/>
      <c r="H10" s="25"/>
    </row>
    <row r="11" spans="2:10" x14ac:dyDescent="0.2">
      <c r="B11" s="48" t="s">
        <v>456</v>
      </c>
      <c r="C11" s="23"/>
      <c r="D11" s="23"/>
      <c r="E11" s="24"/>
      <c r="F11" s="25"/>
      <c r="G11" s="25"/>
      <c r="H11" s="25"/>
    </row>
    <row r="12" spans="2:10" x14ac:dyDescent="0.2">
      <c r="B12" s="23" t="s">
        <v>457</v>
      </c>
      <c r="C12" s="23" t="s">
        <v>458</v>
      </c>
      <c r="D12" s="23" t="s">
        <v>459</v>
      </c>
      <c r="E12" s="28">
        <v>2500000</v>
      </c>
      <c r="F12" s="25">
        <v>2499.34</v>
      </c>
      <c r="G12" s="25">
        <v>20.55</v>
      </c>
      <c r="H12" s="25">
        <v>3.24</v>
      </c>
    </row>
    <row r="13" spans="2:10" x14ac:dyDescent="0.2">
      <c r="B13" s="23" t="s">
        <v>460</v>
      </c>
      <c r="C13" s="23" t="s">
        <v>461</v>
      </c>
      <c r="D13" s="23" t="s">
        <v>459</v>
      </c>
      <c r="E13" s="28">
        <v>2500000</v>
      </c>
      <c r="F13" s="25">
        <v>2494.67</v>
      </c>
      <c r="G13" s="25">
        <v>20.51</v>
      </c>
      <c r="H13" s="25">
        <v>3.25</v>
      </c>
    </row>
    <row r="14" spans="2:10" x14ac:dyDescent="0.2">
      <c r="B14" s="30" t="s">
        <v>114</v>
      </c>
      <c r="C14" s="30"/>
      <c r="D14" s="30"/>
      <c r="E14" s="31"/>
      <c r="F14" s="32">
        <f>SUM(F11:F13)</f>
        <v>4994.01</v>
      </c>
      <c r="G14" s="32">
        <f>SUM(G11:G13)</f>
        <v>41.06</v>
      </c>
      <c r="H14" s="49"/>
      <c r="I14" s="14"/>
      <c r="J14" s="14"/>
    </row>
    <row r="15" spans="2:10" x14ac:dyDescent="0.2">
      <c r="B15" s="50" t="s">
        <v>115</v>
      </c>
      <c r="C15" s="50"/>
      <c r="D15" s="50"/>
      <c r="E15" s="51"/>
      <c r="F15" s="52">
        <f>+F14</f>
        <v>4994.01</v>
      </c>
      <c r="G15" s="52">
        <f>+G14</f>
        <v>41.06</v>
      </c>
      <c r="H15" s="52"/>
      <c r="I15" s="14"/>
      <c r="J15" s="14"/>
    </row>
    <row r="16" spans="2:10" x14ac:dyDescent="0.2">
      <c r="B16" s="48" t="s">
        <v>427</v>
      </c>
      <c r="C16" s="23"/>
      <c r="D16" s="23"/>
      <c r="E16" s="24"/>
      <c r="F16" s="25"/>
      <c r="G16" s="25"/>
      <c r="H16" s="25"/>
    </row>
    <row r="17" spans="2:10" x14ac:dyDescent="0.2">
      <c r="B17" s="23" t="s">
        <v>462</v>
      </c>
      <c r="C17" s="23" t="s">
        <v>463</v>
      </c>
      <c r="D17" s="23" t="s">
        <v>430</v>
      </c>
      <c r="E17" s="28">
        <v>2350000</v>
      </c>
      <c r="F17" s="25">
        <v>2523.31</v>
      </c>
      <c r="G17" s="25">
        <v>20.74</v>
      </c>
      <c r="H17" s="25">
        <v>5.86</v>
      </c>
    </row>
    <row r="18" spans="2:10" x14ac:dyDescent="0.2">
      <c r="B18" s="23" t="s">
        <v>464</v>
      </c>
      <c r="C18" s="23" t="s">
        <v>465</v>
      </c>
      <c r="D18" s="23" t="s">
        <v>430</v>
      </c>
      <c r="E18" s="28">
        <v>1350000</v>
      </c>
      <c r="F18" s="25">
        <v>1492.13</v>
      </c>
      <c r="G18" s="25">
        <v>12.27</v>
      </c>
      <c r="H18" s="25">
        <v>6.33</v>
      </c>
    </row>
    <row r="19" spans="2:10" x14ac:dyDescent="0.2">
      <c r="B19" s="23" t="s">
        <v>466</v>
      </c>
      <c r="C19" s="23" t="s">
        <v>467</v>
      </c>
      <c r="D19" s="23" t="s">
        <v>430</v>
      </c>
      <c r="E19" s="28">
        <v>500000</v>
      </c>
      <c r="F19" s="25">
        <v>525.15</v>
      </c>
      <c r="G19" s="25">
        <v>4.32</v>
      </c>
      <c r="H19" s="25">
        <v>6.05</v>
      </c>
    </row>
    <row r="20" spans="2:10" x14ac:dyDescent="0.2">
      <c r="B20" s="23" t="s">
        <v>468</v>
      </c>
      <c r="C20" s="23" t="s">
        <v>469</v>
      </c>
      <c r="D20" s="23" t="s">
        <v>430</v>
      </c>
      <c r="E20" s="28">
        <v>500000</v>
      </c>
      <c r="F20" s="25">
        <v>512.54</v>
      </c>
      <c r="G20" s="25">
        <v>4.21</v>
      </c>
      <c r="H20" s="25">
        <v>6.07</v>
      </c>
    </row>
    <row r="21" spans="2:10" x14ac:dyDescent="0.2">
      <c r="B21" s="23" t="s">
        <v>439</v>
      </c>
      <c r="C21" s="23" t="s">
        <v>440</v>
      </c>
      <c r="D21" s="23" t="s">
        <v>430</v>
      </c>
      <c r="E21" s="28">
        <v>500000</v>
      </c>
      <c r="F21" s="25">
        <v>498.09</v>
      </c>
      <c r="G21" s="25">
        <v>4.09</v>
      </c>
      <c r="H21" s="25">
        <v>5.9</v>
      </c>
    </row>
    <row r="22" spans="2:10" x14ac:dyDescent="0.2">
      <c r="B22" s="23" t="s">
        <v>441</v>
      </c>
      <c r="C22" s="23" t="s">
        <v>442</v>
      </c>
      <c r="D22" s="23" t="s">
        <v>430</v>
      </c>
      <c r="E22" s="28">
        <v>500000</v>
      </c>
      <c r="F22" s="25">
        <v>493.48</v>
      </c>
      <c r="G22" s="25">
        <v>4.0599999999999996</v>
      </c>
      <c r="H22" s="25">
        <v>5.95</v>
      </c>
    </row>
    <row r="23" spans="2:10" x14ac:dyDescent="0.2">
      <c r="B23" s="53" t="s">
        <v>470</v>
      </c>
      <c r="C23" s="53" t="s">
        <v>471</v>
      </c>
      <c r="D23" s="53" t="s">
        <v>430</v>
      </c>
      <c r="E23" s="54">
        <v>23200</v>
      </c>
      <c r="F23" s="55">
        <v>24</v>
      </c>
      <c r="G23" s="55">
        <v>0.2</v>
      </c>
      <c r="H23" s="55">
        <v>6.23</v>
      </c>
    </row>
    <row r="24" spans="2:10" x14ac:dyDescent="0.2">
      <c r="B24" s="56" t="s">
        <v>115</v>
      </c>
      <c r="C24" s="56"/>
      <c r="D24" s="56"/>
      <c r="E24" s="57"/>
      <c r="F24" s="58">
        <f>SUM(F17:F23)</f>
        <v>6068.7000000000007</v>
      </c>
      <c r="G24" s="58">
        <f>SUM(G17:G23)</f>
        <v>49.89</v>
      </c>
      <c r="H24" s="58"/>
      <c r="I24" s="14"/>
      <c r="J24" s="14"/>
    </row>
    <row r="25" spans="2:10" x14ac:dyDescent="0.2">
      <c r="B25" s="48" t="s">
        <v>116</v>
      </c>
      <c r="C25" s="23"/>
      <c r="D25" s="23"/>
      <c r="E25" s="24"/>
      <c r="F25" s="25"/>
      <c r="G25" s="25"/>
      <c r="H25" s="25"/>
    </row>
    <row r="26" spans="2:10" x14ac:dyDescent="0.2">
      <c r="B26" s="23" t="s">
        <v>116</v>
      </c>
      <c r="C26" s="23"/>
      <c r="D26" s="23"/>
      <c r="E26" s="24"/>
      <c r="F26" s="25">
        <v>458.81</v>
      </c>
      <c r="G26" s="25">
        <v>3.77</v>
      </c>
      <c r="H26" s="25"/>
    </row>
    <row r="27" spans="2:10" x14ac:dyDescent="0.2">
      <c r="B27" s="30" t="s">
        <v>114</v>
      </c>
      <c r="C27" s="30"/>
      <c r="D27" s="30"/>
      <c r="E27" s="31"/>
      <c r="F27" s="32">
        <f>SUM(F25:F26)</f>
        <v>458.81</v>
      </c>
      <c r="G27" s="32">
        <f>SUM(G25:G26)</f>
        <v>3.77</v>
      </c>
      <c r="H27" s="49"/>
      <c r="I27" s="14"/>
      <c r="J27" s="14"/>
    </row>
    <row r="28" spans="2:10" x14ac:dyDescent="0.2">
      <c r="B28" s="34" t="s">
        <v>115</v>
      </c>
      <c r="C28" s="34"/>
      <c r="D28" s="34"/>
      <c r="E28" s="35"/>
      <c r="F28" s="36">
        <f>F27</f>
        <v>458.81</v>
      </c>
      <c r="G28" s="36">
        <f>G27</f>
        <v>3.77</v>
      </c>
      <c r="H28" s="36"/>
      <c r="I28" s="14"/>
      <c r="J28" s="14"/>
    </row>
    <row r="29" spans="2:10" x14ac:dyDescent="0.2">
      <c r="B29" s="45" t="s">
        <v>118</v>
      </c>
      <c r="C29" s="45"/>
      <c r="D29" s="45"/>
      <c r="E29" s="46"/>
      <c r="F29" s="16">
        <f>F30-(+F9+F15+F24+F28)</f>
        <v>137.5</v>
      </c>
      <c r="G29" s="16">
        <f>G30-(+G9+G15+G24+G28)</f>
        <v>0.98999999999999488</v>
      </c>
      <c r="H29" s="16"/>
      <c r="I29" s="14"/>
      <c r="J29" s="14"/>
    </row>
    <row r="30" spans="2:10" x14ac:dyDescent="0.2">
      <c r="B30" s="45" t="s">
        <v>117</v>
      </c>
      <c r="C30" s="45"/>
      <c r="D30" s="45"/>
      <c r="E30" s="46"/>
      <c r="F30" s="16">
        <v>12181.12</v>
      </c>
      <c r="G30" s="16">
        <v>100</v>
      </c>
      <c r="H30" s="16"/>
      <c r="I30" s="14"/>
      <c r="J30" s="14"/>
    </row>
    <row r="32" spans="2:10" x14ac:dyDescent="0.2">
      <c r="B32" s="14" t="s">
        <v>816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4"/>
  <sheetViews>
    <sheetView workbookViewId="0">
      <selection activeCell="F24" sqref="F24"/>
    </sheetView>
  </sheetViews>
  <sheetFormatPr defaultRowHeight="12" x14ac:dyDescent="0.2"/>
  <cols>
    <col min="1" max="1" width="9.140625" style="1"/>
    <col min="2" max="2" width="58.42578125" style="1" bestFit="1" customWidth="1"/>
    <col min="3" max="3" width="12.710937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10" ht="21" customHeight="1" x14ac:dyDescent="0.2">
      <c r="B1" s="62" t="s">
        <v>17</v>
      </c>
      <c r="C1" s="63"/>
      <c r="D1" s="63"/>
      <c r="E1" s="63"/>
      <c r="F1" s="63"/>
      <c r="G1" s="63"/>
      <c r="H1" s="63"/>
    </row>
    <row r="3" spans="2:10" ht="16.5" thickBot="1" x14ac:dyDescent="0.25">
      <c r="B3" s="2" t="s">
        <v>7</v>
      </c>
      <c r="C3" s="3"/>
      <c r="D3" s="4"/>
      <c r="E3" s="5"/>
      <c r="F3" s="6"/>
      <c r="G3" s="6"/>
    </row>
    <row r="4" spans="2:10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10" x14ac:dyDescent="0.2">
      <c r="B5" s="59" t="s">
        <v>427</v>
      </c>
      <c r="C5" s="18"/>
      <c r="D5" s="18"/>
      <c r="E5" s="19"/>
      <c r="F5" s="20"/>
      <c r="G5" s="20"/>
      <c r="H5" s="20"/>
    </row>
    <row r="6" spans="2:10" x14ac:dyDescent="0.2">
      <c r="B6" s="23" t="s">
        <v>431</v>
      </c>
      <c r="C6" s="23" t="s">
        <v>432</v>
      </c>
      <c r="D6" s="23" t="s">
        <v>430</v>
      </c>
      <c r="E6" s="28">
        <v>2500000</v>
      </c>
      <c r="F6" s="25">
        <v>2529.0300000000002</v>
      </c>
      <c r="G6" s="25">
        <v>21.87</v>
      </c>
      <c r="H6" s="25">
        <v>3.57</v>
      </c>
    </row>
    <row r="7" spans="2:10" x14ac:dyDescent="0.2">
      <c r="B7" s="23" t="s">
        <v>462</v>
      </c>
      <c r="C7" s="23" t="s">
        <v>463</v>
      </c>
      <c r="D7" s="23" t="s">
        <v>430</v>
      </c>
      <c r="E7" s="28">
        <v>2323300</v>
      </c>
      <c r="F7" s="25">
        <v>2494.65</v>
      </c>
      <c r="G7" s="25">
        <v>21.58</v>
      </c>
      <c r="H7" s="25">
        <v>5.86</v>
      </c>
    </row>
    <row r="8" spans="2:10" x14ac:dyDescent="0.2">
      <c r="B8" s="23" t="s">
        <v>464</v>
      </c>
      <c r="C8" s="23" t="s">
        <v>465</v>
      </c>
      <c r="D8" s="23" t="s">
        <v>430</v>
      </c>
      <c r="E8" s="28">
        <v>1150000</v>
      </c>
      <c r="F8" s="25">
        <v>1271.07</v>
      </c>
      <c r="G8" s="25">
        <v>10.99</v>
      </c>
      <c r="H8" s="25">
        <v>6.33</v>
      </c>
    </row>
    <row r="9" spans="2:10" x14ac:dyDescent="0.2">
      <c r="B9" s="23" t="s">
        <v>428</v>
      </c>
      <c r="C9" s="23" t="s">
        <v>429</v>
      </c>
      <c r="D9" s="23" t="s">
        <v>430</v>
      </c>
      <c r="E9" s="28">
        <v>1000000</v>
      </c>
      <c r="F9" s="25">
        <v>1047.5</v>
      </c>
      <c r="G9" s="25">
        <v>9.06</v>
      </c>
      <c r="H9" s="25">
        <v>4.1900000000000004</v>
      </c>
    </row>
    <row r="10" spans="2:10" x14ac:dyDescent="0.2">
      <c r="B10" s="23" t="s">
        <v>441</v>
      </c>
      <c r="C10" s="23" t="s">
        <v>442</v>
      </c>
      <c r="D10" s="23" t="s">
        <v>430</v>
      </c>
      <c r="E10" s="28">
        <v>1000000</v>
      </c>
      <c r="F10" s="25">
        <v>986.97</v>
      </c>
      <c r="G10" s="25">
        <v>8.5399999999999991</v>
      </c>
      <c r="H10" s="25">
        <v>5.95</v>
      </c>
    </row>
    <row r="11" spans="2:10" x14ac:dyDescent="0.2">
      <c r="B11" s="23" t="s">
        <v>466</v>
      </c>
      <c r="C11" s="23" t="s">
        <v>467</v>
      </c>
      <c r="D11" s="23" t="s">
        <v>430</v>
      </c>
      <c r="E11" s="28">
        <v>500000</v>
      </c>
      <c r="F11" s="25">
        <v>525.15</v>
      </c>
      <c r="G11" s="25">
        <v>4.54</v>
      </c>
      <c r="H11" s="25">
        <v>6.05</v>
      </c>
    </row>
    <row r="12" spans="2:10" x14ac:dyDescent="0.2">
      <c r="B12" s="23" t="s">
        <v>468</v>
      </c>
      <c r="C12" s="23" t="s">
        <v>469</v>
      </c>
      <c r="D12" s="23" t="s">
        <v>430</v>
      </c>
      <c r="E12" s="28">
        <v>500000</v>
      </c>
      <c r="F12" s="25">
        <v>512.54</v>
      </c>
      <c r="G12" s="25">
        <v>4.43</v>
      </c>
      <c r="H12" s="25">
        <v>6.07</v>
      </c>
    </row>
    <row r="13" spans="2:10" x14ac:dyDescent="0.2">
      <c r="B13" s="23" t="s">
        <v>439</v>
      </c>
      <c r="C13" s="23" t="s">
        <v>440</v>
      </c>
      <c r="D13" s="23" t="s">
        <v>430</v>
      </c>
      <c r="E13" s="28">
        <v>500000</v>
      </c>
      <c r="F13" s="25">
        <v>498.09</v>
      </c>
      <c r="G13" s="25">
        <v>4.3099999999999996</v>
      </c>
      <c r="H13" s="25">
        <v>5.9</v>
      </c>
    </row>
    <row r="14" spans="2:10" x14ac:dyDescent="0.2">
      <c r="B14" s="23" t="s">
        <v>472</v>
      </c>
      <c r="C14" s="23" t="s">
        <v>473</v>
      </c>
      <c r="D14" s="23" t="s">
        <v>430</v>
      </c>
      <c r="E14" s="28">
        <v>420100</v>
      </c>
      <c r="F14" s="25">
        <v>414.47</v>
      </c>
      <c r="G14" s="25">
        <v>3.58</v>
      </c>
      <c r="H14" s="25">
        <v>6.36</v>
      </c>
    </row>
    <row r="15" spans="2:10" x14ac:dyDescent="0.2">
      <c r="B15" s="53" t="s">
        <v>474</v>
      </c>
      <c r="C15" s="53" t="s">
        <v>475</v>
      </c>
      <c r="D15" s="53" t="s">
        <v>430</v>
      </c>
      <c r="E15" s="54">
        <v>10000</v>
      </c>
      <c r="F15" s="55">
        <v>11.95</v>
      </c>
      <c r="G15" s="55">
        <v>0.1</v>
      </c>
      <c r="H15" s="55">
        <v>6.52</v>
      </c>
    </row>
    <row r="16" spans="2:10" x14ac:dyDescent="0.2">
      <c r="B16" s="56" t="s">
        <v>115</v>
      </c>
      <c r="C16" s="56"/>
      <c r="D16" s="56"/>
      <c r="E16" s="57"/>
      <c r="F16" s="58">
        <f>SUM(F6:F15)</f>
        <v>10291.42</v>
      </c>
      <c r="G16" s="58">
        <f>SUM(G6:G15)</f>
        <v>89.000000000000014</v>
      </c>
      <c r="H16" s="58"/>
      <c r="I16" s="14"/>
      <c r="J16" s="14"/>
    </row>
    <row r="17" spans="2:10" x14ac:dyDescent="0.2">
      <c r="B17" s="48" t="s">
        <v>116</v>
      </c>
      <c r="C17" s="23"/>
      <c r="D17" s="23"/>
      <c r="E17" s="24"/>
      <c r="F17" s="25"/>
      <c r="G17" s="25"/>
      <c r="H17" s="25"/>
    </row>
    <row r="18" spans="2:10" x14ac:dyDescent="0.2">
      <c r="B18" s="23" t="s">
        <v>116</v>
      </c>
      <c r="C18" s="23"/>
      <c r="D18" s="23"/>
      <c r="E18" s="24"/>
      <c r="F18" s="25">
        <v>1112.6600000000001</v>
      </c>
      <c r="G18" s="25">
        <v>9.6199999999999992</v>
      </c>
      <c r="H18" s="25"/>
    </row>
    <row r="19" spans="2:10" x14ac:dyDescent="0.2">
      <c r="B19" s="30" t="s">
        <v>114</v>
      </c>
      <c r="C19" s="30"/>
      <c r="D19" s="30"/>
      <c r="E19" s="31"/>
      <c r="F19" s="32">
        <f>SUM(F17:F18)</f>
        <v>1112.6600000000001</v>
      </c>
      <c r="G19" s="32">
        <f>SUM(G17:G18)</f>
        <v>9.6199999999999992</v>
      </c>
      <c r="H19" s="49"/>
      <c r="I19" s="14"/>
      <c r="J19" s="14"/>
    </row>
    <row r="20" spans="2:10" x14ac:dyDescent="0.2">
      <c r="B20" s="34" t="s">
        <v>115</v>
      </c>
      <c r="C20" s="34"/>
      <c r="D20" s="34"/>
      <c r="E20" s="35"/>
      <c r="F20" s="36">
        <f>F19</f>
        <v>1112.6600000000001</v>
      </c>
      <c r="G20" s="36">
        <f>G19</f>
        <v>9.6199999999999992</v>
      </c>
      <c r="H20" s="36"/>
      <c r="I20" s="14"/>
      <c r="J20" s="14"/>
    </row>
    <row r="21" spans="2:10" x14ac:dyDescent="0.2">
      <c r="B21" s="45" t="s">
        <v>118</v>
      </c>
      <c r="C21" s="45"/>
      <c r="D21" s="45"/>
      <c r="E21" s="46"/>
      <c r="F21" s="16">
        <f>F22-(+F16+F20)</f>
        <v>157.82999999999993</v>
      </c>
      <c r="G21" s="16">
        <f>G22-(+G16+G20)</f>
        <v>1.3799999999999812</v>
      </c>
      <c r="H21" s="16"/>
      <c r="I21" s="14"/>
      <c r="J21" s="14"/>
    </row>
    <row r="22" spans="2:10" x14ac:dyDescent="0.2">
      <c r="B22" s="45" t="s">
        <v>117</v>
      </c>
      <c r="C22" s="45"/>
      <c r="D22" s="45"/>
      <c r="E22" s="46"/>
      <c r="F22" s="16">
        <v>11561.91</v>
      </c>
      <c r="G22" s="16">
        <v>100</v>
      </c>
      <c r="H22" s="16"/>
      <c r="I22" s="14"/>
      <c r="J22" s="14"/>
    </row>
    <row r="24" spans="2:10" x14ac:dyDescent="0.2">
      <c r="B24" s="14"/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9"/>
  <sheetViews>
    <sheetView workbookViewId="0">
      <selection activeCell="F41" sqref="F41"/>
    </sheetView>
  </sheetViews>
  <sheetFormatPr defaultRowHeight="12" x14ac:dyDescent="0.2"/>
  <cols>
    <col min="1" max="1" width="9.140625" style="1"/>
    <col min="2" max="2" width="60.28515625" style="1" bestFit="1" customWidth="1"/>
    <col min="3" max="3" width="13.570312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62" t="s">
        <v>18</v>
      </c>
      <c r="C1" s="63"/>
      <c r="D1" s="63"/>
      <c r="E1" s="63"/>
      <c r="F1" s="63"/>
      <c r="G1" s="63"/>
      <c r="H1" s="63"/>
    </row>
    <row r="3" spans="2:8" ht="16.5" thickBot="1" x14ac:dyDescent="0.25">
      <c r="B3" s="2" t="s">
        <v>7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59" t="s">
        <v>355</v>
      </c>
      <c r="C5" s="18"/>
      <c r="D5" s="18"/>
      <c r="E5" s="19"/>
      <c r="F5" s="20"/>
      <c r="G5" s="20"/>
      <c r="H5" s="20"/>
    </row>
    <row r="6" spans="2:8" x14ac:dyDescent="0.2">
      <c r="B6" s="48" t="s">
        <v>32</v>
      </c>
      <c r="C6" s="23"/>
      <c r="D6" s="23"/>
      <c r="E6" s="24"/>
      <c r="F6" s="25"/>
      <c r="G6" s="25"/>
      <c r="H6" s="25"/>
    </row>
    <row r="7" spans="2:8" x14ac:dyDescent="0.2">
      <c r="B7" s="23" t="s">
        <v>476</v>
      </c>
      <c r="C7" s="23" t="s">
        <v>477</v>
      </c>
      <c r="D7" s="23" t="s">
        <v>361</v>
      </c>
      <c r="E7" s="28">
        <v>100</v>
      </c>
      <c r="F7" s="25">
        <v>1059.26</v>
      </c>
      <c r="G7" s="25">
        <v>6.78</v>
      </c>
      <c r="H7" s="25">
        <v>6.55</v>
      </c>
    </row>
    <row r="8" spans="2:8" x14ac:dyDescent="0.2">
      <c r="B8" s="23" t="s">
        <v>478</v>
      </c>
      <c r="C8" s="23" t="s">
        <v>479</v>
      </c>
      <c r="D8" s="23" t="s">
        <v>361</v>
      </c>
      <c r="E8" s="28">
        <v>100</v>
      </c>
      <c r="F8" s="25">
        <v>1024.3900000000001</v>
      </c>
      <c r="G8" s="25">
        <v>6.56</v>
      </c>
      <c r="H8" s="25">
        <v>4.16</v>
      </c>
    </row>
    <row r="9" spans="2:8" x14ac:dyDescent="0.2">
      <c r="B9" s="23" t="s">
        <v>364</v>
      </c>
      <c r="C9" s="23" t="s">
        <v>365</v>
      </c>
      <c r="D9" s="23" t="s">
        <v>361</v>
      </c>
      <c r="E9" s="28">
        <v>50</v>
      </c>
      <c r="F9" s="25">
        <v>566.02</v>
      </c>
      <c r="G9" s="25">
        <v>3.63</v>
      </c>
      <c r="H9" s="25">
        <v>6.45</v>
      </c>
    </row>
    <row r="10" spans="2:8" x14ac:dyDescent="0.2">
      <c r="B10" s="23" t="s">
        <v>399</v>
      </c>
      <c r="C10" s="23" t="s">
        <v>400</v>
      </c>
      <c r="D10" s="23" t="s">
        <v>361</v>
      </c>
      <c r="E10" s="28">
        <v>50</v>
      </c>
      <c r="F10" s="25">
        <v>553.02</v>
      </c>
      <c r="G10" s="25">
        <v>3.54</v>
      </c>
      <c r="H10" s="25">
        <v>7.02</v>
      </c>
    </row>
    <row r="11" spans="2:8" x14ac:dyDescent="0.2">
      <c r="B11" s="23" t="s">
        <v>480</v>
      </c>
      <c r="C11" s="23" t="s">
        <v>481</v>
      </c>
      <c r="D11" s="23" t="s">
        <v>361</v>
      </c>
      <c r="E11" s="28">
        <v>50</v>
      </c>
      <c r="F11" s="25">
        <v>543.28</v>
      </c>
      <c r="G11" s="25">
        <v>3.48</v>
      </c>
      <c r="H11" s="25">
        <v>5.65</v>
      </c>
    </row>
    <row r="12" spans="2:8" x14ac:dyDescent="0.2">
      <c r="B12" s="23" t="s">
        <v>376</v>
      </c>
      <c r="C12" s="23" t="s">
        <v>377</v>
      </c>
      <c r="D12" s="23" t="s">
        <v>361</v>
      </c>
      <c r="E12" s="28">
        <v>50</v>
      </c>
      <c r="F12" s="25">
        <v>535.87</v>
      </c>
      <c r="G12" s="25">
        <v>3.43</v>
      </c>
      <c r="H12" s="25">
        <v>5.62</v>
      </c>
    </row>
    <row r="13" spans="2:8" x14ac:dyDescent="0.2">
      <c r="B13" s="23" t="s">
        <v>482</v>
      </c>
      <c r="C13" s="23" t="s">
        <v>483</v>
      </c>
      <c r="D13" s="23" t="s">
        <v>361</v>
      </c>
      <c r="E13" s="28">
        <v>50</v>
      </c>
      <c r="F13" s="25">
        <v>533.69000000000005</v>
      </c>
      <c r="G13" s="25">
        <v>3.42</v>
      </c>
      <c r="H13" s="25">
        <v>4.8499999999999996</v>
      </c>
    </row>
    <row r="14" spans="2:8" x14ac:dyDescent="0.2">
      <c r="B14" s="23" t="s">
        <v>484</v>
      </c>
      <c r="C14" s="23" t="s">
        <v>485</v>
      </c>
      <c r="D14" s="23" t="s">
        <v>394</v>
      </c>
      <c r="E14" s="28">
        <v>50</v>
      </c>
      <c r="F14" s="25">
        <v>533.65</v>
      </c>
      <c r="G14" s="25">
        <v>3.42</v>
      </c>
      <c r="H14" s="25">
        <v>6.54</v>
      </c>
    </row>
    <row r="15" spans="2:8" x14ac:dyDescent="0.2">
      <c r="B15" s="23" t="s">
        <v>486</v>
      </c>
      <c r="C15" s="23" t="s">
        <v>487</v>
      </c>
      <c r="D15" s="23" t="s">
        <v>361</v>
      </c>
      <c r="E15" s="28">
        <v>50</v>
      </c>
      <c r="F15" s="25">
        <v>526.69000000000005</v>
      </c>
      <c r="G15" s="25">
        <v>3.37</v>
      </c>
      <c r="H15" s="25">
        <v>5.93</v>
      </c>
    </row>
    <row r="16" spans="2:8" x14ac:dyDescent="0.2">
      <c r="B16" s="23" t="s">
        <v>366</v>
      </c>
      <c r="C16" s="23" t="s">
        <v>367</v>
      </c>
      <c r="D16" s="23" t="s">
        <v>361</v>
      </c>
      <c r="E16" s="28">
        <v>50</v>
      </c>
      <c r="F16" s="25">
        <v>520.41999999999996</v>
      </c>
      <c r="G16" s="25">
        <v>3.33</v>
      </c>
      <c r="H16" s="25">
        <v>4.6900000000000004</v>
      </c>
    </row>
    <row r="17" spans="2:10" x14ac:dyDescent="0.2">
      <c r="B17" s="23" t="s">
        <v>488</v>
      </c>
      <c r="C17" s="23" t="s">
        <v>489</v>
      </c>
      <c r="D17" s="23" t="s">
        <v>394</v>
      </c>
      <c r="E17" s="28">
        <v>50</v>
      </c>
      <c r="F17" s="25">
        <v>514.82000000000005</v>
      </c>
      <c r="G17" s="25">
        <v>3.3</v>
      </c>
      <c r="H17" s="25">
        <v>6.54</v>
      </c>
    </row>
    <row r="18" spans="2:10" x14ac:dyDescent="0.2">
      <c r="B18" s="23" t="s">
        <v>490</v>
      </c>
      <c r="C18" s="23" t="s">
        <v>491</v>
      </c>
      <c r="D18" s="23" t="s">
        <v>361</v>
      </c>
      <c r="E18" s="28">
        <v>20</v>
      </c>
      <c r="F18" s="25">
        <v>203.95</v>
      </c>
      <c r="G18" s="25">
        <v>1.31</v>
      </c>
      <c r="H18" s="25">
        <v>3.87</v>
      </c>
    </row>
    <row r="19" spans="2:10" x14ac:dyDescent="0.2">
      <c r="B19" s="30" t="s">
        <v>114</v>
      </c>
      <c r="C19" s="30"/>
      <c r="D19" s="30"/>
      <c r="E19" s="31"/>
      <c r="F19" s="32">
        <f>SUM(F6:F18)</f>
        <v>7115.06</v>
      </c>
      <c r="G19" s="32">
        <f>SUM(G6:G18)</f>
        <v>45.569999999999993</v>
      </c>
      <c r="H19" s="49"/>
      <c r="I19" s="14"/>
      <c r="J19" s="14"/>
    </row>
    <row r="20" spans="2:10" x14ac:dyDescent="0.2">
      <c r="B20" s="50" t="s">
        <v>115</v>
      </c>
      <c r="C20" s="50"/>
      <c r="D20" s="50"/>
      <c r="E20" s="51"/>
      <c r="F20" s="52">
        <f>F19</f>
        <v>7115.06</v>
      </c>
      <c r="G20" s="52">
        <f>G19</f>
        <v>45.569999999999993</v>
      </c>
      <c r="H20" s="52"/>
      <c r="I20" s="14"/>
      <c r="J20" s="14"/>
    </row>
    <row r="21" spans="2:10" x14ac:dyDescent="0.2">
      <c r="B21" s="48" t="s">
        <v>427</v>
      </c>
      <c r="C21" s="23"/>
      <c r="D21" s="23"/>
      <c r="E21" s="24"/>
      <c r="F21" s="25"/>
      <c r="G21" s="25"/>
      <c r="H21" s="25"/>
    </row>
    <row r="22" spans="2:10" x14ac:dyDescent="0.2">
      <c r="B22" s="23" t="s">
        <v>462</v>
      </c>
      <c r="C22" s="23" t="s">
        <v>463</v>
      </c>
      <c r="D22" s="23" t="s">
        <v>430</v>
      </c>
      <c r="E22" s="28">
        <v>1000000</v>
      </c>
      <c r="F22" s="25">
        <v>1073.75</v>
      </c>
      <c r="G22" s="25">
        <v>6.88</v>
      </c>
      <c r="H22" s="25">
        <v>5.86</v>
      </c>
    </row>
    <row r="23" spans="2:10" x14ac:dyDescent="0.2">
      <c r="B23" s="23" t="s">
        <v>437</v>
      </c>
      <c r="C23" s="23" t="s">
        <v>438</v>
      </c>
      <c r="D23" s="23" t="s">
        <v>430</v>
      </c>
      <c r="E23" s="28">
        <v>1000000</v>
      </c>
      <c r="F23" s="25">
        <v>1054.72</v>
      </c>
      <c r="G23" s="25">
        <v>6.76</v>
      </c>
      <c r="H23" s="25">
        <v>5.74</v>
      </c>
    </row>
    <row r="24" spans="2:10" x14ac:dyDescent="0.2">
      <c r="B24" s="23" t="s">
        <v>439</v>
      </c>
      <c r="C24" s="23" t="s">
        <v>440</v>
      </c>
      <c r="D24" s="23" t="s">
        <v>430</v>
      </c>
      <c r="E24" s="28">
        <v>1000000</v>
      </c>
      <c r="F24" s="25">
        <v>996.18</v>
      </c>
      <c r="G24" s="25">
        <v>6.38</v>
      </c>
      <c r="H24" s="25">
        <v>5.9</v>
      </c>
    </row>
    <row r="25" spans="2:10" x14ac:dyDescent="0.2">
      <c r="B25" s="23" t="s">
        <v>441</v>
      </c>
      <c r="C25" s="23" t="s">
        <v>442</v>
      </c>
      <c r="D25" s="23" t="s">
        <v>430</v>
      </c>
      <c r="E25" s="28">
        <v>1000000</v>
      </c>
      <c r="F25" s="25">
        <v>986.97</v>
      </c>
      <c r="G25" s="25">
        <v>6.32</v>
      </c>
      <c r="H25" s="25">
        <v>5.95</v>
      </c>
    </row>
    <row r="26" spans="2:10" x14ac:dyDescent="0.2">
      <c r="B26" s="23" t="s">
        <v>492</v>
      </c>
      <c r="C26" s="23" t="s">
        <v>493</v>
      </c>
      <c r="D26" s="23" t="s">
        <v>430</v>
      </c>
      <c r="E26" s="28">
        <v>500000</v>
      </c>
      <c r="F26" s="25">
        <v>503.25</v>
      </c>
      <c r="G26" s="25">
        <v>3.22</v>
      </c>
      <c r="H26" s="25">
        <v>6.59</v>
      </c>
    </row>
    <row r="27" spans="2:10" x14ac:dyDescent="0.2">
      <c r="B27" s="23" t="s">
        <v>494</v>
      </c>
      <c r="C27" s="23" t="s">
        <v>495</v>
      </c>
      <c r="D27" s="23" t="s">
        <v>430</v>
      </c>
      <c r="E27" s="28">
        <v>500000</v>
      </c>
      <c r="F27" s="25">
        <v>499.44</v>
      </c>
      <c r="G27" s="25">
        <v>3.2</v>
      </c>
      <c r="H27" s="25">
        <v>6.51</v>
      </c>
    </row>
    <row r="28" spans="2:10" x14ac:dyDescent="0.2">
      <c r="B28" s="23" t="s">
        <v>496</v>
      </c>
      <c r="C28" s="23" t="s">
        <v>497</v>
      </c>
      <c r="D28" s="23" t="s">
        <v>430</v>
      </c>
      <c r="E28" s="28">
        <v>500000</v>
      </c>
      <c r="F28" s="25">
        <v>493.31</v>
      </c>
      <c r="G28" s="25">
        <v>3.16</v>
      </c>
      <c r="H28" s="25">
        <v>6.34</v>
      </c>
    </row>
    <row r="29" spans="2:10" x14ac:dyDescent="0.2">
      <c r="B29" s="23" t="s">
        <v>472</v>
      </c>
      <c r="C29" s="23" t="s">
        <v>473</v>
      </c>
      <c r="D29" s="23" t="s">
        <v>430</v>
      </c>
      <c r="E29" s="28">
        <v>500000</v>
      </c>
      <c r="F29" s="25">
        <v>493.3</v>
      </c>
      <c r="G29" s="25">
        <v>3.16</v>
      </c>
      <c r="H29" s="25">
        <v>6.36</v>
      </c>
    </row>
    <row r="30" spans="2:10" x14ac:dyDescent="0.2">
      <c r="B30" s="53" t="s">
        <v>498</v>
      </c>
      <c r="C30" s="53" t="s">
        <v>499</v>
      </c>
      <c r="D30" s="53" t="s">
        <v>430</v>
      </c>
      <c r="E30" s="54">
        <v>28000</v>
      </c>
      <c r="F30" s="55">
        <v>31.22</v>
      </c>
      <c r="G30" s="55">
        <v>0.2</v>
      </c>
      <c r="H30" s="55">
        <v>5.8</v>
      </c>
    </row>
    <row r="31" spans="2:10" x14ac:dyDescent="0.2">
      <c r="B31" s="56" t="s">
        <v>115</v>
      </c>
      <c r="C31" s="56"/>
      <c r="D31" s="56"/>
      <c r="E31" s="57"/>
      <c r="F31" s="58">
        <f>SUM(F22:F30)</f>
        <v>6132.14</v>
      </c>
      <c r="G31" s="58">
        <f>SUM(G22:G30)</f>
        <v>39.28</v>
      </c>
      <c r="H31" s="58"/>
      <c r="I31" s="14"/>
      <c r="J31" s="14"/>
    </row>
    <row r="32" spans="2:10" x14ac:dyDescent="0.2">
      <c r="B32" s="48" t="s">
        <v>116</v>
      </c>
      <c r="C32" s="23"/>
      <c r="D32" s="23"/>
      <c r="E32" s="24"/>
      <c r="F32" s="25"/>
      <c r="G32" s="25"/>
      <c r="H32" s="25"/>
    </row>
    <row r="33" spans="2:10" x14ac:dyDescent="0.2">
      <c r="B33" s="23" t="s">
        <v>116</v>
      </c>
      <c r="C33" s="23"/>
      <c r="D33" s="23"/>
      <c r="E33" s="24"/>
      <c r="F33" s="25">
        <v>1622.87</v>
      </c>
      <c r="G33" s="25">
        <v>10.39</v>
      </c>
      <c r="H33" s="25"/>
    </row>
    <row r="34" spans="2:10" x14ac:dyDescent="0.2">
      <c r="B34" s="30" t="s">
        <v>114</v>
      </c>
      <c r="C34" s="30"/>
      <c r="D34" s="30"/>
      <c r="E34" s="31"/>
      <c r="F34" s="32">
        <f>SUM(F32:F33)</f>
        <v>1622.87</v>
      </c>
      <c r="G34" s="32">
        <f>SUM(G32:G33)</f>
        <v>10.39</v>
      </c>
      <c r="H34" s="49"/>
      <c r="I34" s="14"/>
      <c r="J34" s="14"/>
    </row>
    <row r="35" spans="2:10" x14ac:dyDescent="0.2">
      <c r="B35" s="34" t="s">
        <v>115</v>
      </c>
      <c r="C35" s="34"/>
      <c r="D35" s="34"/>
      <c r="E35" s="35"/>
      <c r="F35" s="36">
        <f>F34</f>
        <v>1622.87</v>
      </c>
      <c r="G35" s="36">
        <f>G34</f>
        <v>10.39</v>
      </c>
      <c r="H35" s="36"/>
      <c r="I35" s="14"/>
      <c r="J35" s="14"/>
    </row>
    <row r="36" spans="2:10" x14ac:dyDescent="0.2">
      <c r="B36" s="45" t="s">
        <v>118</v>
      </c>
      <c r="C36" s="45"/>
      <c r="D36" s="45"/>
      <c r="E36" s="46"/>
      <c r="F36" s="16">
        <f>F37-(+F20+F31+F35)</f>
        <v>755.80999999999949</v>
      </c>
      <c r="G36" s="16">
        <f>G37-(+G20+G31+G35)</f>
        <v>4.7600000000000051</v>
      </c>
      <c r="H36" s="16"/>
      <c r="I36" s="14"/>
      <c r="J36" s="14"/>
    </row>
    <row r="37" spans="2:10" x14ac:dyDescent="0.2">
      <c r="B37" s="45" t="s">
        <v>117</v>
      </c>
      <c r="C37" s="45"/>
      <c r="D37" s="45"/>
      <c r="E37" s="46"/>
      <c r="F37" s="16">
        <v>15625.88</v>
      </c>
      <c r="G37" s="16">
        <v>100</v>
      </c>
      <c r="H37" s="16"/>
      <c r="I37" s="14"/>
      <c r="J37" s="14"/>
    </row>
    <row r="39" spans="2:10" x14ac:dyDescent="0.2">
      <c r="B39" s="14" t="s">
        <v>816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75"/>
  <sheetViews>
    <sheetView topLeftCell="A49" workbookViewId="0">
      <selection activeCell="B1" sqref="B1:H1"/>
    </sheetView>
  </sheetViews>
  <sheetFormatPr defaultRowHeight="12" x14ac:dyDescent="0.2"/>
  <cols>
    <col min="1" max="1" width="9.140625" style="1"/>
    <col min="2" max="2" width="60.28515625" style="1" bestFit="1" customWidth="1"/>
    <col min="3" max="3" width="13.85546875" style="1" bestFit="1" customWidth="1"/>
    <col min="4" max="4" width="14.140625" style="1" bestFit="1" customWidth="1"/>
    <col min="5" max="5" width="9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62" t="s">
        <v>19</v>
      </c>
      <c r="C1" s="63"/>
      <c r="D1" s="63"/>
      <c r="E1" s="63"/>
      <c r="F1" s="63"/>
      <c r="G1" s="63"/>
      <c r="H1" s="63"/>
    </row>
    <row r="3" spans="2:8" ht="16.5" thickBot="1" x14ac:dyDescent="0.25">
      <c r="B3" s="2" t="s">
        <v>7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59" t="s">
        <v>355</v>
      </c>
      <c r="C5" s="18"/>
      <c r="D5" s="18"/>
      <c r="E5" s="19"/>
      <c r="F5" s="20"/>
      <c r="G5" s="20"/>
      <c r="H5" s="20"/>
    </row>
    <row r="6" spans="2:8" x14ac:dyDescent="0.2">
      <c r="B6" s="48" t="s">
        <v>32</v>
      </c>
      <c r="C6" s="23"/>
      <c r="D6" s="23"/>
      <c r="E6" s="24"/>
      <c r="F6" s="25"/>
      <c r="G6" s="25"/>
      <c r="H6" s="25"/>
    </row>
    <row r="7" spans="2:8" x14ac:dyDescent="0.2">
      <c r="B7" s="23" t="s">
        <v>500</v>
      </c>
      <c r="C7" s="23" t="s">
        <v>501</v>
      </c>
      <c r="D7" s="23" t="s">
        <v>361</v>
      </c>
      <c r="E7" s="28">
        <v>500</v>
      </c>
      <c r="F7" s="25">
        <v>5119.8900000000003</v>
      </c>
      <c r="G7" s="25">
        <v>3.26</v>
      </c>
      <c r="H7" s="25">
        <v>4.2</v>
      </c>
    </row>
    <row r="8" spans="2:8" x14ac:dyDescent="0.2">
      <c r="B8" s="23" t="s">
        <v>490</v>
      </c>
      <c r="C8" s="23" t="s">
        <v>491</v>
      </c>
      <c r="D8" s="23" t="s">
        <v>361</v>
      </c>
      <c r="E8" s="28">
        <v>350</v>
      </c>
      <c r="F8" s="25">
        <v>3569.1</v>
      </c>
      <c r="G8" s="25">
        <v>2.27</v>
      </c>
      <c r="H8" s="25">
        <v>3.87</v>
      </c>
    </row>
    <row r="9" spans="2:8" x14ac:dyDescent="0.2">
      <c r="B9" s="23" t="s">
        <v>386</v>
      </c>
      <c r="C9" s="23" t="s">
        <v>387</v>
      </c>
      <c r="D9" s="23" t="s">
        <v>361</v>
      </c>
      <c r="E9" s="28">
        <v>300</v>
      </c>
      <c r="F9" s="25">
        <v>3130.46</v>
      </c>
      <c r="G9" s="25">
        <v>2</v>
      </c>
      <c r="H9" s="25">
        <v>4.8899999999999997</v>
      </c>
    </row>
    <row r="10" spans="2:8" x14ac:dyDescent="0.2">
      <c r="B10" s="23" t="s">
        <v>502</v>
      </c>
      <c r="C10" s="23" t="s">
        <v>503</v>
      </c>
      <c r="D10" s="23" t="s">
        <v>361</v>
      </c>
      <c r="E10" s="28">
        <v>300</v>
      </c>
      <c r="F10" s="25">
        <v>3118.13</v>
      </c>
      <c r="G10" s="25">
        <v>1.99</v>
      </c>
      <c r="H10" s="25">
        <v>4.8600000000000003</v>
      </c>
    </row>
    <row r="11" spans="2:8" x14ac:dyDescent="0.2">
      <c r="B11" s="23" t="s">
        <v>504</v>
      </c>
      <c r="C11" s="23" t="s">
        <v>505</v>
      </c>
      <c r="D11" s="23" t="s">
        <v>361</v>
      </c>
      <c r="E11" s="28">
        <v>250</v>
      </c>
      <c r="F11" s="25">
        <v>2605.38</v>
      </c>
      <c r="G11" s="25">
        <v>1.66</v>
      </c>
      <c r="H11" s="25">
        <v>4.25</v>
      </c>
    </row>
    <row r="12" spans="2:8" x14ac:dyDescent="0.2">
      <c r="B12" s="23" t="s">
        <v>506</v>
      </c>
      <c r="C12" s="23" t="s">
        <v>507</v>
      </c>
      <c r="D12" s="23" t="s">
        <v>361</v>
      </c>
      <c r="E12" s="28">
        <v>250</v>
      </c>
      <c r="F12" s="25">
        <v>2562.9899999999998</v>
      </c>
      <c r="G12" s="25">
        <v>1.63</v>
      </c>
      <c r="H12" s="25">
        <v>4.0199999999999996</v>
      </c>
    </row>
    <row r="13" spans="2:8" x14ac:dyDescent="0.2">
      <c r="B13" s="23" t="s">
        <v>508</v>
      </c>
      <c r="C13" s="23" t="s">
        <v>509</v>
      </c>
      <c r="D13" s="23" t="s">
        <v>358</v>
      </c>
      <c r="E13" s="28">
        <v>250</v>
      </c>
      <c r="F13" s="25">
        <v>2556.38</v>
      </c>
      <c r="G13" s="25">
        <v>1.63</v>
      </c>
      <c r="H13" s="25">
        <v>4.34</v>
      </c>
    </row>
    <row r="14" spans="2:8" x14ac:dyDescent="0.2">
      <c r="B14" s="23" t="s">
        <v>510</v>
      </c>
      <c r="C14" s="23" t="s">
        <v>511</v>
      </c>
      <c r="D14" s="23" t="s">
        <v>361</v>
      </c>
      <c r="E14" s="28">
        <v>250</v>
      </c>
      <c r="F14" s="25">
        <v>2546.71</v>
      </c>
      <c r="G14" s="25">
        <v>1.62</v>
      </c>
      <c r="H14" s="25">
        <v>3.96</v>
      </c>
    </row>
    <row r="15" spans="2:8" x14ac:dyDescent="0.2">
      <c r="B15" s="23" t="s">
        <v>512</v>
      </c>
      <c r="C15" s="23" t="s">
        <v>513</v>
      </c>
      <c r="D15" s="23" t="s">
        <v>361</v>
      </c>
      <c r="E15" s="28">
        <v>250</v>
      </c>
      <c r="F15" s="25">
        <v>2545.0700000000002</v>
      </c>
      <c r="G15" s="25">
        <v>1.62</v>
      </c>
      <c r="H15" s="25">
        <v>3.9</v>
      </c>
    </row>
    <row r="16" spans="2:8" x14ac:dyDescent="0.2">
      <c r="B16" s="23" t="s">
        <v>372</v>
      </c>
      <c r="C16" s="23" t="s">
        <v>373</v>
      </c>
      <c r="D16" s="23" t="s">
        <v>361</v>
      </c>
      <c r="E16" s="28">
        <v>250</v>
      </c>
      <c r="F16" s="25">
        <v>2543.38</v>
      </c>
      <c r="G16" s="25">
        <v>1.62</v>
      </c>
      <c r="H16" s="25">
        <v>4.1900000000000004</v>
      </c>
    </row>
    <row r="17" spans="2:10" x14ac:dyDescent="0.2">
      <c r="B17" s="23" t="s">
        <v>514</v>
      </c>
      <c r="C17" s="23" t="s">
        <v>515</v>
      </c>
      <c r="D17" s="23" t="s">
        <v>358</v>
      </c>
      <c r="E17" s="28">
        <v>250</v>
      </c>
      <c r="F17" s="25">
        <v>2524.3200000000002</v>
      </c>
      <c r="G17" s="25">
        <v>1.61</v>
      </c>
      <c r="H17" s="25">
        <v>4.2</v>
      </c>
    </row>
    <row r="18" spans="2:10" x14ac:dyDescent="0.2">
      <c r="B18" s="23" t="s">
        <v>366</v>
      </c>
      <c r="C18" s="23" t="s">
        <v>367</v>
      </c>
      <c r="D18" s="23" t="s">
        <v>361</v>
      </c>
      <c r="E18" s="28">
        <v>200</v>
      </c>
      <c r="F18" s="25">
        <v>2081.69</v>
      </c>
      <c r="G18" s="25">
        <v>1.33</v>
      </c>
      <c r="H18" s="25">
        <v>4.6900000000000004</v>
      </c>
    </row>
    <row r="19" spans="2:10" x14ac:dyDescent="0.2">
      <c r="B19" s="23" t="s">
        <v>516</v>
      </c>
      <c r="C19" s="23" t="s">
        <v>517</v>
      </c>
      <c r="D19" s="23" t="s">
        <v>361</v>
      </c>
      <c r="E19" s="28">
        <v>200</v>
      </c>
      <c r="F19" s="25">
        <v>2041.42</v>
      </c>
      <c r="G19" s="25">
        <v>1.3</v>
      </c>
      <c r="H19" s="25">
        <v>4.3099999999999996</v>
      </c>
    </row>
    <row r="20" spans="2:10" x14ac:dyDescent="0.2">
      <c r="B20" s="23" t="s">
        <v>359</v>
      </c>
      <c r="C20" s="23" t="s">
        <v>360</v>
      </c>
      <c r="D20" s="23" t="s">
        <v>361</v>
      </c>
      <c r="E20" s="28">
        <v>150</v>
      </c>
      <c r="F20" s="25">
        <v>1562.68</v>
      </c>
      <c r="G20" s="25">
        <v>1</v>
      </c>
      <c r="H20" s="25">
        <v>4.8</v>
      </c>
    </row>
    <row r="21" spans="2:10" x14ac:dyDescent="0.2">
      <c r="B21" s="23" t="s">
        <v>518</v>
      </c>
      <c r="C21" s="23" t="s">
        <v>519</v>
      </c>
      <c r="D21" s="23" t="s">
        <v>358</v>
      </c>
      <c r="E21" s="28">
        <v>150</v>
      </c>
      <c r="F21" s="25">
        <v>1554.64</v>
      </c>
      <c r="G21" s="25">
        <v>0.99</v>
      </c>
      <c r="H21" s="25">
        <v>4.43</v>
      </c>
    </row>
    <row r="22" spans="2:10" x14ac:dyDescent="0.2">
      <c r="B22" s="23" t="s">
        <v>520</v>
      </c>
      <c r="C22" s="23" t="s">
        <v>521</v>
      </c>
      <c r="D22" s="23" t="s">
        <v>394</v>
      </c>
      <c r="E22" s="28">
        <v>150</v>
      </c>
      <c r="F22" s="25">
        <v>1489.97</v>
      </c>
      <c r="G22" s="25">
        <v>0.95</v>
      </c>
      <c r="H22" s="25">
        <v>4.83</v>
      </c>
    </row>
    <row r="23" spans="2:10" x14ac:dyDescent="0.2">
      <c r="B23" s="23" t="s">
        <v>522</v>
      </c>
      <c r="C23" s="23" t="s">
        <v>523</v>
      </c>
      <c r="D23" s="23" t="s">
        <v>361</v>
      </c>
      <c r="E23" s="28">
        <v>400</v>
      </c>
      <c r="F23" s="25">
        <v>1295.5999999999999</v>
      </c>
      <c r="G23" s="25">
        <v>0.83</v>
      </c>
      <c r="H23" s="25">
        <v>5.08</v>
      </c>
    </row>
    <row r="24" spans="2:10" x14ac:dyDescent="0.2">
      <c r="B24" s="23" t="s">
        <v>524</v>
      </c>
      <c r="C24" s="23" t="s">
        <v>525</v>
      </c>
      <c r="D24" s="23" t="s">
        <v>361</v>
      </c>
      <c r="E24" s="28">
        <v>100</v>
      </c>
      <c r="F24" s="25">
        <v>1045.1199999999999</v>
      </c>
      <c r="G24" s="25">
        <v>0.67</v>
      </c>
      <c r="H24" s="25">
        <v>4.3499999999999996</v>
      </c>
    </row>
    <row r="25" spans="2:10" x14ac:dyDescent="0.2">
      <c r="B25" s="23" t="s">
        <v>526</v>
      </c>
      <c r="C25" s="23" t="s">
        <v>527</v>
      </c>
      <c r="D25" s="23" t="s">
        <v>361</v>
      </c>
      <c r="E25" s="28">
        <v>100</v>
      </c>
      <c r="F25" s="25">
        <v>1034.8599999999999</v>
      </c>
      <c r="G25" s="25">
        <v>0.66</v>
      </c>
      <c r="H25" s="25">
        <v>5.09</v>
      </c>
    </row>
    <row r="26" spans="2:10" x14ac:dyDescent="0.2">
      <c r="B26" s="23" t="s">
        <v>528</v>
      </c>
      <c r="C26" s="23" t="s">
        <v>529</v>
      </c>
      <c r="D26" s="23" t="s">
        <v>361</v>
      </c>
      <c r="E26" s="28">
        <v>50</v>
      </c>
      <c r="F26" s="25">
        <v>522.30999999999995</v>
      </c>
      <c r="G26" s="25">
        <v>0.33</v>
      </c>
      <c r="H26" s="25">
        <v>4.29</v>
      </c>
    </row>
    <row r="27" spans="2:10" x14ac:dyDescent="0.2">
      <c r="B27" s="23" t="s">
        <v>530</v>
      </c>
      <c r="C27" s="23" t="s">
        <v>531</v>
      </c>
      <c r="D27" s="23" t="s">
        <v>361</v>
      </c>
      <c r="E27" s="28">
        <v>50</v>
      </c>
      <c r="F27" s="25">
        <v>520.9</v>
      </c>
      <c r="G27" s="25">
        <v>0.33</v>
      </c>
      <c r="H27" s="25">
        <v>4.8899999999999997</v>
      </c>
    </row>
    <row r="28" spans="2:10" x14ac:dyDescent="0.2">
      <c r="B28" s="23" t="s">
        <v>532</v>
      </c>
      <c r="C28" s="23" t="s">
        <v>533</v>
      </c>
      <c r="D28" s="23" t="s">
        <v>361</v>
      </c>
      <c r="E28" s="28">
        <v>50</v>
      </c>
      <c r="F28" s="25">
        <v>518.78</v>
      </c>
      <c r="G28" s="25">
        <v>0.33</v>
      </c>
      <c r="H28" s="25">
        <v>4.5199999999999996</v>
      </c>
    </row>
    <row r="29" spans="2:10" x14ac:dyDescent="0.2">
      <c r="B29" s="23" t="s">
        <v>534</v>
      </c>
      <c r="C29" s="23" t="s">
        <v>535</v>
      </c>
      <c r="D29" s="23" t="s">
        <v>361</v>
      </c>
      <c r="E29" s="28">
        <v>50</v>
      </c>
      <c r="F29" s="25">
        <v>507.94</v>
      </c>
      <c r="G29" s="25">
        <v>0.32</v>
      </c>
      <c r="H29" s="25">
        <v>4.2</v>
      </c>
    </row>
    <row r="30" spans="2:10" x14ac:dyDescent="0.2">
      <c r="B30" s="30" t="s">
        <v>114</v>
      </c>
      <c r="C30" s="30"/>
      <c r="D30" s="30"/>
      <c r="E30" s="31"/>
      <c r="F30" s="32">
        <f>SUM(F6:F29)</f>
        <v>46997.720000000008</v>
      </c>
      <c r="G30" s="32">
        <f>SUM(G6:G29)</f>
        <v>29.949999999999996</v>
      </c>
      <c r="H30" s="49"/>
      <c r="I30" s="14"/>
      <c r="J30" s="14"/>
    </row>
    <row r="31" spans="2:10" x14ac:dyDescent="0.2">
      <c r="B31" s="50" t="s">
        <v>115</v>
      </c>
      <c r="C31" s="50"/>
      <c r="D31" s="50"/>
      <c r="E31" s="51"/>
      <c r="F31" s="52">
        <f>F30</f>
        <v>46997.720000000008</v>
      </c>
      <c r="G31" s="52">
        <f>G30</f>
        <v>29.949999999999996</v>
      </c>
      <c r="H31" s="52"/>
      <c r="I31" s="14"/>
      <c r="J31" s="14"/>
    </row>
    <row r="32" spans="2:10" x14ac:dyDescent="0.2">
      <c r="B32" s="48" t="s">
        <v>455</v>
      </c>
      <c r="C32" s="23"/>
      <c r="D32" s="23"/>
      <c r="E32" s="24"/>
      <c r="F32" s="25"/>
      <c r="G32" s="25"/>
      <c r="H32" s="25"/>
    </row>
    <row r="33" spans="2:10" x14ac:dyDescent="0.2">
      <c r="B33" s="48" t="s">
        <v>536</v>
      </c>
      <c r="C33" s="23"/>
      <c r="D33" s="23"/>
      <c r="E33" s="24"/>
      <c r="F33" s="25"/>
      <c r="G33" s="25"/>
      <c r="H33" s="25"/>
    </row>
    <row r="34" spans="2:10" x14ac:dyDescent="0.2">
      <c r="B34" s="23" t="s">
        <v>537</v>
      </c>
      <c r="C34" s="23" t="s">
        <v>538</v>
      </c>
      <c r="D34" s="23" t="s">
        <v>539</v>
      </c>
      <c r="E34" s="28">
        <v>10000</v>
      </c>
      <c r="F34" s="25">
        <v>9886.24</v>
      </c>
      <c r="G34" s="25">
        <v>6.3</v>
      </c>
      <c r="H34" s="25">
        <v>3.5</v>
      </c>
    </row>
    <row r="35" spans="2:10" x14ac:dyDescent="0.2">
      <c r="B35" s="23" t="s">
        <v>540</v>
      </c>
      <c r="C35" s="23" t="s">
        <v>541</v>
      </c>
      <c r="D35" s="23" t="s">
        <v>539</v>
      </c>
      <c r="E35" s="28">
        <v>7500</v>
      </c>
      <c r="F35" s="25">
        <v>7401.68</v>
      </c>
      <c r="G35" s="25">
        <v>4.72</v>
      </c>
      <c r="H35" s="25">
        <v>3.56</v>
      </c>
    </row>
    <row r="36" spans="2:10" x14ac:dyDescent="0.2">
      <c r="B36" s="23" t="s">
        <v>542</v>
      </c>
      <c r="C36" s="23" t="s">
        <v>543</v>
      </c>
      <c r="D36" s="23" t="s">
        <v>544</v>
      </c>
      <c r="E36" s="28">
        <v>7500</v>
      </c>
      <c r="F36" s="25">
        <v>7293.73</v>
      </c>
      <c r="G36" s="25">
        <v>4.6500000000000004</v>
      </c>
      <c r="H36" s="25">
        <v>3.92</v>
      </c>
    </row>
    <row r="37" spans="2:10" x14ac:dyDescent="0.2">
      <c r="B37" s="23" t="s">
        <v>545</v>
      </c>
      <c r="C37" s="23" t="s">
        <v>546</v>
      </c>
      <c r="D37" s="23" t="s">
        <v>544</v>
      </c>
      <c r="E37" s="28">
        <v>2500</v>
      </c>
      <c r="F37" s="25">
        <v>2491.62</v>
      </c>
      <c r="G37" s="25">
        <v>1.59</v>
      </c>
      <c r="H37" s="25">
        <v>3.32</v>
      </c>
    </row>
    <row r="38" spans="2:10" x14ac:dyDescent="0.2">
      <c r="B38" s="23" t="s">
        <v>547</v>
      </c>
      <c r="C38" s="23" t="s">
        <v>548</v>
      </c>
      <c r="D38" s="23" t="s">
        <v>544</v>
      </c>
      <c r="E38" s="28">
        <v>500</v>
      </c>
      <c r="F38" s="25">
        <v>499.5</v>
      </c>
      <c r="G38" s="25">
        <v>0.32</v>
      </c>
      <c r="H38" s="25">
        <v>3.3</v>
      </c>
    </row>
    <row r="39" spans="2:10" x14ac:dyDescent="0.2">
      <c r="B39" s="48" t="s">
        <v>114</v>
      </c>
      <c r="C39" s="48"/>
      <c r="D39" s="48"/>
      <c r="E39" s="60"/>
      <c r="F39" s="58">
        <f>SUM(F33:F38)</f>
        <v>27572.769999999997</v>
      </c>
      <c r="G39" s="58">
        <f>SUM(G33:G38)</f>
        <v>17.580000000000002</v>
      </c>
      <c r="H39" s="61"/>
      <c r="I39" s="14"/>
      <c r="J39" s="14"/>
    </row>
    <row r="40" spans="2:10" x14ac:dyDescent="0.2">
      <c r="B40" s="48" t="s">
        <v>549</v>
      </c>
      <c r="C40" s="23"/>
      <c r="D40" s="23"/>
      <c r="E40" s="24"/>
      <c r="F40" s="25"/>
      <c r="G40" s="25"/>
      <c r="H40" s="25"/>
    </row>
    <row r="41" spans="2:10" x14ac:dyDescent="0.2">
      <c r="B41" s="23" t="s">
        <v>550</v>
      </c>
      <c r="C41" s="23" t="s">
        <v>551</v>
      </c>
      <c r="D41" s="23" t="s">
        <v>552</v>
      </c>
      <c r="E41" s="28">
        <v>1000</v>
      </c>
      <c r="F41" s="25">
        <v>4978.5200000000004</v>
      </c>
      <c r="G41" s="25">
        <v>3.17</v>
      </c>
      <c r="H41" s="25">
        <v>3.5</v>
      </c>
    </row>
    <row r="42" spans="2:10" x14ac:dyDescent="0.2">
      <c r="B42" s="23" t="s">
        <v>553</v>
      </c>
      <c r="C42" s="23" t="s">
        <v>554</v>
      </c>
      <c r="D42" s="23" t="s">
        <v>544</v>
      </c>
      <c r="E42" s="28">
        <v>1000</v>
      </c>
      <c r="F42" s="25">
        <v>4958.3500000000004</v>
      </c>
      <c r="G42" s="25">
        <v>3.16</v>
      </c>
      <c r="H42" s="25">
        <v>3.65</v>
      </c>
    </row>
    <row r="43" spans="2:10" x14ac:dyDescent="0.2">
      <c r="B43" s="23" t="s">
        <v>555</v>
      </c>
      <c r="C43" s="23" t="s">
        <v>556</v>
      </c>
      <c r="D43" s="23" t="s">
        <v>544</v>
      </c>
      <c r="E43" s="28">
        <v>800</v>
      </c>
      <c r="F43" s="25">
        <v>3986.26</v>
      </c>
      <c r="G43" s="25">
        <v>2.54</v>
      </c>
      <c r="H43" s="25">
        <v>3.4</v>
      </c>
    </row>
    <row r="44" spans="2:10" x14ac:dyDescent="0.2">
      <c r="B44" s="23" t="s">
        <v>557</v>
      </c>
      <c r="C44" s="23" t="s">
        <v>558</v>
      </c>
      <c r="D44" s="23" t="s">
        <v>544</v>
      </c>
      <c r="E44" s="28">
        <v>500</v>
      </c>
      <c r="F44" s="25">
        <v>2493.27</v>
      </c>
      <c r="G44" s="25">
        <v>1.59</v>
      </c>
      <c r="H44" s="25">
        <v>3.4</v>
      </c>
    </row>
    <row r="45" spans="2:10" x14ac:dyDescent="0.2">
      <c r="B45" s="23" t="s">
        <v>559</v>
      </c>
      <c r="C45" s="23" t="s">
        <v>560</v>
      </c>
      <c r="D45" s="23" t="s">
        <v>544</v>
      </c>
      <c r="E45" s="28">
        <v>500</v>
      </c>
      <c r="F45" s="25">
        <v>2487.9899999999998</v>
      </c>
      <c r="G45" s="25">
        <v>1.59</v>
      </c>
      <c r="H45" s="25">
        <v>3.39</v>
      </c>
    </row>
    <row r="46" spans="2:10" x14ac:dyDescent="0.2">
      <c r="B46" s="23" t="s">
        <v>561</v>
      </c>
      <c r="C46" s="23" t="s">
        <v>562</v>
      </c>
      <c r="D46" s="23" t="s">
        <v>552</v>
      </c>
      <c r="E46" s="28">
        <v>500</v>
      </c>
      <c r="F46" s="25">
        <v>2470.64</v>
      </c>
      <c r="G46" s="25">
        <v>1.57</v>
      </c>
      <c r="H46" s="25">
        <v>3.61</v>
      </c>
    </row>
    <row r="47" spans="2:10" x14ac:dyDescent="0.2">
      <c r="B47" s="23" t="s">
        <v>563</v>
      </c>
      <c r="C47" s="23" t="s">
        <v>564</v>
      </c>
      <c r="D47" s="23" t="s">
        <v>565</v>
      </c>
      <c r="E47" s="28">
        <v>500</v>
      </c>
      <c r="F47" s="25">
        <v>2466.3200000000002</v>
      </c>
      <c r="G47" s="25">
        <v>1.57</v>
      </c>
      <c r="H47" s="25">
        <v>3.72</v>
      </c>
    </row>
    <row r="48" spans="2:10" x14ac:dyDescent="0.2">
      <c r="B48" s="48" t="s">
        <v>114</v>
      </c>
      <c r="C48" s="48"/>
      <c r="D48" s="48"/>
      <c r="E48" s="60"/>
      <c r="F48" s="58">
        <f>SUM(F40:F47)</f>
        <v>23841.35</v>
      </c>
      <c r="G48" s="58">
        <f>SUM(G40:G47)</f>
        <v>15.190000000000001</v>
      </c>
      <c r="H48" s="61"/>
      <c r="I48" s="14"/>
      <c r="J48" s="14"/>
    </row>
    <row r="49" spans="2:10" x14ac:dyDescent="0.2">
      <c r="B49" s="48" t="s">
        <v>456</v>
      </c>
      <c r="C49" s="23"/>
      <c r="D49" s="23"/>
      <c r="E49" s="24"/>
      <c r="F49" s="25"/>
      <c r="G49" s="25"/>
      <c r="H49" s="25"/>
    </row>
    <row r="50" spans="2:10" x14ac:dyDescent="0.2">
      <c r="B50" s="23" t="s">
        <v>566</v>
      </c>
      <c r="C50" s="23" t="s">
        <v>567</v>
      </c>
      <c r="D50" s="23" t="s">
        <v>459</v>
      </c>
      <c r="E50" s="28">
        <v>11614700</v>
      </c>
      <c r="F50" s="25">
        <v>11460.69</v>
      </c>
      <c r="G50" s="25">
        <v>7.3</v>
      </c>
      <c r="H50" s="25">
        <v>3.43</v>
      </c>
    </row>
    <row r="51" spans="2:10" x14ac:dyDescent="0.2">
      <c r="B51" s="23" t="s">
        <v>568</v>
      </c>
      <c r="C51" s="23" t="s">
        <v>569</v>
      </c>
      <c r="D51" s="23" t="s">
        <v>459</v>
      </c>
      <c r="E51" s="28">
        <v>7500000</v>
      </c>
      <c r="F51" s="25">
        <v>7383.72</v>
      </c>
      <c r="G51" s="25">
        <v>4.71</v>
      </c>
      <c r="H51" s="25">
        <v>3.5</v>
      </c>
    </row>
    <row r="52" spans="2:10" x14ac:dyDescent="0.2">
      <c r="B52" s="23" t="s">
        <v>460</v>
      </c>
      <c r="C52" s="23" t="s">
        <v>461</v>
      </c>
      <c r="D52" s="23" t="s">
        <v>459</v>
      </c>
      <c r="E52" s="28">
        <v>5000000</v>
      </c>
      <c r="F52" s="25">
        <v>4989.34</v>
      </c>
      <c r="G52" s="25">
        <v>3.18</v>
      </c>
      <c r="H52" s="25">
        <v>3.25</v>
      </c>
    </row>
    <row r="53" spans="2:10" x14ac:dyDescent="0.2">
      <c r="B53" s="23" t="s">
        <v>570</v>
      </c>
      <c r="C53" s="23" t="s">
        <v>571</v>
      </c>
      <c r="D53" s="23" t="s">
        <v>459</v>
      </c>
      <c r="E53" s="28">
        <v>5000000</v>
      </c>
      <c r="F53" s="25">
        <v>4915.8599999999997</v>
      </c>
      <c r="G53" s="25">
        <v>3.13</v>
      </c>
      <c r="H53" s="25">
        <v>3.51</v>
      </c>
    </row>
    <row r="54" spans="2:10" x14ac:dyDescent="0.2">
      <c r="B54" s="23" t="s">
        <v>572</v>
      </c>
      <c r="C54" s="23" t="s">
        <v>573</v>
      </c>
      <c r="D54" s="23" t="s">
        <v>459</v>
      </c>
      <c r="E54" s="28">
        <v>4000000</v>
      </c>
      <c r="F54" s="25">
        <v>3935.24</v>
      </c>
      <c r="G54" s="25">
        <v>2.5099999999999998</v>
      </c>
      <c r="H54" s="25">
        <v>3.51</v>
      </c>
    </row>
    <row r="55" spans="2:10" x14ac:dyDescent="0.2">
      <c r="B55" s="23" t="s">
        <v>574</v>
      </c>
      <c r="C55" s="23" t="s">
        <v>575</v>
      </c>
      <c r="D55" s="23" t="s">
        <v>459</v>
      </c>
      <c r="E55" s="28">
        <v>3000000</v>
      </c>
      <c r="F55" s="25">
        <v>2980.18</v>
      </c>
      <c r="G55" s="25">
        <v>1.9</v>
      </c>
      <c r="H55" s="25">
        <v>3.33</v>
      </c>
    </row>
    <row r="56" spans="2:10" x14ac:dyDescent="0.2">
      <c r="B56" s="23" t="s">
        <v>576</v>
      </c>
      <c r="C56" s="23" t="s">
        <v>577</v>
      </c>
      <c r="D56" s="23" t="s">
        <v>459</v>
      </c>
      <c r="E56" s="28">
        <v>2500000</v>
      </c>
      <c r="F56" s="25">
        <v>2485.0300000000002</v>
      </c>
      <c r="G56" s="25">
        <v>1.58</v>
      </c>
      <c r="H56" s="25">
        <v>3.33</v>
      </c>
    </row>
    <row r="57" spans="2:10" x14ac:dyDescent="0.2">
      <c r="B57" s="23" t="s">
        <v>578</v>
      </c>
      <c r="C57" s="23" t="s">
        <v>579</v>
      </c>
      <c r="D57" s="23" t="s">
        <v>459</v>
      </c>
      <c r="E57" s="28">
        <v>2500000</v>
      </c>
      <c r="F57" s="25">
        <v>2480.2600000000002</v>
      </c>
      <c r="G57" s="25">
        <v>1.58</v>
      </c>
      <c r="H57" s="25">
        <v>3.34</v>
      </c>
    </row>
    <row r="58" spans="2:10" x14ac:dyDescent="0.2">
      <c r="B58" s="23" t="s">
        <v>580</v>
      </c>
      <c r="C58" s="23" t="s">
        <v>581</v>
      </c>
      <c r="D58" s="23" t="s">
        <v>459</v>
      </c>
      <c r="E58" s="28">
        <v>2500000</v>
      </c>
      <c r="F58" s="25">
        <v>2478.2600000000002</v>
      </c>
      <c r="G58" s="25">
        <v>1.58</v>
      </c>
      <c r="H58" s="25">
        <v>3.37</v>
      </c>
    </row>
    <row r="59" spans="2:10" x14ac:dyDescent="0.2">
      <c r="B59" s="30" t="s">
        <v>114</v>
      </c>
      <c r="C59" s="30"/>
      <c r="D59" s="30"/>
      <c r="E59" s="31"/>
      <c r="F59" s="32">
        <f>SUM(F49:F58)</f>
        <v>43108.58</v>
      </c>
      <c r="G59" s="32">
        <f>SUM(G49:G58)</f>
        <v>27.469999999999992</v>
      </c>
      <c r="H59" s="49"/>
      <c r="I59" s="14"/>
      <c r="J59" s="14"/>
    </row>
    <row r="60" spans="2:10" x14ac:dyDescent="0.2">
      <c r="B60" s="50" t="s">
        <v>115</v>
      </c>
      <c r="C60" s="50"/>
      <c r="D60" s="50"/>
      <c r="E60" s="51"/>
      <c r="F60" s="52">
        <f>F39+F48+F59</f>
        <v>94522.7</v>
      </c>
      <c r="G60" s="52">
        <f>G39+G48+G59</f>
        <v>60.239999999999995</v>
      </c>
      <c r="H60" s="52"/>
      <c r="I60" s="14"/>
      <c r="J60" s="14"/>
    </row>
    <row r="61" spans="2:10" x14ac:dyDescent="0.2">
      <c r="B61" s="48" t="s">
        <v>427</v>
      </c>
      <c r="C61" s="23"/>
      <c r="D61" s="23"/>
      <c r="E61" s="24"/>
      <c r="F61" s="25"/>
      <c r="G61" s="25"/>
      <c r="H61" s="25"/>
    </row>
    <row r="62" spans="2:10" x14ac:dyDescent="0.2">
      <c r="B62" s="23" t="s">
        <v>582</v>
      </c>
      <c r="C62" s="23" t="s">
        <v>583</v>
      </c>
      <c r="D62" s="23" t="s">
        <v>430</v>
      </c>
      <c r="E62" s="28">
        <v>6500000</v>
      </c>
      <c r="F62" s="25">
        <v>6576.47</v>
      </c>
      <c r="G62" s="25">
        <v>4.1900000000000004</v>
      </c>
      <c r="H62" s="25">
        <v>3.82</v>
      </c>
    </row>
    <row r="63" spans="2:10" x14ac:dyDescent="0.2">
      <c r="B63" s="23" t="s">
        <v>431</v>
      </c>
      <c r="C63" s="23" t="s">
        <v>432</v>
      </c>
      <c r="D63" s="23" t="s">
        <v>430</v>
      </c>
      <c r="E63" s="28">
        <v>2500000</v>
      </c>
      <c r="F63" s="25">
        <v>2529.0300000000002</v>
      </c>
      <c r="G63" s="25">
        <v>1.61</v>
      </c>
      <c r="H63" s="25">
        <v>3.57</v>
      </c>
    </row>
    <row r="64" spans="2:10" x14ac:dyDescent="0.2">
      <c r="B64" s="23" t="s">
        <v>428</v>
      </c>
      <c r="C64" s="23" t="s">
        <v>429</v>
      </c>
      <c r="D64" s="23" t="s">
        <v>430</v>
      </c>
      <c r="E64" s="28">
        <v>1000000</v>
      </c>
      <c r="F64" s="25">
        <v>1047.5</v>
      </c>
      <c r="G64" s="25">
        <v>0.67</v>
      </c>
      <c r="H64" s="25">
        <v>4.1900000000000004</v>
      </c>
    </row>
    <row r="65" spans="2:10" x14ac:dyDescent="0.2">
      <c r="B65" s="53" t="s">
        <v>584</v>
      </c>
      <c r="C65" s="53" t="s">
        <v>585</v>
      </c>
      <c r="D65" s="53" t="s">
        <v>430</v>
      </c>
      <c r="E65" s="54">
        <v>700000</v>
      </c>
      <c r="F65" s="55">
        <v>729.52</v>
      </c>
      <c r="G65" s="55">
        <v>0.46</v>
      </c>
      <c r="H65" s="55">
        <v>3.87</v>
      </c>
    </row>
    <row r="66" spans="2:10" x14ac:dyDescent="0.2">
      <c r="B66" s="56" t="s">
        <v>115</v>
      </c>
      <c r="C66" s="56"/>
      <c r="D66" s="56"/>
      <c r="E66" s="57"/>
      <c r="F66" s="58">
        <f>SUM(F62:F65)</f>
        <v>10882.52</v>
      </c>
      <c r="G66" s="58">
        <f>SUM(G62:G65)</f>
        <v>6.9300000000000006</v>
      </c>
      <c r="H66" s="58"/>
      <c r="I66" s="14"/>
      <c r="J66" s="14"/>
    </row>
    <row r="67" spans="2:10" x14ac:dyDescent="0.2">
      <c r="B67" s="48" t="s">
        <v>116</v>
      </c>
      <c r="C67" s="23"/>
      <c r="D67" s="23"/>
      <c r="E67" s="24"/>
      <c r="F67" s="25"/>
      <c r="G67" s="25"/>
      <c r="H67" s="25"/>
    </row>
    <row r="68" spans="2:10" x14ac:dyDescent="0.2">
      <c r="B68" s="23" t="s">
        <v>116</v>
      </c>
      <c r="C68" s="23"/>
      <c r="D68" s="23"/>
      <c r="E68" s="24"/>
      <c r="F68" s="25">
        <v>4031.01</v>
      </c>
      <c r="G68" s="25">
        <v>2.57</v>
      </c>
      <c r="H68" s="25"/>
    </row>
    <row r="69" spans="2:10" x14ac:dyDescent="0.2">
      <c r="B69" s="30" t="s">
        <v>114</v>
      </c>
      <c r="C69" s="30"/>
      <c r="D69" s="30"/>
      <c r="E69" s="31"/>
      <c r="F69" s="32">
        <f>SUM(F67:F68)</f>
        <v>4031.01</v>
      </c>
      <c r="G69" s="32">
        <f>SUM(G67:G68)</f>
        <v>2.57</v>
      </c>
      <c r="H69" s="49"/>
      <c r="I69" s="14"/>
      <c r="J69" s="14"/>
    </row>
    <row r="70" spans="2:10" x14ac:dyDescent="0.2">
      <c r="B70" s="34" t="s">
        <v>115</v>
      </c>
      <c r="C70" s="34"/>
      <c r="D70" s="34"/>
      <c r="E70" s="35"/>
      <c r="F70" s="36">
        <f>F69</f>
        <v>4031.01</v>
      </c>
      <c r="G70" s="36">
        <f>G69</f>
        <v>2.57</v>
      </c>
      <c r="H70" s="36"/>
      <c r="I70" s="14"/>
      <c r="J70" s="14"/>
    </row>
    <row r="71" spans="2:10" x14ac:dyDescent="0.2">
      <c r="B71" s="45" t="s">
        <v>118</v>
      </c>
      <c r="C71" s="45"/>
      <c r="D71" s="45"/>
      <c r="E71" s="46"/>
      <c r="F71" s="16">
        <f>F72-(+F31+F60+F66+F70)</f>
        <v>1700.4099999999744</v>
      </c>
      <c r="G71" s="16">
        <f>G72-(+G31+G60+G66+G70)</f>
        <v>0.31000000000000227</v>
      </c>
      <c r="H71" s="16"/>
      <c r="I71" s="14"/>
      <c r="J71" s="14"/>
    </row>
    <row r="72" spans="2:10" x14ac:dyDescent="0.2">
      <c r="B72" s="45" t="s">
        <v>117</v>
      </c>
      <c r="C72" s="45"/>
      <c r="D72" s="45"/>
      <c r="E72" s="46"/>
      <c r="F72" s="16">
        <v>158134.35999999999</v>
      </c>
      <c r="G72" s="16">
        <v>100</v>
      </c>
      <c r="H72" s="16"/>
      <c r="I72" s="14"/>
      <c r="J72" s="14"/>
    </row>
    <row r="74" spans="2:10" x14ac:dyDescent="0.2">
      <c r="B74" s="14" t="s">
        <v>816</v>
      </c>
    </row>
    <row r="75" spans="2:10" x14ac:dyDescent="0.2">
      <c r="B75" s="14" t="s">
        <v>586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81"/>
  <sheetViews>
    <sheetView workbookViewId="0">
      <selection activeCell="F68" sqref="F68"/>
    </sheetView>
  </sheetViews>
  <sheetFormatPr defaultRowHeight="12" x14ac:dyDescent="0.2"/>
  <cols>
    <col min="1" max="1" width="9.140625" style="1"/>
    <col min="2" max="2" width="60.28515625" style="1" bestFit="1" customWidth="1"/>
    <col min="3" max="3" width="13.5703125" style="1" bestFit="1" customWidth="1"/>
    <col min="4" max="4" width="21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62" t="s">
        <v>20</v>
      </c>
      <c r="C1" s="63"/>
      <c r="D1" s="63"/>
      <c r="E1" s="63"/>
      <c r="F1" s="63"/>
      <c r="G1" s="63"/>
      <c r="H1" s="63"/>
    </row>
    <row r="3" spans="2:8" ht="16.5" thickBot="1" x14ac:dyDescent="0.25">
      <c r="B3" s="2" t="s">
        <v>7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17" t="s">
        <v>31</v>
      </c>
      <c r="C5" s="18"/>
      <c r="D5" s="18"/>
      <c r="E5" s="19"/>
      <c r="F5" s="20"/>
      <c r="G5" s="20"/>
      <c r="H5" s="21"/>
    </row>
    <row r="6" spans="2:8" x14ac:dyDescent="0.2">
      <c r="B6" s="22" t="s">
        <v>32</v>
      </c>
      <c r="C6" s="23"/>
      <c r="D6" s="23"/>
      <c r="E6" s="24"/>
      <c r="F6" s="25"/>
      <c r="G6" s="25"/>
      <c r="H6" s="26"/>
    </row>
    <row r="7" spans="2:8" x14ac:dyDescent="0.2">
      <c r="B7" s="27" t="s">
        <v>122</v>
      </c>
      <c r="C7" s="23" t="s">
        <v>123</v>
      </c>
      <c r="D7" s="23" t="s">
        <v>41</v>
      </c>
      <c r="E7" s="28">
        <v>40032</v>
      </c>
      <c r="F7" s="25">
        <v>556.64</v>
      </c>
      <c r="G7" s="25">
        <v>1.41</v>
      </c>
      <c r="H7" s="26"/>
    </row>
    <row r="8" spans="2:8" x14ac:dyDescent="0.2">
      <c r="B8" s="27" t="s">
        <v>126</v>
      </c>
      <c r="C8" s="23" t="s">
        <v>127</v>
      </c>
      <c r="D8" s="23" t="s">
        <v>128</v>
      </c>
      <c r="E8" s="28">
        <v>11000</v>
      </c>
      <c r="F8" s="25">
        <v>520.79999999999995</v>
      </c>
      <c r="G8" s="25">
        <v>1.31</v>
      </c>
      <c r="H8" s="26"/>
    </row>
    <row r="9" spans="2:8" x14ac:dyDescent="0.2">
      <c r="B9" s="27" t="s">
        <v>119</v>
      </c>
      <c r="C9" s="23" t="s">
        <v>120</v>
      </c>
      <c r="D9" s="23" t="s">
        <v>121</v>
      </c>
      <c r="E9" s="28">
        <v>36920</v>
      </c>
      <c r="F9" s="25">
        <v>457.46</v>
      </c>
      <c r="G9" s="25">
        <v>1.1499999999999999</v>
      </c>
      <c r="H9" s="26"/>
    </row>
    <row r="10" spans="2:8" x14ac:dyDescent="0.2">
      <c r="B10" s="27" t="s">
        <v>165</v>
      </c>
      <c r="C10" s="23" t="s">
        <v>166</v>
      </c>
      <c r="D10" s="23" t="s">
        <v>167</v>
      </c>
      <c r="E10" s="28">
        <v>79500</v>
      </c>
      <c r="F10" s="25">
        <v>362.92</v>
      </c>
      <c r="G10" s="25">
        <v>0.92</v>
      </c>
      <c r="H10" s="26"/>
    </row>
    <row r="11" spans="2:8" x14ac:dyDescent="0.2">
      <c r="B11" s="27" t="s">
        <v>131</v>
      </c>
      <c r="C11" s="23" t="s">
        <v>132</v>
      </c>
      <c r="D11" s="23" t="s">
        <v>41</v>
      </c>
      <c r="E11" s="28">
        <v>54062</v>
      </c>
      <c r="F11" s="25">
        <v>358.38</v>
      </c>
      <c r="G11" s="25">
        <v>0.9</v>
      </c>
      <c r="H11" s="26"/>
    </row>
    <row r="12" spans="2:8" x14ac:dyDescent="0.2">
      <c r="B12" s="27" t="s">
        <v>39</v>
      </c>
      <c r="C12" s="23" t="s">
        <v>40</v>
      </c>
      <c r="D12" s="23" t="s">
        <v>41</v>
      </c>
      <c r="E12" s="28">
        <v>65914</v>
      </c>
      <c r="F12" s="25">
        <v>353.96</v>
      </c>
      <c r="G12" s="25">
        <v>0.89</v>
      </c>
      <c r="H12" s="26"/>
    </row>
    <row r="13" spans="2:8" x14ac:dyDescent="0.2">
      <c r="B13" s="27" t="s">
        <v>124</v>
      </c>
      <c r="C13" s="23" t="s">
        <v>125</v>
      </c>
      <c r="D13" s="23" t="s">
        <v>111</v>
      </c>
      <c r="E13" s="28">
        <v>17154</v>
      </c>
      <c r="F13" s="25">
        <v>315.97000000000003</v>
      </c>
      <c r="G13" s="25">
        <v>0.8</v>
      </c>
      <c r="H13" s="26"/>
    </row>
    <row r="14" spans="2:8" x14ac:dyDescent="0.2">
      <c r="B14" s="27" t="s">
        <v>145</v>
      </c>
      <c r="C14" s="23" t="s">
        <v>146</v>
      </c>
      <c r="D14" s="23" t="s">
        <v>147</v>
      </c>
      <c r="E14" s="28">
        <v>9000</v>
      </c>
      <c r="F14" s="25">
        <v>303.29000000000002</v>
      </c>
      <c r="G14" s="25">
        <v>0.77</v>
      </c>
      <c r="H14" s="26"/>
    </row>
    <row r="15" spans="2:8" x14ac:dyDescent="0.2">
      <c r="B15" s="27" t="s">
        <v>129</v>
      </c>
      <c r="C15" s="23" t="s">
        <v>130</v>
      </c>
      <c r="D15" s="23" t="s">
        <v>121</v>
      </c>
      <c r="E15" s="28">
        <v>9130</v>
      </c>
      <c r="F15" s="25">
        <v>284.07</v>
      </c>
      <c r="G15" s="25">
        <v>0.72</v>
      </c>
      <c r="H15" s="26"/>
    </row>
    <row r="16" spans="2:8" x14ac:dyDescent="0.2">
      <c r="B16" s="27" t="s">
        <v>253</v>
      </c>
      <c r="C16" s="23" t="s">
        <v>254</v>
      </c>
      <c r="D16" s="23" t="s">
        <v>191</v>
      </c>
      <c r="E16" s="28">
        <v>12870</v>
      </c>
      <c r="F16" s="25">
        <v>272.37</v>
      </c>
      <c r="G16" s="25">
        <v>0.69</v>
      </c>
      <c r="H16" s="26"/>
    </row>
    <row r="17" spans="2:8" x14ac:dyDescent="0.2">
      <c r="B17" s="27" t="s">
        <v>202</v>
      </c>
      <c r="C17" s="23" t="s">
        <v>203</v>
      </c>
      <c r="D17" s="23" t="s">
        <v>204</v>
      </c>
      <c r="E17" s="28">
        <v>10000</v>
      </c>
      <c r="F17" s="25">
        <v>265.14999999999998</v>
      </c>
      <c r="G17" s="25">
        <v>0.67</v>
      </c>
      <c r="H17" s="26"/>
    </row>
    <row r="18" spans="2:8" x14ac:dyDescent="0.2">
      <c r="B18" s="27" t="s">
        <v>92</v>
      </c>
      <c r="C18" s="23" t="s">
        <v>93</v>
      </c>
      <c r="D18" s="23" t="s">
        <v>74</v>
      </c>
      <c r="E18" s="28">
        <v>50000</v>
      </c>
      <c r="F18" s="25">
        <v>257.89999999999998</v>
      </c>
      <c r="G18" s="25">
        <v>0.65</v>
      </c>
      <c r="H18" s="26"/>
    </row>
    <row r="19" spans="2:8" x14ac:dyDescent="0.2">
      <c r="B19" s="27" t="s">
        <v>181</v>
      </c>
      <c r="C19" s="23" t="s">
        <v>182</v>
      </c>
      <c r="D19" s="23" t="s">
        <v>56</v>
      </c>
      <c r="E19" s="28">
        <v>10000</v>
      </c>
      <c r="F19" s="25">
        <v>255.31</v>
      </c>
      <c r="G19" s="25">
        <v>0.64</v>
      </c>
      <c r="H19" s="26"/>
    </row>
    <row r="20" spans="2:8" x14ac:dyDescent="0.2">
      <c r="B20" s="27" t="s">
        <v>174</v>
      </c>
      <c r="C20" s="23" t="s">
        <v>175</v>
      </c>
      <c r="D20" s="23" t="s">
        <v>176</v>
      </c>
      <c r="E20" s="28">
        <v>3715</v>
      </c>
      <c r="F20" s="25">
        <v>236.74</v>
      </c>
      <c r="G20" s="25">
        <v>0.6</v>
      </c>
      <c r="H20" s="26"/>
    </row>
    <row r="21" spans="2:8" x14ac:dyDescent="0.2">
      <c r="B21" s="27" t="s">
        <v>106</v>
      </c>
      <c r="C21" s="23" t="s">
        <v>107</v>
      </c>
      <c r="D21" s="23" t="s">
        <v>108</v>
      </c>
      <c r="E21" s="28">
        <v>40000</v>
      </c>
      <c r="F21" s="25">
        <v>221.44</v>
      </c>
      <c r="G21" s="25">
        <v>0.56000000000000005</v>
      </c>
      <c r="H21" s="26"/>
    </row>
    <row r="22" spans="2:8" x14ac:dyDescent="0.2">
      <c r="B22" s="27" t="s">
        <v>319</v>
      </c>
      <c r="C22" s="23" t="s">
        <v>320</v>
      </c>
      <c r="D22" s="23" t="s">
        <v>77</v>
      </c>
      <c r="E22" s="28">
        <v>100000</v>
      </c>
      <c r="F22" s="25">
        <v>215.85</v>
      </c>
      <c r="G22" s="25">
        <v>0.54</v>
      </c>
      <c r="H22" s="26"/>
    </row>
    <row r="23" spans="2:8" x14ac:dyDescent="0.2">
      <c r="B23" s="27" t="s">
        <v>140</v>
      </c>
      <c r="C23" s="23" t="s">
        <v>141</v>
      </c>
      <c r="D23" s="23" t="s">
        <v>41</v>
      </c>
      <c r="E23" s="28">
        <v>12450</v>
      </c>
      <c r="F23" s="25">
        <v>213.26</v>
      </c>
      <c r="G23" s="25">
        <v>0.54</v>
      </c>
      <c r="H23" s="26"/>
    </row>
    <row r="24" spans="2:8" x14ac:dyDescent="0.2">
      <c r="B24" s="27" t="s">
        <v>257</v>
      </c>
      <c r="C24" s="23" t="s">
        <v>258</v>
      </c>
      <c r="D24" s="23" t="s">
        <v>204</v>
      </c>
      <c r="E24" s="28">
        <v>140000</v>
      </c>
      <c r="F24" s="25">
        <v>210.14</v>
      </c>
      <c r="G24" s="25">
        <v>0.53</v>
      </c>
      <c r="H24" s="26"/>
    </row>
    <row r="25" spans="2:8" x14ac:dyDescent="0.2">
      <c r="B25" s="27" t="s">
        <v>587</v>
      </c>
      <c r="C25" s="23" t="s">
        <v>588</v>
      </c>
      <c r="D25" s="23" t="s">
        <v>69</v>
      </c>
      <c r="E25" s="28">
        <v>18000</v>
      </c>
      <c r="F25" s="25">
        <v>207.89</v>
      </c>
      <c r="G25" s="25">
        <v>0.52</v>
      </c>
      <c r="H25" s="26"/>
    </row>
    <row r="26" spans="2:8" x14ac:dyDescent="0.2">
      <c r="B26" s="27" t="s">
        <v>163</v>
      </c>
      <c r="C26" s="23" t="s">
        <v>164</v>
      </c>
      <c r="D26" s="23" t="s">
        <v>128</v>
      </c>
      <c r="E26" s="28">
        <v>30000</v>
      </c>
      <c r="F26" s="25">
        <v>204.9</v>
      </c>
      <c r="G26" s="25">
        <v>0.52</v>
      </c>
      <c r="H26" s="26"/>
    </row>
    <row r="27" spans="2:8" x14ac:dyDescent="0.2">
      <c r="B27" s="27" t="s">
        <v>172</v>
      </c>
      <c r="C27" s="23" t="s">
        <v>173</v>
      </c>
      <c r="D27" s="23" t="s">
        <v>128</v>
      </c>
      <c r="E27" s="28">
        <v>12000</v>
      </c>
      <c r="F27" s="25">
        <v>197.21</v>
      </c>
      <c r="G27" s="25">
        <v>0.5</v>
      </c>
      <c r="H27" s="26"/>
    </row>
    <row r="28" spans="2:8" x14ac:dyDescent="0.2">
      <c r="B28" s="27" t="s">
        <v>198</v>
      </c>
      <c r="C28" s="23" t="s">
        <v>199</v>
      </c>
      <c r="D28" s="23" t="s">
        <v>128</v>
      </c>
      <c r="E28" s="28">
        <v>19736</v>
      </c>
      <c r="F28" s="25">
        <v>194.61</v>
      </c>
      <c r="G28" s="25">
        <v>0.49</v>
      </c>
      <c r="H28" s="26"/>
    </row>
    <row r="29" spans="2:8" x14ac:dyDescent="0.2">
      <c r="B29" s="27" t="s">
        <v>185</v>
      </c>
      <c r="C29" s="23" t="s">
        <v>186</v>
      </c>
      <c r="D29" s="23" t="s">
        <v>56</v>
      </c>
      <c r="E29" s="28">
        <v>13700</v>
      </c>
      <c r="F29" s="25">
        <v>194.58</v>
      </c>
      <c r="G29" s="25">
        <v>0.49</v>
      </c>
      <c r="H29" s="26"/>
    </row>
    <row r="30" spans="2:8" x14ac:dyDescent="0.2">
      <c r="B30" s="27" t="s">
        <v>207</v>
      </c>
      <c r="C30" s="23" t="s">
        <v>208</v>
      </c>
      <c r="D30" s="23" t="s">
        <v>147</v>
      </c>
      <c r="E30" s="28">
        <v>10000</v>
      </c>
      <c r="F30" s="25">
        <v>185.21</v>
      </c>
      <c r="G30" s="25">
        <v>0.47</v>
      </c>
      <c r="H30" s="26"/>
    </row>
    <row r="31" spans="2:8" x14ac:dyDescent="0.2">
      <c r="B31" s="27" t="s">
        <v>82</v>
      </c>
      <c r="C31" s="23" t="s">
        <v>83</v>
      </c>
      <c r="D31" s="23" t="s">
        <v>74</v>
      </c>
      <c r="E31" s="28">
        <v>50000</v>
      </c>
      <c r="F31" s="25">
        <v>185.13</v>
      </c>
      <c r="G31" s="25">
        <v>0.47</v>
      </c>
      <c r="H31" s="26"/>
    </row>
    <row r="32" spans="2:8" x14ac:dyDescent="0.2">
      <c r="B32" s="27" t="s">
        <v>150</v>
      </c>
      <c r="C32" s="23" t="s">
        <v>151</v>
      </c>
      <c r="D32" s="23" t="s">
        <v>77</v>
      </c>
      <c r="E32" s="28">
        <v>15000</v>
      </c>
      <c r="F32" s="25">
        <v>183.44</v>
      </c>
      <c r="G32" s="25">
        <v>0.46</v>
      </c>
      <c r="H32" s="26"/>
    </row>
    <row r="33" spans="2:10" x14ac:dyDescent="0.2">
      <c r="B33" s="27" t="s">
        <v>187</v>
      </c>
      <c r="C33" s="23" t="s">
        <v>188</v>
      </c>
      <c r="D33" s="23" t="s">
        <v>176</v>
      </c>
      <c r="E33" s="28">
        <v>15000</v>
      </c>
      <c r="F33" s="25">
        <v>182.45</v>
      </c>
      <c r="G33" s="25">
        <v>0.46</v>
      </c>
      <c r="H33" s="26"/>
    </row>
    <row r="34" spans="2:10" x14ac:dyDescent="0.2">
      <c r="B34" s="27" t="s">
        <v>179</v>
      </c>
      <c r="C34" s="23" t="s">
        <v>180</v>
      </c>
      <c r="D34" s="23" t="s">
        <v>167</v>
      </c>
      <c r="E34" s="28">
        <v>11400</v>
      </c>
      <c r="F34" s="25">
        <v>181.07</v>
      </c>
      <c r="G34" s="25">
        <v>0.46</v>
      </c>
      <c r="H34" s="26"/>
    </row>
    <row r="35" spans="2:10" x14ac:dyDescent="0.2">
      <c r="B35" s="27" t="s">
        <v>219</v>
      </c>
      <c r="C35" s="23" t="s">
        <v>220</v>
      </c>
      <c r="D35" s="23" t="s">
        <v>139</v>
      </c>
      <c r="E35" s="28">
        <v>6000</v>
      </c>
      <c r="F35" s="25">
        <v>155.41</v>
      </c>
      <c r="G35" s="25">
        <v>0.39</v>
      </c>
      <c r="H35" s="26"/>
    </row>
    <row r="36" spans="2:10" x14ac:dyDescent="0.2">
      <c r="B36" s="27" t="s">
        <v>148</v>
      </c>
      <c r="C36" s="23" t="s">
        <v>149</v>
      </c>
      <c r="D36" s="23" t="s">
        <v>144</v>
      </c>
      <c r="E36" s="28">
        <v>2150</v>
      </c>
      <c r="F36" s="25">
        <v>154.94</v>
      </c>
      <c r="G36" s="25">
        <v>0.39</v>
      </c>
      <c r="H36" s="26"/>
    </row>
    <row r="37" spans="2:10" x14ac:dyDescent="0.2">
      <c r="B37" s="27" t="s">
        <v>51</v>
      </c>
      <c r="C37" s="23" t="s">
        <v>52</v>
      </c>
      <c r="D37" s="23" t="s">
        <v>53</v>
      </c>
      <c r="E37" s="28">
        <v>15966</v>
      </c>
      <c r="F37" s="25">
        <v>145.41</v>
      </c>
      <c r="G37" s="25">
        <v>0.37</v>
      </c>
      <c r="H37" s="26"/>
    </row>
    <row r="38" spans="2:10" x14ac:dyDescent="0.2">
      <c r="B38" s="27" t="s">
        <v>152</v>
      </c>
      <c r="C38" s="23" t="s">
        <v>153</v>
      </c>
      <c r="D38" s="23" t="s">
        <v>139</v>
      </c>
      <c r="E38" s="28">
        <v>4000</v>
      </c>
      <c r="F38" s="25">
        <v>140.04</v>
      </c>
      <c r="G38" s="25">
        <v>0.35</v>
      </c>
      <c r="H38" s="26"/>
    </row>
    <row r="39" spans="2:10" x14ac:dyDescent="0.2">
      <c r="B39" s="27" t="s">
        <v>137</v>
      </c>
      <c r="C39" s="23" t="s">
        <v>138</v>
      </c>
      <c r="D39" s="23" t="s">
        <v>139</v>
      </c>
      <c r="E39" s="28">
        <v>5597</v>
      </c>
      <c r="F39" s="25">
        <v>126.71</v>
      </c>
      <c r="G39" s="25">
        <v>0.32</v>
      </c>
      <c r="H39" s="26"/>
    </row>
    <row r="40" spans="2:10" x14ac:dyDescent="0.2">
      <c r="B40" s="27" t="s">
        <v>589</v>
      </c>
      <c r="C40" s="23" t="s">
        <v>590</v>
      </c>
      <c r="D40" s="23" t="s">
        <v>53</v>
      </c>
      <c r="E40" s="28">
        <v>28230</v>
      </c>
      <c r="F40" s="25">
        <v>70.180000000000007</v>
      </c>
      <c r="G40" s="25">
        <v>0.18</v>
      </c>
      <c r="H40" s="26"/>
    </row>
    <row r="41" spans="2:10" x14ac:dyDescent="0.2">
      <c r="B41" s="27" t="s">
        <v>257</v>
      </c>
      <c r="C41" s="23" t="s">
        <v>273</v>
      </c>
      <c r="D41" s="23" t="s">
        <v>204</v>
      </c>
      <c r="E41" s="28">
        <v>15000</v>
      </c>
      <c r="F41" s="25">
        <v>18.39</v>
      </c>
      <c r="G41" s="25">
        <v>0.05</v>
      </c>
      <c r="H41" s="26"/>
    </row>
    <row r="42" spans="2:10" x14ac:dyDescent="0.2">
      <c r="B42" s="29" t="s">
        <v>114</v>
      </c>
      <c r="C42" s="30"/>
      <c r="D42" s="30"/>
      <c r="E42" s="31"/>
      <c r="F42" s="32">
        <f>SUM(F7:F41)</f>
        <v>8389.2199999999975</v>
      </c>
      <c r="G42" s="32">
        <f>SUM(G7:G41)</f>
        <v>21.180000000000003</v>
      </c>
      <c r="H42" s="33"/>
      <c r="I42" s="14"/>
      <c r="J42" s="14"/>
    </row>
    <row r="43" spans="2:10" x14ac:dyDescent="0.2">
      <c r="B43" s="37" t="s">
        <v>115</v>
      </c>
      <c r="C43" s="37"/>
      <c r="D43" s="37"/>
      <c r="E43" s="38"/>
      <c r="F43" s="39">
        <f>F42</f>
        <v>8389.2199999999975</v>
      </c>
      <c r="G43" s="39">
        <f>G42</f>
        <v>21.180000000000003</v>
      </c>
      <c r="H43" s="15"/>
      <c r="I43" s="14"/>
      <c r="J43" s="14"/>
    </row>
    <row r="44" spans="2:10" x14ac:dyDescent="0.2">
      <c r="B44" s="47" t="s">
        <v>355</v>
      </c>
      <c r="C44" s="41"/>
      <c r="D44" s="41"/>
      <c r="E44" s="42"/>
      <c r="F44" s="43"/>
      <c r="G44" s="43"/>
      <c r="H44" s="43"/>
    </row>
    <row r="45" spans="2:10" x14ac:dyDescent="0.2">
      <c r="B45" s="48" t="s">
        <v>32</v>
      </c>
      <c r="C45" s="23"/>
      <c r="D45" s="23"/>
      <c r="E45" s="24"/>
      <c r="F45" s="25"/>
      <c r="G45" s="25"/>
      <c r="H45" s="25"/>
    </row>
    <row r="46" spans="2:10" x14ac:dyDescent="0.2">
      <c r="B46" s="23" t="s">
        <v>399</v>
      </c>
      <c r="C46" s="23" t="s">
        <v>400</v>
      </c>
      <c r="D46" s="23" t="s">
        <v>361</v>
      </c>
      <c r="E46" s="28">
        <v>150</v>
      </c>
      <c r="F46" s="25">
        <v>1659.06</v>
      </c>
      <c r="G46" s="25">
        <v>4.1900000000000004</v>
      </c>
      <c r="H46" s="25">
        <v>7.02</v>
      </c>
    </row>
    <row r="47" spans="2:10" x14ac:dyDescent="0.2">
      <c r="B47" s="23" t="s">
        <v>478</v>
      </c>
      <c r="C47" s="23" t="s">
        <v>479</v>
      </c>
      <c r="D47" s="23" t="s">
        <v>361</v>
      </c>
      <c r="E47" s="28">
        <v>150</v>
      </c>
      <c r="F47" s="25">
        <v>1536.59</v>
      </c>
      <c r="G47" s="25">
        <v>3.88</v>
      </c>
      <c r="H47" s="25">
        <v>4.16</v>
      </c>
    </row>
    <row r="48" spans="2:10" x14ac:dyDescent="0.2">
      <c r="B48" s="23" t="s">
        <v>397</v>
      </c>
      <c r="C48" s="23" t="s">
        <v>398</v>
      </c>
      <c r="D48" s="23" t="s">
        <v>361</v>
      </c>
      <c r="E48" s="28">
        <v>100</v>
      </c>
      <c r="F48" s="25">
        <v>1109.7</v>
      </c>
      <c r="G48" s="25">
        <v>2.8</v>
      </c>
      <c r="H48" s="25">
        <v>6.56</v>
      </c>
    </row>
    <row r="49" spans="2:10" x14ac:dyDescent="0.2">
      <c r="B49" s="23" t="s">
        <v>376</v>
      </c>
      <c r="C49" s="23" t="s">
        <v>377</v>
      </c>
      <c r="D49" s="23" t="s">
        <v>361</v>
      </c>
      <c r="E49" s="28">
        <v>100</v>
      </c>
      <c r="F49" s="25">
        <v>1071.74</v>
      </c>
      <c r="G49" s="25">
        <v>2.71</v>
      </c>
      <c r="H49" s="25">
        <v>5.62</v>
      </c>
    </row>
    <row r="50" spans="2:10" x14ac:dyDescent="0.2">
      <c r="B50" s="23" t="s">
        <v>486</v>
      </c>
      <c r="C50" s="23" t="s">
        <v>487</v>
      </c>
      <c r="D50" s="23" t="s">
        <v>361</v>
      </c>
      <c r="E50" s="28">
        <v>100</v>
      </c>
      <c r="F50" s="25">
        <v>1053.3900000000001</v>
      </c>
      <c r="G50" s="25">
        <v>2.66</v>
      </c>
      <c r="H50" s="25">
        <v>5.93</v>
      </c>
    </row>
    <row r="51" spans="2:10" x14ac:dyDescent="0.2">
      <c r="B51" s="23" t="s">
        <v>386</v>
      </c>
      <c r="C51" s="23" t="s">
        <v>387</v>
      </c>
      <c r="D51" s="23" t="s">
        <v>361</v>
      </c>
      <c r="E51" s="28">
        <v>100</v>
      </c>
      <c r="F51" s="25">
        <v>1043.49</v>
      </c>
      <c r="G51" s="25">
        <v>2.63</v>
      </c>
      <c r="H51" s="25">
        <v>4.8899999999999997</v>
      </c>
    </row>
    <row r="52" spans="2:10" x14ac:dyDescent="0.2">
      <c r="B52" s="23" t="s">
        <v>388</v>
      </c>
      <c r="C52" s="23" t="s">
        <v>389</v>
      </c>
      <c r="D52" s="23" t="s">
        <v>361</v>
      </c>
      <c r="E52" s="28">
        <v>100</v>
      </c>
      <c r="F52" s="25">
        <v>1017.73</v>
      </c>
      <c r="G52" s="25">
        <v>2.57</v>
      </c>
      <c r="H52" s="25">
        <v>4.01</v>
      </c>
    </row>
    <row r="53" spans="2:10" x14ac:dyDescent="0.2">
      <c r="B53" s="23" t="s">
        <v>591</v>
      </c>
      <c r="C53" s="23" t="s">
        <v>592</v>
      </c>
      <c r="D53" s="23" t="s">
        <v>361</v>
      </c>
      <c r="E53" s="28">
        <v>50</v>
      </c>
      <c r="F53" s="25">
        <v>574.30999999999995</v>
      </c>
      <c r="G53" s="25">
        <v>1.45</v>
      </c>
      <c r="H53" s="25">
        <v>6.45</v>
      </c>
    </row>
    <row r="54" spans="2:10" x14ac:dyDescent="0.2">
      <c r="B54" s="23" t="s">
        <v>480</v>
      </c>
      <c r="C54" s="23" t="s">
        <v>481</v>
      </c>
      <c r="D54" s="23" t="s">
        <v>361</v>
      </c>
      <c r="E54" s="28">
        <v>50</v>
      </c>
      <c r="F54" s="25">
        <v>543.28</v>
      </c>
      <c r="G54" s="25">
        <v>1.37</v>
      </c>
      <c r="H54" s="25">
        <v>5.65</v>
      </c>
    </row>
    <row r="55" spans="2:10" x14ac:dyDescent="0.2">
      <c r="B55" s="23" t="s">
        <v>382</v>
      </c>
      <c r="C55" s="23" t="s">
        <v>383</v>
      </c>
      <c r="D55" s="23" t="s">
        <v>361</v>
      </c>
      <c r="E55" s="28">
        <v>50</v>
      </c>
      <c r="F55" s="25">
        <v>538.22</v>
      </c>
      <c r="G55" s="25">
        <v>1.36</v>
      </c>
      <c r="H55" s="25">
        <v>5.12</v>
      </c>
    </row>
    <row r="56" spans="2:10" x14ac:dyDescent="0.2">
      <c r="B56" s="23" t="s">
        <v>362</v>
      </c>
      <c r="C56" s="23" t="s">
        <v>363</v>
      </c>
      <c r="D56" s="23" t="s">
        <v>361</v>
      </c>
      <c r="E56" s="28">
        <v>50</v>
      </c>
      <c r="F56" s="25">
        <v>510.34</v>
      </c>
      <c r="G56" s="25">
        <v>1.29</v>
      </c>
      <c r="H56" s="25">
        <v>4.09</v>
      </c>
    </row>
    <row r="57" spans="2:10" x14ac:dyDescent="0.2">
      <c r="B57" s="30" t="s">
        <v>114</v>
      </c>
      <c r="C57" s="30"/>
      <c r="D57" s="30"/>
      <c r="E57" s="31"/>
      <c r="F57" s="32">
        <f>SUM(F45:F56)</f>
        <v>10657.849999999999</v>
      </c>
      <c r="G57" s="32">
        <f>SUM(G45:G56)</f>
        <v>26.91</v>
      </c>
      <c r="H57" s="49"/>
      <c r="I57" s="14"/>
      <c r="J57" s="14"/>
    </row>
    <row r="58" spans="2:10" x14ac:dyDescent="0.2">
      <c r="B58" s="50" t="s">
        <v>115</v>
      </c>
      <c r="C58" s="50"/>
      <c r="D58" s="50"/>
      <c r="E58" s="51"/>
      <c r="F58" s="52">
        <f>F57</f>
        <v>10657.849999999999</v>
      </c>
      <c r="G58" s="52">
        <f>G57</f>
        <v>26.91</v>
      </c>
      <c r="H58" s="52"/>
      <c r="I58" s="14"/>
      <c r="J58" s="14"/>
    </row>
    <row r="59" spans="2:10" x14ac:dyDescent="0.2">
      <c r="B59" s="48" t="s">
        <v>455</v>
      </c>
      <c r="C59" s="23"/>
      <c r="D59" s="23"/>
      <c r="E59" s="24"/>
      <c r="F59" s="25"/>
      <c r="G59" s="25"/>
      <c r="H59" s="25"/>
    </row>
    <row r="60" spans="2:10" x14ac:dyDescent="0.2">
      <c r="B60" s="48" t="s">
        <v>456</v>
      </c>
      <c r="C60" s="23"/>
      <c r="D60" s="23"/>
      <c r="E60" s="24"/>
      <c r="F60" s="25"/>
      <c r="G60" s="25"/>
      <c r="H60" s="25"/>
    </row>
    <row r="61" spans="2:10" x14ac:dyDescent="0.2">
      <c r="B61" s="23" t="s">
        <v>593</v>
      </c>
      <c r="C61" s="23" t="s">
        <v>594</v>
      </c>
      <c r="D61" s="23" t="s">
        <v>459</v>
      </c>
      <c r="E61" s="28">
        <v>3250000</v>
      </c>
      <c r="F61" s="25">
        <v>3177.58</v>
      </c>
      <c r="G61" s="25">
        <v>8.02</v>
      </c>
      <c r="H61" s="25">
        <v>3.55</v>
      </c>
    </row>
    <row r="62" spans="2:10" x14ac:dyDescent="0.2">
      <c r="B62" s="30" t="s">
        <v>114</v>
      </c>
      <c r="C62" s="30"/>
      <c r="D62" s="30"/>
      <c r="E62" s="31"/>
      <c r="F62" s="32">
        <f>SUM(F60:F61)</f>
        <v>3177.58</v>
      </c>
      <c r="G62" s="32">
        <f>SUM(G60:G61)</f>
        <v>8.02</v>
      </c>
      <c r="H62" s="49"/>
      <c r="I62" s="14"/>
      <c r="J62" s="14"/>
    </row>
    <row r="63" spans="2:10" x14ac:dyDescent="0.2">
      <c r="B63" s="50" t="s">
        <v>115</v>
      </c>
      <c r="C63" s="50"/>
      <c r="D63" s="50"/>
      <c r="E63" s="51"/>
      <c r="F63" s="52">
        <f>+F62</f>
        <v>3177.58</v>
      </c>
      <c r="G63" s="52">
        <f>+G62</f>
        <v>8.02</v>
      </c>
      <c r="H63" s="52"/>
      <c r="I63" s="14"/>
      <c r="J63" s="14"/>
    </row>
    <row r="64" spans="2:10" x14ac:dyDescent="0.2">
      <c r="B64" s="48" t="s">
        <v>427</v>
      </c>
      <c r="C64" s="23"/>
      <c r="D64" s="23"/>
      <c r="E64" s="24"/>
      <c r="F64" s="25"/>
      <c r="G64" s="25"/>
      <c r="H64" s="25"/>
    </row>
    <row r="65" spans="2:10" x14ac:dyDescent="0.2">
      <c r="B65" s="23" t="s">
        <v>431</v>
      </c>
      <c r="C65" s="23" t="s">
        <v>432</v>
      </c>
      <c r="D65" s="23" t="s">
        <v>430</v>
      </c>
      <c r="E65" s="28">
        <v>4000000</v>
      </c>
      <c r="F65" s="25">
        <v>4046.45</v>
      </c>
      <c r="G65" s="25">
        <v>10.210000000000001</v>
      </c>
      <c r="H65" s="25">
        <v>3.57</v>
      </c>
    </row>
    <row r="66" spans="2:10" x14ac:dyDescent="0.2">
      <c r="B66" s="23" t="s">
        <v>428</v>
      </c>
      <c r="C66" s="23" t="s">
        <v>429</v>
      </c>
      <c r="D66" s="23" t="s">
        <v>430</v>
      </c>
      <c r="E66" s="28">
        <v>3000000</v>
      </c>
      <c r="F66" s="25">
        <v>3142.5</v>
      </c>
      <c r="G66" s="25">
        <v>7.93</v>
      </c>
      <c r="H66" s="25">
        <v>4.1900000000000004</v>
      </c>
    </row>
    <row r="67" spans="2:10" x14ac:dyDescent="0.2">
      <c r="B67" s="23" t="s">
        <v>439</v>
      </c>
      <c r="C67" s="23" t="s">
        <v>440</v>
      </c>
      <c r="D67" s="23" t="s">
        <v>430</v>
      </c>
      <c r="E67" s="28">
        <v>1500000</v>
      </c>
      <c r="F67" s="25">
        <v>1494.27</v>
      </c>
      <c r="G67" s="25">
        <v>3.77</v>
      </c>
      <c r="H67" s="25">
        <v>5.9</v>
      </c>
    </row>
    <row r="68" spans="2:10" x14ac:dyDescent="0.2">
      <c r="B68" s="23" t="s">
        <v>437</v>
      </c>
      <c r="C68" s="23" t="s">
        <v>438</v>
      </c>
      <c r="D68" s="23" t="s">
        <v>430</v>
      </c>
      <c r="E68" s="28">
        <v>1000000</v>
      </c>
      <c r="F68" s="25">
        <v>1054.72</v>
      </c>
      <c r="G68" s="25">
        <v>2.66</v>
      </c>
      <c r="H68" s="25">
        <v>5.74</v>
      </c>
    </row>
    <row r="69" spans="2:10" x14ac:dyDescent="0.2">
      <c r="B69" s="23" t="s">
        <v>595</v>
      </c>
      <c r="C69" s="23" t="s">
        <v>596</v>
      </c>
      <c r="D69" s="23" t="s">
        <v>430</v>
      </c>
      <c r="E69" s="28">
        <v>1000000</v>
      </c>
      <c r="F69" s="25">
        <v>999.43</v>
      </c>
      <c r="G69" s="25">
        <v>2.52</v>
      </c>
      <c r="H69" s="25">
        <v>6.59</v>
      </c>
    </row>
    <row r="70" spans="2:10" x14ac:dyDescent="0.2">
      <c r="B70" s="23" t="s">
        <v>597</v>
      </c>
      <c r="C70" s="23" t="s">
        <v>598</v>
      </c>
      <c r="D70" s="23" t="s">
        <v>430</v>
      </c>
      <c r="E70" s="28">
        <v>800000</v>
      </c>
      <c r="F70" s="25">
        <v>836.55</v>
      </c>
      <c r="G70" s="25">
        <v>2.11</v>
      </c>
      <c r="H70" s="25">
        <v>4.4000000000000004</v>
      </c>
    </row>
    <row r="71" spans="2:10" x14ac:dyDescent="0.2">
      <c r="B71" s="23" t="s">
        <v>496</v>
      </c>
      <c r="C71" s="23" t="s">
        <v>497</v>
      </c>
      <c r="D71" s="23" t="s">
        <v>430</v>
      </c>
      <c r="E71" s="28">
        <v>500000</v>
      </c>
      <c r="F71" s="25">
        <v>493.31</v>
      </c>
      <c r="G71" s="25">
        <v>1.25</v>
      </c>
      <c r="H71" s="25">
        <v>6.34</v>
      </c>
    </row>
    <row r="72" spans="2:10" x14ac:dyDescent="0.2">
      <c r="B72" s="53" t="s">
        <v>599</v>
      </c>
      <c r="C72" s="53" t="s">
        <v>600</v>
      </c>
      <c r="D72" s="53" t="s">
        <v>430</v>
      </c>
      <c r="E72" s="54">
        <v>800</v>
      </c>
      <c r="F72" s="55">
        <v>0.93</v>
      </c>
      <c r="G72" s="55">
        <v>0</v>
      </c>
      <c r="H72" s="55">
        <v>6.51</v>
      </c>
    </row>
    <row r="73" spans="2:10" x14ac:dyDescent="0.2">
      <c r="B73" s="56" t="s">
        <v>115</v>
      </c>
      <c r="C73" s="56"/>
      <c r="D73" s="56"/>
      <c r="E73" s="57"/>
      <c r="F73" s="58">
        <f>SUM(F65:F72)</f>
        <v>12068.159999999998</v>
      </c>
      <c r="G73" s="58">
        <f>SUM(G65:G72)</f>
        <v>30.45</v>
      </c>
      <c r="H73" s="58"/>
      <c r="I73" s="14"/>
      <c r="J73" s="14"/>
    </row>
    <row r="74" spans="2:10" x14ac:dyDescent="0.2">
      <c r="B74" s="48" t="s">
        <v>116</v>
      </c>
      <c r="C74" s="23"/>
      <c r="D74" s="23"/>
      <c r="E74" s="24"/>
      <c r="F74" s="25"/>
      <c r="G74" s="25"/>
      <c r="H74" s="25"/>
    </row>
    <row r="75" spans="2:10" x14ac:dyDescent="0.2">
      <c r="B75" s="23" t="s">
        <v>116</v>
      </c>
      <c r="C75" s="23"/>
      <c r="D75" s="23"/>
      <c r="E75" s="24"/>
      <c r="F75" s="25">
        <v>8727.34</v>
      </c>
      <c r="G75" s="25">
        <v>22.02</v>
      </c>
      <c r="H75" s="25"/>
    </row>
    <row r="76" spans="2:10" x14ac:dyDescent="0.2">
      <c r="B76" s="30" t="s">
        <v>114</v>
      </c>
      <c r="C76" s="30"/>
      <c r="D76" s="30"/>
      <c r="E76" s="31"/>
      <c r="F76" s="32">
        <f>SUM(F74:F75)</f>
        <v>8727.34</v>
      </c>
      <c r="G76" s="32">
        <f>SUM(G74:G75)</f>
        <v>22.02</v>
      </c>
      <c r="H76" s="49"/>
      <c r="I76" s="14"/>
      <c r="J76" s="14"/>
    </row>
    <row r="77" spans="2:10" x14ac:dyDescent="0.2">
      <c r="B77" s="34" t="s">
        <v>115</v>
      </c>
      <c r="C77" s="34"/>
      <c r="D77" s="34"/>
      <c r="E77" s="35"/>
      <c r="F77" s="36">
        <f>F76</f>
        <v>8727.34</v>
      </c>
      <c r="G77" s="36">
        <f>G76</f>
        <v>22.02</v>
      </c>
      <c r="H77" s="36"/>
      <c r="I77" s="14"/>
      <c r="J77" s="14"/>
    </row>
    <row r="78" spans="2:10" x14ac:dyDescent="0.2">
      <c r="B78" s="45" t="s">
        <v>118</v>
      </c>
      <c r="C78" s="45"/>
      <c r="D78" s="45"/>
      <c r="E78" s="46"/>
      <c r="F78" s="16">
        <f>F79-(+F43+F58+F63+F73+F77)</f>
        <v>-3358.3299999999945</v>
      </c>
      <c r="G78" s="16">
        <f>G79-(+G43+G58+G63+G73+G77)</f>
        <v>-8.5799999999999983</v>
      </c>
      <c r="H78" s="16"/>
      <c r="I78" s="14"/>
      <c r="J78" s="14"/>
    </row>
    <row r="79" spans="2:10" x14ac:dyDescent="0.2">
      <c r="B79" s="45" t="s">
        <v>117</v>
      </c>
      <c r="C79" s="45"/>
      <c r="D79" s="45"/>
      <c r="E79" s="46"/>
      <c r="F79" s="16">
        <v>39661.82</v>
      </c>
      <c r="G79" s="16">
        <v>100</v>
      </c>
      <c r="H79" s="16"/>
      <c r="I79" s="14"/>
      <c r="J79" s="14"/>
    </row>
    <row r="81" spans="2:2" x14ac:dyDescent="0.2">
      <c r="B81" s="14" t="s">
        <v>816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6"/>
  <sheetViews>
    <sheetView workbookViewId="0">
      <selection activeCell="F16" sqref="F16"/>
    </sheetView>
  </sheetViews>
  <sheetFormatPr defaultRowHeight="12" x14ac:dyDescent="0.2"/>
  <cols>
    <col min="1" max="1" width="9.140625" style="1"/>
    <col min="2" max="2" width="58.42578125" style="1" bestFit="1" customWidth="1"/>
    <col min="3" max="3" width="12.710937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10" ht="21" customHeight="1" x14ac:dyDescent="0.2">
      <c r="B1" s="62" t="s">
        <v>21</v>
      </c>
      <c r="C1" s="63"/>
      <c r="D1" s="63"/>
      <c r="E1" s="63"/>
      <c r="F1" s="63"/>
      <c r="G1" s="63"/>
      <c r="H1" s="63"/>
    </row>
    <row r="3" spans="2:10" ht="16.5" thickBot="1" x14ac:dyDescent="0.25">
      <c r="B3" s="2" t="s">
        <v>7</v>
      </c>
      <c r="C3" s="3"/>
      <c r="D3" s="4"/>
      <c r="E3" s="5"/>
      <c r="F3" s="6"/>
      <c r="G3" s="6"/>
    </row>
    <row r="4" spans="2:10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10" x14ac:dyDescent="0.2">
      <c r="B5" s="59" t="s">
        <v>427</v>
      </c>
      <c r="C5" s="18"/>
      <c r="D5" s="18"/>
      <c r="E5" s="19"/>
      <c r="F5" s="20"/>
      <c r="G5" s="20"/>
      <c r="H5" s="20"/>
    </row>
    <row r="6" spans="2:10" x14ac:dyDescent="0.2">
      <c r="B6" s="23" t="s">
        <v>437</v>
      </c>
      <c r="C6" s="23" t="s">
        <v>438</v>
      </c>
      <c r="D6" s="23" t="s">
        <v>430</v>
      </c>
      <c r="E6" s="28">
        <v>1500000</v>
      </c>
      <c r="F6" s="25">
        <v>1582.07</v>
      </c>
      <c r="G6" s="25">
        <v>49.95</v>
      </c>
      <c r="H6" s="25">
        <v>5.74</v>
      </c>
    </row>
    <row r="7" spans="2:10" x14ac:dyDescent="0.2">
      <c r="B7" s="53" t="s">
        <v>601</v>
      </c>
      <c r="C7" s="53" t="s">
        <v>602</v>
      </c>
      <c r="D7" s="53" t="s">
        <v>430</v>
      </c>
      <c r="E7" s="54">
        <v>1000000</v>
      </c>
      <c r="F7" s="55">
        <v>1089.95</v>
      </c>
      <c r="G7" s="55">
        <v>34.409999999999997</v>
      </c>
      <c r="H7" s="55">
        <v>5.49</v>
      </c>
    </row>
    <row r="8" spans="2:10" x14ac:dyDescent="0.2">
      <c r="B8" s="56" t="s">
        <v>115</v>
      </c>
      <c r="C8" s="56"/>
      <c r="D8" s="56"/>
      <c r="E8" s="57"/>
      <c r="F8" s="58">
        <f>SUM(F6:F7)</f>
        <v>2672.02</v>
      </c>
      <c r="G8" s="58">
        <f>SUM(G6:G7)</f>
        <v>84.36</v>
      </c>
      <c r="H8" s="58"/>
      <c r="I8" s="14"/>
      <c r="J8" s="14"/>
    </row>
    <row r="9" spans="2:10" x14ac:dyDescent="0.2">
      <c r="B9" s="48" t="s">
        <v>116</v>
      </c>
      <c r="C9" s="23"/>
      <c r="D9" s="23"/>
      <c r="E9" s="24"/>
      <c r="F9" s="25"/>
      <c r="G9" s="25"/>
      <c r="H9" s="25"/>
    </row>
    <row r="10" spans="2:10" x14ac:dyDescent="0.2">
      <c r="B10" s="23" t="s">
        <v>116</v>
      </c>
      <c r="C10" s="23"/>
      <c r="D10" s="23"/>
      <c r="E10" s="24"/>
      <c r="F10" s="25">
        <v>465.34</v>
      </c>
      <c r="G10" s="25">
        <v>14.69</v>
      </c>
      <c r="H10" s="25"/>
    </row>
    <row r="11" spans="2:10" x14ac:dyDescent="0.2">
      <c r="B11" s="30" t="s">
        <v>114</v>
      </c>
      <c r="C11" s="30"/>
      <c r="D11" s="30"/>
      <c r="E11" s="31"/>
      <c r="F11" s="32">
        <f>SUM(F9:F10)</f>
        <v>465.34</v>
      </c>
      <c r="G11" s="32">
        <f>SUM(G9:G10)</f>
        <v>14.69</v>
      </c>
      <c r="H11" s="49"/>
      <c r="I11" s="14"/>
      <c r="J11" s="14"/>
    </row>
    <row r="12" spans="2:10" x14ac:dyDescent="0.2">
      <c r="B12" s="34" t="s">
        <v>115</v>
      </c>
      <c r="C12" s="34"/>
      <c r="D12" s="34"/>
      <c r="E12" s="35"/>
      <c r="F12" s="36">
        <f>F11</f>
        <v>465.34</v>
      </c>
      <c r="G12" s="36">
        <f>G11</f>
        <v>14.69</v>
      </c>
      <c r="H12" s="36"/>
      <c r="I12" s="14"/>
      <c r="J12" s="14"/>
    </row>
    <row r="13" spans="2:10" x14ac:dyDescent="0.2">
      <c r="B13" s="45" t="s">
        <v>118</v>
      </c>
      <c r="C13" s="45"/>
      <c r="D13" s="45"/>
      <c r="E13" s="46"/>
      <c r="F13" s="16">
        <f>F14-(+F8+F12)</f>
        <v>30.239999999999782</v>
      </c>
      <c r="G13" s="16">
        <f>G14-(+G8+G12)</f>
        <v>0.95000000000000284</v>
      </c>
      <c r="H13" s="16"/>
      <c r="I13" s="14"/>
      <c r="J13" s="14"/>
    </row>
    <row r="14" spans="2:10" x14ac:dyDescent="0.2">
      <c r="B14" s="45" t="s">
        <v>117</v>
      </c>
      <c r="C14" s="45"/>
      <c r="D14" s="45"/>
      <c r="E14" s="46"/>
      <c r="F14" s="16">
        <v>3167.6</v>
      </c>
      <c r="G14" s="16">
        <v>100</v>
      </c>
      <c r="H14" s="16"/>
      <c r="I14" s="14"/>
      <c r="J14" s="14"/>
    </row>
    <row r="16" spans="2:10" x14ac:dyDescent="0.2">
      <c r="B16" s="14"/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40"/>
  <sheetViews>
    <sheetView workbookViewId="0">
      <selection activeCell="F3" sqref="F3"/>
    </sheetView>
  </sheetViews>
  <sheetFormatPr defaultRowHeight="12" x14ac:dyDescent="0.2"/>
  <cols>
    <col min="1" max="1" width="9.140625" style="1"/>
    <col min="2" max="2" width="58.42578125" style="1" bestFit="1" customWidth="1"/>
    <col min="3" max="3" width="13.7109375" style="1" bestFit="1" customWidth="1"/>
    <col min="4" max="4" width="14.140625" style="1" bestFit="1" customWidth="1"/>
    <col min="5" max="5" width="9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10" ht="21" customHeight="1" x14ac:dyDescent="0.2">
      <c r="B1" s="62" t="s">
        <v>22</v>
      </c>
      <c r="C1" s="63"/>
      <c r="D1" s="63"/>
      <c r="E1" s="63"/>
      <c r="F1" s="63"/>
      <c r="G1" s="63"/>
      <c r="H1" s="63"/>
    </row>
    <row r="3" spans="2:10" ht="16.5" thickBot="1" x14ac:dyDescent="0.25">
      <c r="B3" s="2" t="s">
        <v>7</v>
      </c>
      <c r="C3" s="3"/>
      <c r="D3" s="4"/>
      <c r="E3" s="5"/>
      <c r="F3" s="6"/>
      <c r="G3" s="6"/>
    </row>
    <row r="4" spans="2:10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10" x14ac:dyDescent="0.2">
      <c r="B5" s="59" t="s">
        <v>455</v>
      </c>
      <c r="C5" s="18"/>
      <c r="D5" s="18"/>
      <c r="E5" s="19"/>
      <c r="F5" s="20"/>
      <c r="G5" s="20"/>
      <c r="H5" s="20"/>
    </row>
    <row r="6" spans="2:10" x14ac:dyDescent="0.2">
      <c r="B6" s="48" t="s">
        <v>536</v>
      </c>
      <c r="C6" s="23"/>
      <c r="D6" s="23"/>
      <c r="E6" s="24"/>
      <c r="F6" s="25"/>
      <c r="G6" s="25"/>
      <c r="H6" s="25"/>
    </row>
    <row r="7" spans="2:10" x14ac:dyDescent="0.2">
      <c r="B7" s="23" t="s">
        <v>603</v>
      </c>
      <c r="C7" s="23" t="s">
        <v>604</v>
      </c>
      <c r="D7" s="23" t="s">
        <v>544</v>
      </c>
      <c r="E7" s="28">
        <v>10000</v>
      </c>
      <c r="F7" s="25">
        <v>9991.8700000000008</v>
      </c>
      <c r="G7" s="25">
        <v>6.58</v>
      </c>
      <c r="H7" s="25">
        <v>3.3</v>
      </c>
    </row>
    <row r="8" spans="2:10" x14ac:dyDescent="0.2">
      <c r="B8" s="23" t="s">
        <v>605</v>
      </c>
      <c r="C8" s="23" t="s">
        <v>606</v>
      </c>
      <c r="D8" s="23" t="s">
        <v>539</v>
      </c>
      <c r="E8" s="28">
        <v>10000</v>
      </c>
      <c r="F8" s="25">
        <v>9991.08</v>
      </c>
      <c r="G8" s="25">
        <v>6.58</v>
      </c>
      <c r="H8" s="25">
        <v>3.26</v>
      </c>
    </row>
    <row r="9" spans="2:10" x14ac:dyDescent="0.2">
      <c r="B9" s="23" t="s">
        <v>607</v>
      </c>
      <c r="C9" s="23" t="s">
        <v>608</v>
      </c>
      <c r="D9" s="23" t="s">
        <v>539</v>
      </c>
      <c r="E9" s="28">
        <v>7500</v>
      </c>
      <c r="F9" s="25">
        <v>7498.61</v>
      </c>
      <c r="G9" s="25">
        <v>4.9400000000000004</v>
      </c>
      <c r="H9" s="25">
        <v>3.4</v>
      </c>
    </row>
    <row r="10" spans="2:10" x14ac:dyDescent="0.2">
      <c r="B10" s="23" t="s">
        <v>609</v>
      </c>
      <c r="C10" s="23" t="s">
        <v>610</v>
      </c>
      <c r="D10" s="23" t="s">
        <v>544</v>
      </c>
      <c r="E10" s="28">
        <v>5000</v>
      </c>
      <c r="F10" s="25">
        <v>4998.22</v>
      </c>
      <c r="G10" s="25">
        <v>3.29</v>
      </c>
      <c r="H10" s="25">
        <v>3.25</v>
      </c>
    </row>
    <row r="11" spans="2:10" x14ac:dyDescent="0.2">
      <c r="B11" s="48" t="s">
        <v>114</v>
      </c>
      <c r="C11" s="48"/>
      <c r="D11" s="48"/>
      <c r="E11" s="60"/>
      <c r="F11" s="58">
        <f>SUM(F6:F10)</f>
        <v>32479.780000000002</v>
      </c>
      <c r="G11" s="58">
        <f>SUM(G6:G10)</f>
        <v>21.39</v>
      </c>
      <c r="H11" s="61"/>
      <c r="I11" s="14"/>
      <c r="J11" s="14"/>
    </row>
    <row r="12" spans="2:10" x14ac:dyDescent="0.2">
      <c r="B12" s="48" t="s">
        <v>549</v>
      </c>
      <c r="C12" s="23"/>
      <c r="D12" s="23"/>
      <c r="E12" s="24"/>
      <c r="F12" s="25"/>
      <c r="G12" s="25"/>
      <c r="H12" s="25"/>
    </row>
    <row r="13" spans="2:10" x14ac:dyDescent="0.2">
      <c r="B13" s="23" t="s">
        <v>611</v>
      </c>
      <c r="C13" s="23" t="s">
        <v>612</v>
      </c>
      <c r="D13" s="23" t="s">
        <v>552</v>
      </c>
      <c r="E13" s="28">
        <v>2000</v>
      </c>
      <c r="F13" s="25">
        <v>10000</v>
      </c>
      <c r="G13" s="25">
        <v>6.59</v>
      </c>
      <c r="H13" s="25">
        <v>3.14</v>
      </c>
    </row>
    <row r="14" spans="2:10" x14ac:dyDescent="0.2">
      <c r="B14" s="23" t="s">
        <v>613</v>
      </c>
      <c r="C14" s="23" t="s">
        <v>614</v>
      </c>
      <c r="D14" s="23" t="s">
        <v>544</v>
      </c>
      <c r="E14" s="28">
        <v>2000</v>
      </c>
      <c r="F14" s="25">
        <v>10000</v>
      </c>
      <c r="G14" s="25">
        <v>6.59</v>
      </c>
      <c r="H14" s="25">
        <v>5</v>
      </c>
    </row>
    <row r="15" spans="2:10" x14ac:dyDescent="0.2">
      <c r="B15" s="23" t="s">
        <v>615</v>
      </c>
      <c r="C15" s="23" t="s">
        <v>616</v>
      </c>
      <c r="D15" s="23" t="s">
        <v>552</v>
      </c>
      <c r="E15" s="28">
        <v>2000</v>
      </c>
      <c r="F15" s="25">
        <v>9999.09</v>
      </c>
      <c r="G15" s="25">
        <v>6.59</v>
      </c>
      <c r="H15" s="25">
        <v>3.32</v>
      </c>
    </row>
    <row r="16" spans="2:10" x14ac:dyDescent="0.2">
      <c r="B16" s="23" t="s">
        <v>617</v>
      </c>
      <c r="C16" s="23" t="s">
        <v>618</v>
      </c>
      <c r="D16" s="23" t="s">
        <v>552</v>
      </c>
      <c r="E16" s="28">
        <v>1500</v>
      </c>
      <c r="F16" s="25">
        <v>7480.1</v>
      </c>
      <c r="G16" s="25">
        <v>4.93</v>
      </c>
      <c r="H16" s="25">
        <v>3.35</v>
      </c>
    </row>
    <row r="17" spans="2:10" x14ac:dyDescent="0.2">
      <c r="B17" s="23" t="s">
        <v>619</v>
      </c>
      <c r="C17" s="23" t="s">
        <v>620</v>
      </c>
      <c r="D17" s="23" t="s">
        <v>544</v>
      </c>
      <c r="E17" s="28">
        <v>1000</v>
      </c>
      <c r="F17" s="25">
        <v>4989.28</v>
      </c>
      <c r="G17" s="25">
        <v>3.29</v>
      </c>
      <c r="H17" s="25">
        <v>3.41</v>
      </c>
    </row>
    <row r="18" spans="2:10" x14ac:dyDescent="0.2">
      <c r="B18" s="23" t="s">
        <v>557</v>
      </c>
      <c r="C18" s="23" t="s">
        <v>558</v>
      </c>
      <c r="D18" s="23" t="s">
        <v>544</v>
      </c>
      <c r="E18" s="28">
        <v>1000</v>
      </c>
      <c r="F18" s="25">
        <v>4986.53</v>
      </c>
      <c r="G18" s="25">
        <v>3.29</v>
      </c>
      <c r="H18" s="25">
        <v>3.4</v>
      </c>
    </row>
    <row r="19" spans="2:10" x14ac:dyDescent="0.2">
      <c r="B19" s="23" t="s">
        <v>621</v>
      </c>
      <c r="C19" s="23" t="s">
        <v>622</v>
      </c>
      <c r="D19" s="23" t="s">
        <v>552</v>
      </c>
      <c r="E19" s="28">
        <v>1000</v>
      </c>
      <c r="F19" s="25">
        <v>4982.7</v>
      </c>
      <c r="G19" s="25">
        <v>3.28</v>
      </c>
      <c r="H19" s="25">
        <v>3.43</v>
      </c>
    </row>
    <row r="20" spans="2:10" x14ac:dyDescent="0.2">
      <c r="B20" s="23" t="s">
        <v>550</v>
      </c>
      <c r="C20" s="23" t="s">
        <v>551</v>
      </c>
      <c r="D20" s="23" t="s">
        <v>552</v>
      </c>
      <c r="E20" s="28">
        <v>500</v>
      </c>
      <c r="F20" s="25">
        <v>2489.2600000000002</v>
      </c>
      <c r="G20" s="25">
        <v>1.64</v>
      </c>
      <c r="H20" s="25">
        <v>3.5</v>
      </c>
    </row>
    <row r="21" spans="2:10" x14ac:dyDescent="0.2">
      <c r="B21" s="23" t="s">
        <v>559</v>
      </c>
      <c r="C21" s="23" t="s">
        <v>560</v>
      </c>
      <c r="D21" s="23" t="s">
        <v>544</v>
      </c>
      <c r="E21" s="28">
        <v>500</v>
      </c>
      <c r="F21" s="25">
        <v>2487.9899999999998</v>
      </c>
      <c r="G21" s="25">
        <v>1.64</v>
      </c>
      <c r="H21" s="25">
        <v>3.39</v>
      </c>
    </row>
    <row r="22" spans="2:10" x14ac:dyDescent="0.2">
      <c r="B22" s="48" t="s">
        <v>114</v>
      </c>
      <c r="C22" s="48"/>
      <c r="D22" s="48"/>
      <c r="E22" s="60"/>
      <c r="F22" s="58">
        <f>SUM(F12:F21)</f>
        <v>57414.95</v>
      </c>
      <c r="G22" s="58">
        <f>SUM(G12:G21)</f>
        <v>37.839999999999996</v>
      </c>
      <c r="H22" s="61"/>
      <c r="I22" s="14"/>
      <c r="J22" s="14"/>
    </row>
    <row r="23" spans="2:10" x14ac:dyDescent="0.2">
      <c r="B23" s="48" t="s">
        <v>456</v>
      </c>
      <c r="C23" s="23"/>
      <c r="D23" s="23"/>
      <c r="E23" s="24"/>
      <c r="F23" s="25"/>
      <c r="G23" s="25"/>
      <c r="H23" s="25"/>
    </row>
    <row r="24" spans="2:10" x14ac:dyDescent="0.2">
      <c r="B24" s="23" t="s">
        <v>623</v>
      </c>
      <c r="C24" s="23" t="s">
        <v>624</v>
      </c>
      <c r="D24" s="23" t="s">
        <v>459</v>
      </c>
      <c r="E24" s="28">
        <v>15000000</v>
      </c>
      <c r="F24" s="25">
        <v>14986.71</v>
      </c>
      <c r="G24" s="25">
        <v>9.8800000000000008</v>
      </c>
      <c r="H24" s="25">
        <v>3.24</v>
      </c>
    </row>
    <row r="25" spans="2:10" x14ac:dyDescent="0.2">
      <c r="B25" s="23" t="s">
        <v>457</v>
      </c>
      <c r="C25" s="23" t="s">
        <v>458</v>
      </c>
      <c r="D25" s="23" t="s">
        <v>459</v>
      </c>
      <c r="E25" s="28">
        <v>10000000</v>
      </c>
      <c r="F25" s="25">
        <v>9997.34</v>
      </c>
      <c r="G25" s="25">
        <v>6.59</v>
      </c>
      <c r="H25" s="25">
        <v>3.24</v>
      </c>
    </row>
    <row r="26" spans="2:10" x14ac:dyDescent="0.2">
      <c r="B26" s="23" t="s">
        <v>460</v>
      </c>
      <c r="C26" s="23" t="s">
        <v>461</v>
      </c>
      <c r="D26" s="23" t="s">
        <v>459</v>
      </c>
      <c r="E26" s="28">
        <v>10000000</v>
      </c>
      <c r="F26" s="25">
        <v>9978.68</v>
      </c>
      <c r="G26" s="25">
        <v>6.58</v>
      </c>
      <c r="H26" s="25">
        <v>3.25</v>
      </c>
    </row>
    <row r="27" spans="2:10" x14ac:dyDescent="0.2">
      <c r="B27" s="23" t="s">
        <v>625</v>
      </c>
      <c r="C27" s="23" t="s">
        <v>626</v>
      </c>
      <c r="D27" s="23" t="s">
        <v>459</v>
      </c>
      <c r="E27" s="28">
        <v>10000000</v>
      </c>
      <c r="F27" s="25">
        <v>9972.56</v>
      </c>
      <c r="G27" s="25">
        <v>6.57</v>
      </c>
      <c r="H27" s="25">
        <v>3.24</v>
      </c>
    </row>
    <row r="28" spans="2:10" x14ac:dyDescent="0.2">
      <c r="B28" s="23" t="s">
        <v>627</v>
      </c>
      <c r="C28" s="23" t="s">
        <v>628</v>
      </c>
      <c r="D28" s="23" t="s">
        <v>459</v>
      </c>
      <c r="E28" s="28">
        <v>7500000</v>
      </c>
      <c r="F28" s="25">
        <v>7498.01</v>
      </c>
      <c r="G28" s="25">
        <v>4.9400000000000004</v>
      </c>
      <c r="H28" s="25">
        <v>3.24</v>
      </c>
    </row>
    <row r="29" spans="2:10" x14ac:dyDescent="0.2">
      <c r="B29" s="23" t="s">
        <v>629</v>
      </c>
      <c r="C29" s="23" t="s">
        <v>630</v>
      </c>
      <c r="D29" s="23" t="s">
        <v>459</v>
      </c>
      <c r="E29" s="28">
        <v>5000000</v>
      </c>
      <c r="F29" s="25">
        <v>4986.28</v>
      </c>
      <c r="G29" s="25">
        <v>3.29</v>
      </c>
      <c r="H29" s="25">
        <v>3.24</v>
      </c>
    </row>
    <row r="30" spans="2:10" x14ac:dyDescent="0.2">
      <c r="B30" s="30" t="s">
        <v>114</v>
      </c>
      <c r="C30" s="30"/>
      <c r="D30" s="30"/>
      <c r="E30" s="31"/>
      <c r="F30" s="32">
        <f>SUM(F23:F29)</f>
        <v>57419.579999999994</v>
      </c>
      <c r="G30" s="32">
        <f>SUM(G23:G29)</f>
        <v>37.849999999999994</v>
      </c>
      <c r="H30" s="49"/>
      <c r="I30" s="14"/>
      <c r="J30" s="14"/>
    </row>
    <row r="31" spans="2:10" x14ac:dyDescent="0.2">
      <c r="B31" s="50" t="s">
        <v>115</v>
      </c>
      <c r="C31" s="50"/>
      <c r="D31" s="50"/>
      <c r="E31" s="51"/>
      <c r="F31" s="52">
        <f>F11+F22+F30</f>
        <v>147314.31</v>
      </c>
      <c r="G31" s="52">
        <f>G11+G22+G30</f>
        <v>97.079999999999984</v>
      </c>
      <c r="H31" s="52"/>
      <c r="I31" s="14"/>
      <c r="J31" s="14"/>
    </row>
    <row r="32" spans="2:10" x14ac:dyDescent="0.2">
      <c r="B32" s="48" t="s">
        <v>116</v>
      </c>
      <c r="C32" s="23"/>
      <c r="D32" s="23"/>
      <c r="E32" s="24"/>
      <c r="F32" s="25"/>
      <c r="G32" s="25"/>
      <c r="H32" s="25"/>
    </row>
    <row r="33" spans="2:10" x14ac:dyDescent="0.2">
      <c r="B33" s="23" t="s">
        <v>116</v>
      </c>
      <c r="C33" s="23"/>
      <c r="D33" s="23"/>
      <c r="E33" s="24"/>
      <c r="F33" s="25">
        <v>4083.19</v>
      </c>
      <c r="G33" s="25">
        <v>2.69</v>
      </c>
      <c r="H33" s="25"/>
    </row>
    <row r="34" spans="2:10" x14ac:dyDescent="0.2">
      <c r="B34" s="30" t="s">
        <v>114</v>
      </c>
      <c r="C34" s="30"/>
      <c r="D34" s="30"/>
      <c r="E34" s="31"/>
      <c r="F34" s="32">
        <f>SUM(F32:F33)</f>
        <v>4083.19</v>
      </c>
      <c r="G34" s="32">
        <f>SUM(G32:G33)</f>
        <v>2.69</v>
      </c>
      <c r="H34" s="49"/>
      <c r="I34" s="14"/>
      <c r="J34" s="14"/>
    </row>
    <row r="35" spans="2:10" x14ac:dyDescent="0.2">
      <c r="B35" s="34" t="s">
        <v>115</v>
      </c>
      <c r="C35" s="34"/>
      <c r="D35" s="34"/>
      <c r="E35" s="35"/>
      <c r="F35" s="36">
        <f>F34</f>
        <v>4083.19</v>
      </c>
      <c r="G35" s="36">
        <f>G34</f>
        <v>2.69</v>
      </c>
      <c r="H35" s="36"/>
      <c r="I35" s="14"/>
      <c r="J35" s="14"/>
    </row>
    <row r="36" spans="2:10" x14ac:dyDescent="0.2">
      <c r="B36" s="45" t="s">
        <v>118</v>
      </c>
      <c r="C36" s="45"/>
      <c r="D36" s="45"/>
      <c r="E36" s="46"/>
      <c r="F36" s="16">
        <f>F37-(+F31+F35)</f>
        <v>342.55999999999767</v>
      </c>
      <c r="G36" s="16">
        <f>G37-(+G31+G35)</f>
        <v>0.23000000000001819</v>
      </c>
      <c r="H36" s="16"/>
      <c r="I36" s="14"/>
      <c r="J36" s="14"/>
    </row>
    <row r="37" spans="2:10" x14ac:dyDescent="0.2">
      <c r="B37" s="45" t="s">
        <v>117</v>
      </c>
      <c r="C37" s="45"/>
      <c r="D37" s="45"/>
      <c r="E37" s="46"/>
      <c r="F37" s="16">
        <v>151740.06</v>
      </c>
      <c r="G37" s="16">
        <v>100</v>
      </c>
      <c r="H37" s="16"/>
      <c r="I37" s="14"/>
      <c r="J37" s="14"/>
    </row>
    <row r="39" spans="2:10" x14ac:dyDescent="0.2">
      <c r="B39" s="14" t="s">
        <v>816</v>
      </c>
    </row>
    <row r="40" spans="2:10" x14ac:dyDescent="0.2">
      <c r="B40" s="14" t="s">
        <v>586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53"/>
  <sheetViews>
    <sheetView workbookViewId="0">
      <selection activeCell="F51" sqref="F51"/>
    </sheetView>
  </sheetViews>
  <sheetFormatPr defaultRowHeight="12" x14ac:dyDescent="0.2"/>
  <cols>
    <col min="1" max="1" width="9.140625" style="1"/>
    <col min="2" max="2" width="58.42578125" style="1" bestFit="1" customWidth="1"/>
    <col min="3" max="3" width="13.710937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62" t="s">
        <v>23</v>
      </c>
      <c r="C1" s="63"/>
      <c r="D1" s="63"/>
      <c r="E1" s="63"/>
      <c r="F1" s="63"/>
      <c r="G1" s="63"/>
      <c r="H1" s="63"/>
    </row>
    <row r="3" spans="2:8" ht="16.5" thickBot="1" x14ac:dyDescent="0.25">
      <c r="B3" s="2" t="s">
        <v>7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59" t="s">
        <v>355</v>
      </c>
      <c r="C5" s="18"/>
      <c r="D5" s="18"/>
      <c r="E5" s="19"/>
      <c r="F5" s="20"/>
      <c r="G5" s="20"/>
      <c r="H5" s="20"/>
    </row>
    <row r="6" spans="2:8" x14ac:dyDescent="0.2">
      <c r="B6" s="48" t="s">
        <v>32</v>
      </c>
      <c r="C6" s="23"/>
      <c r="D6" s="23"/>
      <c r="E6" s="24"/>
      <c r="F6" s="25"/>
      <c r="G6" s="25"/>
      <c r="H6" s="25"/>
    </row>
    <row r="7" spans="2:8" x14ac:dyDescent="0.2">
      <c r="B7" s="23" t="s">
        <v>631</v>
      </c>
      <c r="C7" s="23" t="s">
        <v>632</v>
      </c>
      <c r="D7" s="23" t="s">
        <v>361</v>
      </c>
      <c r="E7" s="28">
        <v>150</v>
      </c>
      <c r="F7" s="25">
        <v>1523.81</v>
      </c>
      <c r="G7" s="25">
        <v>3.04</v>
      </c>
      <c r="H7" s="25">
        <v>4.2</v>
      </c>
    </row>
    <row r="8" spans="2:8" x14ac:dyDescent="0.2">
      <c r="B8" s="23" t="s">
        <v>633</v>
      </c>
      <c r="C8" s="23" t="s">
        <v>634</v>
      </c>
      <c r="D8" s="23" t="s">
        <v>361</v>
      </c>
      <c r="E8" s="28">
        <v>100</v>
      </c>
      <c r="F8" s="25">
        <v>1028.22</v>
      </c>
      <c r="G8" s="25">
        <v>2.0499999999999998</v>
      </c>
      <c r="H8" s="25">
        <v>3.88</v>
      </c>
    </row>
    <row r="9" spans="2:8" x14ac:dyDescent="0.2">
      <c r="B9" s="23" t="s">
        <v>635</v>
      </c>
      <c r="C9" s="23" t="s">
        <v>636</v>
      </c>
      <c r="D9" s="23" t="s">
        <v>361</v>
      </c>
      <c r="E9" s="28">
        <v>100</v>
      </c>
      <c r="F9" s="25">
        <v>1022.02</v>
      </c>
      <c r="G9" s="25">
        <v>2.04</v>
      </c>
      <c r="H9" s="25">
        <v>4.38</v>
      </c>
    </row>
    <row r="10" spans="2:8" x14ac:dyDescent="0.2">
      <c r="B10" s="23" t="s">
        <v>637</v>
      </c>
      <c r="C10" s="23" t="s">
        <v>638</v>
      </c>
      <c r="D10" s="23" t="s">
        <v>361</v>
      </c>
      <c r="E10" s="28">
        <v>50</v>
      </c>
      <c r="F10" s="25">
        <v>517.07000000000005</v>
      </c>
      <c r="G10" s="25">
        <v>1.03</v>
      </c>
      <c r="H10" s="25">
        <v>4.6900000000000004</v>
      </c>
    </row>
    <row r="11" spans="2:8" x14ac:dyDescent="0.2">
      <c r="B11" s="23" t="s">
        <v>516</v>
      </c>
      <c r="C11" s="23" t="s">
        <v>517</v>
      </c>
      <c r="D11" s="23" t="s">
        <v>361</v>
      </c>
      <c r="E11" s="28">
        <v>50</v>
      </c>
      <c r="F11" s="25">
        <v>510.35</v>
      </c>
      <c r="G11" s="25">
        <v>1.02</v>
      </c>
      <c r="H11" s="25">
        <v>4.3099999999999996</v>
      </c>
    </row>
    <row r="12" spans="2:8" x14ac:dyDescent="0.2">
      <c r="B12" s="23" t="s">
        <v>362</v>
      </c>
      <c r="C12" s="23" t="s">
        <v>363</v>
      </c>
      <c r="D12" s="23" t="s">
        <v>361</v>
      </c>
      <c r="E12" s="28">
        <v>50</v>
      </c>
      <c r="F12" s="25">
        <v>510.34</v>
      </c>
      <c r="G12" s="25">
        <v>1.02</v>
      </c>
      <c r="H12" s="25">
        <v>4.09</v>
      </c>
    </row>
    <row r="13" spans="2:8" x14ac:dyDescent="0.2">
      <c r="B13" s="23" t="s">
        <v>639</v>
      </c>
      <c r="C13" s="23" t="s">
        <v>640</v>
      </c>
      <c r="D13" s="23" t="s">
        <v>361</v>
      </c>
      <c r="E13" s="28">
        <v>50</v>
      </c>
      <c r="F13" s="25">
        <v>510.31</v>
      </c>
      <c r="G13" s="25">
        <v>1.02</v>
      </c>
      <c r="H13" s="25">
        <v>3.9</v>
      </c>
    </row>
    <row r="14" spans="2:8" x14ac:dyDescent="0.2">
      <c r="B14" s="23" t="s">
        <v>512</v>
      </c>
      <c r="C14" s="23" t="s">
        <v>513</v>
      </c>
      <c r="D14" s="23" t="s">
        <v>361</v>
      </c>
      <c r="E14" s="28">
        <v>50</v>
      </c>
      <c r="F14" s="25">
        <v>509.01</v>
      </c>
      <c r="G14" s="25">
        <v>1.01</v>
      </c>
      <c r="H14" s="25">
        <v>3.9</v>
      </c>
    </row>
    <row r="15" spans="2:8" x14ac:dyDescent="0.2">
      <c r="B15" s="23" t="s">
        <v>388</v>
      </c>
      <c r="C15" s="23" t="s">
        <v>389</v>
      </c>
      <c r="D15" s="23" t="s">
        <v>361</v>
      </c>
      <c r="E15" s="28">
        <v>50</v>
      </c>
      <c r="F15" s="25">
        <v>508.86</v>
      </c>
      <c r="G15" s="25">
        <v>1.01</v>
      </c>
      <c r="H15" s="25">
        <v>4.01</v>
      </c>
    </row>
    <row r="16" spans="2:8" x14ac:dyDescent="0.2">
      <c r="B16" s="23" t="s">
        <v>641</v>
      </c>
      <c r="C16" s="23" t="s">
        <v>642</v>
      </c>
      <c r="D16" s="23" t="s">
        <v>394</v>
      </c>
      <c r="E16" s="28">
        <v>20</v>
      </c>
      <c r="F16" s="25">
        <v>206.11</v>
      </c>
      <c r="G16" s="25">
        <v>0.41</v>
      </c>
      <c r="H16" s="25">
        <v>4.01</v>
      </c>
    </row>
    <row r="17" spans="2:10" x14ac:dyDescent="0.2">
      <c r="B17" s="30" t="s">
        <v>114</v>
      </c>
      <c r="C17" s="30"/>
      <c r="D17" s="30"/>
      <c r="E17" s="31"/>
      <c r="F17" s="32">
        <f>SUM(F6:F16)</f>
        <v>6846.1</v>
      </c>
      <c r="G17" s="32">
        <f>SUM(G6:G16)</f>
        <v>13.649999999999999</v>
      </c>
      <c r="H17" s="49"/>
      <c r="I17" s="14"/>
      <c r="J17" s="14"/>
    </row>
    <row r="18" spans="2:10" x14ac:dyDescent="0.2">
      <c r="B18" s="50" t="s">
        <v>115</v>
      </c>
      <c r="C18" s="50"/>
      <c r="D18" s="50"/>
      <c r="E18" s="51"/>
      <c r="F18" s="52">
        <f>F17</f>
        <v>6846.1</v>
      </c>
      <c r="G18" s="52">
        <f>G17</f>
        <v>13.649999999999999</v>
      </c>
      <c r="H18" s="52"/>
      <c r="I18" s="14"/>
      <c r="J18" s="14"/>
    </row>
    <row r="19" spans="2:10" x14ac:dyDescent="0.2">
      <c r="B19" s="48" t="s">
        <v>455</v>
      </c>
      <c r="C19" s="23"/>
      <c r="D19" s="23"/>
      <c r="E19" s="24"/>
      <c r="F19" s="25"/>
      <c r="G19" s="25"/>
      <c r="H19" s="25"/>
    </row>
    <row r="20" spans="2:10" x14ac:dyDescent="0.2">
      <c r="B20" s="48" t="s">
        <v>536</v>
      </c>
      <c r="C20" s="23"/>
      <c r="D20" s="23"/>
      <c r="E20" s="24"/>
      <c r="F20" s="25"/>
      <c r="G20" s="25"/>
      <c r="H20" s="25"/>
    </row>
    <row r="21" spans="2:10" x14ac:dyDescent="0.2">
      <c r="B21" s="23" t="s">
        <v>537</v>
      </c>
      <c r="C21" s="23" t="s">
        <v>538</v>
      </c>
      <c r="D21" s="23" t="s">
        <v>539</v>
      </c>
      <c r="E21" s="28">
        <v>2500</v>
      </c>
      <c r="F21" s="25">
        <v>2471.56</v>
      </c>
      <c r="G21" s="25">
        <v>4.93</v>
      </c>
      <c r="H21" s="25">
        <v>3.5</v>
      </c>
    </row>
    <row r="22" spans="2:10" x14ac:dyDescent="0.2">
      <c r="B22" s="23" t="s">
        <v>643</v>
      </c>
      <c r="C22" s="23" t="s">
        <v>644</v>
      </c>
      <c r="D22" s="23" t="s">
        <v>539</v>
      </c>
      <c r="E22" s="28">
        <v>2500</v>
      </c>
      <c r="F22" s="25">
        <v>2456.4699999999998</v>
      </c>
      <c r="G22" s="25">
        <v>4.9000000000000004</v>
      </c>
      <c r="H22" s="25">
        <v>3.68</v>
      </c>
    </row>
    <row r="23" spans="2:10" x14ac:dyDescent="0.2">
      <c r="B23" s="23" t="s">
        <v>542</v>
      </c>
      <c r="C23" s="23" t="s">
        <v>543</v>
      </c>
      <c r="D23" s="23" t="s">
        <v>544</v>
      </c>
      <c r="E23" s="28">
        <v>2500</v>
      </c>
      <c r="F23" s="25">
        <v>2431.2399999999998</v>
      </c>
      <c r="G23" s="25">
        <v>4.8499999999999996</v>
      </c>
      <c r="H23" s="25">
        <v>3.92</v>
      </c>
    </row>
    <row r="24" spans="2:10" x14ac:dyDescent="0.2">
      <c r="B24" s="48" t="s">
        <v>114</v>
      </c>
      <c r="C24" s="48"/>
      <c r="D24" s="48"/>
      <c r="E24" s="60"/>
      <c r="F24" s="58">
        <f>SUM(F20:F23)</f>
        <v>7359.2699999999995</v>
      </c>
      <c r="G24" s="58">
        <f>SUM(G20:G23)</f>
        <v>14.68</v>
      </c>
      <c r="H24" s="61"/>
      <c r="I24" s="14"/>
      <c r="J24" s="14"/>
    </row>
    <row r="25" spans="2:10" x14ac:dyDescent="0.2">
      <c r="B25" s="48" t="s">
        <v>549</v>
      </c>
      <c r="C25" s="23"/>
      <c r="D25" s="23"/>
      <c r="E25" s="24"/>
      <c r="F25" s="25"/>
      <c r="G25" s="25"/>
      <c r="H25" s="25"/>
    </row>
    <row r="26" spans="2:10" x14ac:dyDescent="0.2">
      <c r="B26" s="23" t="s">
        <v>645</v>
      </c>
      <c r="C26" s="23" t="s">
        <v>646</v>
      </c>
      <c r="D26" s="23" t="s">
        <v>544</v>
      </c>
      <c r="E26" s="28">
        <v>500</v>
      </c>
      <c r="F26" s="25">
        <v>2494.4899999999998</v>
      </c>
      <c r="G26" s="25">
        <v>4.97</v>
      </c>
      <c r="H26" s="25">
        <v>3.36</v>
      </c>
    </row>
    <row r="27" spans="2:10" x14ac:dyDescent="0.2">
      <c r="B27" s="23" t="s">
        <v>621</v>
      </c>
      <c r="C27" s="23" t="s">
        <v>622</v>
      </c>
      <c r="D27" s="23" t="s">
        <v>552</v>
      </c>
      <c r="E27" s="28">
        <v>500</v>
      </c>
      <c r="F27" s="25">
        <v>2491.35</v>
      </c>
      <c r="G27" s="25">
        <v>4.97</v>
      </c>
      <c r="H27" s="25">
        <v>3.43</v>
      </c>
    </row>
    <row r="28" spans="2:10" x14ac:dyDescent="0.2">
      <c r="B28" s="23" t="s">
        <v>550</v>
      </c>
      <c r="C28" s="23" t="s">
        <v>551</v>
      </c>
      <c r="D28" s="23" t="s">
        <v>552</v>
      </c>
      <c r="E28" s="28">
        <v>500</v>
      </c>
      <c r="F28" s="25">
        <v>2489.2600000000002</v>
      </c>
      <c r="G28" s="25">
        <v>4.96</v>
      </c>
      <c r="H28" s="25">
        <v>3.5</v>
      </c>
    </row>
    <row r="29" spans="2:10" x14ac:dyDescent="0.2">
      <c r="B29" s="23" t="s">
        <v>559</v>
      </c>
      <c r="C29" s="23" t="s">
        <v>560</v>
      </c>
      <c r="D29" s="23" t="s">
        <v>544</v>
      </c>
      <c r="E29" s="28">
        <v>500</v>
      </c>
      <c r="F29" s="25">
        <v>2487.9899999999998</v>
      </c>
      <c r="G29" s="25">
        <v>4.96</v>
      </c>
      <c r="H29" s="25">
        <v>3.39</v>
      </c>
    </row>
    <row r="30" spans="2:10" x14ac:dyDescent="0.2">
      <c r="B30" s="23" t="s">
        <v>553</v>
      </c>
      <c r="C30" s="23" t="s">
        <v>554</v>
      </c>
      <c r="D30" s="23" t="s">
        <v>544</v>
      </c>
      <c r="E30" s="28">
        <v>500</v>
      </c>
      <c r="F30" s="25">
        <v>2479.1799999999998</v>
      </c>
      <c r="G30" s="25">
        <v>4.9400000000000004</v>
      </c>
      <c r="H30" s="25">
        <v>3.65</v>
      </c>
    </row>
    <row r="31" spans="2:10" x14ac:dyDescent="0.2">
      <c r="B31" s="48" t="s">
        <v>114</v>
      </c>
      <c r="C31" s="48"/>
      <c r="D31" s="48"/>
      <c r="E31" s="60"/>
      <c r="F31" s="58">
        <f>SUM(F25:F30)</f>
        <v>12442.27</v>
      </c>
      <c r="G31" s="58">
        <f>SUM(G25:G30)</f>
        <v>24.8</v>
      </c>
      <c r="H31" s="61"/>
      <c r="I31" s="14"/>
      <c r="J31" s="14"/>
    </row>
    <row r="32" spans="2:10" x14ac:dyDescent="0.2">
      <c r="B32" s="48" t="s">
        <v>456</v>
      </c>
      <c r="C32" s="23"/>
      <c r="D32" s="23"/>
      <c r="E32" s="24"/>
      <c r="F32" s="25"/>
      <c r="G32" s="25"/>
      <c r="H32" s="25"/>
    </row>
    <row r="33" spans="2:10" x14ac:dyDescent="0.2">
      <c r="B33" s="23" t="s">
        <v>574</v>
      </c>
      <c r="C33" s="23" t="s">
        <v>575</v>
      </c>
      <c r="D33" s="23" t="s">
        <v>459</v>
      </c>
      <c r="E33" s="28">
        <v>7000000</v>
      </c>
      <c r="F33" s="25">
        <v>6953.75</v>
      </c>
      <c r="G33" s="25">
        <v>13.86</v>
      </c>
      <c r="H33" s="25">
        <v>3.33</v>
      </c>
    </row>
    <row r="34" spans="2:10" x14ac:dyDescent="0.2">
      <c r="B34" s="23" t="s">
        <v>629</v>
      </c>
      <c r="C34" s="23" t="s">
        <v>630</v>
      </c>
      <c r="D34" s="23" t="s">
        <v>459</v>
      </c>
      <c r="E34" s="28">
        <v>5000000</v>
      </c>
      <c r="F34" s="25">
        <v>4986.28</v>
      </c>
      <c r="G34" s="25">
        <v>9.94</v>
      </c>
      <c r="H34" s="25">
        <v>3.24</v>
      </c>
    </row>
    <row r="35" spans="2:10" x14ac:dyDescent="0.2">
      <c r="B35" s="23" t="s">
        <v>460</v>
      </c>
      <c r="C35" s="23" t="s">
        <v>461</v>
      </c>
      <c r="D35" s="23" t="s">
        <v>459</v>
      </c>
      <c r="E35" s="28">
        <v>2500000</v>
      </c>
      <c r="F35" s="25">
        <v>2494.67</v>
      </c>
      <c r="G35" s="25">
        <v>4.97</v>
      </c>
      <c r="H35" s="25">
        <v>3.25</v>
      </c>
    </row>
    <row r="36" spans="2:10" x14ac:dyDescent="0.2">
      <c r="B36" s="23" t="s">
        <v>578</v>
      </c>
      <c r="C36" s="23" t="s">
        <v>579</v>
      </c>
      <c r="D36" s="23" t="s">
        <v>459</v>
      </c>
      <c r="E36" s="28">
        <v>2500000</v>
      </c>
      <c r="F36" s="25">
        <v>2480.2600000000002</v>
      </c>
      <c r="G36" s="25">
        <v>4.9400000000000004</v>
      </c>
      <c r="H36" s="25">
        <v>3.34</v>
      </c>
    </row>
    <row r="37" spans="2:10" x14ac:dyDescent="0.2">
      <c r="B37" s="23" t="s">
        <v>572</v>
      </c>
      <c r="C37" s="23" t="s">
        <v>573</v>
      </c>
      <c r="D37" s="23" t="s">
        <v>459</v>
      </c>
      <c r="E37" s="28">
        <v>2000000</v>
      </c>
      <c r="F37" s="25">
        <v>1967.62</v>
      </c>
      <c r="G37" s="25">
        <v>3.92</v>
      </c>
      <c r="H37" s="25">
        <v>3.51</v>
      </c>
    </row>
    <row r="38" spans="2:10" x14ac:dyDescent="0.2">
      <c r="B38" s="23" t="s">
        <v>647</v>
      </c>
      <c r="C38" s="23" t="s">
        <v>648</v>
      </c>
      <c r="D38" s="23" t="s">
        <v>459</v>
      </c>
      <c r="E38" s="28">
        <v>1000000</v>
      </c>
      <c r="F38" s="25">
        <v>998.49</v>
      </c>
      <c r="G38" s="25">
        <v>1.99</v>
      </c>
      <c r="H38" s="25">
        <v>3.24</v>
      </c>
    </row>
    <row r="39" spans="2:10" x14ac:dyDescent="0.2">
      <c r="B39" s="23" t="s">
        <v>649</v>
      </c>
      <c r="C39" s="23" t="s">
        <v>650</v>
      </c>
      <c r="D39" s="23" t="s">
        <v>459</v>
      </c>
      <c r="E39" s="28">
        <v>500000</v>
      </c>
      <c r="F39" s="25">
        <v>490.19</v>
      </c>
      <c r="G39" s="25">
        <v>0.98</v>
      </c>
      <c r="H39" s="25">
        <v>3.55</v>
      </c>
    </row>
    <row r="40" spans="2:10" x14ac:dyDescent="0.2">
      <c r="B40" s="30" t="s">
        <v>114</v>
      </c>
      <c r="C40" s="30"/>
      <c r="D40" s="30"/>
      <c r="E40" s="31"/>
      <c r="F40" s="32">
        <f>SUM(F32:F39)</f>
        <v>20371.259999999998</v>
      </c>
      <c r="G40" s="32">
        <f>SUM(G32:G39)</f>
        <v>40.599999999999994</v>
      </c>
      <c r="H40" s="49"/>
      <c r="I40" s="14"/>
      <c r="J40" s="14"/>
    </row>
    <row r="41" spans="2:10" x14ac:dyDescent="0.2">
      <c r="B41" s="50" t="s">
        <v>115</v>
      </c>
      <c r="C41" s="50"/>
      <c r="D41" s="50"/>
      <c r="E41" s="51"/>
      <c r="F41" s="52">
        <f>F24+F31+F40</f>
        <v>40172.800000000003</v>
      </c>
      <c r="G41" s="52">
        <f>G24+G31+G40</f>
        <v>80.08</v>
      </c>
      <c r="H41" s="52"/>
      <c r="I41" s="14"/>
      <c r="J41" s="14"/>
    </row>
    <row r="42" spans="2:10" x14ac:dyDescent="0.2">
      <c r="B42" s="48" t="s">
        <v>427</v>
      </c>
      <c r="C42" s="23"/>
      <c r="D42" s="23"/>
      <c r="E42" s="24"/>
      <c r="F42" s="25"/>
      <c r="G42" s="25"/>
      <c r="H42" s="25"/>
    </row>
    <row r="43" spans="2:10" x14ac:dyDescent="0.2">
      <c r="B43" s="53" t="s">
        <v>431</v>
      </c>
      <c r="C43" s="53" t="s">
        <v>432</v>
      </c>
      <c r="D43" s="53" t="s">
        <v>430</v>
      </c>
      <c r="E43" s="54">
        <v>500000</v>
      </c>
      <c r="F43" s="55">
        <v>505.81</v>
      </c>
      <c r="G43" s="55">
        <v>1.01</v>
      </c>
      <c r="H43" s="55">
        <v>3.57</v>
      </c>
    </row>
    <row r="44" spans="2:10" x14ac:dyDescent="0.2">
      <c r="B44" s="56" t="s">
        <v>115</v>
      </c>
      <c r="C44" s="56"/>
      <c r="D44" s="56"/>
      <c r="E44" s="57"/>
      <c r="F44" s="58">
        <f>SUM(F43:F43)</f>
        <v>505.81</v>
      </c>
      <c r="G44" s="58">
        <f>SUM(G43:G43)</f>
        <v>1.01</v>
      </c>
      <c r="H44" s="58"/>
      <c r="I44" s="14"/>
      <c r="J44" s="14"/>
    </row>
    <row r="45" spans="2:10" x14ac:dyDescent="0.2">
      <c r="B45" s="48" t="s">
        <v>116</v>
      </c>
      <c r="C45" s="23"/>
      <c r="D45" s="23"/>
      <c r="E45" s="24"/>
      <c r="F45" s="25"/>
      <c r="G45" s="25"/>
      <c r="H45" s="25"/>
    </row>
    <row r="46" spans="2:10" x14ac:dyDescent="0.2">
      <c r="B46" s="23" t="s">
        <v>116</v>
      </c>
      <c r="C46" s="23"/>
      <c r="D46" s="23"/>
      <c r="E46" s="24"/>
      <c r="F46" s="25">
        <v>2416.5300000000002</v>
      </c>
      <c r="G46" s="25">
        <v>4.82</v>
      </c>
      <c r="H46" s="25"/>
    </row>
    <row r="47" spans="2:10" x14ac:dyDescent="0.2">
      <c r="B47" s="30" t="s">
        <v>114</v>
      </c>
      <c r="C47" s="30"/>
      <c r="D47" s="30"/>
      <c r="E47" s="31"/>
      <c r="F47" s="32">
        <f>SUM(F45:F46)</f>
        <v>2416.5300000000002</v>
      </c>
      <c r="G47" s="32">
        <f>SUM(G45:G46)</f>
        <v>4.82</v>
      </c>
      <c r="H47" s="49"/>
      <c r="I47" s="14"/>
      <c r="J47" s="14"/>
    </row>
    <row r="48" spans="2:10" x14ac:dyDescent="0.2">
      <c r="B48" s="34" t="s">
        <v>115</v>
      </c>
      <c r="C48" s="34"/>
      <c r="D48" s="34"/>
      <c r="E48" s="35"/>
      <c r="F48" s="36">
        <f>F47</f>
        <v>2416.5300000000002</v>
      </c>
      <c r="G48" s="36">
        <f>G47</f>
        <v>4.82</v>
      </c>
      <c r="H48" s="36"/>
      <c r="I48" s="14"/>
      <c r="J48" s="14"/>
    </row>
    <row r="49" spans="2:10" x14ac:dyDescent="0.2">
      <c r="B49" s="45" t="s">
        <v>118</v>
      </c>
      <c r="C49" s="45"/>
      <c r="D49" s="45"/>
      <c r="E49" s="46"/>
      <c r="F49" s="16">
        <f>F50-(+F18+F41+F44+F48)</f>
        <v>113.97000000000116</v>
      </c>
      <c r="G49" s="16">
        <f>G50-(+G18+G41+G44+G48)</f>
        <v>0.43999999999999773</v>
      </c>
      <c r="H49" s="16"/>
      <c r="I49" s="14"/>
      <c r="J49" s="14"/>
    </row>
    <row r="50" spans="2:10" x14ac:dyDescent="0.2">
      <c r="B50" s="45" t="s">
        <v>117</v>
      </c>
      <c r="C50" s="45"/>
      <c r="D50" s="45"/>
      <c r="E50" s="46"/>
      <c r="F50" s="16">
        <v>50055.21</v>
      </c>
      <c r="G50" s="16">
        <v>100</v>
      </c>
      <c r="H50" s="16"/>
      <c r="I50" s="14"/>
      <c r="J50" s="14"/>
    </row>
    <row r="52" spans="2:10" x14ac:dyDescent="0.2">
      <c r="B52" s="14" t="s">
        <v>816</v>
      </c>
    </row>
    <row r="53" spans="2:10" x14ac:dyDescent="0.2">
      <c r="B53" s="14" t="s">
        <v>586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2"/>
  <sheetViews>
    <sheetView workbookViewId="0">
      <selection activeCell="E12" sqref="E12"/>
    </sheetView>
  </sheetViews>
  <sheetFormatPr defaultRowHeight="12" x14ac:dyDescent="0.2"/>
  <cols>
    <col min="1" max="1" width="9.140625" style="1"/>
    <col min="2" max="2" width="58.42578125" style="1" bestFit="1" customWidth="1"/>
    <col min="3" max="3" width="4.140625" style="1" bestFit="1" customWidth="1"/>
    <col min="4" max="4" width="14.140625" style="1" bestFit="1" customWidth="1"/>
    <col min="5" max="5" width="7.71093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10" ht="21" customHeight="1" x14ac:dyDescent="0.2">
      <c r="B1" s="62" t="s">
        <v>24</v>
      </c>
      <c r="C1" s="63"/>
      <c r="D1" s="63"/>
      <c r="E1" s="63"/>
      <c r="F1" s="63"/>
      <c r="G1" s="63"/>
      <c r="H1" s="63"/>
    </row>
    <row r="3" spans="2:10" ht="16.5" thickBot="1" x14ac:dyDescent="0.25">
      <c r="B3" s="2" t="s">
        <v>7</v>
      </c>
      <c r="C3" s="3"/>
      <c r="D3" s="4"/>
      <c r="E3" s="5"/>
      <c r="F3" s="6"/>
      <c r="G3" s="6"/>
    </row>
    <row r="4" spans="2:10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10" x14ac:dyDescent="0.2">
      <c r="B5" s="17" t="s">
        <v>116</v>
      </c>
      <c r="C5" s="18"/>
      <c r="D5" s="18"/>
      <c r="E5" s="19"/>
      <c r="F5" s="20"/>
      <c r="G5" s="20"/>
      <c r="H5" s="21"/>
    </row>
    <row r="6" spans="2:10" x14ac:dyDescent="0.2">
      <c r="B6" s="27" t="s">
        <v>116</v>
      </c>
      <c r="C6" s="23"/>
      <c r="D6" s="23"/>
      <c r="E6" s="24"/>
      <c r="F6" s="25">
        <v>19990.75</v>
      </c>
      <c r="G6" s="25">
        <v>99.49</v>
      </c>
      <c r="H6" s="26"/>
    </row>
    <row r="7" spans="2:10" x14ac:dyDescent="0.2">
      <c r="B7" s="29" t="s">
        <v>114</v>
      </c>
      <c r="C7" s="30"/>
      <c r="D7" s="30"/>
      <c r="E7" s="31"/>
      <c r="F7" s="32">
        <f>SUM(F5:F6)</f>
        <v>19990.75</v>
      </c>
      <c r="G7" s="32">
        <f>SUM(G5:G6)</f>
        <v>99.49</v>
      </c>
      <c r="H7" s="33"/>
      <c r="I7" s="14"/>
      <c r="J7" s="14"/>
    </row>
    <row r="8" spans="2:10" x14ac:dyDescent="0.2">
      <c r="B8" s="34" t="s">
        <v>115</v>
      </c>
      <c r="C8" s="34"/>
      <c r="D8" s="34"/>
      <c r="E8" s="35"/>
      <c r="F8" s="36">
        <f>F7</f>
        <v>19990.75</v>
      </c>
      <c r="G8" s="36">
        <f>G7</f>
        <v>99.49</v>
      </c>
      <c r="H8" s="36"/>
      <c r="I8" s="14"/>
      <c r="J8" s="14"/>
    </row>
    <row r="9" spans="2:10" x14ac:dyDescent="0.2">
      <c r="B9" s="45" t="s">
        <v>118</v>
      </c>
      <c r="C9" s="45"/>
      <c r="D9" s="45"/>
      <c r="E9" s="46"/>
      <c r="F9" s="16">
        <f>F10-(+F8)</f>
        <v>97.299999999999272</v>
      </c>
      <c r="G9" s="16">
        <f>G10-(+G8)</f>
        <v>0.51000000000000512</v>
      </c>
      <c r="H9" s="16"/>
      <c r="I9" s="14"/>
      <c r="J9" s="14"/>
    </row>
    <row r="10" spans="2:10" x14ac:dyDescent="0.2">
      <c r="B10" s="45" t="s">
        <v>117</v>
      </c>
      <c r="C10" s="45"/>
      <c r="D10" s="45"/>
      <c r="E10" s="46"/>
      <c r="F10" s="16">
        <v>20088.05</v>
      </c>
      <c r="G10" s="16">
        <v>100</v>
      </c>
      <c r="H10" s="16"/>
      <c r="I10" s="14"/>
      <c r="J10" s="14"/>
    </row>
    <row r="12" spans="2:10" x14ac:dyDescent="0.2">
      <c r="B12" s="14"/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91"/>
  <sheetViews>
    <sheetView workbookViewId="0">
      <selection activeCell="F91" sqref="F91"/>
    </sheetView>
  </sheetViews>
  <sheetFormatPr defaultRowHeight="12" x14ac:dyDescent="0.2"/>
  <cols>
    <col min="1" max="1" width="9.140625" style="1"/>
    <col min="2" max="2" width="60.28515625" style="1" bestFit="1" customWidth="1"/>
    <col min="3" max="3" width="13.8554687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62" t="s">
        <v>25</v>
      </c>
      <c r="C1" s="63"/>
      <c r="D1" s="63"/>
      <c r="E1" s="63"/>
      <c r="F1" s="63"/>
      <c r="G1" s="63"/>
      <c r="H1" s="63"/>
    </row>
    <row r="3" spans="2:8" ht="16.5" thickBot="1" x14ac:dyDescent="0.25">
      <c r="B3" s="2" t="s">
        <v>7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59" t="s">
        <v>355</v>
      </c>
      <c r="C5" s="18"/>
      <c r="D5" s="18"/>
      <c r="E5" s="19"/>
      <c r="F5" s="20"/>
      <c r="G5" s="20"/>
      <c r="H5" s="20"/>
    </row>
    <row r="6" spans="2:8" x14ac:dyDescent="0.2">
      <c r="B6" s="48" t="s">
        <v>32</v>
      </c>
      <c r="C6" s="23"/>
      <c r="D6" s="23"/>
      <c r="E6" s="24"/>
      <c r="F6" s="25"/>
      <c r="G6" s="25"/>
      <c r="H6" s="25"/>
    </row>
    <row r="7" spans="2:8" x14ac:dyDescent="0.2">
      <c r="B7" s="23" t="s">
        <v>651</v>
      </c>
      <c r="C7" s="23" t="s">
        <v>652</v>
      </c>
      <c r="D7" s="23" t="s">
        <v>361</v>
      </c>
      <c r="E7" s="28">
        <v>650</v>
      </c>
      <c r="F7" s="25">
        <v>6557.16</v>
      </c>
      <c r="G7" s="25">
        <v>5.47</v>
      </c>
      <c r="H7" s="25">
        <v>4.54</v>
      </c>
    </row>
    <row r="8" spans="2:8" x14ac:dyDescent="0.2">
      <c r="B8" s="23" t="s">
        <v>405</v>
      </c>
      <c r="C8" s="23" t="s">
        <v>406</v>
      </c>
      <c r="D8" s="23" t="s">
        <v>361</v>
      </c>
      <c r="E8" s="28">
        <v>450</v>
      </c>
      <c r="F8" s="25">
        <v>4671.3999999999996</v>
      </c>
      <c r="G8" s="25">
        <v>3.9</v>
      </c>
      <c r="H8" s="25">
        <v>4.8899999999999997</v>
      </c>
    </row>
    <row r="9" spans="2:8" x14ac:dyDescent="0.2">
      <c r="B9" s="23" t="s">
        <v>366</v>
      </c>
      <c r="C9" s="23" t="s">
        <v>367</v>
      </c>
      <c r="D9" s="23" t="s">
        <v>361</v>
      </c>
      <c r="E9" s="28">
        <v>350</v>
      </c>
      <c r="F9" s="25">
        <v>3642.96</v>
      </c>
      <c r="G9" s="25">
        <v>3.04</v>
      </c>
      <c r="H9" s="25">
        <v>4.6900000000000004</v>
      </c>
    </row>
    <row r="10" spans="2:8" x14ac:dyDescent="0.2">
      <c r="B10" s="23" t="s">
        <v>653</v>
      </c>
      <c r="C10" s="23" t="s">
        <v>654</v>
      </c>
      <c r="D10" s="23" t="s">
        <v>358</v>
      </c>
      <c r="E10" s="28">
        <v>350</v>
      </c>
      <c r="F10" s="25">
        <v>3631.52</v>
      </c>
      <c r="G10" s="25">
        <v>3.03</v>
      </c>
      <c r="H10" s="25">
        <v>4.75</v>
      </c>
    </row>
    <row r="11" spans="2:8" x14ac:dyDescent="0.2">
      <c r="B11" s="23" t="s">
        <v>655</v>
      </c>
      <c r="C11" s="23" t="s">
        <v>656</v>
      </c>
      <c r="D11" s="23" t="s">
        <v>361</v>
      </c>
      <c r="E11" s="28">
        <v>300</v>
      </c>
      <c r="F11" s="25">
        <v>3104.7</v>
      </c>
      <c r="G11" s="25">
        <v>2.59</v>
      </c>
      <c r="H11" s="25">
        <v>5.09</v>
      </c>
    </row>
    <row r="12" spans="2:8" x14ac:dyDescent="0.2">
      <c r="B12" s="23" t="s">
        <v>657</v>
      </c>
      <c r="C12" s="23" t="s">
        <v>658</v>
      </c>
      <c r="D12" s="23" t="s">
        <v>361</v>
      </c>
      <c r="E12" s="28">
        <v>250</v>
      </c>
      <c r="F12" s="25">
        <v>2644.97</v>
      </c>
      <c r="G12" s="25">
        <v>2.21</v>
      </c>
      <c r="H12" s="25">
        <v>5.67</v>
      </c>
    </row>
    <row r="13" spans="2:8" x14ac:dyDescent="0.2">
      <c r="B13" s="23" t="s">
        <v>659</v>
      </c>
      <c r="C13" s="23" t="s">
        <v>660</v>
      </c>
      <c r="D13" s="23" t="s">
        <v>361</v>
      </c>
      <c r="E13" s="28">
        <v>250</v>
      </c>
      <c r="F13" s="25">
        <v>2609.16</v>
      </c>
      <c r="G13" s="25">
        <v>2.1800000000000002</v>
      </c>
      <c r="H13" s="25">
        <v>5.04</v>
      </c>
    </row>
    <row r="14" spans="2:8" x14ac:dyDescent="0.2">
      <c r="B14" s="23" t="s">
        <v>661</v>
      </c>
      <c r="C14" s="23" t="s">
        <v>662</v>
      </c>
      <c r="D14" s="23" t="s">
        <v>361</v>
      </c>
      <c r="E14" s="28">
        <v>250</v>
      </c>
      <c r="F14" s="25">
        <v>2605.6999999999998</v>
      </c>
      <c r="G14" s="25">
        <v>2.1800000000000002</v>
      </c>
      <c r="H14" s="25">
        <v>5.1100000000000003</v>
      </c>
    </row>
    <row r="15" spans="2:8" x14ac:dyDescent="0.2">
      <c r="B15" s="23" t="s">
        <v>532</v>
      </c>
      <c r="C15" s="23" t="s">
        <v>533</v>
      </c>
      <c r="D15" s="23" t="s">
        <v>361</v>
      </c>
      <c r="E15" s="28">
        <v>250</v>
      </c>
      <c r="F15" s="25">
        <v>2593.91</v>
      </c>
      <c r="G15" s="25">
        <v>2.17</v>
      </c>
      <c r="H15" s="25">
        <v>4.5199999999999996</v>
      </c>
    </row>
    <row r="16" spans="2:8" x14ac:dyDescent="0.2">
      <c r="B16" s="23" t="s">
        <v>663</v>
      </c>
      <c r="C16" s="23" t="s">
        <v>664</v>
      </c>
      <c r="D16" s="23" t="s">
        <v>361</v>
      </c>
      <c r="E16" s="28">
        <v>250</v>
      </c>
      <c r="F16" s="25">
        <v>2588.0100000000002</v>
      </c>
      <c r="G16" s="25">
        <v>2.16</v>
      </c>
      <c r="H16" s="25">
        <v>4.58</v>
      </c>
    </row>
    <row r="17" spans="2:8" x14ac:dyDescent="0.2">
      <c r="B17" s="23" t="s">
        <v>372</v>
      </c>
      <c r="C17" s="23" t="s">
        <v>373</v>
      </c>
      <c r="D17" s="23" t="s">
        <v>361</v>
      </c>
      <c r="E17" s="28">
        <v>250</v>
      </c>
      <c r="F17" s="25">
        <v>2543.38</v>
      </c>
      <c r="G17" s="25">
        <v>2.12</v>
      </c>
      <c r="H17" s="25">
        <v>4.1900000000000004</v>
      </c>
    </row>
    <row r="18" spans="2:8" x14ac:dyDescent="0.2">
      <c r="B18" s="23" t="s">
        <v>665</v>
      </c>
      <c r="C18" s="23" t="s">
        <v>666</v>
      </c>
      <c r="D18" s="23" t="s">
        <v>361</v>
      </c>
      <c r="E18" s="28">
        <v>250</v>
      </c>
      <c r="F18" s="25">
        <v>2523.2199999999998</v>
      </c>
      <c r="G18" s="25">
        <v>2.11</v>
      </c>
      <c r="H18" s="25">
        <v>4.93</v>
      </c>
    </row>
    <row r="19" spans="2:8" x14ac:dyDescent="0.2">
      <c r="B19" s="23" t="s">
        <v>667</v>
      </c>
      <c r="C19" s="23" t="s">
        <v>668</v>
      </c>
      <c r="D19" s="23" t="s">
        <v>361</v>
      </c>
      <c r="E19" s="28">
        <v>200</v>
      </c>
      <c r="F19" s="25">
        <v>2085.52</v>
      </c>
      <c r="G19" s="25">
        <v>1.74</v>
      </c>
      <c r="H19" s="25">
        <v>5.98</v>
      </c>
    </row>
    <row r="20" spans="2:8" x14ac:dyDescent="0.2">
      <c r="B20" s="23" t="s">
        <v>669</v>
      </c>
      <c r="C20" s="23" t="s">
        <v>670</v>
      </c>
      <c r="D20" s="23" t="s">
        <v>394</v>
      </c>
      <c r="E20" s="28">
        <v>200</v>
      </c>
      <c r="F20" s="25">
        <v>2085.34</v>
      </c>
      <c r="G20" s="25">
        <v>1.74</v>
      </c>
      <c r="H20" s="25">
        <v>4.29</v>
      </c>
    </row>
    <row r="21" spans="2:8" x14ac:dyDescent="0.2">
      <c r="B21" s="23" t="s">
        <v>520</v>
      </c>
      <c r="C21" s="23" t="s">
        <v>521</v>
      </c>
      <c r="D21" s="23" t="s">
        <v>394</v>
      </c>
      <c r="E21" s="28">
        <v>200</v>
      </c>
      <c r="F21" s="25">
        <v>1986.62</v>
      </c>
      <c r="G21" s="25">
        <v>1.66</v>
      </c>
      <c r="H21" s="25">
        <v>4.83</v>
      </c>
    </row>
    <row r="22" spans="2:8" x14ac:dyDescent="0.2">
      <c r="B22" s="23" t="s">
        <v>403</v>
      </c>
      <c r="C22" s="23" t="s">
        <v>404</v>
      </c>
      <c r="D22" s="23" t="s">
        <v>361</v>
      </c>
      <c r="E22" s="28">
        <v>150</v>
      </c>
      <c r="F22" s="25">
        <v>1600.29</v>
      </c>
      <c r="G22" s="25">
        <v>1.34</v>
      </c>
      <c r="H22" s="25">
        <v>5.72</v>
      </c>
    </row>
    <row r="23" spans="2:8" x14ac:dyDescent="0.2">
      <c r="B23" s="23" t="s">
        <v>384</v>
      </c>
      <c r="C23" s="23" t="s">
        <v>385</v>
      </c>
      <c r="D23" s="23" t="s">
        <v>361</v>
      </c>
      <c r="E23" s="28">
        <v>150</v>
      </c>
      <c r="F23" s="25">
        <v>1593.63</v>
      </c>
      <c r="G23" s="25">
        <v>1.33</v>
      </c>
      <c r="H23" s="25">
        <v>5.7</v>
      </c>
    </row>
    <row r="24" spans="2:8" x14ac:dyDescent="0.2">
      <c r="B24" s="23" t="s">
        <v>671</v>
      </c>
      <c r="C24" s="23" t="s">
        <v>672</v>
      </c>
      <c r="D24" s="23" t="s">
        <v>361</v>
      </c>
      <c r="E24" s="28">
        <v>150</v>
      </c>
      <c r="F24" s="25">
        <v>1567.93</v>
      </c>
      <c r="G24" s="25">
        <v>1.31</v>
      </c>
      <c r="H24" s="25">
        <v>4.59</v>
      </c>
    </row>
    <row r="25" spans="2:8" x14ac:dyDescent="0.2">
      <c r="B25" s="23" t="s">
        <v>386</v>
      </c>
      <c r="C25" s="23" t="s">
        <v>387</v>
      </c>
      <c r="D25" s="23" t="s">
        <v>361</v>
      </c>
      <c r="E25" s="28">
        <v>150</v>
      </c>
      <c r="F25" s="25">
        <v>1565.23</v>
      </c>
      <c r="G25" s="25">
        <v>1.31</v>
      </c>
      <c r="H25" s="25">
        <v>4.8899999999999997</v>
      </c>
    </row>
    <row r="26" spans="2:8" x14ac:dyDescent="0.2">
      <c r="B26" s="23" t="s">
        <v>504</v>
      </c>
      <c r="C26" s="23" t="s">
        <v>505</v>
      </c>
      <c r="D26" s="23" t="s">
        <v>361</v>
      </c>
      <c r="E26" s="28">
        <v>150</v>
      </c>
      <c r="F26" s="25">
        <v>1563.23</v>
      </c>
      <c r="G26" s="25">
        <v>1.31</v>
      </c>
      <c r="H26" s="25">
        <v>4.25</v>
      </c>
    </row>
    <row r="27" spans="2:8" x14ac:dyDescent="0.2">
      <c r="B27" s="23" t="s">
        <v>673</v>
      </c>
      <c r="C27" s="23" t="s">
        <v>674</v>
      </c>
      <c r="D27" s="23" t="s">
        <v>361</v>
      </c>
      <c r="E27" s="28">
        <v>150</v>
      </c>
      <c r="F27" s="25">
        <v>1560.45</v>
      </c>
      <c r="G27" s="25">
        <v>1.3</v>
      </c>
      <c r="H27" s="25">
        <v>4.3499999999999996</v>
      </c>
    </row>
    <row r="28" spans="2:8" x14ac:dyDescent="0.2">
      <c r="B28" s="23" t="s">
        <v>378</v>
      </c>
      <c r="C28" s="23" t="s">
        <v>379</v>
      </c>
      <c r="D28" s="23" t="s">
        <v>361</v>
      </c>
      <c r="E28" s="28">
        <v>150</v>
      </c>
      <c r="F28" s="25">
        <v>1555.42</v>
      </c>
      <c r="G28" s="25">
        <v>1.3</v>
      </c>
      <c r="H28" s="25">
        <v>4.87</v>
      </c>
    </row>
    <row r="29" spans="2:8" x14ac:dyDescent="0.2">
      <c r="B29" s="23" t="s">
        <v>675</v>
      </c>
      <c r="C29" s="23" t="s">
        <v>676</v>
      </c>
      <c r="D29" s="23" t="s">
        <v>358</v>
      </c>
      <c r="E29" s="28">
        <v>150</v>
      </c>
      <c r="F29" s="25">
        <v>1555.26</v>
      </c>
      <c r="G29" s="25">
        <v>1.3</v>
      </c>
      <c r="H29" s="25">
        <v>4.43</v>
      </c>
    </row>
    <row r="30" spans="2:8" x14ac:dyDescent="0.2">
      <c r="B30" s="23" t="s">
        <v>677</v>
      </c>
      <c r="C30" s="23" t="s">
        <v>678</v>
      </c>
      <c r="D30" s="23" t="s">
        <v>361</v>
      </c>
      <c r="E30" s="28">
        <v>150</v>
      </c>
      <c r="F30" s="25">
        <v>1509.91</v>
      </c>
      <c r="G30" s="25">
        <v>1.26</v>
      </c>
      <c r="H30" s="25">
        <v>5.0999999999999996</v>
      </c>
    </row>
    <row r="31" spans="2:8" x14ac:dyDescent="0.2">
      <c r="B31" s="23" t="s">
        <v>374</v>
      </c>
      <c r="C31" s="23" t="s">
        <v>375</v>
      </c>
      <c r="D31" s="23" t="s">
        <v>361</v>
      </c>
      <c r="E31" s="28">
        <v>150</v>
      </c>
      <c r="F31" s="25">
        <v>1495.3</v>
      </c>
      <c r="G31" s="25">
        <v>1.25</v>
      </c>
      <c r="H31" s="25">
        <v>5.52</v>
      </c>
    </row>
    <row r="32" spans="2:8" x14ac:dyDescent="0.2">
      <c r="B32" s="23" t="s">
        <v>679</v>
      </c>
      <c r="C32" s="23" t="s">
        <v>680</v>
      </c>
      <c r="D32" s="23" t="s">
        <v>361</v>
      </c>
      <c r="E32" s="28">
        <v>100</v>
      </c>
      <c r="F32" s="25">
        <v>1057.82</v>
      </c>
      <c r="G32" s="25">
        <v>0.88</v>
      </c>
      <c r="H32" s="25">
        <v>6.09</v>
      </c>
    </row>
    <row r="33" spans="2:8" x14ac:dyDescent="0.2">
      <c r="B33" s="23" t="s">
        <v>681</v>
      </c>
      <c r="C33" s="23" t="s">
        <v>682</v>
      </c>
      <c r="D33" s="23" t="s">
        <v>361</v>
      </c>
      <c r="E33" s="28">
        <v>100</v>
      </c>
      <c r="F33" s="25">
        <v>1045.54</v>
      </c>
      <c r="G33" s="25">
        <v>0.87</v>
      </c>
      <c r="H33" s="25">
        <v>4.87</v>
      </c>
    </row>
    <row r="34" spans="2:8" x14ac:dyDescent="0.2">
      <c r="B34" s="23" t="s">
        <v>524</v>
      </c>
      <c r="C34" s="23" t="s">
        <v>525</v>
      </c>
      <c r="D34" s="23" t="s">
        <v>361</v>
      </c>
      <c r="E34" s="28">
        <v>100</v>
      </c>
      <c r="F34" s="25">
        <v>1045.1199999999999</v>
      </c>
      <c r="G34" s="25">
        <v>0.87</v>
      </c>
      <c r="H34" s="25">
        <v>4.3499999999999996</v>
      </c>
    </row>
    <row r="35" spans="2:8" x14ac:dyDescent="0.2">
      <c r="B35" s="23" t="s">
        <v>683</v>
      </c>
      <c r="C35" s="23" t="s">
        <v>684</v>
      </c>
      <c r="D35" s="23" t="s">
        <v>361</v>
      </c>
      <c r="E35" s="28">
        <v>100</v>
      </c>
      <c r="F35" s="25">
        <v>1042.72</v>
      </c>
      <c r="G35" s="25">
        <v>0.87</v>
      </c>
      <c r="H35" s="25">
        <v>4.38</v>
      </c>
    </row>
    <row r="36" spans="2:8" x14ac:dyDescent="0.2">
      <c r="B36" s="23" t="s">
        <v>530</v>
      </c>
      <c r="C36" s="23" t="s">
        <v>531</v>
      </c>
      <c r="D36" s="23" t="s">
        <v>361</v>
      </c>
      <c r="E36" s="28">
        <v>100</v>
      </c>
      <c r="F36" s="25">
        <v>1041.8</v>
      </c>
      <c r="G36" s="25">
        <v>0.87</v>
      </c>
      <c r="H36" s="25">
        <v>4.8899999999999997</v>
      </c>
    </row>
    <row r="37" spans="2:8" x14ac:dyDescent="0.2">
      <c r="B37" s="23" t="s">
        <v>518</v>
      </c>
      <c r="C37" s="23" t="s">
        <v>519</v>
      </c>
      <c r="D37" s="23" t="s">
        <v>358</v>
      </c>
      <c r="E37" s="28">
        <v>100</v>
      </c>
      <c r="F37" s="25">
        <v>1036.43</v>
      </c>
      <c r="G37" s="25">
        <v>0.87</v>
      </c>
      <c r="H37" s="25">
        <v>4.43</v>
      </c>
    </row>
    <row r="38" spans="2:8" x14ac:dyDescent="0.2">
      <c r="B38" s="23" t="s">
        <v>685</v>
      </c>
      <c r="C38" s="23" t="s">
        <v>686</v>
      </c>
      <c r="D38" s="23" t="s">
        <v>361</v>
      </c>
      <c r="E38" s="28">
        <v>100</v>
      </c>
      <c r="F38" s="25">
        <v>1034.82</v>
      </c>
      <c r="G38" s="25">
        <v>0.86</v>
      </c>
      <c r="H38" s="25">
        <v>4.6399999999999997</v>
      </c>
    </row>
    <row r="39" spans="2:8" x14ac:dyDescent="0.2">
      <c r="B39" s="23" t="s">
        <v>687</v>
      </c>
      <c r="C39" s="23" t="s">
        <v>688</v>
      </c>
      <c r="D39" s="23" t="s">
        <v>361</v>
      </c>
      <c r="E39" s="28">
        <v>100</v>
      </c>
      <c r="F39" s="25">
        <v>1023.05</v>
      </c>
      <c r="G39" s="25">
        <v>0.85</v>
      </c>
      <c r="H39" s="25">
        <v>3.96</v>
      </c>
    </row>
    <row r="40" spans="2:8" x14ac:dyDescent="0.2">
      <c r="B40" s="23" t="s">
        <v>490</v>
      </c>
      <c r="C40" s="23" t="s">
        <v>491</v>
      </c>
      <c r="D40" s="23" t="s">
        <v>361</v>
      </c>
      <c r="E40" s="28">
        <v>100</v>
      </c>
      <c r="F40" s="25">
        <v>1019.74</v>
      </c>
      <c r="G40" s="25">
        <v>0.85</v>
      </c>
      <c r="H40" s="25">
        <v>3.87</v>
      </c>
    </row>
    <row r="41" spans="2:8" x14ac:dyDescent="0.2">
      <c r="B41" s="23" t="s">
        <v>689</v>
      </c>
      <c r="C41" s="23" t="s">
        <v>690</v>
      </c>
      <c r="D41" s="23" t="s">
        <v>361</v>
      </c>
      <c r="E41" s="28">
        <v>100</v>
      </c>
      <c r="F41" s="25">
        <v>992.39</v>
      </c>
      <c r="G41" s="25">
        <v>0.83</v>
      </c>
      <c r="H41" s="25">
        <v>4.93</v>
      </c>
    </row>
    <row r="42" spans="2:8" x14ac:dyDescent="0.2">
      <c r="B42" s="23" t="s">
        <v>691</v>
      </c>
      <c r="C42" s="23" t="s">
        <v>692</v>
      </c>
      <c r="D42" s="23" t="s">
        <v>361</v>
      </c>
      <c r="E42" s="28">
        <v>70</v>
      </c>
      <c r="F42" s="25">
        <v>718.92</v>
      </c>
      <c r="G42" s="25">
        <v>0.6</v>
      </c>
      <c r="H42" s="25">
        <v>3.81</v>
      </c>
    </row>
    <row r="43" spans="2:8" x14ac:dyDescent="0.2">
      <c r="B43" s="23" t="s">
        <v>364</v>
      </c>
      <c r="C43" s="23" t="s">
        <v>365</v>
      </c>
      <c r="D43" s="23" t="s">
        <v>361</v>
      </c>
      <c r="E43" s="28">
        <v>50</v>
      </c>
      <c r="F43" s="25">
        <v>566.02</v>
      </c>
      <c r="G43" s="25">
        <v>0.47</v>
      </c>
      <c r="H43" s="25">
        <v>6.45</v>
      </c>
    </row>
    <row r="44" spans="2:8" x14ac:dyDescent="0.2">
      <c r="B44" s="23" t="s">
        <v>693</v>
      </c>
      <c r="C44" s="23" t="s">
        <v>694</v>
      </c>
      <c r="D44" s="23" t="s">
        <v>361</v>
      </c>
      <c r="E44" s="28">
        <v>50</v>
      </c>
      <c r="F44" s="25">
        <v>560.55999999999995</v>
      </c>
      <c r="G44" s="25">
        <v>0.47</v>
      </c>
      <c r="H44" s="25">
        <v>5.68</v>
      </c>
    </row>
    <row r="45" spans="2:8" x14ac:dyDescent="0.2">
      <c r="B45" s="23" t="s">
        <v>695</v>
      </c>
      <c r="C45" s="23" t="s">
        <v>696</v>
      </c>
      <c r="D45" s="23" t="s">
        <v>361</v>
      </c>
      <c r="E45" s="28">
        <v>50</v>
      </c>
      <c r="F45" s="25">
        <v>558.86</v>
      </c>
      <c r="G45" s="25">
        <v>0.47</v>
      </c>
      <c r="H45" s="25">
        <v>6.09</v>
      </c>
    </row>
    <row r="46" spans="2:8" x14ac:dyDescent="0.2">
      <c r="B46" s="23" t="s">
        <v>397</v>
      </c>
      <c r="C46" s="23" t="s">
        <v>398</v>
      </c>
      <c r="D46" s="23" t="s">
        <v>361</v>
      </c>
      <c r="E46" s="28">
        <v>50</v>
      </c>
      <c r="F46" s="25">
        <v>554.85</v>
      </c>
      <c r="G46" s="25">
        <v>0.46</v>
      </c>
      <c r="H46" s="25">
        <v>6.56</v>
      </c>
    </row>
    <row r="47" spans="2:8" x14ac:dyDescent="0.2">
      <c r="B47" s="23" t="s">
        <v>376</v>
      </c>
      <c r="C47" s="23" t="s">
        <v>377</v>
      </c>
      <c r="D47" s="23" t="s">
        <v>361</v>
      </c>
      <c r="E47" s="28">
        <v>50</v>
      </c>
      <c r="F47" s="25">
        <v>535.87</v>
      </c>
      <c r="G47" s="25">
        <v>0.45</v>
      </c>
      <c r="H47" s="25">
        <v>5.62</v>
      </c>
    </row>
    <row r="48" spans="2:8" x14ac:dyDescent="0.2">
      <c r="B48" s="23" t="s">
        <v>697</v>
      </c>
      <c r="C48" s="23" t="s">
        <v>698</v>
      </c>
      <c r="D48" s="23" t="s">
        <v>361</v>
      </c>
      <c r="E48" s="28">
        <v>50</v>
      </c>
      <c r="F48" s="25">
        <v>534.16</v>
      </c>
      <c r="G48" s="25">
        <v>0.45</v>
      </c>
      <c r="H48" s="25">
        <v>4.83</v>
      </c>
    </row>
    <row r="49" spans="2:10" x14ac:dyDescent="0.2">
      <c r="B49" s="23" t="s">
        <v>699</v>
      </c>
      <c r="C49" s="23" t="s">
        <v>700</v>
      </c>
      <c r="D49" s="23" t="s">
        <v>358</v>
      </c>
      <c r="E49" s="28">
        <v>50</v>
      </c>
      <c r="F49" s="25">
        <v>533.42999999999995</v>
      </c>
      <c r="G49" s="25">
        <v>0.45</v>
      </c>
      <c r="H49" s="25">
        <v>6.56</v>
      </c>
    </row>
    <row r="50" spans="2:10" x14ac:dyDescent="0.2">
      <c r="B50" s="23" t="s">
        <v>476</v>
      </c>
      <c r="C50" s="23" t="s">
        <v>477</v>
      </c>
      <c r="D50" s="23" t="s">
        <v>361</v>
      </c>
      <c r="E50" s="28">
        <v>50</v>
      </c>
      <c r="F50" s="25">
        <v>529.63</v>
      </c>
      <c r="G50" s="25">
        <v>0.44</v>
      </c>
      <c r="H50" s="25">
        <v>6.55</v>
      </c>
    </row>
    <row r="51" spans="2:10" x14ac:dyDescent="0.2">
      <c r="B51" s="23" t="s">
        <v>701</v>
      </c>
      <c r="C51" s="23" t="s">
        <v>702</v>
      </c>
      <c r="D51" s="23" t="s">
        <v>361</v>
      </c>
      <c r="E51" s="28">
        <v>50</v>
      </c>
      <c r="F51" s="25">
        <v>524.61</v>
      </c>
      <c r="G51" s="25">
        <v>0.44</v>
      </c>
      <c r="H51" s="25">
        <v>4.7</v>
      </c>
    </row>
    <row r="52" spans="2:10" x14ac:dyDescent="0.2">
      <c r="B52" s="23" t="s">
        <v>703</v>
      </c>
      <c r="C52" s="23" t="s">
        <v>704</v>
      </c>
      <c r="D52" s="23" t="s">
        <v>361</v>
      </c>
      <c r="E52" s="28">
        <v>50</v>
      </c>
      <c r="F52" s="25">
        <v>510.87</v>
      </c>
      <c r="G52" s="25">
        <v>0.43</v>
      </c>
      <c r="H52" s="25">
        <v>3.91</v>
      </c>
    </row>
    <row r="53" spans="2:10" x14ac:dyDescent="0.2">
      <c r="B53" s="23" t="s">
        <v>705</v>
      </c>
      <c r="C53" s="23" t="s">
        <v>706</v>
      </c>
      <c r="D53" s="23" t="s">
        <v>361</v>
      </c>
      <c r="E53" s="28">
        <v>50</v>
      </c>
      <c r="F53" s="25">
        <v>506.71</v>
      </c>
      <c r="G53" s="25">
        <v>0.42</v>
      </c>
      <c r="H53" s="25">
        <v>3.63</v>
      </c>
    </row>
    <row r="54" spans="2:10" x14ac:dyDescent="0.2">
      <c r="B54" s="23" t="s">
        <v>522</v>
      </c>
      <c r="C54" s="23" t="s">
        <v>523</v>
      </c>
      <c r="D54" s="23" t="s">
        <v>361</v>
      </c>
      <c r="E54" s="28">
        <v>100</v>
      </c>
      <c r="F54" s="25">
        <v>323.89999999999998</v>
      </c>
      <c r="G54" s="25">
        <v>0.27</v>
      </c>
      <c r="H54" s="25">
        <v>5.08</v>
      </c>
    </row>
    <row r="55" spans="2:10" x14ac:dyDescent="0.2">
      <c r="B55" s="23" t="s">
        <v>631</v>
      </c>
      <c r="C55" s="23" t="s">
        <v>632</v>
      </c>
      <c r="D55" s="23" t="s">
        <v>361</v>
      </c>
      <c r="E55" s="28">
        <v>20</v>
      </c>
      <c r="F55" s="25">
        <v>203.17</v>
      </c>
      <c r="G55" s="25">
        <v>0.17</v>
      </c>
      <c r="H55" s="25">
        <v>4.2</v>
      </c>
    </row>
    <row r="56" spans="2:10" x14ac:dyDescent="0.2">
      <c r="B56" s="23" t="s">
        <v>707</v>
      </c>
      <c r="C56" s="23" t="s">
        <v>708</v>
      </c>
      <c r="D56" s="23" t="s">
        <v>361</v>
      </c>
      <c r="E56" s="28">
        <v>10</v>
      </c>
      <c r="F56" s="25">
        <v>104.43</v>
      </c>
      <c r="G56" s="25">
        <v>0.09</v>
      </c>
      <c r="H56" s="25">
        <v>4.43</v>
      </c>
    </row>
    <row r="57" spans="2:10" x14ac:dyDescent="0.2">
      <c r="B57" s="30" t="s">
        <v>114</v>
      </c>
      <c r="C57" s="30"/>
      <c r="D57" s="30"/>
      <c r="E57" s="31"/>
      <c r="F57" s="32">
        <f>SUM(F6:F56)</f>
        <v>79045.640000000014</v>
      </c>
      <c r="G57" s="32">
        <f>SUM(G6:G56)</f>
        <v>66.010000000000005</v>
      </c>
      <c r="H57" s="49"/>
      <c r="I57" s="14"/>
      <c r="J57" s="14"/>
    </row>
    <row r="58" spans="2:10" x14ac:dyDescent="0.2">
      <c r="B58" s="50" t="s">
        <v>115</v>
      </c>
      <c r="C58" s="50"/>
      <c r="D58" s="50"/>
      <c r="E58" s="51"/>
      <c r="F58" s="52">
        <f>F57</f>
        <v>79045.640000000014</v>
      </c>
      <c r="G58" s="52">
        <f>G57</f>
        <v>66.010000000000005</v>
      </c>
      <c r="H58" s="52"/>
      <c r="I58" s="14"/>
      <c r="J58" s="14"/>
    </row>
    <row r="59" spans="2:10" x14ac:dyDescent="0.2">
      <c r="B59" s="48" t="s">
        <v>455</v>
      </c>
      <c r="C59" s="23"/>
      <c r="D59" s="23"/>
      <c r="E59" s="24"/>
      <c r="F59" s="25"/>
      <c r="G59" s="25"/>
      <c r="H59" s="25"/>
    </row>
    <row r="60" spans="2:10" x14ac:dyDescent="0.2">
      <c r="B60" s="48" t="s">
        <v>456</v>
      </c>
      <c r="C60" s="23"/>
      <c r="D60" s="23"/>
      <c r="E60" s="24"/>
      <c r="F60" s="25"/>
      <c r="G60" s="25"/>
      <c r="H60" s="25"/>
    </row>
    <row r="61" spans="2:10" x14ac:dyDescent="0.2">
      <c r="B61" s="23" t="s">
        <v>570</v>
      </c>
      <c r="C61" s="23" t="s">
        <v>571</v>
      </c>
      <c r="D61" s="23" t="s">
        <v>459</v>
      </c>
      <c r="E61" s="28">
        <v>5000000</v>
      </c>
      <c r="F61" s="25">
        <v>4915.8599999999997</v>
      </c>
      <c r="G61" s="25">
        <v>4.0999999999999996</v>
      </c>
      <c r="H61" s="25">
        <v>3.51</v>
      </c>
    </row>
    <row r="62" spans="2:10" x14ac:dyDescent="0.2">
      <c r="B62" s="23" t="s">
        <v>709</v>
      </c>
      <c r="C62" s="23" t="s">
        <v>710</v>
      </c>
      <c r="D62" s="23" t="s">
        <v>459</v>
      </c>
      <c r="E62" s="28">
        <v>5000000</v>
      </c>
      <c r="F62" s="25">
        <v>4891.8500000000004</v>
      </c>
      <c r="G62" s="25">
        <v>4.08</v>
      </c>
      <c r="H62" s="25">
        <v>3.56</v>
      </c>
    </row>
    <row r="63" spans="2:10" x14ac:dyDescent="0.2">
      <c r="B63" s="23" t="s">
        <v>572</v>
      </c>
      <c r="C63" s="23" t="s">
        <v>573</v>
      </c>
      <c r="D63" s="23" t="s">
        <v>459</v>
      </c>
      <c r="E63" s="28">
        <v>3000000</v>
      </c>
      <c r="F63" s="25">
        <v>2951.43</v>
      </c>
      <c r="G63" s="25">
        <v>2.46</v>
      </c>
      <c r="H63" s="25">
        <v>3.51</v>
      </c>
    </row>
    <row r="64" spans="2:10" x14ac:dyDescent="0.2">
      <c r="B64" s="23" t="s">
        <v>711</v>
      </c>
      <c r="C64" s="23" t="s">
        <v>712</v>
      </c>
      <c r="D64" s="23" t="s">
        <v>459</v>
      </c>
      <c r="E64" s="28">
        <v>1000000</v>
      </c>
      <c r="F64" s="25">
        <v>982.35</v>
      </c>
      <c r="G64" s="25">
        <v>0.82</v>
      </c>
      <c r="H64" s="25">
        <v>3.54</v>
      </c>
    </row>
    <row r="65" spans="2:10" x14ac:dyDescent="0.2">
      <c r="B65" s="30" t="s">
        <v>114</v>
      </c>
      <c r="C65" s="30"/>
      <c r="D65" s="30"/>
      <c r="E65" s="31"/>
      <c r="F65" s="32">
        <f>SUM(F60:F64)</f>
        <v>13741.49</v>
      </c>
      <c r="G65" s="32">
        <f>SUM(G60:G64)</f>
        <v>11.46</v>
      </c>
      <c r="H65" s="49"/>
      <c r="I65" s="14"/>
      <c r="J65" s="14"/>
    </row>
    <row r="66" spans="2:10" x14ac:dyDescent="0.2">
      <c r="B66" s="50" t="s">
        <v>115</v>
      </c>
      <c r="C66" s="50"/>
      <c r="D66" s="50"/>
      <c r="E66" s="51"/>
      <c r="F66" s="52">
        <f>+F65</f>
        <v>13741.49</v>
      </c>
      <c r="G66" s="52">
        <f>+G65</f>
        <v>11.46</v>
      </c>
      <c r="H66" s="52"/>
      <c r="I66" s="14"/>
      <c r="J66" s="14"/>
    </row>
    <row r="67" spans="2:10" x14ac:dyDescent="0.2">
      <c r="B67" s="48" t="s">
        <v>427</v>
      </c>
      <c r="C67" s="23"/>
      <c r="D67" s="23"/>
      <c r="E67" s="24"/>
      <c r="F67" s="25"/>
      <c r="G67" s="25"/>
      <c r="H67" s="25"/>
    </row>
    <row r="68" spans="2:10" x14ac:dyDescent="0.2">
      <c r="B68" s="23" t="s">
        <v>428</v>
      </c>
      <c r="C68" s="23" t="s">
        <v>429</v>
      </c>
      <c r="D68" s="23" t="s">
        <v>430</v>
      </c>
      <c r="E68" s="28">
        <v>3500000</v>
      </c>
      <c r="F68" s="25">
        <v>3666.25</v>
      </c>
      <c r="G68" s="25">
        <v>3.06</v>
      </c>
      <c r="H68" s="25">
        <v>4.1900000000000004</v>
      </c>
    </row>
    <row r="69" spans="2:10" x14ac:dyDescent="0.2">
      <c r="B69" s="23" t="s">
        <v>713</v>
      </c>
      <c r="C69" s="23" t="s">
        <v>714</v>
      </c>
      <c r="D69" s="23" t="s">
        <v>430</v>
      </c>
      <c r="E69" s="28">
        <v>2500000</v>
      </c>
      <c r="F69" s="25">
        <v>2494.62</v>
      </c>
      <c r="G69" s="25">
        <v>2.08</v>
      </c>
      <c r="H69" s="25">
        <v>4.5599999999999996</v>
      </c>
    </row>
    <row r="70" spans="2:10" x14ac:dyDescent="0.2">
      <c r="B70" s="23" t="s">
        <v>715</v>
      </c>
      <c r="C70" s="23" t="s">
        <v>716</v>
      </c>
      <c r="D70" s="23" t="s">
        <v>430</v>
      </c>
      <c r="E70" s="28">
        <v>2000000</v>
      </c>
      <c r="F70" s="25">
        <v>2085.5</v>
      </c>
      <c r="G70" s="25">
        <v>1.74</v>
      </c>
      <c r="H70" s="25">
        <v>4.09</v>
      </c>
    </row>
    <row r="71" spans="2:10" x14ac:dyDescent="0.2">
      <c r="B71" s="23" t="s">
        <v>439</v>
      </c>
      <c r="C71" s="23" t="s">
        <v>440</v>
      </c>
      <c r="D71" s="23" t="s">
        <v>430</v>
      </c>
      <c r="E71" s="28">
        <v>1500000</v>
      </c>
      <c r="F71" s="25">
        <v>1494.27</v>
      </c>
      <c r="G71" s="25">
        <v>1.25</v>
      </c>
      <c r="H71" s="25">
        <v>5.9</v>
      </c>
    </row>
    <row r="72" spans="2:10" x14ac:dyDescent="0.2">
      <c r="B72" s="23" t="s">
        <v>717</v>
      </c>
      <c r="C72" s="23" t="s">
        <v>718</v>
      </c>
      <c r="D72" s="23" t="s">
        <v>430</v>
      </c>
      <c r="E72" s="28">
        <v>1000000</v>
      </c>
      <c r="F72" s="25">
        <v>1079</v>
      </c>
      <c r="G72" s="25">
        <v>0.9</v>
      </c>
      <c r="H72" s="25">
        <v>4.6100000000000003</v>
      </c>
    </row>
    <row r="73" spans="2:10" x14ac:dyDescent="0.2">
      <c r="B73" s="23" t="s">
        <v>443</v>
      </c>
      <c r="C73" s="23" t="s">
        <v>444</v>
      </c>
      <c r="D73" s="23" t="s">
        <v>430</v>
      </c>
      <c r="E73" s="28">
        <v>1000000</v>
      </c>
      <c r="F73" s="25">
        <v>1074.73</v>
      </c>
      <c r="G73" s="25">
        <v>0.9</v>
      </c>
      <c r="H73" s="25">
        <v>4.93</v>
      </c>
    </row>
    <row r="74" spans="2:10" x14ac:dyDescent="0.2">
      <c r="B74" s="23" t="s">
        <v>719</v>
      </c>
      <c r="C74" s="23" t="s">
        <v>720</v>
      </c>
      <c r="D74" s="23" t="s">
        <v>430</v>
      </c>
      <c r="E74" s="28">
        <v>500000</v>
      </c>
      <c r="F74" s="25">
        <v>531.04</v>
      </c>
      <c r="G74" s="25">
        <v>0.44</v>
      </c>
      <c r="H74" s="25">
        <v>4.42</v>
      </c>
    </row>
    <row r="75" spans="2:10" x14ac:dyDescent="0.2">
      <c r="B75" s="23" t="s">
        <v>721</v>
      </c>
      <c r="C75" s="23" t="s">
        <v>722</v>
      </c>
      <c r="D75" s="23" t="s">
        <v>430</v>
      </c>
      <c r="E75" s="28">
        <v>500000</v>
      </c>
      <c r="F75" s="25">
        <v>531.01</v>
      </c>
      <c r="G75" s="25">
        <v>0.44</v>
      </c>
      <c r="H75" s="25">
        <v>4.42</v>
      </c>
    </row>
    <row r="76" spans="2:10" x14ac:dyDescent="0.2">
      <c r="B76" s="23" t="s">
        <v>723</v>
      </c>
      <c r="C76" s="23" t="s">
        <v>724</v>
      </c>
      <c r="D76" s="23" t="s">
        <v>430</v>
      </c>
      <c r="E76" s="28">
        <v>500000</v>
      </c>
      <c r="F76" s="25">
        <v>524.09</v>
      </c>
      <c r="G76" s="25">
        <v>0.44</v>
      </c>
      <c r="H76" s="25">
        <v>4.6500000000000004</v>
      </c>
    </row>
    <row r="77" spans="2:10" x14ac:dyDescent="0.2">
      <c r="B77" s="23" t="s">
        <v>597</v>
      </c>
      <c r="C77" s="23" t="s">
        <v>598</v>
      </c>
      <c r="D77" s="23" t="s">
        <v>430</v>
      </c>
      <c r="E77" s="28">
        <v>500000</v>
      </c>
      <c r="F77" s="25">
        <v>522.85</v>
      </c>
      <c r="G77" s="25">
        <v>0.44</v>
      </c>
      <c r="H77" s="25">
        <v>4.4000000000000004</v>
      </c>
    </row>
    <row r="78" spans="2:10" x14ac:dyDescent="0.2">
      <c r="B78" s="23" t="s">
        <v>725</v>
      </c>
      <c r="C78" s="23" t="s">
        <v>726</v>
      </c>
      <c r="D78" s="23" t="s">
        <v>430</v>
      </c>
      <c r="E78" s="28">
        <v>500000</v>
      </c>
      <c r="F78" s="25">
        <v>521.28</v>
      </c>
      <c r="G78" s="25">
        <v>0.44</v>
      </c>
      <c r="H78" s="25">
        <v>4.4000000000000004</v>
      </c>
    </row>
    <row r="79" spans="2:10" x14ac:dyDescent="0.2">
      <c r="B79" s="23" t="s">
        <v>441</v>
      </c>
      <c r="C79" s="23" t="s">
        <v>442</v>
      </c>
      <c r="D79" s="23" t="s">
        <v>430</v>
      </c>
      <c r="E79" s="28">
        <v>500000</v>
      </c>
      <c r="F79" s="25">
        <v>493.48</v>
      </c>
      <c r="G79" s="25">
        <v>0.41</v>
      </c>
      <c r="H79" s="25">
        <v>5.95</v>
      </c>
    </row>
    <row r="80" spans="2:10" x14ac:dyDescent="0.2">
      <c r="B80" s="23" t="s">
        <v>727</v>
      </c>
      <c r="C80" s="23" t="s">
        <v>728</v>
      </c>
      <c r="D80" s="23" t="s">
        <v>430</v>
      </c>
      <c r="E80" s="28">
        <v>400000</v>
      </c>
      <c r="F80" s="25">
        <v>423.1</v>
      </c>
      <c r="G80" s="25">
        <v>0.35</v>
      </c>
      <c r="H80" s="25">
        <v>4.41</v>
      </c>
    </row>
    <row r="81" spans="2:10" x14ac:dyDescent="0.2">
      <c r="B81" s="23" t="s">
        <v>729</v>
      </c>
      <c r="C81" s="23" t="s">
        <v>730</v>
      </c>
      <c r="D81" s="23" t="s">
        <v>430</v>
      </c>
      <c r="E81" s="28">
        <v>178000</v>
      </c>
      <c r="F81" s="25">
        <v>179.35</v>
      </c>
      <c r="G81" s="25">
        <v>0.15</v>
      </c>
      <c r="H81" s="25">
        <v>3.42</v>
      </c>
    </row>
    <row r="82" spans="2:10" x14ac:dyDescent="0.2">
      <c r="B82" s="53" t="s">
        <v>731</v>
      </c>
      <c r="C82" s="53" t="s">
        <v>732</v>
      </c>
      <c r="D82" s="53" t="s">
        <v>430</v>
      </c>
      <c r="E82" s="54">
        <v>28300</v>
      </c>
      <c r="F82" s="55">
        <v>30.78</v>
      </c>
      <c r="G82" s="55">
        <v>0.03</v>
      </c>
      <c r="H82" s="55">
        <v>6.12</v>
      </c>
    </row>
    <row r="83" spans="2:10" x14ac:dyDescent="0.2">
      <c r="B83" s="56" t="s">
        <v>115</v>
      </c>
      <c r="C83" s="56"/>
      <c r="D83" s="56"/>
      <c r="E83" s="57"/>
      <c r="F83" s="58">
        <f>SUM(F68:F82)</f>
        <v>15651.350000000002</v>
      </c>
      <c r="G83" s="58">
        <f>SUM(G68:G82)</f>
        <v>13.069999999999999</v>
      </c>
      <c r="H83" s="58"/>
      <c r="I83" s="14"/>
      <c r="J83" s="14"/>
    </row>
    <row r="84" spans="2:10" x14ac:dyDescent="0.2">
      <c r="B84" s="48" t="s">
        <v>116</v>
      </c>
      <c r="C84" s="23"/>
      <c r="D84" s="23"/>
      <c r="E84" s="24"/>
      <c r="F84" s="25"/>
      <c r="G84" s="25"/>
      <c r="H84" s="25"/>
    </row>
    <row r="85" spans="2:10" x14ac:dyDescent="0.2">
      <c r="B85" s="23" t="s">
        <v>116</v>
      </c>
      <c r="C85" s="23"/>
      <c r="D85" s="23"/>
      <c r="E85" s="24"/>
      <c r="F85" s="25">
        <v>8428.3799999999992</v>
      </c>
      <c r="G85" s="25">
        <v>7.03</v>
      </c>
      <c r="H85" s="25"/>
    </row>
    <row r="86" spans="2:10" x14ac:dyDescent="0.2">
      <c r="B86" s="30" t="s">
        <v>114</v>
      </c>
      <c r="C86" s="30"/>
      <c r="D86" s="30"/>
      <c r="E86" s="31"/>
      <c r="F86" s="32">
        <f>SUM(F84:F85)</f>
        <v>8428.3799999999992</v>
      </c>
      <c r="G86" s="32">
        <f>SUM(G84:G85)</f>
        <v>7.03</v>
      </c>
      <c r="H86" s="49"/>
      <c r="I86" s="14"/>
      <c r="J86" s="14"/>
    </row>
    <row r="87" spans="2:10" x14ac:dyDescent="0.2">
      <c r="B87" s="34" t="s">
        <v>115</v>
      </c>
      <c r="C87" s="34"/>
      <c r="D87" s="34"/>
      <c r="E87" s="35"/>
      <c r="F87" s="36">
        <f>F86</f>
        <v>8428.3799999999992</v>
      </c>
      <c r="G87" s="36">
        <f>G86</f>
        <v>7.03</v>
      </c>
      <c r="H87" s="36"/>
      <c r="I87" s="14"/>
      <c r="J87" s="14"/>
    </row>
    <row r="88" spans="2:10" x14ac:dyDescent="0.2">
      <c r="B88" s="45" t="s">
        <v>118</v>
      </c>
      <c r="C88" s="45"/>
      <c r="D88" s="45"/>
      <c r="E88" s="46"/>
      <c r="F88" s="16">
        <f>F89-(+F58+F66+F83+F87)</f>
        <v>2503.2299999999668</v>
      </c>
      <c r="G88" s="16">
        <f>G89-(+G58+G66+G83+G87)</f>
        <v>2.4300000000000068</v>
      </c>
      <c r="H88" s="16"/>
      <c r="I88" s="14"/>
      <c r="J88" s="14"/>
    </row>
    <row r="89" spans="2:10" x14ac:dyDescent="0.2">
      <c r="B89" s="45" t="s">
        <v>117</v>
      </c>
      <c r="C89" s="45"/>
      <c r="D89" s="45"/>
      <c r="E89" s="46"/>
      <c r="F89" s="16">
        <v>119370.09</v>
      </c>
      <c r="G89" s="16">
        <v>100</v>
      </c>
      <c r="H89" s="16"/>
      <c r="I89" s="14"/>
      <c r="J89" s="14"/>
    </row>
    <row r="91" spans="2:10" x14ac:dyDescent="0.2">
      <c r="B91" s="14" t="s">
        <v>816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60"/>
  <sheetViews>
    <sheetView workbookViewId="0">
      <selection activeCell="F25" sqref="F25"/>
    </sheetView>
  </sheetViews>
  <sheetFormatPr defaultRowHeight="12" x14ac:dyDescent="0.2"/>
  <cols>
    <col min="1" max="1" width="9.140625" style="1"/>
    <col min="2" max="2" width="60.28515625" style="1" bestFit="1" customWidth="1"/>
    <col min="3" max="3" width="13.85546875" style="1" bestFit="1" customWidth="1"/>
    <col min="4" max="4" width="14.140625" style="1" bestFit="1" customWidth="1"/>
    <col min="5" max="5" width="7.71093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62" t="s">
        <v>26</v>
      </c>
      <c r="C1" s="63"/>
      <c r="D1" s="63"/>
      <c r="E1" s="63"/>
      <c r="F1" s="63"/>
      <c r="G1" s="63"/>
      <c r="H1" s="63"/>
    </row>
    <row r="3" spans="2:8" ht="16.5" thickBot="1" x14ac:dyDescent="0.25">
      <c r="B3" s="2" t="s">
        <v>7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59" t="s">
        <v>355</v>
      </c>
      <c r="C5" s="18"/>
      <c r="D5" s="18"/>
      <c r="E5" s="19"/>
      <c r="F5" s="20"/>
      <c r="G5" s="20"/>
      <c r="H5" s="20"/>
    </row>
    <row r="6" spans="2:8" x14ac:dyDescent="0.2">
      <c r="B6" s="48" t="s">
        <v>32</v>
      </c>
      <c r="C6" s="23"/>
      <c r="D6" s="23"/>
      <c r="E6" s="24"/>
      <c r="F6" s="25"/>
      <c r="G6" s="25"/>
      <c r="H6" s="25"/>
    </row>
    <row r="7" spans="2:8" x14ac:dyDescent="0.2">
      <c r="B7" s="23" t="s">
        <v>651</v>
      </c>
      <c r="C7" s="23" t="s">
        <v>652</v>
      </c>
      <c r="D7" s="23" t="s">
        <v>361</v>
      </c>
      <c r="E7" s="28">
        <v>250</v>
      </c>
      <c r="F7" s="25">
        <v>2521.9899999999998</v>
      </c>
      <c r="G7" s="25">
        <v>7.82</v>
      </c>
      <c r="H7" s="25">
        <v>4.54</v>
      </c>
    </row>
    <row r="8" spans="2:8" x14ac:dyDescent="0.2">
      <c r="B8" s="23" t="s">
        <v>679</v>
      </c>
      <c r="C8" s="23" t="s">
        <v>680</v>
      </c>
      <c r="D8" s="23" t="s">
        <v>361</v>
      </c>
      <c r="E8" s="28">
        <v>150</v>
      </c>
      <c r="F8" s="25">
        <v>1586.73</v>
      </c>
      <c r="G8" s="25">
        <v>4.92</v>
      </c>
      <c r="H8" s="25">
        <v>6.09</v>
      </c>
    </row>
    <row r="9" spans="2:8" x14ac:dyDescent="0.2">
      <c r="B9" s="23" t="s">
        <v>405</v>
      </c>
      <c r="C9" s="23" t="s">
        <v>406</v>
      </c>
      <c r="D9" s="23" t="s">
        <v>361</v>
      </c>
      <c r="E9" s="28">
        <v>150</v>
      </c>
      <c r="F9" s="25">
        <v>1557.13</v>
      </c>
      <c r="G9" s="25">
        <v>4.83</v>
      </c>
      <c r="H9" s="25">
        <v>4.8899999999999997</v>
      </c>
    </row>
    <row r="10" spans="2:8" x14ac:dyDescent="0.2">
      <c r="B10" s="23" t="s">
        <v>520</v>
      </c>
      <c r="C10" s="23" t="s">
        <v>521</v>
      </c>
      <c r="D10" s="23" t="s">
        <v>394</v>
      </c>
      <c r="E10" s="28">
        <v>150</v>
      </c>
      <c r="F10" s="25">
        <v>1489.97</v>
      </c>
      <c r="G10" s="25">
        <v>4.62</v>
      </c>
      <c r="H10" s="25">
        <v>4.83</v>
      </c>
    </row>
    <row r="11" spans="2:8" x14ac:dyDescent="0.2">
      <c r="B11" s="23" t="s">
        <v>364</v>
      </c>
      <c r="C11" s="23" t="s">
        <v>365</v>
      </c>
      <c r="D11" s="23" t="s">
        <v>361</v>
      </c>
      <c r="E11" s="28">
        <v>100</v>
      </c>
      <c r="F11" s="25">
        <v>1132.04</v>
      </c>
      <c r="G11" s="25">
        <v>3.51</v>
      </c>
      <c r="H11" s="25">
        <v>6.45</v>
      </c>
    </row>
    <row r="12" spans="2:8" x14ac:dyDescent="0.2">
      <c r="B12" s="23" t="s">
        <v>733</v>
      </c>
      <c r="C12" s="23" t="s">
        <v>734</v>
      </c>
      <c r="D12" s="23" t="s">
        <v>361</v>
      </c>
      <c r="E12" s="28">
        <v>100</v>
      </c>
      <c r="F12" s="25">
        <v>1077.3900000000001</v>
      </c>
      <c r="G12" s="25">
        <v>3.34</v>
      </c>
      <c r="H12" s="25">
        <v>4.75</v>
      </c>
    </row>
    <row r="13" spans="2:8" x14ac:dyDescent="0.2">
      <c r="B13" s="23" t="s">
        <v>735</v>
      </c>
      <c r="C13" s="23" t="s">
        <v>736</v>
      </c>
      <c r="D13" s="23" t="s">
        <v>361</v>
      </c>
      <c r="E13" s="28">
        <v>100</v>
      </c>
      <c r="F13" s="25">
        <v>1053.4000000000001</v>
      </c>
      <c r="G13" s="25">
        <v>3.27</v>
      </c>
      <c r="H13" s="25">
        <v>5.7</v>
      </c>
    </row>
    <row r="14" spans="2:8" x14ac:dyDescent="0.2">
      <c r="B14" s="23" t="s">
        <v>655</v>
      </c>
      <c r="C14" s="23" t="s">
        <v>656</v>
      </c>
      <c r="D14" s="23" t="s">
        <v>361</v>
      </c>
      <c r="E14" s="28">
        <v>100</v>
      </c>
      <c r="F14" s="25">
        <v>1034.9000000000001</v>
      </c>
      <c r="G14" s="25">
        <v>3.21</v>
      </c>
      <c r="H14" s="25">
        <v>5.09</v>
      </c>
    </row>
    <row r="15" spans="2:8" x14ac:dyDescent="0.2">
      <c r="B15" s="23" t="s">
        <v>488</v>
      </c>
      <c r="C15" s="23" t="s">
        <v>489</v>
      </c>
      <c r="D15" s="23" t="s">
        <v>394</v>
      </c>
      <c r="E15" s="28">
        <v>100</v>
      </c>
      <c r="F15" s="25">
        <v>1029.6400000000001</v>
      </c>
      <c r="G15" s="25">
        <v>3.19</v>
      </c>
      <c r="H15" s="25">
        <v>6.54</v>
      </c>
    </row>
    <row r="16" spans="2:8" x14ac:dyDescent="0.2">
      <c r="B16" s="23" t="s">
        <v>737</v>
      </c>
      <c r="C16" s="23" t="s">
        <v>738</v>
      </c>
      <c r="D16" s="23" t="s">
        <v>361</v>
      </c>
      <c r="E16" s="28">
        <v>100</v>
      </c>
      <c r="F16" s="25">
        <v>1025.3399999999999</v>
      </c>
      <c r="G16" s="25">
        <v>3.18</v>
      </c>
      <c r="H16" s="25">
        <v>4.25</v>
      </c>
    </row>
    <row r="17" spans="2:8" x14ac:dyDescent="0.2">
      <c r="B17" s="23" t="s">
        <v>374</v>
      </c>
      <c r="C17" s="23" t="s">
        <v>375</v>
      </c>
      <c r="D17" s="23" t="s">
        <v>361</v>
      </c>
      <c r="E17" s="28">
        <v>100</v>
      </c>
      <c r="F17" s="25">
        <v>996.86</v>
      </c>
      <c r="G17" s="25">
        <v>3.09</v>
      </c>
      <c r="H17" s="25">
        <v>5.52</v>
      </c>
    </row>
    <row r="18" spans="2:8" x14ac:dyDescent="0.2">
      <c r="B18" s="23" t="s">
        <v>591</v>
      </c>
      <c r="C18" s="23" t="s">
        <v>592</v>
      </c>
      <c r="D18" s="23" t="s">
        <v>361</v>
      </c>
      <c r="E18" s="28">
        <v>50</v>
      </c>
      <c r="F18" s="25">
        <v>574.30999999999995</v>
      </c>
      <c r="G18" s="25">
        <v>1.78</v>
      </c>
      <c r="H18" s="25">
        <v>6.45</v>
      </c>
    </row>
    <row r="19" spans="2:8" x14ac:dyDescent="0.2">
      <c r="B19" s="23" t="s">
        <v>739</v>
      </c>
      <c r="C19" s="23" t="s">
        <v>740</v>
      </c>
      <c r="D19" s="23" t="s">
        <v>361</v>
      </c>
      <c r="E19" s="28">
        <v>50</v>
      </c>
      <c r="F19" s="25">
        <v>552.69000000000005</v>
      </c>
      <c r="G19" s="25">
        <v>1.71</v>
      </c>
      <c r="H19" s="25">
        <v>4.87</v>
      </c>
    </row>
    <row r="20" spans="2:8" x14ac:dyDescent="0.2">
      <c r="B20" s="23" t="s">
        <v>382</v>
      </c>
      <c r="C20" s="23" t="s">
        <v>383</v>
      </c>
      <c r="D20" s="23" t="s">
        <v>361</v>
      </c>
      <c r="E20" s="28">
        <v>50</v>
      </c>
      <c r="F20" s="25">
        <v>538.22</v>
      </c>
      <c r="G20" s="25">
        <v>1.67</v>
      </c>
      <c r="H20" s="25">
        <v>5.12</v>
      </c>
    </row>
    <row r="21" spans="2:8" x14ac:dyDescent="0.2">
      <c r="B21" s="23" t="s">
        <v>376</v>
      </c>
      <c r="C21" s="23" t="s">
        <v>377</v>
      </c>
      <c r="D21" s="23" t="s">
        <v>361</v>
      </c>
      <c r="E21" s="28">
        <v>50</v>
      </c>
      <c r="F21" s="25">
        <v>535.87</v>
      </c>
      <c r="G21" s="25">
        <v>1.66</v>
      </c>
      <c r="H21" s="25">
        <v>5.62</v>
      </c>
    </row>
    <row r="22" spans="2:8" x14ac:dyDescent="0.2">
      <c r="B22" s="23" t="s">
        <v>741</v>
      </c>
      <c r="C22" s="23" t="s">
        <v>742</v>
      </c>
      <c r="D22" s="23" t="s">
        <v>361</v>
      </c>
      <c r="E22" s="28">
        <v>50</v>
      </c>
      <c r="F22" s="25">
        <v>534.21</v>
      </c>
      <c r="G22" s="25">
        <v>1.66</v>
      </c>
      <c r="H22" s="25">
        <v>5.29</v>
      </c>
    </row>
    <row r="23" spans="2:8" x14ac:dyDescent="0.2">
      <c r="B23" s="23" t="s">
        <v>697</v>
      </c>
      <c r="C23" s="23" t="s">
        <v>698</v>
      </c>
      <c r="D23" s="23" t="s">
        <v>361</v>
      </c>
      <c r="E23" s="28">
        <v>50</v>
      </c>
      <c r="F23" s="25">
        <v>534.16</v>
      </c>
      <c r="G23" s="25">
        <v>1.66</v>
      </c>
      <c r="H23" s="25">
        <v>4.83</v>
      </c>
    </row>
    <row r="24" spans="2:8" x14ac:dyDescent="0.2">
      <c r="B24" s="23" t="s">
        <v>743</v>
      </c>
      <c r="C24" s="23" t="s">
        <v>744</v>
      </c>
      <c r="D24" s="23" t="s">
        <v>394</v>
      </c>
      <c r="E24" s="28">
        <v>50</v>
      </c>
      <c r="F24" s="25">
        <v>532.92999999999995</v>
      </c>
      <c r="G24" s="25">
        <v>1.65</v>
      </c>
      <c r="H24" s="25">
        <v>6.54</v>
      </c>
    </row>
    <row r="25" spans="2:8" x14ac:dyDescent="0.2">
      <c r="B25" s="23" t="s">
        <v>384</v>
      </c>
      <c r="C25" s="23" t="s">
        <v>385</v>
      </c>
      <c r="D25" s="23" t="s">
        <v>361</v>
      </c>
      <c r="E25" s="28">
        <v>50</v>
      </c>
      <c r="F25" s="25">
        <v>531.21</v>
      </c>
      <c r="G25" s="25">
        <v>1.65</v>
      </c>
      <c r="H25" s="25">
        <v>5.7</v>
      </c>
    </row>
    <row r="26" spans="2:8" x14ac:dyDescent="0.2">
      <c r="B26" s="23" t="s">
        <v>745</v>
      </c>
      <c r="C26" s="23" t="s">
        <v>746</v>
      </c>
      <c r="D26" s="23" t="s">
        <v>361</v>
      </c>
      <c r="E26" s="28">
        <v>50</v>
      </c>
      <c r="F26" s="25">
        <v>530.46</v>
      </c>
      <c r="G26" s="25">
        <v>1.64</v>
      </c>
      <c r="H26" s="25">
        <v>6.55</v>
      </c>
    </row>
    <row r="27" spans="2:8" x14ac:dyDescent="0.2">
      <c r="B27" s="23" t="s">
        <v>476</v>
      </c>
      <c r="C27" s="23" t="s">
        <v>477</v>
      </c>
      <c r="D27" s="23" t="s">
        <v>361</v>
      </c>
      <c r="E27" s="28">
        <v>50</v>
      </c>
      <c r="F27" s="25">
        <v>529.63</v>
      </c>
      <c r="G27" s="25">
        <v>1.64</v>
      </c>
      <c r="H27" s="25">
        <v>6.55</v>
      </c>
    </row>
    <row r="28" spans="2:8" x14ac:dyDescent="0.2">
      <c r="B28" s="23" t="s">
        <v>528</v>
      </c>
      <c r="C28" s="23" t="s">
        <v>529</v>
      </c>
      <c r="D28" s="23" t="s">
        <v>361</v>
      </c>
      <c r="E28" s="28">
        <v>50</v>
      </c>
      <c r="F28" s="25">
        <v>522.30999999999995</v>
      </c>
      <c r="G28" s="25">
        <v>1.62</v>
      </c>
      <c r="H28" s="25">
        <v>4.29</v>
      </c>
    </row>
    <row r="29" spans="2:8" x14ac:dyDescent="0.2">
      <c r="B29" s="23" t="s">
        <v>667</v>
      </c>
      <c r="C29" s="23" t="s">
        <v>668</v>
      </c>
      <c r="D29" s="23" t="s">
        <v>361</v>
      </c>
      <c r="E29" s="28">
        <v>50</v>
      </c>
      <c r="F29" s="25">
        <v>521.38</v>
      </c>
      <c r="G29" s="25">
        <v>1.62</v>
      </c>
      <c r="H29" s="25">
        <v>5.98</v>
      </c>
    </row>
    <row r="30" spans="2:8" x14ac:dyDescent="0.2">
      <c r="B30" s="23" t="s">
        <v>359</v>
      </c>
      <c r="C30" s="23" t="s">
        <v>360</v>
      </c>
      <c r="D30" s="23" t="s">
        <v>361</v>
      </c>
      <c r="E30" s="28">
        <v>50</v>
      </c>
      <c r="F30" s="25">
        <v>520.89</v>
      </c>
      <c r="G30" s="25">
        <v>1.62</v>
      </c>
      <c r="H30" s="25">
        <v>4.8</v>
      </c>
    </row>
    <row r="31" spans="2:8" x14ac:dyDescent="0.2">
      <c r="B31" s="23" t="s">
        <v>366</v>
      </c>
      <c r="C31" s="23" t="s">
        <v>367</v>
      </c>
      <c r="D31" s="23" t="s">
        <v>361</v>
      </c>
      <c r="E31" s="28">
        <v>50</v>
      </c>
      <c r="F31" s="25">
        <v>520.41999999999996</v>
      </c>
      <c r="G31" s="25">
        <v>1.61</v>
      </c>
      <c r="H31" s="25">
        <v>4.6900000000000004</v>
      </c>
    </row>
    <row r="32" spans="2:8" x14ac:dyDescent="0.2">
      <c r="B32" s="23" t="s">
        <v>747</v>
      </c>
      <c r="C32" s="23" t="s">
        <v>748</v>
      </c>
      <c r="D32" s="23" t="s">
        <v>361</v>
      </c>
      <c r="E32" s="28">
        <v>50</v>
      </c>
      <c r="F32" s="25">
        <v>519.03</v>
      </c>
      <c r="G32" s="25">
        <v>1.61</v>
      </c>
      <c r="H32" s="25">
        <v>4.8</v>
      </c>
    </row>
    <row r="33" spans="2:10" x14ac:dyDescent="0.2">
      <c r="B33" s="23" t="s">
        <v>749</v>
      </c>
      <c r="C33" s="23" t="s">
        <v>750</v>
      </c>
      <c r="D33" s="23" t="s">
        <v>361</v>
      </c>
      <c r="E33" s="28">
        <v>50</v>
      </c>
      <c r="F33" s="25">
        <v>518.22</v>
      </c>
      <c r="G33" s="25">
        <v>1.61</v>
      </c>
      <c r="H33" s="25">
        <v>4.7</v>
      </c>
    </row>
    <row r="34" spans="2:10" x14ac:dyDescent="0.2">
      <c r="B34" s="23" t="s">
        <v>751</v>
      </c>
      <c r="C34" s="23" t="s">
        <v>752</v>
      </c>
      <c r="D34" s="23" t="s">
        <v>361</v>
      </c>
      <c r="E34" s="28">
        <v>50</v>
      </c>
      <c r="F34" s="25">
        <v>513.71</v>
      </c>
      <c r="G34" s="25">
        <v>1.59</v>
      </c>
      <c r="H34" s="25">
        <v>6.84</v>
      </c>
    </row>
    <row r="35" spans="2:10" x14ac:dyDescent="0.2">
      <c r="B35" s="23" t="s">
        <v>516</v>
      </c>
      <c r="C35" s="23" t="s">
        <v>517</v>
      </c>
      <c r="D35" s="23" t="s">
        <v>361</v>
      </c>
      <c r="E35" s="28">
        <v>50</v>
      </c>
      <c r="F35" s="25">
        <v>510.35</v>
      </c>
      <c r="G35" s="25">
        <v>1.58</v>
      </c>
      <c r="H35" s="25">
        <v>4.3099999999999996</v>
      </c>
    </row>
    <row r="36" spans="2:10" x14ac:dyDescent="0.2">
      <c r="B36" s="23" t="s">
        <v>388</v>
      </c>
      <c r="C36" s="23" t="s">
        <v>389</v>
      </c>
      <c r="D36" s="23" t="s">
        <v>361</v>
      </c>
      <c r="E36" s="28">
        <v>50</v>
      </c>
      <c r="F36" s="25">
        <v>508.86</v>
      </c>
      <c r="G36" s="25">
        <v>1.58</v>
      </c>
      <c r="H36" s="25">
        <v>4.01</v>
      </c>
    </row>
    <row r="37" spans="2:10" x14ac:dyDescent="0.2">
      <c r="B37" s="23" t="s">
        <v>665</v>
      </c>
      <c r="C37" s="23" t="s">
        <v>666</v>
      </c>
      <c r="D37" s="23" t="s">
        <v>361</v>
      </c>
      <c r="E37" s="28">
        <v>50</v>
      </c>
      <c r="F37" s="25">
        <v>504.64</v>
      </c>
      <c r="G37" s="25">
        <v>1.56</v>
      </c>
      <c r="H37" s="25">
        <v>4.93</v>
      </c>
    </row>
    <row r="38" spans="2:10" x14ac:dyDescent="0.2">
      <c r="B38" s="23" t="s">
        <v>753</v>
      </c>
      <c r="C38" s="23" t="s">
        <v>754</v>
      </c>
      <c r="D38" s="23" t="s">
        <v>394</v>
      </c>
      <c r="E38" s="28">
        <v>20</v>
      </c>
      <c r="F38" s="25">
        <v>252.15</v>
      </c>
      <c r="G38" s="25">
        <v>0.78</v>
      </c>
      <c r="H38" s="25">
        <v>5.46</v>
      </c>
    </row>
    <row r="39" spans="2:10" x14ac:dyDescent="0.2">
      <c r="B39" s="30" t="s">
        <v>114</v>
      </c>
      <c r="C39" s="30"/>
      <c r="D39" s="30"/>
      <c r="E39" s="31"/>
      <c r="F39" s="32">
        <f>SUM(F6:F38)</f>
        <v>25311.039999999997</v>
      </c>
      <c r="G39" s="32">
        <f>SUM(G6:G38)</f>
        <v>78.48</v>
      </c>
      <c r="H39" s="49"/>
      <c r="I39" s="14"/>
      <c r="J39" s="14"/>
    </row>
    <row r="40" spans="2:10" x14ac:dyDescent="0.2">
      <c r="B40" s="50" t="s">
        <v>115</v>
      </c>
      <c r="C40" s="50"/>
      <c r="D40" s="50"/>
      <c r="E40" s="51"/>
      <c r="F40" s="52">
        <f>F39</f>
        <v>25311.039999999997</v>
      </c>
      <c r="G40" s="52">
        <f>G39</f>
        <v>78.48</v>
      </c>
      <c r="H40" s="52"/>
      <c r="I40" s="14"/>
      <c r="J40" s="14"/>
    </row>
    <row r="41" spans="2:10" x14ac:dyDescent="0.2">
      <c r="B41" s="48" t="s">
        <v>455</v>
      </c>
      <c r="C41" s="23"/>
      <c r="D41" s="23"/>
      <c r="E41" s="24"/>
      <c r="F41" s="25"/>
      <c r="G41" s="25"/>
      <c r="H41" s="25"/>
    </row>
    <row r="42" spans="2:10" x14ac:dyDescent="0.2">
      <c r="B42" s="48" t="s">
        <v>456</v>
      </c>
      <c r="C42" s="23"/>
      <c r="D42" s="23"/>
      <c r="E42" s="24"/>
      <c r="F42" s="25"/>
      <c r="G42" s="25"/>
      <c r="H42" s="25"/>
    </row>
    <row r="43" spans="2:10" x14ac:dyDescent="0.2">
      <c r="B43" s="23" t="s">
        <v>593</v>
      </c>
      <c r="C43" s="23" t="s">
        <v>594</v>
      </c>
      <c r="D43" s="23" t="s">
        <v>459</v>
      </c>
      <c r="E43" s="28">
        <v>500000</v>
      </c>
      <c r="F43" s="25">
        <v>488.86</v>
      </c>
      <c r="G43" s="25">
        <v>1.52</v>
      </c>
      <c r="H43" s="25">
        <v>3.55</v>
      </c>
    </row>
    <row r="44" spans="2:10" x14ac:dyDescent="0.2">
      <c r="B44" s="30" t="s">
        <v>114</v>
      </c>
      <c r="C44" s="30"/>
      <c r="D44" s="30"/>
      <c r="E44" s="31"/>
      <c r="F44" s="32">
        <f>SUM(F42:F43)</f>
        <v>488.86</v>
      </c>
      <c r="G44" s="32">
        <f>SUM(G42:G43)</f>
        <v>1.52</v>
      </c>
      <c r="H44" s="49"/>
      <c r="I44" s="14"/>
      <c r="J44" s="14"/>
    </row>
    <row r="45" spans="2:10" x14ac:dyDescent="0.2">
      <c r="B45" s="50" t="s">
        <v>115</v>
      </c>
      <c r="C45" s="50"/>
      <c r="D45" s="50"/>
      <c r="E45" s="51"/>
      <c r="F45" s="52">
        <f>+F44</f>
        <v>488.86</v>
      </c>
      <c r="G45" s="52">
        <f>+G44</f>
        <v>1.52</v>
      </c>
      <c r="H45" s="52"/>
      <c r="I45" s="14"/>
      <c r="J45" s="14"/>
    </row>
    <row r="46" spans="2:10" x14ac:dyDescent="0.2">
      <c r="B46" s="48" t="s">
        <v>427</v>
      </c>
      <c r="C46" s="23"/>
      <c r="D46" s="23"/>
      <c r="E46" s="24"/>
      <c r="F46" s="25"/>
      <c r="G46" s="25"/>
      <c r="H46" s="25"/>
    </row>
    <row r="47" spans="2:10" x14ac:dyDescent="0.2">
      <c r="B47" s="23" t="s">
        <v>755</v>
      </c>
      <c r="C47" s="23" t="s">
        <v>756</v>
      </c>
      <c r="D47" s="23" t="s">
        <v>430</v>
      </c>
      <c r="E47" s="28">
        <v>500000</v>
      </c>
      <c r="F47" s="25">
        <v>535.35</v>
      </c>
      <c r="G47" s="25">
        <v>1.66</v>
      </c>
      <c r="H47" s="25">
        <v>4.49</v>
      </c>
    </row>
    <row r="48" spans="2:10" x14ac:dyDescent="0.2">
      <c r="B48" s="23" t="s">
        <v>757</v>
      </c>
      <c r="C48" s="23" t="s">
        <v>758</v>
      </c>
      <c r="D48" s="23" t="s">
        <v>430</v>
      </c>
      <c r="E48" s="28">
        <v>500000</v>
      </c>
      <c r="F48" s="25">
        <v>521.5</v>
      </c>
      <c r="G48" s="25">
        <v>1.62</v>
      </c>
      <c r="H48" s="25">
        <v>4.03</v>
      </c>
    </row>
    <row r="49" spans="2:10" x14ac:dyDescent="0.2">
      <c r="B49" s="23" t="s">
        <v>759</v>
      </c>
      <c r="C49" s="23" t="s">
        <v>760</v>
      </c>
      <c r="D49" s="23" t="s">
        <v>430</v>
      </c>
      <c r="E49" s="28">
        <v>500000</v>
      </c>
      <c r="F49" s="25">
        <v>521.04</v>
      </c>
      <c r="G49" s="25">
        <v>1.62</v>
      </c>
      <c r="H49" s="25">
        <v>3.9</v>
      </c>
    </row>
    <row r="50" spans="2:10" x14ac:dyDescent="0.2">
      <c r="B50" s="23" t="s">
        <v>761</v>
      </c>
      <c r="C50" s="23" t="s">
        <v>762</v>
      </c>
      <c r="D50" s="23" t="s">
        <v>430</v>
      </c>
      <c r="E50" s="28">
        <v>500000</v>
      </c>
      <c r="F50" s="25">
        <v>506.54</v>
      </c>
      <c r="G50" s="25">
        <v>1.57</v>
      </c>
      <c r="H50" s="25">
        <v>6.51</v>
      </c>
    </row>
    <row r="51" spans="2:10" x14ac:dyDescent="0.2">
      <c r="B51" s="53" t="s">
        <v>723</v>
      </c>
      <c r="C51" s="53" t="s">
        <v>724</v>
      </c>
      <c r="D51" s="53" t="s">
        <v>430</v>
      </c>
      <c r="E51" s="54">
        <v>48000</v>
      </c>
      <c r="F51" s="55">
        <v>50.31</v>
      </c>
      <c r="G51" s="55">
        <v>0.16</v>
      </c>
      <c r="H51" s="55">
        <v>4.6500000000000004</v>
      </c>
    </row>
    <row r="52" spans="2:10" x14ac:dyDescent="0.2">
      <c r="B52" s="56" t="s">
        <v>115</v>
      </c>
      <c r="C52" s="56"/>
      <c r="D52" s="56"/>
      <c r="E52" s="57"/>
      <c r="F52" s="58">
        <f>SUM(F47:F51)</f>
        <v>2134.7399999999998</v>
      </c>
      <c r="G52" s="58">
        <f>SUM(G47:G51)</f>
        <v>6.6300000000000008</v>
      </c>
      <c r="H52" s="58"/>
      <c r="I52" s="14"/>
      <c r="J52" s="14"/>
    </row>
    <row r="53" spans="2:10" x14ac:dyDescent="0.2">
      <c r="B53" s="48" t="s">
        <v>116</v>
      </c>
      <c r="C53" s="23"/>
      <c r="D53" s="23"/>
      <c r="E53" s="24"/>
      <c r="F53" s="25"/>
      <c r="G53" s="25"/>
      <c r="H53" s="25"/>
    </row>
    <row r="54" spans="2:10" x14ac:dyDescent="0.2">
      <c r="B54" s="23" t="s">
        <v>116</v>
      </c>
      <c r="C54" s="23"/>
      <c r="D54" s="23"/>
      <c r="E54" s="24"/>
      <c r="F54" s="25">
        <v>2931.52</v>
      </c>
      <c r="G54" s="25">
        <v>9.09</v>
      </c>
      <c r="H54" s="25"/>
    </row>
    <row r="55" spans="2:10" x14ac:dyDescent="0.2">
      <c r="B55" s="30" t="s">
        <v>114</v>
      </c>
      <c r="C55" s="30"/>
      <c r="D55" s="30"/>
      <c r="E55" s="31"/>
      <c r="F55" s="32">
        <f>SUM(F53:F54)</f>
        <v>2931.52</v>
      </c>
      <c r="G55" s="32">
        <f>SUM(G53:G54)</f>
        <v>9.09</v>
      </c>
      <c r="H55" s="49"/>
      <c r="I55" s="14"/>
      <c r="J55" s="14"/>
    </row>
    <row r="56" spans="2:10" x14ac:dyDescent="0.2">
      <c r="B56" s="34" t="s">
        <v>115</v>
      </c>
      <c r="C56" s="34"/>
      <c r="D56" s="34"/>
      <c r="E56" s="35"/>
      <c r="F56" s="36">
        <f>F55</f>
        <v>2931.52</v>
      </c>
      <c r="G56" s="36">
        <f>G55</f>
        <v>9.09</v>
      </c>
      <c r="H56" s="36"/>
      <c r="I56" s="14"/>
      <c r="J56" s="14"/>
    </row>
    <row r="57" spans="2:10" x14ac:dyDescent="0.2">
      <c r="B57" s="45" t="s">
        <v>118</v>
      </c>
      <c r="C57" s="45"/>
      <c r="D57" s="45"/>
      <c r="E57" s="46"/>
      <c r="F57" s="16">
        <f>F58-(+F40+F45+F52+F56)</f>
        <v>1371.4000000000015</v>
      </c>
      <c r="G57" s="16">
        <f>G58-(+G40+G45+G52+G56)</f>
        <v>4.2800000000000011</v>
      </c>
      <c r="H57" s="16"/>
      <c r="I57" s="14"/>
      <c r="J57" s="14"/>
    </row>
    <row r="58" spans="2:10" x14ac:dyDescent="0.2">
      <c r="B58" s="45" t="s">
        <v>117</v>
      </c>
      <c r="C58" s="45"/>
      <c r="D58" s="45"/>
      <c r="E58" s="46"/>
      <c r="F58" s="16">
        <v>32237.56</v>
      </c>
      <c r="G58" s="16">
        <v>100</v>
      </c>
      <c r="H58" s="16"/>
      <c r="I58" s="14"/>
      <c r="J58" s="14"/>
    </row>
    <row r="60" spans="2:10" x14ac:dyDescent="0.2">
      <c r="B60" s="14" t="s">
        <v>816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60"/>
  <sheetViews>
    <sheetView workbookViewId="0">
      <selection activeCell="F59" sqref="F59"/>
    </sheetView>
  </sheetViews>
  <sheetFormatPr defaultRowHeight="12" x14ac:dyDescent="0.2"/>
  <cols>
    <col min="1" max="1" width="9.140625" style="1"/>
    <col min="2" max="2" width="58.42578125" style="1" bestFit="1" customWidth="1"/>
    <col min="3" max="3" width="13.5703125" style="1" bestFit="1" customWidth="1"/>
    <col min="4" max="4" width="21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62" t="s">
        <v>27</v>
      </c>
      <c r="C1" s="63"/>
      <c r="D1" s="63"/>
      <c r="E1" s="63"/>
      <c r="F1" s="63"/>
      <c r="G1" s="63"/>
      <c r="H1" s="63"/>
    </row>
    <row r="3" spans="2:8" ht="16.5" thickBot="1" x14ac:dyDescent="0.25">
      <c r="B3" s="2" t="s">
        <v>7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17" t="s">
        <v>31</v>
      </c>
      <c r="C5" s="18"/>
      <c r="D5" s="18"/>
      <c r="E5" s="19"/>
      <c r="F5" s="20"/>
      <c r="G5" s="20"/>
      <c r="H5" s="21"/>
    </row>
    <row r="6" spans="2:8" x14ac:dyDescent="0.2">
      <c r="B6" s="22" t="s">
        <v>32</v>
      </c>
      <c r="C6" s="23"/>
      <c r="D6" s="23"/>
      <c r="E6" s="24"/>
      <c r="F6" s="25"/>
      <c r="G6" s="25"/>
      <c r="H6" s="26"/>
    </row>
    <row r="7" spans="2:8" x14ac:dyDescent="0.2">
      <c r="B7" s="27" t="s">
        <v>122</v>
      </c>
      <c r="C7" s="23" t="s">
        <v>123</v>
      </c>
      <c r="D7" s="23" t="s">
        <v>41</v>
      </c>
      <c r="E7" s="28">
        <v>54540</v>
      </c>
      <c r="F7" s="25">
        <v>758.38</v>
      </c>
      <c r="G7" s="25">
        <v>1.24</v>
      </c>
      <c r="H7" s="26"/>
    </row>
    <row r="8" spans="2:8" x14ac:dyDescent="0.2">
      <c r="B8" s="27" t="s">
        <v>119</v>
      </c>
      <c r="C8" s="23" t="s">
        <v>120</v>
      </c>
      <c r="D8" s="23" t="s">
        <v>121</v>
      </c>
      <c r="E8" s="28">
        <v>57360</v>
      </c>
      <c r="F8" s="25">
        <v>710.72</v>
      </c>
      <c r="G8" s="25">
        <v>1.17</v>
      </c>
      <c r="H8" s="26"/>
    </row>
    <row r="9" spans="2:8" x14ac:dyDescent="0.2">
      <c r="B9" s="27" t="s">
        <v>39</v>
      </c>
      <c r="C9" s="23" t="s">
        <v>40</v>
      </c>
      <c r="D9" s="23" t="s">
        <v>41</v>
      </c>
      <c r="E9" s="28">
        <v>109000</v>
      </c>
      <c r="F9" s="25">
        <v>585.33000000000004</v>
      </c>
      <c r="G9" s="25">
        <v>0.96</v>
      </c>
      <c r="H9" s="26"/>
    </row>
    <row r="10" spans="2:8" x14ac:dyDescent="0.2">
      <c r="B10" s="27" t="s">
        <v>129</v>
      </c>
      <c r="C10" s="23" t="s">
        <v>130</v>
      </c>
      <c r="D10" s="23" t="s">
        <v>121</v>
      </c>
      <c r="E10" s="28">
        <v>16745</v>
      </c>
      <c r="F10" s="25">
        <v>521</v>
      </c>
      <c r="G10" s="25">
        <v>0.85</v>
      </c>
      <c r="H10" s="26"/>
    </row>
    <row r="11" spans="2:8" x14ac:dyDescent="0.2">
      <c r="B11" s="27" t="s">
        <v>140</v>
      </c>
      <c r="C11" s="23" t="s">
        <v>141</v>
      </c>
      <c r="D11" s="23" t="s">
        <v>41</v>
      </c>
      <c r="E11" s="28">
        <v>27040</v>
      </c>
      <c r="F11" s="25">
        <v>463.18</v>
      </c>
      <c r="G11" s="25">
        <v>0.76</v>
      </c>
      <c r="H11" s="26"/>
    </row>
    <row r="12" spans="2:8" x14ac:dyDescent="0.2">
      <c r="B12" s="27" t="s">
        <v>137</v>
      </c>
      <c r="C12" s="23" t="s">
        <v>138</v>
      </c>
      <c r="D12" s="23" t="s">
        <v>139</v>
      </c>
      <c r="E12" s="28">
        <v>17860</v>
      </c>
      <c r="F12" s="25">
        <v>404.33</v>
      </c>
      <c r="G12" s="25">
        <v>0.66</v>
      </c>
      <c r="H12" s="26"/>
    </row>
    <row r="13" spans="2:8" x14ac:dyDescent="0.2">
      <c r="B13" s="27" t="s">
        <v>131</v>
      </c>
      <c r="C13" s="23" t="s">
        <v>132</v>
      </c>
      <c r="D13" s="23" t="s">
        <v>41</v>
      </c>
      <c r="E13" s="28">
        <v>41500</v>
      </c>
      <c r="F13" s="25">
        <v>275.10000000000002</v>
      </c>
      <c r="G13" s="25">
        <v>0.45</v>
      </c>
      <c r="H13" s="26"/>
    </row>
    <row r="14" spans="2:8" x14ac:dyDescent="0.2">
      <c r="B14" s="27" t="s">
        <v>215</v>
      </c>
      <c r="C14" s="23" t="s">
        <v>216</v>
      </c>
      <c r="D14" s="23" t="s">
        <v>147</v>
      </c>
      <c r="E14" s="28">
        <v>9000</v>
      </c>
      <c r="F14" s="25">
        <v>270.63</v>
      </c>
      <c r="G14" s="25">
        <v>0.44</v>
      </c>
      <c r="H14" s="26"/>
    </row>
    <row r="15" spans="2:8" x14ac:dyDescent="0.2">
      <c r="B15" s="27" t="s">
        <v>51</v>
      </c>
      <c r="C15" s="23" t="s">
        <v>52</v>
      </c>
      <c r="D15" s="23" t="s">
        <v>53</v>
      </c>
      <c r="E15" s="28">
        <v>27500</v>
      </c>
      <c r="F15" s="25">
        <v>250.46</v>
      </c>
      <c r="G15" s="25">
        <v>0.41</v>
      </c>
      <c r="H15" s="26"/>
    </row>
    <row r="16" spans="2:8" x14ac:dyDescent="0.2">
      <c r="B16" s="27" t="s">
        <v>86</v>
      </c>
      <c r="C16" s="23" t="s">
        <v>87</v>
      </c>
      <c r="D16" s="23" t="s">
        <v>69</v>
      </c>
      <c r="E16" s="28">
        <v>800</v>
      </c>
      <c r="F16" s="25">
        <v>182.19</v>
      </c>
      <c r="G16" s="25">
        <v>0.3</v>
      </c>
      <c r="H16" s="26"/>
    </row>
    <row r="17" spans="2:10" x14ac:dyDescent="0.2">
      <c r="B17" s="27" t="s">
        <v>142</v>
      </c>
      <c r="C17" s="23" t="s">
        <v>143</v>
      </c>
      <c r="D17" s="23" t="s">
        <v>144</v>
      </c>
      <c r="E17" s="28">
        <v>20000</v>
      </c>
      <c r="F17" s="25">
        <v>149.91999999999999</v>
      </c>
      <c r="G17" s="25">
        <v>0.25</v>
      </c>
      <c r="H17" s="26"/>
    </row>
    <row r="18" spans="2:10" x14ac:dyDescent="0.2">
      <c r="B18" s="27" t="s">
        <v>152</v>
      </c>
      <c r="C18" s="23" t="s">
        <v>153</v>
      </c>
      <c r="D18" s="23" t="s">
        <v>139</v>
      </c>
      <c r="E18" s="28">
        <v>3750</v>
      </c>
      <c r="F18" s="25">
        <v>131.29</v>
      </c>
      <c r="G18" s="25">
        <v>0.22</v>
      </c>
      <c r="H18" s="26"/>
    </row>
    <row r="19" spans="2:10" x14ac:dyDescent="0.2">
      <c r="B19" s="27" t="s">
        <v>148</v>
      </c>
      <c r="C19" s="23" t="s">
        <v>149</v>
      </c>
      <c r="D19" s="23" t="s">
        <v>144</v>
      </c>
      <c r="E19" s="28">
        <v>1466</v>
      </c>
      <c r="F19" s="25">
        <v>105.65</v>
      </c>
      <c r="G19" s="25">
        <v>0.17</v>
      </c>
      <c r="H19" s="26"/>
    </row>
    <row r="20" spans="2:10" x14ac:dyDescent="0.2">
      <c r="B20" s="27" t="s">
        <v>181</v>
      </c>
      <c r="C20" s="23" t="s">
        <v>182</v>
      </c>
      <c r="D20" s="23" t="s">
        <v>56</v>
      </c>
      <c r="E20" s="28">
        <v>4100</v>
      </c>
      <c r="F20" s="25">
        <v>104.68</v>
      </c>
      <c r="G20" s="25">
        <v>0.17</v>
      </c>
      <c r="H20" s="26"/>
    </row>
    <row r="21" spans="2:10" x14ac:dyDescent="0.2">
      <c r="B21" s="27" t="s">
        <v>243</v>
      </c>
      <c r="C21" s="23" t="s">
        <v>244</v>
      </c>
      <c r="D21" s="23" t="s">
        <v>147</v>
      </c>
      <c r="E21" s="28">
        <v>2200</v>
      </c>
      <c r="F21" s="25">
        <v>101.26</v>
      </c>
      <c r="G21" s="25">
        <v>0.17</v>
      </c>
      <c r="H21" s="26"/>
    </row>
    <row r="22" spans="2:10" x14ac:dyDescent="0.2">
      <c r="B22" s="27" t="s">
        <v>353</v>
      </c>
      <c r="C22" s="23" t="s">
        <v>354</v>
      </c>
      <c r="D22" s="23" t="s">
        <v>128</v>
      </c>
      <c r="E22" s="28">
        <v>11000</v>
      </c>
      <c r="F22" s="25">
        <v>95.09</v>
      </c>
      <c r="G22" s="25">
        <v>0.16</v>
      </c>
      <c r="H22" s="26"/>
    </row>
    <row r="23" spans="2:10" x14ac:dyDescent="0.2">
      <c r="B23" s="27" t="s">
        <v>249</v>
      </c>
      <c r="C23" s="23" t="s">
        <v>250</v>
      </c>
      <c r="D23" s="23" t="s">
        <v>139</v>
      </c>
      <c r="E23" s="28">
        <v>18000</v>
      </c>
      <c r="F23" s="25">
        <v>92.62</v>
      </c>
      <c r="G23" s="25">
        <v>0.15</v>
      </c>
      <c r="H23" s="26"/>
    </row>
    <row r="24" spans="2:10" x14ac:dyDescent="0.2">
      <c r="B24" s="27" t="s">
        <v>763</v>
      </c>
      <c r="C24" s="23" t="s">
        <v>764</v>
      </c>
      <c r="D24" s="23" t="s">
        <v>74</v>
      </c>
      <c r="E24" s="28">
        <v>38660</v>
      </c>
      <c r="F24" s="25">
        <v>91.62</v>
      </c>
      <c r="G24" s="25">
        <v>0.15</v>
      </c>
      <c r="H24" s="26"/>
    </row>
    <row r="25" spans="2:10" x14ac:dyDescent="0.2">
      <c r="B25" s="27" t="s">
        <v>88</v>
      </c>
      <c r="C25" s="23" t="s">
        <v>89</v>
      </c>
      <c r="D25" s="23" t="s">
        <v>77</v>
      </c>
      <c r="E25" s="28">
        <v>2000</v>
      </c>
      <c r="F25" s="25">
        <v>85.97</v>
      </c>
      <c r="G25" s="25">
        <v>0.14000000000000001</v>
      </c>
      <c r="H25" s="26"/>
    </row>
    <row r="26" spans="2:10" x14ac:dyDescent="0.2">
      <c r="B26" s="27" t="s">
        <v>239</v>
      </c>
      <c r="C26" s="23" t="s">
        <v>240</v>
      </c>
      <c r="D26" s="23" t="s">
        <v>139</v>
      </c>
      <c r="E26" s="28">
        <v>15000</v>
      </c>
      <c r="F26" s="25">
        <v>83.97</v>
      </c>
      <c r="G26" s="25">
        <v>0.14000000000000001</v>
      </c>
      <c r="H26" s="26"/>
    </row>
    <row r="27" spans="2:10" x14ac:dyDescent="0.2">
      <c r="B27" s="27" t="s">
        <v>282</v>
      </c>
      <c r="C27" s="23" t="s">
        <v>283</v>
      </c>
      <c r="D27" s="23" t="s">
        <v>139</v>
      </c>
      <c r="E27" s="28">
        <v>36000</v>
      </c>
      <c r="F27" s="25">
        <v>73.17</v>
      </c>
      <c r="G27" s="25">
        <v>0.12</v>
      </c>
      <c r="H27" s="26"/>
    </row>
    <row r="28" spans="2:10" x14ac:dyDescent="0.2">
      <c r="B28" s="27" t="s">
        <v>205</v>
      </c>
      <c r="C28" s="23" t="s">
        <v>206</v>
      </c>
      <c r="D28" s="23" t="s">
        <v>77</v>
      </c>
      <c r="E28" s="28">
        <v>26977</v>
      </c>
      <c r="F28" s="25">
        <v>65.989999999999995</v>
      </c>
      <c r="G28" s="25">
        <v>0.11</v>
      </c>
      <c r="H28" s="26"/>
    </row>
    <row r="29" spans="2:10" x14ac:dyDescent="0.2">
      <c r="B29" s="27" t="s">
        <v>227</v>
      </c>
      <c r="C29" s="23" t="s">
        <v>228</v>
      </c>
      <c r="D29" s="23" t="s">
        <v>121</v>
      </c>
      <c r="E29" s="28">
        <v>2400</v>
      </c>
      <c r="F29" s="25">
        <v>36.58</v>
      </c>
      <c r="G29" s="25">
        <v>0.06</v>
      </c>
      <c r="H29" s="26"/>
    </row>
    <row r="30" spans="2:10" x14ac:dyDescent="0.2">
      <c r="B30" s="29" t="s">
        <v>114</v>
      </c>
      <c r="C30" s="30"/>
      <c r="D30" s="30"/>
      <c r="E30" s="31"/>
      <c r="F30" s="32">
        <f>SUM(F7:F29)</f>
        <v>5639.1299999999992</v>
      </c>
      <c r="G30" s="32">
        <f>SUM(G7:G29)</f>
        <v>9.2500000000000018</v>
      </c>
      <c r="H30" s="33"/>
      <c r="I30" s="14"/>
      <c r="J30" s="14"/>
    </row>
    <row r="31" spans="2:10" x14ac:dyDescent="0.2">
      <c r="B31" s="37" t="s">
        <v>115</v>
      </c>
      <c r="C31" s="37"/>
      <c r="D31" s="37"/>
      <c r="E31" s="38"/>
      <c r="F31" s="39">
        <f>F30</f>
        <v>5639.1299999999992</v>
      </c>
      <c r="G31" s="39">
        <f>G30</f>
        <v>9.2500000000000018</v>
      </c>
      <c r="H31" s="15"/>
      <c r="I31" s="14"/>
      <c r="J31" s="14"/>
    </row>
    <row r="32" spans="2:10" x14ac:dyDescent="0.2">
      <c r="B32" s="47" t="s">
        <v>355</v>
      </c>
      <c r="C32" s="41"/>
      <c r="D32" s="41"/>
      <c r="E32" s="42"/>
      <c r="F32" s="43"/>
      <c r="G32" s="43"/>
      <c r="H32" s="43"/>
    </row>
    <row r="33" spans="2:10" x14ac:dyDescent="0.2">
      <c r="B33" s="48" t="s">
        <v>32</v>
      </c>
      <c r="C33" s="23"/>
      <c r="D33" s="23"/>
      <c r="E33" s="24"/>
      <c r="F33" s="25"/>
      <c r="G33" s="25"/>
      <c r="H33" s="25"/>
    </row>
    <row r="34" spans="2:10" x14ac:dyDescent="0.2">
      <c r="B34" s="23" t="s">
        <v>765</v>
      </c>
      <c r="C34" s="23" t="s">
        <v>766</v>
      </c>
      <c r="D34" s="23" t="s">
        <v>361</v>
      </c>
      <c r="E34" s="28">
        <v>485</v>
      </c>
      <c r="F34" s="25">
        <v>6166.98</v>
      </c>
      <c r="G34" s="25">
        <v>10.11</v>
      </c>
      <c r="H34" s="25">
        <v>3.47</v>
      </c>
    </row>
    <row r="35" spans="2:10" x14ac:dyDescent="0.2">
      <c r="B35" s="23" t="s">
        <v>767</v>
      </c>
      <c r="C35" s="23" t="s">
        <v>768</v>
      </c>
      <c r="D35" s="23" t="s">
        <v>361</v>
      </c>
      <c r="E35" s="28">
        <v>480</v>
      </c>
      <c r="F35" s="25">
        <v>6064.96</v>
      </c>
      <c r="G35" s="25">
        <v>9.94</v>
      </c>
      <c r="H35" s="25">
        <v>3.94</v>
      </c>
    </row>
    <row r="36" spans="2:10" x14ac:dyDescent="0.2">
      <c r="B36" s="23" t="s">
        <v>769</v>
      </c>
      <c r="C36" s="23" t="s">
        <v>770</v>
      </c>
      <c r="D36" s="23" t="s">
        <v>361</v>
      </c>
      <c r="E36" s="28">
        <v>500</v>
      </c>
      <c r="F36" s="25">
        <v>5024.62</v>
      </c>
      <c r="G36" s="25">
        <v>8.24</v>
      </c>
      <c r="H36" s="25">
        <v>3.38</v>
      </c>
    </row>
    <row r="37" spans="2:10" x14ac:dyDescent="0.2">
      <c r="B37" s="23" t="s">
        <v>413</v>
      </c>
      <c r="C37" s="23" t="s">
        <v>414</v>
      </c>
      <c r="D37" s="23" t="s">
        <v>361</v>
      </c>
      <c r="E37" s="28">
        <v>450</v>
      </c>
      <c r="F37" s="25">
        <v>4520.9799999999996</v>
      </c>
      <c r="G37" s="25">
        <v>7.41</v>
      </c>
      <c r="H37" s="25">
        <v>3.49</v>
      </c>
    </row>
    <row r="38" spans="2:10" x14ac:dyDescent="0.2">
      <c r="B38" s="23" t="s">
        <v>771</v>
      </c>
      <c r="C38" s="23" t="s">
        <v>772</v>
      </c>
      <c r="D38" s="23" t="s">
        <v>361</v>
      </c>
      <c r="E38" s="28">
        <v>400</v>
      </c>
      <c r="F38" s="25">
        <v>4018.36</v>
      </c>
      <c r="G38" s="25">
        <v>6.59</v>
      </c>
      <c r="H38" s="25">
        <v>3.28</v>
      </c>
    </row>
    <row r="39" spans="2:10" x14ac:dyDescent="0.2">
      <c r="B39" s="23" t="s">
        <v>773</v>
      </c>
      <c r="C39" s="23" t="s">
        <v>774</v>
      </c>
      <c r="D39" s="23" t="s">
        <v>775</v>
      </c>
      <c r="E39" s="28">
        <v>250</v>
      </c>
      <c r="F39" s="25">
        <v>3150.02</v>
      </c>
      <c r="G39" s="25">
        <v>5.17</v>
      </c>
      <c r="H39" s="25">
        <v>4.09</v>
      </c>
    </row>
    <row r="40" spans="2:10" x14ac:dyDescent="0.2">
      <c r="B40" s="23" t="s">
        <v>776</v>
      </c>
      <c r="C40" s="23" t="s">
        <v>777</v>
      </c>
      <c r="D40" s="23" t="s">
        <v>361</v>
      </c>
      <c r="E40" s="28">
        <v>250</v>
      </c>
      <c r="F40" s="25">
        <v>2507.39</v>
      </c>
      <c r="G40" s="25">
        <v>4.1100000000000003</v>
      </c>
      <c r="H40" s="25">
        <v>3.55</v>
      </c>
    </row>
    <row r="41" spans="2:10" x14ac:dyDescent="0.2">
      <c r="B41" s="23" t="s">
        <v>778</v>
      </c>
      <c r="C41" s="23" t="s">
        <v>779</v>
      </c>
      <c r="D41" s="23" t="s">
        <v>361</v>
      </c>
      <c r="E41" s="28">
        <v>250</v>
      </c>
      <c r="F41" s="25">
        <v>2503.71</v>
      </c>
      <c r="G41" s="25">
        <v>4.1100000000000003</v>
      </c>
      <c r="H41" s="25">
        <v>3.93</v>
      </c>
    </row>
    <row r="42" spans="2:10" x14ac:dyDescent="0.2">
      <c r="B42" s="23" t="s">
        <v>780</v>
      </c>
      <c r="C42" s="23" t="s">
        <v>781</v>
      </c>
      <c r="D42" s="23" t="s">
        <v>361</v>
      </c>
      <c r="E42" s="28">
        <v>15</v>
      </c>
      <c r="F42" s="25">
        <v>1506.35</v>
      </c>
      <c r="G42" s="25">
        <v>2.4700000000000002</v>
      </c>
      <c r="H42" s="25">
        <v>3.61</v>
      </c>
    </row>
    <row r="43" spans="2:10" x14ac:dyDescent="0.2">
      <c r="B43" s="23" t="s">
        <v>782</v>
      </c>
      <c r="C43" s="23" t="s">
        <v>783</v>
      </c>
      <c r="D43" s="23" t="s">
        <v>361</v>
      </c>
      <c r="E43" s="28">
        <v>80</v>
      </c>
      <c r="F43" s="25">
        <v>1011.03</v>
      </c>
      <c r="G43" s="25">
        <v>1.66</v>
      </c>
      <c r="H43" s="25">
        <v>3.5</v>
      </c>
    </row>
    <row r="44" spans="2:10" x14ac:dyDescent="0.2">
      <c r="B44" s="23" t="s">
        <v>784</v>
      </c>
      <c r="C44" s="23" t="s">
        <v>785</v>
      </c>
      <c r="D44" s="23" t="s">
        <v>361</v>
      </c>
      <c r="E44" s="28">
        <v>50</v>
      </c>
      <c r="F44" s="25">
        <v>503.58</v>
      </c>
      <c r="G44" s="25">
        <v>0.83</v>
      </c>
      <c r="H44" s="25">
        <v>3.37</v>
      </c>
    </row>
    <row r="45" spans="2:10" x14ac:dyDescent="0.2">
      <c r="B45" s="30" t="s">
        <v>114</v>
      </c>
      <c r="C45" s="30"/>
      <c r="D45" s="30"/>
      <c r="E45" s="31"/>
      <c r="F45" s="32">
        <f>SUM(F33:F44)</f>
        <v>36977.979999999996</v>
      </c>
      <c r="G45" s="32">
        <f>SUM(G33:G44)</f>
        <v>60.64</v>
      </c>
      <c r="H45" s="49"/>
      <c r="I45" s="14"/>
      <c r="J45" s="14"/>
    </row>
    <row r="46" spans="2:10" x14ac:dyDescent="0.2">
      <c r="B46" s="50" t="s">
        <v>115</v>
      </c>
      <c r="C46" s="50"/>
      <c r="D46" s="50"/>
      <c r="E46" s="51"/>
      <c r="F46" s="52">
        <f>F45</f>
        <v>36977.979999999996</v>
      </c>
      <c r="G46" s="52">
        <f>G45</f>
        <v>60.64</v>
      </c>
      <c r="H46" s="52"/>
      <c r="I46" s="14"/>
      <c r="J46" s="14"/>
    </row>
    <row r="47" spans="2:10" x14ac:dyDescent="0.2">
      <c r="B47" s="48" t="s">
        <v>427</v>
      </c>
      <c r="C47" s="23"/>
      <c r="D47" s="23"/>
      <c r="E47" s="24"/>
      <c r="F47" s="25"/>
      <c r="G47" s="25"/>
      <c r="H47" s="25"/>
    </row>
    <row r="48" spans="2:10" x14ac:dyDescent="0.2">
      <c r="B48" s="23" t="s">
        <v>786</v>
      </c>
      <c r="C48" s="23" t="s">
        <v>787</v>
      </c>
      <c r="D48" s="23" t="s">
        <v>430</v>
      </c>
      <c r="E48" s="28">
        <v>2575000</v>
      </c>
      <c r="F48" s="25">
        <v>2590.4</v>
      </c>
      <c r="G48" s="25">
        <v>4.25</v>
      </c>
      <c r="H48" s="25">
        <v>3.23</v>
      </c>
    </row>
    <row r="49" spans="2:10" x14ac:dyDescent="0.2">
      <c r="B49" s="23" t="s">
        <v>788</v>
      </c>
      <c r="C49" s="23" t="s">
        <v>789</v>
      </c>
      <c r="D49" s="23" t="s">
        <v>430</v>
      </c>
      <c r="E49" s="28">
        <v>2500000</v>
      </c>
      <c r="F49" s="25">
        <v>2519.73</v>
      </c>
      <c r="G49" s="25">
        <v>4.13</v>
      </c>
      <c r="H49" s="25">
        <v>3.3</v>
      </c>
    </row>
    <row r="50" spans="2:10" x14ac:dyDescent="0.2">
      <c r="B50" s="23" t="s">
        <v>729</v>
      </c>
      <c r="C50" s="23" t="s">
        <v>730</v>
      </c>
      <c r="D50" s="23" t="s">
        <v>430</v>
      </c>
      <c r="E50" s="28">
        <v>1703000</v>
      </c>
      <c r="F50" s="25">
        <v>1715.89</v>
      </c>
      <c r="G50" s="25">
        <v>2.81</v>
      </c>
      <c r="H50" s="25">
        <v>3.42</v>
      </c>
    </row>
    <row r="51" spans="2:10" x14ac:dyDescent="0.2">
      <c r="B51" s="53" t="s">
        <v>790</v>
      </c>
      <c r="C51" s="53" t="s">
        <v>791</v>
      </c>
      <c r="D51" s="53" t="s">
        <v>430</v>
      </c>
      <c r="E51" s="54">
        <v>1500000</v>
      </c>
      <c r="F51" s="55">
        <v>1510.4</v>
      </c>
      <c r="G51" s="55">
        <v>2.48</v>
      </c>
      <c r="H51" s="55">
        <v>3.26</v>
      </c>
    </row>
    <row r="52" spans="2:10" x14ac:dyDescent="0.2">
      <c r="B52" s="56" t="s">
        <v>115</v>
      </c>
      <c r="C52" s="56"/>
      <c r="D52" s="56"/>
      <c r="E52" s="57"/>
      <c r="F52" s="58">
        <f>SUM(F48:F51)</f>
        <v>8336.42</v>
      </c>
      <c r="G52" s="58">
        <f>SUM(G48:G51)</f>
        <v>13.67</v>
      </c>
      <c r="H52" s="58"/>
      <c r="I52" s="14"/>
      <c r="J52" s="14"/>
    </row>
    <row r="53" spans="2:10" x14ac:dyDescent="0.2">
      <c r="B53" s="48" t="s">
        <v>116</v>
      </c>
      <c r="C53" s="23"/>
      <c r="D53" s="23"/>
      <c r="E53" s="24"/>
      <c r="F53" s="25"/>
      <c r="G53" s="25"/>
      <c r="H53" s="25"/>
    </row>
    <row r="54" spans="2:10" x14ac:dyDescent="0.2">
      <c r="B54" s="23" t="s">
        <v>116</v>
      </c>
      <c r="C54" s="23"/>
      <c r="D54" s="23"/>
      <c r="E54" s="24"/>
      <c r="F54" s="25">
        <v>8336.15</v>
      </c>
      <c r="G54" s="25">
        <v>13.67</v>
      </c>
      <c r="H54" s="25"/>
    </row>
    <row r="55" spans="2:10" x14ac:dyDescent="0.2">
      <c r="B55" s="30" t="s">
        <v>114</v>
      </c>
      <c r="C55" s="30"/>
      <c r="D55" s="30"/>
      <c r="E55" s="31"/>
      <c r="F55" s="32">
        <f>SUM(F53:F54)</f>
        <v>8336.15</v>
      </c>
      <c r="G55" s="32">
        <f>SUM(G53:G54)</f>
        <v>13.67</v>
      </c>
      <c r="H55" s="49"/>
      <c r="I55" s="14"/>
      <c r="J55" s="14"/>
    </row>
    <row r="56" spans="2:10" x14ac:dyDescent="0.2">
      <c r="B56" s="34" t="s">
        <v>115</v>
      </c>
      <c r="C56" s="34"/>
      <c r="D56" s="34"/>
      <c r="E56" s="35"/>
      <c r="F56" s="36">
        <f>F55</f>
        <v>8336.15</v>
      </c>
      <c r="G56" s="36">
        <f>G55</f>
        <v>13.67</v>
      </c>
      <c r="H56" s="36"/>
      <c r="I56" s="14"/>
      <c r="J56" s="14"/>
    </row>
    <row r="57" spans="2:10" x14ac:dyDescent="0.2">
      <c r="B57" s="45" t="s">
        <v>118</v>
      </c>
      <c r="C57" s="45"/>
      <c r="D57" s="45"/>
      <c r="E57" s="46"/>
      <c r="F57" s="16">
        <f>F58-(+F31+F46+F52+F56)</f>
        <v>1487.8600000000079</v>
      </c>
      <c r="G57" s="16">
        <f>G58-(+G31+G46+G52+G56)</f>
        <v>2.769999999999996</v>
      </c>
      <c r="H57" s="16"/>
      <c r="I57" s="14"/>
      <c r="J57" s="14"/>
    </row>
    <row r="58" spans="2:10" x14ac:dyDescent="0.2">
      <c r="B58" s="45" t="s">
        <v>117</v>
      </c>
      <c r="C58" s="45"/>
      <c r="D58" s="45"/>
      <c r="E58" s="46"/>
      <c r="F58" s="16">
        <v>60777.54</v>
      </c>
      <c r="G58" s="16">
        <v>100</v>
      </c>
      <c r="H58" s="16"/>
      <c r="I58" s="14"/>
      <c r="J58" s="14"/>
    </row>
    <row r="60" spans="2:10" x14ac:dyDescent="0.2">
      <c r="B60" s="14" t="s">
        <v>816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74"/>
  <sheetViews>
    <sheetView topLeftCell="A58" workbookViewId="0">
      <selection activeCell="F74" sqref="F74"/>
    </sheetView>
  </sheetViews>
  <sheetFormatPr defaultRowHeight="12" x14ac:dyDescent="0.2"/>
  <cols>
    <col min="1" max="1" width="9.140625" style="1"/>
    <col min="2" max="2" width="58.42578125" style="1" bestFit="1" customWidth="1"/>
    <col min="3" max="3" width="13.7109375" style="1" bestFit="1" customWidth="1"/>
    <col min="4" max="4" width="21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62" t="s">
        <v>28</v>
      </c>
      <c r="C1" s="63"/>
      <c r="D1" s="63"/>
      <c r="E1" s="63"/>
      <c r="F1" s="63"/>
      <c r="G1" s="63"/>
      <c r="H1" s="63"/>
    </row>
    <row r="3" spans="2:8" ht="16.5" thickBot="1" x14ac:dyDescent="0.25">
      <c r="B3" s="2" t="s">
        <v>7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17" t="s">
        <v>31</v>
      </c>
      <c r="C5" s="18"/>
      <c r="D5" s="18"/>
      <c r="E5" s="19"/>
      <c r="F5" s="20"/>
      <c r="G5" s="20"/>
      <c r="H5" s="21"/>
    </row>
    <row r="6" spans="2:8" x14ac:dyDescent="0.2">
      <c r="B6" s="22" t="s">
        <v>32</v>
      </c>
      <c r="C6" s="23"/>
      <c r="D6" s="23"/>
      <c r="E6" s="24"/>
      <c r="F6" s="25"/>
      <c r="G6" s="25"/>
      <c r="H6" s="26"/>
    </row>
    <row r="7" spans="2:8" x14ac:dyDescent="0.2">
      <c r="B7" s="27" t="s">
        <v>119</v>
      </c>
      <c r="C7" s="23" t="s">
        <v>120</v>
      </c>
      <c r="D7" s="23" t="s">
        <v>121</v>
      </c>
      <c r="E7" s="28">
        <v>95000</v>
      </c>
      <c r="F7" s="25">
        <v>1177.0999999999999</v>
      </c>
      <c r="G7" s="25">
        <v>2.54</v>
      </c>
      <c r="H7" s="26"/>
    </row>
    <row r="8" spans="2:8" x14ac:dyDescent="0.2">
      <c r="B8" s="27" t="s">
        <v>122</v>
      </c>
      <c r="C8" s="23" t="s">
        <v>123</v>
      </c>
      <c r="D8" s="23" t="s">
        <v>41</v>
      </c>
      <c r="E8" s="28">
        <v>74220</v>
      </c>
      <c r="F8" s="25">
        <v>1032.03</v>
      </c>
      <c r="G8" s="25">
        <v>2.23</v>
      </c>
      <c r="H8" s="26"/>
    </row>
    <row r="9" spans="2:8" x14ac:dyDescent="0.2">
      <c r="B9" s="27" t="s">
        <v>124</v>
      </c>
      <c r="C9" s="23" t="s">
        <v>125</v>
      </c>
      <c r="D9" s="23" t="s">
        <v>111</v>
      </c>
      <c r="E9" s="28">
        <v>51030</v>
      </c>
      <c r="F9" s="25">
        <v>939.95</v>
      </c>
      <c r="G9" s="25">
        <v>2.0299999999999998</v>
      </c>
      <c r="H9" s="26"/>
    </row>
    <row r="10" spans="2:8" x14ac:dyDescent="0.2">
      <c r="B10" s="27" t="s">
        <v>39</v>
      </c>
      <c r="C10" s="23" t="s">
        <v>40</v>
      </c>
      <c r="D10" s="23" t="s">
        <v>41</v>
      </c>
      <c r="E10" s="28">
        <v>167300</v>
      </c>
      <c r="F10" s="25">
        <v>898.4</v>
      </c>
      <c r="G10" s="25">
        <v>1.94</v>
      </c>
      <c r="H10" s="26"/>
    </row>
    <row r="11" spans="2:8" x14ac:dyDescent="0.2">
      <c r="B11" s="27" t="s">
        <v>131</v>
      </c>
      <c r="C11" s="23" t="s">
        <v>132</v>
      </c>
      <c r="D11" s="23" t="s">
        <v>41</v>
      </c>
      <c r="E11" s="28">
        <v>126600</v>
      </c>
      <c r="F11" s="25">
        <v>839.23</v>
      </c>
      <c r="G11" s="25">
        <v>1.81</v>
      </c>
      <c r="H11" s="26"/>
    </row>
    <row r="12" spans="2:8" x14ac:dyDescent="0.2">
      <c r="B12" s="27" t="s">
        <v>129</v>
      </c>
      <c r="C12" s="23" t="s">
        <v>130</v>
      </c>
      <c r="D12" s="23" t="s">
        <v>121</v>
      </c>
      <c r="E12" s="28">
        <v>15183</v>
      </c>
      <c r="F12" s="25">
        <v>472.4</v>
      </c>
      <c r="G12" s="25">
        <v>1.02</v>
      </c>
      <c r="H12" s="26"/>
    </row>
    <row r="13" spans="2:8" x14ac:dyDescent="0.2">
      <c r="B13" s="27" t="s">
        <v>140</v>
      </c>
      <c r="C13" s="23" t="s">
        <v>141</v>
      </c>
      <c r="D13" s="23" t="s">
        <v>41</v>
      </c>
      <c r="E13" s="28">
        <v>27200</v>
      </c>
      <c r="F13" s="25">
        <v>465.92</v>
      </c>
      <c r="G13" s="25">
        <v>1.01</v>
      </c>
      <c r="H13" s="26"/>
    </row>
    <row r="14" spans="2:8" x14ac:dyDescent="0.2">
      <c r="B14" s="27" t="s">
        <v>243</v>
      </c>
      <c r="C14" s="23" t="s">
        <v>244</v>
      </c>
      <c r="D14" s="23" t="s">
        <v>147</v>
      </c>
      <c r="E14" s="28">
        <v>10000</v>
      </c>
      <c r="F14" s="25">
        <v>460.27</v>
      </c>
      <c r="G14" s="25">
        <v>0.99</v>
      </c>
      <c r="H14" s="26"/>
    </row>
    <row r="15" spans="2:8" x14ac:dyDescent="0.2">
      <c r="B15" s="27" t="s">
        <v>137</v>
      </c>
      <c r="C15" s="23" t="s">
        <v>138</v>
      </c>
      <c r="D15" s="23" t="s">
        <v>139</v>
      </c>
      <c r="E15" s="28">
        <v>19525</v>
      </c>
      <c r="F15" s="25">
        <v>442.03</v>
      </c>
      <c r="G15" s="25">
        <v>0.95</v>
      </c>
      <c r="H15" s="26"/>
    </row>
    <row r="16" spans="2:8" x14ac:dyDescent="0.2">
      <c r="B16" s="27" t="s">
        <v>284</v>
      </c>
      <c r="C16" s="23" t="s">
        <v>285</v>
      </c>
      <c r="D16" s="23" t="s">
        <v>128</v>
      </c>
      <c r="E16" s="28">
        <v>25300</v>
      </c>
      <c r="F16" s="25">
        <v>332.82</v>
      </c>
      <c r="G16" s="25">
        <v>0.72</v>
      </c>
      <c r="H16" s="26"/>
    </row>
    <row r="17" spans="2:8" x14ac:dyDescent="0.2">
      <c r="B17" s="27" t="s">
        <v>200</v>
      </c>
      <c r="C17" s="23" t="s">
        <v>201</v>
      </c>
      <c r="D17" s="23" t="s">
        <v>128</v>
      </c>
      <c r="E17" s="28">
        <v>44150</v>
      </c>
      <c r="F17" s="25">
        <v>299.31</v>
      </c>
      <c r="G17" s="25">
        <v>0.65</v>
      </c>
      <c r="H17" s="26"/>
    </row>
    <row r="18" spans="2:8" x14ac:dyDescent="0.2">
      <c r="B18" s="27" t="s">
        <v>133</v>
      </c>
      <c r="C18" s="23" t="s">
        <v>134</v>
      </c>
      <c r="D18" s="23" t="s">
        <v>128</v>
      </c>
      <c r="E18" s="28">
        <v>12020</v>
      </c>
      <c r="F18" s="25">
        <v>285.81</v>
      </c>
      <c r="G18" s="25">
        <v>0.62</v>
      </c>
      <c r="H18" s="26"/>
    </row>
    <row r="19" spans="2:8" x14ac:dyDescent="0.2">
      <c r="B19" s="27" t="s">
        <v>239</v>
      </c>
      <c r="C19" s="23" t="s">
        <v>240</v>
      </c>
      <c r="D19" s="23" t="s">
        <v>139</v>
      </c>
      <c r="E19" s="28">
        <v>50000</v>
      </c>
      <c r="F19" s="25">
        <v>279.89999999999998</v>
      </c>
      <c r="G19" s="25">
        <v>0.6</v>
      </c>
      <c r="H19" s="26"/>
    </row>
    <row r="20" spans="2:8" x14ac:dyDescent="0.2">
      <c r="B20" s="27" t="s">
        <v>33</v>
      </c>
      <c r="C20" s="23" t="s">
        <v>34</v>
      </c>
      <c r="D20" s="23" t="s">
        <v>35</v>
      </c>
      <c r="E20" s="28">
        <v>20460</v>
      </c>
      <c r="F20" s="25">
        <v>273.08</v>
      </c>
      <c r="G20" s="25">
        <v>0.59</v>
      </c>
      <c r="H20" s="26"/>
    </row>
    <row r="21" spans="2:8" x14ac:dyDescent="0.2">
      <c r="B21" s="27" t="s">
        <v>142</v>
      </c>
      <c r="C21" s="23" t="s">
        <v>143</v>
      </c>
      <c r="D21" s="23" t="s">
        <v>144</v>
      </c>
      <c r="E21" s="28">
        <v>33000</v>
      </c>
      <c r="F21" s="25">
        <v>247.37</v>
      </c>
      <c r="G21" s="25">
        <v>0.53</v>
      </c>
      <c r="H21" s="26"/>
    </row>
    <row r="22" spans="2:8" x14ac:dyDescent="0.2">
      <c r="B22" s="27" t="s">
        <v>148</v>
      </c>
      <c r="C22" s="23" t="s">
        <v>149</v>
      </c>
      <c r="D22" s="23" t="s">
        <v>144</v>
      </c>
      <c r="E22" s="28">
        <v>3070</v>
      </c>
      <c r="F22" s="25">
        <v>221.24</v>
      </c>
      <c r="G22" s="25">
        <v>0.48</v>
      </c>
      <c r="H22" s="26"/>
    </row>
    <row r="23" spans="2:8" x14ac:dyDescent="0.2">
      <c r="B23" s="27" t="s">
        <v>249</v>
      </c>
      <c r="C23" s="23" t="s">
        <v>250</v>
      </c>
      <c r="D23" s="23" t="s">
        <v>139</v>
      </c>
      <c r="E23" s="28">
        <v>40160</v>
      </c>
      <c r="F23" s="25">
        <v>206.64</v>
      </c>
      <c r="G23" s="25">
        <v>0.45</v>
      </c>
      <c r="H23" s="26"/>
    </row>
    <row r="24" spans="2:8" x14ac:dyDescent="0.2">
      <c r="B24" s="27" t="s">
        <v>160</v>
      </c>
      <c r="C24" s="23" t="s">
        <v>161</v>
      </c>
      <c r="D24" s="23" t="s">
        <v>162</v>
      </c>
      <c r="E24" s="28">
        <v>10000</v>
      </c>
      <c r="F24" s="25">
        <v>201.87</v>
      </c>
      <c r="G24" s="25">
        <v>0.44</v>
      </c>
      <c r="H24" s="26"/>
    </row>
    <row r="25" spans="2:8" x14ac:dyDescent="0.2">
      <c r="B25" s="27" t="s">
        <v>84</v>
      </c>
      <c r="C25" s="23" t="s">
        <v>85</v>
      </c>
      <c r="D25" s="23" t="s">
        <v>69</v>
      </c>
      <c r="E25" s="28">
        <v>3200</v>
      </c>
      <c r="F25" s="25">
        <v>170.47</v>
      </c>
      <c r="G25" s="25">
        <v>0.37</v>
      </c>
      <c r="H25" s="26"/>
    </row>
    <row r="26" spans="2:8" x14ac:dyDescent="0.2">
      <c r="B26" s="27" t="s">
        <v>86</v>
      </c>
      <c r="C26" s="23" t="s">
        <v>87</v>
      </c>
      <c r="D26" s="23" t="s">
        <v>69</v>
      </c>
      <c r="E26" s="28">
        <v>700</v>
      </c>
      <c r="F26" s="25">
        <v>159.41</v>
      </c>
      <c r="G26" s="25">
        <v>0.34</v>
      </c>
      <c r="H26" s="26"/>
    </row>
    <row r="27" spans="2:8" x14ac:dyDescent="0.2">
      <c r="B27" s="27" t="s">
        <v>792</v>
      </c>
      <c r="C27" s="23" t="s">
        <v>793</v>
      </c>
      <c r="D27" s="23" t="s">
        <v>56</v>
      </c>
      <c r="E27" s="28">
        <v>40740</v>
      </c>
      <c r="F27" s="25">
        <v>138.38999999999999</v>
      </c>
      <c r="G27" s="25">
        <v>0.3</v>
      </c>
      <c r="H27" s="26"/>
    </row>
    <row r="28" spans="2:8" x14ac:dyDescent="0.2">
      <c r="B28" s="27" t="s">
        <v>227</v>
      </c>
      <c r="C28" s="23" t="s">
        <v>228</v>
      </c>
      <c r="D28" s="23" t="s">
        <v>121</v>
      </c>
      <c r="E28" s="28">
        <v>9000</v>
      </c>
      <c r="F28" s="25">
        <v>137.18</v>
      </c>
      <c r="G28" s="25">
        <v>0.3</v>
      </c>
      <c r="H28" s="26"/>
    </row>
    <row r="29" spans="2:8" x14ac:dyDescent="0.2">
      <c r="B29" s="27" t="s">
        <v>202</v>
      </c>
      <c r="C29" s="23" t="s">
        <v>203</v>
      </c>
      <c r="D29" s="23" t="s">
        <v>204</v>
      </c>
      <c r="E29" s="28">
        <v>4950</v>
      </c>
      <c r="F29" s="25">
        <v>131.25</v>
      </c>
      <c r="G29" s="25">
        <v>0.28000000000000003</v>
      </c>
      <c r="H29" s="26"/>
    </row>
    <row r="30" spans="2:8" x14ac:dyDescent="0.2">
      <c r="B30" s="27" t="s">
        <v>282</v>
      </c>
      <c r="C30" s="23" t="s">
        <v>283</v>
      </c>
      <c r="D30" s="23" t="s">
        <v>139</v>
      </c>
      <c r="E30" s="28">
        <v>60000</v>
      </c>
      <c r="F30" s="25">
        <v>121.95</v>
      </c>
      <c r="G30" s="25">
        <v>0.26</v>
      </c>
      <c r="H30" s="26"/>
    </row>
    <row r="31" spans="2:8" x14ac:dyDescent="0.2">
      <c r="B31" s="27" t="s">
        <v>88</v>
      </c>
      <c r="C31" s="23" t="s">
        <v>89</v>
      </c>
      <c r="D31" s="23" t="s">
        <v>77</v>
      </c>
      <c r="E31" s="28">
        <v>2500</v>
      </c>
      <c r="F31" s="25">
        <v>107.47</v>
      </c>
      <c r="G31" s="25">
        <v>0.23</v>
      </c>
      <c r="H31" s="26"/>
    </row>
    <row r="32" spans="2:8" x14ac:dyDescent="0.2">
      <c r="B32" s="27" t="s">
        <v>152</v>
      </c>
      <c r="C32" s="23" t="s">
        <v>153</v>
      </c>
      <c r="D32" s="23" t="s">
        <v>139</v>
      </c>
      <c r="E32" s="28">
        <v>2700</v>
      </c>
      <c r="F32" s="25">
        <v>94.53</v>
      </c>
      <c r="G32" s="25">
        <v>0.2</v>
      </c>
      <c r="H32" s="26"/>
    </row>
    <row r="33" spans="2:10" x14ac:dyDescent="0.2">
      <c r="B33" s="27" t="s">
        <v>94</v>
      </c>
      <c r="C33" s="23" t="s">
        <v>95</v>
      </c>
      <c r="D33" s="23" t="s">
        <v>96</v>
      </c>
      <c r="E33" s="28">
        <v>40000</v>
      </c>
      <c r="F33" s="25">
        <v>90.52</v>
      </c>
      <c r="G33" s="25">
        <v>0.2</v>
      </c>
      <c r="H33" s="26"/>
    </row>
    <row r="34" spans="2:10" x14ac:dyDescent="0.2">
      <c r="B34" s="27" t="s">
        <v>185</v>
      </c>
      <c r="C34" s="23" t="s">
        <v>186</v>
      </c>
      <c r="D34" s="23" t="s">
        <v>56</v>
      </c>
      <c r="E34" s="28">
        <v>5400</v>
      </c>
      <c r="F34" s="25">
        <v>76.7</v>
      </c>
      <c r="G34" s="25">
        <v>0.17</v>
      </c>
      <c r="H34" s="26"/>
    </row>
    <row r="35" spans="2:10" x14ac:dyDescent="0.2">
      <c r="B35" s="27" t="s">
        <v>205</v>
      </c>
      <c r="C35" s="23" t="s">
        <v>206</v>
      </c>
      <c r="D35" s="23" t="s">
        <v>77</v>
      </c>
      <c r="E35" s="28">
        <v>26301</v>
      </c>
      <c r="F35" s="25">
        <v>64.33</v>
      </c>
      <c r="G35" s="25">
        <v>0.14000000000000001</v>
      </c>
      <c r="H35" s="26"/>
    </row>
    <row r="36" spans="2:10" x14ac:dyDescent="0.2">
      <c r="B36" s="27" t="s">
        <v>181</v>
      </c>
      <c r="C36" s="23" t="s">
        <v>182</v>
      </c>
      <c r="D36" s="23" t="s">
        <v>56</v>
      </c>
      <c r="E36" s="28">
        <v>1744</v>
      </c>
      <c r="F36" s="25">
        <v>44.53</v>
      </c>
      <c r="G36" s="25">
        <v>0.1</v>
      </c>
      <c r="H36" s="26"/>
    </row>
    <row r="37" spans="2:10" x14ac:dyDescent="0.2">
      <c r="B37" s="27" t="s">
        <v>198</v>
      </c>
      <c r="C37" s="23" t="s">
        <v>199</v>
      </c>
      <c r="D37" s="23" t="s">
        <v>128</v>
      </c>
      <c r="E37" s="28">
        <v>3475</v>
      </c>
      <c r="F37" s="25">
        <v>34.270000000000003</v>
      </c>
      <c r="G37" s="25">
        <v>7.0000000000000007E-2</v>
      </c>
      <c r="H37" s="26"/>
    </row>
    <row r="38" spans="2:10" x14ac:dyDescent="0.2">
      <c r="B38" s="29" t="s">
        <v>114</v>
      </c>
      <c r="C38" s="30"/>
      <c r="D38" s="30"/>
      <c r="E38" s="31"/>
      <c r="F38" s="32">
        <f>SUM(F7:F37)</f>
        <v>10446.370000000003</v>
      </c>
      <c r="G38" s="32">
        <f>SUM(G7:G37)</f>
        <v>22.560000000000009</v>
      </c>
      <c r="H38" s="33"/>
      <c r="I38" s="14"/>
      <c r="J38" s="14"/>
    </row>
    <row r="39" spans="2:10" x14ac:dyDescent="0.2">
      <c r="B39" s="37" t="s">
        <v>115</v>
      </c>
      <c r="C39" s="37"/>
      <c r="D39" s="37"/>
      <c r="E39" s="38"/>
      <c r="F39" s="39">
        <f>F38</f>
        <v>10446.370000000003</v>
      </c>
      <c r="G39" s="39">
        <f>G38</f>
        <v>22.560000000000009</v>
      </c>
      <c r="H39" s="15"/>
      <c r="I39" s="14"/>
      <c r="J39" s="14"/>
    </row>
    <row r="40" spans="2:10" x14ac:dyDescent="0.2">
      <c r="B40" s="47" t="s">
        <v>355</v>
      </c>
      <c r="C40" s="41"/>
      <c r="D40" s="41"/>
      <c r="E40" s="42"/>
      <c r="F40" s="43"/>
      <c r="G40" s="43"/>
      <c r="H40" s="43"/>
    </row>
    <row r="41" spans="2:10" x14ac:dyDescent="0.2">
      <c r="B41" s="48" t="s">
        <v>32</v>
      </c>
      <c r="C41" s="23"/>
      <c r="D41" s="23"/>
      <c r="E41" s="24"/>
      <c r="F41" s="25"/>
      <c r="G41" s="25"/>
      <c r="H41" s="25"/>
    </row>
    <row r="42" spans="2:10" x14ac:dyDescent="0.2">
      <c r="B42" s="23" t="s">
        <v>392</v>
      </c>
      <c r="C42" s="23" t="s">
        <v>393</v>
      </c>
      <c r="D42" s="23" t="s">
        <v>394</v>
      </c>
      <c r="E42" s="28">
        <v>400</v>
      </c>
      <c r="F42" s="25">
        <v>3940.57</v>
      </c>
      <c r="G42" s="25">
        <v>8.5</v>
      </c>
      <c r="H42" s="25">
        <v>4.08</v>
      </c>
    </row>
    <row r="43" spans="2:10" x14ac:dyDescent="0.2">
      <c r="B43" s="23" t="s">
        <v>794</v>
      </c>
      <c r="C43" s="23" t="s">
        <v>795</v>
      </c>
      <c r="D43" s="23" t="s">
        <v>361</v>
      </c>
      <c r="E43" s="28">
        <v>300</v>
      </c>
      <c r="F43" s="25">
        <v>3042.05</v>
      </c>
      <c r="G43" s="25">
        <v>6.56</v>
      </c>
      <c r="H43" s="25">
        <v>3.71</v>
      </c>
    </row>
    <row r="44" spans="2:10" x14ac:dyDescent="0.2">
      <c r="B44" s="23" t="s">
        <v>769</v>
      </c>
      <c r="C44" s="23" t="s">
        <v>770</v>
      </c>
      <c r="D44" s="23" t="s">
        <v>361</v>
      </c>
      <c r="E44" s="28">
        <v>270</v>
      </c>
      <c r="F44" s="25">
        <v>2713.29</v>
      </c>
      <c r="G44" s="25">
        <v>5.85</v>
      </c>
      <c r="H44" s="25">
        <v>3.38</v>
      </c>
    </row>
    <row r="45" spans="2:10" x14ac:dyDescent="0.2">
      <c r="B45" s="23" t="s">
        <v>409</v>
      </c>
      <c r="C45" s="23" t="s">
        <v>410</v>
      </c>
      <c r="D45" s="23" t="s">
        <v>361</v>
      </c>
      <c r="E45" s="28">
        <v>250</v>
      </c>
      <c r="F45" s="25">
        <v>2543.14</v>
      </c>
      <c r="G45" s="25">
        <v>5.49</v>
      </c>
      <c r="H45" s="25">
        <v>3.76</v>
      </c>
    </row>
    <row r="46" spans="2:10" x14ac:dyDescent="0.2">
      <c r="B46" s="23" t="s">
        <v>390</v>
      </c>
      <c r="C46" s="23" t="s">
        <v>391</v>
      </c>
      <c r="D46" s="23" t="s">
        <v>358</v>
      </c>
      <c r="E46" s="28">
        <v>210</v>
      </c>
      <c r="F46" s="25">
        <v>2116.2800000000002</v>
      </c>
      <c r="G46" s="25">
        <v>4.57</v>
      </c>
      <c r="H46" s="25">
        <v>3.58</v>
      </c>
    </row>
    <row r="47" spans="2:10" x14ac:dyDescent="0.2">
      <c r="B47" s="23" t="s">
        <v>796</v>
      </c>
      <c r="C47" s="23" t="s">
        <v>797</v>
      </c>
      <c r="D47" s="23" t="s">
        <v>361</v>
      </c>
      <c r="E47" s="28">
        <v>200</v>
      </c>
      <c r="F47" s="25">
        <v>2024.4</v>
      </c>
      <c r="G47" s="25">
        <v>4.37</v>
      </c>
      <c r="H47" s="25">
        <v>3.6</v>
      </c>
    </row>
    <row r="48" spans="2:10" x14ac:dyDescent="0.2">
      <c r="B48" s="23" t="s">
        <v>798</v>
      </c>
      <c r="C48" s="23" t="s">
        <v>799</v>
      </c>
      <c r="D48" s="23" t="s">
        <v>361</v>
      </c>
      <c r="E48" s="28">
        <v>150</v>
      </c>
      <c r="F48" s="25">
        <v>1518.58</v>
      </c>
      <c r="G48" s="25">
        <v>3.28</v>
      </c>
      <c r="H48" s="25">
        <v>4.1399999999999997</v>
      </c>
    </row>
    <row r="49" spans="2:10" x14ac:dyDescent="0.2">
      <c r="B49" s="23" t="s">
        <v>800</v>
      </c>
      <c r="C49" s="23" t="s">
        <v>801</v>
      </c>
      <c r="D49" s="23" t="s">
        <v>361</v>
      </c>
      <c r="E49" s="28">
        <v>100</v>
      </c>
      <c r="F49" s="25">
        <v>1019.46</v>
      </c>
      <c r="G49" s="25">
        <v>2.2000000000000002</v>
      </c>
      <c r="H49" s="25">
        <v>3.49</v>
      </c>
    </row>
    <row r="50" spans="2:10" x14ac:dyDescent="0.2">
      <c r="B50" s="23" t="s">
        <v>780</v>
      </c>
      <c r="C50" s="23" t="s">
        <v>781</v>
      </c>
      <c r="D50" s="23" t="s">
        <v>361</v>
      </c>
      <c r="E50" s="28">
        <v>9</v>
      </c>
      <c r="F50" s="25">
        <v>903.81</v>
      </c>
      <c r="G50" s="25">
        <v>1.95</v>
      </c>
      <c r="H50" s="25">
        <v>3.61</v>
      </c>
    </row>
    <row r="51" spans="2:10" x14ac:dyDescent="0.2">
      <c r="B51" s="23" t="s">
        <v>802</v>
      </c>
      <c r="C51" s="23" t="s">
        <v>803</v>
      </c>
      <c r="D51" s="23" t="s">
        <v>361</v>
      </c>
      <c r="E51" s="28">
        <v>40</v>
      </c>
      <c r="F51" s="25">
        <v>509.42</v>
      </c>
      <c r="G51" s="25">
        <v>1.1000000000000001</v>
      </c>
      <c r="H51" s="25">
        <v>3.61</v>
      </c>
    </row>
    <row r="52" spans="2:10" x14ac:dyDescent="0.2">
      <c r="B52" s="23" t="s">
        <v>705</v>
      </c>
      <c r="C52" s="23" t="s">
        <v>706</v>
      </c>
      <c r="D52" s="23" t="s">
        <v>361</v>
      </c>
      <c r="E52" s="28">
        <v>50</v>
      </c>
      <c r="F52" s="25">
        <v>506.71</v>
      </c>
      <c r="G52" s="25">
        <v>1.0900000000000001</v>
      </c>
      <c r="H52" s="25">
        <v>3.63</v>
      </c>
    </row>
    <row r="53" spans="2:10" x14ac:dyDescent="0.2">
      <c r="B53" s="23" t="s">
        <v>804</v>
      </c>
      <c r="C53" s="23" t="s">
        <v>805</v>
      </c>
      <c r="D53" s="23" t="s">
        <v>361</v>
      </c>
      <c r="E53" s="28">
        <v>50</v>
      </c>
      <c r="F53" s="25">
        <v>504.94</v>
      </c>
      <c r="G53" s="25">
        <v>1.0900000000000001</v>
      </c>
      <c r="H53" s="25">
        <v>3.68</v>
      </c>
    </row>
    <row r="54" spans="2:10" x14ac:dyDescent="0.2">
      <c r="B54" s="23" t="s">
        <v>776</v>
      </c>
      <c r="C54" s="23" t="s">
        <v>777</v>
      </c>
      <c r="D54" s="23" t="s">
        <v>361</v>
      </c>
      <c r="E54" s="28">
        <v>50</v>
      </c>
      <c r="F54" s="25">
        <v>501.48</v>
      </c>
      <c r="G54" s="25">
        <v>1.08</v>
      </c>
      <c r="H54" s="25">
        <v>3.55</v>
      </c>
    </row>
    <row r="55" spans="2:10" x14ac:dyDescent="0.2">
      <c r="B55" s="30" t="s">
        <v>114</v>
      </c>
      <c r="C55" s="30"/>
      <c r="D55" s="30"/>
      <c r="E55" s="31"/>
      <c r="F55" s="32">
        <f>SUM(F41:F54)</f>
        <v>21844.129999999994</v>
      </c>
      <c r="G55" s="32">
        <f>SUM(G41:G54)</f>
        <v>47.13000000000001</v>
      </c>
      <c r="H55" s="49"/>
      <c r="I55" s="14"/>
      <c r="J55" s="14"/>
    </row>
    <row r="56" spans="2:10" x14ac:dyDescent="0.2">
      <c r="B56" s="50" t="s">
        <v>115</v>
      </c>
      <c r="C56" s="50"/>
      <c r="D56" s="50"/>
      <c r="E56" s="51"/>
      <c r="F56" s="52">
        <f>F55</f>
        <v>21844.129999999994</v>
      </c>
      <c r="G56" s="52">
        <f>G55</f>
        <v>47.13000000000001</v>
      </c>
      <c r="H56" s="52"/>
      <c r="I56" s="14"/>
      <c r="J56" s="14"/>
    </row>
    <row r="57" spans="2:10" x14ac:dyDescent="0.2">
      <c r="B57" s="48" t="s">
        <v>455</v>
      </c>
      <c r="C57" s="23"/>
      <c r="D57" s="23"/>
      <c r="E57" s="24"/>
      <c r="F57" s="25"/>
      <c r="G57" s="25"/>
      <c r="H57" s="25"/>
    </row>
    <row r="58" spans="2:10" x14ac:dyDescent="0.2">
      <c r="B58" s="48" t="s">
        <v>536</v>
      </c>
      <c r="C58" s="23"/>
      <c r="D58" s="23"/>
      <c r="E58" s="24"/>
      <c r="F58" s="25"/>
      <c r="G58" s="25"/>
      <c r="H58" s="25"/>
    </row>
    <row r="59" spans="2:10" x14ac:dyDescent="0.2">
      <c r="B59" s="23" t="s">
        <v>547</v>
      </c>
      <c r="C59" s="23" t="s">
        <v>548</v>
      </c>
      <c r="D59" s="23" t="s">
        <v>544</v>
      </c>
      <c r="E59" s="28">
        <v>2000</v>
      </c>
      <c r="F59" s="25">
        <v>1998.01</v>
      </c>
      <c r="G59" s="25">
        <v>4.3099999999999996</v>
      </c>
      <c r="H59" s="25">
        <v>3.3</v>
      </c>
    </row>
    <row r="60" spans="2:10" x14ac:dyDescent="0.2">
      <c r="B60" s="30" t="s">
        <v>114</v>
      </c>
      <c r="C60" s="30"/>
      <c r="D60" s="30"/>
      <c r="E60" s="31"/>
      <c r="F60" s="32">
        <f>SUM(F58:F59)</f>
        <v>1998.01</v>
      </c>
      <c r="G60" s="32">
        <f>SUM(G58:G59)</f>
        <v>4.3099999999999996</v>
      </c>
      <c r="H60" s="49"/>
      <c r="I60" s="14"/>
      <c r="J60" s="14"/>
    </row>
    <row r="61" spans="2:10" x14ac:dyDescent="0.2">
      <c r="B61" s="50" t="s">
        <v>115</v>
      </c>
      <c r="C61" s="50"/>
      <c r="D61" s="50"/>
      <c r="E61" s="51"/>
      <c r="F61" s="52">
        <f>F60</f>
        <v>1998.01</v>
      </c>
      <c r="G61" s="52">
        <f>G60</f>
        <v>4.3099999999999996</v>
      </c>
      <c r="H61" s="52"/>
      <c r="I61" s="14"/>
      <c r="J61" s="14"/>
    </row>
    <row r="62" spans="2:10" x14ac:dyDescent="0.2">
      <c r="B62" s="48" t="s">
        <v>427</v>
      </c>
      <c r="C62" s="23"/>
      <c r="D62" s="23"/>
      <c r="E62" s="24"/>
      <c r="F62" s="25"/>
      <c r="G62" s="25"/>
      <c r="H62" s="25"/>
    </row>
    <row r="63" spans="2:10" x14ac:dyDescent="0.2">
      <c r="B63" s="23" t="s">
        <v>806</v>
      </c>
      <c r="C63" s="23" t="s">
        <v>807</v>
      </c>
      <c r="D63" s="23" t="s">
        <v>430</v>
      </c>
      <c r="E63" s="28">
        <v>1000000</v>
      </c>
      <c r="F63" s="25">
        <v>1014.15</v>
      </c>
      <c r="G63" s="25">
        <v>2.19</v>
      </c>
      <c r="H63" s="25">
        <v>3.31</v>
      </c>
    </row>
    <row r="64" spans="2:10" x14ac:dyDescent="0.2">
      <c r="B64" s="53" t="s">
        <v>808</v>
      </c>
      <c r="C64" s="53" t="s">
        <v>809</v>
      </c>
      <c r="D64" s="53" t="s">
        <v>430</v>
      </c>
      <c r="E64" s="54">
        <v>33000</v>
      </c>
      <c r="F64" s="55">
        <v>33.72</v>
      </c>
      <c r="G64" s="55">
        <v>7.0000000000000007E-2</v>
      </c>
      <c r="H64" s="55">
        <v>3.45</v>
      </c>
    </row>
    <row r="65" spans="2:10" x14ac:dyDescent="0.2">
      <c r="B65" s="56" t="s">
        <v>115</v>
      </c>
      <c r="C65" s="56"/>
      <c r="D65" s="56"/>
      <c r="E65" s="57"/>
      <c r="F65" s="58">
        <f>SUM(F63:F64)</f>
        <v>1047.8699999999999</v>
      </c>
      <c r="G65" s="58">
        <f>SUM(G63:G64)</f>
        <v>2.2599999999999998</v>
      </c>
      <c r="H65" s="58"/>
      <c r="I65" s="14"/>
      <c r="J65" s="14"/>
    </row>
    <row r="66" spans="2:10" x14ac:dyDescent="0.2">
      <c r="B66" s="48" t="s">
        <v>116</v>
      </c>
      <c r="C66" s="23"/>
      <c r="D66" s="23"/>
      <c r="E66" s="24"/>
      <c r="F66" s="25"/>
      <c r="G66" s="25"/>
      <c r="H66" s="25"/>
    </row>
    <row r="67" spans="2:10" x14ac:dyDescent="0.2">
      <c r="B67" s="23" t="s">
        <v>116</v>
      </c>
      <c r="C67" s="23"/>
      <c r="D67" s="23"/>
      <c r="E67" s="24"/>
      <c r="F67" s="25">
        <v>9753.58</v>
      </c>
      <c r="G67" s="25">
        <v>21.04</v>
      </c>
      <c r="H67" s="25"/>
    </row>
    <row r="68" spans="2:10" x14ac:dyDescent="0.2">
      <c r="B68" s="30" t="s">
        <v>114</v>
      </c>
      <c r="C68" s="30"/>
      <c r="D68" s="30"/>
      <c r="E68" s="31"/>
      <c r="F68" s="32">
        <f>SUM(F66:F67)</f>
        <v>9753.58</v>
      </c>
      <c r="G68" s="32">
        <f>SUM(G66:G67)</f>
        <v>21.04</v>
      </c>
      <c r="H68" s="49"/>
      <c r="I68" s="14"/>
      <c r="J68" s="14"/>
    </row>
    <row r="69" spans="2:10" x14ac:dyDescent="0.2">
      <c r="B69" s="34" t="s">
        <v>115</v>
      </c>
      <c r="C69" s="34"/>
      <c r="D69" s="34"/>
      <c r="E69" s="35"/>
      <c r="F69" s="36">
        <f>F68</f>
        <v>9753.58</v>
      </c>
      <c r="G69" s="36">
        <f>G68</f>
        <v>21.04</v>
      </c>
      <c r="H69" s="36"/>
      <c r="I69" s="14"/>
      <c r="J69" s="14"/>
    </row>
    <row r="70" spans="2:10" x14ac:dyDescent="0.2">
      <c r="B70" s="45" t="s">
        <v>118</v>
      </c>
      <c r="C70" s="45"/>
      <c r="D70" s="45"/>
      <c r="E70" s="46"/>
      <c r="F70" s="16">
        <f>F71-(+F39+F56+F61+F65+F69)</f>
        <v>891.65000000000146</v>
      </c>
      <c r="G70" s="16">
        <f>G71-(+G39+G56+G61+G65+G69)</f>
        <v>2.6999999999999602</v>
      </c>
      <c r="H70" s="16"/>
      <c r="I70" s="14"/>
      <c r="J70" s="14"/>
    </row>
    <row r="71" spans="2:10" x14ac:dyDescent="0.2">
      <c r="B71" s="45" t="s">
        <v>117</v>
      </c>
      <c r="C71" s="45"/>
      <c r="D71" s="45"/>
      <c r="E71" s="46"/>
      <c r="F71" s="16">
        <v>45981.61</v>
      </c>
      <c r="G71" s="16">
        <v>100</v>
      </c>
      <c r="H71" s="16"/>
      <c r="I71" s="14"/>
      <c r="J71" s="14"/>
    </row>
    <row r="73" spans="2:10" x14ac:dyDescent="0.2">
      <c r="B73" s="14" t="s">
        <v>816</v>
      </c>
    </row>
    <row r="74" spans="2:10" x14ac:dyDescent="0.2">
      <c r="B74" s="14" t="s">
        <v>586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5"/>
  <sheetViews>
    <sheetView workbookViewId="0">
      <selection activeCell="F35" sqref="F35"/>
    </sheetView>
  </sheetViews>
  <sheetFormatPr defaultRowHeight="12" x14ac:dyDescent="0.2"/>
  <cols>
    <col min="1" max="1" width="9.140625" style="1"/>
    <col min="2" max="2" width="60.28515625" style="1" bestFit="1" customWidth="1"/>
    <col min="3" max="3" width="13.85546875" style="1" bestFit="1" customWidth="1"/>
    <col min="4" max="4" width="14.140625" style="1" bestFit="1" customWidth="1"/>
    <col min="5" max="5" width="7.71093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62" t="s">
        <v>29</v>
      </c>
      <c r="C1" s="63"/>
      <c r="D1" s="63"/>
      <c r="E1" s="63"/>
      <c r="F1" s="63"/>
      <c r="G1" s="63"/>
      <c r="H1" s="63"/>
    </row>
    <row r="3" spans="2:8" ht="16.5" thickBot="1" x14ac:dyDescent="0.25">
      <c r="B3" s="2" t="s">
        <v>7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59" t="s">
        <v>355</v>
      </c>
      <c r="C5" s="18"/>
      <c r="D5" s="18"/>
      <c r="E5" s="19"/>
      <c r="F5" s="20"/>
      <c r="G5" s="20"/>
      <c r="H5" s="20"/>
    </row>
    <row r="6" spans="2:8" x14ac:dyDescent="0.2">
      <c r="B6" s="48" t="s">
        <v>32</v>
      </c>
      <c r="C6" s="23"/>
      <c r="D6" s="23"/>
      <c r="E6" s="24"/>
      <c r="F6" s="25"/>
      <c r="G6" s="25"/>
      <c r="H6" s="25"/>
    </row>
    <row r="7" spans="2:8" x14ac:dyDescent="0.2">
      <c r="B7" s="23" t="s">
        <v>753</v>
      </c>
      <c r="C7" s="23" t="s">
        <v>754</v>
      </c>
      <c r="D7" s="23" t="s">
        <v>394</v>
      </c>
      <c r="E7" s="28">
        <v>30</v>
      </c>
      <c r="F7" s="25">
        <v>378.23</v>
      </c>
      <c r="G7" s="25">
        <v>10.07</v>
      </c>
      <c r="H7" s="25">
        <v>5.46</v>
      </c>
    </row>
    <row r="8" spans="2:8" x14ac:dyDescent="0.2">
      <c r="B8" s="23" t="s">
        <v>392</v>
      </c>
      <c r="C8" s="23" t="s">
        <v>393</v>
      </c>
      <c r="D8" s="23" t="s">
        <v>394</v>
      </c>
      <c r="E8" s="28">
        <v>38</v>
      </c>
      <c r="F8" s="25">
        <v>374.35</v>
      </c>
      <c r="G8" s="25">
        <v>9.9600000000000009</v>
      </c>
      <c r="H8" s="25">
        <v>4.08</v>
      </c>
    </row>
    <row r="9" spans="2:8" x14ac:dyDescent="0.2">
      <c r="B9" s="23" t="s">
        <v>411</v>
      </c>
      <c r="C9" s="23" t="s">
        <v>412</v>
      </c>
      <c r="D9" s="23" t="s">
        <v>361</v>
      </c>
      <c r="E9" s="28">
        <v>31</v>
      </c>
      <c r="F9" s="25">
        <v>316.16000000000003</v>
      </c>
      <c r="G9" s="25">
        <v>8.42</v>
      </c>
      <c r="H9" s="25">
        <v>4.09</v>
      </c>
    </row>
    <row r="10" spans="2:8" x14ac:dyDescent="0.2">
      <c r="B10" s="23" t="s">
        <v>641</v>
      </c>
      <c r="C10" s="23" t="s">
        <v>642</v>
      </c>
      <c r="D10" s="23" t="s">
        <v>394</v>
      </c>
      <c r="E10" s="28">
        <v>30</v>
      </c>
      <c r="F10" s="25">
        <v>309.17</v>
      </c>
      <c r="G10" s="25">
        <v>8.23</v>
      </c>
      <c r="H10" s="25">
        <v>4.01</v>
      </c>
    </row>
    <row r="11" spans="2:8" x14ac:dyDescent="0.2">
      <c r="B11" s="23" t="s">
        <v>691</v>
      </c>
      <c r="C11" s="23" t="s">
        <v>692</v>
      </c>
      <c r="D11" s="23" t="s">
        <v>361</v>
      </c>
      <c r="E11" s="28">
        <v>30</v>
      </c>
      <c r="F11" s="25">
        <v>308.11</v>
      </c>
      <c r="G11" s="25">
        <v>8.1999999999999993</v>
      </c>
      <c r="H11" s="25">
        <v>3.81</v>
      </c>
    </row>
    <row r="12" spans="2:8" x14ac:dyDescent="0.2">
      <c r="B12" s="23" t="s">
        <v>490</v>
      </c>
      <c r="C12" s="23" t="s">
        <v>491</v>
      </c>
      <c r="D12" s="23" t="s">
        <v>361</v>
      </c>
      <c r="E12" s="28">
        <v>30</v>
      </c>
      <c r="F12" s="25">
        <v>305.92</v>
      </c>
      <c r="G12" s="25">
        <v>8.14</v>
      </c>
      <c r="H12" s="25">
        <v>3.87</v>
      </c>
    </row>
    <row r="13" spans="2:8" x14ac:dyDescent="0.2">
      <c r="B13" s="23" t="s">
        <v>631</v>
      </c>
      <c r="C13" s="23" t="s">
        <v>632</v>
      </c>
      <c r="D13" s="23" t="s">
        <v>361</v>
      </c>
      <c r="E13" s="28">
        <v>30</v>
      </c>
      <c r="F13" s="25">
        <v>304.76</v>
      </c>
      <c r="G13" s="25">
        <v>8.11</v>
      </c>
      <c r="H13" s="25">
        <v>4.2</v>
      </c>
    </row>
    <row r="14" spans="2:8" x14ac:dyDescent="0.2">
      <c r="B14" s="23" t="s">
        <v>390</v>
      </c>
      <c r="C14" s="23" t="s">
        <v>391</v>
      </c>
      <c r="D14" s="23" t="s">
        <v>358</v>
      </c>
      <c r="E14" s="28">
        <v>30</v>
      </c>
      <c r="F14" s="25">
        <v>302.33</v>
      </c>
      <c r="G14" s="25">
        <v>8.0500000000000007</v>
      </c>
      <c r="H14" s="25">
        <v>3.58</v>
      </c>
    </row>
    <row r="15" spans="2:8" x14ac:dyDescent="0.2">
      <c r="B15" s="23" t="s">
        <v>413</v>
      </c>
      <c r="C15" s="23" t="s">
        <v>414</v>
      </c>
      <c r="D15" s="23" t="s">
        <v>361</v>
      </c>
      <c r="E15" s="28">
        <v>30</v>
      </c>
      <c r="F15" s="25">
        <v>301.39999999999998</v>
      </c>
      <c r="G15" s="25">
        <v>8.02</v>
      </c>
      <c r="H15" s="25">
        <v>3.49</v>
      </c>
    </row>
    <row r="16" spans="2:8" x14ac:dyDescent="0.2">
      <c r="B16" s="23" t="s">
        <v>639</v>
      </c>
      <c r="C16" s="23" t="s">
        <v>640</v>
      </c>
      <c r="D16" s="23" t="s">
        <v>361</v>
      </c>
      <c r="E16" s="28">
        <v>23</v>
      </c>
      <c r="F16" s="25">
        <v>234.74</v>
      </c>
      <c r="G16" s="25">
        <v>6.25</v>
      </c>
      <c r="H16" s="25">
        <v>3.9</v>
      </c>
    </row>
    <row r="17" spans="2:10" x14ac:dyDescent="0.2">
      <c r="B17" s="23" t="s">
        <v>512</v>
      </c>
      <c r="C17" s="23" t="s">
        <v>513</v>
      </c>
      <c r="D17" s="23" t="s">
        <v>361</v>
      </c>
      <c r="E17" s="28">
        <v>7</v>
      </c>
      <c r="F17" s="25">
        <v>71.260000000000005</v>
      </c>
      <c r="G17" s="25">
        <v>1.9</v>
      </c>
      <c r="H17" s="25">
        <v>3.9</v>
      </c>
    </row>
    <row r="18" spans="2:10" x14ac:dyDescent="0.2">
      <c r="B18" s="30" t="s">
        <v>114</v>
      </c>
      <c r="C18" s="30"/>
      <c r="D18" s="30"/>
      <c r="E18" s="31"/>
      <c r="F18" s="32">
        <f>SUM(F6:F17)</f>
        <v>3206.4300000000003</v>
      </c>
      <c r="G18" s="32">
        <f>SUM(G6:G17)</f>
        <v>85.350000000000009</v>
      </c>
      <c r="H18" s="49"/>
      <c r="I18" s="14"/>
      <c r="J18" s="14"/>
    </row>
    <row r="19" spans="2:10" x14ac:dyDescent="0.2">
      <c r="B19" s="50" t="s">
        <v>115</v>
      </c>
      <c r="C19" s="50"/>
      <c r="D19" s="50"/>
      <c r="E19" s="51"/>
      <c r="F19" s="52">
        <f>F18</f>
        <v>3206.4300000000003</v>
      </c>
      <c r="G19" s="52">
        <f>G18</f>
        <v>85.350000000000009</v>
      </c>
      <c r="H19" s="52"/>
      <c r="I19" s="14"/>
      <c r="J19" s="14"/>
    </row>
    <row r="20" spans="2:10" x14ac:dyDescent="0.2">
      <c r="B20" s="48" t="s">
        <v>455</v>
      </c>
      <c r="C20" s="23"/>
      <c r="D20" s="23"/>
      <c r="E20" s="24"/>
      <c r="F20" s="25"/>
      <c r="G20" s="25"/>
      <c r="H20" s="25"/>
    </row>
    <row r="21" spans="2:10" x14ac:dyDescent="0.2">
      <c r="B21" s="48" t="s">
        <v>456</v>
      </c>
      <c r="C21" s="23"/>
      <c r="D21" s="23"/>
      <c r="E21" s="24"/>
      <c r="F21" s="25"/>
      <c r="G21" s="25"/>
      <c r="H21" s="25"/>
    </row>
    <row r="22" spans="2:10" x14ac:dyDescent="0.2">
      <c r="B22" s="23" t="s">
        <v>593</v>
      </c>
      <c r="C22" s="23" t="s">
        <v>594</v>
      </c>
      <c r="D22" s="23" t="s">
        <v>459</v>
      </c>
      <c r="E22" s="28">
        <v>250000</v>
      </c>
      <c r="F22" s="25">
        <v>244.43</v>
      </c>
      <c r="G22" s="25">
        <v>6.51</v>
      </c>
      <c r="H22" s="25">
        <v>3.55</v>
      </c>
    </row>
    <row r="23" spans="2:10" x14ac:dyDescent="0.2">
      <c r="B23" s="30" t="s">
        <v>114</v>
      </c>
      <c r="C23" s="30"/>
      <c r="D23" s="30"/>
      <c r="E23" s="31"/>
      <c r="F23" s="32">
        <f>SUM(F21:F22)</f>
        <v>244.43</v>
      </c>
      <c r="G23" s="32">
        <f>SUM(G21:G22)</f>
        <v>6.51</v>
      </c>
      <c r="H23" s="49"/>
      <c r="I23" s="14"/>
      <c r="J23" s="14"/>
    </row>
    <row r="24" spans="2:10" x14ac:dyDescent="0.2">
      <c r="B24" s="50" t="s">
        <v>115</v>
      </c>
      <c r="C24" s="50"/>
      <c r="D24" s="50"/>
      <c r="E24" s="51"/>
      <c r="F24" s="52">
        <f>+F23</f>
        <v>244.43</v>
      </c>
      <c r="G24" s="52">
        <f>+G23</f>
        <v>6.51</v>
      </c>
      <c r="H24" s="52"/>
      <c r="I24" s="14"/>
      <c r="J24" s="14"/>
    </row>
    <row r="25" spans="2:10" x14ac:dyDescent="0.2">
      <c r="B25" s="48" t="s">
        <v>427</v>
      </c>
      <c r="C25" s="23"/>
      <c r="D25" s="23"/>
      <c r="E25" s="24"/>
      <c r="F25" s="25"/>
      <c r="G25" s="25"/>
      <c r="H25" s="25"/>
    </row>
    <row r="26" spans="2:10" x14ac:dyDescent="0.2">
      <c r="B26" s="53" t="s">
        <v>810</v>
      </c>
      <c r="C26" s="53" t="s">
        <v>811</v>
      </c>
      <c r="D26" s="53" t="s">
        <v>430</v>
      </c>
      <c r="E26" s="54">
        <v>33300</v>
      </c>
      <c r="F26" s="55">
        <v>34.25</v>
      </c>
      <c r="G26" s="55">
        <v>0.91</v>
      </c>
      <c r="H26" s="55">
        <v>3.73</v>
      </c>
    </row>
    <row r="27" spans="2:10" x14ac:dyDescent="0.2">
      <c r="B27" s="56" t="s">
        <v>115</v>
      </c>
      <c r="C27" s="56"/>
      <c r="D27" s="56"/>
      <c r="E27" s="57"/>
      <c r="F27" s="58">
        <f>SUM(F26:F26)</f>
        <v>34.25</v>
      </c>
      <c r="G27" s="58">
        <f>SUM(G26:G26)</f>
        <v>0.91</v>
      </c>
      <c r="H27" s="58"/>
      <c r="I27" s="14"/>
      <c r="J27" s="14"/>
    </row>
    <row r="28" spans="2:10" x14ac:dyDescent="0.2">
      <c r="B28" s="48" t="s">
        <v>116</v>
      </c>
      <c r="C28" s="23"/>
      <c r="D28" s="23"/>
      <c r="E28" s="24"/>
      <c r="F28" s="25"/>
      <c r="G28" s="25"/>
      <c r="H28" s="25"/>
    </row>
    <row r="29" spans="2:10" x14ac:dyDescent="0.2">
      <c r="B29" s="23" t="s">
        <v>116</v>
      </c>
      <c r="C29" s="23"/>
      <c r="D29" s="23"/>
      <c r="E29" s="24"/>
      <c r="F29" s="25">
        <v>59.97</v>
      </c>
      <c r="G29" s="25">
        <v>1.6</v>
      </c>
      <c r="H29" s="25"/>
    </row>
    <row r="30" spans="2:10" x14ac:dyDescent="0.2">
      <c r="B30" s="30" t="s">
        <v>114</v>
      </c>
      <c r="C30" s="30"/>
      <c r="D30" s="30"/>
      <c r="E30" s="31"/>
      <c r="F30" s="32">
        <f>SUM(F28:F29)</f>
        <v>59.97</v>
      </c>
      <c r="G30" s="32">
        <f>SUM(G28:G29)</f>
        <v>1.6</v>
      </c>
      <c r="H30" s="49"/>
      <c r="I30" s="14"/>
      <c r="J30" s="14"/>
    </row>
    <row r="31" spans="2:10" x14ac:dyDescent="0.2">
      <c r="B31" s="34" t="s">
        <v>115</v>
      </c>
      <c r="C31" s="34"/>
      <c r="D31" s="34"/>
      <c r="E31" s="35"/>
      <c r="F31" s="36">
        <f>F30</f>
        <v>59.97</v>
      </c>
      <c r="G31" s="36">
        <f>G30</f>
        <v>1.6</v>
      </c>
      <c r="H31" s="36"/>
      <c r="I31" s="14"/>
      <c r="J31" s="14"/>
    </row>
    <row r="32" spans="2:10" x14ac:dyDescent="0.2">
      <c r="B32" s="45" t="s">
        <v>118</v>
      </c>
      <c r="C32" s="45"/>
      <c r="D32" s="45"/>
      <c r="E32" s="46"/>
      <c r="F32" s="16">
        <f>F33-(+F19+F24+F27+F31)</f>
        <v>165.84999999999991</v>
      </c>
      <c r="G32" s="16">
        <f>G33-(+G19+G24+G27+G31)</f>
        <v>5.6299999999999955</v>
      </c>
      <c r="H32" s="16"/>
      <c r="I32" s="14"/>
      <c r="J32" s="14"/>
    </row>
    <row r="33" spans="2:10" x14ac:dyDescent="0.2">
      <c r="B33" s="45" t="s">
        <v>117</v>
      </c>
      <c r="C33" s="45"/>
      <c r="D33" s="45"/>
      <c r="E33" s="46"/>
      <c r="F33" s="16">
        <v>3710.93</v>
      </c>
      <c r="G33" s="16">
        <v>100</v>
      </c>
      <c r="H33" s="16"/>
      <c r="I33" s="14"/>
      <c r="J33" s="14"/>
    </row>
    <row r="35" spans="2:10" x14ac:dyDescent="0.2">
      <c r="B35" s="14" t="s">
        <v>816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71"/>
  <sheetViews>
    <sheetView workbookViewId="0">
      <selection activeCell="B45" sqref="B45"/>
    </sheetView>
  </sheetViews>
  <sheetFormatPr defaultRowHeight="12" x14ac:dyDescent="0.2"/>
  <cols>
    <col min="1" max="1" width="9.140625" style="1"/>
    <col min="2" max="2" width="60.28515625" style="1" bestFit="1" customWidth="1"/>
    <col min="3" max="3" width="13.5703125" style="1" bestFit="1" customWidth="1"/>
    <col min="4" max="4" width="21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62" t="s">
        <v>30</v>
      </c>
      <c r="C1" s="63"/>
      <c r="D1" s="63"/>
      <c r="E1" s="63"/>
      <c r="F1" s="63"/>
      <c r="G1" s="63"/>
      <c r="H1" s="63"/>
    </row>
    <row r="3" spans="2:8" ht="16.5" thickBot="1" x14ac:dyDescent="0.25">
      <c r="B3" s="2" t="s">
        <v>7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17" t="s">
        <v>31</v>
      </c>
      <c r="C5" s="18"/>
      <c r="D5" s="18"/>
      <c r="E5" s="19"/>
      <c r="F5" s="20"/>
      <c r="G5" s="20"/>
      <c r="H5" s="21"/>
    </row>
    <row r="6" spans="2:8" x14ac:dyDescent="0.2">
      <c r="B6" s="22" t="s">
        <v>32</v>
      </c>
      <c r="C6" s="23"/>
      <c r="D6" s="23"/>
      <c r="E6" s="24"/>
      <c r="F6" s="25"/>
      <c r="G6" s="25"/>
      <c r="H6" s="26"/>
    </row>
    <row r="7" spans="2:8" x14ac:dyDescent="0.2">
      <c r="B7" s="27" t="s">
        <v>122</v>
      </c>
      <c r="C7" s="23" t="s">
        <v>123</v>
      </c>
      <c r="D7" s="23" t="s">
        <v>41</v>
      </c>
      <c r="E7" s="28">
        <v>21240</v>
      </c>
      <c r="F7" s="25">
        <v>295.33999999999997</v>
      </c>
      <c r="G7" s="25">
        <v>1.45</v>
      </c>
      <c r="H7" s="26"/>
    </row>
    <row r="8" spans="2:8" x14ac:dyDescent="0.2">
      <c r="B8" s="27" t="s">
        <v>39</v>
      </c>
      <c r="C8" s="23" t="s">
        <v>40</v>
      </c>
      <c r="D8" s="23" t="s">
        <v>41</v>
      </c>
      <c r="E8" s="28">
        <v>53500</v>
      </c>
      <c r="F8" s="25">
        <v>287.3</v>
      </c>
      <c r="G8" s="25">
        <v>1.41</v>
      </c>
      <c r="H8" s="26"/>
    </row>
    <row r="9" spans="2:8" x14ac:dyDescent="0.2">
      <c r="B9" s="27" t="s">
        <v>119</v>
      </c>
      <c r="C9" s="23" t="s">
        <v>120</v>
      </c>
      <c r="D9" s="23" t="s">
        <v>121</v>
      </c>
      <c r="E9" s="28">
        <v>23000</v>
      </c>
      <c r="F9" s="25">
        <v>284.98</v>
      </c>
      <c r="G9" s="25">
        <v>1.4</v>
      </c>
      <c r="H9" s="26"/>
    </row>
    <row r="10" spans="2:8" x14ac:dyDescent="0.2">
      <c r="B10" s="27" t="s">
        <v>124</v>
      </c>
      <c r="C10" s="23" t="s">
        <v>125</v>
      </c>
      <c r="D10" s="23" t="s">
        <v>111</v>
      </c>
      <c r="E10" s="28">
        <v>13500</v>
      </c>
      <c r="F10" s="25">
        <v>248.66</v>
      </c>
      <c r="G10" s="25">
        <v>1.22</v>
      </c>
      <c r="H10" s="26"/>
    </row>
    <row r="11" spans="2:8" x14ac:dyDescent="0.2">
      <c r="B11" s="27" t="s">
        <v>129</v>
      </c>
      <c r="C11" s="23" t="s">
        <v>130</v>
      </c>
      <c r="D11" s="23" t="s">
        <v>121</v>
      </c>
      <c r="E11" s="28">
        <v>4928</v>
      </c>
      <c r="F11" s="25">
        <v>153.33000000000001</v>
      </c>
      <c r="G11" s="25">
        <v>0.75</v>
      </c>
      <c r="H11" s="26"/>
    </row>
    <row r="12" spans="2:8" x14ac:dyDescent="0.2">
      <c r="B12" s="27" t="s">
        <v>131</v>
      </c>
      <c r="C12" s="23" t="s">
        <v>132</v>
      </c>
      <c r="D12" s="23" t="s">
        <v>41</v>
      </c>
      <c r="E12" s="28">
        <v>22330</v>
      </c>
      <c r="F12" s="25">
        <v>148.03</v>
      </c>
      <c r="G12" s="25">
        <v>0.73</v>
      </c>
      <c r="H12" s="26"/>
    </row>
    <row r="13" spans="2:8" x14ac:dyDescent="0.2">
      <c r="B13" s="27" t="s">
        <v>137</v>
      </c>
      <c r="C13" s="23" t="s">
        <v>138</v>
      </c>
      <c r="D13" s="23" t="s">
        <v>139</v>
      </c>
      <c r="E13" s="28">
        <v>5730</v>
      </c>
      <c r="F13" s="25">
        <v>129.72</v>
      </c>
      <c r="G13" s="25">
        <v>0.64</v>
      </c>
      <c r="H13" s="26"/>
    </row>
    <row r="14" spans="2:8" x14ac:dyDescent="0.2">
      <c r="B14" s="27" t="s">
        <v>142</v>
      </c>
      <c r="C14" s="23" t="s">
        <v>143</v>
      </c>
      <c r="D14" s="23" t="s">
        <v>144</v>
      </c>
      <c r="E14" s="28">
        <v>14000</v>
      </c>
      <c r="F14" s="25">
        <v>104.94</v>
      </c>
      <c r="G14" s="25">
        <v>0.51</v>
      </c>
      <c r="H14" s="26"/>
    </row>
    <row r="15" spans="2:8" x14ac:dyDescent="0.2">
      <c r="B15" s="27" t="s">
        <v>133</v>
      </c>
      <c r="C15" s="23" t="s">
        <v>134</v>
      </c>
      <c r="D15" s="23" t="s">
        <v>128</v>
      </c>
      <c r="E15" s="28">
        <v>4400</v>
      </c>
      <c r="F15" s="25">
        <v>104.62</v>
      </c>
      <c r="G15" s="25">
        <v>0.51</v>
      </c>
      <c r="H15" s="26"/>
    </row>
    <row r="16" spans="2:8" x14ac:dyDescent="0.2">
      <c r="B16" s="27" t="s">
        <v>288</v>
      </c>
      <c r="C16" s="23" t="s">
        <v>289</v>
      </c>
      <c r="D16" s="23" t="s">
        <v>176</v>
      </c>
      <c r="E16" s="28">
        <v>9330</v>
      </c>
      <c r="F16" s="25">
        <v>90.65</v>
      </c>
      <c r="G16" s="25">
        <v>0.44</v>
      </c>
      <c r="H16" s="26"/>
    </row>
    <row r="17" spans="2:8" x14ac:dyDescent="0.2">
      <c r="B17" s="27" t="s">
        <v>215</v>
      </c>
      <c r="C17" s="23" t="s">
        <v>216</v>
      </c>
      <c r="D17" s="23" t="s">
        <v>147</v>
      </c>
      <c r="E17" s="28">
        <v>3000</v>
      </c>
      <c r="F17" s="25">
        <v>90.21</v>
      </c>
      <c r="G17" s="25">
        <v>0.44</v>
      </c>
      <c r="H17" s="26"/>
    </row>
    <row r="18" spans="2:8" x14ac:dyDescent="0.2">
      <c r="B18" s="27" t="s">
        <v>106</v>
      </c>
      <c r="C18" s="23" t="s">
        <v>107</v>
      </c>
      <c r="D18" s="23" t="s">
        <v>108</v>
      </c>
      <c r="E18" s="28">
        <v>15700</v>
      </c>
      <c r="F18" s="25">
        <v>86.92</v>
      </c>
      <c r="G18" s="25">
        <v>0.43</v>
      </c>
      <c r="H18" s="26"/>
    </row>
    <row r="19" spans="2:8" x14ac:dyDescent="0.2">
      <c r="B19" s="27" t="s">
        <v>54</v>
      </c>
      <c r="C19" s="23" t="s">
        <v>55</v>
      </c>
      <c r="D19" s="23" t="s">
        <v>56</v>
      </c>
      <c r="E19" s="28">
        <v>9400</v>
      </c>
      <c r="F19" s="25">
        <v>85.36</v>
      </c>
      <c r="G19" s="25">
        <v>0.42</v>
      </c>
      <c r="H19" s="26"/>
    </row>
    <row r="20" spans="2:8" x14ac:dyDescent="0.2">
      <c r="B20" s="27" t="s">
        <v>33</v>
      </c>
      <c r="C20" s="23" t="s">
        <v>34</v>
      </c>
      <c r="D20" s="23" t="s">
        <v>35</v>
      </c>
      <c r="E20" s="28">
        <v>6370</v>
      </c>
      <c r="F20" s="25">
        <v>85.02</v>
      </c>
      <c r="G20" s="25">
        <v>0.42</v>
      </c>
      <c r="H20" s="26"/>
    </row>
    <row r="21" spans="2:8" x14ac:dyDescent="0.2">
      <c r="B21" s="27" t="s">
        <v>239</v>
      </c>
      <c r="C21" s="23" t="s">
        <v>240</v>
      </c>
      <c r="D21" s="23" t="s">
        <v>139</v>
      </c>
      <c r="E21" s="28">
        <v>15000</v>
      </c>
      <c r="F21" s="25">
        <v>83.97</v>
      </c>
      <c r="G21" s="25">
        <v>0.41</v>
      </c>
      <c r="H21" s="26"/>
    </row>
    <row r="22" spans="2:8" x14ac:dyDescent="0.2">
      <c r="B22" s="27" t="s">
        <v>42</v>
      </c>
      <c r="C22" s="23" t="s">
        <v>43</v>
      </c>
      <c r="D22" s="23" t="s">
        <v>44</v>
      </c>
      <c r="E22" s="28">
        <v>20330</v>
      </c>
      <c r="F22" s="25">
        <v>75</v>
      </c>
      <c r="G22" s="25">
        <v>0.37</v>
      </c>
      <c r="H22" s="26"/>
    </row>
    <row r="23" spans="2:8" x14ac:dyDescent="0.2">
      <c r="B23" s="27" t="s">
        <v>148</v>
      </c>
      <c r="C23" s="23" t="s">
        <v>149</v>
      </c>
      <c r="D23" s="23" t="s">
        <v>144</v>
      </c>
      <c r="E23" s="28">
        <v>1000</v>
      </c>
      <c r="F23" s="25">
        <v>72.069999999999993</v>
      </c>
      <c r="G23" s="25">
        <v>0.35</v>
      </c>
      <c r="H23" s="26"/>
    </row>
    <row r="24" spans="2:8" x14ac:dyDescent="0.2">
      <c r="B24" s="27" t="s">
        <v>255</v>
      </c>
      <c r="C24" s="23" t="s">
        <v>256</v>
      </c>
      <c r="D24" s="23" t="s">
        <v>139</v>
      </c>
      <c r="E24" s="28">
        <v>12500</v>
      </c>
      <c r="F24" s="25">
        <v>68.59</v>
      </c>
      <c r="G24" s="25">
        <v>0.34</v>
      </c>
      <c r="H24" s="26"/>
    </row>
    <row r="25" spans="2:8" x14ac:dyDescent="0.2">
      <c r="B25" s="27" t="s">
        <v>140</v>
      </c>
      <c r="C25" s="23" t="s">
        <v>141</v>
      </c>
      <c r="D25" s="23" t="s">
        <v>41</v>
      </c>
      <c r="E25" s="28">
        <v>4000</v>
      </c>
      <c r="F25" s="25">
        <v>68.52</v>
      </c>
      <c r="G25" s="25">
        <v>0.34</v>
      </c>
      <c r="H25" s="26"/>
    </row>
    <row r="26" spans="2:8" x14ac:dyDescent="0.2">
      <c r="B26" s="27" t="s">
        <v>86</v>
      </c>
      <c r="C26" s="23" t="s">
        <v>87</v>
      </c>
      <c r="D26" s="23" t="s">
        <v>69</v>
      </c>
      <c r="E26" s="28">
        <v>300</v>
      </c>
      <c r="F26" s="25">
        <v>68.319999999999993</v>
      </c>
      <c r="G26" s="25">
        <v>0.34</v>
      </c>
      <c r="H26" s="26"/>
    </row>
    <row r="27" spans="2:8" x14ac:dyDescent="0.2">
      <c r="B27" s="27" t="s">
        <v>284</v>
      </c>
      <c r="C27" s="23" t="s">
        <v>285</v>
      </c>
      <c r="D27" s="23" t="s">
        <v>128</v>
      </c>
      <c r="E27" s="28">
        <v>5000</v>
      </c>
      <c r="F27" s="25">
        <v>65.78</v>
      </c>
      <c r="G27" s="25">
        <v>0.32</v>
      </c>
      <c r="H27" s="26"/>
    </row>
    <row r="28" spans="2:8" x14ac:dyDescent="0.2">
      <c r="B28" s="27" t="s">
        <v>45</v>
      </c>
      <c r="C28" s="23" t="s">
        <v>46</v>
      </c>
      <c r="D28" s="23" t="s">
        <v>38</v>
      </c>
      <c r="E28" s="28">
        <v>165</v>
      </c>
      <c r="F28" s="25">
        <v>64.319999999999993</v>
      </c>
      <c r="G28" s="25">
        <v>0.32</v>
      </c>
      <c r="H28" s="26"/>
    </row>
    <row r="29" spans="2:8" x14ac:dyDescent="0.2">
      <c r="B29" s="27" t="s">
        <v>126</v>
      </c>
      <c r="C29" s="23" t="s">
        <v>127</v>
      </c>
      <c r="D29" s="23" t="s">
        <v>128</v>
      </c>
      <c r="E29" s="28">
        <v>1250</v>
      </c>
      <c r="F29" s="25">
        <v>59.18</v>
      </c>
      <c r="G29" s="25">
        <v>0.28999999999999998</v>
      </c>
      <c r="H29" s="26"/>
    </row>
    <row r="30" spans="2:8" x14ac:dyDescent="0.2">
      <c r="B30" s="27" t="s">
        <v>82</v>
      </c>
      <c r="C30" s="23" t="s">
        <v>83</v>
      </c>
      <c r="D30" s="23" t="s">
        <v>74</v>
      </c>
      <c r="E30" s="28">
        <v>15000</v>
      </c>
      <c r="F30" s="25">
        <v>55.54</v>
      </c>
      <c r="G30" s="25">
        <v>0.27</v>
      </c>
      <c r="H30" s="26"/>
    </row>
    <row r="31" spans="2:8" x14ac:dyDescent="0.2">
      <c r="B31" s="27" t="s">
        <v>321</v>
      </c>
      <c r="C31" s="23" t="s">
        <v>322</v>
      </c>
      <c r="D31" s="23" t="s">
        <v>121</v>
      </c>
      <c r="E31" s="28">
        <v>3200</v>
      </c>
      <c r="F31" s="25">
        <v>52.64</v>
      </c>
      <c r="G31" s="25">
        <v>0.26</v>
      </c>
      <c r="H31" s="26"/>
    </row>
    <row r="32" spans="2:8" x14ac:dyDescent="0.2">
      <c r="B32" s="27" t="s">
        <v>92</v>
      </c>
      <c r="C32" s="23" t="s">
        <v>93</v>
      </c>
      <c r="D32" s="23" t="s">
        <v>74</v>
      </c>
      <c r="E32" s="28">
        <v>10000</v>
      </c>
      <c r="F32" s="25">
        <v>51.58</v>
      </c>
      <c r="G32" s="25">
        <v>0.25</v>
      </c>
      <c r="H32" s="26"/>
    </row>
    <row r="33" spans="2:10" x14ac:dyDescent="0.2">
      <c r="B33" s="27" t="s">
        <v>84</v>
      </c>
      <c r="C33" s="23" t="s">
        <v>85</v>
      </c>
      <c r="D33" s="23" t="s">
        <v>69</v>
      </c>
      <c r="E33" s="28">
        <v>900</v>
      </c>
      <c r="F33" s="25">
        <v>47.95</v>
      </c>
      <c r="G33" s="25">
        <v>0.24</v>
      </c>
      <c r="H33" s="26"/>
    </row>
    <row r="34" spans="2:10" x14ac:dyDescent="0.2">
      <c r="B34" s="27" t="s">
        <v>177</v>
      </c>
      <c r="C34" s="23" t="s">
        <v>178</v>
      </c>
      <c r="D34" s="23" t="s">
        <v>77</v>
      </c>
      <c r="E34" s="28">
        <v>8000</v>
      </c>
      <c r="F34" s="25">
        <v>46.7</v>
      </c>
      <c r="G34" s="25">
        <v>0.23</v>
      </c>
      <c r="H34" s="26"/>
    </row>
    <row r="35" spans="2:10" x14ac:dyDescent="0.2">
      <c r="B35" s="27" t="s">
        <v>194</v>
      </c>
      <c r="C35" s="23" t="s">
        <v>195</v>
      </c>
      <c r="D35" s="23" t="s">
        <v>139</v>
      </c>
      <c r="E35" s="28">
        <v>1870</v>
      </c>
      <c r="F35" s="25">
        <v>45.02</v>
      </c>
      <c r="G35" s="25">
        <v>0.22</v>
      </c>
      <c r="H35" s="26"/>
    </row>
    <row r="36" spans="2:10" x14ac:dyDescent="0.2">
      <c r="B36" s="27" t="s">
        <v>181</v>
      </c>
      <c r="C36" s="23" t="s">
        <v>182</v>
      </c>
      <c r="D36" s="23" t="s">
        <v>56</v>
      </c>
      <c r="E36" s="28">
        <v>1600</v>
      </c>
      <c r="F36" s="25">
        <v>40.85</v>
      </c>
      <c r="G36" s="25">
        <v>0.2</v>
      </c>
      <c r="H36" s="26"/>
    </row>
    <row r="37" spans="2:10" x14ac:dyDescent="0.2">
      <c r="B37" s="27" t="s">
        <v>249</v>
      </c>
      <c r="C37" s="23" t="s">
        <v>250</v>
      </c>
      <c r="D37" s="23" t="s">
        <v>139</v>
      </c>
      <c r="E37" s="28">
        <v>7700</v>
      </c>
      <c r="F37" s="25">
        <v>39.619999999999997</v>
      </c>
      <c r="G37" s="25">
        <v>0.19</v>
      </c>
      <c r="H37" s="26"/>
    </row>
    <row r="38" spans="2:10" x14ac:dyDescent="0.2">
      <c r="B38" s="27" t="s">
        <v>243</v>
      </c>
      <c r="C38" s="23" t="s">
        <v>244</v>
      </c>
      <c r="D38" s="23" t="s">
        <v>147</v>
      </c>
      <c r="E38" s="28">
        <v>800</v>
      </c>
      <c r="F38" s="25">
        <v>36.82</v>
      </c>
      <c r="G38" s="25">
        <v>0.18</v>
      </c>
      <c r="H38" s="26"/>
    </row>
    <row r="39" spans="2:10" x14ac:dyDescent="0.2">
      <c r="B39" s="27" t="s">
        <v>294</v>
      </c>
      <c r="C39" s="23" t="s">
        <v>295</v>
      </c>
      <c r="D39" s="23" t="s">
        <v>204</v>
      </c>
      <c r="E39" s="28">
        <v>1500</v>
      </c>
      <c r="F39" s="25">
        <v>36.79</v>
      </c>
      <c r="G39" s="25">
        <v>0.18</v>
      </c>
      <c r="H39" s="26"/>
    </row>
    <row r="40" spans="2:10" x14ac:dyDescent="0.2">
      <c r="B40" s="27" t="s">
        <v>282</v>
      </c>
      <c r="C40" s="23" t="s">
        <v>283</v>
      </c>
      <c r="D40" s="23" t="s">
        <v>139</v>
      </c>
      <c r="E40" s="28">
        <v>18000</v>
      </c>
      <c r="F40" s="25">
        <v>36.590000000000003</v>
      </c>
      <c r="G40" s="25">
        <v>0.18</v>
      </c>
      <c r="H40" s="26"/>
    </row>
    <row r="41" spans="2:10" x14ac:dyDescent="0.2">
      <c r="B41" s="27" t="s">
        <v>227</v>
      </c>
      <c r="C41" s="23" t="s">
        <v>228</v>
      </c>
      <c r="D41" s="23" t="s">
        <v>121</v>
      </c>
      <c r="E41" s="28">
        <v>2400</v>
      </c>
      <c r="F41" s="25">
        <v>36.58</v>
      </c>
      <c r="G41" s="25">
        <v>0.18</v>
      </c>
      <c r="H41" s="26"/>
    </row>
    <row r="42" spans="2:10" x14ac:dyDescent="0.2">
      <c r="B42" s="27" t="s">
        <v>88</v>
      </c>
      <c r="C42" s="23" t="s">
        <v>89</v>
      </c>
      <c r="D42" s="23" t="s">
        <v>77</v>
      </c>
      <c r="E42" s="28">
        <v>800</v>
      </c>
      <c r="F42" s="25">
        <v>34.39</v>
      </c>
      <c r="G42" s="25">
        <v>0.17</v>
      </c>
      <c r="H42" s="26"/>
    </row>
    <row r="43" spans="2:10" x14ac:dyDescent="0.2">
      <c r="B43" s="27" t="s">
        <v>185</v>
      </c>
      <c r="C43" s="23" t="s">
        <v>186</v>
      </c>
      <c r="D43" s="23" t="s">
        <v>56</v>
      </c>
      <c r="E43" s="28">
        <v>1800</v>
      </c>
      <c r="F43" s="25">
        <v>25.57</v>
      </c>
      <c r="G43" s="25">
        <v>0.13</v>
      </c>
      <c r="H43" s="26"/>
    </row>
    <row r="44" spans="2:10" x14ac:dyDescent="0.2">
      <c r="B44" s="27" t="s">
        <v>152</v>
      </c>
      <c r="C44" s="23" t="s">
        <v>153</v>
      </c>
      <c r="D44" s="23" t="s">
        <v>139</v>
      </c>
      <c r="E44" s="28">
        <v>620</v>
      </c>
      <c r="F44" s="25">
        <v>21.71</v>
      </c>
      <c r="G44" s="25">
        <v>0.11</v>
      </c>
      <c r="H44" s="26"/>
    </row>
    <row r="45" spans="2:10" x14ac:dyDescent="0.2">
      <c r="B45" s="27" t="s">
        <v>202</v>
      </c>
      <c r="C45" s="23" t="s">
        <v>203</v>
      </c>
      <c r="D45" s="23" t="s">
        <v>204</v>
      </c>
      <c r="E45" s="28">
        <v>700</v>
      </c>
      <c r="F45" s="25">
        <v>18.559999999999999</v>
      </c>
      <c r="G45" s="25">
        <v>0.09</v>
      </c>
      <c r="H45" s="26"/>
    </row>
    <row r="46" spans="2:10" x14ac:dyDescent="0.2">
      <c r="B46" s="27" t="s">
        <v>198</v>
      </c>
      <c r="C46" s="23" t="s">
        <v>199</v>
      </c>
      <c r="D46" s="23" t="s">
        <v>128</v>
      </c>
      <c r="E46" s="28">
        <v>1121</v>
      </c>
      <c r="F46" s="25">
        <v>11.05</v>
      </c>
      <c r="G46" s="25">
        <v>0.05</v>
      </c>
      <c r="H46" s="26"/>
    </row>
    <row r="47" spans="2:10" x14ac:dyDescent="0.2">
      <c r="B47" s="29" t="s">
        <v>114</v>
      </c>
      <c r="C47" s="30"/>
      <c r="D47" s="30"/>
      <c r="E47" s="31"/>
      <c r="F47" s="32">
        <f>SUM(F7:F46)</f>
        <v>3458.7900000000004</v>
      </c>
      <c r="G47" s="32">
        <f>SUM(G7:G46)</f>
        <v>16.979999999999997</v>
      </c>
      <c r="H47" s="33"/>
      <c r="I47" s="14"/>
      <c r="J47" s="14"/>
    </row>
    <row r="48" spans="2:10" x14ac:dyDescent="0.2">
      <c r="B48" s="37" t="s">
        <v>115</v>
      </c>
      <c r="C48" s="37"/>
      <c r="D48" s="37"/>
      <c r="E48" s="38"/>
      <c r="F48" s="39">
        <f>F47</f>
        <v>3458.7900000000004</v>
      </c>
      <c r="G48" s="39">
        <f>G47</f>
        <v>16.979999999999997</v>
      </c>
      <c r="H48" s="15"/>
      <c r="I48" s="14"/>
      <c r="J48" s="14"/>
    </row>
    <row r="49" spans="2:10" x14ac:dyDescent="0.2">
      <c r="B49" s="47" t="s">
        <v>355</v>
      </c>
      <c r="C49" s="41"/>
      <c r="D49" s="41"/>
      <c r="E49" s="42"/>
      <c r="F49" s="43"/>
      <c r="G49" s="43"/>
      <c r="H49" s="43"/>
    </row>
    <row r="50" spans="2:10" x14ac:dyDescent="0.2">
      <c r="B50" s="48" t="s">
        <v>32</v>
      </c>
      <c r="C50" s="23"/>
      <c r="D50" s="23"/>
      <c r="E50" s="24"/>
      <c r="F50" s="25"/>
      <c r="G50" s="25"/>
      <c r="H50" s="25"/>
    </row>
    <row r="51" spans="2:10" x14ac:dyDescent="0.2">
      <c r="B51" s="23" t="s">
        <v>504</v>
      </c>
      <c r="C51" s="23" t="s">
        <v>505</v>
      </c>
      <c r="D51" s="23" t="s">
        <v>361</v>
      </c>
      <c r="E51" s="28">
        <v>150</v>
      </c>
      <c r="F51" s="25">
        <v>1563.23</v>
      </c>
      <c r="G51" s="25">
        <v>7.67</v>
      </c>
      <c r="H51" s="25">
        <v>4.25</v>
      </c>
    </row>
    <row r="52" spans="2:10" x14ac:dyDescent="0.2">
      <c r="B52" s="23" t="s">
        <v>415</v>
      </c>
      <c r="C52" s="23" t="s">
        <v>416</v>
      </c>
      <c r="D52" s="23" t="s">
        <v>361</v>
      </c>
      <c r="E52" s="28">
        <v>150</v>
      </c>
      <c r="F52" s="25">
        <v>1562.36</v>
      </c>
      <c r="G52" s="25">
        <v>7.67</v>
      </c>
      <c r="H52" s="25">
        <v>4.32</v>
      </c>
    </row>
    <row r="53" spans="2:10" x14ac:dyDescent="0.2">
      <c r="B53" s="23" t="s">
        <v>812</v>
      </c>
      <c r="C53" s="23" t="s">
        <v>813</v>
      </c>
      <c r="D53" s="23" t="s">
        <v>361</v>
      </c>
      <c r="E53" s="28">
        <v>150</v>
      </c>
      <c r="F53" s="25">
        <v>1556.72</v>
      </c>
      <c r="G53" s="25">
        <v>7.64</v>
      </c>
      <c r="H53" s="25">
        <v>4.46</v>
      </c>
    </row>
    <row r="54" spans="2:10" x14ac:dyDescent="0.2">
      <c r="B54" s="23" t="s">
        <v>425</v>
      </c>
      <c r="C54" s="23" t="s">
        <v>426</v>
      </c>
      <c r="D54" s="23" t="s">
        <v>361</v>
      </c>
      <c r="E54" s="28">
        <v>140</v>
      </c>
      <c r="F54" s="25">
        <v>1459.79</v>
      </c>
      <c r="G54" s="25">
        <v>7.16</v>
      </c>
      <c r="H54" s="25">
        <v>3.83</v>
      </c>
    </row>
    <row r="55" spans="2:10" x14ac:dyDescent="0.2">
      <c r="B55" s="23" t="s">
        <v>707</v>
      </c>
      <c r="C55" s="23" t="s">
        <v>708</v>
      </c>
      <c r="D55" s="23" t="s">
        <v>361</v>
      </c>
      <c r="E55" s="28">
        <v>100</v>
      </c>
      <c r="F55" s="25">
        <v>1044.32</v>
      </c>
      <c r="G55" s="25">
        <v>5.12</v>
      </c>
      <c r="H55" s="25">
        <v>4.43</v>
      </c>
    </row>
    <row r="56" spans="2:10" x14ac:dyDescent="0.2">
      <c r="B56" s="23" t="s">
        <v>737</v>
      </c>
      <c r="C56" s="23" t="s">
        <v>738</v>
      </c>
      <c r="D56" s="23" t="s">
        <v>361</v>
      </c>
      <c r="E56" s="28">
        <v>100</v>
      </c>
      <c r="F56" s="25">
        <v>1025.3399999999999</v>
      </c>
      <c r="G56" s="25">
        <v>5.03</v>
      </c>
      <c r="H56" s="25">
        <v>4.25</v>
      </c>
    </row>
    <row r="57" spans="2:10" x14ac:dyDescent="0.2">
      <c r="B57" s="30" t="s">
        <v>114</v>
      </c>
      <c r="C57" s="30"/>
      <c r="D57" s="30"/>
      <c r="E57" s="31"/>
      <c r="F57" s="32">
        <f>SUM(F50:F56)</f>
        <v>8211.76</v>
      </c>
      <c r="G57" s="32">
        <f>SUM(G50:G56)</f>
        <v>40.29</v>
      </c>
      <c r="H57" s="49"/>
      <c r="I57" s="14"/>
      <c r="J57" s="14"/>
    </row>
    <row r="58" spans="2:10" x14ac:dyDescent="0.2">
      <c r="B58" s="50" t="s">
        <v>115</v>
      </c>
      <c r="C58" s="50"/>
      <c r="D58" s="50"/>
      <c r="E58" s="51"/>
      <c r="F58" s="52">
        <f>F57</f>
        <v>8211.76</v>
      </c>
      <c r="G58" s="52">
        <f>G57</f>
        <v>40.29</v>
      </c>
      <c r="H58" s="52"/>
      <c r="I58" s="14"/>
      <c r="J58" s="14"/>
    </row>
    <row r="59" spans="2:10" x14ac:dyDescent="0.2">
      <c r="B59" s="48" t="s">
        <v>427</v>
      </c>
      <c r="C59" s="23"/>
      <c r="D59" s="23"/>
      <c r="E59" s="24"/>
      <c r="F59" s="25"/>
      <c r="G59" s="25"/>
      <c r="H59" s="25"/>
    </row>
    <row r="60" spans="2:10" x14ac:dyDescent="0.2">
      <c r="B60" s="23" t="s">
        <v>725</v>
      </c>
      <c r="C60" s="23" t="s">
        <v>726</v>
      </c>
      <c r="D60" s="23" t="s">
        <v>430</v>
      </c>
      <c r="E60" s="28">
        <v>4200000</v>
      </c>
      <c r="F60" s="25">
        <v>4378.72</v>
      </c>
      <c r="G60" s="25">
        <v>21.48</v>
      </c>
      <c r="H60" s="25">
        <v>4.4000000000000004</v>
      </c>
    </row>
    <row r="61" spans="2:10" x14ac:dyDescent="0.2">
      <c r="B61" s="23" t="s">
        <v>597</v>
      </c>
      <c r="C61" s="23" t="s">
        <v>598</v>
      </c>
      <c r="D61" s="23" t="s">
        <v>430</v>
      </c>
      <c r="E61" s="28">
        <v>2200000</v>
      </c>
      <c r="F61" s="25">
        <v>2300.52</v>
      </c>
      <c r="G61" s="25">
        <v>11.29</v>
      </c>
      <c r="H61" s="25">
        <v>4.4000000000000004</v>
      </c>
    </row>
    <row r="62" spans="2:10" x14ac:dyDescent="0.2">
      <c r="B62" s="53" t="s">
        <v>814</v>
      </c>
      <c r="C62" s="53" t="s">
        <v>815</v>
      </c>
      <c r="D62" s="53" t="s">
        <v>430</v>
      </c>
      <c r="E62" s="54">
        <v>220000</v>
      </c>
      <c r="F62" s="55">
        <v>231.51</v>
      </c>
      <c r="G62" s="55">
        <v>1.1399999999999999</v>
      </c>
      <c r="H62" s="55">
        <v>4.1399999999999997</v>
      </c>
    </row>
    <row r="63" spans="2:10" x14ac:dyDescent="0.2">
      <c r="B63" s="56" t="s">
        <v>115</v>
      </c>
      <c r="C63" s="56"/>
      <c r="D63" s="56"/>
      <c r="E63" s="57"/>
      <c r="F63" s="58">
        <f>SUM(F60:F62)</f>
        <v>6910.75</v>
      </c>
      <c r="G63" s="58">
        <f>SUM(G60:G62)</f>
        <v>33.909999999999997</v>
      </c>
      <c r="H63" s="58"/>
      <c r="I63" s="14"/>
      <c r="J63" s="14"/>
    </row>
    <row r="64" spans="2:10" x14ac:dyDescent="0.2">
      <c r="B64" s="48" t="s">
        <v>116</v>
      </c>
      <c r="C64" s="23"/>
      <c r="D64" s="23"/>
      <c r="E64" s="24"/>
      <c r="F64" s="25"/>
      <c r="G64" s="25"/>
      <c r="H64" s="25"/>
    </row>
    <row r="65" spans="2:10" x14ac:dyDescent="0.2">
      <c r="B65" s="23" t="s">
        <v>116</v>
      </c>
      <c r="C65" s="23"/>
      <c r="D65" s="23"/>
      <c r="E65" s="24"/>
      <c r="F65" s="25">
        <v>1057.83</v>
      </c>
      <c r="G65" s="25">
        <v>5.19</v>
      </c>
      <c r="H65" s="25"/>
    </row>
    <row r="66" spans="2:10" x14ac:dyDescent="0.2">
      <c r="B66" s="30" t="s">
        <v>114</v>
      </c>
      <c r="C66" s="30"/>
      <c r="D66" s="30"/>
      <c r="E66" s="31"/>
      <c r="F66" s="32">
        <f>SUM(F64:F65)</f>
        <v>1057.83</v>
      </c>
      <c r="G66" s="32">
        <f>SUM(G64:G65)</f>
        <v>5.19</v>
      </c>
      <c r="H66" s="49"/>
      <c r="I66" s="14"/>
      <c r="J66" s="14"/>
    </row>
    <row r="67" spans="2:10" x14ac:dyDescent="0.2">
      <c r="B67" s="34" t="s">
        <v>115</v>
      </c>
      <c r="C67" s="34"/>
      <c r="D67" s="34"/>
      <c r="E67" s="35"/>
      <c r="F67" s="36">
        <f>F66</f>
        <v>1057.83</v>
      </c>
      <c r="G67" s="36">
        <f>G66</f>
        <v>5.19</v>
      </c>
      <c r="H67" s="36"/>
      <c r="I67" s="14"/>
      <c r="J67" s="14"/>
    </row>
    <row r="68" spans="2:10" x14ac:dyDescent="0.2">
      <c r="B68" s="45" t="s">
        <v>118</v>
      </c>
      <c r="C68" s="45"/>
      <c r="D68" s="45"/>
      <c r="E68" s="46"/>
      <c r="F68" s="16">
        <f>F69-(+F48+F58+F63+F67)</f>
        <v>743.85999999999694</v>
      </c>
      <c r="G68" s="16">
        <f>G69-(+G48+G58+G63+G67)</f>
        <v>3.6300000000000097</v>
      </c>
      <c r="H68" s="16"/>
      <c r="I68" s="14"/>
      <c r="J68" s="14"/>
    </row>
    <row r="69" spans="2:10" x14ac:dyDescent="0.2">
      <c r="B69" s="45" t="s">
        <v>117</v>
      </c>
      <c r="C69" s="45"/>
      <c r="D69" s="45"/>
      <c r="E69" s="46"/>
      <c r="F69" s="16">
        <v>20382.990000000002</v>
      </c>
      <c r="G69" s="16">
        <v>100</v>
      </c>
      <c r="H69" s="16"/>
      <c r="I69" s="14"/>
      <c r="J69" s="14"/>
    </row>
    <row r="71" spans="2:10" x14ac:dyDescent="0.2">
      <c r="B71" s="14" t="s">
        <v>816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Riskometer</vt:lpstr>
      <vt:lpstr>CRI</vt:lpstr>
      <vt:lpstr>CREDF</vt:lpstr>
      <vt:lpstr>CRETSF</vt:lpstr>
      <vt:lpstr>CREE</vt:lpstr>
      <vt:lpstr>CRCTF</vt:lpstr>
      <vt:lpstr>CRBCEF</vt:lpstr>
      <vt:lpstr>CRSCF</vt:lpstr>
      <vt:lpstr>CREHF</vt:lpstr>
      <vt:lpstr>CRDBF</vt:lpstr>
      <vt:lpstr>CRGILT</vt:lpstr>
      <vt:lpstr>CRINC</vt:lpstr>
      <vt:lpstr>CRSF</vt:lpstr>
      <vt:lpstr>CRCHF</vt:lpstr>
      <vt:lpstr>CRG1988</vt:lpstr>
      <vt:lpstr>CRL</vt:lpstr>
      <vt:lpstr>CRUSTF</vt:lpstr>
      <vt:lpstr>CROF</vt:lpstr>
      <vt:lpstr>CRSDF</vt:lpstr>
      <vt:lpstr>CRCBF</vt:lpstr>
      <vt:lpstr>CRCPOF9</vt:lpstr>
      <vt:lpstr>CRDAF1</vt:lpstr>
      <vt:lpstr>CRFMP8</vt:lpstr>
      <vt:lpstr>CRCPOF10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2021-02-09T10:33:12Z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Source">
    <vt:lpwstr>Internal</vt:lpwstr>
  </property>
  <property fmtid="{D5CDD505-2E9C-101B-9397-08002B2CF9AE}" pid="4" name="Footers">
    <vt:lpwstr>Footers</vt:lpwstr>
  </property>
  <property fmtid="{D5CDD505-2E9C-101B-9397-08002B2CF9AE}" pid="5" name="DocClassification">
    <vt:lpwstr>CLAPUBLIC</vt:lpwstr>
  </property>
</Properties>
</file>