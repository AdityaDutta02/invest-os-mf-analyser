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December 2022\"/>
    </mc:Choice>
  </mc:AlternateContent>
  <bookViews>
    <workbookView xWindow="0" yWindow="0" windowWidth="20490" windowHeight="7620"/>
  </bookViews>
  <sheets>
    <sheet name="CY" sheetId="1" r:id="rId1"/>
  </sheets>
  <calcPr calcId="162913" calcMode="manual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3" i="1" l="1"/>
  <c r="G44" i="1" s="1"/>
  <c r="F43" i="1"/>
  <c r="F44" i="1" s="1"/>
  <c r="G40" i="1"/>
  <c r="F40" i="1"/>
  <c r="G29" i="1"/>
  <c r="F29" i="1"/>
  <c r="G26" i="1"/>
  <c r="G30" i="1" s="1"/>
  <c r="F26" i="1"/>
  <c r="F30" i="1" s="1"/>
  <c r="G20" i="1"/>
  <c r="G21" i="1" s="1"/>
  <c r="G45" i="1" s="1"/>
  <c r="F20" i="1"/>
  <c r="F21" i="1" s="1"/>
  <c r="F45" i="1" s="1"/>
</calcChain>
</file>

<file path=xl/sharedStrings.xml><?xml version="1.0" encoding="utf-8"?>
<sst xmlns="http://schemas.openxmlformats.org/spreadsheetml/2006/main" count="118" uniqueCount="93">
  <si>
    <t>CANARA ROBECO SHORT DURATION FUND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</si>
  <si>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</si>
  <si>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</si>
  <si>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</si>
  <si>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</si>
  <si>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</si>
  <si>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</si>
  <si>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</si>
  <si>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</si>
  <si>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Dec'22</t>
  </si>
  <si>
    <t>Benchmark Risk-o-meter Level- Dec'22</t>
  </si>
  <si>
    <t>Previous Scheme Risk-o-meter Level- Nov'22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</si>
  <si>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</si>
  <si>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</si>
  <si>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</si>
  <si>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</si>
  <si>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</si>
  <si>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</si>
  <si>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</si>
  <si>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</si>
  <si>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7.99% Housing Development Finance Corporation Ltd (11/07/2024) **</t>
  </si>
  <si>
    <t>INE001A07RV7</t>
  </si>
  <si>
    <t>CRISIL AAA</t>
  </si>
  <si>
    <t>Relatively Low (Class I)</t>
  </si>
  <si>
    <t>5.32% National Housing Bank (01/09/2023) **</t>
  </si>
  <si>
    <t>INE557F08FK3</t>
  </si>
  <si>
    <t>5.84% Bajaj Housing Finance Ltd (21/02/2024) **</t>
  </si>
  <si>
    <t>INE377Y07292</t>
  </si>
  <si>
    <t>Moderate 
(Class II)</t>
  </si>
  <si>
    <t>B-II</t>
  </si>
  <si>
    <t>5.00% Kotak Mahindra Prime Ltd (20/12/2023) **</t>
  </si>
  <si>
    <t>INE916DA7QS2</t>
  </si>
  <si>
    <t>4.57% Ultratech Cement Ltd (29/12/2023) **</t>
  </si>
  <si>
    <t>INE481G08099</t>
  </si>
  <si>
    <t>Relatively High (Class III)</t>
  </si>
  <si>
    <t>6.00% Bajaj Finance Ltd (10/09/2024) **</t>
  </si>
  <si>
    <t>INE296A07RK6</t>
  </si>
  <si>
    <t>5.70% National Bank For Agriculture &amp; Rural Development (31/07/2025) **</t>
  </si>
  <si>
    <t>INE261F08DK7</t>
  </si>
  <si>
    <t>Benchmark: CRISIL Short Duration Fund B-II Index</t>
  </si>
  <si>
    <t>7.16% Power Finance Corporation Ltd (24/04/2025) **</t>
  </si>
  <si>
    <t>INE134E08KP3</t>
  </si>
  <si>
    <t>4.58% Small Industries Development Bank Of India (18/12/2023) **</t>
  </si>
  <si>
    <t>INE556F08JR2</t>
  </si>
  <si>
    <t>ICRA AAA</t>
  </si>
  <si>
    <t>7.79% LIC Housing Finance Ltd (18/10/2024) **</t>
  </si>
  <si>
    <t>INE115A07OM1</t>
  </si>
  <si>
    <t>7.40% LIC Housing Finance Ltd (06/09/2024) **</t>
  </si>
  <si>
    <t>INE115A07ML7</t>
  </si>
  <si>
    <t>5.42% HDB Financial Services Ltd (17/01/2024) **</t>
  </si>
  <si>
    <t>INE756I07EA1</t>
  </si>
  <si>
    <t>7.42% Power Finance Corporation Ltd (19/11/2024) **</t>
  </si>
  <si>
    <t>INE134E08KH0</t>
  </si>
  <si>
    <t>Sub Total</t>
  </si>
  <si>
    <t>Total</t>
  </si>
  <si>
    <t>Money Market Instruments</t>
  </si>
  <si>
    <t>Certificate of Deposit</t>
  </si>
  <si>
    <t xml:space="preserve">Kotak Mahindra Bank Ltd (08/09/2023) ** </t>
  </si>
  <si>
    <t>INE237A163Q9</t>
  </si>
  <si>
    <t>CRISIL A1+</t>
  </si>
  <si>
    <t xml:space="preserve">ICICI Bank Ltd (11/09/2023) ** </t>
  </si>
  <si>
    <t>INE090A161Y3</t>
  </si>
  <si>
    <t>ICRA A1+</t>
  </si>
  <si>
    <t>Commercial Paper</t>
  </si>
  <si>
    <t>Reliance Jio Infocomm Ltd (29/09/2023) ** #</t>
  </si>
  <si>
    <t>INE110L14RD7</t>
  </si>
  <si>
    <t>CARE A1+</t>
  </si>
  <si>
    <t>Government Bonds</t>
  </si>
  <si>
    <t>5.63% INDIA GOVERNMENT 12-APR-26</t>
  </si>
  <si>
    <t>IN0020210012</t>
  </si>
  <si>
    <t>Sovereign</t>
  </si>
  <si>
    <t>5.22% INDIA GOVERNMENT 15-JUN-25</t>
  </si>
  <si>
    <t>IN0020200112</t>
  </si>
  <si>
    <t>7.32% INDIA GOVERNMENT 28-JAN-24</t>
  </si>
  <si>
    <t>IN0020180488</t>
  </si>
  <si>
    <t>6.69% GOI 27-JUN-24</t>
  </si>
  <si>
    <t>IN0020220052</t>
  </si>
  <si>
    <t>7.59% INDIA GOVERNMENT 11-JAN-26</t>
  </si>
  <si>
    <t>IN0020150093</t>
  </si>
  <si>
    <t>7.38% GOI 20-JUN-27</t>
  </si>
  <si>
    <t>IN0020220037</t>
  </si>
  <si>
    <t>7.58% TAMIL NADU SDL 24-AUG-26</t>
  </si>
  <si>
    <t>IN3120160095</t>
  </si>
  <si>
    <t>7.86% Karnataka SDL 15-Mar-27</t>
  </si>
  <si>
    <t>IN1920160117</t>
  </si>
  <si>
    <t>TREPS</t>
  </si>
  <si>
    <t>Net Receivables / (Payables)</t>
  </si>
  <si>
    <t>Grand Total</t>
  </si>
  <si>
    <t>**  Non Traded Security</t>
  </si>
  <si>
    <t>#  Unlisted Security</t>
  </si>
  <si>
    <t>Residual Maturity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</si>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</sst>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0" xfId="0" applyFont="1" applyFill="1" applyBorder="1"/>
    <xf numFmtId="0" fontId="3" fillId="3" borderId="10" xfId="0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3" fontId="3" fillId="3" borderId="10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4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0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5" xfId="0" applyFont="1" applyFill="1" applyBorder="1"/>
    <xf numFmtId="4" fontId="9" fillId="3" borderId="5" xfId="0" applyNumberFormat="1" applyFont="1" applyFill="1" applyBorder="1"/>
    <xf numFmtId="49" fontId="10" fillId="5" borderId="19" xfId="0" applyNumberFormat="1" applyFont="1" applyFill="1" applyBorder="1"/>
    <xf numFmtId="2" fontId="10" fillId="0" borderId="20" xfId="0" applyNumberFormat="1" applyFont="1" applyBorder="1" applyAlignment="1">
      <alignment horizontal="right"/>
    </xf>
    <xf numFmtId="0" fontId="6" fillId="3" borderId="0" xfId="0" applyFont="1" applyFill="1"/>
    <xf numFmtId="10" fontId="10" fillId="0" borderId="20" xfId="2" applyNumberFormat="1" applyFont="1" applyBorder="1" applyAlignment="1">
      <alignment horizontal="right"/>
    </xf>
    <xf numFmtId="2" fontId="10" fillId="0" borderId="20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95250</xdr:colOff>
      <xdr:row>4</xdr:row>
      <xdr:rowOff>66675</xdr:rowOff>
    </xdr:from>
    <xdr:ext cx="1819275" cy="147290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72650" y="1076325"/>
          <a:ext cx="1819275" cy="1472908"/>
        </a:xfrm>
        <a:prstGeom prst="rect">
          <a:avLst/>
        </a:prstGeom>
      </xdr:spPr>
    </xdr:pic>
    <xdr:clientData/>
  </xdr:oneCellAnchor>
  <xdr:twoCellAnchor editAs="oneCell">
    <xdr:from>
      <xdr:col>10</xdr:col>
      <xdr:colOff>171450</xdr:colOff>
      <xdr:row>4</xdr:row>
      <xdr:rowOff>62747</xdr:rowOff>
    </xdr:from>
    <xdr:to>
      <xdr:col>10</xdr:col>
      <xdr:colOff>1885950</xdr:colOff>
      <xdr:row>11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77700" y="1072397"/>
          <a:ext cx="1714500" cy="1537453"/>
        </a:xfrm>
        <a:prstGeom prst="rect">
          <a:avLst/>
        </a:prstGeom>
      </xdr:spPr>
    </xdr:pic>
    <xdr:clientData/>
  </xdr:twoCellAnchor>
  <xdr:oneCellAnchor>
    <xdr:from>
      <xdr:col>11</xdr:col>
      <xdr:colOff>95250</xdr:colOff>
      <xdr:row>4</xdr:row>
      <xdr:rowOff>66675</xdr:rowOff>
    </xdr:from>
    <xdr:ext cx="1819275" cy="1472908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87475" y="1076325"/>
          <a:ext cx="1819275" cy="14729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8"/>
  <sheetViews>
    <sheetView tabSelected="1" workbookViewId="0"/>
  </sheetViews>
  <sheetFormatPr defaultRowHeight="12"/>
  <cols>
    <col min="1" max="1" width="9.140625" style="3"/>
    <col min="2" max="2" width="60.85546875" style="3" bestFit="1" customWidth="1"/>
    <col min="3" max="3" width="13.7109375" style="3" bestFit="1" customWidth="1"/>
    <col min="4" max="4" width="14.140625" style="3" bestFit="1" customWidth="1"/>
    <col min="5" max="5" width="8.85546875" style="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3.42578125" style="4" customWidth="1"/>
    <col min="11" max="11" width="31.28515625" style="4" customWidth="1"/>
    <col min="12" max="12" width="33.42578125" style="4" customWidth="1"/>
    <col min="13" max="13" width="4.7109375" style="4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>
      <c r="B6" s="24" t="s">
        <v>18</v>
      </c>
      <c r="C6" s="25"/>
      <c r="D6" s="25"/>
      <c r="E6" s="25"/>
      <c r="F6" s="26"/>
      <c r="G6" s="26"/>
      <c r="H6" s="26"/>
      <c r="J6" s="21"/>
      <c r="K6" s="21"/>
      <c r="L6" s="21"/>
      <c r="N6" s="27" t="s">
        <v>19</v>
      </c>
      <c r="O6" s="23"/>
      <c r="P6" s="23"/>
      <c r="Q6" s="23"/>
    </row>
    <row r="7" spans="2:17">
      <c r="B7" s="25" t="s">
        <v>20</v>
      </c>
      <c r="C7" s="25" t="s">
        <v>21</v>
      </c>
      <c r="D7" s="25" t="s">
        <v>22</v>
      </c>
      <c r="E7" s="28">
        <v>400</v>
      </c>
      <c r="F7" s="26">
        <v>4010.62</v>
      </c>
      <c r="G7" s="26">
        <v>7.3</v>
      </c>
      <c r="H7" s="26">
        <v>7.75</v>
      </c>
      <c r="J7" s="21"/>
      <c r="K7" s="21"/>
      <c r="L7" s="21"/>
      <c r="N7" s="29" t="s">
        <v>23</v>
      </c>
      <c r="O7" s="30"/>
      <c r="P7" s="30"/>
      <c r="Q7" s="30"/>
    </row>
    <row r="8" spans="2:17">
      <c r="B8" s="25" t="s">
        <v>24</v>
      </c>
      <c r="C8" s="25" t="s">
        <v>25</v>
      </c>
      <c r="D8" s="25" t="s">
        <v>22</v>
      </c>
      <c r="E8" s="28">
        <v>250</v>
      </c>
      <c r="F8" s="26">
        <v>2466.92</v>
      </c>
      <c r="G8" s="26">
        <v>4.49</v>
      </c>
      <c r="H8" s="26">
        <v>7.41</v>
      </c>
      <c r="J8" s="21"/>
      <c r="K8" s="21"/>
      <c r="L8" s="21"/>
      <c r="N8" s="29"/>
      <c r="O8" s="31"/>
      <c r="P8" s="31"/>
      <c r="Q8" s="31"/>
    </row>
    <row r="9" spans="2:17">
      <c r="B9" s="25" t="s">
        <v>26</v>
      </c>
      <c r="C9" s="25" t="s">
        <v>27</v>
      </c>
      <c r="D9" s="25" t="s">
        <v>22</v>
      </c>
      <c r="E9" s="28">
        <v>250</v>
      </c>
      <c r="F9" s="26">
        <v>2450.5300000000002</v>
      </c>
      <c r="G9" s="26">
        <v>4.46</v>
      </c>
      <c r="H9" s="26">
        <v>7.69</v>
      </c>
      <c r="J9" s="21"/>
      <c r="K9" s="21"/>
      <c r="L9" s="21"/>
      <c r="N9" s="29" t="s">
        <v>28</v>
      </c>
      <c r="O9" s="30"/>
      <c r="P9" s="32" t="s">
        <v>29</v>
      </c>
      <c r="Q9" s="30"/>
    </row>
    <row r="10" spans="2:17">
      <c r="B10" s="25" t="s">
        <v>30</v>
      </c>
      <c r="C10" s="25" t="s">
        <v>31</v>
      </c>
      <c r="D10" s="25" t="s">
        <v>22</v>
      </c>
      <c r="E10" s="28">
        <v>250</v>
      </c>
      <c r="F10" s="26">
        <v>2438.15</v>
      </c>
      <c r="G10" s="26">
        <v>4.4400000000000004</v>
      </c>
      <c r="H10" s="26">
        <v>7.74</v>
      </c>
      <c r="J10" s="21"/>
      <c r="K10" s="21"/>
      <c r="L10" s="21"/>
      <c r="N10" s="29"/>
      <c r="O10" s="31"/>
      <c r="P10" s="33"/>
      <c r="Q10" s="31"/>
    </row>
    <row r="11" spans="2:17">
      <c r="B11" s="25" t="s">
        <v>32</v>
      </c>
      <c r="C11" s="25" t="s">
        <v>33</v>
      </c>
      <c r="D11" s="25" t="s">
        <v>22</v>
      </c>
      <c r="E11" s="28">
        <v>250</v>
      </c>
      <c r="F11" s="26">
        <v>2431.7600000000002</v>
      </c>
      <c r="G11" s="26">
        <v>4.43</v>
      </c>
      <c r="H11" s="26">
        <v>7.53</v>
      </c>
      <c r="J11" s="21"/>
      <c r="K11" s="21"/>
      <c r="L11" s="21"/>
      <c r="N11" s="29" t="s">
        <v>34</v>
      </c>
      <c r="O11" s="30"/>
      <c r="P11" s="30"/>
      <c r="Q11" s="30"/>
    </row>
    <row r="12" spans="2:17">
      <c r="B12" s="25" t="s">
        <v>35</v>
      </c>
      <c r="C12" s="25" t="s">
        <v>36</v>
      </c>
      <c r="D12" s="25" t="s">
        <v>22</v>
      </c>
      <c r="E12" s="28">
        <v>250</v>
      </c>
      <c r="F12" s="26">
        <v>2428.89</v>
      </c>
      <c r="G12" s="26">
        <v>4.42</v>
      </c>
      <c r="H12" s="26">
        <v>7.83</v>
      </c>
      <c r="J12" s="21"/>
      <c r="K12" s="21"/>
      <c r="L12" s="21"/>
      <c r="N12" s="29"/>
      <c r="O12" s="31"/>
      <c r="P12" s="31"/>
      <c r="Q12" s="31"/>
    </row>
    <row r="13" spans="2:17">
      <c r="B13" s="25" t="s">
        <v>37</v>
      </c>
      <c r="C13" s="25" t="s">
        <v>38</v>
      </c>
      <c r="D13" s="25" t="s">
        <v>22</v>
      </c>
      <c r="E13" s="28">
        <v>250</v>
      </c>
      <c r="F13" s="26">
        <v>2392.83</v>
      </c>
      <c r="G13" s="26">
        <v>4.3600000000000003</v>
      </c>
      <c r="H13" s="26">
        <v>7.57</v>
      </c>
      <c r="J13" s="34"/>
      <c r="K13" s="34" t="s">
        <v>39</v>
      </c>
    </row>
    <row r="14" spans="2:17">
      <c r="B14" s="25" t="s">
        <v>40</v>
      </c>
      <c r="C14" s="25" t="s">
        <v>41</v>
      </c>
      <c r="D14" s="25" t="s">
        <v>22</v>
      </c>
      <c r="E14" s="28">
        <v>200</v>
      </c>
      <c r="F14" s="26">
        <v>1983.71</v>
      </c>
      <c r="G14" s="26">
        <v>3.61</v>
      </c>
      <c r="H14" s="26">
        <v>7.53</v>
      </c>
    </row>
    <row r="15" spans="2:17">
      <c r="B15" s="25" t="s">
        <v>42</v>
      </c>
      <c r="C15" s="25" t="s">
        <v>43</v>
      </c>
      <c r="D15" s="25" t="s">
        <v>44</v>
      </c>
      <c r="E15" s="28">
        <v>200</v>
      </c>
      <c r="F15" s="26">
        <v>1948.08</v>
      </c>
      <c r="G15" s="26">
        <v>3.55</v>
      </c>
      <c r="H15" s="26">
        <v>7.46</v>
      </c>
    </row>
    <row r="16" spans="2:17">
      <c r="B16" s="25" t="s">
        <v>45</v>
      </c>
      <c r="C16" s="25" t="s">
        <v>46</v>
      </c>
      <c r="D16" s="25" t="s">
        <v>22</v>
      </c>
      <c r="E16" s="28">
        <v>150</v>
      </c>
      <c r="F16" s="26">
        <v>1498.93</v>
      </c>
      <c r="G16" s="26">
        <v>2.73</v>
      </c>
      <c r="H16" s="26">
        <v>7.81</v>
      </c>
    </row>
    <row r="17" spans="2:9">
      <c r="B17" s="25" t="s">
        <v>47</v>
      </c>
      <c r="C17" s="25" t="s">
        <v>48</v>
      </c>
      <c r="D17" s="25" t="s">
        <v>22</v>
      </c>
      <c r="E17" s="28">
        <v>150</v>
      </c>
      <c r="F17" s="26">
        <v>1490.79</v>
      </c>
      <c r="G17" s="26">
        <v>2.71</v>
      </c>
      <c r="H17" s="26">
        <v>7.77</v>
      </c>
    </row>
    <row r="18" spans="2:9">
      <c r="B18" s="25" t="s">
        <v>49</v>
      </c>
      <c r="C18" s="25" t="s">
        <v>50</v>
      </c>
      <c r="D18" s="25" t="s">
        <v>22</v>
      </c>
      <c r="E18" s="28">
        <v>150</v>
      </c>
      <c r="F18" s="26">
        <v>1465.5</v>
      </c>
      <c r="G18" s="26">
        <v>2.67</v>
      </c>
      <c r="H18" s="26">
        <v>7.79</v>
      </c>
    </row>
    <row r="19" spans="2:9">
      <c r="B19" s="25" t="s">
        <v>51</v>
      </c>
      <c r="C19" s="25" t="s">
        <v>52</v>
      </c>
      <c r="D19" s="25" t="s">
        <v>22</v>
      </c>
      <c r="E19" s="28">
        <v>100</v>
      </c>
      <c r="F19" s="26">
        <v>998.62</v>
      </c>
      <c r="G19" s="26">
        <v>1.82</v>
      </c>
      <c r="H19" s="26">
        <v>7.49</v>
      </c>
    </row>
    <row r="20" spans="2:9">
      <c r="B20" s="35" t="s">
        <v>53</v>
      </c>
      <c r="C20" s="35"/>
      <c r="D20" s="35"/>
      <c r="E20" s="35"/>
      <c r="F20" s="36">
        <f>SUM(F6:F19)</f>
        <v>28005.329999999998</v>
      </c>
      <c r="G20" s="36">
        <f>SUM(G6:G19)</f>
        <v>50.989999999999995</v>
      </c>
      <c r="H20" s="37"/>
      <c r="I20" s="38"/>
    </row>
    <row r="21" spans="2:9">
      <c r="B21" s="39" t="s">
        <v>54</v>
      </c>
      <c r="C21" s="39"/>
      <c r="D21" s="39"/>
      <c r="E21" s="39"/>
      <c r="F21" s="40">
        <f>F20</f>
        <v>28005.329999999998</v>
      </c>
      <c r="G21" s="40">
        <f>G20</f>
        <v>50.989999999999995</v>
      </c>
      <c r="H21" s="40"/>
      <c r="I21" s="38"/>
    </row>
    <row r="22" spans="2:9">
      <c r="B22" s="24" t="s">
        <v>55</v>
      </c>
      <c r="C22" s="25"/>
      <c r="D22" s="25"/>
      <c r="E22" s="25"/>
      <c r="F22" s="26"/>
      <c r="G22" s="26"/>
      <c r="H22" s="26"/>
    </row>
    <row r="23" spans="2:9">
      <c r="B23" s="24" t="s">
        <v>56</v>
      </c>
      <c r="C23" s="25"/>
      <c r="D23" s="25"/>
      <c r="E23" s="25"/>
      <c r="F23" s="26"/>
      <c r="G23" s="26"/>
      <c r="H23" s="26"/>
    </row>
    <row r="24" spans="2:9">
      <c r="B24" s="25" t="s">
        <v>57</v>
      </c>
      <c r="C24" s="25" t="s">
        <v>58</v>
      </c>
      <c r="D24" s="25" t="s">
        <v>59</v>
      </c>
      <c r="E24" s="28">
        <v>500</v>
      </c>
      <c r="F24" s="26">
        <v>2379.09</v>
      </c>
      <c r="G24" s="26">
        <v>4.33</v>
      </c>
      <c r="H24" s="26">
        <v>7.42</v>
      </c>
    </row>
    <row r="25" spans="2:9">
      <c r="B25" s="25" t="s">
        <v>60</v>
      </c>
      <c r="C25" s="25" t="s">
        <v>61</v>
      </c>
      <c r="D25" s="25" t="s">
        <v>62</v>
      </c>
      <c r="E25" s="28">
        <v>300</v>
      </c>
      <c r="F25" s="26">
        <v>1426.72</v>
      </c>
      <c r="G25" s="26">
        <v>2.6</v>
      </c>
      <c r="H25" s="26">
        <v>7.41</v>
      </c>
    </row>
    <row r="26" spans="2:9">
      <c r="B26" s="24" t="s">
        <v>53</v>
      </c>
      <c r="C26" s="24"/>
      <c r="D26" s="24"/>
      <c r="E26" s="24"/>
      <c r="F26" s="41">
        <f>SUM(F23:F25)</f>
        <v>3805.8100000000004</v>
      </c>
      <c r="G26" s="41">
        <f>SUM(G23:G25)</f>
        <v>6.93</v>
      </c>
      <c r="H26" s="42"/>
      <c r="I26" s="38"/>
    </row>
    <row r="27" spans="2:9">
      <c r="B27" s="24" t="s">
        <v>63</v>
      </c>
      <c r="C27" s="25"/>
      <c r="D27" s="25"/>
      <c r="E27" s="25"/>
      <c r="F27" s="26"/>
      <c r="G27" s="26"/>
      <c r="H27" s="26"/>
    </row>
    <row r="28" spans="2:9">
      <c r="B28" s="25" t="s">
        <v>64</v>
      </c>
      <c r="C28" s="25" t="s">
        <v>65</v>
      </c>
      <c r="D28" s="25" t="s">
        <v>66</v>
      </c>
      <c r="E28" s="28">
        <v>500</v>
      </c>
      <c r="F28" s="26">
        <v>2367.7199999999998</v>
      </c>
      <c r="G28" s="26">
        <v>4.3099999999999996</v>
      </c>
      <c r="H28" s="26">
        <v>7.53</v>
      </c>
    </row>
    <row r="29" spans="2:9">
      <c r="B29" s="35" t="s">
        <v>53</v>
      </c>
      <c r="C29" s="35"/>
      <c r="D29" s="35"/>
      <c r="E29" s="35"/>
      <c r="F29" s="36">
        <f>SUM(F27:F28)</f>
        <v>2367.7199999999998</v>
      </c>
      <c r="G29" s="36">
        <f>SUM(G27:G28)</f>
        <v>4.3099999999999996</v>
      </c>
      <c r="H29" s="37"/>
      <c r="I29" s="38"/>
    </row>
    <row r="30" spans="2:9">
      <c r="B30" s="39" t="s">
        <v>54</v>
      </c>
      <c r="C30" s="39"/>
      <c r="D30" s="39"/>
      <c r="E30" s="39"/>
      <c r="F30" s="40">
        <f>F26+F29</f>
        <v>6173.5300000000007</v>
      </c>
      <c r="G30" s="40">
        <f>G26+G29</f>
        <v>11.239999999999998</v>
      </c>
      <c r="H30" s="40"/>
      <c r="I30" s="38"/>
    </row>
    <row r="31" spans="2:9">
      <c r="B31" s="24" t="s">
        <v>67</v>
      </c>
      <c r="C31" s="25"/>
      <c r="D31" s="25"/>
      <c r="E31" s="25"/>
      <c r="F31" s="26"/>
      <c r="G31" s="26"/>
      <c r="H31" s="26"/>
    </row>
    <row r="32" spans="2:9">
      <c r="B32" s="25" t="s">
        <v>68</v>
      </c>
      <c r="C32" s="25" t="s">
        <v>69</v>
      </c>
      <c r="D32" s="25" t="s">
        <v>70</v>
      </c>
      <c r="E32" s="28">
        <v>5000000</v>
      </c>
      <c r="F32" s="26">
        <v>4782.03</v>
      </c>
      <c r="G32" s="26">
        <v>8.6999999999999993</v>
      </c>
      <c r="H32" s="26">
        <v>7.27</v>
      </c>
    </row>
    <row r="33" spans="2:9">
      <c r="B33" s="25" t="s">
        <v>71</v>
      </c>
      <c r="C33" s="25" t="s">
        <v>72</v>
      </c>
      <c r="D33" s="25" t="s">
        <v>70</v>
      </c>
      <c r="E33" s="28">
        <v>3500000</v>
      </c>
      <c r="F33" s="26">
        <v>3359.3</v>
      </c>
      <c r="G33" s="26">
        <v>6.11</v>
      </c>
      <c r="H33" s="26">
        <v>7.15</v>
      </c>
    </row>
    <row r="34" spans="2:9">
      <c r="B34" s="25" t="s">
        <v>73</v>
      </c>
      <c r="C34" s="25" t="s">
        <v>74</v>
      </c>
      <c r="D34" s="25" t="s">
        <v>70</v>
      </c>
      <c r="E34" s="28">
        <v>2500000</v>
      </c>
      <c r="F34" s="26">
        <v>2509.42</v>
      </c>
      <c r="G34" s="26">
        <v>4.57</v>
      </c>
      <c r="H34" s="26">
        <v>7.06</v>
      </c>
    </row>
    <row r="35" spans="2:9">
      <c r="B35" s="25" t="s">
        <v>75</v>
      </c>
      <c r="C35" s="25" t="s">
        <v>76</v>
      </c>
      <c r="D35" s="25" t="s">
        <v>70</v>
      </c>
      <c r="E35" s="28">
        <v>2500000</v>
      </c>
      <c r="F35" s="26">
        <v>2490.15</v>
      </c>
      <c r="G35" s="26">
        <v>4.53</v>
      </c>
      <c r="H35" s="26">
        <v>7.09</v>
      </c>
    </row>
    <row r="36" spans="2:9">
      <c r="B36" s="25" t="s">
        <v>77</v>
      </c>
      <c r="C36" s="25" t="s">
        <v>78</v>
      </c>
      <c r="D36" s="25" t="s">
        <v>70</v>
      </c>
      <c r="E36" s="28">
        <v>2000000</v>
      </c>
      <c r="F36" s="26">
        <v>2024.18</v>
      </c>
      <c r="G36" s="26">
        <v>3.68</v>
      </c>
      <c r="H36" s="26">
        <v>7.27</v>
      </c>
    </row>
    <row r="37" spans="2:9">
      <c r="B37" s="25" t="s">
        <v>79</v>
      </c>
      <c r="C37" s="25" t="s">
        <v>80</v>
      </c>
      <c r="D37" s="25" t="s">
        <v>70</v>
      </c>
      <c r="E37" s="28">
        <v>2000000</v>
      </c>
      <c r="F37" s="26">
        <v>2011.47</v>
      </c>
      <c r="G37" s="26">
        <v>3.66</v>
      </c>
      <c r="H37" s="26">
        <v>7.36</v>
      </c>
    </row>
    <row r="38" spans="2:9">
      <c r="B38" s="25" t="s">
        <v>81</v>
      </c>
      <c r="C38" s="25" t="s">
        <v>82</v>
      </c>
      <c r="D38" s="25" t="s">
        <v>70</v>
      </c>
      <c r="E38" s="28">
        <v>500000</v>
      </c>
      <c r="F38" s="26">
        <v>503.74</v>
      </c>
      <c r="G38" s="26">
        <v>0.92</v>
      </c>
      <c r="H38" s="26">
        <v>7.47</v>
      </c>
    </row>
    <row r="39" spans="2:9">
      <c r="B39" s="43" t="s">
        <v>83</v>
      </c>
      <c r="C39" s="43" t="s">
        <v>84</v>
      </c>
      <c r="D39" s="43" t="s">
        <v>70</v>
      </c>
      <c r="E39" s="44">
        <v>28300</v>
      </c>
      <c r="F39" s="45">
        <v>28.78</v>
      </c>
      <c r="G39" s="45">
        <v>0.05</v>
      </c>
      <c r="H39" s="45">
        <v>7.52</v>
      </c>
    </row>
    <row r="40" spans="2:9">
      <c r="B40" s="46" t="s">
        <v>54</v>
      </c>
      <c r="C40" s="46"/>
      <c r="D40" s="46"/>
      <c r="E40" s="46"/>
      <c r="F40" s="41">
        <f>SUM(F32:F39)</f>
        <v>17709.07</v>
      </c>
      <c r="G40" s="41">
        <f>SUM(G32:G39)</f>
        <v>32.22</v>
      </c>
      <c r="H40" s="41"/>
      <c r="I40" s="38"/>
    </row>
    <row r="41" spans="2:9">
      <c r="B41" s="24" t="s">
        <v>85</v>
      </c>
      <c r="C41" s="25"/>
      <c r="D41" s="25"/>
      <c r="E41" s="25"/>
      <c r="F41" s="26"/>
      <c r="G41" s="26"/>
      <c r="H41" s="26"/>
    </row>
    <row r="42" spans="2:9">
      <c r="B42" s="25" t="s">
        <v>85</v>
      </c>
      <c r="C42" s="25"/>
      <c r="D42" s="25"/>
      <c r="E42" s="25"/>
      <c r="F42" s="26">
        <v>2085.75</v>
      </c>
      <c r="G42" s="26">
        <v>3.8</v>
      </c>
      <c r="H42" s="26"/>
    </row>
    <row r="43" spans="2:9">
      <c r="B43" s="35" t="s">
        <v>53</v>
      </c>
      <c r="C43" s="35"/>
      <c r="D43" s="35"/>
      <c r="E43" s="35"/>
      <c r="F43" s="36">
        <f>SUM(F41:F42)</f>
        <v>2085.75</v>
      </c>
      <c r="G43" s="36">
        <f>SUM(G41:G42)</f>
        <v>3.8</v>
      </c>
      <c r="H43" s="37"/>
      <c r="I43" s="38"/>
    </row>
    <row r="44" spans="2:9">
      <c r="B44" s="47" t="s">
        <v>54</v>
      </c>
      <c r="C44" s="47"/>
      <c r="D44" s="47"/>
      <c r="E44" s="47"/>
      <c r="F44" s="48">
        <f>F43</f>
        <v>2085.75</v>
      </c>
      <c r="G44" s="48">
        <f>G43</f>
        <v>3.8</v>
      </c>
      <c r="H44" s="48"/>
      <c r="I44" s="38"/>
    </row>
    <row r="45" spans="2:9">
      <c r="B45" s="49" t="s">
        <v>86</v>
      </c>
      <c r="C45" s="49"/>
      <c r="D45" s="49"/>
      <c r="E45" s="49"/>
      <c r="F45" s="50">
        <f>F46-(+F21+F30+F40+F44)</f>
        <v>963.15000000000146</v>
      </c>
      <c r="G45" s="50">
        <f>G46-(+G21+G30+G40+G44)</f>
        <v>1.7500000000000142</v>
      </c>
      <c r="H45" s="50"/>
      <c r="I45" s="38"/>
    </row>
    <row r="46" spans="2:9">
      <c r="B46" s="49" t="s">
        <v>87</v>
      </c>
      <c r="C46" s="49"/>
      <c r="D46" s="49"/>
      <c r="E46" s="49"/>
      <c r="F46" s="50">
        <v>54936.83</v>
      </c>
      <c r="G46" s="50">
        <v>100</v>
      </c>
      <c r="H46" s="50"/>
      <c r="I46" s="38"/>
    </row>
    <row r="48" spans="2:9">
      <c r="B48" s="38" t="s">
        <v>88</v>
      </c>
    </row>
    <row r="49" spans="2:3">
      <c r="B49" s="38" t="s">
        <v>89</v>
      </c>
    </row>
    <row r="50" spans="2:3" ht="12.75" thickBot="1"/>
    <row r="51" spans="2:3" ht="13.5" thickTop="1" thickBot="1">
      <c r="B51" s="51" t="s">
        <v>90</v>
      </c>
      <c r="C51" s="52">
        <v>1.6860371050383778</v>
      </c>
    </row>
    <row r="52" spans="2:3" ht="12.75" thickTop="1">
      <c r="B52" s="53"/>
      <c r="C52" s="53"/>
    </row>
    <row r="53" spans="2:3" ht="12.75" thickBot="1">
      <c r="B53" s="53"/>
      <c r="C53" s="53"/>
    </row>
    <row r="54" spans="2:3" ht="13.5" thickTop="1" thickBot="1">
      <c r="B54" s="51" t="s">
        <v>91</v>
      </c>
      <c r="C54" s="54">
        <v>7.4203901882043774E-2</v>
      </c>
    </row>
    <row r="55" spans="2:3" ht="12.75" thickTop="1">
      <c r="B55" s="53"/>
      <c r="C55" s="53"/>
    </row>
    <row r="56" spans="2:3" ht="12.75" thickBot="1">
      <c r="B56" s="53"/>
      <c r="C56" s="53"/>
    </row>
    <row r="57" spans="2:3" ht="13.5" thickTop="1" thickBot="1">
      <c r="B57" s="51" t="s">
        <v>92</v>
      </c>
      <c r="C57" s="55">
        <v>1.6040679652430221</v>
      </c>
    </row>
    <row r="58" spans="2:3" ht="12.75" thickTop="1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2023-01-05 12:44:34</KDate>
  <Classification>Public</Classification>
  <Subclassification/>
  <HostName>MUMCMP00935</HostName>
  <Domain_User>CANARAROBECOMF/628</Domain_User>
  <IPAdd>192.9.198.194</IPAdd>
  <FilePath>Book21</FilePath>
  <KID>C025A5607E97638085194748046843</KID>
  <UniqueName/>
  <Suggested/>
  <Justification/>
</Klassify>
</file>

<file path=customXml/itemProps1.xml><?xml version="1.0" encoding="utf-8"?>
<ds:datastoreItem xmlns:ds="http://schemas.openxmlformats.org/officeDocument/2006/customXml" ds:itemID="{714A637C-65B1-4F53-9BFA-E307D1F4CD3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2023-01-05T07:14:29Z</dcterms:created>
  <dcterms:modified xsi:type="dcterms:W3CDTF">2023-01-05T07:14:34Z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C025A5607E97638085194748046843</vt:lpwstr>
  </property>
</Properties>
</file>