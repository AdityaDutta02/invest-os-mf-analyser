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09938E46-A407-4EF7-A42B-3A8379C55764}" xr6:coauthVersionLast="47" xr6:coauthVersionMax="47" xr10:uidLastSave="{00000000-0000-0000-0000-000000000000}"/>
  <bookViews>
    <workbookView xWindow="-110" yWindow="-110" windowWidth="19420" windowHeight="10300" xr2:uid="{2029D712-44AC-4E91-BE4B-0437F405DB83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G10" i="1"/>
  <c r="G15" i="1" s="1"/>
  <c r="G9" i="1"/>
  <c r="F9" i="1"/>
  <c r="F10" i="1" s="1"/>
  <c r="F1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<sst xmlns="http://schemas.openxmlformats.org/spreadsheetml/2006/main" count="64" uniqueCount="58">
  <si>
    <t>CANARA ROBECO OVERNIGHT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</si>
  <si>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</si>
  <si>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</si>
  <si>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</si>
  <si>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</si>
  <si>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</si>
  <si>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</si>
  <si>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</si>
  <si>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</si>
  <si>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</si>
  <si>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</si>
  <si>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</si>
  <si>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</si>
  <si>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</si>
  <si>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</si>
  <si>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</si>
  <si>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</si>
  <si>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</si>
  <si>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</si>
  <si>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</si>
  <si>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</si>
  <si>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91 DTB (14-MAY-2026)</t>
  </si>
  <si>
    <t>IN002025X455</t>
  </si>
  <si>
    <t xml:space="preserve"> Sovereign</t>
  </si>
  <si>
    <t>Relatively Low (Class I)</t>
  </si>
  <si>
    <t>A-I</t>
  </si>
  <si>
    <t>91 DTB (22-MAY-2026)</t>
  </si>
  <si>
    <t>IN002025X463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</si>
  <si>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</si>
  <si>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</si>
  <si>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</si>
  <si>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</si>
  <si>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</si>
  <si>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</si>
  <si>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</si>
  <si>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</si>
  <si>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</si>
  <si>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</si>
  <si>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</si>
  <si>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</si>
  <si>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</si>
  <si>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April,30 2026 is Rs Nil and its percentage to Net Asset Value is Nil.</t>
  </si>
  <si>
    <t>(2)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</si>
  <si>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</si>
  <si>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</si>
  <si>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</si>
  <si>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</si>
  <si>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DAILY IDCW (Reinvestment)</t>
  </si>
  <si>
    <t xml:space="preserve">      DIRECT PLAN - GROWTH OPTION</t>
  </si>
  <si>
    <t xml:space="preserve">      DIRECT PLAN - DAILY IDCW (Reinvestment)</t>
  </si>
  <si>
    <t>(3) Details of Dividend declared per unit (In Rupees) during the month are as follows</t>
  </si>
  <si>
    <t>Individuals/HUF</t>
  </si>
  <si>
    <t>Others</t>
  </si>
  <si>
    <t>(4) Total outstanding exposure in derivative instruments as on April,30 2026 is Nil.</t>
  </si>
  <si>
    <t>(5) Total Market value of investments in Foreign Securities/American Depositary Receipts/Global Depositary Receipts as at April,30 2026 is Rs. Nil .</t>
  </si>
  <si>
    <t>(6)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</si>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</sst>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3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49" fontId="12" fillId="5" borderId="17" xfId="0" applyNumberFormat="1" applyFont="1" applyFill="1" applyBorder="1"/>
    <xf numFmtId="2" fontId="13" fillId="0" borderId="18" xfId="0" applyNumberFormat="1" applyFont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4EC2-0416-4289-8F3C-8EF16EC54BFE}">
  <dimension ref="B1:S48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4.453125" style="3" bestFit="1" customWidth="1"/>
    <col min="3" max="3" width="12.7265625" style="3" bestFit="1" customWidth="1"/>
    <col min="4" max="4" width="14.1796875" style="3" bestFit="1" customWidth="1"/>
    <col min="5" max="5" width="7.7265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5.54296875" style="3" bestFit="1" customWidth="1"/>
    <col min="16" max="16" width="12.8164062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3">
      <c r="B6" s="23" t="s">
        <v>19</v>
      </c>
      <c r="C6" s="24"/>
      <c r="D6" s="24"/>
      <c r="E6" s="24"/>
      <c r="F6" s="25"/>
      <c r="G6" s="25"/>
      <c r="H6" s="25"/>
      <c r="K6" s="20"/>
      <c r="L6" s="20"/>
      <c r="M6" s="20"/>
      <c r="N6" s="20"/>
      <c r="O6" s="26"/>
      <c r="P6" s="27" t="s">
        <v>20</v>
      </c>
      <c r="Q6" s="22"/>
      <c r="R6" s="22"/>
      <c r="S6" s="22"/>
    </row>
    <row r="7" spans="2:19">
      <c r="B7" s="24" t="s">
        <v>21</v>
      </c>
      <c r="C7" s="24" t="s">
        <v>22</v>
      </c>
      <c r="D7" s="24" t="s">
        <v>23</v>
      </c>
      <c r="E7" s="28">
        <v>500000</v>
      </c>
      <c r="F7" s="25">
        <v>499.08</v>
      </c>
      <c r="G7" s="25">
        <v>1.69</v>
      </c>
      <c r="H7" s="25">
        <v>5.15</v>
      </c>
      <c r="K7" s="20"/>
      <c r="L7" s="20"/>
      <c r="M7" s="20"/>
      <c r="N7" s="20"/>
      <c r="O7" s="26"/>
      <c r="P7" s="29" t="s">
        <v>24</v>
      </c>
      <c r="Q7" s="30" t="s">
        <v>25</v>
      </c>
      <c r="R7" s="31"/>
      <c r="S7" s="31"/>
    </row>
    <row r="8" spans="2:19">
      <c r="B8" s="24" t="s">
        <v>26</v>
      </c>
      <c r="C8" s="24" t="s">
        <v>27</v>
      </c>
      <c r="D8" s="24" t="s">
        <v>23</v>
      </c>
      <c r="E8" s="28">
        <v>500000</v>
      </c>
      <c r="F8" s="25">
        <v>498.54</v>
      </c>
      <c r="G8" s="25">
        <v>1.69</v>
      </c>
      <c r="H8" s="25">
        <v>5.0999999999999996</v>
      </c>
      <c r="K8" s="20"/>
      <c r="L8" s="20"/>
      <c r="M8" s="20"/>
      <c r="N8" s="20"/>
      <c r="O8" s="26"/>
      <c r="P8" s="29"/>
      <c r="Q8" s="32"/>
      <c r="R8" s="33"/>
      <c r="S8" s="33"/>
    </row>
    <row r="9" spans="2:19">
      <c r="B9" s="34" t="s">
        <v>28</v>
      </c>
      <c r="C9" s="34"/>
      <c r="D9" s="34"/>
      <c r="E9" s="34"/>
      <c r="F9" s="35">
        <f>SUM(F6:F8)</f>
        <v>997.62</v>
      </c>
      <c r="G9" s="35">
        <f>SUM(G6:G8)</f>
        <v>3.38</v>
      </c>
      <c r="H9" s="36"/>
      <c r="I9" s="37"/>
      <c r="K9" s="20"/>
      <c r="L9" s="20"/>
      <c r="M9" s="20"/>
      <c r="N9" s="20"/>
      <c r="O9" s="26"/>
      <c r="P9" s="29" t="s">
        <v>29</v>
      </c>
      <c r="Q9" s="31"/>
      <c r="R9" s="31"/>
      <c r="S9" s="31"/>
    </row>
    <row r="10" spans="2:19">
      <c r="B10" s="38" t="s">
        <v>30</v>
      </c>
      <c r="C10" s="38"/>
      <c r="D10" s="38"/>
      <c r="E10" s="38"/>
      <c r="F10" s="39">
        <f>+F9</f>
        <v>997.62</v>
      </c>
      <c r="G10" s="39">
        <f>+G9</f>
        <v>3.38</v>
      </c>
      <c r="H10" s="39"/>
      <c r="I10" s="37"/>
      <c r="K10" s="20"/>
      <c r="L10" s="20"/>
      <c r="M10" s="20"/>
      <c r="N10" s="20"/>
      <c r="O10" s="26"/>
      <c r="P10" s="29"/>
      <c r="Q10" s="33"/>
      <c r="R10" s="33"/>
      <c r="S10" s="33"/>
    </row>
    <row r="11" spans="2:19">
      <c r="B11" s="23" t="s">
        <v>31</v>
      </c>
      <c r="C11" s="24"/>
      <c r="D11" s="24"/>
      <c r="E11" s="24"/>
      <c r="F11" s="25"/>
      <c r="G11" s="25"/>
      <c r="H11" s="25"/>
      <c r="K11" s="20"/>
      <c r="L11" s="20"/>
      <c r="M11" s="20"/>
      <c r="N11" s="20"/>
      <c r="O11" s="26"/>
      <c r="P11" s="29" t="s">
        <v>32</v>
      </c>
      <c r="Q11" s="31"/>
      <c r="R11" s="31"/>
      <c r="S11" s="31"/>
    </row>
    <row r="12" spans="2:19">
      <c r="B12" s="24" t="s">
        <v>31</v>
      </c>
      <c r="C12" s="24"/>
      <c r="D12" s="24"/>
      <c r="E12" s="24"/>
      <c r="F12" s="25">
        <v>28404.21</v>
      </c>
      <c r="G12" s="25">
        <v>96.07</v>
      </c>
      <c r="H12" s="25"/>
      <c r="K12" s="20"/>
      <c r="L12" s="20"/>
      <c r="M12" s="20"/>
      <c r="N12" s="20"/>
      <c r="O12" s="26"/>
      <c r="P12" s="29"/>
      <c r="Q12" s="33"/>
      <c r="R12" s="33"/>
      <c r="S12" s="33"/>
    </row>
    <row r="13" spans="2:19">
      <c r="B13" s="34" t="s">
        <v>28</v>
      </c>
      <c r="C13" s="34"/>
      <c r="D13" s="34"/>
      <c r="E13" s="34"/>
      <c r="F13" s="35">
        <f>SUM(F11:F12)</f>
        <v>28404.21</v>
      </c>
      <c r="G13" s="35">
        <f>SUM(G11:G12)</f>
        <v>96.07</v>
      </c>
      <c r="H13" s="36"/>
      <c r="I13" s="37"/>
      <c r="K13" s="40"/>
      <c r="L13" s="40" t="s">
        <v>33</v>
      </c>
      <c r="M13" s="26"/>
      <c r="N13" s="26"/>
      <c r="O13" s="26"/>
    </row>
    <row r="14" spans="2:19">
      <c r="B14" s="41" t="s">
        <v>30</v>
      </c>
      <c r="C14" s="41"/>
      <c r="D14" s="41"/>
      <c r="E14" s="41"/>
      <c r="F14" s="42">
        <f>F13</f>
        <v>28404.21</v>
      </c>
      <c r="G14" s="42">
        <f>G13</f>
        <v>96.07</v>
      </c>
      <c r="H14" s="42"/>
      <c r="I14" s="37"/>
    </row>
    <row r="15" spans="2:19">
      <c r="B15" s="43" t="s">
        <v>34</v>
      </c>
      <c r="C15" s="43"/>
      <c r="D15" s="43"/>
      <c r="E15" s="43"/>
      <c r="F15" s="44">
        <f>F16-(+F10+F14)</f>
        <v>165.65000000000146</v>
      </c>
      <c r="G15" s="44">
        <f>G16-(+G10+G14)</f>
        <v>0.55000000000001137</v>
      </c>
      <c r="H15" s="44"/>
      <c r="I15" s="37"/>
    </row>
    <row r="16" spans="2:19">
      <c r="B16" s="43" t="s">
        <v>35</v>
      </c>
      <c r="C16" s="43"/>
      <c r="D16" s="43"/>
      <c r="E16" s="43"/>
      <c r="F16" s="44">
        <v>29567.48</v>
      </c>
      <c r="G16" s="44">
        <v>100</v>
      </c>
      <c r="H16" s="44"/>
      <c r="I16" s="37"/>
    </row>
    <row r="18" spans="2:5">
      <c r="B18" s="37"/>
    </row>
    <row r="19" spans="2:5" ht="12" thickBot="1"/>
    <row r="20" spans="2:5" ht="12.5" thickTop="1" thickBot="1">
      <c r="B20" s="45" t="s">
        <v>36</v>
      </c>
      <c r="C20" s="46">
        <v>1.1599999999999999E-2</v>
      </c>
    </row>
    <row r="21" spans="2:5" ht="12.5" thickTop="1" thickBot="1"/>
    <row r="22" spans="2:5" ht="12.5" thickTop="1" thickBot="1">
      <c r="B22" s="45" t="s">
        <v>37</v>
      </c>
      <c r="C22" s="47">
        <v>5.2400000000000002E-2</v>
      </c>
    </row>
    <row r="23" spans="2:5" ht="12.5" thickTop="1" thickBot="1"/>
    <row r="24" spans="2:5" ht="12.5" thickTop="1" thickBot="1">
      <c r="B24" s="45" t="s">
        <v>38</v>
      </c>
      <c r="C24" s="46">
        <v>1.2200000000000001E-2</v>
      </c>
    </row>
    <row r="25" spans="2:5" ht="12.5" thickTop="1" thickBot="1"/>
    <row r="26" spans="2:5" ht="12.5" thickTop="1" thickBot="1">
      <c r="B26" s="48" t="s">
        <v>39</v>
      </c>
      <c r="C26" s="49">
        <v>1.23E-2</v>
      </c>
    </row>
    <row r="27" spans="2:5" ht="12" thickTop="1"/>
    <row r="28" spans="2:5">
      <c r="B28" s="37" t="s">
        <v>40</v>
      </c>
    </row>
    <row r="29" spans="2:5">
      <c r="B29" s="3" t="s">
        <v>41</v>
      </c>
    </row>
    <row r="30" spans="2:5">
      <c r="B30" s="3" t="s">
        <v>42</v>
      </c>
    </row>
    <row r="31" spans="2:5">
      <c r="B31" s="37" t="s">
        <v>43</v>
      </c>
      <c r="C31" s="37"/>
      <c r="D31" s="37" t="s">
        <v>44</v>
      </c>
      <c r="E31" s="37" t="s">
        <v>45</v>
      </c>
    </row>
    <row r="32" spans="2:5">
      <c r="B32" s="3" t="s">
        <v>46</v>
      </c>
      <c r="D32" s="3">
        <v>1388.8810000000001</v>
      </c>
      <c r="E32" s="3">
        <v>1394.5434</v>
      </c>
    </row>
    <row r="33" spans="2:5">
      <c r="B33" s="3" t="s">
        <v>47</v>
      </c>
      <c r="D33" s="3">
        <v>1001</v>
      </c>
      <c r="E33" s="3">
        <v>1001</v>
      </c>
    </row>
    <row r="34" spans="2:5">
      <c r="B34" s="3" t="s">
        <v>48</v>
      </c>
      <c r="D34" s="3">
        <v>1390.3653999999999</v>
      </c>
      <c r="E34" s="3">
        <v>1396.0373999999999</v>
      </c>
    </row>
    <row r="35" spans="2:5">
      <c r="B35" s="3" t="s">
        <v>49</v>
      </c>
      <c r="D35" s="3">
        <v>1001.0012</v>
      </c>
      <c r="E35" s="3">
        <v>1001.0012</v>
      </c>
    </row>
    <row r="37" spans="2:5">
      <c r="B37" s="3" t="s">
        <v>50</v>
      </c>
      <c r="D37" s="37" t="s">
        <v>51</v>
      </c>
      <c r="E37" s="37" t="s">
        <v>52</v>
      </c>
    </row>
    <row r="38" spans="2:5">
      <c r="B38" s="3" t="s">
        <v>47</v>
      </c>
      <c r="D38" s="3">
        <v>4.0773000000000001</v>
      </c>
      <c r="E38" s="3">
        <v>4.0773000000000001</v>
      </c>
    </row>
    <row r="39" spans="2:5">
      <c r="B39" s="3" t="s">
        <v>49</v>
      </c>
      <c r="D39" s="3">
        <v>4.0749000000000004</v>
      </c>
      <c r="E39" s="3">
        <v>4.0749000000000004</v>
      </c>
    </row>
    <row r="41" spans="2:5">
      <c r="B41" s="3" t="s">
        <v>53</v>
      </c>
    </row>
    <row r="42" spans="2:5">
      <c r="B42" s="3" t="s">
        <v>54</v>
      </c>
    </row>
    <row r="43" spans="2:5">
      <c r="B43" s="3" t="s">
        <v>55</v>
      </c>
    </row>
    <row r="44" spans="2:5">
      <c r="B44" s="37"/>
      <c r="C44" s="37"/>
      <c r="D44" s="37"/>
    </row>
    <row r="45" spans="2:5">
      <c r="B45" s="37"/>
      <c r="C45" s="37"/>
      <c r="D45" s="37"/>
      <c r="E45" s="37"/>
    </row>
    <row r="46" spans="2:5">
      <c r="B46" s="37" t="s">
        <v>56</v>
      </c>
    </row>
    <row r="48" spans="2:5" ht="14.5">
      <c r="B48" s="50" t="s">
        <v>57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48" r:id="rId1" tooltip="https://www.canararobeco.com/docs/default-source/default-document-library/Scheme%20Performance%20April%2026.pdf" display="https://www.canararobeco.com/docs/default-source/default-document-library/Scheme Performance April 26.pdf" xr:uid="{808351EB-E2A1-4F6F-A5AD-9DA33830C58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18:15:44</KDate>
  <Classification>PUBLIC</Classification>
  <Subclassification/>
  <HostName>MUMCMP01346</HostName>
  <Domain_User>CANARAROBECOMF/396</Domain_User>
  <IPAdd>192.9.198.198</IPAdd>
  <FilePath>Book24</FilePath>
  <KID>1098191A8D7D639138609446690984</KID>
  <UniqueName/>
  <Suggested/>
  <Justification/>
  <KlassifyGUID/>
</Klassify>
</file>

<file path=customXml/itemProps1.xml><?xml version="1.0" encoding="utf-8"?>
<ds:datastoreItem xmlns:ds="http://schemas.openxmlformats.org/officeDocument/2006/customXml" ds:itemID="{683B003E-D673-4B0F-9735-1C3222B814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2026-05-08T12:45:40Z</dcterms:created>
  <dcterms:modified xsi:type="dcterms:W3CDTF">2026-05-08T12:45:44Z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1098191A8D7D639138609446690984</vt:lpwstr>
  </property>
</Properties>
</file>