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Dec 25\"/>
    </mc:Choice>
  </mc:AlternateContent>
  <xr:revisionPtr revIDLastSave="0" documentId="8_{05C09882-C64B-4816-9742-DA3952524FFE}" xr6:coauthVersionLast="47" xr6:coauthVersionMax="47" xr10:uidLastSave="{00000000-0000-0000-0000-000000000000}"/>
  <bookViews>
    <workbookView xWindow="-120" yWindow="-120" windowWidth="20730" windowHeight="11040" xr2:uid="{1D8616A6-4F48-494D-BFF3-AD2E61339185}"/>
  </bookViews>
  <sheets>
    <sheet name="O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4" i="1" s="1"/>
  <c r="F13" i="1"/>
  <c r="F14" i="1" s="1"/>
  <c r="G9" i="1"/>
  <c r="G10" i="1" s="1"/>
  <c r="G15" i="1" s="1"/>
  <c r="F9" i="1"/>
  <c r="F10" i="1" s="1"/>
  <c r="F15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<sst xmlns="http://schemas.openxmlformats.org/spreadsheetml/2006/main" count="45" uniqueCount="41">
  <si>
    <t>CANARA ROBECO OVERNIGHT FUND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</si>
  <si>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</si>
  <si>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</si>
  <si>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</si>
  <si>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</si>
  <si>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</si>
  <si>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</si>
  <si>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</si>
  <si>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</si>
  <si>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 - December'25</t>
  </si>
  <si>
    <t>Benchmark Risk-O-Meter Level - December'25</t>
  </si>
  <si>
    <t>Scheme Risk-O-Meter Level - November'25</t>
  </si>
  <si>
    <t>Benchmark Risk-O-Meter Level - November'25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</si>
  <si>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</si>
  <si>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</si>
  <si>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</si>
  <si>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</si>
  <si>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</si>
  <si>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
(Class C)</t>
  </si>
  <si>
    <t>Treasury Bill</t>
  </si>
  <si>
    <t>Interest Rate Risk ↓</t>
  </si>
  <si>
    <t>182 DTB (08-JAN-2026)</t>
  </si>
  <si>
    <t>IN002025Y156</t>
  </si>
  <si>
    <t xml:space="preserve"> Sovereign</t>
  </si>
  <si>
    <t>Relatively Low (Class I)</t>
  </si>
  <si>
    <t>A-I</t>
  </si>
  <si>
    <t>91 DTB (23-JAN-2026)</t>
  </si>
  <si>
    <t>IN002025X307</t>
  </si>
  <si>
    <t>Sub Total</t>
  </si>
  <si>
    <t>Moderate (Class II)</t>
  </si>
  <si>
    <t>Total</t>
  </si>
  <si>
    <t>TREPS</t>
  </si>
  <si>
    <t>Relatively High (Class III)</t>
  </si>
  <si>
    <t>Benchmark: CRISIL Liquid Overnight Index</t>
  </si>
  <si>
    <t>Net Receivables / (Payables)</t>
  </si>
  <si>
    <t>Grand Total</t>
  </si>
  <si>
    <t>Modified Duration (In Years)</t>
  </si>
  <si>
    <t>Annualised Portfolio YTM</t>
  </si>
  <si>
    <t>Macaulay Duration (In Years)</t>
  </si>
  <si>
    <t>Please refer the below link for the performance of the Schemes managed by Canara Robeco Mutual Fund</t>
  </si>
  <si>
    <t>https://www.canararobeco.com/docs/default-source/default-document-library/Scheme_Performance_December_25.pdf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</si>
</sst>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3" borderId="9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 vertical="center"/>
    </xf>
    <xf numFmtId="0" fontId="10" fillId="0" borderId="10" xfId="0" applyFont="1" applyBorder="1" applyAlignment="1">
      <alignment horizontal="center" wrapText="1"/>
    </xf>
    <xf numFmtId="0" fontId="10" fillId="0" borderId="10" xfId="0" applyFont="1" applyBorder="1" applyAlignment="1">
      <alignment horizontal="center" vertical="top" wrapText="1"/>
    </xf>
    <xf numFmtId="0" fontId="10" fillId="3" borderId="11" xfId="0" applyFont="1" applyFill="1" applyBorder="1"/>
    <xf numFmtId="0" fontId="4" fillId="3" borderId="11" xfId="0" applyFont="1" applyFill="1" applyBorder="1"/>
    <xf numFmtId="4" fontId="4" fillId="3" borderId="11" xfId="0" applyNumberFormat="1" applyFont="1" applyFill="1" applyBorder="1"/>
    <xf numFmtId="43" fontId="4" fillId="3" borderId="0" xfId="1" applyFont="1" applyFill="1"/>
    <xf numFmtId="0" fontId="10" fillId="0" borderId="10" xfId="0" applyFont="1" applyBorder="1" applyAlignment="1">
      <alignment horizontal="left" vertical="top" wrapText="1"/>
    </xf>
    <xf numFmtId="3" fontId="4" fillId="3" borderId="11" xfId="0" applyNumberFormat="1" applyFont="1" applyFill="1" applyBorder="1"/>
    <xf numFmtId="0" fontId="10" fillId="0" borderId="10" xfId="0" applyFont="1" applyBorder="1" applyAlignment="1">
      <alignment horizontal="left" wrapText="1"/>
    </xf>
    <xf numFmtId="0" fontId="10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4" borderId="12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/>
    </xf>
    <xf numFmtId="0" fontId="10" fillId="3" borderId="13" xfId="0" applyFont="1" applyFill="1" applyBorder="1"/>
    <xf numFmtId="4" fontId="10" fillId="3" borderId="14" xfId="0" applyNumberFormat="1" applyFont="1" applyFill="1" applyBorder="1"/>
    <xf numFmtId="4" fontId="10" fillId="3" borderId="13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3" fontId="4" fillId="3" borderId="0" xfId="1" applyFont="1" applyFill="1" applyAlignment="1"/>
    <xf numFmtId="0" fontId="10" fillId="3" borderId="16" xfId="0" applyFont="1" applyFill="1" applyBorder="1"/>
    <xf numFmtId="4" fontId="10" fillId="3" borderId="16" xfId="0" applyNumberFormat="1" applyFont="1" applyFill="1" applyBorder="1"/>
    <xf numFmtId="0" fontId="10" fillId="3" borderId="10" xfId="0" applyFont="1" applyFill="1" applyBorder="1"/>
    <xf numFmtId="4" fontId="10" fillId="3" borderId="10" xfId="0" applyNumberFormat="1" applyFont="1" applyFill="1" applyBorder="1"/>
    <xf numFmtId="0" fontId="11" fillId="5" borderId="17" xfId="0" applyFont="1" applyFill="1" applyBorder="1"/>
    <xf numFmtId="2" fontId="10" fillId="3" borderId="18" xfId="0" applyNumberFormat="1" applyFont="1" applyFill="1" applyBorder="1"/>
    <xf numFmtId="10" fontId="10" fillId="3" borderId="18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December_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C62E-D6EF-4769-9902-D25E350CDF78}">
  <dimension ref="B1:S28"/>
  <sheetViews>
    <sheetView tabSelected="1" workbookViewId="0">
      <selection activeCell="B1" sqref="B1:H1"/>
    </sheetView>
  </sheetViews>
  <sheetFormatPr defaultRowHeight="12" x14ac:dyDescent="0.2"/>
  <cols>
    <col min="1" max="1" width="9.140625" style="3"/>
    <col min="2" max="2" width="60.85546875" style="3" bestFit="1" customWidth="1"/>
    <col min="3" max="3" width="12.7109375" style="3" bestFit="1" customWidth="1"/>
    <col min="4" max="4" width="14.140625" style="3" bestFit="1" customWidth="1"/>
    <col min="5" max="5" width="7.7109375" style="3" bestFit="1" customWidth="1"/>
    <col min="6" max="6" width="15.28515625" style="8" bestFit="1" customWidth="1"/>
    <col min="7" max="7" width="7.42578125" style="8" bestFit="1" customWidth="1"/>
    <col min="8" max="8" width="6.5703125" style="8" bestFit="1" customWidth="1"/>
    <col min="9" max="10" width="9.140625" style="3"/>
    <col min="11" max="11" width="31.5703125" style="3" customWidth="1"/>
    <col min="12" max="12" width="35.5703125" style="3" customWidth="1"/>
    <col min="13" max="14" width="31.42578125" style="3" customWidth="1"/>
    <col min="15" max="15" width="5.5703125" style="3" bestFit="1" customWidth="1"/>
    <col min="16" max="16" width="12.85546875" style="3" customWidth="1"/>
    <col min="17" max="16384" width="9.140625" style="3"/>
  </cols>
  <sheetData>
    <row r="1" spans="2:19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9" ht="16.5" thickBot="1" x14ac:dyDescent="0.25">
      <c r="B3" s="4" t="s">
        <v>1</v>
      </c>
      <c r="C3" s="5"/>
      <c r="D3" s="6"/>
      <c r="E3" s="6"/>
      <c r="F3" s="7"/>
      <c r="G3" s="7"/>
    </row>
    <row r="4" spans="2:19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K4" s="13" t="s">
        <v>9</v>
      </c>
      <c r="L4" s="13" t="s">
        <v>10</v>
      </c>
      <c r="M4" s="13" t="s">
        <v>11</v>
      </c>
      <c r="N4" s="13" t="s">
        <v>12</v>
      </c>
      <c r="P4" s="14" t="s">
        <v>13</v>
      </c>
      <c r="Q4" s="15"/>
      <c r="R4" s="15"/>
      <c r="S4" s="16"/>
    </row>
    <row r="5" spans="2:19" x14ac:dyDescent="0.2">
      <c r="B5" s="17" t="s">
        <v>14</v>
      </c>
      <c r="C5" s="18"/>
      <c r="D5" s="18"/>
      <c r="E5" s="18"/>
      <c r="F5" s="19"/>
      <c r="G5" s="19"/>
      <c r="H5" s="19"/>
      <c r="K5" s="20" t="e" vm="1">
        <v>#VALUE!</v>
      </c>
      <c r="L5" s="20" t="e" vm="2">
        <v>#VALUE!</v>
      </c>
      <c r="M5" s="20" t="e" vm="1">
        <v>#VALUE!</v>
      </c>
      <c r="N5" s="20" t="e" vm="2">
        <v>#VALUE!</v>
      </c>
      <c r="P5" s="21" t="s">
        <v>15</v>
      </c>
      <c r="Q5" s="22" t="s">
        <v>16</v>
      </c>
      <c r="R5" s="22" t="s">
        <v>17</v>
      </c>
      <c r="S5" s="22" t="s">
        <v>18</v>
      </c>
    </row>
    <row r="6" spans="2:19" ht="24" x14ac:dyDescent="0.2">
      <c r="B6" s="23" t="s">
        <v>19</v>
      </c>
      <c r="C6" s="24"/>
      <c r="D6" s="24"/>
      <c r="E6" s="24"/>
      <c r="F6" s="25"/>
      <c r="G6" s="25"/>
      <c r="H6" s="25"/>
      <c r="K6" s="20"/>
      <c r="L6" s="20"/>
      <c r="M6" s="20"/>
      <c r="N6" s="20"/>
      <c r="O6" s="26"/>
      <c r="P6" s="27" t="s">
        <v>20</v>
      </c>
      <c r="Q6" s="22"/>
      <c r="R6" s="22"/>
      <c r="S6" s="22"/>
    </row>
    <row r="7" spans="2:19" x14ac:dyDescent="0.2">
      <c r="B7" s="24" t="s">
        <v>21</v>
      </c>
      <c r="C7" s="24" t="s">
        <v>22</v>
      </c>
      <c r="D7" s="24" t="s">
        <v>23</v>
      </c>
      <c r="E7" s="28">
        <v>500000</v>
      </c>
      <c r="F7" s="25">
        <v>499.5</v>
      </c>
      <c r="G7" s="25">
        <v>1.35</v>
      </c>
      <c r="H7" s="25">
        <v>5.25</v>
      </c>
      <c r="K7" s="20"/>
      <c r="L7" s="20"/>
      <c r="M7" s="20"/>
      <c r="N7" s="20"/>
      <c r="O7" s="26"/>
      <c r="P7" s="29" t="s">
        <v>24</v>
      </c>
      <c r="Q7" s="30" t="s">
        <v>25</v>
      </c>
      <c r="R7" s="31"/>
      <c r="S7" s="31"/>
    </row>
    <row r="8" spans="2:19" x14ac:dyDescent="0.2">
      <c r="B8" s="24" t="s">
        <v>26</v>
      </c>
      <c r="C8" s="24" t="s">
        <v>27</v>
      </c>
      <c r="D8" s="24" t="s">
        <v>23</v>
      </c>
      <c r="E8" s="28">
        <v>500000</v>
      </c>
      <c r="F8" s="25">
        <v>498.41</v>
      </c>
      <c r="G8" s="25">
        <v>1.34</v>
      </c>
      <c r="H8" s="25">
        <v>5.3</v>
      </c>
      <c r="K8" s="20"/>
      <c r="L8" s="20"/>
      <c r="M8" s="20"/>
      <c r="N8" s="20"/>
      <c r="O8" s="26"/>
      <c r="P8" s="29"/>
      <c r="Q8" s="32"/>
      <c r="R8" s="33"/>
      <c r="S8" s="33"/>
    </row>
    <row r="9" spans="2:19" x14ac:dyDescent="0.2">
      <c r="B9" s="34" t="s">
        <v>28</v>
      </c>
      <c r="C9" s="34"/>
      <c r="D9" s="34"/>
      <c r="E9" s="34"/>
      <c r="F9" s="35">
        <f>SUM(F6:F8)</f>
        <v>997.91000000000008</v>
      </c>
      <c r="G9" s="35">
        <f>SUM(G6:G8)</f>
        <v>2.6900000000000004</v>
      </c>
      <c r="H9" s="36"/>
      <c r="I9" s="37"/>
      <c r="K9" s="20"/>
      <c r="L9" s="20"/>
      <c r="M9" s="20"/>
      <c r="N9" s="20"/>
      <c r="O9" s="26"/>
      <c r="P9" s="29" t="s">
        <v>29</v>
      </c>
      <c r="Q9" s="31"/>
      <c r="R9" s="31"/>
      <c r="S9" s="31"/>
    </row>
    <row r="10" spans="2:19" x14ac:dyDescent="0.2">
      <c r="B10" s="38" t="s">
        <v>30</v>
      </c>
      <c r="C10" s="38"/>
      <c r="D10" s="38"/>
      <c r="E10" s="38"/>
      <c r="F10" s="39">
        <f>+F9</f>
        <v>997.91000000000008</v>
      </c>
      <c r="G10" s="39">
        <f>+G9</f>
        <v>2.6900000000000004</v>
      </c>
      <c r="H10" s="39"/>
      <c r="I10" s="37"/>
      <c r="K10" s="20"/>
      <c r="L10" s="20"/>
      <c r="M10" s="20"/>
      <c r="N10" s="20"/>
      <c r="O10" s="26"/>
      <c r="P10" s="29"/>
      <c r="Q10" s="33"/>
      <c r="R10" s="33"/>
      <c r="S10" s="33"/>
    </row>
    <row r="11" spans="2:19" x14ac:dyDescent="0.2">
      <c r="B11" s="23" t="s">
        <v>31</v>
      </c>
      <c r="C11" s="24"/>
      <c r="D11" s="24"/>
      <c r="E11" s="24"/>
      <c r="F11" s="25"/>
      <c r="G11" s="25"/>
      <c r="H11" s="25"/>
      <c r="K11" s="20"/>
      <c r="L11" s="20"/>
      <c r="M11" s="20"/>
      <c r="N11" s="20"/>
      <c r="O11" s="26"/>
      <c r="P11" s="29" t="s">
        <v>32</v>
      </c>
      <c r="Q11" s="31"/>
      <c r="R11" s="31"/>
      <c r="S11" s="31"/>
    </row>
    <row r="12" spans="2:19" x14ac:dyDescent="0.2">
      <c r="B12" s="24" t="s">
        <v>31</v>
      </c>
      <c r="C12" s="24"/>
      <c r="D12" s="24"/>
      <c r="E12" s="24"/>
      <c r="F12" s="25">
        <v>36066.1</v>
      </c>
      <c r="G12" s="25">
        <v>97.2</v>
      </c>
      <c r="H12" s="25"/>
      <c r="K12" s="20"/>
      <c r="L12" s="20"/>
      <c r="M12" s="20"/>
      <c r="N12" s="20"/>
      <c r="O12" s="26"/>
      <c r="P12" s="29"/>
      <c r="Q12" s="33"/>
      <c r="R12" s="33"/>
      <c r="S12" s="33"/>
    </row>
    <row r="13" spans="2:19" x14ac:dyDescent="0.2">
      <c r="B13" s="34" t="s">
        <v>28</v>
      </c>
      <c r="C13" s="34"/>
      <c r="D13" s="34"/>
      <c r="E13" s="34"/>
      <c r="F13" s="35">
        <f>SUM(F11:F12)</f>
        <v>36066.1</v>
      </c>
      <c r="G13" s="35">
        <f>SUM(G11:G12)</f>
        <v>97.2</v>
      </c>
      <c r="H13" s="36"/>
      <c r="I13" s="37"/>
      <c r="K13" s="40"/>
      <c r="L13" s="40" t="s">
        <v>33</v>
      </c>
      <c r="M13" s="26"/>
      <c r="N13" s="26"/>
      <c r="O13" s="26"/>
    </row>
    <row r="14" spans="2:19" x14ac:dyDescent="0.2">
      <c r="B14" s="41" t="s">
        <v>30</v>
      </c>
      <c r="C14" s="41"/>
      <c r="D14" s="41"/>
      <c r="E14" s="41"/>
      <c r="F14" s="42">
        <f>F13</f>
        <v>36066.1</v>
      </c>
      <c r="G14" s="42">
        <f>G13</f>
        <v>97.2</v>
      </c>
      <c r="H14" s="42"/>
      <c r="I14" s="37"/>
    </row>
    <row r="15" spans="2:19" x14ac:dyDescent="0.2">
      <c r="B15" s="43" t="s">
        <v>34</v>
      </c>
      <c r="C15" s="43"/>
      <c r="D15" s="43"/>
      <c r="E15" s="43"/>
      <c r="F15" s="44">
        <f>F16-(+F10+F14)</f>
        <v>40.400000000001455</v>
      </c>
      <c r="G15" s="44">
        <f>G16-(+G10+G14)</f>
        <v>0.10999999999999943</v>
      </c>
      <c r="H15" s="44"/>
      <c r="I15" s="37"/>
    </row>
    <row r="16" spans="2:19" x14ac:dyDescent="0.2">
      <c r="B16" s="43" t="s">
        <v>35</v>
      </c>
      <c r="C16" s="43"/>
      <c r="D16" s="43"/>
      <c r="E16" s="43"/>
      <c r="F16" s="44">
        <v>37104.410000000003</v>
      </c>
      <c r="G16" s="44">
        <v>100</v>
      </c>
      <c r="H16" s="44"/>
      <c r="I16" s="37"/>
    </row>
    <row r="18" spans="2:3" x14ac:dyDescent="0.2">
      <c r="B18" s="37"/>
    </row>
    <row r="19" spans="2:3" ht="12.75" thickBot="1" x14ac:dyDescent="0.25"/>
    <row r="20" spans="2:3" ht="13.5" thickTop="1" thickBot="1" x14ac:dyDescent="0.25">
      <c r="B20" s="45" t="s">
        <v>36</v>
      </c>
      <c r="C20" s="46">
        <v>3.5999999999999999E-3</v>
      </c>
    </row>
    <row r="21" spans="2:3" ht="13.5" thickTop="1" thickBot="1" x14ac:dyDescent="0.25"/>
    <row r="22" spans="2:3" ht="13.5" thickTop="1" thickBot="1" x14ac:dyDescent="0.25">
      <c r="B22" s="45" t="s">
        <v>37</v>
      </c>
      <c r="C22" s="47">
        <v>5.3800000000000001E-2</v>
      </c>
    </row>
    <row r="23" spans="2:3" ht="13.5" thickTop="1" thickBot="1" x14ac:dyDescent="0.25"/>
    <row r="24" spans="2:3" ht="13.5" thickTop="1" thickBot="1" x14ac:dyDescent="0.25">
      <c r="B24" s="45" t="s">
        <v>38</v>
      </c>
      <c r="C24" s="46">
        <v>3.8E-3</v>
      </c>
    </row>
    <row r="25" spans="2:3" ht="12.75" thickTop="1" x14ac:dyDescent="0.2"/>
    <row r="26" spans="2:3" x14ac:dyDescent="0.2">
      <c r="B26" s="37" t="s">
        <v>39</v>
      </c>
    </row>
    <row r="28" spans="2:3" ht="15" x14ac:dyDescent="0.2">
      <c r="B28" s="48" t="s">
        <v>40</v>
      </c>
    </row>
  </sheetData>
  <mergeCells count="21">
    <mergeCell ref="P11:P12"/>
    <mergeCell ref="Q11:Q12"/>
    <mergeCell ref="R11:R12"/>
    <mergeCell ref="S11:S12"/>
    <mergeCell ref="Q7:Q8"/>
    <mergeCell ref="R7:R8"/>
    <mergeCell ref="S7:S8"/>
    <mergeCell ref="P9:P10"/>
    <mergeCell ref="Q9:Q10"/>
    <mergeCell ref="R9:R10"/>
    <mergeCell ref="S9:S10"/>
    <mergeCell ref="B1:H1"/>
    <mergeCell ref="P4:S4"/>
    <mergeCell ref="K5:K12"/>
    <mergeCell ref="L5:L12"/>
    <mergeCell ref="M5:M12"/>
    <mergeCell ref="N5:N12"/>
    <mergeCell ref="Q5:Q6"/>
    <mergeCell ref="R5:R6"/>
    <mergeCell ref="S5:S6"/>
    <mergeCell ref="P7:P8"/>
  </mergeCells>
  <hyperlinks>
    <hyperlink ref="B28" r:id="rId1" tooltip="Original URL: https://www.canararobeco.com/docs/default-source/default-document-library/Scheme_Performance_December_25.pdf. Click or tap if you trust this link." xr:uid="{817BF8CE-5536-4940-9494-39705357734E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2026-01-08 15:18:25</KDate>
  <Classification>MIS INTERNAL</Classification>
  <Subclassification/>
  <HostName>MUMCMP01323</HostName>
  <Domain_User>CANARAROBECOMF/628</Domain_User>
  <IPAdd>192.9.198.196</IPAdd>
  <FilePath>Book23</FilePath>
  <KID>109819A0F0A5639034823058347324</KID>
  <UniqueName/>
  <Suggested/>
  <Justification/>
  <KlassifyGUID/>
</Klassify>
</file>

<file path=customXml/itemProps1.xml><?xml version="1.0" encoding="utf-8"?>
<ds:datastoreItem xmlns:ds="http://schemas.openxmlformats.org/officeDocument/2006/customXml" ds:itemID="{4FADC10C-C461-44B2-BFA1-A7A7582896A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2026-01-08T09:47:55Z</dcterms:created>
  <dcterms:modified xsi:type="dcterms:W3CDTF">2026-01-08T09:48:26Z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109819A0F0A5639034823058347324</vt:lpwstr>
  </property>
</Properties>
</file>