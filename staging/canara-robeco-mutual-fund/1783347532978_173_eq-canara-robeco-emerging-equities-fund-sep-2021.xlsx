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1" l="1"/>
  <c r="G73" i="1"/>
  <c r="G74" i="1" s="1"/>
  <c r="F73" i="1"/>
  <c r="F70" i="1"/>
  <c r="F75" i="1" s="1"/>
  <c r="G69" i="1"/>
  <c r="G70" i="1" s="1"/>
  <c r="F69" i="1"/>
  <c r="G68" i="1"/>
  <c r="G75" i="1" l="1"/>
</calcChain>
</file>

<file path=xl/sharedStrings.xml><?xml version="1.0" encoding="utf-8"?>
<sst xmlns="http://schemas.openxmlformats.org/spreadsheetml/2006/main" count="206" uniqueCount="169">
  <si>
    <t>CANARA ROBECO EMERGING EQUITIES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</si>
  <si>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</si>
  <si>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</si>
  <si>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</si>
  <si>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</si>
  <si>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</si>
  <si>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</si>
  <si>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</si>
  <si>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</si>
  <si>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</si>
  <si>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</si>
  <si>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</si>
  <si>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</si>
  <si>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</si>
  <si>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</si>
  <si>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</si>
  <si>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</si>
  <si>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</si>
  <si>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Infosys Ltd</t>
  </si>
  <si>
    <t>INE009A01021</t>
  </si>
  <si>
    <t>Software</t>
  </si>
  <si>
    <t>Reliance Industries Ltd</t>
  </si>
  <si>
    <t>INE002A01018</t>
  </si>
  <si>
    <t>Petroleum Products</t>
  </si>
  <si>
    <t>Bajaj Finance Ltd</t>
  </si>
  <si>
    <t>INE296A01024</t>
  </si>
  <si>
    <t>Finance</t>
  </si>
  <si>
    <t>Axis Bank Ltd</t>
  </si>
  <si>
    <t>INE238A01034</t>
  </si>
  <si>
    <t>State Bank of India</t>
  </si>
  <si>
    <t>INE062A01020</t>
  </si>
  <si>
    <t>Benchmark: Nifty Large Midcap 250 TRI</t>
  </si>
  <si>
    <t>Minda Industries Ltd</t>
  </si>
  <si>
    <t>INE405E01023</t>
  </si>
  <si>
    <t>Auto Ancillaries</t>
  </si>
  <si>
    <t>Max Healthcare Institute Ltd</t>
  </si>
  <si>
    <t>INE027H01010</t>
  </si>
  <si>
    <t>Healthcare Services</t>
  </si>
  <si>
    <t>Avenue Supermarts Ltd</t>
  </si>
  <si>
    <t>INE192R01011</t>
  </si>
  <si>
    <t>Retailing</t>
  </si>
  <si>
    <t>Voltas Ltd</t>
  </si>
  <si>
    <t>INE226A01021</t>
  </si>
  <si>
    <t>Consumer Durables</t>
  </si>
  <si>
    <t>Polycab India Ltd</t>
  </si>
  <si>
    <t>INE455K01017</t>
  </si>
  <si>
    <t>Industrial Products</t>
  </si>
  <si>
    <t>Tata Consultancy Services Ltd</t>
  </si>
  <si>
    <t>INE467B01029</t>
  </si>
  <si>
    <t>Atul Ltd</t>
  </si>
  <si>
    <t>INE100A01010</t>
  </si>
  <si>
    <t>Chemicals</t>
  </si>
  <si>
    <t>Gland Pharma Ltd</t>
  </si>
  <si>
    <t>INE068V01023</t>
  </si>
  <si>
    <t>Pharmaceuticals</t>
  </si>
  <si>
    <t>Cholamandalam Investment and Finance Co Ltd</t>
  </si>
  <si>
    <t>INE121A01024</t>
  </si>
  <si>
    <t>Max Financial Services Ltd</t>
  </si>
  <si>
    <t>INE180A01020</t>
  </si>
  <si>
    <t>Insurance</t>
  </si>
  <si>
    <t>Mphasis Ltd</t>
  </si>
  <si>
    <t>INE356A01018</t>
  </si>
  <si>
    <t>Sun Pharmaceutical Industries Ltd</t>
  </si>
  <si>
    <t>INE044A01036</t>
  </si>
  <si>
    <t>Aditya Birla Fashion and Retail Ltd</t>
  </si>
  <si>
    <t>INE647O01011</t>
  </si>
  <si>
    <t>Sona Blw Precision Forgings Ltd</t>
  </si>
  <si>
    <t>INE073K01018</t>
  </si>
  <si>
    <t>Indian Railway Catering And Tourism Corp Ltd</t>
  </si>
  <si>
    <t>INE335Y01012</t>
  </si>
  <si>
    <t>Transportation</t>
  </si>
  <si>
    <t>Tata Communications Ltd</t>
  </si>
  <si>
    <t>INE151A01013</t>
  </si>
  <si>
    <t>Telecom - Services</t>
  </si>
  <si>
    <t>Larsen &amp; Toubro Ltd</t>
  </si>
  <si>
    <t>INE018A01030</t>
  </si>
  <si>
    <t>Construction Project</t>
  </si>
  <si>
    <t>Tata Steel Ltd</t>
  </si>
  <si>
    <t>INE081A01012</t>
  </si>
  <si>
    <t>Ferrous Metals</t>
  </si>
  <si>
    <t>Indraprastha Gas Ltd</t>
  </si>
  <si>
    <t>INE203G01027</t>
  </si>
  <si>
    <t>Gas</t>
  </si>
  <si>
    <t>Century Textile &amp; Industries Ltd</t>
  </si>
  <si>
    <t>INE055A01016</t>
  </si>
  <si>
    <t>Paper</t>
  </si>
  <si>
    <t>Navin Fluorine International Ltd</t>
  </si>
  <si>
    <t>INE048G01026</t>
  </si>
  <si>
    <t>Tata Motors Ltd</t>
  </si>
  <si>
    <t>INE155A01022</t>
  </si>
  <si>
    <t>Auto</t>
  </si>
  <si>
    <t>Gujarat Gas Ltd</t>
  </si>
  <si>
    <t>INE844O01030</t>
  </si>
  <si>
    <t>Vinati Organics Ltd</t>
  </si>
  <si>
    <t>INE410B01037</t>
  </si>
  <si>
    <t>Oberoi Realty Ltd</t>
  </si>
  <si>
    <t>INE093I01010</t>
  </si>
  <si>
    <t>Construction</t>
  </si>
  <si>
    <t>Bharat Electronics Ltd</t>
  </si>
  <si>
    <t>INE263A01024</t>
  </si>
  <si>
    <t>Aerospace &amp; Defense</t>
  </si>
  <si>
    <t>IPCA Laboratories Ltd</t>
  </si>
  <si>
    <t>INE571A01020</t>
  </si>
  <si>
    <t>Kotak Mahindra Bank Ltd</t>
  </si>
  <si>
    <t>INE237A01028</t>
  </si>
  <si>
    <t>Whirlpool Of India Ltd</t>
  </si>
  <si>
    <t>INE716A01013</t>
  </si>
  <si>
    <t>Balkrishna Industries Ltd</t>
  </si>
  <si>
    <t>INE787D01026</t>
  </si>
  <si>
    <t>LIC Housing Finance Ltd</t>
  </si>
  <si>
    <t>INE115A01026</t>
  </si>
  <si>
    <t>Abbott India Ltd</t>
  </si>
  <si>
    <t>INE358A01014</t>
  </si>
  <si>
    <t>Britannia Industries Ltd</t>
  </si>
  <si>
    <t>INE216A01030</t>
  </si>
  <si>
    <t>Consumer Non Durables</t>
  </si>
  <si>
    <t>Kansai Nerolac Paints Ltd</t>
  </si>
  <si>
    <t>INE531A01024</t>
  </si>
  <si>
    <t>Ultratech Cement Ltd</t>
  </si>
  <si>
    <t>INE481G01011</t>
  </si>
  <si>
    <t>Cement &amp; Cement Products</t>
  </si>
  <si>
    <t>Tata Consumer Products Ltd</t>
  </si>
  <si>
    <t>INE192A01025</t>
  </si>
  <si>
    <t>Bharti Airtel Ltd</t>
  </si>
  <si>
    <t>INE397D01024</t>
  </si>
  <si>
    <t>Bharat Forge Ltd</t>
  </si>
  <si>
    <t>INE465A01025</t>
  </si>
  <si>
    <t>The Ramco Cements Ltd</t>
  </si>
  <si>
    <t>INE331A01037</t>
  </si>
  <si>
    <t>Zomato Ltd</t>
  </si>
  <si>
    <t>INE758T01015</t>
  </si>
  <si>
    <t>City Union Bank Ltd</t>
  </si>
  <si>
    <t>INE491A01021</t>
  </si>
  <si>
    <t>TVS Motor Co Ltd</t>
  </si>
  <si>
    <t>INE494B01023</t>
  </si>
  <si>
    <t>Jubilant Foodworks Ltd</t>
  </si>
  <si>
    <t>INE797F01012</t>
  </si>
  <si>
    <t>Leisure Services</t>
  </si>
  <si>
    <t>Hindustan Unilever Ltd</t>
  </si>
  <si>
    <t>INE030A01027</t>
  </si>
  <si>
    <t>PI Industries Ltd</t>
  </si>
  <si>
    <t>INE603J01030</t>
  </si>
  <si>
    <t>Pesticides</t>
  </si>
  <si>
    <t>Divi's Laboratories Ltd</t>
  </si>
  <si>
    <t>INE361B01024</t>
  </si>
  <si>
    <t>SBI Cards and Payment Services Ltd</t>
  </si>
  <si>
    <t>INE018E01016</t>
  </si>
  <si>
    <t>Muthoot Finance Ltd</t>
  </si>
  <si>
    <t>INE414G01012</t>
  </si>
  <si>
    <t>AIA Engineering Ltd</t>
  </si>
  <si>
    <t>INE212H01026</t>
  </si>
  <si>
    <t>TCI Express Ltd</t>
  </si>
  <si>
    <t>INE586V01016</t>
  </si>
  <si>
    <t>Multi Commodity Exchange Of India Ltd</t>
  </si>
  <si>
    <t>INE745G01035</t>
  </si>
  <si>
    <t>Capital Markets</t>
  </si>
  <si>
    <t>Honeywell Automation India Ltd</t>
  </si>
  <si>
    <t>INE671A01010</t>
  </si>
  <si>
    <t>Industrial Capital Goods</t>
  </si>
  <si>
    <t>Dr. Lal Path Labs Ltd</t>
  </si>
  <si>
    <t>INE600L01024</t>
  </si>
  <si>
    <t>Rights</t>
  </si>
  <si>
    <t>Bharti Airtel Ltd</t>
  </si>
  <si>
    <t>INE397D20024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</si>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</sst>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0" xfId="0" applyFont="1" applyFill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</xdr:row>
      <xdr:rowOff>28575</xdr:rowOff>
    </xdr:from>
    <xdr:to>
      <xdr:col>8</xdr:col>
      <xdr:colOff>1676400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67106-E12E-4A4A-B896-8F088E012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7975" y="1038225"/>
          <a:ext cx="16383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28575</xdr:rowOff>
    </xdr:from>
    <xdr:to>
      <xdr:col>9</xdr:col>
      <xdr:colOff>1609725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EAFA0-CA3C-488E-A725-DCDDFAC7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038225"/>
          <a:ext cx="16002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1638300</xdr:colOff>
      <xdr:row>11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BD8BDE-779B-423A-B7A6-19EB8E6F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0" y="1047750"/>
          <a:ext cx="16002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8"/>
  <sheetViews>
    <sheetView tabSelected="1" topLeftCell="C1" workbookViewId="0">
      <selection activeCell="B1" sqref="B1:G1"/>
    </sheetView>
  </sheetViews>
  <sheetFormatPr defaultRowHeight="12"/>
  <cols>
    <col min="1" max="1" width="9.140625" style="3"/>
    <col min="2" max="2" width="61.5703125" style="3" bestFit="1" customWidth="1"/>
    <col min="3" max="3" width="13.28515625" style="3" bestFit="1" customWidth="1"/>
    <col min="4" max="4" width="18.28515625" style="3" customWidth="1"/>
    <col min="5" max="5" width="22.2851562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28515625" style="3" customWidth="1"/>
    <col min="10" max="10" width="24.5703125" style="3" customWidth="1"/>
    <col min="11" max="11" width="25.42578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3816000</v>
      </c>
      <c r="F7" s="23">
        <v>60863.29</v>
      </c>
      <c r="G7" s="23">
        <v>5.31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7598000</v>
      </c>
      <c r="F8" s="23">
        <v>53250.58</v>
      </c>
      <c r="G8" s="23">
        <v>4.6500000000000004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2760000</v>
      </c>
      <c r="F9" s="23">
        <v>46235.519999999997</v>
      </c>
      <c r="G9" s="23">
        <v>4.03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1683000</v>
      </c>
      <c r="F10" s="23">
        <v>42398.98</v>
      </c>
      <c r="G10" s="23">
        <v>3.7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503000</v>
      </c>
      <c r="F11" s="23">
        <v>38570.54</v>
      </c>
      <c r="G11" s="23">
        <v>3.37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15</v>
      </c>
      <c r="E12" s="26">
        <v>4863090</v>
      </c>
      <c r="F12" s="23">
        <v>37278.019999999997</v>
      </c>
      <c r="G12" s="23">
        <v>3.25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15</v>
      </c>
      <c r="E13" s="26">
        <v>6950000</v>
      </c>
      <c r="F13" s="23">
        <v>31483.5</v>
      </c>
      <c r="G13" s="23">
        <v>2.75</v>
      </c>
      <c r="K13" s="3" t="s">
        <v>31</v>
      </c>
    </row>
    <row r="14" spans="2:11">
      <c r="B14" s="25" t="s">
        <v>32</v>
      </c>
      <c r="C14" s="21" t="s">
        <v>33</v>
      </c>
      <c r="D14" s="21" t="s">
        <v>34</v>
      </c>
      <c r="E14" s="26">
        <v>3659476</v>
      </c>
      <c r="F14" s="23">
        <v>27032.55</v>
      </c>
      <c r="G14" s="23">
        <v>2.36</v>
      </c>
    </row>
    <row r="15" spans="2:11">
      <c r="B15" s="25" t="s">
        <v>35</v>
      </c>
      <c r="C15" s="21" t="s">
        <v>36</v>
      </c>
      <c r="D15" s="21" t="s">
        <v>37</v>
      </c>
      <c r="E15" s="26">
        <v>7511459</v>
      </c>
      <c r="F15" s="23">
        <v>27007.45</v>
      </c>
      <c r="G15" s="23">
        <v>2.36</v>
      </c>
    </row>
    <row r="16" spans="2:11">
      <c r="B16" s="25" t="s">
        <v>38</v>
      </c>
      <c r="C16" s="21" t="s">
        <v>39</v>
      </c>
      <c r="D16" s="21" t="s">
        <v>40</v>
      </c>
      <c r="E16" s="26">
        <v>568005</v>
      </c>
      <c r="F16" s="23">
        <v>24141.35</v>
      </c>
      <c r="G16" s="23">
        <v>2.11</v>
      </c>
    </row>
    <row r="17" spans="2:7">
      <c r="B17" s="25" t="s">
        <v>41</v>
      </c>
      <c r="C17" s="21" t="s">
        <v>42</v>
      </c>
      <c r="D17" s="21" t="s">
        <v>43</v>
      </c>
      <c r="E17" s="26">
        <v>1921175</v>
      </c>
      <c r="F17" s="23">
        <v>23400.87</v>
      </c>
      <c r="G17" s="23">
        <v>2.04</v>
      </c>
    </row>
    <row r="18" spans="2:7">
      <c r="B18" s="25" t="s">
        <v>44</v>
      </c>
      <c r="C18" s="21" t="s">
        <v>45</v>
      </c>
      <c r="D18" s="21" t="s">
        <v>46</v>
      </c>
      <c r="E18" s="26">
        <v>965180</v>
      </c>
      <c r="F18" s="23">
        <v>23058.15</v>
      </c>
      <c r="G18" s="23">
        <v>2.0099999999999998</v>
      </c>
    </row>
    <row r="19" spans="2:7">
      <c r="B19" s="25" t="s">
        <v>47</v>
      </c>
      <c r="C19" s="21" t="s">
        <v>48</v>
      </c>
      <c r="D19" s="21" t="s">
        <v>20</v>
      </c>
      <c r="E19" s="26">
        <v>585264</v>
      </c>
      <c r="F19" s="23">
        <v>22096.93</v>
      </c>
      <c r="G19" s="23">
        <v>1.93</v>
      </c>
    </row>
    <row r="20" spans="2:7">
      <c r="B20" s="25" t="s">
        <v>49</v>
      </c>
      <c r="C20" s="21" t="s">
        <v>50</v>
      </c>
      <c r="D20" s="21" t="s">
        <v>51</v>
      </c>
      <c r="E20" s="26">
        <v>228427</v>
      </c>
      <c r="F20" s="23">
        <v>21615.02</v>
      </c>
      <c r="G20" s="23">
        <v>1.89</v>
      </c>
    </row>
    <row r="21" spans="2:7">
      <c r="B21" s="25" t="s">
        <v>52</v>
      </c>
      <c r="C21" s="21" t="s">
        <v>53</v>
      </c>
      <c r="D21" s="21" t="s">
        <v>54</v>
      </c>
      <c r="E21" s="26">
        <v>550709</v>
      </c>
      <c r="F21" s="23">
        <v>20485.82</v>
      </c>
      <c r="G21" s="23">
        <v>1.79</v>
      </c>
    </row>
    <row r="22" spans="2:7">
      <c r="B22" s="25" t="s">
        <v>55</v>
      </c>
      <c r="C22" s="21" t="s">
        <v>56</v>
      </c>
      <c r="D22" s="21" t="s">
        <v>26</v>
      </c>
      <c r="E22" s="26">
        <v>3499707</v>
      </c>
      <c r="F22" s="23">
        <v>19747.099999999999</v>
      </c>
      <c r="G22" s="23">
        <v>1.72</v>
      </c>
    </row>
    <row r="23" spans="2:7">
      <c r="B23" s="25" t="s">
        <v>57</v>
      </c>
      <c r="C23" s="21" t="s">
        <v>58</v>
      </c>
      <c r="D23" s="21" t="s">
        <v>59</v>
      </c>
      <c r="E23" s="26">
        <v>1927802</v>
      </c>
      <c r="F23" s="23">
        <v>19553.7</v>
      </c>
      <c r="G23" s="23">
        <v>1.71</v>
      </c>
    </row>
    <row r="24" spans="2:7">
      <c r="B24" s="25" t="s">
        <v>60</v>
      </c>
      <c r="C24" s="21" t="s">
        <v>61</v>
      </c>
      <c r="D24" s="21" t="s">
        <v>20</v>
      </c>
      <c r="E24" s="26">
        <v>627587</v>
      </c>
      <c r="F24" s="23">
        <v>19482.810000000001</v>
      </c>
      <c r="G24" s="23">
        <v>1.7</v>
      </c>
    </row>
    <row r="25" spans="2:7">
      <c r="B25" s="25" t="s">
        <v>62</v>
      </c>
      <c r="C25" s="21" t="s">
        <v>63</v>
      </c>
      <c r="D25" s="21" t="s">
        <v>54</v>
      </c>
      <c r="E25" s="26">
        <v>2300000</v>
      </c>
      <c r="F25" s="23">
        <v>18819.75</v>
      </c>
      <c r="G25" s="23">
        <v>1.64</v>
      </c>
    </row>
    <row r="26" spans="2:7">
      <c r="B26" s="25" t="s">
        <v>64</v>
      </c>
      <c r="C26" s="21" t="s">
        <v>65</v>
      </c>
      <c r="D26" s="21" t="s">
        <v>40</v>
      </c>
      <c r="E26" s="26">
        <v>7423869</v>
      </c>
      <c r="F26" s="23">
        <v>18288.7</v>
      </c>
      <c r="G26" s="23">
        <v>1.6</v>
      </c>
    </row>
    <row r="27" spans="2:7">
      <c r="B27" s="25" t="s">
        <v>66</v>
      </c>
      <c r="C27" s="21" t="s">
        <v>67</v>
      </c>
      <c r="D27" s="21" t="s">
        <v>34</v>
      </c>
      <c r="E27" s="26">
        <v>3199998</v>
      </c>
      <c r="F27" s="23">
        <v>17787.189999999999</v>
      </c>
      <c r="G27" s="23">
        <v>1.55</v>
      </c>
    </row>
    <row r="28" spans="2:7">
      <c r="B28" s="25" t="s">
        <v>68</v>
      </c>
      <c r="C28" s="21" t="s">
        <v>69</v>
      </c>
      <c r="D28" s="21" t="s">
        <v>70</v>
      </c>
      <c r="E28" s="26">
        <v>443028</v>
      </c>
      <c r="F28" s="23">
        <v>16828.419999999998</v>
      </c>
      <c r="G28" s="23">
        <v>1.47</v>
      </c>
    </row>
    <row r="29" spans="2:7">
      <c r="B29" s="25" t="s">
        <v>71</v>
      </c>
      <c r="C29" s="21" t="s">
        <v>72</v>
      </c>
      <c r="D29" s="21" t="s">
        <v>73</v>
      </c>
      <c r="E29" s="26">
        <v>1200000</v>
      </c>
      <c r="F29" s="23">
        <v>16701</v>
      </c>
      <c r="G29" s="23">
        <v>1.46</v>
      </c>
    </row>
    <row r="30" spans="2:7">
      <c r="B30" s="25" t="s">
        <v>74</v>
      </c>
      <c r="C30" s="21" t="s">
        <v>75</v>
      </c>
      <c r="D30" s="21" t="s">
        <v>76</v>
      </c>
      <c r="E30" s="26">
        <v>975000</v>
      </c>
      <c r="F30" s="23">
        <v>16603.759999999998</v>
      </c>
      <c r="G30" s="23">
        <v>1.45</v>
      </c>
    </row>
    <row r="31" spans="2:7">
      <c r="B31" s="25" t="s">
        <v>77</v>
      </c>
      <c r="C31" s="21" t="s">
        <v>78</v>
      </c>
      <c r="D31" s="21" t="s">
        <v>79</v>
      </c>
      <c r="E31" s="26">
        <v>1250000</v>
      </c>
      <c r="F31" s="23">
        <v>16111.25</v>
      </c>
      <c r="G31" s="23">
        <v>1.41</v>
      </c>
    </row>
    <row r="32" spans="2:7">
      <c r="B32" s="25" t="s">
        <v>80</v>
      </c>
      <c r="C32" s="21" t="s">
        <v>81</v>
      </c>
      <c r="D32" s="21" t="s">
        <v>82</v>
      </c>
      <c r="E32" s="26">
        <v>3020534</v>
      </c>
      <c r="F32" s="23">
        <v>16102.47</v>
      </c>
      <c r="G32" s="23">
        <v>1.4</v>
      </c>
    </row>
    <row r="33" spans="2:7">
      <c r="B33" s="25" t="s">
        <v>83</v>
      </c>
      <c r="C33" s="21" t="s">
        <v>84</v>
      </c>
      <c r="D33" s="21" t="s">
        <v>85</v>
      </c>
      <c r="E33" s="26">
        <v>1696805</v>
      </c>
      <c r="F33" s="23">
        <v>15895.67</v>
      </c>
      <c r="G33" s="23">
        <v>1.39</v>
      </c>
    </row>
    <row r="34" spans="2:7">
      <c r="B34" s="25" t="s">
        <v>86</v>
      </c>
      <c r="C34" s="21" t="s">
        <v>87</v>
      </c>
      <c r="D34" s="21" t="s">
        <v>51</v>
      </c>
      <c r="E34" s="26">
        <v>427964</v>
      </c>
      <c r="F34" s="23">
        <v>15769.4</v>
      </c>
      <c r="G34" s="23">
        <v>1.38</v>
      </c>
    </row>
    <row r="35" spans="2:7">
      <c r="B35" s="25" t="s">
        <v>88</v>
      </c>
      <c r="C35" s="21" t="s">
        <v>89</v>
      </c>
      <c r="D35" s="21" t="s">
        <v>90</v>
      </c>
      <c r="E35" s="26">
        <v>4700000</v>
      </c>
      <c r="F35" s="23">
        <v>15667.45</v>
      </c>
      <c r="G35" s="23">
        <v>1.37</v>
      </c>
    </row>
    <row r="36" spans="2:7">
      <c r="B36" s="25" t="s">
        <v>91</v>
      </c>
      <c r="C36" s="21" t="s">
        <v>92</v>
      </c>
      <c r="D36" s="21" t="s">
        <v>82</v>
      </c>
      <c r="E36" s="26">
        <v>2434300</v>
      </c>
      <c r="F36" s="23">
        <v>15517.45</v>
      </c>
      <c r="G36" s="23">
        <v>1.35</v>
      </c>
    </row>
    <row r="37" spans="2:7">
      <c r="B37" s="25" t="s">
        <v>93</v>
      </c>
      <c r="C37" s="21" t="s">
        <v>94</v>
      </c>
      <c r="D37" s="21" t="s">
        <v>51</v>
      </c>
      <c r="E37" s="26">
        <v>797176</v>
      </c>
      <c r="F37" s="23">
        <v>15449.67</v>
      </c>
      <c r="G37" s="23">
        <v>1.35</v>
      </c>
    </row>
    <row r="38" spans="2:7">
      <c r="B38" s="25" t="s">
        <v>95</v>
      </c>
      <c r="C38" s="21" t="s">
        <v>96</v>
      </c>
      <c r="D38" s="21" t="s">
        <v>97</v>
      </c>
      <c r="E38" s="26">
        <v>1600000</v>
      </c>
      <c r="F38" s="23">
        <v>15427.2</v>
      </c>
      <c r="G38" s="23">
        <v>1.35</v>
      </c>
    </row>
    <row r="39" spans="2:7">
      <c r="B39" s="25" t="s">
        <v>98</v>
      </c>
      <c r="C39" s="21" t="s">
        <v>99</v>
      </c>
      <c r="D39" s="21" t="s">
        <v>100</v>
      </c>
      <c r="E39" s="26">
        <v>7300000</v>
      </c>
      <c r="F39" s="23">
        <v>14815.35</v>
      </c>
      <c r="G39" s="23">
        <v>1.29</v>
      </c>
    </row>
    <row r="40" spans="2:7">
      <c r="B40" s="25" t="s">
        <v>101</v>
      </c>
      <c r="C40" s="21" t="s">
        <v>102</v>
      </c>
      <c r="D40" s="21" t="s">
        <v>54</v>
      </c>
      <c r="E40" s="26">
        <v>611438</v>
      </c>
      <c r="F40" s="23">
        <v>14743.91</v>
      </c>
      <c r="G40" s="23">
        <v>1.29</v>
      </c>
    </row>
    <row r="41" spans="2:7">
      <c r="B41" s="25" t="s">
        <v>103</v>
      </c>
      <c r="C41" s="21" t="s">
        <v>104</v>
      </c>
      <c r="D41" s="21" t="s">
        <v>15</v>
      </c>
      <c r="E41" s="26">
        <v>724657</v>
      </c>
      <c r="F41" s="23">
        <v>14533</v>
      </c>
      <c r="G41" s="23">
        <v>1.27</v>
      </c>
    </row>
    <row r="42" spans="2:7">
      <c r="B42" s="25" t="s">
        <v>105</v>
      </c>
      <c r="C42" s="21" t="s">
        <v>106</v>
      </c>
      <c r="D42" s="21" t="s">
        <v>43</v>
      </c>
      <c r="E42" s="26">
        <v>628398</v>
      </c>
      <c r="F42" s="23">
        <v>14358.58</v>
      </c>
      <c r="G42" s="23">
        <v>1.25</v>
      </c>
    </row>
    <row r="43" spans="2:7">
      <c r="B43" s="25" t="s">
        <v>107</v>
      </c>
      <c r="C43" s="21" t="s">
        <v>108</v>
      </c>
      <c r="D43" s="21" t="s">
        <v>34</v>
      </c>
      <c r="E43" s="26">
        <v>561072</v>
      </c>
      <c r="F43" s="23">
        <v>14215.6</v>
      </c>
      <c r="G43" s="23">
        <v>1.24</v>
      </c>
    </row>
    <row r="44" spans="2:7">
      <c r="B44" s="25" t="s">
        <v>109</v>
      </c>
      <c r="C44" s="21" t="s">
        <v>110</v>
      </c>
      <c r="D44" s="21" t="s">
        <v>26</v>
      </c>
      <c r="E44" s="26">
        <v>3250000</v>
      </c>
      <c r="F44" s="23">
        <v>13879.13</v>
      </c>
      <c r="G44" s="23">
        <v>1.21</v>
      </c>
    </row>
    <row r="45" spans="2:7">
      <c r="B45" s="25" t="s">
        <v>111</v>
      </c>
      <c r="C45" s="21" t="s">
        <v>112</v>
      </c>
      <c r="D45" s="21" t="s">
        <v>54</v>
      </c>
      <c r="E45" s="26">
        <v>67529</v>
      </c>
      <c r="F45" s="23">
        <v>13855.47</v>
      </c>
      <c r="G45" s="23">
        <v>1.21</v>
      </c>
    </row>
    <row r="46" spans="2:7">
      <c r="B46" s="25" t="s">
        <v>113</v>
      </c>
      <c r="C46" s="21" t="s">
        <v>114</v>
      </c>
      <c r="D46" s="21" t="s">
        <v>115</v>
      </c>
      <c r="E46" s="26">
        <v>343012</v>
      </c>
      <c r="F46" s="23">
        <v>13545.37</v>
      </c>
      <c r="G46" s="23">
        <v>1.18</v>
      </c>
    </row>
    <row r="47" spans="2:7">
      <c r="B47" s="25" t="s">
        <v>116</v>
      </c>
      <c r="C47" s="21" t="s">
        <v>117</v>
      </c>
      <c r="D47" s="21" t="s">
        <v>115</v>
      </c>
      <c r="E47" s="26">
        <v>2108216</v>
      </c>
      <c r="F47" s="23">
        <v>13350.28</v>
      </c>
      <c r="G47" s="23">
        <v>1.1599999999999999</v>
      </c>
    </row>
    <row r="48" spans="2:7">
      <c r="B48" s="25" t="s">
        <v>118</v>
      </c>
      <c r="C48" s="21" t="s">
        <v>119</v>
      </c>
      <c r="D48" s="21" t="s">
        <v>120</v>
      </c>
      <c r="E48" s="26">
        <v>180000</v>
      </c>
      <c r="F48" s="23">
        <v>13312.98</v>
      </c>
      <c r="G48" s="23">
        <v>1.1599999999999999</v>
      </c>
    </row>
    <row r="49" spans="2:7">
      <c r="B49" s="25" t="s">
        <v>121</v>
      </c>
      <c r="C49" s="21" t="s">
        <v>122</v>
      </c>
      <c r="D49" s="21" t="s">
        <v>115</v>
      </c>
      <c r="E49" s="26">
        <v>1605000</v>
      </c>
      <c r="F49" s="23">
        <v>13058.28</v>
      </c>
      <c r="G49" s="23">
        <v>1.1399999999999999</v>
      </c>
    </row>
    <row r="50" spans="2:7">
      <c r="B50" s="25" t="s">
        <v>123</v>
      </c>
      <c r="C50" s="21" t="s">
        <v>124</v>
      </c>
      <c r="D50" s="21" t="s">
        <v>73</v>
      </c>
      <c r="E50" s="26">
        <v>1800000</v>
      </c>
      <c r="F50" s="23">
        <v>12389.4</v>
      </c>
      <c r="G50" s="23">
        <v>1.08</v>
      </c>
    </row>
    <row r="51" spans="2:7">
      <c r="B51" s="25" t="s">
        <v>125</v>
      </c>
      <c r="C51" s="21" t="s">
        <v>126</v>
      </c>
      <c r="D51" s="21" t="s">
        <v>46</v>
      </c>
      <c r="E51" s="26">
        <v>1656703</v>
      </c>
      <c r="F51" s="23">
        <v>12217.36</v>
      </c>
      <c r="G51" s="23">
        <v>1.07</v>
      </c>
    </row>
    <row r="52" spans="2:7">
      <c r="B52" s="25" t="s">
        <v>127</v>
      </c>
      <c r="C52" s="21" t="s">
        <v>128</v>
      </c>
      <c r="D52" s="21" t="s">
        <v>120</v>
      </c>
      <c r="E52" s="26">
        <v>1224043</v>
      </c>
      <c r="F52" s="23">
        <v>12052.54</v>
      </c>
      <c r="G52" s="23">
        <v>1.05</v>
      </c>
    </row>
    <row r="53" spans="2:7">
      <c r="B53" s="25" t="s">
        <v>129</v>
      </c>
      <c r="C53" s="21" t="s">
        <v>130</v>
      </c>
      <c r="D53" s="21" t="s">
        <v>40</v>
      </c>
      <c r="E53" s="26">
        <v>8785000</v>
      </c>
      <c r="F53" s="23">
        <v>12000.31</v>
      </c>
      <c r="G53" s="23">
        <v>1.05</v>
      </c>
    </row>
    <row r="54" spans="2:7">
      <c r="B54" s="25" t="s">
        <v>131</v>
      </c>
      <c r="C54" s="21" t="s">
        <v>132</v>
      </c>
      <c r="D54" s="21" t="s">
        <v>15</v>
      </c>
      <c r="E54" s="26">
        <v>7397674</v>
      </c>
      <c r="F54" s="23">
        <v>11662.43</v>
      </c>
      <c r="G54" s="23">
        <v>1.02</v>
      </c>
    </row>
    <row r="55" spans="2:7">
      <c r="B55" s="25" t="s">
        <v>133</v>
      </c>
      <c r="C55" s="21" t="s">
        <v>134</v>
      </c>
      <c r="D55" s="21" t="s">
        <v>90</v>
      </c>
      <c r="E55" s="26">
        <v>2050000</v>
      </c>
      <c r="F55" s="23">
        <v>11263.73</v>
      </c>
      <c r="G55" s="23">
        <v>0.98</v>
      </c>
    </row>
    <row r="56" spans="2:7">
      <c r="B56" s="25" t="s">
        <v>135</v>
      </c>
      <c r="C56" s="21" t="s">
        <v>136</v>
      </c>
      <c r="D56" s="21" t="s">
        <v>137</v>
      </c>
      <c r="E56" s="26">
        <v>277253</v>
      </c>
      <c r="F56" s="23">
        <v>11203.52</v>
      </c>
      <c r="G56" s="23">
        <v>0.98</v>
      </c>
    </row>
    <row r="57" spans="2:7">
      <c r="B57" s="25" t="s">
        <v>138</v>
      </c>
      <c r="C57" s="21" t="s">
        <v>139</v>
      </c>
      <c r="D57" s="21" t="s">
        <v>115</v>
      </c>
      <c r="E57" s="26">
        <v>400000</v>
      </c>
      <c r="F57" s="23">
        <v>10807.2</v>
      </c>
      <c r="G57" s="23">
        <v>0.94</v>
      </c>
    </row>
    <row r="58" spans="2:7">
      <c r="B58" s="25" t="s">
        <v>140</v>
      </c>
      <c r="C58" s="21" t="s">
        <v>141</v>
      </c>
      <c r="D58" s="21" t="s">
        <v>142</v>
      </c>
      <c r="E58" s="26">
        <v>331287</v>
      </c>
      <c r="F58" s="23">
        <v>10529.46</v>
      </c>
      <c r="G58" s="23">
        <v>0.92</v>
      </c>
    </row>
    <row r="59" spans="2:7">
      <c r="B59" s="25" t="s">
        <v>143</v>
      </c>
      <c r="C59" s="21" t="s">
        <v>144</v>
      </c>
      <c r="D59" s="21" t="s">
        <v>54</v>
      </c>
      <c r="E59" s="26">
        <v>215378</v>
      </c>
      <c r="F59" s="23">
        <v>10335.34</v>
      </c>
      <c r="G59" s="23">
        <v>0.9</v>
      </c>
    </row>
    <row r="60" spans="2:7">
      <c r="B60" s="25" t="s">
        <v>145</v>
      </c>
      <c r="C60" s="21" t="s">
        <v>146</v>
      </c>
      <c r="D60" s="21" t="s">
        <v>26</v>
      </c>
      <c r="E60" s="26">
        <v>998508</v>
      </c>
      <c r="F60" s="23">
        <v>10280.64</v>
      </c>
      <c r="G60" s="23">
        <v>0.9</v>
      </c>
    </row>
    <row r="61" spans="2:7">
      <c r="B61" s="25" t="s">
        <v>147</v>
      </c>
      <c r="C61" s="21" t="s">
        <v>148</v>
      </c>
      <c r="D61" s="21" t="s">
        <v>26</v>
      </c>
      <c r="E61" s="26">
        <v>650000</v>
      </c>
      <c r="F61" s="23">
        <v>9426.9500000000007</v>
      </c>
      <c r="G61" s="23">
        <v>0.82</v>
      </c>
    </row>
    <row r="62" spans="2:7">
      <c r="B62" s="25" t="s">
        <v>149</v>
      </c>
      <c r="C62" s="21" t="s">
        <v>150</v>
      </c>
      <c r="D62" s="21" t="s">
        <v>46</v>
      </c>
      <c r="E62" s="26">
        <v>436085</v>
      </c>
      <c r="F62" s="23">
        <v>8526.77</v>
      </c>
      <c r="G62" s="23">
        <v>0.74</v>
      </c>
    </row>
    <row r="63" spans="2:7">
      <c r="B63" s="25" t="s">
        <v>151</v>
      </c>
      <c r="C63" s="21" t="s">
        <v>152</v>
      </c>
      <c r="D63" s="21" t="s">
        <v>70</v>
      </c>
      <c r="E63" s="26">
        <v>526391</v>
      </c>
      <c r="F63" s="23">
        <v>8124.32</v>
      </c>
      <c r="G63" s="23">
        <v>0.71</v>
      </c>
    </row>
    <row r="64" spans="2:7">
      <c r="B64" s="25" t="s">
        <v>153</v>
      </c>
      <c r="C64" s="21" t="s">
        <v>154</v>
      </c>
      <c r="D64" s="21" t="s">
        <v>155</v>
      </c>
      <c r="E64" s="26">
        <v>469500</v>
      </c>
      <c r="F64" s="23">
        <v>7787.36</v>
      </c>
      <c r="G64" s="23">
        <v>0.68</v>
      </c>
    </row>
    <row r="65" spans="2:9">
      <c r="B65" s="25" t="s">
        <v>156</v>
      </c>
      <c r="C65" s="21" t="s">
        <v>157</v>
      </c>
      <c r="D65" s="21" t="s">
        <v>158</v>
      </c>
      <c r="E65" s="26">
        <v>12070</v>
      </c>
      <c r="F65" s="23">
        <v>5517.74</v>
      </c>
      <c r="G65" s="23">
        <v>0.48</v>
      </c>
    </row>
    <row r="66" spans="2:9">
      <c r="B66" s="25" t="s">
        <v>159</v>
      </c>
      <c r="C66" s="21" t="s">
        <v>160</v>
      </c>
      <c r="D66" s="21" t="s">
        <v>37</v>
      </c>
      <c r="E66" s="26">
        <v>62390</v>
      </c>
      <c r="F66" s="23">
        <v>2293.96</v>
      </c>
      <c r="G66" s="23">
        <v>0.2</v>
      </c>
    </row>
    <row r="67" spans="2:9">
      <c r="B67" s="20" t="s">
        <v>161</v>
      </c>
      <c r="C67" s="21"/>
      <c r="D67" s="21"/>
      <c r="E67" s="26"/>
      <c r="F67" s="23"/>
      <c r="G67" s="23"/>
    </row>
    <row r="68" spans="2:9">
      <c r="B68" s="25" t="s">
        <v>162</v>
      </c>
      <c r="C68" s="21" t="s">
        <v>163</v>
      </c>
      <c r="D68" s="21" t="s">
        <v>73</v>
      </c>
      <c r="E68" s="26">
        <v>164285</v>
      </c>
      <c r="F68" s="23">
        <v>251.85</v>
      </c>
      <c r="G68" s="23">
        <f>F68/F76*100</f>
        <v>2.1974186957045738E-2</v>
      </c>
    </row>
    <row r="69" spans="2:9">
      <c r="B69" s="28" t="s">
        <v>164</v>
      </c>
      <c r="C69" s="29"/>
      <c r="D69" s="29"/>
      <c r="E69" s="30"/>
      <c r="F69" s="31">
        <f>SUM(F7:F68)</f>
        <v>1109010.3900000001</v>
      </c>
      <c r="G69" s="31">
        <f>SUM(G7:G68)</f>
        <v>96.79197418695702</v>
      </c>
      <c r="H69" s="32"/>
      <c r="I69" s="32"/>
    </row>
    <row r="70" spans="2:9">
      <c r="B70" s="33" t="s">
        <v>165</v>
      </c>
      <c r="C70" s="33"/>
      <c r="D70" s="33"/>
      <c r="E70" s="34"/>
      <c r="F70" s="35">
        <f>F69</f>
        <v>1109010.3900000001</v>
      </c>
      <c r="G70" s="35">
        <f>G69</f>
        <v>96.79197418695702</v>
      </c>
      <c r="H70" s="32"/>
      <c r="I70" s="32"/>
    </row>
    <row r="71" spans="2:9">
      <c r="B71" s="36" t="s">
        <v>166</v>
      </c>
      <c r="C71" s="37"/>
      <c r="D71" s="37"/>
      <c r="E71" s="38"/>
      <c r="F71" s="39"/>
      <c r="G71" s="39"/>
    </row>
    <row r="72" spans="2:9">
      <c r="B72" s="25" t="s">
        <v>166</v>
      </c>
      <c r="C72" s="21"/>
      <c r="D72" s="21"/>
      <c r="E72" s="22"/>
      <c r="F72" s="23">
        <v>40452.39</v>
      </c>
      <c r="G72" s="23">
        <v>3.53</v>
      </c>
    </row>
    <row r="73" spans="2:9">
      <c r="B73" s="28" t="s">
        <v>164</v>
      </c>
      <c r="C73" s="29"/>
      <c r="D73" s="29"/>
      <c r="E73" s="30"/>
      <c r="F73" s="31">
        <f>SUM(F71:F72)</f>
        <v>40452.39</v>
      </c>
      <c r="G73" s="31">
        <f>SUM(G71:G72)</f>
        <v>3.53</v>
      </c>
      <c r="H73" s="32"/>
      <c r="I73" s="32"/>
    </row>
    <row r="74" spans="2:9">
      <c r="B74" s="40" t="s">
        <v>165</v>
      </c>
      <c r="C74" s="40"/>
      <c r="D74" s="40"/>
      <c r="E74" s="41"/>
      <c r="F74" s="42">
        <f>F73</f>
        <v>40452.39</v>
      </c>
      <c r="G74" s="42">
        <f>G73</f>
        <v>3.53</v>
      </c>
      <c r="H74" s="32"/>
      <c r="I74" s="32"/>
    </row>
    <row r="75" spans="2:9">
      <c r="B75" s="43" t="s">
        <v>167</v>
      </c>
      <c r="C75" s="43"/>
      <c r="D75" s="43"/>
      <c r="E75" s="44"/>
      <c r="F75" s="45">
        <f>F76-(+F70+F74)</f>
        <v>-3345.2900000000373</v>
      </c>
      <c r="G75" s="45">
        <f>G76-(+G70+G74)</f>
        <v>-0.3219741869570214</v>
      </c>
      <c r="H75" s="32"/>
      <c r="I75" s="32"/>
    </row>
    <row r="76" spans="2:9">
      <c r="B76" s="43" t="s">
        <v>168</v>
      </c>
      <c r="C76" s="43"/>
      <c r="D76" s="43"/>
      <c r="E76" s="44"/>
      <c r="F76" s="45">
        <v>1146117.49</v>
      </c>
      <c r="G76" s="45">
        <v>100</v>
      </c>
      <c r="H76" s="32"/>
      <c r="I76" s="32"/>
    </row>
    <row r="78" spans="2:9">
      <c r="B78" s="3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2021-10-08T11:17:55Z</dcterms:created>
  <dcterms:modified xsi:type="dcterms:W3CDTF">2021-10-08T11:17:57Z</dcterms:modified>
</cp:coreProperties>
</file>