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2" i="1"/>
  <c r="F32" i="1"/>
  <c r="G28" i="1"/>
  <c r="F28" i="1"/>
  <c r="G25" i="1"/>
  <c r="G33" i="1" s="1"/>
  <c r="F25" i="1"/>
  <c r="F33" i="1" s="1"/>
  <c r="G18" i="1"/>
  <c r="G19" i="1" s="1"/>
  <c r="G46" i="1" s="1"/>
  <c r="F18" i="1"/>
  <c r="F19" i="1" s="1"/>
  <c r="F46" i="1" s="1"/>
</calcChain>
</file>

<file path=xl/sharedStrings.xml><?xml version="1.0" encoding="utf-8"?>
<sst xmlns="http://schemas.openxmlformats.org/spreadsheetml/2006/main" count="117" uniqueCount="92">
  <si>
    <t>CANARA ROBECO SHORT DURATION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</si>
  <si>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</si>
  <si>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</si>
  <si>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</si>
  <si>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</si>
  <si>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</si>
  <si>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</si>
  <si>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</si>
  <si>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</si>
  <si>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Apr'23</t>
  </si>
  <si>
    <t>Benchmark Risk-o-meter Level- Apr'23</t>
  </si>
  <si>
    <t>Scheme Risk-o-meter Level- Mar'23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</si>
  <si>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</si>
  <si>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</si>
  <si>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</si>
  <si>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</si>
  <si>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</si>
  <si>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</si>
  <si>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</si>
  <si>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</si>
  <si>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7.75% Small Industries Development Bank Of India (27/10/2025) **</t>
  </si>
  <si>
    <t>INE556F08KD0</t>
  </si>
  <si>
    <t>CARE AAA</t>
  </si>
  <si>
    <t>Relatively Low (Class I)</t>
  </si>
  <si>
    <t>7.50% Grasim industries Ltd (10/06/2027) **</t>
  </si>
  <si>
    <t>INE047A08190</t>
  </si>
  <si>
    <t>CRISIL AAA</t>
  </si>
  <si>
    <t>7.58% National Bank For Agriculture &amp; Rural Development (31/07/2026)</t>
  </si>
  <si>
    <t>INE261F08DX0</t>
  </si>
  <si>
    <t>Moderate 
(Class II)</t>
  </si>
  <si>
    <t>B-II</t>
  </si>
  <si>
    <t>7.99% Housing Development Finance Corporation Ltd (11/07/2024)</t>
  </si>
  <si>
    <t>INE001A07RV7</t>
  </si>
  <si>
    <t>5.84% Bajaj Housing Finance Ltd (21/02/2024) **</t>
  </si>
  <si>
    <t>INE377Y07292</t>
  </si>
  <si>
    <t>Relatively High (Class III)</t>
  </si>
  <si>
    <t>5.00% Kotak Mahindra Prime Ltd (20/12/2023) **</t>
  </si>
  <si>
    <t>INE916DA7QS2</t>
  </si>
  <si>
    <t>6.00% Bajaj Finance Ltd (10/09/2024) **</t>
  </si>
  <si>
    <t>INE296A07RK6</t>
  </si>
  <si>
    <t>Benchmark: CRISIL Short Duration Debt B-II Index</t>
  </si>
  <si>
    <t>7.16% Power Finance Corporation Ltd (24/04/2025) **</t>
  </si>
  <si>
    <t>INE134E08KP3</t>
  </si>
  <si>
    <t>7.40% LIC Housing Finance Ltd (06/09/2024) **</t>
  </si>
  <si>
    <t>INE115A07ML7</t>
  </si>
  <si>
    <t>5.42% HDB Financial Services Ltd (17/01/2024) **</t>
  </si>
  <si>
    <t>INE756I07EA1</t>
  </si>
  <si>
    <t>7.42% Power Finance Corporation Ltd (19/11/2024) **</t>
  </si>
  <si>
    <t>INE134E08KH0</t>
  </si>
  <si>
    <t>Sub Total</t>
  </si>
  <si>
    <t>Total</t>
  </si>
  <si>
    <t>Money Market Instruments</t>
  </si>
  <si>
    <t>Certificate of Deposit</t>
  </si>
  <si>
    <t>Kotak Mahindra Bank Ltd (08/09/2023) ** #</t>
  </si>
  <si>
    <t>INE237A163Q9</t>
  </si>
  <si>
    <t>CRISIL A1+</t>
  </si>
  <si>
    <t>Axis Bank Ltd (14/02/2024) #</t>
  </si>
  <si>
    <t>INE238AD6348</t>
  </si>
  <si>
    <t>Indian Bank (05/03/2024) ** #</t>
  </si>
  <si>
    <t>INE562A16LN9</t>
  </si>
  <si>
    <t>Commercial Paper</t>
  </si>
  <si>
    <t xml:space="preserve">Reliance Jio Infocomm Ltd (29/09/2023) ** </t>
  </si>
  <si>
    <t>INE110L14RD7</t>
  </si>
  <si>
    <t>CARE A1+</t>
  </si>
  <si>
    <t>Treasury Bill</t>
  </si>
  <si>
    <t>364 DAYS TREASURY BILLS 04-JAN-24</t>
  </si>
  <si>
    <t>IN002022Z408</t>
  </si>
  <si>
    <t xml:space="preserve"> Sovereign</t>
  </si>
  <si>
    <t>364 DAYS TREASURY BILLS 01-FEB-24</t>
  </si>
  <si>
    <t>IN002022Z440</t>
  </si>
  <si>
    <t>Government Bonds</t>
  </si>
  <si>
    <t>5.63% INDIA GOVERNMENT 12-APR-26</t>
  </si>
  <si>
    <t>IN0020210012</t>
  </si>
  <si>
    <t>Sovereign</t>
  </si>
  <si>
    <t>7.38% GOI 20-JUN-27</t>
  </si>
  <si>
    <t>IN0020220037</t>
  </si>
  <si>
    <t>7.59% INDIA GOVERNMENT 11-JAN-26</t>
  </si>
  <si>
    <t>IN0020150093</t>
  </si>
  <si>
    <t>7.26% GOI 06-FEB-33</t>
  </si>
  <si>
    <t>IN0020220151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</si>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</sst>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257175</xdr:colOff>
      <xdr:row>4</xdr:row>
      <xdr:rowOff>85725</xdr:rowOff>
    </xdr:from>
    <xdr:ext cx="1933575" cy="1305922"/>
    <xdr:pic>
      <xdr:nvPicPr>
        <xdr:cNvPr id="2" name="Picture 1">
          <a:extLst>
            <a:ext uri="{FF2B5EF4-FFF2-40B4-BE49-F238E27FC236}">
              <a16:creationId xmlns:a16="http://schemas.microsoft.com/office/drawing/2014/main" id="{5F4DE75A-F03F-4DB2-8956-5558201F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5" y="1095375"/>
          <a:ext cx="1933575" cy="1305922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171450</xdr:colOff>
      <xdr:row>4</xdr:row>
      <xdr:rowOff>62748</xdr:rowOff>
    </xdr:from>
    <xdr:to>
      <xdr:col>10</xdr:col>
      <xdr:colOff>2438399</xdr:colOff>
      <xdr:row>10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367F21-35C3-4F3C-885D-44FF00C6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2950" y="1072398"/>
          <a:ext cx="2266949" cy="1375527"/>
        </a:xfrm>
        <a:prstGeom prst="rect">
          <a:avLst/>
        </a:prstGeom>
      </xdr:spPr>
    </xdr:pic>
    <xdr:clientData/>
  </xdr:twoCellAnchor>
  <xdr:oneCellAnchor>
    <xdr:from>
      <xdr:col>11</xdr:col>
      <xdr:colOff>95250</xdr:colOff>
      <xdr:row>4</xdr:row>
      <xdr:rowOff>76200</xdr:rowOff>
    </xdr:from>
    <xdr:ext cx="2228850" cy="1257299"/>
    <xdr:pic>
      <xdr:nvPicPr>
        <xdr:cNvPr id="4" name="Picture 3">
          <a:extLst>
            <a:ext uri="{FF2B5EF4-FFF2-40B4-BE49-F238E27FC236}">
              <a16:creationId xmlns:a16="http://schemas.microsoft.com/office/drawing/2014/main" id="{A3C2A74E-4065-4165-B84F-15A27ABA0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92300" y="1085850"/>
          <a:ext cx="2228850" cy="12572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7"/>
  <sheetViews>
    <sheetView tabSelected="1" workbookViewId="0">
      <selection activeCell="A14" sqref="A14"/>
    </sheetView>
  </sheetViews>
  <sheetFormatPr defaultRowHeight="12"/>
  <cols>
    <col min="1" max="1" width="9.140625" style="3"/>
    <col min="2" max="2" width="58.28515625" style="3" bestFit="1" customWidth="1"/>
    <col min="3" max="3" width="13.7109375" style="3" bestFit="1" customWidth="1"/>
    <col min="4" max="4" width="14.140625" style="3" bestFit="1" customWidth="1"/>
    <col min="5" max="5" width="8.85546875" style="61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1" width="37.42578125" style="4" customWidth="1"/>
    <col min="12" max="12" width="37.4257812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4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250</v>
      </c>
      <c r="F7" s="30">
        <v>2514.41</v>
      </c>
      <c r="G7" s="30">
        <v>5.05</v>
      </c>
      <c r="H7" s="30">
        <v>7.46</v>
      </c>
      <c r="J7" s="24"/>
      <c r="K7" s="24"/>
      <c r="L7" s="24"/>
      <c r="M7" s="4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26</v>
      </c>
      <c r="E8" s="32">
        <v>250</v>
      </c>
      <c r="F8" s="30">
        <v>2505.35</v>
      </c>
      <c r="G8" s="30">
        <v>5.03</v>
      </c>
      <c r="H8" s="30">
        <v>7.43</v>
      </c>
      <c r="J8" s="24"/>
      <c r="K8" s="24"/>
      <c r="L8" s="24"/>
      <c r="M8" s="4"/>
      <c r="N8" s="33"/>
      <c r="O8" s="35"/>
      <c r="P8" s="35"/>
      <c r="Q8" s="35"/>
    </row>
    <row r="9" spans="2:17">
      <c r="B9" s="28" t="s">
        <v>27</v>
      </c>
      <c r="C9" s="28" t="s">
        <v>28</v>
      </c>
      <c r="D9" s="28" t="s">
        <v>26</v>
      </c>
      <c r="E9" s="32">
        <v>2500</v>
      </c>
      <c r="F9" s="30">
        <v>2504.15</v>
      </c>
      <c r="G9" s="30">
        <v>5.03</v>
      </c>
      <c r="H9" s="30">
        <v>7.53</v>
      </c>
      <c r="J9" s="24"/>
      <c r="K9" s="24"/>
      <c r="L9" s="24"/>
      <c r="M9" s="4"/>
      <c r="N9" s="33" t="s">
        <v>29</v>
      </c>
      <c r="O9" s="34"/>
      <c r="P9" s="36" t="s">
        <v>30</v>
      </c>
      <c r="Q9" s="34"/>
    </row>
    <row r="10" spans="2:17">
      <c r="B10" s="28" t="s">
        <v>31</v>
      </c>
      <c r="C10" s="28" t="s">
        <v>32</v>
      </c>
      <c r="D10" s="28" t="s">
        <v>26</v>
      </c>
      <c r="E10" s="32">
        <v>250</v>
      </c>
      <c r="F10" s="30">
        <v>2504.04</v>
      </c>
      <c r="G10" s="30">
        <v>5.03</v>
      </c>
      <c r="H10" s="30">
        <v>7.8</v>
      </c>
      <c r="J10" s="24"/>
      <c r="K10" s="24"/>
      <c r="L10" s="24"/>
      <c r="M10" s="4"/>
      <c r="N10" s="33"/>
      <c r="O10" s="35"/>
      <c r="P10" s="37"/>
      <c r="Q10" s="35"/>
    </row>
    <row r="11" spans="2:17">
      <c r="B11" s="28" t="s">
        <v>33</v>
      </c>
      <c r="C11" s="28" t="s">
        <v>34</v>
      </c>
      <c r="D11" s="28" t="s">
        <v>26</v>
      </c>
      <c r="E11" s="32">
        <v>250</v>
      </c>
      <c r="F11" s="30">
        <v>2464.08</v>
      </c>
      <c r="G11" s="30">
        <v>4.95</v>
      </c>
      <c r="H11" s="30">
        <v>7.64</v>
      </c>
      <c r="J11" s="24"/>
      <c r="K11" s="24"/>
      <c r="L11" s="24"/>
      <c r="M11" s="4"/>
      <c r="N11" s="33" t="s">
        <v>35</v>
      </c>
      <c r="O11" s="34"/>
      <c r="P11" s="34"/>
      <c r="Q11" s="34"/>
    </row>
    <row r="12" spans="2:17">
      <c r="B12" s="28" t="s">
        <v>36</v>
      </c>
      <c r="C12" s="28" t="s">
        <v>37</v>
      </c>
      <c r="D12" s="28" t="s">
        <v>26</v>
      </c>
      <c r="E12" s="32">
        <v>250</v>
      </c>
      <c r="F12" s="30">
        <v>2460.14</v>
      </c>
      <c r="G12" s="30">
        <v>4.9400000000000004</v>
      </c>
      <c r="H12" s="30">
        <v>7.49</v>
      </c>
      <c r="J12" s="24"/>
      <c r="K12" s="24"/>
      <c r="L12" s="24"/>
      <c r="M12" s="4"/>
      <c r="N12" s="33"/>
      <c r="O12" s="35"/>
      <c r="P12" s="35"/>
      <c r="Q12" s="35"/>
    </row>
    <row r="13" spans="2:17">
      <c r="B13" s="28" t="s">
        <v>38</v>
      </c>
      <c r="C13" s="28" t="s">
        <v>39</v>
      </c>
      <c r="D13" s="28" t="s">
        <v>26</v>
      </c>
      <c r="E13" s="32">
        <v>250</v>
      </c>
      <c r="F13" s="30">
        <v>2442.61</v>
      </c>
      <c r="G13" s="30">
        <v>4.9000000000000004</v>
      </c>
      <c r="H13" s="30">
        <v>7.8</v>
      </c>
      <c r="J13" s="38"/>
      <c r="K13" s="38" t="s">
        <v>40</v>
      </c>
      <c r="L13" s="4"/>
      <c r="M13" s="4"/>
    </row>
    <row r="14" spans="2:17">
      <c r="B14" s="28" t="s">
        <v>41</v>
      </c>
      <c r="C14" s="28" t="s">
        <v>42</v>
      </c>
      <c r="D14" s="28" t="s">
        <v>26</v>
      </c>
      <c r="E14" s="32">
        <v>200</v>
      </c>
      <c r="F14" s="30">
        <v>1991.53</v>
      </c>
      <c r="G14" s="30">
        <v>4</v>
      </c>
      <c r="H14" s="30">
        <v>7.4</v>
      </c>
      <c r="L14" s="4"/>
      <c r="M14" s="4"/>
    </row>
    <row r="15" spans="2:17">
      <c r="B15" s="28" t="s">
        <v>43</v>
      </c>
      <c r="C15" s="28" t="s">
        <v>44</v>
      </c>
      <c r="D15" s="28" t="s">
        <v>26</v>
      </c>
      <c r="E15" s="32">
        <v>150</v>
      </c>
      <c r="F15" s="30">
        <v>1491.45</v>
      </c>
      <c r="G15" s="30">
        <v>2.99</v>
      </c>
      <c r="H15" s="30">
        <v>7.81</v>
      </c>
      <c r="L15" s="4"/>
      <c r="M15" s="4"/>
    </row>
    <row r="16" spans="2:17">
      <c r="B16" s="28" t="s">
        <v>45</v>
      </c>
      <c r="C16" s="28" t="s">
        <v>46</v>
      </c>
      <c r="D16" s="28" t="s">
        <v>26</v>
      </c>
      <c r="E16" s="32">
        <v>150</v>
      </c>
      <c r="F16" s="30">
        <v>1475.79</v>
      </c>
      <c r="G16" s="30">
        <v>2.96</v>
      </c>
      <c r="H16" s="30">
        <v>7.68</v>
      </c>
      <c r="L16" s="4"/>
      <c r="M16" s="4"/>
    </row>
    <row r="17" spans="2:13">
      <c r="B17" s="28" t="s">
        <v>47</v>
      </c>
      <c r="C17" s="28" t="s">
        <v>48</v>
      </c>
      <c r="D17" s="28" t="s">
        <v>26</v>
      </c>
      <c r="E17" s="32">
        <v>100</v>
      </c>
      <c r="F17" s="30">
        <v>999.7</v>
      </c>
      <c r="G17" s="30">
        <v>2.0099999999999998</v>
      </c>
      <c r="H17" s="30">
        <v>7.4</v>
      </c>
      <c r="L17" s="4"/>
      <c r="M17" s="4"/>
    </row>
    <row r="18" spans="2:13">
      <c r="B18" s="39" t="s">
        <v>49</v>
      </c>
      <c r="C18" s="39"/>
      <c r="D18" s="39"/>
      <c r="E18" s="40"/>
      <c r="F18" s="41">
        <f>SUM(F6:F17)</f>
        <v>23353.25</v>
      </c>
      <c r="G18" s="41">
        <f>SUM(G6:G17)</f>
        <v>46.89</v>
      </c>
      <c r="H18" s="42"/>
      <c r="I18" s="43"/>
      <c r="L18" s="4"/>
      <c r="M18" s="4"/>
    </row>
    <row r="19" spans="2:13">
      <c r="B19" s="44" t="s">
        <v>50</v>
      </c>
      <c r="C19" s="44"/>
      <c r="D19" s="44"/>
      <c r="E19" s="45"/>
      <c r="F19" s="46">
        <f>F18</f>
        <v>23353.25</v>
      </c>
      <c r="G19" s="46">
        <f>G18</f>
        <v>46.89</v>
      </c>
      <c r="H19" s="46"/>
      <c r="I19" s="43"/>
      <c r="L19" s="4"/>
      <c r="M19" s="4"/>
    </row>
    <row r="20" spans="2:13">
      <c r="B20" s="27" t="s">
        <v>51</v>
      </c>
      <c r="C20" s="28"/>
      <c r="D20" s="28"/>
      <c r="E20" s="29"/>
      <c r="F20" s="30"/>
      <c r="G20" s="30"/>
      <c r="H20" s="30"/>
      <c r="L20" s="4"/>
      <c r="M20" s="4"/>
    </row>
    <row r="21" spans="2:13">
      <c r="B21" s="27" t="s">
        <v>52</v>
      </c>
      <c r="C21" s="28"/>
      <c r="D21" s="28"/>
      <c r="E21" s="29"/>
      <c r="F21" s="30"/>
      <c r="G21" s="30"/>
      <c r="H21" s="30"/>
      <c r="L21" s="4"/>
      <c r="M21" s="4"/>
    </row>
    <row r="22" spans="2:13">
      <c r="B22" s="28" t="s">
        <v>53</v>
      </c>
      <c r="C22" s="28" t="s">
        <v>54</v>
      </c>
      <c r="D22" s="28" t="s">
        <v>55</v>
      </c>
      <c r="E22" s="32">
        <v>500</v>
      </c>
      <c r="F22" s="30">
        <v>2437.58</v>
      </c>
      <c r="G22" s="30">
        <v>4.8899999999999997</v>
      </c>
      <c r="H22" s="30">
        <v>7.19</v>
      </c>
      <c r="L22" s="4"/>
      <c r="M22" s="4"/>
    </row>
    <row r="23" spans="2:13">
      <c r="B23" s="28" t="s">
        <v>56</v>
      </c>
      <c r="C23" s="28" t="s">
        <v>57</v>
      </c>
      <c r="D23" s="28" t="s">
        <v>55</v>
      </c>
      <c r="E23" s="32">
        <v>500</v>
      </c>
      <c r="F23" s="30">
        <v>2361.98</v>
      </c>
      <c r="G23" s="30">
        <v>4.74</v>
      </c>
      <c r="H23" s="30">
        <v>7.38</v>
      </c>
      <c r="L23" s="4"/>
      <c r="M23" s="4"/>
    </row>
    <row r="24" spans="2:13">
      <c r="B24" s="28" t="s">
        <v>58</v>
      </c>
      <c r="C24" s="28" t="s">
        <v>59</v>
      </c>
      <c r="D24" s="28" t="s">
        <v>55</v>
      </c>
      <c r="E24" s="32">
        <v>500</v>
      </c>
      <c r="F24" s="30">
        <v>2352.15</v>
      </c>
      <c r="G24" s="30">
        <v>4.72</v>
      </c>
      <c r="H24" s="30">
        <v>7.43</v>
      </c>
      <c r="L24" s="4"/>
      <c r="M24" s="4"/>
    </row>
    <row r="25" spans="2:13">
      <c r="B25" s="27" t="s">
        <v>49</v>
      </c>
      <c r="C25" s="27"/>
      <c r="D25" s="27"/>
      <c r="E25" s="47"/>
      <c r="F25" s="48">
        <f>SUM(F21:F24)</f>
        <v>7151.7099999999991</v>
      </c>
      <c r="G25" s="48">
        <f>SUM(G21:G24)</f>
        <v>14.349999999999998</v>
      </c>
      <c r="H25" s="49"/>
      <c r="I25" s="43"/>
      <c r="L25" s="4"/>
      <c r="M25" s="4"/>
    </row>
    <row r="26" spans="2:13">
      <c r="B26" s="27" t="s">
        <v>60</v>
      </c>
      <c r="C26" s="28"/>
      <c r="D26" s="28"/>
      <c r="E26" s="29"/>
      <c r="F26" s="30"/>
      <c r="G26" s="30"/>
      <c r="H26" s="30"/>
      <c r="L26" s="4"/>
      <c r="M26" s="4"/>
    </row>
    <row r="27" spans="2:13">
      <c r="B27" s="28" t="s">
        <v>61</v>
      </c>
      <c r="C27" s="28" t="s">
        <v>62</v>
      </c>
      <c r="D27" s="28" t="s">
        <v>63</v>
      </c>
      <c r="E27" s="32">
        <v>500</v>
      </c>
      <c r="F27" s="30">
        <v>2426.86</v>
      </c>
      <c r="G27" s="30">
        <v>4.87</v>
      </c>
      <c r="H27" s="30">
        <v>7.29</v>
      </c>
      <c r="L27" s="4"/>
      <c r="M27" s="4"/>
    </row>
    <row r="28" spans="2:13">
      <c r="B28" s="27" t="s">
        <v>49</v>
      </c>
      <c r="C28" s="27"/>
      <c r="D28" s="27"/>
      <c r="E28" s="47"/>
      <c r="F28" s="48">
        <f>SUM(F26:F27)</f>
        <v>2426.86</v>
      </c>
      <c r="G28" s="48">
        <f>SUM(G26:G27)</f>
        <v>4.87</v>
      </c>
      <c r="H28" s="49"/>
      <c r="I28" s="43"/>
      <c r="L28" s="4"/>
      <c r="M28" s="4"/>
    </row>
    <row r="29" spans="2:13">
      <c r="B29" s="27" t="s">
        <v>64</v>
      </c>
      <c r="C29" s="28"/>
      <c r="D29" s="28"/>
      <c r="E29" s="29"/>
      <c r="F29" s="30"/>
      <c r="G29" s="30"/>
      <c r="H29" s="30"/>
      <c r="L29" s="4"/>
      <c r="M29" s="4"/>
    </row>
    <row r="30" spans="2:13">
      <c r="B30" s="28" t="s">
        <v>65</v>
      </c>
      <c r="C30" s="28" t="s">
        <v>66</v>
      </c>
      <c r="D30" s="28" t="s">
        <v>67</v>
      </c>
      <c r="E30" s="32">
        <v>2000000</v>
      </c>
      <c r="F30" s="30">
        <v>1908.9</v>
      </c>
      <c r="G30" s="30">
        <v>3.83</v>
      </c>
      <c r="H30" s="30">
        <v>7.02</v>
      </c>
      <c r="L30" s="4"/>
      <c r="M30" s="4"/>
    </row>
    <row r="31" spans="2:13">
      <c r="B31" s="28" t="s">
        <v>68</v>
      </c>
      <c r="C31" s="28" t="s">
        <v>69</v>
      </c>
      <c r="D31" s="28" t="s">
        <v>67</v>
      </c>
      <c r="E31" s="32">
        <v>250000</v>
      </c>
      <c r="F31" s="30">
        <v>237.42</v>
      </c>
      <c r="G31" s="30">
        <v>0.48</v>
      </c>
      <c r="H31" s="30">
        <v>7.01</v>
      </c>
      <c r="L31" s="4"/>
      <c r="M31" s="4"/>
    </row>
    <row r="32" spans="2:13">
      <c r="B32" s="39" t="s">
        <v>49</v>
      </c>
      <c r="C32" s="39"/>
      <c r="D32" s="39"/>
      <c r="E32" s="40"/>
      <c r="F32" s="41">
        <f>SUM(F29:F31)</f>
        <v>2146.3200000000002</v>
      </c>
      <c r="G32" s="41">
        <f>SUM(G29:G31)</f>
        <v>4.3100000000000005</v>
      </c>
      <c r="H32" s="42"/>
      <c r="I32" s="43"/>
      <c r="L32" s="4"/>
      <c r="M32" s="4"/>
    </row>
    <row r="33" spans="2:13">
      <c r="B33" s="44" t="s">
        <v>50</v>
      </c>
      <c r="C33" s="44"/>
      <c r="D33" s="44"/>
      <c r="E33" s="45"/>
      <c r="F33" s="46">
        <f>F25+F28+F32</f>
        <v>11724.89</v>
      </c>
      <c r="G33" s="46">
        <f>G25+G28+G32</f>
        <v>23.53</v>
      </c>
      <c r="H33" s="46"/>
      <c r="I33" s="43"/>
      <c r="L33" s="4"/>
      <c r="M33" s="4"/>
    </row>
    <row r="34" spans="2:13">
      <c r="B34" s="27" t="s">
        <v>70</v>
      </c>
      <c r="C34" s="28"/>
      <c r="D34" s="28"/>
      <c r="E34" s="29"/>
      <c r="F34" s="30"/>
      <c r="G34" s="30"/>
      <c r="H34" s="30"/>
      <c r="L34" s="4"/>
      <c r="M34" s="4"/>
    </row>
    <row r="35" spans="2:13">
      <c r="B35" s="28" t="s">
        <v>71</v>
      </c>
      <c r="C35" s="28" t="s">
        <v>72</v>
      </c>
      <c r="D35" s="28" t="s">
        <v>73</v>
      </c>
      <c r="E35" s="32">
        <v>5000000</v>
      </c>
      <c r="F35" s="30">
        <v>4824.8500000000004</v>
      </c>
      <c r="G35" s="30">
        <v>9.69</v>
      </c>
      <c r="H35" s="30">
        <v>7.08</v>
      </c>
      <c r="L35" s="4"/>
      <c r="M35" s="4"/>
    </row>
    <row r="36" spans="2:13">
      <c r="B36" s="28" t="s">
        <v>74</v>
      </c>
      <c r="C36" s="28" t="s">
        <v>75</v>
      </c>
      <c r="D36" s="28" t="s">
        <v>73</v>
      </c>
      <c r="E36" s="32">
        <v>2500000</v>
      </c>
      <c r="F36" s="30">
        <v>2533.96</v>
      </c>
      <c r="G36" s="30">
        <v>5.09</v>
      </c>
      <c r="H36" s="30">
        <v>7.11</v>
      </c>
      <c r="L36" s="4"/>
      <c r="M36" s="4"/>
    </row>
    <row r="37" spans="2:13">
      <c r="B37" s="28" t="s">
        <v>76</v>
      </c>
      <c r="C37" s="28" t="s">
        <v>77</v>
      </c>
      <c r="D37" s="28" t="s">
        <v>73</v>
      </c>
      <c r="E37" s="32">
        <v>2000000</v>
      </c>
      <c r="F37" s="30">
        <v>2030.23</v>
      </c>
      <c r="G37" s="30">
        <v>4.08</v>
      </c>
      <c r="H37" s="30">
        <v>7.08</v>
      </c>
      <c r="L37" s="4"/>
      <c r="M37" s="4"/>
    </row>
    <row r="38" spans="2:13">
      <c r="B38" s="28" t="s">
        <v>78</v>
      </c>
      <c r="C38" s="28" t="s">
        <v>79</v>
      </c>
      <c r="D38" s="28" t="s">
        <v>73</v>
      </c>
      <c r="E38" s="32">
        <v>2000000</v>
      </c>
      <c r="F38" s="30">
        <v>2019.76</v>
      </c>
      <c r="G38" s="30">
        <v>4.0599999999999996</v>
      </c>
      <c r="H38" s="30">
        <v>7.24</v>
      </c>
      <c r="L38" s="4"/>
      <c r="M38" s="4"/>
    </row>
    <row r="39" spans="2:13">
      <c r="B39" s="28" t="s">
        <v>80</v>
      </c>
      <c r="C39" s="28" t="s">
        <v>81</v>
      </c>
      <c r="D39" s="28" t="s">
        <v>73</v>
      </c>
      <c r="E39" s="32">
        <v>500000</v>
      </c>
      <c r="F39" s="30">
        <v>505</v>
      </c>
      <c r="G39" s="30">
        <v>1.01</v>
      </c>
      <c r="H39" s="30">
        <v>7.36</v>
      </c>
      <c r="L39" s="4"/>
      <c r="M39" s="4"/>
    </row>
    <row r="40" spans="2:13">
      <c r="B40" s="50" t="s">
        <v>82</v>
      </c>
      <c r="C40" s="50" t="s">
        <v>83</v>
      </c>
      <c r="D40" s="50" t="s">
        <v>73</v>
      </c>
      <c r="E40" s="51">
        <v>28300</v>
      </c>
      <c r="F40" s="52">
        <v>28.87</v>
      </c>
      <c r="G40" s="52">
        <v>0.06</v>
      </c>
      <c r="H40" s="52">
        <v>7.38</v>
      </c>
      <c r="L40" s="4"/>
      <c r="M40" s="4"/>
    </row>
    <row r="41" spans="2:13">
      <c r="B41" s="53" t="s">
        <v>50</v>
      </c>
      <c r="C41" s="53"/>
      <c r="D41" s="53"/>
      <c r="E41" s="54"/>
      <c r="F41" s="48">
        <f>SUM(F35:F40)</f>
        <v>11942.670000000002</v>
      </c>
      <c r="G41" s="48">
        <f>SUM(G35:G40)</f>
        <v>23.99</v>
      </c>
      <c r="H41" s="48"/>
      <c r="I41" s="43"/>
      <c r="L41" s="4"/>
      <c r="M41" s="4"/>
    </row>
    <row r="42" spans="2:13">
      <c r="B42" s="27" t="s">
        <v>84</v>
      </c>
      <c r="C42" s="28"/>
      <c r="D42" s="28"/>
      <c r="E42" s="29"/>
      <c r="F42" s="30"/>
      <c r="G42" s="30"/>
      <c r="H42" s="30"/>
      <c r="L42" s="4"/>
      <c r="M42" s="4"/>
    </row>
    <row r="43" spans="2:13">
      <c r="B43" s="28" t="s">
        <v>84</v>
      </c>
      <c r="C43" s="28"/>
      <c r="D43" s="28"/>
      <c r="E43" s="29"/>
      <c r="F43" s="30">
        <v>1820.68</v>
      </c>
      <c r="G43" s="30">
        <v>3.66</v>
      </c>
      <c r="H43" s="30"/>
      <c r="L43" s="4"/>
      <c r="M43" s="4"/>
    </row>
    <row r="44" spans="2:13">
      <c r="B44" s="39" t="s">
        <v>49</v>
      </c>
      <c r="C44" s="39"/>
      <c r="D44" s="39"/>
      <c r="E44" s="40"/>
      <c r="F44" s="41">
        <f>SUM(F42:F43)</f>
        <v>1820.68</v>
      </c>
      <c r="G44" s="41">
        <f>SUM(G42:G43)</f>
        <v>3.66</v>
      </c>
      <c r="H44" s="42"/>
      <c r="I44" s="43"/>
      <c r="L44" s="4"/>
      <c r="M44" s="4"/>
    </row>
    <row r="45" spans="2:13">
      <c r="B45" s="55" t="s">
        <v>50</v>
      </c>
      <c r="C45" s="55"/>
      <c r="D45" s="55"/>
      <c r="E45" s="56"/>
      <c r="F45" s="57">
        <f>F44</f>
        <v>1820.68</v>
      </c>
      <c r="G45" s="57">
        <f>G44</f>
        <v>3.66</v>
      </c>
      <c r="H45" s="57"/>
      <c r="I45" s="43"/>
      <c r="L45" s="4"/>
      <c r="M45" s="4"/>
    </row>
    <row r="46" spans="2:13">
      <c r="B46" s="58" t="s">
        <v>85</v>
      </c>
      <c r="C46" s="58"/>
      <c r="D46" s="58"/>
      <c r="E46" s="59"/>
      <c r="F46" s="60">
        <f>F47-(+F19+F33+F41+F45)</f>
        <v>965.29000000000087</v>
      </c>
      <c r="G46" s="60">
        <f>G47-(+G19+G33+G41+G45)</f>
        <v>1.9300000000000068</v>
      </c>
      <c r="H46" s="60"/>
      <c r="I46" s="43"/>
      <c r="L46" s="4"/>
      <c r="M46" s="4"/>
    </row>
    <row r="47" spans="2:13">
      <c r="B47" s="58" t="s">
        <v>86</v>
      </c>
      <c r="C47" s="58"/>
      <c r="D47" s="58"/>
      <c r="E47" s="59"/>
      <c r="F47" s="60">
        <v>49806.78</v>
      </c>
      <c r="G47" s="60">
        <v>100</v>
      </c>
      <c r="H47" s="60"/>
      <c r="I47" s="43"/>
      <c r="L47" s="4"/>
      <c r="M47" s="4"/>
    </row>
    <row r="48" spans="2:13">
      <c r="L48" s="4"/>
      <c r="M48" s="4"/>
    </row>
    <row r="49" spans="2:13">
      <c r="B49" s="43" t="s">
        <v>87</v>
      </c>
      <c r="L49" s="4"/>
      <c r="M49" s="4"/>
    </row>
    <row r="50" spans="2:13">
      <c r="B50" s="43" t="s">
        <v>88</v>
      </c>
      <c r="L50" s="4"/>
      <c r="M50" s="4"/>
    </row>
    <row r="51" spans="2:13" ht="12.75" thickBot="1">
      <c r="L51" s="4"/>
      <c r="M51" s="4"/>
    </row>
    <row r="52" spans="2:13" ht="13.5" thickTop="1" thickBot="1">
      <c r="B52" s="62" t="s">
        <v>89</v>
      </c>
      <c r="C52" s="63">
        <v>1.7056441998113669</v>
      </c>
      <c r="L52" s="4"/>
      <c r="M52" s="4"/>
    </row>
    <row r="53" spans="2:13" ht="13.5" thickTop="1" thickBot="1">
      <c r="B53" s="64"/>
      <c r="C53" s="64"/>
      <c r="L53" s="4"/>
      <c r="M53" s="4"/>
    </row>
    <row r="54" spans="2:13" ht="13.5" thickTop="1" thickBot="1">
      <c r="B54" s="62" t="s">
        <v>90</v>
      </c>
      <c r="C54" s="65">
        <v>7.3544823907574969E-2</v>
      </c>
      <c r="L54" s="4"/>
      <c r="M54" s="4"/>
    </row>
    <row r="55" spans="2:13" ht="13.5" thickTop="1" thickBot="1">
      <c r="B55" s="64"/>
      <c r="C55" s="64"/>
      <c r="L55" s="4"/>
      <c r="M55" s="4"/>
    </row>
    <row r="56" spans="2:13" ht="13.5" thickTop="1" thickBot="1">
      <c r="B56" s="62" t="s">
        <v>91</v>
      </c>
      <c r="C56" s="63">
        <v>1.8473902902420429</v>
      </c>
      <c r="L56" s="4"/>
      <c r="M56" s="4"/>
    </row>
    <row r="57" spans="2:13" ht="12.75" thickTop="1">
      <c r="L57" s="4"/>
      <c r="M57" s="4"/>
    </row>
    <row r="58" spans="2:13">
      <c r="L58" s="4"/>
      <c r="M58" s="4"/>
    </row>
    <row r="59" spans="2:13">
      <c r="L59" s="4"/>
      <c r="M59" s="4"/>
    </row>
    <row r="60" spans="2:13">
      <c r="L60" s="4"/>
      <c r="M60" s="4"/>
    </row>
    <row r="61" spans="2:13">
      <c r="L61" s="4"/>
      <c r="M61" s="4"/>
    </row>
    <row r="62" spans="2:13">
      <c r="L62" s="4"/>
      <c r="M62" s="4"/>
    </row>
    <row r="63" spans="2:13">
      <c r="L63" s="4"/>
      <c r="M63" s="4"/>
    </row>
    <row r="64" spans="2:13">
      <c r="L64" s="4"/>
      <c r="M64" s="4"/>
    </row>
    <row r="65" spans="12:13">
      <c r="L65" s="4"/>
      <c r="M65" s="4"/>
    </row>
    <row r="66" spans="12:13">
      <c r="L66" s="4"/>
      <c r="M66" s="4"/>
    </row>
    <row r="67" spans="12:13">
      <c r="L67" s="4"/>
      <c r="M67" s="4"/>
    </row>
    <row r="68" spans="12:13">
      <c r="L68" s="4"/>
      <c r="M68" s="4"/>
    </row>
    <row r="69" spans="12:13">
      <c r="L69" s="4"/>
      <c r="M69" s="4"/>
    </row>
    <row r="70" spans="12:13">
      <c r="L70" s="4"/>
      <c r="M70" s="4"/>
    </row>
    <row r="71" spans="12:13">
      <c r="L71" s="4"/>
      <c r="M71" s="4"/>
    </row>
    <row r="72" spans="12:13">
      <c r="L72" s="4"/>
      <c r="M72" s="4"/>
    </row>
    <row r="73" spans="12:13">
      <c r="L73" s="4"/>
      <c r="M73" s="4"/>
    </row>
    <row r="74" spans="12:13">
      <c r="L74" s="4"/>
      <c r="M74" s="4"/>
    </row>
    <row r="75" spans="12:13">
      <c r="L75" s="4"/>
      <c r="M75" s="4"/>
    </row>
    <row r="76" spans="12:13">
      <c r="L76" s="4"/>
      <c r="M76" s="4"/>
    </row>
    <row r="77" spans="12:13">
      <c r="L77" s="4"/>
      <c r="M77" s="4"/>
    </row>
    <row r="78" spans="12:13">
      <c r="L78" s="4"/>
      <c r="M78" s="4"/>
    </row>
    <row r="79" spans="12:13">
      <c r="L79" s="4"/>
      <c r="M79" s="4"/>
    </row>
    <row r="80" spans="12:13">
      <c r="L80" s="4"/>
      <c r="M80" s="4"/>
    </row>
    <row r="81" spans="12:13">
      <c r="L81" s="4"/>
      <c r="M81" s="4"/>
    </row>
    <row r="82" spans="12:13">
      <c r="L82" s="4"/>
      <c r="M82" s="4"/>
    </row>
    <row r="83" spans="12:13">
      <c r="L83" s="4"/>
      <c r="M83" s="4"/>
    </row>
    <row r="84" spans="12:13">
      <c r="L84" s="4"/>
      <c r="M84" s="4"/>
    </row>
    <row r="85" spans="12:13">
      <c r="L85" s="4"/>
      <c r="M85" s="4"/>
    </row>
    <row r="86" spans="12:13">
      <c r="L86" s="4"/>
      <c r="M86" s="4"/>
    </row>
    <row r="87" spans="12:13">
      <c r="L87" s="4"/>
      <c r="M87" s="4"/>
    </row>
    <row r="88" spans="12:13">
      <c r="L88" s="4"/>
      <c r="M88" s="4"/>
    </row>
    <row r="89" spans="12:13">
      <c r="L89" s="4"/>
      <c r="M89" s="4"/>
    </row>
    <row r="90" spans="12:13">
      <c r="L90" s="4"/>
      <c r="M90" s="4"/>
    </row>
    <row r="91" spans="12:13">
      <c r="L91" s="4"/>
      <c r="M91" s="4"/>
    </row>
    <row r="92" spans="12:13">
      <c r="L92" s="4"/>
      <c r="M92" s="4"/>
    </row>
    <row r="93" spans="12:13">
      <c r="L93" s="4"/>
      <c r="M93" s="4"/>
    </row>
    <row r="94" spans="12:13">
      <c r="L94" s="4"/>
      <c r="M94" s="4"/>
    </row>
    <row r="95" spans="12:13">
      <c r="L95" s="4"/>
      <c r="M95" s="4"/>
    </row>
    <row r="96" spans="12:13">
      <c r="L96" s="4"/>
      <c r="M96" s="4"/>
    </row>
    <row r="97" spans="12:13">
      <c r="L97" s="4"/>
      <c r="M97" s="4"/>
    </row>
    <row r="98" spans="12:13">
      <c r="L98" s="4"/>
      <c r="M98" s="4"/>
    </row>
    <row r="99" spans="12:13">
      <c r="L99" s="4"/>
      <c r="M99" s="4"/>
    </row>
    <row r="100" spans="12:13">
      <c r="L100" s="4"/>
      <c r="M100" s="4"/>
    </row>
    <row r="101" spans="12:13">
      <c r="L101" s="4"/>
      <c r="M101" s="4"/>
    </row>
    <row r="102" spans="12:13">
      <c r="L102" s="4"/>
      <c r="M102" s="4"/>
    </row>
    <row r="103" spans="12:13">
      <c r="L103" s="4"/>
      <c r="M103" s="4"/>
    </row>
    <row r="104" spans="12:13">
      <c r="L104" s="4"/>
      <c r="M104" s="4"/>
    </row>
    <row r="105" spans="12:13">
      <c r="L105" s="4"/>
      <c r="M105" s="4"/>
    </row>
    <row r="106" spans="12:13">
      <c r="L106" s="4"/>
      <c r="M106" s="4"/>
    </row>
    <row r="107" spans="12:13">
      <c r="L107" s="4"/>
      <c r="M107" s="4"/>
    </row>
    <row r="108" spans="12:13">
      <c r="L108" s="4"/>
      <c r="M108" s="4"/>
    </row>
    <row r="109" spans="12:13">
      <c r="L109" s="4"/>
      <c r="M109" s="4"/>
    </row>
    <row r="110" spans="12:13">
      <c r="L110" s="4"/>
      <c r="M110" s="4"/>
    </row>
    <row r="111" spans="12:13">
      <c r="L111" s="4"/>
      <c r="M111" s="4"/>
    </row>
    <row r="112" spans="12:13">
      <c r="L112" s="4"/>
      <c r="M112" s="4"/>
    </row>
    <row r="113" spans="12:13">
      <c r="L113" s="4"/>
      <c r="M113" s="4"/>
    </row>
    <row r="114" spans="12:13">
      <c r="L114" s="4"/>
      <c r="M114" s="4"/>
    </row>
    <row r="115" spans="12:13">
      <c r="L115" s="4"/>
      <c r="M115" s="4"/>
    </row>
    <row r="116" spans="12:13">
      <c r="L116" s="4"/>
      <c r="M116" s="4"/>
    </row>
    <row r="117" spans="12:13">
      <c r="L117" s="4"/>
      <c r="M117" s="4"/>
    </row>
    <row r="118" spans="12:13">
      <c r="L118" s="4"/>
      <c r="M118" s="4"/>
    </row>
    <row r="119" spans="12:13">
      <c r="L119" s="4"/>
      <c r="M119" s="4"/>
    </row>
    <row r="120" spans="12:13">
      <c r="L120" s="4"/>
      <c r="M120" s="4"/>
    </row>
    <row r="121" spans="12:13">
      <c r="L121" s="4"/>
      <c r="M121" s="4"/>
    </row>
    <row r="122" spans="12:13">
      <c r="L122" s="4"/>
      <c r="M122" s="4"/>
    </row>
    <row r="123" spans="12:13">
      <c r="L123" s="4"/>
      <c r="M123" s="4"/>
    </row>
    <row r="124" spans="12:13">
      <c r="L124" s="4"/>
      <c r="M124" s="4"/>
    </row>
    <row r="125" spans="12:13">
      <c r="L125" s="4"/>
      <c r="M125" s="4"/>
    </row>
    <row r="126" spans="12:13">
      <c r="L126" s="4"/>
      <c r="M126" s="4"/>
    </row>
    <row r="127" spans="12:13">
      <c r="L127" s="4"/>
      <c r="M127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17:45:56</KDate>
  <Classification>Public</Classification>
  <Subclassification/>
  <HostName>MUMCMP00935</HostName>
  <Domain_User>CANARAROBECOMF/628</Domain_User>
  <IPAdd>192.9.198.194</IPAdd>
  <FilePath>Book21</FilePath>
  <KID>C025A5607E97638188191569381950</KID>
  <UniqueName/>
  <Suggested/>
  <Justification/>
</Klassify>
</file>

<file path=customXml/itemProps1.xml><?xml version="1.0" encoding="utf-8"?>
<ds:datastoreItem xmlns:ds="http://schemas.openxmlformats.org/officeDocument/2006/customXml" ds:itemID="{7CE8660A-1F45-495C-8A53-699C83BB6D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2023-05-04T12:15:51Z</dcterms:created>
  <dcterms:modified xsi:type="dcterms:W3CDTF">2023-05-04T12:15:57Z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C025A5607E97638188191569381950</vt:lpwstr>
  </property>
</Properties>
</file>