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D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24" i="1" s="1"/>
  <c r="F23" i="1"/>
  <c r="F24" i="1" s="1"/>
  <c r="G20" i="1"/>
  <c r="F20" i="1"/>
  <c r="G10" i="1"/>
  <c r="G11" i="1" s="1"/>
  <c r="G25" i="1" s="1"/>
  <c r="F10" i="1"/>
  <c r="F11" i="1" s="1"/>
  <c r="F25" i="1" s="1"/>
</calcChain>
</file>

<file path=xl/sharedStrings.xml><?xml version="1.0" encoding="utf-8"?>
<sst xmlns="http://schemas.openxmlformats.org/spreadsheetml/2006/main" count="56" uniqueCount="45">
  <si>
    <t>CANARA ROBECO DYNAMIC BOND FUND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</si>
  <si>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</si>
  <si>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</si>
  <si>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</si>
  <si>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</si>
  <si>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</si>
  <si>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</si>
  <si>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</si>
  <si>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</si>
  <si>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Revised Risk-o-meter Level- Aug'21</t>
  </si>
  <si>
    <t>Revised Risk-o-meter Level- Sep'21</t>
  </si>
  <si>
    <t>Benchmark Risk-o-meter Level- Sep'21</t>
  </si>
  <si>
    <t>Debt Instruments</t>
  </si>
  <si>
    <t>(a) Listed / awaiting listing on Stock Exchanges</t>
  </si>
  <si>
    <t>6.69% NTPC Ltd (13/09/2031)</t>
  </si>
  <si>
    <t>INE733E08197</t>
  </si>
  <si>
    <t>CRISIL AAA</t>
  </si>
  <si>
    <t>7.21% Housing Development Finance Corporation Ltd (30/12/2022)</t>
  </si>
  <si>
    <t>INE001A07SD3</t>
  </si>
  <si>
    <t>8.81% Small Industries Development Bank Of India (25/01/2022) **</t>
  </si>
  <si>
    <t>INE556F08JI1</t>
  </si>
  <si>
    <t>CARE AAA</t>
  </si>
  <si>
    <t>Sub Total</t>
  </si>
  <si>
    <t>Total</t>
  </si>
  <si>
    <t>Government Bonds</t>
  </si>
  <si>
    <t>8.79% GOI (08/11/2021)</t>
  </si>
  <si>
    <t>IN0020110030</t>
  </si>
  <si>
    <t>Sovereign</t>
  </si>
  <si>
    <t>Benchmark: CRISIL Composite Bond Fund Index</t>
  </si>
  <si>
    <t>7.57% GOI (17/06/2033)</t>
  </si>
  <si>
    <t>IN0020190065</t>
  </si>
  <si>
    <t>6.68% GOI (17/09/2031)</t>
  </si>
  <si>
    <t>IN0020170042</t>
  </si>
  <si>
    <t>6.97% TAMIL NADU SDL 28-JUL-31</t>
  </si>
  <si>
    <t>IN3120210148</t>
  </si>
  <si>
    <t>5.63% GOI (12/04/2026)</t>
  </si>
  <si>
    <t>IN0020210012</t>
  </si>
  <si>
    <t>6.10% INDIA GOVERNMENT 12-JUL-31</t>
  </si>
  <si>
    <t>IN0020210095</t>
  </si>
  <si>
    <t>7.17% GOI (08/01/2028)</t>
  </si>
  <si>
    <t>IN0020170174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</si>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</sst>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6" xfId="0" applyFont="1" applyFill="1" applyBorder="1"/>
    <xf numFmtId="0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8" fillId="3" borderId="8" xfId="0" applyFont="1" applyFill="1" applyBorder="1"/>
    <xf numFmtId="0" fontId="2" fillId="3" borderId="8" xfId="0" applyFont="1" applyFill="1" applyBorder="1"/>
    <xf numFmtId="0" fontId="2" fillId="3" borderId="8" xfId="0" applyNumberFormat="1" applyFont="1" applyFill="1" applyBorder="1"/>
    <xf numFmtId="4" fontId="2" fillId="3" borderId="8" xfId="0" applyNumberFormat="1" applyFont="1" applyFill="1" applyBorder="1"/>
    <xf numFmtId="0" fontId="2" fillId="3" borderId="9" xfId="0" applyFont="1" applyFill="1" applyBorder="1" applyAlignment="1">
      <alignment horizontal="center"/>
    </xf>
    <xf numFmtId="3" fontId="2" fillId="3" borderId="8" xfId="0" applyNumberFormat="1" applyFont="1" applyFill="1" applyBorder="1"/>
    <xf numFmtId="0" fontId="8" fillId="3" borderId="10" xfId="0" applyFont="1" applyFill="1" applyBorder="1"/>
    <xf numFmtId="0" fontId="8" fillId="3" borderId="10" xfId="0" applyNumberFormat="1" applyFont="1" applyFill="1" applyBorder="1"/>
    <xf numFmtId="4" fontId="8" fillId="3" borderId="11" xfId="0" applyNumberFormat="1" applyFont="1" applyFill="1" applyBorder="1"/>
    <xf numFmtId="4" fontId="8" fillId="3" borderId="10" xfId="0" applyNumberFormat="1" applyFont="1" applyFill="1" applyBorder="1"/>
    <xf numFmtId="0" fontId="8" fillId="3" borderId="0" xfId="0" applyFont="1" applyFill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/>
    <xf numFmtId="3" fontId="2" fillId="3" borderId="14" xfId="0" applyNumberFormat="1" applyFont="1" applyFill="1" applyBorder="1"/>
    <xf numFmtId="4" fontId="2" fillId="3" borderId="14" xfId="0" applyNumberFormat="1" applyFont="1" applyFill="1" applyBorder="1"/>
    <xf numFmtId="0" fontId="8" fillId="3" borderId="15" xfId="0" applyFont="1" applyFill="1" applyBorder="1"/>
    <xf numFmtId="0" fontId="8" fillId="3" borderId="15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4</xdr:row>
      <xdr:rowOff>38100</xdr:rowOff>
    </xdr:from>
    <xdr:to>
      <xdr:col>9</xdr:col>
      <xdr:colOff>1666874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A25C23-CAEB-4526-9696-2D63FD83B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125" y="1047750"/>
          <a:ext cx="1638299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4</xdr:row>
      <xdr:rowOff>47625</xdr:rowOff>
    </xdr:from>
    <xdr:to>
      <xdr:col>10</xdr:col>
      <xdr:colOff>1666874</xdr:colOff>
      <xdr:row>11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809FDB-B354-4A32-9541-E1FAF15EE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1575" y="1057275"/>
          <a:ext cx="1638299" cy="115252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4</xdr:row>
      <xdr:rowOff>47625</xdr:rowOff>
    </xdr:from>
    <xdr:to>
      <xdr:col>11</xdr:col>
      <xdr:colOff>1666874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EA8209-C02A-4A72-ABE0-BE39D3546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8450" y="1057275"/>
          <a:ext cx="1638299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9"/>
  <sheetViews>
    <sheetView tabSelected="1" topLeftCell="D1" workbookViewId="0">
      <selection activeCell="B1" sqref="B1:H1"/>
    </sheetView>
  </sheetViews>
  <sheetFormatPr defaultRowHeight="12"/>
  <cols>
    <col min="1" max="1" width="9.140625" style="3"/>
    <col min="2" max="2" width="61.5703125" style="3" bestFit="1" customWidth="1"/>
    <col min="3" max="3" width="13.42578125" style="3" bestFit="1" customWidth="1"/>
    <col min="4" max="4" width="18.28515625" style="3" bestFit="1" customWidth="1"/>
    <col min="5" max="5" width="22.28515625" style="4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25.42578125" style="3" customWidth="1"/>
    <col min="11" max="11" width="25" style="3" customWidth="1"/>
    <col min="12" max="12" width="25.1406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  <c r="H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9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4"/>
      <c r="J6" s="25"/>
      <c r="K6" s="25"/>
      <c r="L6" s="25"/>
    </row>
    <row r="7" spans="2:12">
      <c r="B7" s="22" t="s">
        <v>14</v>
      </c>
      <c r="C7" s="22" t="s">
        <v>15</v>
      </c>
      <c r="D7" s="22" t="s">
        <v>16</v>
      </c>
      <c r="E7" s="26">
        <v>100</v>
      </c>
      <c r="F7" s="24">
        <v>999.76</v>
      </c>
      <c r="G7" s="24">
        <v>8.09</v>
      </c>
      <c r="H7" s="24">
        <v>6.69</v>
      </c>
      <c r="J7" s="25"/>
      <c r="K7" s="25"/>
      <c r="L7" s="25"/>
    </row>
    <row r="8" spans="2:12">
      <c r="B8" s="22" t="s">
        <v>17</v>
      </c>
      <c r="C8" s="22" t="s">
        <v>18</v>
      </c>
      <c r="D8" s="22" t="s">
        <v>16</v>
      </c>
      <c r="E8" s="26">
        <v>50</v>
      </c>
      <c r="F8" s="24">
        <v>515.92999999999995</v>
      </c>
      <c r="G8" s="24">
        <v>4.17</v>
      </c>
      <c r="H8" s="24">
        <v>4.5</v>
      </c>
      <c r="J8" s="25"/>
      <c r="K8" s="25"/>
      <c r="L8" s="25"/>
    </row>
    <row r="9" spans="2:12">
      <c r="B9" s="22" t="s">
        <v>19</v>
      </c>
      <c r="C9" s="22" t="s">
        <v>20</v>
      </c>
      <c r="D9" s="22" t="s">
        <v>21</v>
      </c>
      <c r="E9" s="26">
        <v>50</v>
      </c>
      <c r="F9" s="24">
        <v>507.71</v>
      </c>
      <c r="G9" s="24">
        <v>4.1100000000000003</v>
      </c>
      <c r="H9" s="24">
        <v>3.72</v>
      </c>
      <c r="J9" s="25"/>
      <c r="K9" s="25"/>
      <c r="L9" s="25"/>
    </row>
    <row r="10" spans="2:12">
      <c r="B10" s="27" t="s">
        <v>22</v>
      </c>
      <c r="C10" s="27"/>
      <c r="D10" s="27"/>
      <c r="E10" s="28"/>
      <c r="F10" s="29">
        <f>SUM(F6:F9)</f>
        <v>2023.4</v>
      </c>
      <c r="G10" s="29">
        <f>SUM(G6:G9)</f>
        <v>16.37</v>
      </c>
      <c r="H10" s="30"/>
      <c r="I10" s="31"/>
      <c r="J10" s="25"/>
      <c r="K10" s="25"/>
      <c r="L10" s="25"/>
    </row>
    <row r="11" spans="2:12">
      <c r="B11" s="32" t="s">
        <v>23</v>
      </c>
      <c r="C11" s="32"/>
      <c r="D11" s="32"/>
      <c r="E11" s="33"/>
      <c r="F11" s="34">
        <f>F10</f>
        <v>2023.4</v>
      </c>
      <c r="G11" s="34">
        <f>G10</f>
        <v>16.37</v>
      </c>
      <c r="H11" s="34"/>
      <c r="I11" s="31"/>
      <c r="J11" s="25"/>
      <c r="K11" s="25"/>
      <c r="L11" s="25"/>
    </row>
    <row r="12" spans="2:12">
      <c r="B12" s="21" t="s">
        <v>24</v>
      </c>
      <c r="C12" s="22"/>
      <c r="D12" s="22"/>
      <c r="E12" s="23"/>
      <c r="F12" s="24"/>
      <c r="G12" s="24"/>
      <c r="H12" s="24"/>
      <c r="J12" s="35"/>
      <c r="K12" s="35"/>
      <c r="L12" s="35"/>
    </row>
    <row r="13" spans="2:12">
      <c r="B13" s="22" t="s">
        <v>25</v>
      </c>
      <c r="C13" s="22" t="s">
        <v>26</v>
      </c>
      <c r="D13" s="22" t="s">
        <v>27</v>
      </c>
      <c r="E13" s="26">
        <v>6000000</v>
      </c>
      <c r="F13" s="24">
        <v>6032.18</v>
      </c>
      <c r="G13" s="24">
        <v>48.79</v>
      </c>
      <c r="H13" s="24">
        <v>3.59</v>
      </c>
      <c r="L13" s="3" t="s">
        <v>28</v>
      </c>
    </row>
    <row r="14" spans="2:12">
      <c r="B14" s="22" t="s">
        <v>29</v>
      </c>
      <c r="C14" s="22" t="s">
        <v>30</v>
      </c>
      <c r="D14" s="22" t="s">
        <v>27</v>
      </c>
      <c r="E14" s="26">
        <v>600000</v>
      </c>
      <c r="F14" s="24">
        <v>646.62</v>
      </c>
      <c r="G14" s="24">
        <v>5.23</v>
      </c>
      <c r="H14" s="24">
        <v>6.6</v>
      </c>
    </row>
    <row r="15" spans="2:12">
      <c r="B15" s="22" t="s">
        <v>31</v>
      </c>
      <c r="C15" s="22" t="s">
        <v>32</v>
      </c>
      <c r="D15" s="22" t="s">
        <v>27</v>
      </c>
      <c r="E15" s="26">
        <v>523200</v>
      </c>
      <c r="F15" s="24">
        <v>536.02</v>
      </c>
      <c r="G15" s="24">
        <v>4.34</v>
      </c>
      <c r="H15" s="24">
        <v>6.34</v>
      </c>
    </row>
    <row r="16" spans="2:12">
      <c r="B16" s="22" t="s">
        <v>33</v>
      </c>
      <c r="C16" s="22" t="s">
        <v>34</v>
      </c>
      <c r="D16" s="22" t="s">
        <v>27</v>
      </c>
      <c r="E16" s="26">
        <v>500000</v>
      </c>
      <c r="F16" s="24">
        <v>505.95</v>
      </c>
      <c r="G16" s="24">
        <v>4.09</v>
      </c>
      <c r="H16" s="24">
        <v>6.8</v>
      </c>
    </row>
    <row r="17" spans="2:10">
      <c r="B17" s="22" t="s">
        <v>35</v>
      </c>
      <c r="C17" s="22" t="s">
        <v>36</v>
      </c>
      <c r="D17" s="22" t="s">
        <v>27</v>
      </c>
      <c r="E17" s="26">
        <v>500000</v>
      </c>
      <c r="F17" s="24">
        <v>499.33</v>
      </c>
      <c r="G17" s="24">
        <v>4.04</v>
      </c>
      <c r="H17" s="24">
        <v>5.66</v>
      </c>
    </row>
    <row r="18" spans="2:10">
      <c r="B18" s="22" t="s">
        <v>37</v>
      </c>
      <c r="C18" s="22" t="s">
        <v>38</v>
      </c>
      <c r="D18" s="22" t="s">
        <v>27</v>
      </c>
      <c r="E18" s="26">
        <v>500000</v>
      </c>
      <c r="F18" s="24">
        <v>495.7</v>
      </c>
      <c r="G18" s="24">
        <v>4.01</v>
      </c>
      <c r="H18" s="24">
        <v>6.22</v>
      </c>
    </row>
    <row r="19" spans="2:10">
      <c r="B19" s="36" t="s">
        <v>39</v>
      </c>
      <c r="C19" s="36" t="s">
        <v>40</v>
      </c>
      <c r="D19" s="36" t="s">
        <v>27</v>
      </c>
      <c r="E19" s="37">
        <v>100000</v>
      </c>
      <c r="F19" s="38">
        <v>105.72</v>
      </c>
      <c r="G19" s="38">
        <v>0.86</v>
      </c>
      <c r="H19" s="38">
        <v>6.06</v>
      </c>
    </row>
    <row r="20" spans="2:10">
      <c r="B20" s="39" t="s">
        <v>23</v>
      </c>
      <c r="C20" s="39"/>
      <c r="D20" s="39"/>
      <c r="E20" s="40"/>
      <c r="F20" s="41">
        <f>SUM(F13:F19)</f>
        <v>8821.52</v>
      </c>
      <c r="G20" s="41">
        <f>SUM(G13:G19)</f>
        <v>71.360000000000014</v>
      </c>
      <c r="H20" s="41"/>
      <c r="I20" s="31"/>
      <c r="J20" s="31"/>
    </row>
    <row r="21" spans="2:10">
      <c r="B21" s="21" t="s">
        <v>41</v>
      </c>
      <c r="C21" s="22"/>
      <c r="D21" s="22"/>
      <c r="E21" s="23"/>
      <c r="F21" s="24"/>
      <c r="G21" s="24"/>
      <c r="H21" s="24"/>
    </row>
    <row r="22" spans="2:10">
      <c r="B22" s="22" t="s">
        <v>41</v>
      </c>
      <c r="C22" s="22"/>
      <c r="D22" s="22"/>
      <c r="E22" s="23"/>
      <c r="F22" s="24">
        <v>1226.6199999999999</v>
      </c>
      <c r="G22" s="24">
        <v>9.92</v>
      </c>
      <c r="H22" s="24"/>
    </row>
    <row r="23" spans="2:10">
      <c r="B23" s="27" t="s">
        <v>22</v>
      </c>
      <c r="C23" s="27"/>
      <c r="D23" s="27"/>
      <c r="E23" s="28"/>
      <c r="F23" s="29">
        <f>SUM(F21:F22)</f>
        <v>1226.6199999999999</v>
      </c>
      <c r="G23" s="29">
        <f>SUM(G21:G22)</f>
        <v>9.92</v>
      </c>
      <c r="H23" s="30"/>
      <c r="I23" s="31"/>
      <c r="J23" s="31"/>
    </row>
    <row r="24" spans="2:10">
      <c r="B24" s="42" t="s">
        <v>23</v>
      </c>
      <c r="C24" s="42"/>
      <c r="D24" s="42"/>
      <c r="E24" s="43"/>
      <c r="F24" s="44">
        <f>F23</f>
        <v>1226.6199999999999</v>
      </c>
      <c r="G24" s="44">
        <f>G23</f>
        <v>9.92</v>
      </c>
      <c r="H24" s="44"/>
      <c r="I24" s="31"/>
      <c r="J24" s="31"/>
    </row>
    <row r="25" spans="2:10">
      <c r="B25" s="45" t="s">
        <v>42</v>
      </c>
      <c r="C25" s="45"/>
      <c r="D25" s="45"/>
      <c r="E25" s="46"/>
      <c r="F25" s="47">
        <f>F26-(+F11+F20+F24)</f>
        <v>292.48999999999978</v>
      </c>
      <c r="G25" s="47">
        <f>G26-(+G11+G20+G24)</f>
        <v>2.3499999999999801</v>
      </c>
      <c r="H25" s="47"/>
      <c r="I25" s="31"/>
      <c r="J25" s="31"/>
    </row>
    <row r="26" spans="2:10">
      <c r="B26" s="45" t="s">
        <v>43</v>
      </c>
      <c r="C26" s="45"/>
      <c r="D26" s="45"/>
      <c r="E26" s="46"/>
      <c r="F26" s="47">
        <v>12364.03</v>
      </c>
      <c r="G26" s="47">
        <v>100</v>
      </c>
      <c r="H26" s="47"/>
      <c r="I26" s="31"/>
      <c r="J26" s="31"/>
    </row>
    <row r="28" spans="2:10">
      <c r="B28" s="31" t="s">
        <v>44</v>
      </c>
    </row>
    <row r="29" spans="2:10">
      <c r="B29" s="31"/>
    </row>
  </sheetData>
  <mergeCells count="4">
    <mergeCell ref="B1:H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2021-10-08T11:18:33Z</dcterms:created>
  <dcterms:modified xsi:type="dcterms:W3CDTF">2021-10-08T11:18:36Z</dcterms:modified>
</cp:coreProperties>
</file>