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EB633DEF-2850-4754-AC62-AAE2666F4FFD}" xr6:coauthVersionLast="47" xr6:coauthVersionMax="47" xr10:uidLastSave="{00000000-0000-0000-0000-000000000000}"/>
  <bookViews>
    <workbookView xWindow="-120" yWindow="-120" windowWidth="20730" windowHeight="11160" xr2:uid="{8DC94C6D-C20C-4970-BA4C-9176A43C0AB5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 s="1"/>
  <c r="F22" i="1"/>
  <c r="F23" i="1" s="1"/>
  <c r="G19" i="1"/>
  <c r="F19" i="1"/>
  <c r="G8" i="1"/>
  <c r="G9" i="1" s="1"/>
  <c r="G24" i="1" s="1"/>
  <c r="F8" i="1"/>
  <c r="F9" i="1" s="1"/>
  <c r="F24" i="1" s="1"/>
</calcChain>
</file>

<file path=xl/sharedStrings.xml><?xml version="1.0" encoding="utf-8"?>
<sst xmlns="http://schemas.openxmlformats.org/spreadsheetml/2006/main" count="65" uniqueCount="54">
  <si>
    <t>CANARA ROBECO DYNAMIC BOND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</si>
  <si>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</si>
  <si>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</si>
  <si>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</si>
  <si>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</si>
  <si>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</si>
  <si>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</si>
  <si>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</si>
  <si>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</si>
  <si>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Jun'23</t>
  </si>
  <si>
    <t>Benchmark Risk-o-meter Level- Jun'23</t>
  </si>
  <si>
    <t>Scheme Risk-o-meter Level- May'23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</si>
  <si>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</si>
  <si>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</si>
  <si>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</si>
  <si>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</si>
  <si>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</si>
  <si>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</si>
  <si>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</si>
  <si>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</si>
  <si>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7.75% Housing Development Finance Corporation Ltd (13/06/2033)</t>
  </si>
  <si>
    <t>INE001A08437</t>
  </si>
  <si>
    <t>CRISIL AAA</t>
  </si>
  <si>
    <t>Relatively Low (Class I)</t>
  </si>
  <si>
    <t>Sub Total</t>
  </si>
  <si>
    <t>Total</t>
  </si>
  <si>
    <t>Moderate 
(Class II)</t>
  </si>
  <si>
    <t>Government Bonds</t>
  </si>
  <si>
    <t>7.26% GOI 06-FEB-33</t>
  </si>
  <si>
    <t>IN0020220151</t>
  </si>
  <si>
    <t>Sovereign</t>
  </si>
  <si>
    <t>Relatively High (Class III)</t>
  </si>
  <si>
    <t>B-III</t>
  </si>
  <si>
    <t>7.10% GOI 18-APR-29</t>
  </si>
  <si>
    <t>IN0020220011</t>
  </si>
  <si>
    <t>7.41% GOI 19-DEC-36</t>
  </si>
  <si>
    <t>IN0020220102</t>
  </si>
  <si>
    <t>Benchmark: CRISIL Dynamic Bond B-III Index</t>
  </si>
  <si>
    <t>5.63% INDIA GOVERNMENT 12-APR-26</t>
  </si>
  <si>
    <t>IN0020210012</t>
  </si>
  <si>
    <t>5.74% INDIA GOVERNMENT 15-NOV-26</t>
  </si>
  <si>
    <t>IN0020210186</t>
  </si>
  <si>
    <t>7.38% GOI 20-JUN-27</t>
  </si>
  <si>
    <t>IN0020220037</t>
  </si>
  <si>
    <t>7.26% GOI 22-AUG-32</t>
  </si>
  <si>
    <t>IN0020220060</t>
  </si>
  <si>
    <t>6.68% INDIA GOVERNMENT 17-SEP-31</t>
  </si>
  <si>
    <t>IN0020170042</t>
  </si>
  <si>
    <t>TREPS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</si>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</sst>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19307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9E7DA238-62BD-424C-8F38-DC90C0BDB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6825" y="1055317"/>
          <a:ext cx="1930775" cy="1230684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014901" cy="1206904"/>
    <xdr:pic>
      <xdr:nvPicPr>
        <xdr:cNvPr id="3" name="Picture 2">
          <a:extLst>
            <a:ext uri="{FF2B5EF4-FFF2-40B4-BE49-F238E27FC236}">
              <a16:creationId xmlns:a16="http://schemas.microsoft.com/office/drawing/2014/main" id="{57FB84A0-9BCF-4F47-A3B7-75B35F98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9221" y="1065681"/>
          <a:ext cx="2014901" cy="120690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1930775" cy="1230684"/>
    <xdr:pic>
      <xdr:nvPicPr>
        <xdr:cNvPr id="4" name="Picture 3">
          <a:extLst>
            <a:ext uri="{FF2B5EF4-FFF2-40B4-BE49-F238E27FC236}">
              <a16:creationId xmlns:a16="http://schemas.microsoft.com/office/drawing/2014/main" id="{04986753-E24B-4151-BC1D-35BE3E4F0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0700" y="1055317"/>
          <a:ext cx="1930775" cy="1230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65EC-E4B9-4FC1-AD21-E414156CAC97}">
  <dimension ref="B1:Q33"/>
  <sheetViews>
    <sheetView tabSelected="1" workbookViewId="0">
      <selection activeCell="K5" sqref="K5:K12"/>
    </sheetView>
  </sheetViews>
  <sheetFormatPr defaultRowHeight="12" x14ac:dyDescent="0.2"/>
  <cols>
    <col min="1" max="1" width="9.140625" style="4"/>
    <col min="2" max="2" width="55.28515625" style="4" bestFit="1" customWidth="1"/>
    <col min="3" max="3" width="12.85546875" style="4" bestFit="1" customWidth="1"/>
    <col min="4" max="4" width="14.14062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4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7"/>
      <c r="K6" s="27"/>
      <c r="L6" s="27"/>
      <c r="N6" s="28" t="s">
        <v>19</v>
      </c>
      <c r="O6" s="29"/>
      <c r="P6" s="29"/>
      <c r="Q6" s="29"/>
    </row>
    <row r="7" spans="2:17" x14ac:dyDescent="0.2">
      <c r="B7" s="25" t="s">
        <v>20</v>
      </c>
      <c r="C7" s="25" t="s">
        <v>21</v>
      </c>
      <c r="D7" s="25" t="s">
        <v>22</v>
      </c>
      <c r="E7" s="30">
        <v>1000</v>
      </c>
      <c r="F7" s="26">
        <v>999.94</v>
      </c>
      <c r="G7" s="26">
        <v>8.6</v>
      </c>
      <c r="H7" s="26">
        <v>7.75</v>
      </c>
      <c r="J7" s="27"/>
      <c r="K7" s="27"/>
      <c r="L7" s="27"/>
      <c r="N7" s="31" t="s">
        <v>23</v>
      </c>
      <c r="O7" s="32"/>
      <c r="P7" s="32"/>
      <c r="Q7" s="32"/>
    </row>
    <row r="8" spans="2:17" x14ac:dyDescent="0.2">
      <c r="B8" s="33" t="s">
        <v>24</v>
      </c>
      <c r="C8" s="33"/>
      <c r="D8" s="33"/>
      <c r="E8" s="33"/>
      <c r="F8" s="34">
        <f>SUM(F6:F7)</f>
        <v>999.94</v>
      </c>
      <c r="G8" s="34">
        <f>SUM(G6:G7)</f>
        <v>8.6</v>
      </c>
      <c r="H8" s="35"/>
      <c r="J8" s="27"/>
      <c r="K8" s="27"/>
      <c r="L8" s="27"/>
      <c r="N8" s="36"/>
      <c r="O8" s="37"/>
      <c r="P8" s="37"/>
      <c r="Q8" s="37"/>
    </row>
    <row r="9" spans="2:17" x14ac:dyDescent="0.2">
      <c r="B9" s="38" t="s">
        <v>25</v>
      </c>
      <c r="C9" s="38"/>
      <c r="D9" s="38"/>
      <c r="E9" s="38"/>
      <c r="F9" s="39">
        <f>F8</f>
        <v>999.94</v>
      </c>
      <c r="G9" s="39">
        <f>G8</f>
        <v>8.6</v>
      </c>
      <c r="H9" s="39"/>
      <c r="J9" s="27"/>
      <c r="K9" s="27"/>
      <c r="L9" s="27"/>
      <c r="N9" s="31" t="s">
        <v>26</v>
      </c>
      <c r="O9" s="32"/>
      <c r="P9" s="32"/>
      <c r="Q9" s="32"/>
    </row>
    <row r="10" spans="2:17" x14ac:dyDescent="0.2">
      <c r="B10" s="24" t="s">
        <v>27</v>
      </c>
      <c r="C10" s="25"/>
      <c r="D10" s="25"/>
      <c r="E10" s="25"/>
      <c r="F10" s="26"/>
      <c r="G10" s="26"/>
      <c r="H10" s="26"/>
      <c r="J10" s="27"/>
      <c r="K10" s="27"/>
      <c r="L10" s="27"/>
      <c r="N10" s="36"/>
      <c r="O10" s="37"/>
      <c r="P10" s="37"/>
      <c r="Q10" s="37"/>
    </row>
    <row r="11" spans="2:17" x14ac:dyDescent="0.2">
      <c r="B11" s="25" t="s">
        <v>28</v>
      </c>
      <c r="C11" s="25" t="s">
        <v>29</v>
      </c>
      <c r="D11" s="25" t="s">
        <v>30</v>
      </c>
      <c r="E11" s="30">
        <v>2750000</v>
      </c>
      <c r="F11" s="26">
        <v>2778</v>
      </c>
      <c r="G11" s="26">
        <v>23.9</v>
      </c>
      <c r="H11" s="26">
        <v>7.24</v>
      </c>
      <c r="J11" s="27"/>
      <c r="K11" s="27"/>
      <c r="L11" s="27"/>
      <c r="N11" s="31" t="s">
        <v>31</v>
      </c>
      <c r="O11" s="32"/>
      <c r="P11" s="40" t="s">
        <v>32</v>
      </c>
      <c r="Q11" s="32"/>
    </row>
    <row r="12" spans="2:17" x14ac:dyDescent="0.2">
      <c r="B12" s="25" t="s">
        <v>33</v>
      </c>
      <c r="C12" s="25" t="s">
        <v>34</v>
      </c>
      <c r="D12" s="25" t="s">
        <v>30</v>
      </c>
      <c r="E12" s="30">
        <v>1500000</v>
      </c>
      <c r="F12" s="26">
        <v>1498.56</v>
      </c>
      <c r="G12" s="26">
        <v>12.89</v>
      </c>
      <c r="H12" s="26">
        <v>7.24</v>
      </c>
      <c r="J12" s="41"/>
      <c r="K12" s="41"/>
      <c r="L12" s="41"/>
      <c r="N12" s="36"/>
      <c r="O12" s="37"/>
      <c r="P12" s="42"/>
      <c r="Q12" s="37"/>
    </row>
    <row r="13" spans="2:17" x14ac:dyDescent="0.2">
      <c r="B13" s="25" t="s">
        <v>35</v>
      </c>
      <c r="C13" s="25" t="s">
        <v>36</v>
      </c>
      <c r="D13" s="25" t="s">
        <v>30</v>
      </c>
      <c r="E13" s="30">
        <v>1353100</v>
      </c>
      <c r="F13" s="26">
        <v>1374.91</v>
      </c>
      <c r="G13" s="26">
        <v>11.83</v>
      </c>
      <c r="H13" s="26">
        <v>7.35</v>
      </c>
      <c r="K13" s="43" t="s">
        <v>37</v>
      </c>
    </row>
    <row r="14" spans="2:17" x14ac:dyDescent="0.2">
      <c r="B14" s="25" t="s">
        <v>38</v>
      </c>
      <c r="C14" s="25" t="s">
        <v>39</v>
      </c>
      <c r="D14" s="25" t="s">
        <v>30</v>
      </c>
      <c r="E14" s="30">
        <v>500000</v>
      </c>
      <c r="F14" s="26">
        <v>482.34</v>
      </c>
      <c r="G14" s="26">
        <v>4.1500000000000004</v>
      </c>
      <c r="H14" s="26">
        <v>7.17</v>
      </c>
    </row>
    <row r="15" spans="2:17" x14ac:dyDescent="0.2">
      <c r="B15" s="25" t="s">
        <v>40</v>
      </c>
      <c r="C15" s="25" t="s">
        <v>41</v>
      </c>
      <c r="D15" s="25" t="s">
        <v>30</v>
      </c>
      <c r="E15" s="30">
        <v>500000</v>
      </c>
      <c r="F15" s="26">
        <v>480.49</v>
      </c>
      <c r="G15" s="26">
        <v>4.13</v>
      </c>
      <c r="H15" s="26">
        <v>7.18</v>
      </c>
    </row>
    <row r="16" spans="2:17" x14ac:dyDescent="0.2">
      <c r="B16" s="25" t="s">
        <v>42</v>
      </c>
      <c r="C16" s="25" t="s">
        <v>43</v>
      </c>
      <c r="D16" s="25" t="s">
        <v>30</v>
      </c>
      <c r="E16" s="30">
        <v>249900</v>
      </c>
      <c r="F16" s="26">
        <v>252.46</v>
      </c>
      <c r="G16" s="26">
        <v>2.17</v>
      </c>
      <c r="H16" s="26">
        <v>7.2</v>
      </c>
    </row>
    <row r="17" spans="2:8" x14ac:dyDescent="0.2">
      <c r="B17" s="25" t="s">
        <v>44</v>
      </c>
      <c r="C17" s="25" t="s">
        <v>45</v>
      </c>
      <c r="D17" s="25" t="s">
        <v>30</v>
      </c>
      <c r="E17" s="30">
        <v>90000</v>
      </c>
      <c r="F17" s="26">
        <v>90.64</v>
      </c>
      <c r="G17" s="26">
        <v>0.78</v>
      </c>
      <c r="H17" s="26">
        <v>7.28</v>
      </c>
    </row>
    <row r="18" spans="2:8" x14ac:dyDescent="0.2">
      <c r="B18" s="44" t="s">
        <v>46</v>
      </c>
      <c r="C18" s="44" t="s">
        <v>47</v>
      </c>
      <c r="D18" s="44" t="s">
        <v>30</v>
      </c>
      <c r="E18" s="45">
        <v>23200</v>
      </c>
      <c r="F18" s="46">
        <v>22.56</v>
      </c>
      <c r="G18" s="46">
        <v>0.19</v>
      </c>
      <c r="H18" s="46">
        <v>7.26</v>
      </c>
    </row>
    <row r="19" spans="2:8" x14ac:dyDescent="0.2">
      <c r="B19" s="47" t="s">
        <v>25</v>
      </c>
      <c r="C19" s="47"/>
      <c r="D19" s="47"/>
      <c r="E19" s="47"/>
      <c r="F19" s="48">
        <f>SUM(F11:F18)</f>
        <v>6979.96</v>
      </c>
      <c r="G19" s="48">
        <f>SUM(G11:G18)</f>
        <v>60.04</v>
      </c>
      <c r="H19" s="48"/>
    </row>
    <row r="20" spans="2:8" x14ac:dyDescent="0.2">
      <c r="B20" s="24" t="s">
        <v>48</v>
      </c>
      <c r="C20" s="25"/>
      <c r="D20" s="25"/>
      <c r="E20" s="25"/>
      <c r="F20" s="26"/>
      <c r="G20" s="26"/>
      <c r="H20" s="26"/>
    </row>
    <row r="21" spans="2:8" x14ac:dyDescent="0.2">
      <c r="B21" s="25" t="s">
        <v>48</v>
      </c>
      <c r="C21" s="25"/>
      <c r="D21" s="25"/>
      <c r="E21" s="25"/>
      <c r="F21" s="26">
        <v>3470.8</v>
      </c>
      <c r="G21" s="26">
        <v>29.86</v>
      </c>
      <c r="H21" s="26"/>
    </row>
    <row r="22" spans="2:8" x14ac:dyDescent="0.2">
      <c r="B22" s="33" t="s">
        <v>24</v>
      </c>
      <c r="C22" s="33"/>
      <c r="D22" s="33"/>
      <c r="E22" s="33"/>
      <c r="F22" s="34">
        <f>SUM(F20:F21)</f>
        <v>3470.8</v>
      </c>
      <c r="G22" s="34">
        <f>SUM(G20:G21)</f>
        <v>29.86</v>
      </c>
      <c r="H22" s="35"/>
    </row>
    <row r="23" spans="2:8" x14ac:dyDescent="0.2">
      <c r="B23" s="49" t="s">
        <v>25</v>
      </c>
      <c r="C23" s="49"/>
      <c r="D23" s="49"/>
      <c r="E23" s="49"/>
      <c r="F23" s="50">
        <f>F22</f>
        <v>3470.8</v>
      </c>
      <c r="G23" s="50">
        <f>G22</f>
        <v>29.86</v>
      </c>
      <c r="H23" s="50"/>
    </row>
    <row r="24" spans="2:8" x14ac:dyDescent="0.2">
      <c r="B24" s="51" t="s">
        <v>49</v>
      </c>
      <c r="C24" s="51"/>
      <c r="D24" s="51"/>
      <c r="E24" s="51"/>
      <c r="F24" s="52">
        <f>F25-(+F9+F19+F23)</f>
        <v>170.96999999999935</v>
      </c>
      <c r="G24" s="52">
        <f>G25-(+G9+G19+G23)</f>
        <v>1.5</v>
      </c>
      <c r="H24" s="52"/>
    </row>
    <row r="25" spans="2:8" x14ac:dyDescent="0.2">
      <c r="B25" s="51" t="s">
        <v>50</v>
      </c>
      <c r="C25" s="51"/>
      <c r="D25" s="51"/>
      <c r="E25" s="51"/>
      <c r="F25" s="52">
        <v>11621.67</v>
      </c>
      <c r="G25" s="52">
        <v>100</v>
      </c>
      <c r="H25" s="52"/>
    </row>
    <row r="27" spans="2:8" ht="12.75" thickBot="1" x14ac:dyDescent="0.25"/>
    <row r="28" spans="2:8" ht="13.5" thickTop="1" thickBot="1" x14ac:dyDescent="0.25">
      <c r="B28" s="53" t="s">
        <v>51</v>
      </c>
      <c r="C28" s="54">
        <v>4.1242999999999999</v>
      </c>
    </row>
    <row r="29" spans="2:8" ht="13.5" thickTop="1" thickBot="1" x14ac:dyDescent="0.25"/>
    <row r="30" spans="2:8" ht="13.5" thickTop="1" thickBot="1" x14ac:dyDescent="0.25">
      <c r="B30" s="53" t="s">
        <v>52</v>
      </c>
      <c r="C30" s="55">
        <v>7.1400000000000005E-2</v>
      </c>
    </row>
    <row r="31" spans="2:8" ht="13.5" thickTop="1" thickBot="1" x14ac:dyDescent="0.25"/>
    <row r="32" spans="2:8" ht="13.5" thickTop="1" thickBot="1" x14ac:dyDescent="0.25">
      <c r="B32" s="53" t="s">
        <v>53</v>
      </c>
      <c r="C32" s="54">
        <v>4.3856999999999999</v>
      </c>
    </row>
    <row r="33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11:07:03</KDate>
  <Classification>Public</Classification>
  <Subclassification/>
  <HostName>MUMCMP00915</HostName>
  <Domain_User>CANARAROBECOMF/396</Domain_User>
  <IPAdd>192.9.198.198</IPAdd>
  <FilePath>Book12</FilePath>
  <KID>A4BB6D0D6391638242384230283252</KID>
  <UniqueName/>
  <Suggested/>
  <Justification/>
</Klassify>
</file>

<file path=customXml/itemProps1.xml><?xml version="1.0" encoding="utf-8"?>
<ds:datastoreItem xmlns:ds="http://schemas.openxmlformats.org/officeDocument/2006/customXml" ds:itemID="{6D6668C6-AA83-4C87-AE4E-BE8286279B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2023-07-06T05:36:59Z</dcterms:created>
  <dcterms:modified xsi:type="dcterms:W3CDTF">2023-07-06T05:37:03Z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A4BB6D0D6391638242384230283252</vt:lpwstr>
  </property>
</Properties>
</file>