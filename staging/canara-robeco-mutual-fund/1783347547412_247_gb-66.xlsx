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November 2023\"/>
    </mc:Choice>
  </mc:AlternateContent>
  <bookViews>
    <workbookView xWindow="0" yWindow="0" windowWidth="20490" windowHeight="7620"/>
  </bookViews>
  <sheets>
    <sheet name="G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0" i="1" l="1"/>
  <c r="G141" i="1" s="1"/>
  <c r="F140" i="1"/>
  <c r="F141" i="1" s="1"/>
  <c r="G137" i="1"/>
  <c r="F137" i="1"/>
  <c r="G113" i="1"/>
  <c r="F113" i="1"/>
  <c r="G110" i="1"/>
  <c r="G114" i="1" s="1"/>
  <c r="F110" i="1"/>
  <c r="G106" i="1"/>
  <c r="F106" i="1"/>
  <c r="F114" i="1" s="1"/>
  <c r="G101" i="1"/>
  <c r="G100" i="1"/>
  <c r="F100" i="1"/>
  <c r="F101" i="1" s="1"/>
  <c r="G67" i="1"/>
  <c r="G68" i="1" s="1"/>
  <c r="G142" i="1" s="1"/>
  <c r="F67" i="1"/>
  <c r="F68" i="1" s="1"/>
  <c r="F142" i="1" s="1"/>
</calcChain>
</file>

<file path=xl/sharedStrings.xml><?xml version="1.0" encoding="utf-8"?>
<sst xmlns="http://schemas.openxmlformats.org/spreadsheetml/2006/main" count="448" uniqueCount="303">
  <si>
    <t>CANARA ROBECO EQUITY HYBRID FUND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</si>
  <si>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</si>
  <si>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</si>
  <si>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</si>
  <si>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</si>
  <si>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</si>
  <si>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</si>
  <si>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</si>
  <si>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</si>
  <si>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</si>
  <si>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Nov'23</t>
  </si>
  <si>
    <t>Benchmark Risk-o-meter Level- Nov'23</t>
  </si>
  <si>
    <t>Scheme Risk-o-meter Level- Oct'23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</si>
  <si>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</si>
  <si>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</si>
  <si>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</si>
  <si>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</si>
  <si>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</si>
  <si>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</si>
  <si>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</si>
  <si>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</si>
  <si>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</si>
  <si>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</si>
  <si>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</si>
  <si>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</si>
  <si>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</si>
  <si>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</si>
  <si>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</si>
  <si>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</si>
  <si>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</si>
  <si>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NTPC Ltd</t>
  </si>
  <si>
    <t>INE733E01010</t>
  </si>
  <si>
    <t>Power</t>
  </si>
  <si>
    <t>Axis Bank Ltd</t>
  </si>
  <si>
    <t>INE238A01034</t>
  </si>
  <si>
    <t>Benchmark: CRISIL Hybrid 35+65 - Aggressive Index</t>
  </si>
  <si>
    <t>Power Finance Corporation Ltd</t>
  </si>
  <si>
    <t>INE134E01011</t>
  </si>
  <si>
    <t>Finance</t>
  </si>
  <si>
    <t>Mid Cap</t>
  </si>
  <si>
    <t>State Bank of India</t>
  </si>
  <si>
    <t>INE062A01020</t>
  </si>
  <si>
    <t>Bharti Airtel Ltd</t>
  </si>
  <si>
    <t>INE397D01024</t>
  </si>
  <si>
    <t>Telecom - Services</t>
  </si>
  <si>
    <t>Bajaj Finance Ltd</t>
  </si>
  <si>
    <t>INE296A01024</t>
  </si>
  <si>
    <t>IndusInd Bank Ltd</t>
  </si>
  <si>
    <t>INE095A01012</t>
  </si>
  <si>
    <t>ITC Ltd</t>
  </si>
  <si>
    <t>INE154A01025</t>
  </si>
  <si>
    <t>Diversified Fmcg</t>
  </si>
  <si>
    <t>HCL Technologies Ltd</t>
  </si>
  <si>
    <t>INE860A01027</t>
  </si>
  <si>
    <t>ABB India Ltd</t>
  </si>
  <si>
    <t>INE117A01022</t>
  </si>
  <si>
    <t>Electrical Equipment</t>
  </si>
  <si>
    <t>Oberoi Realty Ltd</t>
  </si>
  <si>
    <t>INE093I01010</t>
  </si>
  <si>
    <t>Realty</t>
  </si>
  <si>
    <t>Interglobe Aviation Ltd</t>
  </si>
  <si>
    <t>INE646L01027</t>
  </si>
  <si>
    <t>Transport Services</t>
  </si>
  <si>
    <t>J.K. Cement Ltd</t>
  </si>
  <si>
    <t>INE823G01014</t>
  </si>
  <si>
    <t>Cement &amp; Cement Products</t>
  </si>
  <si>
    <t>United Spirits Ltd</t>
  </si>
  <si>
    <t>INE854D01024</t>
  </si>
  <si>
    <t>Beverages</t>
  </si>
  <si>
    <t>Tata Motors Ltd</t>
  </si>
  <si>
    <t>INE155A01022</t>
  </si>
  <si>
    <t>Automobiles</t>
  </si>
  <si>
    <t>Bharat Electronics Ltd</t>
  </si>
  <si>
    <t>INE263A01024</t>
  </si>
  <si>
    <t>Aerospace &amp; Defense</t>
  </si>
  <si>
    <t>KEI Industries Ltd</t>
  </si>
  <si>
    <t>INE878B01027</t>
  </si>
  <si>
    <t>Industrial Products</t>
  </si>
  <si>
    <t>Small Cap</t>
  </si>
  <si>
    <t>Samvardhana Motherson International Ltd</t>
  </si>
  <si>
    <t>INE775A01035</t>
  </si>
  <si>
    <t>Auto Components</t>
  </si>
  <si>
    <t>Max Healthcare Institute Ltd</t>
  </si>
  <si>
    <t>INE027H01010</t>
  </si>
  <si>
    <t>Healthcare Services</t>
  </si>
  <si>
    <t>Uno Minda Ltd</t>
  </si>
  <si>
    <t>INE405E01023</t>
  </si>
  <si>
    <t>BSE Ltd</t>
  </si>
  <si>
    <t>INE118H01025</t>
  </si>
  <si>
    <t>Capital Markets</t>
  </si>
  <si>
    <t>Cipla Ltd</t>
  </si>
  <si>
    <t>INE059A01026</t>
  </si>
  <si>
    <t>Pharmaceuticals &amp; Biotechnology</t>
  </si>
  <si>
    <t>TVS Motor Co Ltd</t>
  </si>
  <si>
    <t>INE494B01023</t>
  </si>
  <si>
    <t>ICICI Lombard General Insurance Co Ltd</t>
  </si>
  <si>
    <t>INE765G01017</t>
  </si>
  <si>
    <t>Insurance</t>
  </si>
  <si>
    <t>Maruti Suzuki India Ltd</t>
  </si>
  <si>
    <t>INE585B01010</t>
  </si>
  <si>
    <t>Max Financial Services Ltd</t>
  </si>
  <si>
    <t>INE180A01020</t>
  </si>
  <si>
    <t>Bank of Baroda</t>
  </si>
  <si>
    <t>INE028A01039</t>
  </si>
  <si>
    <t>PVR Inox Ltd</t>
  </si>
  <si>
    <t>INE191H01014</t>
  </si>
  <si>
    <t>Entertainment</t>
  </si>
  <si>
    <t>REC Ltd</t>
  </si>
  <si>
    <t>INE020B01018</t>
  </si>
  <si>
    <t>Titan Co Ltd</t>
  </si>
  <si>
    <t>INE280A01028</t>
  </si>
  <si>
    <t>Consumer Durables</t>
  </si>
  <si>
    <t>Avenue Supermarts Ltd</t>
  </si>
  <si>
    <t>INE192R01011</t>
  </si>
  <si>
    <t>Retailing</t>
  </si>
  <si>
    <t>Sun Pharmaceutical Industries Ltd</t>
  </si>
  <si>
    <t>INE044A01036</t>
  </si>
  <si>
    <t>Jyothy Labs Ltd</t>
  </si>
  <si>
    <t>INE668F01031</t>
  </si>
  <si>
    <t>Household Products</t>
  </si>
  <si>
    <t>SBI Life Insurance Co Ltd</t>
  </si>
  <si>
    <t>INE123W01016</t>
  </si>
  <si>
    <t>Indian Hotels Co Ltd</t>
  </si>
  <si>
    <t>INE053A01029</t>
  </si>
  <si>
    <t>Leisure Services</t>
  </si>
  <si>
    <t>Creditaccess Grameen Ltd</t>
  </si>
  <si>
    <t>INE741K01010</t>
  </si>
  <si>
    <t>Ashok Leyland Ltd</t>
  </si>
  <si>
    <t>INE208A01029</t>
  </si>
  <si>
    <t>Agricultural, Commercial &amp; Construction Vehicles</t>
  </si>
  <si>
    <t>Dabur India Ltd</t>
  </si>
  <si>
    <t>INE016A01026</t>
  </si>
  <si>
    <t>Personal Products</t>
  </si>
  <si>
    <t>Cholamandalam Financial Holdings Ltd</t>
  </si>
  <si>
    <t>INE149A01033</t>
  </si>
  <si>
    <t>Vinati Organics Ltd</t>
  </si>
  <si>
    <t>INE410B01037</t>
  </si>
  <si>
    <t>Chemicals &amp; Petrochemicals</t>
  </si>
  <si>
    <t>Deepak Nitrite Ltd</t>
  </si>
  <si>
    <t>INE288B01029</t>
  </si>
  <si>
    <t>Sona Blw Precision Forgings Ltd</t>
  </si>
  <si>
    <t>INE073K01018</t>
  </si>
  <si>
    <t>Navin Fluorine International Ltd</t>
  </si>
  <si>
    <t>INE048G01026</t>
  </si>
  <si>
    <t>Tech Mahindra Ltd</t>
  </si>
  <si>
    <t>INE669C01036</t>
  </si>
  <si>
    <t>KEC International Ltd</t>
  </si>
  <si>
    <t>INE389H01022</t>
  </si>
  <si>
    <t>Voltas Ltd</t>
  </si>
  <si>
    <t>INE226A01021</t>
  </si>
  <si>
    <t>Coforge Ltd</t>
  </si>
  <si>
    <t>INE591G01017</t>
  </si>
  <si>
    <t>PI Industries Ltd</t>
  </si>
  <si>
    <t>INE603J01030</t>
  </si>
  <si>
    <t>Fertilizers &amp; Agrochemicals</t>
  </si>
  <si>
    <t>Honeywell Automation India Ltd</t>
  </si>
  <si>
    <t>INE671A01010</t>
  </si>
  <si>
    <t>Industrial Manufacturing</t>
  </si>
  <si>
    <t>Bharat Forge Ltd</t>
  </si>
  <si>
    <t>INE465A01025</t>
  </si>
  <si>
    <t>Tata Steel Ltd</t>
  </si>
  <si>
    <t>INE081A01020</t>
  </si>
  <si>
    <t>Ferrous Metals</t>
  </si>
  <si>
    <t>Jio Financial Services Ltd</t>
  </si>
  <si>
    <t>INE758E01017</t>
  </si>
  <si>
    <t>Hindalco Industries Ltd</t>
  </si>
  <si>
    <t>INE038A01020</t>
  </si>
  <si>
    <t>Non - Ferrous Metals</t>
  </si>
  <si>
    <t>Piramal Pharma Ltd</t>
  </si>
  <si>
    <t>INE0DK501011</t>
  </si>
  <si>
    <t>Mankind Pharma Ltd</t>
  </si>
  <si>
    <t>INE634S01028</t>
  </si>
  <si>
    <t>Sub Total</t>
  </si>
  <si>
    <t>Total</t>
  </si>
  <si>
    <t>Debt Instruments</t>
  </si>
  <si>
    <t>7.99% HDFC Bank Ltd (11/07/2024) **</t>
  </si>
  <si>
    <t>INE040A08609</t>
  </si>
  <si>
    <t>CRISIL AAA</t>
  </si>
  <si>
    <t>5.65% Bajaj Finance Ltd (10/05/2024) **</t>
  </si>
  <si>
    <t>INE296A07RU5</t>
  </si>
  <si>
    <t>7.95% LIC Housing Finance Ltd (29/01/2028) **</t>
  </si>
  <si>
    <t>INE115A07MW4</t>
  </si>
  <si>
    <t>7.69% National Bank For Agriculture &amp; Rural Development (29/05/2024) **</t>
  </si>
  <si>
    <t>INE261F08BK1</t>
  </si>
  <si>
    <t>5.70% National Bank For Agriculture &amp; Rural Development (31/07/2025)</t>
  </si>
  <si>
    <t>INE261F08DK7</t>
  </si>
  <si>
    <t>7.11% Small Industries Development Bank Of India (27/02/2026) **</t>
  </si>
  <si>
    <t>INE556F08KB4</t>
  </si>
  <si>
    <t>CARE AAA</t>
  </si>
  <si>
    <t>8.45% Indian Railway Finance Corporation Ltd (04/12/2028) **</t>
  </si>
  <si>
    <t>INE053F07AY7</t>
  </si>
  <si>
    <t>7.95% HDFC Bank Ltd (21/09/2026) **</t>
  </si>
  <si>
    <t>INE040A08369</t>
  </si>
  <si>
    <t>8.00% Bajaj Finance Ltd (27/02/2026) **</t>
  </si>
  <si>
    <t>INE296A07SJ6</t>
  </si>
  <si>
    <t>7.59% Power Finance Corporation Ltd (03/11/2025) **</t>
  </si>
  <si>
    <t>INE134E08LU1</t>
  </si>
  <si>
    <t>7.59% Small Industries Development Bank Of India (10/02/2026) **</t>
  </si>
  <si>
    <t>INE556F08KG3</t>
  </si>
  <si>
    <t>7.61% LIC Housing Finance Ltd (30/07/2025) **</t>
  </si>
  <si>
    <t>INE115A07PW7</t>
  </si>
  <si>
    <t>7.50% HDFC Bank Ltd (08/01/2025) **</t>
  </si>
  <si>
    <t>INE040A08906</t>
  </si>
  <si>
    <t>7.57% National Bank For Agriculture &amp; Rural Development (19/03/2026)</t>
  </si>
  <si>
    <t>INE261F08DW2</t>
  </si>
  <si>
    <t>7.62% National Bank For Agriculture &amp; Rural Development (31/01/2028) **</t>
  </si>
  <si>
    <t>INE261F08DV4</t>
  </si>
  <si>
    <t>7.70% HDB Financial Services Ltd (11/08/2025)</t>
  </si>
  <si>
    <t>INE756I07EG8</t>
  </si>
  <si>
    <t>7.47% Small Industries Development Bank Of India (25/11/2025) **</t>
  </si>
  <si>
    <t>INE556F08KE8</t>
  </si>
  <si>
    <t>5.95% Bajaj Finance Ltd (12/04/2024)</t>
  </si>
  <si>
    <t>INE296A07RR1</t>
  </si>
  <si>
    <t>7.13% Power Finance Corporation Ltd (08/08/2025) **</t>
  </si>
  <si>
    <t>INE134E08LO4</t>
  </si>
  <si>
    <t>5.70% HDB Financial Services Ltd (25/10/2024) **</t>
  </si>
  <si>
    <t>INE756I07DT3</t>
  </si>
  <si>
    <t>6.30% HDB Financial Services Ltd (17/03/2025)</t>
  </si>
  <si>
    <t>INE756I07ED5</t>
  </si>
  <si>
    <t>8.33% LIC Housing Finance Ltd (31/05/2024) **</t>
  </si>
  <si>
    <t>INE115A07OE8</t>
  </si>
  <si>
    <t>7.79% LIC Housing Finance Ltd (18/10/2024) **</t>
  </si>
  <si>
    <t>INE115A07OM1</t>
  </si>
  <si>
    <t>5.23% National Bank For Agriculture &amp; Rural Development (31/01/2025)</t>
  </si>
  <si>
    <t>INE261F08DI1</t>
  </si>
  <si>
    <t>7.85% Power Finance Corporation Ltd (03/04/2028) **</t>
  </si>
  <si>
    <t>INE134E08JP5</t>
  </si>
  <si>
    <t>8.13% Power Grid Corporation of India Ltd (25/04/2024) **</t>
  </si>
  <si>
    <t>INE752E07NQ6</t>
  </si>
  <si>
    <t>7.75% LIC Housing Finance Ltd (23/07/2024) **</t>
  </si>
  <si>
    <t>INE115A07OL3</t>
  </si>
  <si>
    <t>5.72% LIC Housing Finance Ltd (22/02/2024) **</t>
  </si>
  <si>
    <t>INE115A07PB1</t>
  </si>
  <si>
    <t>8.22% National Bank For Agriculture &amp; Rural Development (13/12/2028) **</t>
  </si>
  <si>
    <t>INE261F08AV0</t>
  </si>
  <si>
    <t>Money Market Instruments</t>
  </si>
  <si>
    <t>Certificate of Deposit</t>
  </si>
  <si>
    <t>Axis Bank Ltd (11/01/2024) #</t>
  </si>
  <si>
    <t>INE238AD6280</t>
  </si>
  <si>
    <t>CRISIL A1+</t>
  </si>
  <si>
    <t>Axis Bank Ltd (14/03/2024) ** #</t>
  </si>
  <si>
    <t>INE238AD6389</t>
  </si>
  <si>
    <t>Commercial Paper</t>
  </si>
  <si>
    <t xml:space="preserve">HDFC Bank Ltd (26/12/2023) </t>
  </si>
  <si>
    <t>INE040A14169</t>
  </si>
  <si>
    <t xml:space="preserve">HDFC Bank Ltd (18/03/2024) ** </t>
  </si>
  <si>
    <t>INE040A14243</t>
  </si>
  <si>
    <t>Treasury Bill</t>
  </si>
  <si>
    <t>364 DAYS TREASURY BILLS 01-FEB-24</t>
  </si>
  <si>
    <t>IN002022Z440</t>
  </si>
  <si>
    <t xml:space="preserve"> Sovereign</t>
  </si>
  <si>
    <t>Government Bonds</t>
  </si>
  <si>
    <t>7.18% GOI 2037 (24-JUL-2037)</t>
  </si>
  <si>
    <t>IN0020230077</t>
  </si>
  <si>
    <t>Sovereign</t>
  </si>
  <si>
    <t>7.17% GOI 2030 (17-APR-2030)</t>
  </si>
  <si>
    <t>IN0020230036</t>
  </si>
  <si>
    <t>7.06% GOI 2028 (10-APR-2028)</t>
  </si>
  <si>
    <t>IN0020230010</t>
  </si>
  <si>
    <t>7.18% GOI 2037 (14-AUG-2033)</t>
  </si>
  <si>
    <t>IN0020230085</t>
  </si>
  <si>
    <t>7.10% GOI 18-APR-29</t>
  </si>
  <si>
    <t>IN0020220011</t>
  </si>
  <si>
    <t>5.74% INDIA GOVERNMENT 15-NOV-26</t>
  </si>
  <si>
    <t>IN0020210186</t>
  </si>
  <si>
    <t>7.38% GOI 20-JUN-27</t>
  </si>
  <si>
    <t>IN0020220037</t>
  </si>
  <si>
    <t>7.27% INDIA GOVERNMENT 08-APR-26</t>
  </si>
  <si>
    <t>IN0020190016</t>
  </si>
  <si>
    <t>GOI FRB 30-OCT-34</t>
  </si>
  <si>
    <t>IN0020210137</t>
  </si>
  <si>
    <t>GOI FRB 2033 (22-SEP-2033)</t>
  </si>
  <si>
    <t>IN0020200120</t>
  </si>
  <si>
    <t>7.39% TAMIL NADU SDL 10-MAY-33</t>
  </si>
  <si>
    <t>IN3120230021</t>
  </si>
  <si>
    <t>7.36% GOI 2052 (12-SEP-2052)</t>
  </si>
  <si>
    <t>IN0020220086</t>
  </si>
  <si>
    <t>5.15% INDIA GOVERNMENT 09-NOV-25</t>
  </si>
  <si>
    <t>IN0020200278</t>
  </si>
  <si>
    <t>6.84% GUJARAT SDL 08-SEP-31</t>
  </si>
  <si>
    <t>IN1520210106</t>
  </si>
  <si>
    <t>7.89% MAHARASHTRA SDL 08-JUN-32</t>
  </si>
  <si>
    <t>IN2220220098</t>
  </si>
  <si>
    <t>7.32% GOI 2073 (13-NOV-2030)</t>
  </si>
  <si>
    <t>IN0020230135</t>
  </si>
  <si>
    <t>7.73% UTTAR PRADESH SDL 15-MAR-33</t>
  </si>
  <si>
    <t>IN3320220145</t>
  </si>
  <si>
    <t>8.24% INDIA GOVERNMENT 15-FEB-27</t>
  </si>
  <si>
    <t>IN0020060078</t>
  </si>
  <si>
    <t>8.15% INDIA GOVERNMENT 24-NOV-26</t>
  </si>
  <si>
    <t>IN0020140060</t>
  </si>
  <si>
    <t>7.40% GOI 2062 (19-SEP-2062)</t>
  </si>
  <si>
    <t>IN0020220094</t>
  </si>
  <si>
    <t>6.95% INDIA GOVERNMENT 16-DEC-61</t>
  </si>
  <si>
    <t>IN0020210202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</si>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</sst>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43" fontId="3" fillId="3" borderId="0" xfId="1" applyFont="1" applyFill="1"/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4" fontId="9" fillId="3" borderId="0" xfId="0" applyNumberFormat="1" applyFont="1" applyFill="1" applyBorder="1"/>
    <xf numFmtId="4" fontId="9" fillId="3" borderId="0" xfId="0" applyNumberFormat="1" applyFont="1" applyFill="1"/>
    <xf numFmtId="0" fontId="9" fillId="3" borderId="20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10" xfId="0" applyFont="1" applyFill="1" applyBorder="1"/>
    <xf numFmtId="4" fontId="9" fillId="3" borderId="15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9" fillId="3" borderId="10" xfId="0" applyNumberFormat="1" applyFont="1" applyFill="1" applyBorder="1"/>
    <xf numFmtId="4" fontId="9" fillId="3" borderId="22" xfId="0" applyNumberFormat="1" applyFont="1" applyFill="1" applyBorder="1"/>
    <xf numFmtId="4" fontId="9" fillId="3" borderId="10" xfId="0" applyNumberFormat="1" applyFont="1" applyFill="1" applyBorder="1"/>
    <xf numFmtId="0" fontId="3" fillId="3" borderId="23" xfId="0" applyFont="1" applyFill="1" applyBorder="1"/>
    <xf numFmtId="3" fontId="3" fillId="3" borderId="23" xfId="0" applyNumberFormat="1" applyFont="1" applyFill="1" applyBorder="1"/>
    <xf numFmtId="4" fontId="3" fillId="3" borderId="23" xfId="0" applyNumberFormat="1" applyFont="1" applyFill="1" applyBorder="1"/>
    <xf numFmtId="0" fontId="9" fillId="3" borderId="22" xfId="0" applyFont="1" applyFill="1" applyBorder="1"/>
    <xf numFmtId="0" fontId="9" fillId="3" borderId="22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4" borderId="26" xfId="0" applyFont="1" applyFill="1" applyBorder="1"/>
    <xf numFmtId="2" fontId="9" fillId="3" borderId="27" xfId="0" applyNumberFormat="1" applyFont="1" applyFill="1" applyBorder="1"/>
    <xf numFmtId="10" fontId="9" fillId="3" borderId="2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107723</xdr:colOff>
      <xdr:row>4</xdr:row>
      <xdr:rowOff>19050</xdr:rowOff>
    </xdr:from>
    <xdr:to>
      <xdr:col>10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304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11</xdr:col>
      <xdr:colOff>150609</xdr:colOff>
      <xdr:row>4</xdr:row>
      <xdr:rowOff>47625</xdr:rowOff>
    </xdr:from>
    <xdr:to>
      <xdr:col>11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095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12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5573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53"/>
  <sheetViews>
    <sheetView tabSelected="1" workbookViewId="0">
      <selection activeCell="B1" sqref="B1:I1"/>
    </sheetView>
  </sheetViews>
  <sheetFormatPr defaultRowHeight="12" x14ac:dyDescent="0.2"/>
  <cols>
    <col min="1" max="1" width="9.140625" style="3"/>
    <col min="2" max="2" width="61" style="3" bestFit="1" customWidth="1"/>
    <col min="3" max="3" width="13.85546875" style="3" bestFit="1" customWidth="1"/>
    <col min="4" max="4" width="40.42578125" style="3" bestFit="1" customWidth="1"/>
    <col min="5" max="5" width="9.85546875" style="67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4.7109375" style="3" bestFit="1" customWidth="1"/>
    <col min="11" max="11" width="31.5703125" style="3" customWidth="1"/>
    <col min="12" max="12" width="33.42578125" style="3" customWidth="1"/>
    <col min="13" max="13" width="31.42578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3" ht="16.5" thickBot="1" x14ac:dyDescent="0.25">
      <c r="B3" s="4" t="s">
        <v>1</v>
      </c>
      <c r="C3" s="5"/>
      <c r="D3" s="6"/>
      <c r="E3" s="7"/>
      <c r="F3" s="8"/>
      <c r="G3" s="8"/>
      <c r="H3" s="8"/>
    </row>
    <row r="4" spans="2:13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I4" s="14" t="s">
        <v>9</v>
      </c>
      <c r="K4" s="15" t="s">
        <v>10</v>
      </c>
      <c r="L4" s="15" t="s">
        <v>11</v>
      </c>
      <c r="M4" s="15" t="s">
        <v>12</v>
      </c>
    </row>
    <row r="5" spans="2:13" x14ac:dyDescent="0.2">
      <c r="B5" s="16" t="s">
        <v>13</v>
      </c>
      <c r="C5" s="17"/>
      <c r="D5" s="17"/>
      <c r="E5" s="18"/>
      <c r="F5" s="19"/>
      <c r="G5" s="19"/>
      <c r="H5" s="19"/>
      <c r="I5" s="20"/>
      <c r="K5" s="21"/>
      <c r="L5" s="21"/>
      <c r="M5" s="21"/>
    </row>
    <row r="6" spans="2:13" x14ac:dyDescent="0.2">
      <c r="B6" s="22" t="s">
        <v>14</v>
      </c>
      <c r="C6" s="23"/>
      <c r="D6" s="23"/>
      <c r="E6" s="24"/>
      <c r="F6" s="25"/>
      <c r="G6" s="25"/>
      <c r="H6" s="25"/>
      <c r="I6" s="26"/>
      <c r="K6" s="27"/>
      <c r="L6" s="27"/>
      <c r="M6" s="27"/>
    </row>
    <row r="7" spans="2:13" x14ac:dyDescent="0.2">
      <c r="B7" s="28" t="s">
        <v>15</v>
      </c>
      <c r="C7" s="23" t="s">
        <v>16</v>
      </c>
      <c r="D7" s="23" t="s">
        <v>17</v>
      </c>
      <c r="E7" s="29">
        <v>3797800</v>
      </c>
      <c r="F7" s="25">
        <v>59200.11</v>
      </c>
      <c r="G7" s="25">
        <v>6.38</v>
      </c>
      <c r="H7" s="25" t="s">
        <v>18</v>
      </c>
      <c r="I7" s="26"/>
      <c r="J7" s="30"/>
      <c r="K7" s="27"/>
      <c r="L7" s="27"/>
      <c r="M7" s="27"/>
    </row>
    <row r="8" spans="2:13" x14ac:dyDescent="0.2">
      <c r="B8" s="28" t="s">
        <v>19</v>
      </c>
      <c r="C8" s="23" t="s">
        <v>20</v>
      </c>
      <c r="D8" s="23" t="s">
        <v>17</v>
      </c>
      <c r="E8" s="29">
        <v>4165000</v>
      </c>
      <c r="F8" s="25">
        <v>38940.67</v>
      </c>
      <c r="G8" s="25">
        <v>4.2</v>
      </c>
      <c r="H8" s="25" t="s">
        <v>18</v>
      </c>
      <c r="I8" s="26"/>
      <c r="J8" s="30"/>
      <c r="K8" s="27"/>
      <c r="L8" s="27"/>
      <c r="M8" s="27"/>
    </row>
    <row r="9" spans="2:13" x14ac:dyDescent="0.2">
      <c r="B9" s="28" t="s">
        <v>21</v>
      </c>
      <c r="C9" s="23" t="s">
        <v>22</v>
      </c>
      <c r="D9" s="23" t="s">
        <v>23</v>
      </c>
      <c r="E9" s="29">
        <v>2530000</v>
      </c>
      <c r="F9" s="25">
        <v>36815.300000000003</v>
      </c>
      <c r="G9" s="25">
        <v>3.97</v>
      </c>
      <c r="H9" s="25" t="s">
        <v>18</v>
      </c>
      <c r="I9" s="26"/>
      <c r="J9" s="30"/>
      <c r="K9" s="27"/>
      <c r="L9" s="27"/>
      <c r="M9" s="27"/>
    </row>
    <row r="10" spans="2:13" x14ac:dyDescent="0.2">
      <c r="B10" s="28" t="s">
        <v>24</v>
      </c>
      <c r="C10" s="23" t="s">
        <v>25</v>
      </c>
      <c r="D10" s="23" t="s">
        <v>26</v>
      </c>
      <c r="E10" s="29">
        <v>1250000</v>
      </c>
      <c r="F10" s="25">
        <v>29718.13</v>
      </c>
      <c r="G10" s="25">
        <v>3.2</v>
      </c>
      <c r="H10" s="25" t="s">
        <v>18</v>
      </c>
      <c r="I10" s="26"/>
      <c r="J10" s="30"/>
      <c r="K10" s="27"/>
      <c r="L10" s="27"/>
      <c r="M10" s="27"/>
    </row>
    <row r="11" spans="2:13" x14ac:dyDescent="0.2">
      <c r="B11" s="28" t="s">
        <v>27</v>
      </c>
      <c r="C11" s="23" t="s">
        <v>28</v>
      </c>
      <c r="D11" s="23" t="s">
        <v>29</v>
      </c>
      <c r="E11" s="29">
        <v>735576</v>
      </c>
      <c r="F11" s="25">
        <v>22870.53</v>
      </c>
      <c r="G11" s="25">
        <v>2.4700000000000002</v>
      </c>
      <c r="H11" s="25" t="s">
        <v>18</v>
      </c>
      <c r="I11" s="26"/>
      <c r="J11" s="30"/>
      <c r="K11" s="27"/>
      <c r="L11" s="27"/>
      <c r="M11" s="27"/>
    </row>
    <row r="12" spans="2:13" x14ac:dyDescent="0.2">
      <c r="B12" s="28" t="s">
        <v>30</v>
      </c>
      <c r="C12" s="23" t="s">
        <v>31</v>
      </c>
      <c r="D12" s="23" t="s">
        <v>32</v>
      </c>
      <c r="E12" s="29">
        <v>7700000</v>
      </c>
      <c r="F12" s="25">
        <v>20120.099999999999</v>
      </c>
      <c r="G12" s="25">
        <v>2.17</v>
      </c>
      <c r="H12" s="25" t="s">
        <v>18</v>
      </c>
      <c r="I12" s="26"/>
      <c r="J12" s="30"/>
      <c r="K12" s="31"/>
      <c r="L12" s="31"/>
      <c r="M12" s="31"/>
    </row>
    <row r="13" spans="2:13" x14ac:dyDescent="0.2">
      <c r="B13" s="28" t="s">
        <v>33</v>
      </c>
      <c r="C13" s="23" t="s">
        <v>34</v>
      </c>
      <c r="D13" s="23" t="s">
        <v>17</v>
      </c>
      <c r="E13" s="29">
        <v>1760000</v>
      </c>
      <c r="F13" s="25">
        <v>18906.8</v>
      </c>
      <c r="G13" s="25">
        <v>2.04</v>
      </c>
      <c r="H13" s="25" t="s">
        <v>18</v>
      </c>
      <c r="I13" s="26"/>
      <c r="J13" s="30"/>
      <c r="K13" s="30"/>
      <c r="L13" s="32" t="s">
        <v>35</v>
      </c>
      <c r="M13" s="30"/>
    </row>
    <row r="14" spans="2:13" x14ac:dyDescent="0.2">
      <c r="B14" s="28" t="s">
        <v>36</v>
      </c>
      <c r="C14" s="23" t="s">
        <v>37</v>
      </c>
      <c r="D14" s="23" t="s">
        <v>38</v>
      </c>
      <c r="E14" s="29">
        <v>4987500</v>
      </c>
      <c r="F14" s="25">
        <v>16703.14</v>
      </c>
      <c r="G14" s="25">
        <v>1.8</v>
      </c>
      <c r="H14" s="25" t="s">
        <v>39</v>
      </c>
      <c r="I14" s="26"/>
      <c r="J14" s="30"/>
      <c r="L14" s="30"/>
    </row>
    <row r="15" spans="2:13" x14ac:dyDescent="0.2">
      <c r="B15" s="28" t="s">
        <v>40</v>
      </c>
      <c r="C15" s="23" t="s">
        <v>41</v>
      </c>
      <c r="D15" s="23" t="s">
        <v>17</v>
      </c>
      <c r="E15" s="29">
        <v>2815000</v>
      </c>
      <c r="F15" s="25">
        <v>15897.71</v>
      </c>
      <c r="G15" s="25">
        <v>1.71</v>
      </c>
      <c r="H15" s="25" t="s">
        <v>18</v>
      </c>
      <c r="I15" s="26"/>
      <c r="J15" s="30"/>
      <c r="L15" s="30"/>
    </row>
    <row r="16" spans="2:13" x14ac:dyDescent="0.2">
      <c r="B16" s="28" t="s">
        <v>42</v>
      </c>
      <c r="C16" s="23" t="s">
        <v>43</v>
      </c>
      <c r="D16" s="23" t="s">
        <v>44</v>
      </c>
      <c r="E16" s="29">
        <v>1500000</v>
      </c>
      <c r="F16" s="25">
        <v>15220.5</v>
      </c>
      <c r="G16" s="25">
        <v>1.64</v>
      </c>
      <c r="H16" s="25" t="s">
        <v>18</v>
      </c>
      <c r="I16" s="26"/>
      <c r="J16" s="30"/>
      <c r="L16" s="30"/>
    </row>
    <row r="17" spans="2:12" x14ac:dyDescent="0.2">
      <c r="B17" s="28" t="s">
        <v>45</v>
      </c>
      <c r="C17" s="23" t="s">
        <v>46</v>
      </c>
      <c r="D17" s="23" t="s">
        <v>38</v>
      </c>
      <c r="E17" s="29">
        <v>212500</v>
      </c>
      <c r="F17" s="25">
        <v>15134.04</v>
      </c>
      <c r="G17" s="25">
        <v>1.63</v>
      </c>
      <c r="H17" s="25" t="s">
        <v>18</v>
      </c>
      <c r="I17" s="26"/>
      <c r="J17" s="30"/>
      <c r="L17" s="30"/>
    </row>
    <row r="18" spans="2:12" x14ac:dyDescent="0.2">
      <c r="B18" s="28" t="s">
        <v>47</v>
      </c>
      <c r="C18" s="23" t="s">
        <v>48</v>
      </c>
      <c r="D18" s="23" t="s">
        <v>17</v>
      </c>
      <c r="E18" s="29">
        <v>970000</v>
      </c>
      <c r="F18" s="25">
        <v>14221.17</v>
      </c>
      <c r="G18" s="25">
        <v>1.53</v>
      </c>
      <c r="H18" s="25" t="s">
        <v>18</v>
      </c>
      <c r="I18" s="26"/>
      <c r="J18" s="30"/>
      <c r="L18" s="30"/>
    </row>
    <row r="19" spans="2:12" x14ac:dyDescent="0.2">
      <c r="B19" s="28" t="s">
        <v>49</v>
      </c>
      <c r="C19" s="23" t="s">
        <v>50</v>
      </c>
      <c r="D19" s="23" t="s">
        <v>51</v>
      </c>
      <c r="E19" s="29">
        <v>3150000</v>
      </c>
      <c r="F19" s="25">
        <v>13727.7</v>
      </c>
      <c r="G19" s="25">
        <v>1.48</v>
      </c>
      <c r="H19" s="25" t="s">
        <v>18</v>
      </c>
      <c r="I19" s="26"/>
      <c r="J19" s="30"/>
      <c r="L19" s="30"/>
    </row>
    <row r="20" spans="2:12" x14ac:dyDescent="0.2">
      <c r="B20" s="28" t="s">
        <v>52</v>
      </c>
      <c r="C20" s="23" t="s">
        <v>53</v>
      </c>
      <c r="D20" s="23" t="s">
        <v>23</v>
      </c>
      <c r="E20" s="29">
        <v>950000</v>
      </c>
      <c r="F20" s="25">
        <v>12738.55</v>
      </c>
      <c r="G20" s="25">
        <v>1.37</v>
      </c>
      <c r="H20" s="25" t="s">
        <v>18</v>
      </c>
      <c r="I20" s="26"/>
      <c r="J20" s="30"/>
      <c r="L20" s="30"/>
    </row>
    <row r="21" spans="2:12" x14ac:dyDescent="0.2">
      <c r="B21" s="28" t="s">
        <v>54</v>
      </c>
      <c r="C21" s="23" t="s">
        <v>55</v>
      </c>
      <c r="D21" s="23" t="s">
        <v>56</v>
      </c>
      <c r="E21" s="29">
        <v>275700</v>
      </c>
      <c r="F21" s="25">
        <v>12185.25</v>
      </c>
      <c r="G21" s="25">
        <v>1.31</v>
      </c>
      <c r="H21" s="25" t="s">
        <v>18</v>
      </c>
      <c r="I21" s="26"/>
      <c r="J21" s="30"/>
      <c r="L21" s="30"/>
    </row>
    <row r="22" spans="2:12" x14ac:dyDescent="0.2">
      <c r="B22" s="28" t="s">
        <v>57</v>
      </c>
      <c r="C22" s="23" t="s">
        <v>58</v>
      </c>
      <c r="D22" s="23" t="s">
        <v>59</v>
      </c>
      <c r="E22" s="29">
        <v>865000</v>
      </c>
      <c r="F22" s="25">
        <v>12117.35</v>
      </c>
      <c r="G22" s="25">
        <v>1.31</v>
      </c>
      <c r="H22" s="25" t="s">
        <v>39</v>
      </c>
      <c r="I22" s="26"/>
      <c r="J22" s="30"/>
      <c r="L22" s="30"/>
    </row>
    <row r="23" spans="2:12" x14ac:dyDescent="0.2">
      <c r="B23" s="28" t="s">
        <v>60</v>
      </c>
      <c r="C23" s="23" t="s">
        <v>61</v>
      </c>
      <c r="D23" s="23" t="s">
        <v>62</v>
      </c>
      <c r="E23" s="29">
        <v>440000</v>
      </c>
      <c r="F23" s="25">
        <v>11903.54</v>
      </c>
      <c r="G23" s="25">
        <v>1.28</v>
      </c>
      <c r="H23" s="25" t="s">
        <v>18</v>
      </c>
      <c r="I23" s="26"/>
      <c r="J23" s="30"/>
      <c r="L23" s="30"/>
    </row>
    <row r="24" spans="2:12" x14ac:dyDescent="0.2">
      <c r="B24" s="28" t="s">
        <v>63</v>
      </c>
      <c r="C24" s="23" t="s">
        <v>64</v>
      </c>
      <c r="D24" s="23" t="s">
        <v>65</v>
      </c>
      <c r="E24" s="29">
        <v>325500</v>
      </c>
      <c r="F24" s="25">
        <v>11859.76</v>
      </c>
      <c r="G24" s="25">
        <v>1.28</v>
      </c>
      <c r="H24" s="25" t="s">
        <v>39</v>
      </c>
      <c r="I24" s="26"/>
      <c r="J24" s="30"/>
      <c r="L24" s="30"/>
    </row>
    <row r="25" spans="2:12" x14ac:dyDescent="0.2">
      <c r="B25" s="28" t="s">
        <v>66</v>
      </c>
      <c r="C25" s="23" t="s">
        <v>67</v>
      </c>
      <c r="D25" s="23" t="s">
        <v>68</v>
      </c>
      <c r="E25" s="29">
        <v>1100000</v>
      </c>
      <c r="F25" s="25">
        <v>11537.35</v>
      </c>
      <c r="G25" s="25">
        <v>1.24</v>
      </c>
      <c r="H25" s="25" t="s">
        <v>18</v>
      </c>
      <c r="I25" s="26"/>
      <c r="J25" s="30"/>
      <c r="L25" s="30"/>
    </row>
    <row r="26" spans="2:12" x14ac:dyDescent="0.2">
      <c r="B26" s="28" t="s">
        <v>69</v>
      </c>
      <c r="C26" s="23" t="s">
        <v>70</v>
      </c>
      <c r="D26" s="23" t="s">
        <v>71</v>
      </c>
      <c r="E26" s="29">
        <v>1625000</v>
      </c>
      <c r="F26" s="25">
        <v>11479</v>
      </c>
      <c r="G26" s="25">
        <v>1.24</v>
      </c>
      <c r="H26" s="25" t="s">
        <v>18</v>
      </c>
      <c r="I26" s="26"/>
      <c r="J26" s="30"/>
      <c r="L26" s="30"/>
    </row>
    <row r="27" spans="2:12" x14ac:dyDescent="0.2">
      <c r="B27" s="28" t="s">
        <v>72</v>
      </c>
      <c r="C27" s="23" t="s">
        <v>73</v>
      </c>
      <c r="D27" s="23" t="s">
        <v>74</v>
      </c>
      <c r="E27" s="29">
        <v>7700000</v>
      </c>
      <c r="F27" s="25">
        <v>11234.3</v>
      </c>
      <c r="G27" s="25">
        <v>1.21</v>
      </c>
      <c r="H27" s="25" t="s">
        <v>18</v>
      </c>
      <c r="I27" s="26"/>
      <c r="J27" s="30"/>
      <c r="L27" s="30"/>
    </row>
    <row r="28" spans="2:12" x14ac:dyDescent="0.2">
      <c r="B28" s="28" t="s">
        <v>75</v>
      </c>
      <c r="C28" s="23" t="s">
        <v>76</v>
      </c>
      <c r="D28" s="23" t="s">
        <v>77</v>
      </c>
      <c r="E28" s="29">
        <v>385300</v>
      </c>
      <c r="F28" s="25">
        <v>11098.76</v>
      </c>
      <c r="G28" s="25">
        <v>1.2</v>
      </c>
      <c r="H28" s="25" t="s">
        <v>78</v>
      </c>
      <c r="I28" s="26"/>
      <c r="J28" s="30"/>
      <c r="L28" s="30"/>
    </row>
    <row r="29" spans="2:12" x14ac:dyDescent="0.2">
      <c r="B29" s="28" t="s">
        <v>79</v>
      </c>
      <c r="C29" s="23" t="s">
        <v>80</v>
      </c>
      <c r="D29" s="23" t="s">
        <v>81</v>
      </c>
      <c r="E29" s="29">
        <v>12000000</v>
      </c>
      <c r="F29" s="25">
        <v>11046</v>
      </c>
      <c r="G29" s="25">
        <v>1.19</v>
      </c>
      <c r="H29" s="25" t="s">
        <v>18</v>
      </c>
      <c r="I29" s="26"/>
      <c r="J29" s="30"/>
      <c r="L29" s="30"/>
    </row>
    <row r="30" spans="2:12" x14ac:dyDescent="0.2">
      <c r="B30" s="28" t="s">
        <v>82</v>
      </c>
      <c r="C30" s="23" t="s">
        <v>83</v>
      </c>
      <c r="D30" s="23" t="s">
        <v>84</v>
      </c>
      <c r="E30" s="29">
        <v>1727000</v>
      </c>
      <c r="F30" s="25">
        <v>10980.27</v>
      </c>
      <c r="G30" s="25">
        <v>1.18</v>
      </c>
      <c r="H30" s="25" t="s">
        <v>39</v>
      </c>
      <c r="I30" s="26"/>
      <c r="J30" s="30"/>
      <c r="L30" s="30"/>
    </row>
    <row r="31" spans="2:12" x14ac:dyDescent="0.2">
      <c r="B31" s="28" t="s">
        <v>85</v>
      </c>
      <c r="C31" s="23" t="s">
        <v>86</v>
      </c>
      <c r="D31" s="23" t="s">
        <v>81</v>
      </c>
      <c r="E31" s="29">
        <v>1625000</v>
      </c>
      <c r="F31" s="25">
        <v>10940.31</v>
      </c>
      <c r="G31" s="25">
        <v>1.18</v>
      </c>
      <c r="H31" s="25" t="s">
        <v>39</v>
      </c>
      <c r="I31" s="26"/>
      <c r="J31" s="30"/>
      <c r="L31" s="30"/>
    </row>
    <row r="32" spans="2:12" x14ac:dyDescent="0.2">
      <c r="B32" s="28" t="s">
        <v>87</v>
      </c>
      <c r="C32" s="23" t="s">
        <v>88</v>
      </c>
      <c r="D32" s="23" t="s">
        <v>89</v>
      </c>
      <c r="E32" s="29">
        <v>400000</v>
      </c>
      <c r="F32" s="25">
        <v>9907.7999999999993</v>
      </c>
      <c r="G32" s="25">
        <v>1.07</v>
      </c>
      <c r="H32" s="25" t="s">
        <v>78</v>
      </c>
      <c r="I32" s="26"/>
      <c r="J32" s="30"/>
      <c r="L32" s="30"/>
    </row>
    <row r="33" spans="2:12" x14ac:dyDescent="0.2">
      <c r="B33" s="28" t="s">
        <v>90</v>
      </c>
      <c r="C33" s="23" t="s">
        <v>91</v>
      </c>
      <c r="D33" s="23" t="s">
        <v>92</v>
      </c>
      <c r="E33" s="29">
        <v>780000</v>
      </c>
      <c r="F33" s="25">
        <v>9455.94</v>
      </c>
      <c r="G33" s="25">
        <v>1.02</v>
      </c>
      <c r="H33" s="25" t="s">
        <v>18</v>
      </c>
      <c r="I33" s="26"/>
      <c r="J33" s="30"/>
      <c r="L33" s="30"/>
    </row>
    <row r="34" spans="2:12" x14ac:dyDescent="0.2">
      <c r="B34" s="28" t="s">
        <v>93</v>
      </c>
      <c r="C34" s="23" t="s">
        <v>94</v>
      </c>
      <c r="D34" s="23" t="s">
        <v>71</v>
      </c>
      <c r="E34" s="29">
        <v>500000</v>
      </c>
      <c r="F34" s="25">
        <v>9322.5</v>
      </c>
      <c r="G34" s="25">
        <v>1</v>
      </c>
      <c r="H34" s="25" t="s">
        <v>18</v>
      </c>
      <c r="I34" s="26"/>
      <c r="J34" s="30"/>
      <c r="L34" s="30"/>
    </row>
    <row r="35" spans="2:12" x14ac:dyDescent="0.2">
      <c r="B35" s="28" t="s">
        <v>95</v>
      </c>
      <c r="C35" s="23" t="s">
        <v>96</v>
      </c>
      <c r="D35" s="23" t="s">
        <v>97</v>
      </c>
      <c r="E35" s="29">
        <v>620000</v>
      </c>
      <c r="F35" s="25">
        <v>9176</v>
      </c>
      <c r="G35" s="25">
        <v>0.99</v>
      </c>
      <c r="H35" s="25" t="s">
        <v>18</v>
      </c>
      <c r="I35" s="26"/>
      <c r="J35" s="30"/>
      <c r="L35" s="30"/>
    </row>
    <row r="36" spans="2:12" x14ac:dyDescent="0.2">
      <c r="B36" s="28" t="s">
        <v>98</v>
      </c>
      <c r="C36" s="23" t="s">
        <v>99</v>
      </c>
      <c r="D36" s="23" t="s">
        <v>71</v>
      </c>
      <c r="E36" s="29">
        <v>85600</v>
      </c>
      <c r="F36" s="25">
        <v>9081.0499999999993</v>
      </c>
      <c r="G36" s="25">
        <v>0.98</v>
      </c>
      <c r="H36" s="25" t="s">
        <v>18</v>
      </c>
      <c r="I36" s="26"/>
      <c r="J36" s="30"/>
      <c r="L36" s="30"/>
    </row>
    <row r="37" spans="2:12" x14ac:dyDescent="0.2">
      <c r="B37" s="28" t="s">
        <v>100</v>
      </c>
      <c r="C37" s="23" t="s">
        <v>101</v>
      </c>
      <c r="D37" s="23" t="s">
        <v>97</v>
      </c>
      <c r="E37" s="29">
        <v>884000</v>
      </c>
      <c r="F37" s="25">
        <v>9009.73</v>
      </c>
      <c r="G37" s="25">
        <v>0.97</v>
      </c>
      <c r="H37" s="25" t="s">
        <v>39</v>
      </c>
      <c r="I37" s="26"/>
      <c r="J37" s="30"/>
      <c r="L37" s="30"/>
    </row>
    <row r="38" spans="2:12" x14ac:dyDescent="0.2">
      <c r="B38" s="28" t="s">
        <v>102</v>
      </c>
      <c r="C38" s="23" t="s">
        <v>103</v>
      </c>
      <c r="D38" s="23" t="s">
        <v>17</v>
      </c>
      <c r="E38" s="29">
        <v>4450000</v>
      </c>
      <c r="F38" s="25">
        <v>8770.9500000000007</v>
      </c>
      <c r="G38" s="25">
        <v>0.95</v>
      </c>
      <c r="H38" s="25" t="s">
        <v>18</v>
      </c>
      <c r="I38" s="26"/>
      <c r="J38" s="30"/>
      <c r="L38" s="30"/>
    </row>
    <row r="39" spans="2:12" x14ac:dyDescent="0.2">
      <c r="B39" s="28" t="s">
        <v>104</v>
      </c>
      <c r="C39" s="23" t="s">
        <v>105</v>
      </c>
      <c r="D39" s="23" t="s">
        <v>106</v>
      </c>
      <c r="E39" s="29">
        <v>500000</v>
      </c>
      <c r="F39" s="25">
        <v>8588</v>
      </c>
      <c r="G39" s="25">
        <v>0.93</v>
      </c>
      <c r="H39" s="25" t="s">
        <v>78</v>
      </c>
      <c r="I39" s="26"/>
      <c r="J39" s="30"/>
      <c r="L39" s="30"/>
    </row>
    <row r="40" spans="2:12" x14ac:dyDescent="0.2">
      <c r="B40" s="28" t="s">
        <v>107</v>
      </c>
      <c r="C40" s="23" t="s">
        <v>108</v>
      </c>
      <c r="D40" s="23" t="s">
        <v>38</v>
      </c>
      <c r="E40" s="29">
        <v>2414000</v>
      </c>
      <c r="F40" s="25">
        <v>8417.6200000000008</v>
      </c>
      <c r="G40" s="25">
        <v>0.91</v>
      </c>
      <c r="H40" s="25" t="s">
        <v>39</v>
      </c>
      <c r="I40" s="26"/>
      <c r="J40" s="30"/>
      <c r="L40" s="30"/>
    </row>
    <row r="41" spans="2:12" x14ac:dyDescent="0.2">
      <c r="B41" s="28" t="s">
        <v>109</v>
      </c>
      <c r="C41" s="23" t="s">
        <v>110</v>
      </c>
      <c r="D41" s="23" t="s">
        <v>111</v>
      </c>
      <c r="E41" s="29">
        <v>240000</v>
      </c>
      <c r="F41" s="25">
        <v>8377.44</v>
      </c>
      <c r="G41" s="25">
        <v>0.9</v>
      </c>
      <c r="H41" s="25" t="s">
        <v>18</v>
      </c>
      <c r="I41" s="26"/>
      <c r="J41" s="30"/>
      <c r="L41" s="30"/>
    </row>
    <row r="42" spans="2:12" x14ac:dyDescent="0.2">
      <c r="B42" s="28" t="s">
        <v>112</v>
      </c>
      <c r="C42" s="23" t="s">
        <v>113</v>
      </c>
      <c r="D42" s="23" t="s">
        <v>114</v>
      </c>
      <c r="E42" s="29">
        <v>195000</v>
      </c>
      <c r="F42" s="25">
        <v>7702.01</v>
      </c>
      <c r="G42" s="25">
        <v>0.83</v>
      </c>
      <c r="H42" s="25" t="s">
        <v>18</v>
      </c>
      <c r="I42" s="26"/>
      <c r="J42" s="30"/>
      <c r="L42" s="30"/>
    </row>
    <row r="43" spans="2:12" x14ac:dyDescent="0.2">
      <c r="B43" s="28" t="s">
        <v>115</v>
      </c>
      <c r="C43" s="23" t="s">
        <v>116</v>
      </c>
      <c r="D43" s="23" t="s">
        <v>92</v>
      </c>
      <c r="E43" s="29">
        <v>620600</v>
      </c>
      <c r="F43" s="25">
        <v>7607.63</v>
      </c>
      <c r="G43" s="25">
        <v>0.82</v>
      </c>
      <c r="H43" s="25" t="s">
        <v>18</v>
      </c>
      <c r="I43" s="26"/>
      <c r="J43" s="30"/>
      <c r="L43" s="30"/>
    </row>
    <row r="44" spans="2:12" x14ac:dyDescent="0.2">
      <c r="B44" s="28" t="s">
        <v>117</v>
      </c>
      <c r="C44" s="23" t="s">
        <v>118</v>
      </c>
      <c r="D44" s="23" t="s">
        <v>119</v>
      </c>
      <c r="E44" s="29">
        <v>1720000</v>
      </c>
      <c r="F44" s="25">
        <v>7472.54</v>
      </c>
      <c r="G44" s="25">
        <v>0.81</v>
      </c>
      <c r="H44" s="25" t="s">
        <v>78</v>
      </c>
      <c r="I44" s="26"/>
      <c r="J44" s="30"/>
      <c r="L44" s="30"/>
    </row>
    <row r="45" spans="2:12" x14ac:dyDescent="0.2">
      <c r="B45" s="28" t="s">
        <v>120</v>
      </c>
      <c r="C45" s="23" t="s">
        <v>121</v>
      </c>
      <c r="D45" s="23" t="s">
        <v>97</v>
      </c>
      <c r="E45" s="29">
        <v>515000</v>
      </c>
      <c r="F45" s="25">
        <v>7391.54</v>
      </c>
      <c r="G45" s="25">
        <v>0.8</v>
      </c>
      <c r="H45" s="25" t="s">
        <v>18</v>
      </c>
      <c r="I45" s="26"/>
      <c r="J45" s="30"/>
      <c r="L45" s="30"/>
    </row>
    <row r="46" spans="2:12" x14ac:dyDescent="0.2">
      <c r="B46" s="28" t="s">
        <v>122</v>
      </c>
      <c r="C46" s="23" t="s">
        <v>123</v>
      </c>
      <c r="D46" s="23" t="s">
        <v>124</v>
      </c>
      <c r="E46" s="29">
        <v>1691000</v>
      </c>
      <c r="F46" s="25">
        <v>7130.95</v>
      </c>
      <c r="G46" s="25">
        <v>0.77</v>
      </c>
      <c r="H46" s="25" t="s">
        <v>39</v>
      </c>
      <c r="I46" s="26"/>
      <c r="J46" s="30"/>
      <c r="L46" s="30"/>
    </row>
    <row r="47" spans="2:12" x14ac:dyDescent="0.2">
      <c r="B47" s="28" t="s">
        <v>125</v>
      </c>
      <c r="C47" s="23" t="s">
        <v>126</v>
      </c>
      <c r="D47" s="23" t="s">
        <v>38</v>
      </c>
      <c r="E47" s="29">
        <v>394000</v>
      </c>
      <c r="F47" s="25">
        <v>6687.95</v>
      </c>
      <c r="G47" s="25">
        <v>0.72</v>
      </c>
      <c r="H47" s="25" t="s">
        <v>78</v>
      </c>
      <c r="I47" s="26"/>
      <c r="J47" s="30"/>
      <c r="L47" s="30"/>
    </row>
    <row r="48" spans="2:12" x14ac:dyDescent="0.2">
      <c r="B48" s="28" t="s">
        <v>127</v>
      </c>
      <c r="C48" s="23" t="s">
        <v>128</v>
      </c>
      <c r="D48" s="23" t="s">
        <v>129</v>
      </c>
      <c r="E48" s="29">
        <v>3600000</v>
      </c>
      <c r="F48" s="25">
        <v>6593.4</v>
      </c>
      <c r="G48" s="25">
        <v>0.71</v>
      </c>
      <c r="H48" s="25" t="s">
        <v>39</v>
      </c>
      <c r="I48" s="26"/>
      <c r="J48" s="30"/>
      <c r="L48" s="30"/>
    </row>
    <row r="49" spans="2:12" x14ac:dyDescent="0.2">
      <c r="B49" s="28" t="s">
        <v>130</v>
      </c>
      <c r="C49" s="23" t="s">
        <v>131</v>
      </c>
      <c r="D49" s="23" t="s">
        <v>132</v>
      </c>
      <c r="E49" s="29">
        <v>1200000</v>
      </c>
      <c r="F49" s="25">
        <v>6456.6</v>
      </c>
      <c r="G49" s="25">
        <v>0.7</v>
      </c>
      <c r="H49" s="25" t="s">
        <v>18</v>
      </c>
      <c r="I49" s="26"/>
      <c r="J49" s="30"/>
      <c r="L49" s="30"/>
    </row>
    <row r="50" spans="2:12" x14ac:dyDescent="0.2">
      <c r="B50" s="28" t="s">
        <v>133</v>
      </c>
      <c r="C50" s="23" t="s">
        <v>134</v>
      </c>
      <c r="D50" s="23" t="s">
        <v>38</v>
      </c>
      <c r="E50" s="29">
        <v>629500</v>
      </c>
      <c r="F50" s="25">
        <v>6180.75</v>
      </c>
      <c r="G50" s="25">
        <v>0.67</v>
      </c>
      <c r="H50" s="25" t="s">
        <v>78</v>
      </c>
      <c r="I50" s="26"/>
      <c r="J50" s="30"/>
      <c r="L50" s="30"/>
    </row>
    <row r="51" spans="2:12" x14ac:dyDescent="0.2">
      <c r="B51" s="28" t="s">
        <v>135</v>
      </c>
      <c r="C51" s="23" t="s">
        <v>136</v>
      </c>
      <c r="D51" s="23" t="s">
        <v>137</v>
      </c>
      <c r="E51" s="29">
        <v>338000</v>
      </c>
      <c r="F51" s="25">
        <v>5778.79</v>
      </c>
      <c r="G51" s="25">
        <v>0.62</v>
      </c>
      <c r="H51" s="25" t="s">
        <v>39</v>
      </c>
      <c r="I51" s="26"/>
      <c r="J51" s="30"/>
      <c r="L51" s="30"/>
    </row>
    <row r="52" spans="2:12" x14ac:dyDescent="0.2">
      <c r="B52" s="28" t="s">
        <v>138</v>
      </c>
      <c r="C52" s="23" t="s">
        <v>139</v>
      </c>
      <c r="D52" s="23" t="s">
        <v>137</v>
      </c>
      <c r="E52" s="29">
        <v>250000</v>
      </c>
      <c r="F52" s="25">
        <v>5490.25</v>
      </c>
      <c r="G52" s="25">
        <v>0.59</v>
      </c>
      <c r="H52" s="25" t="s">
        <v>39</v>
      </c>
      <c r="I52" s="26"/>
      <c r="J52" s="30"/>
      <c r="L52" s="30"/>
    </row>
    <row r="53" spans="2:12" x14ac:dyDescent="0.2">
      <c r="B53" s="28" t="s">
        <v>140</v>
      </c>
      <c r="C53" s="23" t="s">
        <v>141</v>
      </c>
      <c r="D53" s="23" t="s">
        <v>81</v>
      </c>
      <c r="E53" s="29">
        <v>970000</v>
      </c>
      <c r="F53" s="25">
        <v>5412.6</v>
      </c>
      <c r="G53" s="25">
        <v>0.57999999999999996</v>
      </c>
      <c r="H53" s="25" t="s">
        <v>39</v>
      </c>
      <c r="I53" s="26"/>
      <c r="J53" s="30"/>
      <c r="L53" s="30"/>
    </row>
    <row r="54" spans="2:12" x14ac:dyDescent="0.2">
      <c r="B54" s="28" t="s">
        <v>142</v>
      </c>
      <c r="C54" s="23" t="s">
        <v>143</v>
      </c>
      <c r="D54" s="23" t="s">
        <v>137</v>
      </c>
      <c r="E54" s="29">
        <v>142000</v>
      </c>
      <c r="F54" s="25">
        <v>5255.56</v>
      </c>
      <c r="G54" s="25">
        <v>0.56999999999999995</v>
      </c>
      <c r="H54" s="25" t="s">
        <v>39</v>
      </c>
      <c r="I54" s="26"/>
      <c r="J54" s="30"/>
      <c r="L54" s="30"/>
    </row>
    <row r="55" spans="2:12" x14ac:dyDescent="0.2">
      <c r="B55" s="28" t="s">
        <v>144</v>
      </c>
      <c r="C55" s="23" t="s">
        <v>145</v>
      </c>
      <c r="D55" s="23" t="s">
        <v>23</v>
      </c>
      <c r="E55" s="29">
        <v>415000</v>
      </c>
      <c r="F55" s="25">
        <v>5066.9399999999996</v>
      </c>
      <c r="G55" s="25">
        <v>0.55000000000000004</v>
      </c>
      <c r="H55" s="25" t="s">
        <v>18</v>
      </c>
      <c r="I55" s="26"/>
      <c r="J55" s="30"/>
      <c r="L55" s="30"/>
    </row>
    <row r="56" spans="2:12" x14ac:dyDescent="0.2">
      <c r="B56" s="28" t="s">
        <v>146</v>
      </c>
      <c r="C56" s="23" t="s">
        <v>147</v>
      </c>
      <c r="D56" s="23" t="s">
        <v>56</v>
      </c>
      <c r="E56" s="29">
        <v>860000</v>
      </c>
      <c r="F56" s="25">
        <v>4973.8100000000004</v>
      </c>
      <c r="G56" s="25">
        <v>0.54</v>
      </c>
      <c r="H56" s="25" t="s">
        <v>78</v>
      </c>
      <c r="I56" s="26"/>
      <c r="J56" s="30"/>
      <c r="L56" s="30"/>
    </row>
    <row r="57" spans="2:12" x14ac:dyDescent="0.2">
      <c r="B57" s="28" t="s">
        <v>148</v>
      </c>
      <c r="C57" s="23" t="s">
        <v>149</v>
      </c>
      <c r="D57" s="23" t="s">
        <v>111</v>
      </c>
      <c r="E57" s="29">
        <v>600000</v>
      </c>
      <c r="F57" s="25">
        <v>4967.7</v>
      </c>
      <c r="G57" s="25">
        <v>0.54</v>
      </c>
      <c r="H57" s="25" t="s">
        <v>39</v>
      </c>
      <c r="I57" s="26"/>
      <c r="J57" s="30"/>
      <c r="L57" s="30"/>
    </row>
    <row r="58" spans="2:12" x14ac:dyDescent="0.2">
      <c r="B58" s="28" t="s">
        <v>150</v>
      </c>
      <c r="C58" s="23" t="s">
        <v>151</v>
      </c>
      <c r="D58" s="23" t="s">
        <v>23</v>
      </c>
      <c r="E58" s="29">
        <v>85000</v>
      </c>
      <c r="F58" s="25">
        <v>4896.72</v>
      </c>
      <c r="G58" s="25">
        <v>0.53</v>
      </c>
      <c r="H58" s="25" t="s">
        <v>39</v>
      </c>
      <c r="I58" s="26"/>
      <c r="J58" s="30"/>
      <c r="L58" s="30"/>
    </row>
    <row r="59" spans="2:12" x14ac:dyDescent="0.2">
      <c r="B59" s="28" t="s">
        <v>152</v>
      </c>
      <c r="C59" s="23" t="s">
        <v>153</v>
      </c>
      <c r="D59" s="23" t="s">
        <v>154</v>
      </c>
      <c r="E59" s="29">
        <v>129500</v>
      </c>
      <c r="F59" s="25">
        <v>4883.32</v>
      </c>
      <c r="G59" s="25">
        <v>0.53</v>
      </c>
      <c r="H59" s="25" t="s">
        <v>18</v>
      </c>
      <c r="I59" s="26"/>
      <c r="J59" s="30"/>
      <c r="L59" s="30"/>
    </row>
    <row r="60" spans="2:12" x14ac:dyDescent="0.2">
      <c r="B60" s="28" t="s">
        <v>155</v>
      </c>
      <c r="C60" s="23" t="s">
        <v>156</v>
      </c>
      <c r="D60" s="23" t="s">
        <v>157</v>
      </c>
      <c r="E60" s="29">
        <v>11000</v>
      </c>
      <c r="F60" s="25">
        <v>4031.88</v>
      </c>
      <c r="G60" s="25">
        <v>0.43</v>
      </c>
      <c r="H60" s="25" t="s">
        <v>39</v>
      </c>
      <c r="I60" s="26"/>
      <c r="J60" s="30"/>
      <c r="L60" s="30"/>
    </row>
    <row r="61" spans="2:12" x14ac:dyDescent="0.2">
      <c r="B61" s="28" t="s">
        <v>158</v>
      </c>
      <c r="C61" s="23" t="s">
        <v>159</v>
      </c>
      <c r="D61" s="23" t="s">
        <v>77</v>
      </c>
      <c r="E61" s="29">
        <v>300000</v>
      </c>
      <c r="F61" s="25">
        <v>3360.75</v>
      </c>
      <c r="G61" s="25">
        <v>0.36</v>
      </c>
      <c r="H61" s="25" t="s">
        <v>39</v>
      </c>
      <c r="I61" s="26"/>
      <c r="J61" s="30"/>
      <c r="L61" s="30"/>
    </row>
    <row r="62" spans="2:12" x14ac:dyDescent="0.2">
      <c r="B62" s="28" t="s">
        <v>160</v>
      </c>
      <c r="C62" s="23" t="s">
        <v>161</v>
      </c>
      <c r="D62" s="23" t="s">
        <v>162</v>
      </c>
      <c r="E62" s="29">
        <v>2400000</v>
      </c>
      <c r="F62" s="25">
        <v>3069.6</v>
      </c>
      <c r="G62" s="25">
        <v>0.33</v>
      </c>
      <c r="H62" s="25" t="s">
        <v>18</v>
      </c>
      <c r="I62" s="26"/>
      <c r="J62" s="30"/>
      <c r="L62" s="30"/>
    </row>
    <row r="63" spans="2:12" x14ac:dyDescent="0.2">
      <c r="B63" s="28" t="s">
        <v>163</v>
      </c>
      <c r="C63" s="23" t="s">
        <v>164</v>
      </c>
      <c r="D63" s="23" t="s">
        <v>38</v>
      </c>
      <c r="E63" s="29">
        <v>1250000</v>
      </c>
      <c r="F63" s="25">
        <v>2867.5</v>
      </c>
      <c r="G63" s="25">
        <v>0.31</v>
      </c>
      <c r="H63" s="25" t="s">
        <v>18</v>
      </c>
      <c r="I63" s="26"/>
      <c r="J63" s="30"/>
      <c r="L63" s="30"/>
    </row>
    <row r="64" spans="2:12" x14ac:dyDescent="0.2">
      <c r="B64" s="28" t="s">
        <v>165</v>
      </c>
      <c r="C64" s="23" t="s">
        <v>166</v>
      </c>
      <c r="D64" s="23" t="s">
        <v>167</v>
      </c>
      <c r="E64" s="29">
        <v>450000</v>
      </c>
      <c r="F64" s="25">
        <v>2320.4299999999998</v>
      </c>
      <c r="G64" s="25">
        <v>0.25</v>
      </c>
      <c r="H64" s="25" t="s">
        <v>18</v>
      </c>
      <c r="I64" s="26"/>
      <c r="J64" s="30"/>
      <c r="L64" s="30"/>
    </row>
    <row r="65" spans="2:12" x14ac:dyDescent="0.2">
      <c r="B65" s="28" t="s">
        <v>168</v>
      </c>
      <c r="C65" s="23" t="s">
        <v>169</v>
      </c>
      <c r="D65" s="23" t="s">
        <v>92</v>
      </c>
      <c r="E65" s="29">
        <v>1000000</v>
      </c>
      <c r="F65" s="25">
        <v>1266</v>
      </c>
      <c r="G65" s="25">
        <v>0.14000000000000001</v>
      </c>
      <c r="H65" s="25" t="s">
        <v>78</v>
      </c>
      <c r="I65" s="26"/>
      <c r="J65" s="30"/>
      <c r="L65" s="30"/>
    </row>
    <row r="66" spans="2:12" x14ac:dyDescent="0.2">
      <c r="B66" s="28" t="s">
        <v>170</v>
      </c>
      <c r="C66" s="23" t="s">
        <v>171</v>
      </c>
      <c r="D66" s="23" t="s">
        <v>92</v>
      </c>
      <c r="E66" s="29">
        <v>64785</v>
      </c>
      <c r="F66" s="25">
        <v>1229.3599999999999</v>
      </c>
      <c r="G66" s="25">
        <v>0.13</v>
      </c>
      <c r="H66" s="25" t="s">
        <v>18</v>
      </c>
      <c r="I66" s="26"/>
      <c r="J66" s="30"/>
      <c r="L66" s="30"/>
    </row>
    <row r="67" spans="2:12" x14ac:dyDescent="0.2">
      <c r="B67" s="33" t="s">
        <v>172</v>
      </c>
      <c r="C67" s="34"/>
      <c r="D67" s="34"/>
      <c r="E67" s="35"/>
      <c r="F67" s="36">
        <f>SUM(F7:F66)</f>
        <v>674797.94999999972</v>
      </c>
      <c r="G67" s="36">
        <f>SUM(G7:G66)</f>
        <v>72.760000000000019</v>
      </c>
      <c r="H67" s="37"/>
      <c r="I67" s="38"/>
      <c r="J67" s="30"/>
      <c r="L67" s="30"/>
    </row>
    <row r="68" spans="2:12" x14ac:dyDescent="0.2">
      <c r="B68" s="39" t="s">
        <v>173</v>
      </c>
      <c r="C68" s="39"/>
      <c r="D68" s="39"/>
      <c r="E68" s="40"/>
      <c r="F68" s="41">
        <f>F67</f>
        <v>674797.94999999972</v>
      </c>
      <c r="G68" s="41">
        <f>G67</f>
        <v>72.760000000000019</v>
      </c>
      <c r="H68" s="42"/>
      <c r="I68" s="43"/>
      <c r="J68" s="30"/>
      <c r="L68" s="30"/>
    </row>
    <row r="69" spans="2:12" x14ac:dyDescent="0.2">
      <c r="B69" s="44" t="s">
        <v>174</v>
      </c>
      <c r="C69" s="45"/>
      <c r="D69" s="45"/>
      <c r="E69" s="46"/>
      <c r="F69" s="47"/>
      <c r="G69" s="47"/>
      <c r="H69" s="47"/>
      <c r="I69" s="47"/>
      <c r="J69" s="30"/>
      <c r="L69" s="30"/>
    </row>
    <row r="70" spans="2:12" x14ac:dyDescent="0.2">
      <c r="B70" s="48" t="s">
        <v>14</v>
      </c>
      <c r="C70" s="23"/>
      <c r="D70" s="23"/>
      <c r="E70" s="24"/>
      <c r="F70" s="25"/>
      <c r="G70" s="25"/>
      <c r="H70" s="25"/>
      <c r="I70" s="25"/>
      <c r="J70" s="30"/>
      <c r="L70" s="30"/>
    </row>
    <row r="71" spans="2:12" x14ac:dyDescent="0.2">
      <c r="B71" s="23" t="s">
        <v>175</v>
      </c>
      <c r="C71" s="23" t="s">
        <v>176</v>
      </c>
      <c r="D71" s="23" t="s">
        <v>177</v>
      </c>
      <c r="E71" s="29">
        <v>500</v>
      </c>
      <c r="F71" s="25">
        <v>4994.25</v>
      </c>
      <c r="G71" s="25">
        <v>0.54</v>
      </c>
      <c r="H71" s="25"/>
      <c r="I71" s="25">
        <v>7.94</v>
      </c>
      <c r="J71" s="30"/>
      <c r="L71" s="30"/>
    </row>
    <row r="72" spans="2:12" x14ac:dyDescent="0.2">
      <c r="B72" s="23" t="s">
        <v>178</v>
      </c>
      <c r="C72" s="23" t="s">
        <v>179</v>
      </c>
      <c r="D72" s="23" t="s">
        <v>177</v>
      </c>
      <c r="E72" s="29">
        <v>500</v>
      </c>
      <c r="F72" s="25">
        <v>4946.1099999999997</v>
      </c>
      <c r="G72" s="25">
        <v>0.53</v>
      </c>
      <c r="H72" s="25"/>
      <c r="I72" s="25">
        <v>7.93</v>
      </c>
      <c r="J72" s="30"/>
      <c r="L72" s="30"/>
    </row>
    <row r="73" spans="2:12" x14ac:dyDescent="0.2">
      <c r="B73" s="23" t="s">
        <v>180</v>
      </c>
      <c r="C73" s="23" t="s">
        <v>181</v>
      </c>
      <c r="D73" s="23" t="s">
        <v>177</v>
      </c>
      <c r="E73" s="29">
        <v>400</v>
      </c>
      <c r="F73" s="25">
        <v>3996.96</v>
      </c>
      <c r="G73" s="25">
        <v>0.43</v>
      </c>
      <c r="H73" s="25"/>
      <c r="I73" s="25">
        <v>7.96</v>
      </c>
      <c r="J73" s="30"/>
      <c r="L73" s="30"/>
    </row>
    <row r="74" spans="2:12" x14ac:dyDescent="0.2">
      <c r="B74" s="23" t="s">
        <v>182</v>
      </c>
      <c r="C74" s="23" t="s">
        <v>183</v>
      </c>
      <c r="D74" s="23" t="s">
        <v>177</v>
      </c>
      <c r="E74" s="29">
        <v>400</v>
      </c>
      <c r="F74" s="25">
        <v>3995.19</v>
      </c>
      <c r="G74" s="25">
        <v>0.43</v>
      </c>
      <c r="H74" s="25"/>
      <c r="I74" s="25">
        <v>7.64</v>
      </c>
      <c r="J74" s="30"/>
      <c r="L74" s="30"/>
    </row>
    <row r="75" spans="2:12" x14ac:dyDescent="0.2">
      <c r="B75" s="23" t="s">
        <v>184</v>
      </c>
      <c r="C75" s="23" t="s">
        <v>185</v>
      </c>
      <c r="D75" s="23" t="s">
        <v>177</v>
      </c>
      <c r="E75" s="29">
        <v>350</v>
      </c>
      <c r="F75" s="25">
        <v>3384.71</v>
      </c>
      <c r="G75" s="25">
        <v>0.36</v>
      </c>
      <c r="H75" s="25"/>
      <c r="I75" s="25">
        <v>7.86</v>
      </c>
      <c r="J75" s="30"/>
      <c r="L75" s="30"/>
    </row>
    <row r="76" spans="2:12" x14ac:dyDescent="0.2">
      <c r="B76" s="23" t="s">
        <v>186</v>
      </c>
      <c r="C76" s="23" t="s">
        <v>187</v>
      </c>
      <c r="D76" s="23" t="s">
        <v>188</v>
      </c>
      <c r="E76" s="29">
        <v>300</v>
      </c>
      <c r="F76" s="25">
        <v>2955.97</v>
      </c>
      <c r="G76" s="25">
        <v>0.32</v>
      </c>
      <c r="H76" s="25"/>
      <c r="I76" s="25">
        <v>7.85</v>
      </c>
      <c r="J76" s="30"/>
      <c r="L76" s="30"/>
    </row>
    <row r="77" spans="2:12" x14ac:dyDescent="0.2">
      <c r="B77" s="23" t="s">
        <v>189</v>
      </c>
      <c r="C77" s="23" t="s">
        <v>190</v>
      </c>
      <c r="D77" s="23" t="s">
        <v>177</v>
      </c>
      <c r="E77" s="29">
        <v>250</v>
      </c>
      <c r="F77" s="25">
        <v>2576.87</v>
      </c>
      <c r="G77" s="25">
        <v>0.28000000000000003</v>
      </c>
      <c r="H77" s="25"/>
      <c r="I77" s="25">
        <v>7.69</v>
      </c>
      <c r="J77" s="30"/>
      <c r="L77" s="30"/>
    </row>
    <row r="78" spans="2:12" x14ac:dyDescent="0.2">
      <c r="B78" s="23" t="s">
        <v>191</v>
      </c>
      <c r="C78" s="23" t="s">
        <v>192</v>
      </c>
      <c r="D78" s="23" t="s">
        <v>177</v>
      </c>
      <c r="E78" s="29">
        <v>250</v>
      </c>
      <c r="F78" s="25">
        <v>2500.34</v>
      </c>
      <c r="G78" s="25">
        <v>0.27</v>
      </c>
      <c r="H78" s="25"/>
      <c r="I78" s="25">
        <v>7.93</v>
      </c>
      <c r="J78" s="30"/>
      <c r="L78" s="30"/>
    </row>
    <row r="79" spans="2:12" x14ac:dyDescent="0.2">
      <c r="B79" s="23" t="s">
        <v>193</v>
      </c>
      <c r="C79" s="23" t="s">
        <v>194</v>
      </c>
      <c r="D79" s="23" t="s">
        <v>177</v>
      </c>
      <c r="E79" s="29">
        <v>250</v>
      </c>
      <c r="F79" s="25">
        <v>2492.85</v>
      </c>
      <c r="G79" s="25">
        <v>0.27</v>
      </c>
      <c r="H79" s="25"/>
      <c r="I79" s="25">
        <v>8.1300000000000008</v>
      </c>
      <c r="J79" s="30"/>
      <c r="L79" s="30"/>
    </row>
    <row r="80" spans="2:12" x14ac:dyDescent="0.2">
      <c r="B80" s="23" t="s">
        <v>195</v>
      </c>
      <c r="C80" s="23" t="s">
        <v>196</v>
      </c>
      <c r="D80" s="23" t="s">
        <v>177</v>
      </c>
      <c r="E80" s="29">
        <v>250</v>
      </c>
      <c r="F80" s="25">
        <v>2490.4499999999998</v>
      </c>
      <c r="G80" s="25">
        <v>0.27</v>
      </c>
      <c r="H80" s="25"/>
      <c r="I80" s="25">
        <v>7.8</v>
      </c>
      <c r="J80" s="30"/>
      <c r="L80" s="30"/>
    </row>
    <row r="81" spans="2:12" x14ac:dyDescent="0.2">
      <c r="B81" s="23" t="s">
        <v>197</v>
      </c>
      <c r="C81" s="23" t="s">
        <v>198</v>
      </c>
      <c r="D81" s="23" t="s">
        <v>177</v>
      </c>
      <c r="E81" s="29">
        <v>2500</v>
      </c>
      <c r="F81" s="25">
        <v>2486.88</v>
      </c>
      <c r="G81" s="25">
        <v>0.27</v>
      </c>
      <c r="H81" s="25"/>
      <c r="I81" s="25">
        <v>7.85</v>
      </c>
      <c r="J81" s="30"/>
      <c r="L81" s="30"/>
    </row>
    <row r="82" spans="2:12" x14ac:dyDescent="0.2">
      <c r="B82" s="23" t="s">
        <v>199</v>
      </c>
      <c r="C82" s="23" t="s">
        <v>200</v>
      </c>
      <c r="D82" s="23" t="s">
        <v>177</v>
      </c>
      <c r="E82" s="29">
        <v>250</v>
      </c>
      <c r="F82" s="25">
        <v>2485.81</v>
      </c>
      <c r="G82" s="25">
        <v>0.27</v>
      </c>
      <c r="H82" s="25"/>
      <c r="I82" s="25">
        <v>7.95</v>
      </c>
      <c r="J82" s="30"/>
      <c r="L82" s="30"/>
    </row>
    <row r="83" spans="2:12" x14ac:dyDescent="0.2">
      <c r="B83" s="23" t="s">
        <v>201</v>
      </c>
      <c r="C83" s="23" t="s">
        <v>202</v>
      </c>
      <c r="D83" s="23" t="s">
        <v>177</v>
      </c>
      <c r="E83" s="29">
        <v>250</v>
      </c>
      <c r="F83" s="25">
        <v>2485.6999999999998</v>
      </c>
      <c r="G83" s="25">
        <v>0.27</v>
      </c>
      <c r="H83" s="25"/>
      <c r="I83" s="25">
        <v>8.0399999999999991</v>
      </c>
      <c r="J83" s="30"/>
      <c r="L83" s="30"/>
    </row>
    <row r="84" spans="2:12" x14ac:dyDescent="0.2">
      <c r="B84" s="23" t="s">
        <v>203</v>
      </c>
      <c r="C84" s="23" t="s">
        <v>204</v>
      </c>
      <c r="D84" s="23" t="s">
        <v>177</v>
      </c>
      <c r="E84" s="29">
        <v>2500</v>
      </c>
      <c r="F84" s="25">
        <v>2485.3000000000002</v>
      </c>
      <c r="G84" s="25">
        <v>0.27</v>
      </c>
      <c r="H84" s="25"/>
      <c r="I84" s="25">
        <v>7.83</v>
      </c>
      <c r="J84" s="30"/>
      <c r="L84" s="30"/>
    </row>
    <row r="85" spans="2:12" x14ac:dyDescent="0.2">
      <c r="B85" s="23" t="s">
        <v>205</v>
      </c>
      <c r="C85" s="23" t="s">
        <v>206</v>
      </c>
      <c r="D85" s="23" t="s">
        <v>177</v>
      </c>
      <c r="E85" s="29">
        <v>2500</v>
      </c>
      <c r="F85" s="25">
        <v>2483.0500000000002</v>
      </c>
      <c r="G85" s="25">
        <v>0.27</v>
      </c>
      <c r="H85" s="25"/>
      <c r="I85" s="25">
        <v>7.81</v>
      </c>
      <c r="J85" s="30"/>
      <c r="L85" s="30"/>
    </row>
    <row r="86" spans="2:12" x14ac:dyDescent="0.2">
      <c r="B86" s="23" t="s">
        <v>207</v>
      </c>
      <c r="C86" s="23" t="s">
        <v>208</v>
      </c>
      <c r="D86" s="23" t="s">
        <v>177</v>
      </c>
      <c r="E86" s="29">
        <v>250</v>
      </c>
      <c r="F86" s="25">
        <v>2482.39</v>
      </c>
      <c r="G86" s="25">
        <v>0.27</v>
      </c>
      <c r="H86" s="25"/>
      <c r="I86" s="25">
        <v>8.1199999999999992</v>
      </c>
      <c r="J86" s="30"/>
      <c r="L86" s="30"/>
    </row>
    <row r="87" spans="2:12" x14ac:dyDescent="0.2">
      <c r="B87" s="23" t="s">
        <v>209</v>
      </c>
      <c r="C87" s="23" t="s">
        <v>210</v>
      </c>
      <c r="D87" s="23" t="s">
        <v>188</v>
      </c>
      <c r="E87" s="29">
        <v>250</v>
      </c>
      <c r="F87" s="25">
        <v>2482.14</v>
      </c>
      <c r="G87" s="25">
        <v>0.27</v>
      </c>
      <c r="H87" s="25"/>
      <c r="I87" s="25">
        <v>7.87</v>
      </c>
      <c r="J87" s="30"/>
      <c r="L87" s="30"/>
    </row>
    <row r="88" spans="2:12" x14ac:dyDescent="0.2">
      <c r="B88" s="23" t="s">
        <v>211</v>
      </c>
      <c r="C88" s="23" t="s">
        <v>212</v>
      </c>
      <c r="D88" s="23" t="s">
        <v>177</v>
      </c>
      <c r="E88" s="29">
        <v>250</v>
      </c>
      <c r="F88" s="25">
        <v>2479.8200000000002</v>
      </c>
      <c r="G88" s="25">
        <v>0.27</v>
      </c>
      <c r="H88" s="25"/>
      <c r="I88" s="25">
        <v>7.94</v>
      </c>
      <c r="J88" s="30"/>
      <c r="L88" s="30"/>
    </row>
    <row r="89" spans="2:12" x14ac:dyDescent="0.2">
      <c r="B89" s="23" t="s">
        <v>213</v>
      </c>
      <c r="C89" s="23" t="s">
        <v>214</v>
      </c>
      <c r="D89" s="23" t="s">
        <v>177</v>
      </c>
      <c r="E89" s="29">
        <v>250</v>
      </c>
      <c r="F89" s="25">
        <v>2473.0700000000002</v>
      </c>
      <c r="G89" s="25">
        <v>0.27</v>
      </c>
      <c r="H89" s="25"/>
      <c r="I89" s="25">
        <v>7.8</v>
      </c>
      <c r="J89" s="30"/>
      <c r="L89" s="30"/>
    </row>
    <row r="90" spans="2:12" x14ac:dyDescent="0.2">
      <c r="B90" s="23" t="s">
        <v>215</v>
      </c>
      <c r="C90" s="23" t="s">
        <v>216</v>
      </c>
      <c r="D90" s="23" t="s">
        <v>177</v>
      </c>
      <c r="E90" s="29">
        <v>250</v>
      </c>
      <c r="F90" s="25">
        <v>2449.06</v>
      </c>
      <c r="G90" s="25">
        <v>0.26</v>
      </c>
      <c r="H90" s="25"/>
      <c r="I90" s="25">
        <v>8.09</v>
      </c>
      <c r="J90" s="30"/>
      <c r="L90" s="30"/>
    </row>
    <row r="91" spans="2:12" x14ac:dyDescent="0.2">
      <c r="B91" s="23" t="s">
        <v>217</v>
      </c>
      <c r="C91" s="23" t="s">
        <v>218</v>
      </c>
      <c r="D91" s="23" t="s">
        <v>177</v>
      </c>
      <c r="E91" s="29">
        <v>250</v>
      </c>
      <c r="F91" s="25">
        <v>2443.21</v>
      </c>
      <c r="G91" s="25">
        <v>0.26</v>
      </c>
      <c r="H91" s="25"/>
      <c r="I91" s="25">
        <v>8.18</v>
      </c>
      <c r="J91" s="30"/>
      <c r="L91" s="30"/>
    </row>
    <row r="92" spans="2:12" x14ac:dyDescent="0.2">
      <c r="B92" s="23" t="s">
        <v>219</v>
      </c>
      <c r="C92" s="23" t="s">
        <v>220</v>
      </c>
      <c r="D92" s="23" t="s">
        <v>177</v>
      </c>
      <c r="E92" s="29">
        <v>100</v>
      </c>
      <c r="F92" s="25">
        <v>1001.4</v>
      </c>
      <c r="G92" s="25">
        <v>0.11</v>
      </c>
      <c r="H92" s="25"/>
      <c r="I92" s="25">
        <v>7.72</v>
      </c>
      <c r="J92" s="30"/>
      <c r="L92" s="30"/>
    </row>
    <row r="93" spans="2:12" x14ac:dyDescent="0.2">
      <c r="B93" s="23" t="s">
        <v>221</v>
      </c>
      <c r="C93" s="23" t="s">
        <v>222</v>
      </c>
      <c r="D93" s="23" t="s">
        <v>177</v>
      </c>
      <c r="E93" s="29">
        <v>100</v>
      </c>
      <c r="F93" s="25">
        <v>998.94</v>
      </c>
      <c r="G93" s="25">
        <v>0.11</v>
      </c>
      <c r="H93" s="25"/>
      <c r="I93" s="25">
        <v>7.85</v>
      </c>
      <c r="J93" s="30"/>
      <c r="L93" s="30"/>
    </row>
    <row r="94" spans="2:12" x14ac:dyDescent="0.2">
      <c r="B94" s="23" t="s">
        <v>223</v>
      </c>
      <c r="C94" s="23" t="s">
        <v>224</v>
      </c>
      <c r="D94" s="23" t="s">
        <v>177</v>
      </c>
      <c r="E94" s="29">
        <v>100</v>
      </c>
      <c r="F94" s="25">
        <v>971.67</v>
      </c>
      <c r="G94" s="25">
        <v>0.1</v>
      </c>
      <c r="H94" s="25"/>
      <c r="I94" s="25">
        <v>7.84</v>
      </c>
      <c r="J94" s="30"/>
      <c r="L94" s="30"/>
    </row>
    <row r="95" spans="2:12" x14ac:dyDescent="0.2">
      <c r="B95" s="23" t="s">
        <v>225</v>
      </c>
      <c r="C95" s="23" t="s">
        <v>226</v>
      </c>
      <c r="D95" s="23" t="s">
        <v>177</v>
      </c>
      <c r="E95" s="29">
        <v>50</v>
      </c>
      <c r="F95" s="25">
        <v>504.73</v>
      </c>
      <c r="G95" s="25">
        <v>0.05</v>
      </c>
      <c r="H95" s="25"/>
      <c r="I95" s="25">
        <v>7.73</v>
      </c>
      <c r="J95" s="30"/>
      <c r="L95" s="30"/>
    </row>
    <row r="96" spans="2:12" x14ac:dyDescent="0.2">
      <c r="B96" s="23" t="s">
        <v>227</v>
      </c>
      <c r="C96" s="23" t="s">
        <v>228</v>
      </c>
      <c r="D96" s="23" t="s">
        <v>177</v>
      </c>
      <c r="E96" s="29">
        <v>50</v>
      </c>
      <c r="F96" s="25">
        <v>500.45</v>
      </c>
      <c r="G96" s="25">
        <v>0.05</v>
      </c>
      <c r="H96" s="25"/>
      <c r="I96" s="25">
        <v>7.53</v>
      </c>
      <c r="J96" s="30"/>
      <c r="L96" s="30"/>
    </row>
    <row r="97" spans="2:12" x14ac:dyDescent="0.2">
      <c r="B97" s="23" t="s">
        <v>229</v>
      </c>
      <c r="C97" s="23" t="s">
        <v>230</v>
      </c>
      <c r="D97" s="23" t="s">
        <v>177</v>
      </c>
      <c r="E97" s="29">
        <v>50</v>
      </c>
      <c r="F97" s="25">
        <v>499</v>
      </c>
      <c r="G97" s="25">
        <v>0.05</v>
      </c>
      <c r="H97" s="25"/>
      <c r="I97" s="25">
        <v>7.86</v>
      </c>
      <c r="J97" s="30"/>
      <c r="L97" s="30"/>
    </row>
    <row r="98" spans="2:12" x14ac:dyDescent="0.2">
      <c r="B98" s="23" t="s">
        <v>231</v>
      </c>
      <c r="C98" s="23" t="s">
        <v>232</v>
      </c>
      <c r="D98" s="23" t="s">
        <v>188</v>
      </c>
      <c r="E98" s="29">
        <v>50</v>
      </c>
      <c r="F98" s="25">
        <v>497.72</v>
      </c>
      <c r="G98" s="25">
        <v>0.05</v>
      </c>
      <c r="H98" s="25"/>
      <c r="I98" s="25">
        <v>7.43</v>
      </c>
      <c r="J98" s="30"/>
      <c r="L98" s="30"/>
    </row>
    <row r="99" spans="2:12" x14ac:dyDescent="0.2">
      <c r="B99" s="23" t="s">
        <v>233</v>
      </c>
      <c r="C99" s="23" t="s">
        <v>234</v>
      </c>
      <c r="D99" s="23" t="s">
        <v>177</v>
      </c>
      <c r="E99" s="29">
        <v>12</v>
      </c>
      <c r="F99" s="25">
        <v>122.77</v>
      </c>
      <c r="G99" s="25">
        <v>0.01</v>
      </c>
      <c r="H99" s="25"/>
      <c r="I99" s="25">
        <v>7.8</v>
      </c>
      <c r="J99" s="30"/>
      <c r="L99" s="30"/>
    </row>
    <row r="100" spans="2:12" x14ac:dyDescent="0.2">
      <c r="B100" s="34" t="s">
        <v>172</v>
      </c>
      <c r="C100" s="34"/>
      <c r="D100" s="34"/>
      <c r="E100" s="35"/>
      <c r="F100" s="36">
        <f>SUM(F70:F99)</f>
        <v>66666.81</v>
      </c>
      <c r="G100" s="36">
        <f>SUM(G70:G99)</f>
        <v>7.1799999999999962</v>
      </c>
      <c r="H100" s="49"/>
      <c r="I100" s="49"/>
      <c r="J100" s="30"/>
      <c r="L100" s="30"/>
    </row>
    <row r="101" spans="2:12" x14ac:dyDescent="0.2">
      <c r="B101" s="50" t="s">
        <v>173</v>
      </c>
      <c r="C101" s="50"/>
      <c r="D101" s="50"/>
      <c r="E101" s="51"/>
      <c r="F101" s="52">
        <f>F100</f>
        <v>66666.81</v>
      </c>
      <c r="G101" s="52">
        <f>G100</f>
        <v>7.1799999999999962</v>
      </c>
      <c r="H101" s="52"/>
      <c r="I101" s="52"/>
      <c r="J101" s="30"/>
      <c r="L101" s="30"/>
    </row>
    <row r="102" spans="2:12" x14ac:dyDescent="0.2">
      <c r="B102" s="48" t="s">
        <v>235</v>
      </c>
      <c r="C102" s="23"/>
      <c r="D102" s="23"/>
      <c r="E102" s="24"/>
      <c r="F102" s="25"/>
      <c r="G102" s="25"/>
      <c r="H102" s="25"/>
      <c r="I102" s="25"/>
      <c r="J102" s="30"/>
      <c r="L102" s="30"/>
    </row>
    <row r="103" spans="2:12" x14ac:dyDescent="0.2">
      <c r="B103" s="48" t="s">
        <v>236</v>
      </c>
      <c r="C103" s="23"/>
      <c r="D103" s="23"/>
      <c r="E103" s="24"/>
      <c r="F103" s="25"/>
      <c r="G103" s="25"/>
      <c r="H103" s="25"/>
      <c r="I103" s="25"/>
      <c r="J103" s="30"/>
      <c r="L103" s="30"/>
    </row>
    <row r="104" spans="2:12" x14ac:dyDescent="0.2">
      <c r="B104" s="23" t="s">
        <v>237</v>
      </c>
      <c r="C104" s="23" t="s">
        <v>238</v>
      </c>
      <c r="D104" s="23" t="s">
        <v>239</v>
      </c>
      <c r="E104" s="29">
        <v>500</v>
      </c>
      <c r="F104" s="25">
        <v>2479.5300000000002</v>
      </c>
      <c r="G104" s="25">
        <v>0.27</v>
      </c>
      <c r="H104" s="25"/>
      <c r="I104" s="25">
        <v>7.35</v>
      </c>
      <c r="J104" s="30"/>
      <c r="L104" s="30"/>
    </row>
    <row r="105" spans="2:12" x14ac:dyDescent="0.2">
      <c r="B105" s="23" t="s">
        <v>240</v>
      </c>
      <c r="C105" s="23" t="s">
        <v>241</v>
      </c>
      <c r="D105" s="23" t="s">
        <v>239</v>
      </c>
      <c r="E105" s="29">
        <v>500</v>
      </c>
      <c r="F105" s="25">
        <v>2448.38</v>
      </c>
      <c r="G105" s="25">
        <v>0.26</v>
      </c>
      <c r="H105" s="25"/>
      <c r="I105" s="25">
        <v>7.4</v>
      </c>
      <c r="J105" s="30"/>
      <c r="L105" s="30"/>
    </row>
    <row r="106" spans="2:12" x14ac:dyDescent="0.2">
      <c r="B106" s="48" t="s">
        <v>172</v>
      </c>
      <c r="C106" s="48"/>
      <c r="D106" s="48"/>
      <c r="E106" s="53"/>
      <c r="F106" s="54">
        <f>SUM(F103:F105)</f>
        <v>4927.91</v>
      </c>
      <c r="G106" s="54">
        <f>SUM(G103:G105)</f>
        <v>0.53</v>
      </c>
      <c r="H106" s="55"/>
      <c r="I106" s="55"/>
      <c r="J106" s="30"/>
      <c r="L106" s="30"/>
    </row>
    <row r="107" spans="2:12" x14ac:dyDescent="0.2">
      <c r="B107" s="48" t="s">
        <v>242</v>
      </c>
      <c r="C107" s="23"/>
      <c r="D107" s="23"/>
      <c r="E107" s="24"/>
      <c r="F107" s="25"/>
      <c r="G107" s="25"/>
      <c r="H107" s="25"/>
      <c r="I107" s="25"/>
      <c r="J107" s="30"/>
      <c r="L107" s="30"/>
    </row>
    <row r="108" spans="2:12" x14ac:dyDescent="0.2">
      <c r="B108" s="23" t="s">
        <v>243</v>
      </c>
      <c r="C108" s="23" t="s">
        <v>244</v>
      </c>
      <c r="D108" s="23" t="s">
        <v>239</v>
      </c>
      <c r="E108" s="29">
        <v>500</v>
      </c>
      <c r="F108" s="25">
        <v>2487.0500000000002</v>
      </c>
      <c r="G108" s="25">
        <v>0.27</v>
      </c>
      <c r="H108" s="25"/>
      <c r="I108" s="25">
        <v>7.6</v>
      </c>
      <c r="J108" s="30"/>
      <c r="L108" s="30"/>
    </row>
    <row r="109" spans="2:12" x14ac:dyDescent="0.2">
      <c r="B109" s="23" t="s">
        <v>245</v>
      </c>
      <c r="C109" s="23" t="s">
        <v>246</v>
      </c>
      <c r="D109" s="23" t="s">
        <v>239</v>
      </c>
      <c r="E109" s="29">
        <v>500</v>
      </c>
      <c r="F109" s="25">
        <v>2442.37</v>
      </c>
      <c r="G109" s="25">
        <v>0.26</v>
      </c>
      <c r="H109" s="25"/>
      <c r="I109" s="25">
        <v>7.98</v>
      </c>
      <c r="J109" s="30"/>
      <c r="L109" s="30"/>
    </row>
    <row r="110" spans="2:12" x14ac:dyDescent="0.2">
      <c r="B110" s="48" t="s">
        <v>172</v>
      </c>
      <c r="C110" s="48"/>
      <c r="D110" s="48"/>
      <c r="E110" s="53"/>
      <c r="F110" s="54">
        <f>SUM(F107:F109)</f>
        <v>4929.42</v>
      </c>
      <c r="G110" s="54">
        <f>SUM(G107:G109)</f>
        <v>0.53</v>
      </c>
      <c r="H110" s="55"/>
      <c r="I110" s="55"/>
      <c r="J110" s="30"/>
      <c r="L110" s="30"/>
    </row>
    <row r="111" spans="2:12" x14ac:dyDescent="0.2">
      <c r="B111" s="48" t="s">
        <v>247</v>
      </c>
      <c r="C111" s="23"/>
      <c r="D111" s="23"/>
      <c r="E111" s="24"/>
      <c r="F111" s="25"/>
      <c r="G111" s="25"/>
      <c r="H111" s="25"/>
      <c r="I111" s="25"/>
      <c r="J111" s="30"/>
      <c r="L111" s="30"/>
    </row>
    <row r="112" spans="2:12" x14ac:dyDescent="0.2">
      <c r="B112" s="23" t="s">
        <v>248</v>
      </c>
      <c r="C112" s="23" t="s">
        <v>249</v>
      </c>
      <c r="D112" s="23" t="s">
        <v>250</v>
      </c>
      <c r="E112" s="29">
        <v>1000000</v>
      </c>
      <c r="F112" s="25">
        <v>988.42</v>
      </c>
      <c r="G112" s="25">
        <v>0.11</v>
      </c>
      <c r="H112" s="25"/>
      <c r="I112" s="25">
        <v>6.9</v>
      </c>
      <c r="J112" s="30"/>
      <c r="L112" s="30"/>
    </row>
    <row r="113" spans="2:12" x14ac:dyDescent="0.2">
      <c r="B113" s="34" t="s">
        <v>172</v>
      </c>
      <c r="C113" s="34"/>
      <c r="D113" s="34"/>
      <c r="E113" s="35"/>
      <c r="F113" s="36">
        <f>SUM(F111:F112)</f>
        <v>988.42</v>
      </c>
      <c r="G113" s="36">
        <f>SUM(G111:G112)</f>
        <v>0.11</v>
      </c>
      <c r="H113" s="49"/>
      <c r="I113" s="49"/>
      <c r="J113" s="30"/>
      <c r="L113" s="30"/>
    </row>
    <row r="114" spans="2:12" x14ac:dyDescent="0.2">
      <c r="B114" s="50" t="s">
        <v>173</v>
      </c>
      <c r="C114" s="50"/>
      <c r="D114" s="50"/>
      <c r="E114" s="51"/>
      <c r="F114" s="52">
        <f>F106+F110+F113</f>
        <v>10845.75</v>
      </c>
      <c r="G114" s="52">
        <f>G106+G110+G113</f>
        <v>1.1700000000000002</v>
      </c>
      <c r="H114" s="52"/>
      <c r="I114" s="52"/>
      <c r="J114" s="30"/>
      <c r="L114" s="30"/>
    </row>
    <row r="115" spans="2:12" x14ac:dyDescent="0.2">
      <c r="B115" s="48" t="s">
        <v>251</v>
      </c>
      <c r="C115" s="23"/>
      <c r="D115" s="23"/>
      <c r="E115" s="24"/>
      <c r="F115" s="25"/>
      <c r="G115" s="25"/>
      <c r="H115" s="25"/>
      <c r="I115" s="25"/>
      <c r="J115" s="30"/>
      <c r="L115" s="30"/>
    </row>
    <row r="116" spans="2:12" x14ac:dyDescent="0.2">
      <c r="B116" s="23" t="s">
        <v>252</v>
      </c>
      <c r="C116" s="23" t="s">
        <v>253</v>
      </c>
      <c r="D116" s="23" t="s">
        <v>254</v>
      </c>
      <c r="E116" s="29">
        <v>16900000</v>
      </c>
      <c r="F116" s="25">
        <v>16579.53</v>
      </c>
      <c r="G116" s="25">
        <v>1.79</v>
      </c>
      <c r="H116" s="25"/>
      <c r="I116" s="25">
        <v>7.54</v>
      </c>
      <c r="J116" s="30"/>
      <c r="L116" s="30"/>
    </row>
    <row r="117" spans="2:12" x14ac:dyDescent="0.2">
      <c r="B117" s="23" t="s">
        <v>255</v>
      </c>
      <c r="C117" s="23" t="s">
        <v>256</v>
      </c>
      <c r="D117" s="23" t="s">
        <v>254</v>
      </c>
      <c r="E117" s="29">
        <v>14000000</v>
      </c>
      <c r="F117" s="25">
        <v>13916.74</v>
      </c>
      <c r="G117" s="25">
        <v>1.5</v>
      </c>
      <c r="H117" s="25"/>
      <c r="I117" s="25">
        <v>7.42</v>
      </c>
      <c r="J117" s="30"/>
      <c r="L117" s="30"/>
    </row>
    <row r="118" spans="2:12" x14ac:dyDescent="0.2">
      <c r="B118" s="23" t="s">
        <v>257</v>
      </c>
      <c r="C118" s="23" t="s">
        <v>258</v>
      </c>
      <c r="D118" s="23" t="s">
        <v>254</v>
      </c>
      <c r="E118" s="29">
        <v>10000000</v>
      </c>
      <c r="F118" s="25">
        <v>9925.06</v>
      </c>
      <c r="G118" s="25">
        <v>1.07</v>
      </c>
      <c r="H118" s="25"/>
      <c r="I118" s="25">
        <v>7.39</v>
      </c>
      <c r="J118" s="30"/>
      <c r="L118" s="30"/>
    </row>
    <row r="119" spans="2:12" x14ac:dyDescent="0.2">
      <c r="B119" s="23" t="s">
        <v>259</v>
      </c>
      <c r="C119" s="23" t="s">
        <v>260</v>
      </c>
      <c r="D119" s="23" t="s">
        <v>254</v>
      </c>
      <c r="E119" s="29">
        <v>7500000</v>
      </c>
      <c r="F119" s="25">
        <v>7447.76</v>
      </c>
      <c r="G119" s="25">
        <v>0.8</v>
      </c>
      <c r="H119" s="25"/>
      <c r="I119" s="25">
        <v>7.41</v>
      </c>
      <c r="J119" s="30"/>
      <c r="L119" s="30"/>
    </row>
    <row r="120" spans="2:12" x14ac:dyDescent="0.2">
      <c r="B120" s="23" t="s">
        <v>261</v>
      </c>
      <c r="C120" s="23" t="s">
        <v>262</v>
      </c>
      <c r="D120" s="23" t="s">
        <v>254</v>
      </c>
      <c r="E120" s="29">
        <v>7500000</v>
      </c>
      <c r="F120" s="25">
        <v>7436.93</v>
      </c>
      <c r="G120" s="25">
        <v>0.8</v>
      </c>
      <c r="H120" s="25"/>
      <c r="I120" s="25">
        <v>7.42</v>
      </c>
      <c r="J120" s="30"/>
      <c r="L120" s="30"/>
    </row>
    <row r="121" spans="2:12" x14ac:dyDescent="0.2">
      <c r="B121" s="23" t="s">
        <v>263</v>
      </c>
      <c r="C121" s="23" t="s">
        <v>264</v>
      </c>
      <c r="D121" s="23" t="s">
        <v>254</v>
      </c>
      <c r="E121" s="29">
        <v>7500000</v>
      </c>
      <c r="F121" s="25">
        <v>7202.39</v>
      </c>
      <c r="G121" s="25">
        <v>0.78</v>
      </c>
      <c r="H121" s="25"/>
      <c r="I121" s="25">
        <v>7.39</v>
      </c>
      <c r="J121" s="30"/>
      <c r="L121" s="30"/>
    </row>
    <row r="122" spans="2:12" x14ac:dyDescent="0.2">
      <c r="B122" s="23" t="s">
        <v>265</v>
      </c>
      <c r="C122" s="23" t="s">
        <v>266</v>
      </c>
      <c r="D122" s="23" t="s">
        <v>254</v>
      </c>
      <c r="E122" s="29">
        <v>7000000</v>
      </c>
      <c r="F122" s="25">
        <v>7024.51</v>
      </c>
      <c r="G122" s="25">
        <v>0.76</v>
      </c>
      <c r="H122" s="25"/>
      <c r="I122" s="25">
        <v>7.4</v>
      </c>
      <c r="J122" s="30"/>
      <c r="L122" s="30"/>
    </row>
    <row r="123" spans="2:12" x14ac:dyDescent="0.2">
      <c r="B123" s="23" t="s">
        <v>267</v>
      </c>
      <c r="C123" s="23" t="s">
        <v>268</v>
      </c>
      <c r="D123" s="23" t="s">
        <v>254</v>
      </c>
      <c r="E123" s="29">
        <v>5500000</v>
      </c>
      <c r="F123" s="25">
        <v>5500.32</v>
      </c>
      <c r="G123" s="25">
        <v>0.59</v>
      </c>
      <c r="H123" s="25"/>
      <c r="I123" s="25">
        <v>7.39</v>
      </c>
      <c r="J123" s="30"/>
      <c r="L123" s="30"/>
    </row>
    <row r="124" spans="2:12" x14ac:dyDescent="0.2">
      <c r="B124" s="23" t="s">
        <v>269</v>
      </c>
      <c r="C124" s="23" t="s">
        <v>270</v>
      </c>
      <c r="D124" s="23" t="s">
        <v>254</v>
      </c>
      <c r="E124" s="29">
        <v>5500000</v>
      </c>
      <c r="F124" s="25">
        <v>5476.63</v>
      </c>
      <c r="G124" s="25">
        <v>0.59</v>
      </c>
      <c r="H124" s="25"/>
      <c r="I124" s="25">
        <v>8.16</v>
      </c>
      <c r="J124" s="30"/>
      <c r="L124" s="30"/>
    </row>
    <row r="125" spans="2:12" x14ac:dyDescent="0.2">
      <c r="B125" s="23" t="s">
        <v>271</v>
      </c>
      <c r="C125" s="23" t="s">
        <v>272</v>
      </c>
      <c r="D125" s="23" t="s">
        <v>254</v>
      </c>
      <c r="E125" s="29">
        <v>3000000</v>
      </c>
      <c r="F125" s="25">
        <v>3040.45</v>
      </c>
      <c r="G125" s="25">
        <v>0.33</v>
      </c>
      <c r="H125" s="25"/>
      <c r="I125" s="25">
        <v>8.0500000000000007</v>
      </c>
      <c r="J125" s="30"/>
      <c r="L125" s="30"/>
    </row>
    <row r="126" spans="2:12" x14ac:dyDescent="0.2">
      <c r="B126" s="23" t="s">
        <v>273</v>
      </c>
      <c r="C126" s="23" t="s">
        <v>274</v>
      </c>
      <c r="D126" s="23" t="s">
        <v>254</v>
      </c>
      <c r="E126" s="29">
        <v>2500000</v>
      </c>
      <c r="F126" s="25">
        <v>2448.4899999999998</v>
      </c>
      <c r="G126" s="25">
        <v>0.26</v>
      </c>
      <c r="H126" s="25"/>
      <c r="I126" s="25">
        <v>7.85</v>
      </c>
      <c r="J126" s="30"/>
      <c r="L126" s="30"/>
    </row>
    <row r="127" spans="2:12" x14ac:dyDescent="0.2">
      <c r="B127" s="23" t="s">
        <v>275</v>
      </c>
      <c r="C127" s="23" t="s">
        <v>276</v>
      </c>
      <c r="D127" s="23" t="s">
        <v>254</v>
      </c>
      <c r="E127" s="29">
        <v>2000000</v>
      </c>
      <c r="F127" s="25">
        <v>1966.01</v>
      </c>
      <c r="G127" s="25">
        <v>0.21</v>
      </c>
      <c r="H127" s="25"/>
      <c r="I127" s="25">
        <v>7.64</v>
      </c>
      <c r="J127" s="30"/>
      <c r="L127" s="30"/>
    </row>
    <row r="128" spans="2:12" x14ac:dyDescent="0.2">
      <c r="B128" s="23" t="s">
        <v>277</v>
      </c>
      <c r="C128" s="23" t="s">
        <v>278</v>
      </c>
      <c r="D128" s="23" t="s">
        <v>254</v>
      </c>
      <c r="E128" s="29">
        <v>2000000</v>
      </c>
      <c r="F128" s="25">
        <v>1925.4</v>
      </c>
      <c r="G128" s="25">
        <v>0.21</v>
      </c>
      <c r="H128" s="25"/>
      <c r="I128" s="25">
        <v>7.38</v>
      </c>
      <c r="J128" s="30"/>
      <c r="L128" s="30"/>
    </row>
    <row r="129" spans="2:12" x14ac:dyDescent="0.2">
      <c r="B129" s="23" t="s">
        <v>279</v>
      </c>
      <c r="C129" s="23" t="s">
        <v>280</v>
      </c>
      <c r="D129" s="23" t="s">
        <v>254</v>
      </c>
      <c r="E129" s="29">
        <v>2000000</v>
      </c>
      <c r="F129" s="25">
        <v>1904.67</v>
      </c>
      <c r="G129" s="25">
        <v>0.21</v>
      </c>
      <c r="H129" s="25"/>
      <c r="I129" s="25">
        <v>7.81</v>
      </c>
      <c r="J129" s="30"/>
      <c r="L129" s="30"/>
    </row>
    <row r="130" spans="2:12" x14ac:dyDescent="0.2">
      <c r="B130" s="23" t="s">
        <v>281</v>
      </c>
      <c r="C130" s="23" t="s">
        <v>282</v>
      </c>
      <c r="D130" s="23" t="s">
        <v>254</v>
      </c>
      <c r="E130" s="29">
        <v>1500000</v>
      </c>
      <c r="F130" s="25">
        <v>1519.74</v>
      </c>
      <c r="G130" s="25">
        <v>0.16</v>
      </c>
      <c r="H130" s="25"/>
      <c r="I130" s="25">
        <v>7.82</v>
      </c>
      <c r="J130" s="30"/>
      <c r="L130" s="30"/>
    </row>
    <row r="131" spans="2:12" x14ac:dyDescent="0.2">
      <c r="B131" s="23" t="s">
        <v>283</v>
      </c>
      <c r="C131" s="23" t="s">
        <v>284</v>
      </c>
      <c r="D131" s="23" t="s">
        <v>254</v>
      </c>
      <c r="E131" s="29">
        <v>1500000</v>
      </c>
      <c r="F131" s="25">
        <v>1503.63</v>
      </c>
      <c r="G131" s="25">
        <v>0.16</v>
      </c>
      <c r="H131" s="25"/>
      <c r="I131" s="25">
        <v>7.41</v>
      </c>
      <c r="J131" s="30"/>
      <c r="L131" s="30"/>
    </row>
    <row r="132" spans="2:12" x14ac:dyDescent="0.2">
      <c r="B132" s="23" t="s">
        <v>285</v>
      </c>
      <c r="C132" s="23" t="s">
        <v>286</v>
      </c>
      <c r="D132" s="23" t="s">
        <v>254</v>
      </c>
      <c r="E132" s="29">
        <v>1500000</v>
      </c>
      <c r="F132" s="25">
        <v>1498.52</v>
      </c>
      <c r="G132" s="25">
        <v>0.16</v>
      </c>
      <c r="H132" s="25"/>
      <c r="I132" s="25">
        <v>7.89</v>
      </c>
      <c r="J132" s="30"/>
      <c r="L132" s="30"/>
    </row>
    <row r="133" spans="2:12" x14ac:dyDescent="0.2">
      <c r="B133" s="23" t="s">
        <v>287</v>
      </c>
      <c r="C133" s="23" t="s">
        <v>288</v>
      </c>
      <c r="D133" s="23" t="s">
        <v>254</v>
      </c>
      <c r="E133" s="29">
        <v>500000</v>
      </c>
      <c r="F133" s="25">
        <v>512.84</v>
      </c>
      <c r="G133" s="25">
        <v>0.06</v>
      </c>
      <c r="H133" s="25"/>
      <c r="I133" s="25">
        <v>7.45</v>
      </c>
      <c r="J133" s="30"/>
      <c r="L133" s="30"/>
    </row>
    <row r="134" spans="2:12" x14ac:dyDescent="0.2">
      <c r="B134" s="23" t="s">
        <v>289</v>
      </c>
      <c r="C134" s="23" t="s">
        <v>290</v>
      </c>
      <c r="D134" s="23" t="s">
        <v>254</v>
      </c>
      <c r="E134" s="29">
        <v>500000</v>
      </c>
      <c r="F134" s="25">
        <v>511.47</v>
      </c>
      <c r="G134" s="25">
        <v>0.06</v>
      </c>
      <c r="H134" s="25"/>
      <c r="I134" s="25">
        <v>7.41</v>
      </c>
      <c r="J134" s="30"/>
      <c r="L134" s="30"/>
    </row>
    <row r="135" spans="2:12" x14ac:dyDescent="0.2">
      <c r="B135" s="23" t="s">
        <v>291</v>
      </c>
      <c r="C135" s="23" t="s">
        <v>292</v>
      </c>
      <c r="D135" s="23" t="s">
        <v>254</v>
      </c>
      <c r="E135" s="29">
        <v>500000</v>
      </c>
      <c r="F135" s="25">
        <v>494.12</v>
      </c>
      <c r="G135" s="25">
        <v>0.05</v>
      </c>
      <c r="H135" s="25"/>
      <c r="I135" s="25">
        <v>7.63</v>
      </c>
      <c r="J135" s="30"/>
      <c r="L135" s="30"/>
    </row>
    <row r="136" spans="2:12" x14ac:dyDescent="0.2">
      <c r="B136" s="56" t="s">
        <v>293</v>
      </c>
      <c r="C136" s="56" t="s">
        <v>294</v>
      </c>
      <c r="D136" s="56" t="s">
        <v>254</v>
      </c>
      <c r="E136" s="57">
        <v>500000</v>
      </c>
      <c r="F136" s="58">
        <v>466.72</v>
      </c>
      <c r="G136" s="58">
        <v>0.05</v>
      </c>
      <c r="H136" s="58"/>
      <c r="I136" s="58">
        <v>7.62</v>
      </c>
      <c r="J136" s="30"/>
      <c r="L136" s="30"/>
    </row>
    <row r="137" spans="2:12" x14ac:dyDescent="0.2">
      <c r="B137" s="59" t="s">
        <v>173</v>
      </c>
      <c r="C137" s="59"/>
      <c r="D137" s="59"/>
      <c r="E137" s="60"/>
      <c r="F137" s="54">
        <f>SUM(F116:F136)</f>
        <v>98301.93</v>
      </c>
      <c r="G137" s="54">
        <f>SUM(G116:G136)</f>
        <v>10.600000000000005</v>
      </c>
      <c r="H137" s="54"/>
      <c r="I137" s="54"/>
      <c r="J137" s="30"/>
      <c r="L137" s="30"/>
    </row>
    <row r="138" spans="2:12" x14ac:dyDescent="0.2">
      <c r="B138" s="48" t="s">
        <v>295</v>
      </c>
      <c r="C138" s="23"/>
      <c r="D138" s="23"/>
      <c r="E138" s="24"/>
      <c r="F138" s="25"/>
      <c r="G138" s="25"/>
      <c r="H138" s="25"/>
      <c r="I138" s="25"/>
      <c r="J138" s="30"/>
      <c r="L138" s="30"/>
    </row>
    <row r="139" spans="2:12" x14ac:dyDescent="0.2">
      <c r="B139" s="23" t="s">
        <v>295</v>
      </c>
      <c r="C139" s="23"/>
      <c r="D139" s="23"/>
      <c r="E139" s="24"/>
      <c r="F139" s="25">
        <v>75787.789999999994</v>
      </c>
      <c r="G139" s="25">
        <v>8.17</v>
      </c>
      <c r="H139" s="25"/>
      <c r="I139" s="25"/>
      <c r="J139" s="30"/>
      <c r="L139" s="30"/>
    </row>
    <row r="140" spans="2:12" x14ac:dyDescent="0.2">
      <c r="B140" s="34" t="s">
        <v>172</v>
      </c>
      <c r="C140" s="34"/>
      <c r="D140" s="34"/>
      <c r="E140" s="35"/>
      <c r="F140" s="36">
        <f>SUM(F138:F139)</f>
        <v>75787.789999999994</v>
      </c>
      <c r="G140" s="36">
        <f>SUM(G138:G139)</f>
        <v>8.17</v>
      </c>
      <c r="H140" s="49"/>
      <c r="I140" s="49"/>
      <c r="J140" s="30"/>
      <c r="L140" s="30"/>
    </row>
    <row r="141" spans="2:12" x14ac:dyDescent="0.2">
      <c r="B141" s="61" t="s">
        <v>173</v>
      </c>
      <c r="C141" s="61"/>
      <c r="D141" s="61"/>
      <c r="E141" s="62"/>
      <c r="F141" s="63">
        <f>F140</f>
        <v>75787.789999999994</v>
      </c>
      <c r="G141" s="63">
        <f>G140</f>
        <v>8.17</v>
      </c>
      <c r="H141" s="63"/>
      <c r="I141" s="63"/>
      <c r="J141" s="30"/>
      <c r="L141" s="30"/>
    </row>
    <row r="142" spans="2:12" x14ac:dyDescent="0.2">
      <c r="B142" s="64" t="s">
        <v>296</v>
      </c>
      <c r="C142" s="64"/>
      <c r="D142" s="64"/>
      <c r="E142" s="65"/>
      <c r="F142" s="66">
        <f>F143-(+F68+F101+F114+F137+F141)</f>
        <v>1387.6900000002934</v>
      </c>
      <c r="G142" s="66">
        <f>G143-(+G68+G101+G114+G137+G141)</f>
        <v>0.11999999999997613</v>
      </c>
      <c r="H142" s="66"/>
      <c r="I142" s="66"/>
      <c r="J142" s="30"/>
      <c r="L142" s="30"/>
    </row>
    <row r="143" spans="2:12" x14ac:dyDescent="0.2">
      <c r="B143" s="64" t="s">
        <v>297</v>
      </c>
      <c r="C143" s="64"/>
      <c r="D143" s="64"/>
      <c r="E143" s="65"/>
      <c r="F143" s="66">
        <v>927787.92</v>
      </c>
      <c r="G143" s="66">
        <v>100</v>
      </c>
      <c r="H143" s="66"/>
      <c r="I143" s="66"/>
      <c r="J143" s="30"/>
      <c r="L143" s="30"/>
    </row>
    <row r="144" spans="2:12" x14ac:dyDescent="0.2">
      <c r="J144" s="30"/>
      <c r="L144" s="30"/>
    </row>
    <row r="145" spans="2:12" x14ac:dyDescent="0.2">
      <c r="B145" s="68" t="s">
        <v>298</v>
      </c>
      <c r="J145" s="30"/>
      <c r="L145" s="30"/>
    </row>
    <row r="146" spans="2:12" x14ac:dyDescent="0.2">
      <c r="B146" s="68" t="s">
        <v>299</v>
      </c>
    </row>
    <row r="147" spans="2:12" ht="12.75" thickBot="1" x14ac:dyDescent="0.25"/>
    <row r="148" spans="2:12" ht="13.5" thickTop="1" thickBot="1" x14ac:dyDescent="0.25">
      <c r="B148" s="69" t="s">
        <v>300</v>
      </c>
      <c r="C148" s="70">
        <v>2.2951000000000001</v>
      </c>
    </row>
    <row r="149" spans="2:12" ht="13.5" thickTop="1" thickBot="1" x14ac:dyDescent="0.25"/>
    <row r="150" spans="2:12" ht="13.5" thickTop="1" thickBot="1" x14ac:dyDescent="0.25">
      <c r="B150" s="69" t="s">
        <v>301</v>
      </c>
      <c r="C150" s="71">
        <v>7.3899999999999993E-2</v>
      </c>
    </row>
    <row r="151" spans="2:12" ht="13.5" thickTop="1" thickBot="1" x14ac:dyDescent="0.25"/>
    <row r="152" spans="2:12" ht="13.5" thickTop="1" thickBot="1" x14ac:dyDescent="0.25">
      <c r="B152" s="69" t="s">
        <v>302</v>
      </c>
      <c r="C152" s="70">
        <v>2.4222999999999999</v>
      </c>
    </row>
    <row r="153" spans="2:12" ht="12.75" thickTop="1" x14ac:dyDescent="0.2"/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2023-12-07 11:44:55</KDate>
  <Classification>Public</Classification>
  <Subclassification/>
  <HostName>MUMCMP00935</HostName>
  <Domain_User>CANARAROBECOMF/628</Domain_User>
  <IPAdd>192.9.198.194</IPAdd>
  <FilePath>Book12</FilePath>
  <KID>C025A5607E97638375462956961322</KID>
  <UniqueName/>
  <Suggested/>
  <Justification/>
</Klassify>
</file>

<file path=customXml/itemProps1.xml><?xml version="1.0" encoding="utf-8"?>
<ds:datastoreItem xmlns:ds="http://schemas.openxmlformats.org/officeDocument/2006/customXml" ds:itemID="{5CE05A0D-6736-42A3-94EE-0A76D46EE7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2023-12-07T06:14:48Z</dcterms:created>
  <dcterms:modified xsi:type="dcterms:W3CDTF">2023-12-07T06:14:55Z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C025A5607E97638375462956961322</vt:lpwstr>
  </property>
</Properties>
</file>