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TA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1" i="1"/>
  <c r="F41" i="1"/>
  <c r="F42" i="1" s="1"/>
  <c r="G37" i="1"/>
  <c r="F37" i="1"/>
  <c r="G34" i="1"/>
  <c r="G38" i="1" s="1"/>
  <c r="F34" i="1"/>
  <c r="G30" i="1"/>
  <c r="F30" i="1"/>
  <c r="F38" i="1" s="1"/>
  <c r="G19" i="1"/>
  <c r="G43" i="1" s="1"/>
  <c r="G18" i="1"/>
  <c r="F18" i="1"/>
  <c r="F19" i="1" s="1"/>
  <c r="F43" i="1" s="1"/>
</calcChain>
</file>

<file path=xl/sharedStrings.xml><?xml version="1.0" encoding="utf-8"?>
<sst xmlns="http://schemas.openxmlformats.org/spreadsheetml/2006/main" count="112" uniqueCount="91">
  <si>
    <t>CANARA ROBECO ULTRA SHORT TERM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</si>
  <si>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</si>
  <si>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</si>
  <si>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</si>
  <si>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</si>
  <si>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</si>
  <si>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</si>
  <si>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</si>
  <si>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</si>
  <si>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Mar'23</t>
  </si>
  <si>
    <t>Benchmark Risk-o-meter Level- Mar'23</t>
  </si>
  <si>
    <t>Scheme Risk-o-meter Level- Feb'23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</si>
  <si>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</si>
  <si>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</si>
  <si>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</si>
  <si>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</si>
  <si>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</si>
  <si>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</si>
  <si>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</si>
  <si>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</si>
  <si>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8.50% NHPC Ltd (14/07/2023) **</t>
  </si>
  <si>
    <t>INE848E07831</t>
  </si>
  <si>
    <t>CARE AAA</t>
  </si>
  <si>
    <t>Relatively Low (Class I)</t>
  </si>
  <si>
    <t>B-I</t>
  </si>
  <si>
    <t>8.64% Power Grid Corporation of India Ltd (08/07/2023) **</t>
  </si>
  <si>
    <t>INE752E07HL9</t>
  </si>
  <si>
    <t>CRISIL AAA</t>
  </si>
  <si>
    <t>6.38% Hindustan Petroleum Corporation Ltd (12/04/2023) **</t>
  </si>
  <si>
    <t>INE094A08051</t>
  </si>
  <si>
    <t>Moderate 
(Class II)</t>
  </si>
  <si>
    <t>7.20% Reliance Industries Ltd (17/04/2023) **</t>
  </si>
  <si>
    <t>INE002A08609</t>
  </si>
  <si>
    <t>6.40% National Bank For Agriculture &amp; Rural Development (31/07/2023)</t>
  </si>
  <si>
    <t>INE261F08CA0</t>
  </si>
  <si>
    <t>IND AAA</t>
  </si>
  <si>
    <t>Relatively High (Class III)</t>
  </si>
  <si>
    <t>6.8975% LIC HOUSING FINANCE LTD16-NOV-23 **</t>
  </si>
  <si>
    <t>INE115A07PX5</t>
  </si>
  <si>
    <t>5.70% Bajaj Finance Ltd (11/08/2023) **</t>
  </si>
  <si>
    <t>INE296A07RG4</t>
  </si>
  <si>
    <t>Benchmark: CRISIL Ultra Short Duration Fund B-I Index</t>
  </si>
  <si>
    <t>5.84% Indian Oil Corporation Ltd (19/04/2024)</t>
  </si>
  <si>
    <t>INE242A08510</t>
  </si>
  <si>
    <t>7.42% Sundaram Finance Ltd (03/04/2023) **</t>
  </si>
  <si>
    <t>INE660A07QF5</t>
  </si>
  <si>
    <t>6.83% Power Finance Corporation Ltd (24/04/2023) **</t>
  </si>
  <si>
    <t>INE134E08KO6</t>
  </si>
  <si>
    <t>6.55% NTPC Ltd (17/04/2023) **</t>
  </si>
  <si>
    <t>INE733E08148</t>
  </si>
  <si>
    <t>Sub Total</t>
  </si>
  <si>
    <t>Total</t>
  </si>
  <si>
    <t>Money Market Instruments</t>
  </si>
  <si>
    <t>Certificate of Deposit</t>
  </si>
  <si>
    <t>HDFC Bank Ltd (15/06/2023) #</t>
  </si>
  <si>
    <t>INE040A16DD4</t>
  </si>
  <si>
    <t>CARE A1+</t>
  </si>
  <si>
    <t>Kotak Mahindra Bank Ltd (21/06/2023) ** #</t>
  </si>
  <si>
    <t>INE237A169O1</t>
  </si>
  <si>
    <t>CRISIL A1+</t>
  </si>
  <si>
    <t>Export-Import Bank Of India (17/08/2023) ** #</t>
  </si>
  <si>
    <t>INE514E16CC4</t>
  </si>
  <si>
    <t>State Bank Of India (12/09/2023) #</t>
  </si>
  <si>
    <t>INE062A16465</t>
  </si>
  <si>
    <t>IND A1+</t>
  </si>
  <si>
    <t>Bank of Baroda (15/11/2023) ** #</t>
  </si>
  <si>
    <t>INE028A16CY7</t>
  </si>
  <si>
    <t>ICICI Bank Ltd (17/11/2023) ** #</t>
  </si>
  <si>
    <t>INE090A169Y6</t>
  </si>
  <si>
    <t>ICRA A1+</t>
  </si>
  <si>
    <t>Axis Bank Ltd (23/11/2023) #</t>
  </si>
  <si>
    <t>INE238AD6157</t>
  </si>
  <si>
    <t>ICICI Bank Ltd (11/09/2023) ** #</t>
  </si>
  <si>
    <t>INE090A161Y3</t>
  </si>
  <si>
    <t>Commercial Paper</t>
  </si>
  <si>
    <t xml:space="preserve">Small Industries Development Bank Of India (08/06/2023) ** </t>
  </si>
  <si>
    <t>INE556F14IW2</t>
  </si>
  <si>
    <t xml:space="preserve">Housing Development Finance Corporation Ltd (30/08/2023) ** </t>
  </si>
  <si>
    <t>INE001A14ZK9</t>
  </si>
  <si>
    <t>Treasury Bill</t>
  </si>
  <si>
    <t>364 DAYS TREASURY BILLS 11-JAN-24</t>
  </si>
  <si>
    <t>IN002022Z416</t>
  </si>
  <si>
    <t xml:space="preserve"> Sovereign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</si>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</sst>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4" fontId="3" fillId="3" borderId="0" xfId="1" applyNumberFormat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8" xfId="0" applyNumberFormat="1" applyFont="1" applyFill="1" applyBorder="1"/>
    <xf numFmtId="2" fontId="11" fillId="0" borderId="19" xfId="0" applyNumberFormat="1" applyFont="1" applyBorder="1"/>
    <xf numFmtId="49" fontId="12" fillId="0" borderId="0" xfId="0" applyNumberFormat="1" applyFont="1"/>
    <xf numFmtId="10" fontId="11" fillId="0" borderId="19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4</xdr:row>
      <xdr:rowOff>76200</xdr:rowOff>
    </xdr:from>
    <xdr:ext cx="1863481" cy="1238250"/>
    <xdr:pic>
      <xdr:nvPicPr>
        <xdr:cNvPr id="2" name="Picture 1">
          <a:extLst>
            <a:ext uri="{FF2B5EF4-FFF2-40B4-BE49-F238E27FC236}">
              <a16:creationId xmlns:a16="http://schemas.microsoft.com/office/drawing/2014/main" id="{2933B5BA-BA61-472A-9C97-110F253C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1085850"/>
          <a:ext cx="1863481" cy="1238250"/>
        </a:xfrm>
        <a:prstGeom prst="rect">
          <a:avLst/>
        </a:prstGeom>
      </xdr:spPr>
    </xdr:pic>
    <xdr:clientData/>
  </xdr:oneCellAnchor>
  <xdr:twoCellAnchor editAs="oneCell">
    <xdr:from>
      <xdr:col>10</xdr:col>
      <xdr:colOff>114300</xdr:colOff>
      <xdr:row>4</xdr:row>
      <xdr:rowOff>47624</xdr:rowOff>
    </xdr:from>
    <xdr:to>
      <xdr:col>10</xdr:col>
      <xdr:colOff>2247900</xdr:colOff>
      <xdr:row>9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190EAB-D6C7-43C3-8AF6-F29199DB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15775" y="1057274"/>
          <a:ext cx="2133600" cy="1295401"/>
        </a:xfrm>
        <a:prstGeom prst="rect">
          <a:avLst/>
        </a:prstGeom>
      </xdr:spPr>
    </xdr:pic>
    <xdr:clientData/>
  </xdr:twoCellAnchor>
  <xdr:oneCellAnchor>
    <xdr:from>
      <xdr:col>11</xdr:col>
      <xdr:colOff>152400</xdr:colOff>
      <xdr:row>4</xdr:row>
      <xdr:rowOff>133350</xdr:rowOff>
    </xdr:from>
    <xdr:ext cx="1863481" cy="1200150"/>
    <xdr:pic>
      <xdr:nvPicPr>
        <xdr:cNvPr id="4" name="Picture 3">
          <a:extLst>
            <a:ext uri="{FF2B5EF4-FFF2-40B4-BE49-F238E27FC236}">
              <a16:creationId xmlns:a16="http://schemas.microsoft.com/office/drawing/2014/main" id="{64B63125-4927-48BB-87EE-A6D7D73F9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9400" y="1143000"/>
          <a:ext cx="1863481" cy="1200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7"/>
  <sheetViews>
    <sheetView tabSelected="1" topLeftCell="F1" workbookViewId="0"/>
  </sheetViews>
  <sheetFormatPr defaultRowHeight="12"/>
  <cols>
    <col min="1" max="1" width="9.140625" style="3"/>
    <col min="2" max="2" width="58.28515625" style="3" bestFit="1" customWidth="1"/>
    <col min="3" max="3" width="13.7109375" style="3" bestFit="1" customWidth="1"/>
    <col min="4" max="4" width="14.140625" style="3" bestFit="1" customWidth="1"/>
    <col min="5" max="5" width="8.85546875" style="5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2" width="34.4257812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M4" s="16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16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16"/>
      <c r="N6" s="31" t="s">
        <v>19</v>
      </c>
      <c r="O6" s="32"/>
      <c r="P6" s="32"/>
      <c r="Q6" s="32"/>
    </row>
    <row r="7" spans="2:17">
      <c r="B7" s="28" t="s">
        <v>20</v>
      </c>
      <c r="C7" s="28" t="s">
        <v>21</v>
      </c>
      <c r="D7" s="28" t="s">
        <v>22</v>
      </c>
      <c r="E7" s="33">
        <v>2500</v>
      </c>
      <c r="F7" s="30">
        <v>2505.59</v>
      </c>
      <c r="G7" s="30">
        <v>4.71</v>
      </c>
      <c r="H7" s="30">
        <v>7.26</v>
      </c>
      <c r="J7" s="24"/>
      <c r="K7" s="24"/>
      <c r="L7" s="24"/>
      <c r="M7" s="16"/>
      <c r="N7" s="34" t="s">
        <v>23</v>
      </c>
      <c r="O7" s="35"/>
      <c r="P7" s="36" t="s">
        <v>24</v>
      </c>
      <c r="Q7" s="35"/>
    </row>
    <row r="8" spans="2:17">
      <c r="B8" s="28" t="s">
        <v>25</v>
      </c>
      <c r="C8" s="28" t="s">
        <v>26</v>
      </c>
      <c r="D8" s="28" t="s">
        <v>27</v>
      </c>
      <c r="E8" s="33">
        <v>200</v>
      </c>
      <c r="F8" s="30">
        <v>2503.48</v>
      </c>
      <c r="G8" s="30">
        <v>4.7</v>
      </c>
      <c r="H8" s="30">
        <v>7.63</v>
      </c>
      <c r="J8" s="24"/>
      <c r="K8" s="24"/>
      <c r="L8" s="24"/>
      <c r="M8" s="16"/>
      <c r="N8" s="34"/>
      <c r="O8" s="37"/>
      <c r="P8" s="38"/>
      <c r="Q8" s="37"/>
    </row>
    <row r="9" spans="2:17">
      <c r="B9" s="28" t="s">
        <v>28</v>
      </c>
      <c r="C9" s="28" t="s">
        <v>29</v>
      </c>
      <c r="D9" s="28" t="s">
        <v>27</v>
      </c>
      <c r="E9" s="33">
        <v>250</v>
      </c>
      <c r="F9" s="30">
        <v>2499.17</v>
      </c>
      <c r="G9" s="30">
        <v>4.7</v>
      </c>
      <c r="H9" s="30">
        <v>7.4</v>
      </c>
      <c r="J9" s="24"/>
      <c r="K9" s="24"/>
      <c r="L9" s="24"/>
      <c r="M9" s="16"/>
      <c r="N9" s="34" t="s">
        <v>30</v>
      </c>
      <c r="O9" s="35"/>
      <c r="P9" s="35"/>
      <c r="Q9" s="35"/>
    </row>
    <row r="10" spans="2:17">
      <c r="B10" s="28" t="s">
        <v>31</v>
      </c>
      <c r="C10" s="28" t="s">
        <v>32</v>
      </c>
      <c r="D10" s="28" t="s">
        <v>27</v>
      </c>
      <c r="E10" s="33">
        <v>250</v>
      </c>
      <c r="F10" s="30">
        <v>2498.91</v>
      </c>
      <c r="G10" s="30">
        <v>4.7</v>
      </c>
      <c r="H10" s="30">
        <v>7.67</v>
      </c>
      <c r="J10" s="24"/>
      <c r="K10" s="24"/>
      <c r="L10" s="24"/>
      <c r="M10" s="16"/>
      <c r="N10" s="34"/>
      <c r="O10" s="37"/>
      <c r="P10" s="37"/>
      <c r="Q10" s="37"/>
    </row>
    <row r="11" spans="2:17">
      <c r="B11" s="28" t="s">
        <v>33</v>
      </c>
      <c r="C11" s="28" t="s">
        <v>34</v>
      </c>
      <c r="D11" s="28" t="s">
        <v>35</v>
      </c>
      <c r="E11" s="33">
        <v>250</v>
      </c>
      <c r="F11" s="30">
        <v>2489.2800000000002</v>
      </c>
      <c r="G11" s="30">
        <v>4.68</v>
      </c>
      <c r="H11" s="30">
        <v>7.41</v>
      </c>
      <c r="J11" s="24"/>
      <c r="K11" s="24"/>
      <c r="L11" s="24"/>
      <c r="M11" s="16"/>
      <c r="N11" s="34" t="s">
        <v>36</v>
      </c>
      <c r="O11" s="35"/>
      <c r="P11" s="35"/>
      <c r="Q11" s="35"/>
    </row>
    <row r="12" spans="2:17">
      <c r="B12" s="28" t="s">
        <v>37</v>
      </c>
      <c r="C12" s="28" t="s">
        <v>38</v>
      </c>
      <c r="D12" s="28" t="s">
        <v>27</v>
      </c>
      <c r="E12" s="33">
        <v>250</v>
      </c>
      <c r="F12" s="30">
        <v>2484.46</v>
      </c>
      <c r="G12" s="30">
        <v>4.67</v>
      </c>
      <c r="H12" s="30">
        <v>7.74</v>
      </c>
      <c r="J12" s="24"/>
      <c r="K12" s="24"/>
      <c r="L12" s="24"/>
      <c r="M12" s="16"/>
      <c r="N12" s="34"/>
      <c r="O12" s="37"/>
      <c r="P12" s="37"/>
      <c r="Q12" s="37"/>
    </row>
    <row r="13" spans="2:17">
      <c r="B13" s="28" t="s">
        <v>39</v>
      </c>
      <c r="C13" s="28" t="s">
        <v>40</v>
      </c>
      <c r="D13" s="28" t="s">
        <v>27</v>
      </c>
      <c r="E13" s="33">
        <v>250</v>
      </c>
      <c r="F13" s="30">
        <v>2479.8000000000002</v>
      </c>
      <c r="G13" s="30">
        <v>4.66</v>
      </c>
      <c r="H13" s="30">
        <v>7.73</v>
      </c>
      <c r="J13" s="39"/>
      <c r="K13" s="39" t="s">
        <v>41</v>
      </c>
      <c r="L13" s="16"/>
      <c r="M13" s="16"/>
    </row>
    <row r="14" spans="2:17">
      <c r="B14" s="28" t="s">
        <v>42</v>
      </c>
      <c r="C14" s="28" t="s">
        <v>43</v>
      </c>
      <c r="D14" s="28" t="s">
        <v>27</v>
      </c>
      <c r="E14" s="33">
        <v>250</v>
      </c>
      <c r="F14" s="30">
        <v>2456.92</v>
      </c>
      <c r="G14" s="30">
        <v>4.62</v>
      </c>
      <c r="H14" s="30">
        <v>7.6</v>
      </c>
      <c r="J14" s="40"/>
      <c r="K14" s="40"/>
      <c r="L14" s="40"/>
      <c r="M14" s="16"/>
    </row>
    <row r="15" spans="2:17">
      <c r="B15" s="28" t="s">
        <v>44</v>
      </c>
      <c r="C15" s="28" t="s">
        <v>45</v>
      </c>
      <c r="D15" s="28" t="s">
        <v>27</v>
      </c>
      <c r="E15" s="33">
        <v>100</v>
      </c>
      <c r="F15" s="30">
        <v>999.95</v>
      </c>
      <c r="G15" s="30">
        <v>1.88</v>
      </c>
      <c r="H15" s="30">
        <v>7.84</v>
      </c>
      <c r="J15" s="40"/>
      <c r="K15" s="40"/>
      <c r="L15" s="40"/>
      <c r="M15" s="16"/>
    </row>
    <row r="16" spans="2:17">
      <c r="B16" s="28" t="s">
        <v>46</v>
      </c>
      <c r="C16" s="28" t="s">
        <v>47</v>
      </c>
      <c r="D16" s="28" t="s">
        <v>27</v>
      </c>
      <c r="E16" s="33">
        <v>100</v>
      </c>
      <c r="F16" s="30">
        <v>999.25</v>
      </c>
      <c r="G16" s="30">
        <v>1.88</v>
      </c>
      <c r="H16" s="30">
        <v>7.55</v>
      </c>
      <c r="J16" s="40"/>
      <c r="K16" s="40"/>
      <c r="L16" s="40"/>
      <c r="M16" s="16"/>
    </row>
    <row r="17" spans="2:13">
      <c r="B17" s="28" t="s">
        <v>48</v>
      </c>
      <c r="C17" s="28" t="s">
        <v>49</v>
      </c>
      <c r="D17" s="28" t="s">
        <v>27</v>
      </c>
      <c r="E17" s="33">
        <v>50</v>
      </c>
      <c r="F17" s="30">
        <v>499.68</v>
      </c>
      <c r="G17" s="30">
        <v>0.94</v>
      </c>
      <c r="H17" s="30">
        <v>7.55</v>
      </c>
      <c r="J17" s="40"/>
      <c r="K17" s="40"/>
      <c r="L17" s="40"/>
      <c r="M17" s="16"/>
    </row>
    <row r="18" spans="2:13">
      <c r="B18" s="41" t="s">
        <v>50</v>
      </c>
      <c r="C18" s="41"/>
      <c r="D18" s="41"/>
      <c r="E18" s="42"/>
      <c r="F18" s="43">
        <f>SUM(F6:F17)</f>
        <v>22416.49</v>
      </c>
      <c r="G18" s="43">
        <f>SUM(G6:G17)</f>
        <v>42.139999999999993</v>
      </c>
      <c r="H18" s="44"/>
      <c r="I18" s="45"/>
      <c r="J18" s="40"/>
      <c r="K18" s="40"/>
      <c r="L18" s="40"/>
      <c r="M18" s="16"/>
    </row>
    <row r="19" spans="2:13">
      <c r="B19" s="46" t="s">
        <v>51</v>
      </c>
      <c r="C19" s="46"/>
      <c r="D19" s="46"/>
      <c r="E19" s="47"/>
      <c r="F19" s="48">
        <f>F18</f>
        <v>22416.49</v>
      </c>
      <c r="G19" s="48">
        <f>G18</f>
        <v>42.139999999999993</v>
      </c>
      <c r="H19" s="48"/>
      <c r="I19" s="45"/>
      <c r="J19" s="40"/>
      <c r="K19" s="40"/>
      <c r="L19" s="40"/>
      <c r="M19" s="16"/>
    </row>
    <row r="20" spans="2:13">
      <c r="B20" s="27" t="s">
        <v>52</v>
      </c>
      <c r="C20" s="28"/>
      <c r="D20" s="28"/>
      <c r="E20" s="29"/>
      <c r="F20" s="30"/>
      <c r="G20" s="30"/>
      <c r="H20" s="30"/>
      <c r="J20" s="40"/>
      <c r="K20" s="40"/>
      <c r="L20" s="40"/>
      <c r="M20" s="16"/>
    </row>
    <row r="21" spans="2:13">
      <c r="B21" s="27" t="s">
        <v>53</v>
      </c>
      <c r="C21" s="28"/>
      <c r="D21" s="28"/>
      <c r="E21" s="29"/>
      <c r="F21" s="30"/>
      <c r="G21" s="30"/>
      <c r="H21" s="30"/>
      <c r="J21" s="40"/>
      <c r="K21" s="40"/>
      <c r="L21" s="40"/>
      <c r="M21" s="16"/>
    </row>
    <row r="22" spans="2:13">
      <c r="B22" s="28" t="s">
        <v>54</v>
      </c>
      <c r="C22" s="28" t="s">
        <v>55</v>
      </c>
      <c r="D22" s="28" t="s">
        <v>56</v>
      </c>
      <c r="E22" s="33">
        <v>500</v>
      </c>
      <c r="F22" s="30">
        <v>2464.5</v>
      </c>
      <c r="G22" s="30">
        <v>4.63</v>
      </c>
      <c r="H22" s="30">
        <v>7.01</v>
      </c>
      <c r="J22" s="40"/>
      <c r="K22" s="40"/>
      <c r="L22" s="40"/>
      <c r="M22" s="16"/>
    </row>
    <row r="23" spans="2:13">
      <c r="B23" s="28" t="s">
        <v>57</v>
      </c>
      <c r="C23" s="28" t="s">
        <v>58</v>
      </c>
      <c r="D23" s="28" t="s">
        <v>59</v>
      </c>
      <c r="E23" s="33">
        <v>500</v>
      </c>
      <c r="F23" s="30">
        <v>2461.71</v>
      </c>
      <c r="G23" s="30">
        <v>4.63</v>
      </c>
      <c r="H23" s="30">
        <v>7.01</v>
      </c>
      <c r="J23" s="40"/>
      <c r="K23" s="40"/>
      <c r="L23" s="40"/>
      <c r="M23" s="16"/>
    </row>
    <row r="24" spans="2:13">
      <c r="B24" s="28" t="s">
        <v>60</v>
      </c>
      <c r="C24" s="28" t="s">
        <v>61</v>
      </c>
      <c r="D24" s="28" t="s">
        <v>59</v>
      </c>
      <c r="E24" s="33">
        <v>500</v>
      </c>
      <c r="F24" s="30">
        <v>2433.12</v>
      </c>
      <c r="G24" s="30">
        <v>4.57</v>
      </c>
      <c r="H24" s="30">
        <v>7.27</v>
      </c>
      <c r="J24" s="40"/>
      <c r="K24" s="40"/>
      <c r="L24" s="40"/>
      <c r="M24" s="16"/>
    </row>
    <row r="25" spans="2:13">
      <c r="B25" s="28" t="s">
        <v>62</v>
      </c>
      <c r="C25" s="28" t="s">
        <v>63</v>
      </c>
      <c r="D25" s="28" t="s">
        <v>64</v>
      </c>
      <c r="E25" s="33">
        <v>500</v>
      </c>
      <c r="F25" s="30">
        <v>2421.13</v>
      </c>
      <c r="G25" s="30">
        <v>4.55</v>
      </c>
      <c r="H25" s="30">
        <v>7.25</v>
      </c>
      <c r="J25" s="40"/>
      <c r="K25" s="40"/>
      <c r="L25" s="40"/>
      <c r="M25" s="16"/>
    </row>
    <row r="26" spans="2:13">
      <c r="B26" s="28" t="s">
        <v>65</v>
      </c>
      <c r="C26" s="28" t="s">
        <v>66</v>
      </c>
      <c r="D26" s="28" t="s">
        <v>64</v>
      </c>
      <c r="E26" s="33">
        <v>500</v>
      </c>
      <c r="F26" s="30">
        <v>2388.9699999999998</v>
      </c>
      <c r="G26" s="30">
        <v>4.49</v>
      </c>
      <c r="H26" s="30">
        <v>7.44</v>
      </c>
      <c r="J26" s="40"/>
      <c r="K26" s="40"/>
      <c r="L26" s="40"/>
      <c r="M26" s="16"/>
    </row>
    <row r="27" spans="2:13">
      <c r="B27" s="28" t="s">
        <v>67</v>
      </c>
      <c r="C27" s="28" t="s">
        <v>68</v>
      </c>
      <c r="D27" s="28" t="s">
        <v>69</v>
      </c>
      <c r="E27" s="33">
        <v>500</v>
      </c>
      <c r="F27" s="30">
        <v>2388.04</v>
      </c>
      <c r="G27" s="30">
        <v>4.49</v>
      </c>
      <c r="H27" s="30">
        <v>7.44</v>
      </c>
      <c r="J27" s="40"/>
      <c r="K27" s="40"/>
      <c r="L27" s="40"/>
      <c r="M27" s="16"/>
    </row>
    <row r="28" spans="2:13">
      <c r="B28" s="28" t="s">
        <v>70</v>
      </c>
      <c r="C28" s="28" t="s">
        <v>71</v>
      </c>
      <c r="D28" s="28" t="s">
        <v>59</v>
      </c>
      <c r="E28" s="33">
        <v>500</v>
      </c>
      <c r="F28" s="30">
        <v>2384.8200000000002</v>
      </c>
      <c r="G28" s="30">
        <v>4.4800000000000004</v>
      </c>
      <c r="H28" s="30">
        <v>7.47</v>
      </c>
      <c r="J28" s="40"/>
      <c r="K28" s="40"/>
      <c r="L28" s="40"/>
      <c r="M28" s="16"/>
    </row>
    <row r="29" spans="2:13">
      <c r="B29" s="28" t="s">
        <v>72</v>
      </c>
      <c r="C29" s="28" t="s">
        <v>73</v>
      </c>
      <c r="D29" s="28" t="s">
        <v>69</v>
      </c>
      <c r="E29" s="33">
        <v>200</v>
      </c>
      <c r="F29" s="30">
        <v>968.3</v>
      </c>
      <c r="G29" s="30">
        <v>1.82</v>
      </c>
      <c r="H29" s="30">
        <v>7.33</v>
      </c>
      <c r="J29" s="40"/>
      <c r="K29" s="40"/>
      <c r="L29" s="40"/>
      <c r="M29" s="16"/>
    </row>
    <row r="30" spans="2:13">
      <c r="B30" s="27" t="s">
        <v>50</v>
      </c>
      <c r="C30" s="27"/>
      <c r="D30" s="27"/>
      <c r="E30" s="49"/>
      <c r="F30" s="50">
        <f>SUM(F21:F29)</f>
        <v>17910.589999999997</v>
      </c>
      <c r="G30" s="50">
        <f>SUM(G21:G29)</f>
        <v>33.659999999999997</v>
      </c>
      <c r="H30" s="51"/>
      <c r="I30" s="45"/>
      <c r="J30" s="40"/>
      <c r="K30" s="40"/>
      <c r="L30" s="40"/>
      <c r="M30" s="16"/>
    </row>
    <row r="31" spans="2:13">
      <c r="B31" s="27" t="s">
        <v>74</v>
      </c>
      <c r="C31" s="28"/>
      <c r="D31" s="28"/>
      <c r="E31" s="29"/>
      <c r="F31" s="30"/>
      <c r="G31" s="30"/>
      <c r="H31" s="30"/>
      <c r="J31" s="40"/>
      <c r="K31" s="40"/>
      <c r="L31" s="40"/>
      <c r="M31" s="16"/>
    </row>
    <row r="32" spans="2:13">
      <c r="B32" s="28" t="s">
        <v>75</v>
      </c>
      <c r="C32" s="28" t="s">
        <v>76</v>
      </c>
      <c r="D32" s="28" t="s">
        <v>56</v>
      </c>
      <c r="E32" s="33">
        <v>500</v>
      </c>
      <c r="F32" s="30">
        <v>2467.44</v>
      </c>
      <c r="G32" s="30">
        <v>4.6399999999999997</v>
      </c>
      <c r="H32" s="30">
        <v>7.08</v>
      </c>
      <c r="J32" s="40"/>
      <c r="K32" s="40"/>
      <c r="L32" s="40"/>
      <c r="M32" s="16"/>
    </row>
    <row r="33" spans="2:13">
      <c r="B33" s="28" t="s">
        <v>77</v>
      </c>
      <c r="C33" s="28" t="s">
        <v>78</v>
      </c>
      <c r="D33" s="28" t="s">
        <v>69</v>
      </c>
      <c r="E33" s="33">
        <v>500</v>
      </c>
      <c r="F33" s="30">
        <v>2423.79</v>
      </c>
      <c r="G33" s="30">
        <v>4.55</v>
      </c>
      <c r="H33" s="30">
        <v>7.6</v>
      </c>
      <c r="J33" s="40"/>
      <c r="K33" s="40"/>
      <c r="L33" s="40"/>
      <c r="M33" s="16"/>
    </row>
    <row r="34" spans="2:13">
      <c r="B34" s="27" t="s">
        <v>50</v>
      </c>
      <c r="C34" s="27"/>
      <c r="D34" s="27"/>
      <c r="E34" s="49"/>
      <c r="F34" s="50">
        <f>SUM(F31:F33)</f>
        <v>4891.2299999999996</v>
      </c>
      <c r="G34" s="50">
        <f>SUM(G31:G33)</f>
        <v>9.19</v>
      </c>
      <c r="H34" s="51"/>
      <c r="I34" s="45"/>
      <c r="J34" s="40"/>
      <c r="K34" s="40"/>
      <c r="L34" s="40"/>
      <c r="M34" s="16"/>
    </row>
    <row r="35" spans="2:13">
      <c r="B35" s="27" t="s">
        <v>79</v>
      </c>
      <c r="C35" s="28"/>
      <c r="D35" s="28"/>
      <c r="E35" s="29"/>
      <c r="F35" s="30"/>
      <c r="G35" s="30"/>
      <c r="H35" s="30"/>
      <c r="J35" s="40"/>
      <c r="K35" s="40"/>
      <c r="L35" s="40"/>
      <c r="M35" s="16"/>
    </row>
    <row r="36" spans="2:13">
      <c r="B36" s="28" t="s">
        <v>80</v>
      </c>
      <c r="C36" s="28" t="s">
        <v>81</v>
      </c>
      <c r="D36" s="28" t="s">
        <v>82</v>
      </c>
      <c r="E36" s="33">
        <v>5079500</v>
      </c>
      <c r="F36" s="30">
        <v>4810.7299999999996</v>
      </c>
      <c r="G36" s="30">
        <v>9.0399999999999991</v>
      </c>
      <c r="H36" s="30">
        <v>7.16</v>
      </c>
      <c r="J36" s="40"/>
      <c r="K36" s="40"/>
      <c r="L36" s="40"/>
      <c r="M36" s="16"/>
    </row>
    <row r="37" spans="2:13">
      <c r="B37" s="41" t="s">
        <v>50</v>
      </c>
      <c r="C37" s="41"/>
      <c r="D37" s="41"/>
      <c r="E37" s="42"/>
      <c r="F37" s="43">
        <f>SUM(F35:F36)</f>
        <v>4810.7299999999996</v>
      </c>
      <c r="G37" s="43">
        <f>SUM(G35:G36)</f>
        <v>9.0399999999999991</v>
      </c>
      <c r="H37" s="44"/>
      <c r="I37" s="45"/>
      <c r="J37" s="40"/>
      <c r="K37" s="40"/>
      <c r="L37" s="40"/>
      <c r="M37" s="16"/>
    </row>
    <row r="38" spans="2:13">
      <c r="B38" s="46" t="s">
        <v>51</v>
      </c>
      <c r="C38" s="46"/>
      <c r="D38" s="46"/>
      <c r="E38" s="47"/>
      <c r="F38" s="48">
        <f>F30+F34+F37</f>
        <v>27612.549999999996</v>
      </c>
      <c r="G38" s="48">
        <f>G30+G34+G37</f>
        <v>51.889999999999993</v>
      </c>
      <c r="H38" s="48"/>
      <c r="I38" s="45"/>
      <c r="J38" s="40"/>
      <c r="K38" s="40"/>
      <c r="L38" s="40"/>
      <c r="M38" s="16"/>
    </row>
    <row r="39" spans="2:13">
      <c r="B39" s="27" t="s">
        <v>83</v>
      </c>
      <c r="C39" s="28"/>
      <c r="D39" s="28"/>
      <c r="E39" s="29"/>
      <c r="F39" s="30"/>
      <c r="G39" s="30"/>
      <c r="H39" s="30"/>
      <c r="J39" s="40"/>
      <c r="K39" s="40"/>
      <c r="L39" s="40"/>
      <c r="M39" s="16"/>
    </row>
    <row r="40" spans="2:13">
      <c r="B40" s="28" t="s">
        <v>83</v>
      </c>
      <c r="C40" s="28"/>
      <c r="D40" s="28"/>
      <c r="E40" s="29"/>
      <c r="F40" s="30">
        <v>2246.63</v>
      </c>
      <c r="G40" s="30">
        <v>4.22</v>
      </c>
      <c r="H40" s="30"/>
      <c r="J40" s="40"/>
      <c r="K40" s="40"/>
      <c r="L40" s="40"/>
      <c r="M40" s="16"/>
    </row>
    <row r="41" spans="2:13">
      <c r="B41" s="41" t="s">
        <v>50</v>
      </c>
      <c r="C41" s="41"/>
      <c r="D41" s="41"/>
      <c r="E41" s="42"/>
      <c r="F41" s="43">
        <f>SUM(F39:F40)</f>
        <v>2246.63</v>
      </c>
      <c r="G41" s="43">
        <f>SUM(G39:G40)</f>
        <v>4.22</v>
      </c>
      <c r="H41" s="44"/>
      <c r="I41" s="45"/>
      <c r="J41" s="40"/>
      <c r="K41" s="40"/>
      <c r="L41" s="40"/>
      <c r="M41" s="16"/>
    </row>
    <row r="42" spans="2:13">
      <c r="B42" s="52" t="s">
        <v>51</v>
      </c>
      <c r="C42" s="52"/>
      <c r="D42" s="52"/>
      <c r="E42" s="53"/>
      <c r="F42" s="54">
        <f>F41</f>
        <v>2246.63</v>
      </c>
      <c r="G42" s="54">
        <f>G41</f>
        <v>4.22</v>
      </c>
      <c r="H42" s="54"/>
      <c r="I42" s="45"/>
      <c r="J42" s="40"/>
      <c r="K42" s="40"/>
      <c r="L42" s="40"/>
      <c r="M42" s="16"/>
    </row>
    <row r="43" spans="2:13">
      <c r="B43" s="55" t="s">
        <v>84</v>
      </c>
      <c r="C43" s="55"/>
      <c r="D43" s="55"/>
      <c r="E43" s="56"/>
      <c r="F43" s="57">
        <f>F44-(+F19+F38+F42)</f>
        <v>943.53000000000611</v>
      </c>
      <c r="G43" s="57">
        <f>G44-(+G19+G38+G42)</f>
        <v>1.7500000000000142</v>
      </c>
      <c r="H43" s="57"/>
      <c r="I43" s="45"/>
      <c r="J43" s="40"/>
      <c r="K43" s="40"/>
      <c r="L43" s="40"/>
      <c r="M43" s="16"/>
    </row>
    <row r="44" spans="2:13">
      <c r="B44" s="55" t="s">
        <v>85</v>
      </c>
      <c r="C44" s="55"/>
      <c r="D44" s="55"/>
      <c r="E44" s="56"/>
      <c r="F44" s="57">
        <v>53219.199999999997</v>
      </c>
      <c r="G44" s="57">
        <v>100</v>
      </c>
      <c r="H44" s="57"/>
      <c r="I44" s="45"/>
      <c r="J44" s="40"/>
      <c r="K44" s="40"/>
      <c r="L44" s="40"/>
      <c r="M44" s="16"/>
    </row>
    <row r="45" spans="2:13">
      <c r="J45" s="16"/>
      <c r="K45" s="16"/>
      <c r="L45" s="16"/>
      <c r="M45" s="16"/>
    </row>
    <row r="46" spans="2:13">
      <c r="B46" s="45" t="s">
        <v>86</v>
      </c>
      <c r="J46" s="16"/>
      <c r="K46" s="16"/>
      <c r="L46" s="16"/>
      <c r="M46" s="16"/>
    </row>
    <row r="47" spans="2:13">
      <c r="B47" s="45" t="s">
        <v>87</v>
      </c>
      <c r="J47" s="16"/>
      <c r="K47" s="16"/>
      <c r="L47" s="16"/>
      <c r="M47" s="16"/>
    </row>
    <row r="48" spans="2:13" ht="12.75" thickBot="1">
      <c r="J48" s="16"/>
      <c r="K48" s="16"/>
      <c r="L48" s="16"/>
      <c r="M48" s="16"/>
    </row>
    <row r="49" spans="2:13" ht="13.5" thickTop="1" thickBot="1">
      <c r="B49" s="59" t="s">
        <v>88</v>
      </c>
      <c r="C49" s="60">
        <v>0.36370304164330192</v>
      </c>
      <c r="J49" s="16"/>
      <c r="K49" s="16"/>
      <c r="L49" s="16"/>
      <c r="M49" s="16"/>
    </row>
    <row r="50" spans="2:13" ht="13.5" thickTop="1" thickBot="1">
      <c r="B50" s="61"/>
      <c r="C50" s="61"/>
      <c r="J50" s="16"/>
      <c r="K50" s="16"/>
      <c r="L50" s="16"/>
      <c r="M50" s="16"/>
    </row>
    <row r="51" spans="2:13" ht="13.5" thickTop="1" thickBot="1">
      <c r="B51" s="59" t="s">
        <v>89</v>
      </c>
      <c r="C51" s="62">
        <v>7.377736396129897E-2</v>
      </c>
      <c r="J51" s="16"/>
      <c r="K51" s="16"/>
      <c r="L51" s="16"/>
      <c r="M51" s="16"/>
    </row>
    <row r="52" spans="2:13" ht="13.5" thickTop="1" thickBot="1">
      <c r="B52" s="61"/>
      <c r="C52" s="61"/>
      <c r="J52" s="16"/>
      <c r="K52" s="16"/>
      <c r="L52" s="16"/>
      <c r="M52" s="16"/>
    </row>
    <row r="53" spans="2:13" ht="13.5" thickTop="1" thickBot="1">
      <c r="B53" s="59" t="s">
        <v>90</v>
      </c>
      <c r="C53" s="60">
        <v>0.39496700401888407</v>
      </c>
      <c r="J53" s="16"/>
      <c r="K53" s="16"/>
      <c r="L53" s="16"/>
      <c r="M53" s="16"/>
    </row>
    <row r="54" spans="2:13" ht="12.75" thickTop="1">
      <c r="J54" s="16"/>
      <c r="K54" s="16"/>
      <c r="L54" s="16"/>
      <c r="M54" s="16"/>
    </row>
    <row r="55" spans="2:13">
      <c r="J55" s="16"/>
      <c r="K55" s="16"/>
      <c r="L55" s="16"/>
      <c r="M55" s="16"/>
    </row>
    <row r="56" spans="2:13">
      <c r="J56" s="16"/>
      <c r="K56" s="16"/>
      <c r="L56" s="16"/>
      <c r="M56" s="16"/>
    </row>
    <row r="57" spans="2:13">
      <c r="J57" s="16"/>
      <c r="K57" s="16"/>
      <c r="L57" s="16"/>
      <c r="M57" s="16"/>
    </row>
    <row r="58" spans="2:13">
      <c r="J58" s="16"/>
      <c r="K58" s="16"/>
      <c r="L58" s="16"/>
      <c r="M58" s="16"/>
    </row>
    <row r="59" spans="2:13">
      <c r="J59" s="16"/>
      <c r="K59" s="16"/>
      <c r="L59" s="16"/>
      <c r="M59" s="16"/>
    </row>
    <row r="60" spans="2:13">
      <c r="J60" s="16"/>
      <c r="K60" s="16"/>
      <c r="L60" s="16"/>
      <c r="M60" s="16"/>
    </row>
    <row r="61" spans="2:13">
      <c r="J61" s="16"/>
      <c r="K61" s="16"/>
      <c r="L61" s="16"/>
      <c r="M61" s="16"/>
    </row>
    <row r="62" spans="2:13">
      <c r="J62" s="16"/>
      <c r="K62" s="16"/>
      <c r="L62" s="16"/>
      <c r="M62" s="16"/>
    </row>
    <row r="63" spans="2:13">
      <c r="J63" s="16"/>
      <c r="K63" s="16"/>
      <c r="L63" s="16"/>
      <c r="M63" s="16"/>
    </row>
    <row r="64" spans="2:13">
      <c r="J64" s="16"/>
      <c r="K64" s="16"/>
    </row>
    <row r="65" spans="10:11">
      <c r="J65" s="16"/>
      <c r="K65" s="16"/>
    </row>
    <row r="66" spans="10:11">
      <c r="J66" s="16"/>
      <c r="K66" s="16"/>
    </row>
    <row r="67" spans="10:11">
      <c r="J67" s="16"/>
      <c r="K67" s="16"/>
    </row>
    <row r="68" spans="10:11">
      <c r="J68" s="16"/>
      <c r="K68" s="16"/>
    </row>
    <row r="69" spans="10:11">
      <c r="J69" s="16"/>
      <c r="K69" s="16"/>
    </row>
    <row r="70" spans="10:11">
      <c r="J70" s="16"/>
      <c r="K70" s="16"/>
    </row>
    <row r="71" spans="10:11">
      <c r="J71" s="16"/>
      <c r="K71" s="16"/>
    </row>
    <row r="72" spans="10:11">
      <c r="J72" s="16"/>
      <c r="K72" s="16"/>
    </row>
    <row r="73" spans="10:11">
      <c r="J73" s="16"/>
      <c r="K73" s="16"/>
    </row>
    <row r="74" spans="10:11">
      <c r="J74" s="16"/>
      <c r="K74" s="16"/>
    </row>
    <row r="75" spans="10:11">
      <c r="J75" s="16"/>
      <c r="K75" s="16"/>
    </row>
    <row r="76" spans="10:11">
      <c r="J76" s="16"/>
      <c r="K76" s="16"/>
    </row>
    <row r="77" spans="10:11">
      <c r="J77" s="16"/>
      <c r="K77" s="16"/>
    </row>
    <row r="78" spans="10:11">
      <c r="J78" s="16"/>
      <c r="K78" s="16"/>
    </row>
    <row r="79" spans="10:11">
      <c r="J79" s="16"/>
      <c r="K79" s="16"/>
    </row>
    <row r="80" spans="10:11">
      <c r="J80" s="16"/>
      <c r="K80" s="16"/>
    </row>
    <row r="81" spans="10:11">
      <c r="J81" s="16"/>
      <c r="K81" s="16"/>
    </row>
    <row r="82" spans="10:11">
      <c r="J82" s="16"/>
      <c r="K82" s="16"/>
    </row>
    <row r="83" spans="10:11">
      <c r="J83" s="16"/>
      <c r="K83" s="16"/>
    </row>
    <row r="84" spans="10:11">
      <c r="J84" s="16"/>
      <c r="K84" s="16"/>
    </row>
    <row r="85" spans="10:11">
      <c r="J85" s="16"/>
      <c r="K85" s="16"/>
    </row>
    <row r="86" spans="10:11">
      <c r="J86" s="16"/>
      <c r="K86" s="16"/>
    </row>
    <row r="87" spans="10:11">
      <c r="J87" s="16"/>
      <c r="K87" s="16"/>
    </row>
    <row r="88" spans="10:11">
      <c r="J88" s="16"/>
      <c r="K88" s="16"/>
    </row>
    <row r="89" spans="10:11">
      <c r="J89" s="16"/>
      <c r="K89" s="16"/>
    </row>
    <row r="90" spans="10:11">
      <c r="J90" s="16"/>
      <c r="K90" s="16"/>
    </row>
    <row r="91" spans="10:11">
      <c r="J91" s="16"/>
      <c r="K91" s="16"/>
    </row>
    <row r="92" spans="10:11">
      <c r="J92" s="16"/>
      <c r="K92" s="16"/>
    </row>
    <row r="93" spans="10:11">
      <c r="J93" s="16"/>
      <c r="K93" s="16"/>
    </row>
    <row r="94" spans="10:11">
      <c r="J94" s="16"/>
      <c r="K94" s="16"/>
    </row>
    <row r="95" spans="10:11">
      <c r="J95" s="16"/>
      <c r="K95" s="16"/>
    </row>
    <row r="96" spans="10:11">
      <c r="J96" s="16"/>
      <c r="K96" s="16"/>
    </row>
    <row r="97" spans="10:11">
      <c r="J97" s="16"/>
      <c r="K97" s="16"/>
    </row>
    <row r="98" spans="10:11">
      <c r="J98" s="16"/>
      <c r="K98" s="16"/>
    </row>
    <row r="99" spans="10:11">
      <c r="J99" s="16"/>
      <c r="K99" s="16"/>
    </row>
    <row r="100" spans="10:11">
      <c r="J100" s="16"/>
      <c r="K100" s="16"/>
    </row>
    <row r="101" spans="10:11">
      <c r="J101" s="16"/>
      <c r="K101" s="16"/>
    </row>
    <row r="102" spans="10:11">
      <c r="J102" s="16"/>
      <c r="K102" s="16"/>
    </row>
    <row r="103" spans="10:11">
      <c r="J103" s="16"/>
      <c r="K103" s="16"/>
    </row>
    <row r="104" spans="10:11">
      <c r="J104" s="16"/>
      <c r="K104" s="16"/>
    </row>
    <row r="105" spans="10:11">
      <c r="J105" s="16"/>
      <c r="K105" s="16"/>
    </row>
    <row r="106" spans="10:11">
      <c r="J106" s="16"/>
      <c r="K106" s="16"/>
    </row>
    <row r="107" spans="10:11">
      <c r="J107" s="16"/>
      <c r="K107" s="16"/>
    </row>
    <row r="108" spans="10:11">
      <c r="J108" s="16"/>
      <c r="K108" s="16"/>
    </row>
    <row r="109" spans="10:11">
      <c r="J109" s="16"/>
      <c r="K109" s="16"/>
    </row>
    <row r="110" spans="10:11">
      <c r="J110" s="16"/>
      <c r="K110" s="16"/>
    </row>
    <row r="111" spans="10:11">
      <c r="J111" s="16"/>
      <c r="K111" s="16"/>
    </row>
    <row r="112" spans="10:11">
      <c r="J112" s="16"/>
      <c r="K112" s="16"/>
    </row>
    <row r="113" spans="10:11">
      <c r="J113" s="16"/>
      <c r="K113" s="16"/>
    </row>
    <row r="114" spans="10:11">
      <c r="J114" s="16"/>
      <c r="K114" s="16"/>
    </row>
    <row r="115" spans="10:11">
      <c r="J115" s="16"/>
      <c r="K115" s="16"/>
    </row>
    <row r="116" spans="10:11">
      <c r="J116" s="16"/>
      <c r="K116" s="16"/>
    </row>
    <row r="117" spans="10:11">
      <c r="J117" s="16"/>
      <c r="K117" s="16"/>
    </row>
    <row r="118" spans="10:11">
      <c r="J118" s="16"/>
      <c r="K118" s="16"/>
    </row>
    <row r="119" spans="10:11">
      <c r="J119" s="16"/>
      <c r="K119" s="16"/>
    </row>
    <row r="120" spans="10:11">
      <c r="J120" s="16"/>
      <c r="K120" s="16"/>
    </row>
    <row r="121" spans="10:11">
      <c r="J121" s="16"/>
      <c r="K121" s="16"/>
    </row>
    <row r="122" spans="10:11">
      <c r="J122" s="16"/>
      <c r="K122" s="16"/>
    </row>
    <row r="123" spans="10:11">
      <c r="J123" s="16"/>
      <c r="K123" s="16"/>
    </row>
    <row r="124" spans="10:11">
      <c r="J124" s="16"/>
      <c r="K124" s="16"/>
    </row>
    <row r="125" spans="10:11">
      <c r="J125" s="16"/>
      <c r="K125" s="16"/>
    </row>
    <row r="126" spans="10:11">
      <c r="J126" s="16"/>
      <c r="K126" s="16"/>
    </row>
    <row r="127" spans="10:11">
      <c r="J127" s="16"/>
      <c r="K127" s="16"/>
    </row>
    <row r="128" spans="10:11">
      <c r="J128" s="16"/>
      <c r="K128" s="16"/>
    </row>
    <row r="129" spans="10:11">
      <c r="J129" s="16"/>
      <c r="K129" s="16"/>
    </row>
    <row r="130" spans="10:11">
      <c r="J130" s="16"/>
      <c r="K130" s="16"/>
    </row>
    <row r="131" spans="10:11">
      <c r="J131" s="16"/>
      <c r="K131" s="16"/>
    </row>
    <row r="132" spans="10:11">
      <c r="J132" s="16"/>
      <c r="K132" s="16"/>
    </row>
    <row r="133" spans="10:11">
      <c r="J133" s="16"/>
      <c r="K133" s="16"/>
    </row>
    <row r="134" spans="10:11">
      <c r="J134" s="16"/>
      <c r="K134" s="16"/>
    </row>
    <row r="135" spans="10:11">
      <c r="J135" s="16"/>
      <c r="K135" s="16"/>
    </row>
    <row r="136" spans="10:11">
      <c r="J136" s="16"/>
      <c r="K136" s="16"/>
    </row>
    <row r="137" spans="10:11">
      <c r="J137" s="16"/>
      <c r="K137" s="16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17:45:12</KDate>
  <Classification>Public</Classification>
  <Subclassification/>
  <HostName>MUMCMP00935</HostName>
  <Domain_User>CANARAROBECOMF/628</Domain_User>
  <IPAdd>192.9.198.194</IPAdd>
  <FilePath>Book19</FilePath>
  <KID>C025A5607E97638162271129966731</KID>
  <UniqueName/>
  <Suggested/>
  <Justification/>
</Klassify>
</file>

<file path=customXml/itemProps1.xml><?xml version="1.0" encoding="utf-8"?>
<ds:datastoreItem xmlns:ds="http://schemas.openxmlformats.org/officeDocument/2006/customXml" ds:itemID="{2E5E5AB8-D8AB-43AC-8181-31962FE65B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2023-04-04T12:15:08Z</dcterms:created>
  <dcterms:modified xsi:type="dcterms:W3CDTF">2023-04-04T12:15:13Z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C025A5607E97638162271129966731</vt:lpwstr>
  </property>
</Properties>
</file>