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June 2023\"/>
    </mc:Choice>
  </mc:AlternateContent>
  <xr:revisionPtr revIDLastSave="0" documentId="8_{C4DC4C88-842A-4AA3-92F9-BF98BB534EA0}" xr6:coauthVersionLast="47" xr6:coauthVersionMax="47" xr10:uidLastSave="{00000000-0000-0000-0000-000000000000}"/>
  <bookViews>
    <workbookView xWindow="-120" yWindow="-120" windowWidth="20730" windowHeight="11160" xr2:uid="{F88FB8B3-A965-4FB9-8EB0-6F117131EC6A}"/>
  </bookViews>
  <sheets>
    <sheet name="V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8" i="1" l="1"/>
  <c r="G59" i="1" s="1"/>
  <c r="F58" i="1"/>
  <c r="F59" i="1" s="1"/>
  <c r="G54" i="1"/>
  <c r="G55" i="1" s="1"/>
  <c r="F54" i="1"/>
  <c r="F55" i="1" s="1"/>
  <c r="F60" i="1" l="1"/>
  <c r="G60" i="1"/>
</calcChain>
</file>

<file path=xl/sharedStrings.xml><?xml version="1.0" encoding="utf-8"?>
<sst xmlns="http://schemas.openxmlformats.org/spreadsheetml/2006/main" count="213" uniqueCount="144">
  <si>
    <t>CANARA ROBECO VALUE FUND</t>
  </si>
  <si>
    <t>Monthly Portfolio Statement as on June 30,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</si>
  <si>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</si>
  <si>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</si>
  <si>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</si>
  <si>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</si>
  <si>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</si>
  <si>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</si>
  <si>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</si>
  <si>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Jun'23</t>
  </si>
  <si>
    <t>Benchmark Risk-o-meter Level- Jun'23</t>
  </si>
  <si>
    <t>Scheme Risk-o-meter Level- May'23</t>
  </si>
  <si>
    <t>Equity &amp; Equity related</t>
  </si>
  <si>
    <t>(a) Listed / awaiting listing on Stock Exchanges</t>
  </si>
  <si>
    <t>ICICI Bank Ltd</t>
  </si>
  <si>
    <t>INE090A01021</t>
  </si>
  <si>
    <t>Banks</t>
  </si>
  <si>
    <t>Large Cap</t>
  </si>
  <si>
    <t>Infosys Ltd</t>
  </si>
  <si>
    <t>INE009A01021</t>
  </si>
  <si>
    <t>IT - Software</t>
  </si>
  <si>
    <t>HDFC Bank Ltd</t>
  </si>
  <si>
    <t>INE040A01034</t>
  </si>
  <si>
    <t>Reliance Industries Ltd</t>
  </si>
  <si>
    <t>INE002A01018</t>
  </si>
  <si>
    <t>Petroleum Products</t>
  </si>
  <si>
    <t>ITC Ltd</t>
  </si>
  <si>
    <t>INE154A01025</t>
  </si>
  <si>
    <t>Diversified Fmcg</t>
  </si>
  <si>
    <t>Housing Development Finance Corporation Ltd</t>
  </si>
  <si>
    <t>INE001A01036</t>
  </si>
  <si>
    <t>Finance</t>
  </si>
  <si>
    <t>State Bank of India</t>
  </si>
  <si>
    <t>INE062A01020</t>
  </si>
  <si>
    <t>Benchmark: S&amp;P BSE 500 TRI</t>
  </si>
  <si>
    <t>NTPC Ltd</t>
  </si>
  <si>
    <t>INE733E01010</t>
  </si>
  <si>
    <t>Power</t>
  </si>
  <si>
    <t>J.B. Chemicals &amp; Pharmaceuticals Ltd</t>
  </si>
  <si>
    <t>INE572A01028</t>
  </si>
  <si>
    <t>Pharmaceuticals &amp; Biotechnology</t>
  </si>
  <si>
    <t>Small Cap</t>
  </si>
  <si>
    <t>Bharat Electronics Ltd</t>
  </si>
  <si>
    <t>INE263A01024</t>
  </si>
  <si>
    <t>Aerospace &amp; Defense</t>
  </si>
  <si>
    <t>Axis Bank Ltd</t>
  </si>
  <si>
    <t>INE238A01034</t>
  </si>
  <si>
    <t>Bharti Airtel Ltd</t>
  </si>
  <si>
    <t>INE397D01024</t>
  </si>
  <si>
    <t>Telecom - Services</t>
  </si>
  <si>
    <t>Creditaccess Grameen Ltd</t>
  </si>
  <si>
    <t>INE741K01010</t>
  </si>
  <si>
    <t>Larsen &amp; Toubro Ltd</t>
  </si>
  <si>
    <t>INE018A01030</t>
  </si>
  <si>
    <t>Construction</t>
  </si>
  <si>
    <t>KEI Industries Ltd</t>
  </si>
  <si>
    <t>INE878B01027</t>
  </si>
  <si>
    <t>Industrial Products</t>
  </si>
  <si>
    <t>Brigade Enterprises Ltd</t>
  </si>
  <si>
    <t>INE791I01019</t>
  </si>
  <si>
    <t>Realty</t>
  </si>
  <si>
    <t>Federal Bank Ltd</t>
  </si>
  <si>
    <t>INE171A01029</t>
  </si>
  <si>
    <t>Mid Cap</t>
  </si>
  <si>
    <t>Varun Beverages Ltd</t>
  </si>
  <si>
    <t>INE200M01021</t>
  </si>
  <si>
    <t>Beverages</t>
  </si>
  <si>
    <t>HCL Technologies Ltd</t>
  </si>
  <si>
    <t>INE860A01027</t>
  </si>
  <si>
    <t>Sun Pharmaceutical Industries Ltd</t>
  </si>
  <si>
    <t>INE044A01036</t>
  </si>
  <si>
    <t>SBI Life Insurance Co Ltd</t>
  </si>
  <si>
    <t>INE123W01016</t>
  </si>
  <si>
    <t>Insurance</t>
  </si>
  <si>
    <t>Bajaj Auto Ltd</t>
  </si>
  <si>
    <t>INE917I01010</t>
  </si>
  <si>
    <t>Automobiles</t>
  </si>
  <si>
    <t>IndusInd Bank Ltd</t>
  </si>
  <si>
    <t>INE095A01012</t>
  </si>
  <si>
    <t>Tata Motors Ltd</t>
  </si>
  <si>
    <t>INE155A01022</t>
  </si>
  <si>
    <t>Bharat Petroleum Corporation Ltd</t>
  </si>
  <si>
    <t>INE029A01011</t>
  </si>
  <si>
    <t>Samvardhana Motherson International Ltd</t>
  </si>
  <si>
    <t>INE775A01035</t>
  </si>
  <si>
    <t>Auto Components</t>
  </si>
  <si>
    <t>Max Healthcare Institute Ltd</t>
  </si>
  <si>
    <t>INE027H01010</t>
  </si>
  <si>
    <t>Healthcare Services</t>
  </si>
  <si>
    <t>Equitas Small Finance Bank Ltd</t>
  </si>
  <si>
    <t>INE063P01018</t>
  </si>
  <si>
    <t>JK Lakshmi Cement Ltd</t>
  </si>
  <si>
    <t>INE786A01032</t>
  </si>
  <si>
    <t>Cement &amp; Cement Products</t>
  </si>
  <si>
    <t>Interglobe Aviation Ltd</t>
  </si>
  <si>
    <t>INE646L01027</t>
  </si>
  <si>
    <t>Transport Services</t>
  </si>
  <si>
    <t>Blue Dart Express Ltd</t>
  </si>
  <si>
    <t>INE233B01017</t>
  </si>
  <si>
    <t>Container Corporation Of India Ltd</t>
  </si>
  <si>
    <t>INE111A01025</t>
  </si>
  <si>
    <t>Cera Sanitaryware Ltd</t>
  </si>
  <si>
    <t>INE739E01017</t>
  </si>
  <si>
    <t>Consumer Durables</t>
  </si>
  <si>
    <t>Ashok Leyland Ltd</t>
  </si>
  <si>
    <t>INE208A01029</t>
  </si>
  <si>
    <t>Agricultural, Commercial &amp; Construction Vehicles</t>
  </si>
  <si>
    <t>KEC International Ltd</t>
  </si>
  <si>
    <t>INE389H01022</t>
  </si>
  <si>
    <t>Electrical Equipment</t>
  </si>
  <si>
    <t>Dabur India Ltd</t>
  </si>
  <si>
    <t>INE016A01026</t>
  </si>
  <si>
    <t>Personal Products</t>
  </si>
  <si>
    <t>Sundaram Finance Ltd</t>
  </si>
  <si>
    <t>INE660A01013</t>
  </si>
  <si>
    <t>AIA Engineering Ltd</t>
  </si>
  <si>
    <t>INE212H01026</t>
  </si>
  <si>
    <t>Maruti Suzuki India Ltd</t>
  </si>
  <si>
    <t>INE585B01010</t>
  </si>
  <si>
    <t>VRL Logistics Ltd</t>
  </si>
  <si>
    <t>INE366I01010</t>
  </si>
  <si>
    <t>ICICI Lombard General Insurance Co Ltd</t>
  </si>
  <si>
    <t>INE765G01017</t>
  </si>
  <si>
    <t>EID Parry India Ltd</t>
  </si>
  <si>
    <t>INE126A01031</t>
  </si>
  <si>
    <t>Fertilizers &amp; Agrochemicals</t>
  </si>
  <si>
    <t>Coforge Ltd</t>
  </si>
  <si>
    <t>INE591G01017</t>
  </si>
  <si>
    <t>K.P.R. Mill Ltd</t>
  </si>
  <si>
    <t>INE930H01031</t>
  </si>
  <si>
    <t>Textiles &amp; Apparels</t>
  </si>
  <si>
    <t>Cipla Ltd</t>
  </si>
  <si>
    <t>INE059A01026</t>
  </si>
  <si>
    <t>Mankind Pharma Ltd</t>
  </si>
  <si>
    <t>INE634S01028</t>
  </si>
  <si>
    <t>Bharti Airtel Ltd - Partly Paid</t>
  </si>
  <si>
    <t>IN9397D01014</t>
  </si>
  <si>
    <t>Sub Total</t>
  </si>
  <si>
    <t>Total</t>
  </si>
  <si>
    <t>TREPS</t>
  </si>
  <si>
    <t>Net Receivables / (Payables)</t>
  </si>
  <si>
    <t>Grand Total</t>
  </si>
  <si>
    <t>Residual Maturity</t>
  </si>
  <si>
    <t>0.0082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</si>
</sst>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43" fontId="3" fillId="3" borderId="8" xfId="1" applyFont="1" applyFill="1" applyBorder="1" applyAlignment="1">
      <alignment horizontal="center"/>
    </xf>
    <xf numFmtId="43" fontId="3" fillId="3" borderId="5" xfId="1" applyFont="1" applyFill="1" applyBorder="1" applyAlignment="1">
      <alignment horizontal="center"/>
    </xf>
    <xf numFmtId="43" fontId="3" fillId="3" borderId="9" xfId="1" applyFont="1" applyFill="1" applyBorder="1" applyAlignment="1">
      <alignment horizontal="center"/>
    </xf>
    <xf numFmtId="0" fontId="9" fillId="3" borderId="10" xfId="0" applyFont="1" applyFill="1" applyBorder="1"/>
    <xf numFmtId="0" fontId="3" fillId="3" borderId="11" xfId="0" applyFont="1" applyFill="1" applyBorder="1"/>
    <xf numFmtId="4" fontId="3" fillId="3" borderId="11" xfId="0" applyNumberFormat="1" applyFont="1" applyFill="1" applyBorder="1"/>
    <xf numFmtId="43" fontId="3" fillId="3" borderId="1" xfId="1" applyFont="1" applyFill="1" applyBorder="1" applyAlignment="1">
      <alignment horizontal="center"/>
    </xf>
    <xf numFmtId="43" fontId="3" fillId="3" borderId="12" xfId="1" applyFont="1" applyFill="1" applyBorder="1" applyAlignment="1">
      <alignment horizontal="center"/>
    </xf>
    <xf numFmtId="43" fontId="3" fillId="3" borderId="13" xfId="1" applyFont="1" applyFill="1" applyBorder="1" applyAlignment="1">
      <alignment horizontal="center"/>
    </xf>
    <xf numFmtId="0" fontId="3" fillId="3" borderId="10" xfId="0" applyFont="1" applyFill="1" applyBorder="1"/>
    <xf numFmtId="3" fontId="3" fillId="3" borderId="11" xfId="0" applyNumberFormat="1" applyFont="1" applyFill="1" applyBorder="1"/>
    <xf numFmtId="43" fontId="3" fillId="3" borderId="14" xfId="1" applyFont="1" applyFill="1" applyBorder="1" applyAlignment="1">
      <alignment horizontal="center"/>
    </xf>
    <xf numFmtId="43" fontId="3" fillId="3" borderId="15" xfId="1" applyFont="1" applyFill="1" applyBorder="1" applyAlignment="1">
      <alignment horizontal="center"/>
    </xf>
    <xf numFmtId="43" fontId="3" fillId="3" borderId="16" xfId="1" applyFont="1" applyFill="1" applyBorder="1" applyAlignment="1">
      <alignment horizontal="center"/>
    </xf>
    <xf numFmtId="0" fontId="9" fillId="3" borderId="17" xfId="0" applyFont="1" applyFill="1" applyBorder="1"/>
    <xf numFmtId="0" fontId="9" fillId="3" borderId="18" xfId="0" applyFont="1" applyFill="1" applyBorder="1"/>
    <xf numFmtId="4" fontId="9" fillId="3" borderId="19" xfId="0" applyNumberFormat="1" applyFont="1" applyFill="1" applyBorder="1"/>
    <xf numFmtId="0" fontId="9" fillId="3" borderId="20" xfId="0" applyFont="1" applyFill="1" applyBorder="1"/>
    <xf numFmtId="4" fontId="9" fillId="3" borderId="20" xfId="0" applyNumberFormat="1" applyFont="1" applyFill="1" applyBorder="1"/>
    <xf numFmtId="0" fontId="9" fillId="3" borderId="21" xfId="0" applyFont="1" applyFill="1" applyBorder="1"/>
    <xf numFmtId="0" fontId="3" fillId="3" borderId="22" xfId="0" applyFont="1" applyFill="1" applyBorder="1"/>
    <xf numFmtId="4" fontId="3" fillId="3" borderId="22" xfId="0" applyNumberFormat="1" applyFont="1" applyFill="1" applyBorder="1"/>
    <xf numFmtId="0" fontId="9" fillId="3" borderId="23" xfId="0" applyFont="1" applyFill="1" applyBorder="1"/>
    <xf numFmtId="4" fontId="9" fillId="3" borderId="23" xfId="0" applyNumberFormat="1" applyFont="1" applyFill="1" applyBorder="1"/>
    <xf numFmtId="0" fontId="9" fillId="3" borderId="24" xfId="0" applyFont="1" applyFill="1" applyBorder="1"/>
    <xf numFmtId="4" fontId="9" fillId="3" borderId="24" xfId="0" applyNumberFormat="1" applyFont="1" applyFill="1" applyBorder="1"/>
    <xf numFmtId="4" fontId="3" fillId="3" borderId="0" xfId="0" applyNumberFormat="1" applyFont="1" applyFill="1"/>
    <xf numFmtId="0" fontId="10" fillId="4" borderId="25" xfId="0" applyFont="1" applyFill="1" applyBorder="1"/>
    <xf numFmtId="164" fontId="9" fillId="3" borderId="26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179183</xdr:colOff>
      <xdr:row>4</xdr:row>
      <xdr:rowOff>48836</xdr:rowOff>
    </xdr:from>
    <xdr:to>
      <xdr:col>10</xdr:col>
      <xdr:colOff>2000250</xdr:colOff>
      <xdr:row>11</xdr:row>
      <xdr:rowOff>99703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751DD8-3F43-4DEA-A86D-3DCBBBB97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85608" y="1039436"/>
          <a:ext cx="1821067" cy="1117667"/>
        </a:xfrm>
        <a:prstGeom prst="rect">
          <a:avLst/>
        </a:prstGeom>
      </xdr:spPr>
    </xdr:pic>
    <xdr:clientData/>
  </xdr:twoCellAnchor>
  <xdr:twoCellAnchor editAs="oneCell">
    <xdr:from>
      <xdr:col>9</xdr:col>
      <xdr:colOff>174398</xdr:colOff>
      <xdr:row>4</xdr:row>
      <xdr:rowOff>41988</xdr:rowOff>
    </xdr:from>
    <xdr:to>
      <xdr:col>9</xdr:col>
      <xdr:colOff>2095500</xdr:colOff>
      <xdr:row>11</xdr:row>
      <xdr:rowOff>74454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27C38B-D490-4DED-8213-01714F0AA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75798" y="1032588"/>
          <a:ext cx="1921102" cy="1099266"/>
        </a:xfrm>
        <a:prstGeom prst="rect">
          <a:avLst/>
        </a:prstGeom>
      </xdr:spPr>
    </xdr:pic>
    <xdr:clientData/>
  </xdr:twoCellAnchor>
  <xdr:oneCellAnchor>
    <xdr:from>
      <xdr:col>11</xdr:col>
      <xdr:colOff>229859</xdr:colOff>
      <xdr:row>4</xdr:row>
      <xdr:rowOff>50152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C3A57317-71F4-43F2-86F3-15ACEFB4E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65134" y="104075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0AAA5-D354-499B-938A-FB0C442FBFB1}">
  <dimension ref="B1:L64"/>
  <sheetViews>
    <sheetView tabSelected="1" workbookViewId="0">
      <selection activeCell="H52" sqref="H52"/>
    </sheetView>
  </sheetViews>
  <sheetFormatPr defaultRowHeight="12" x14ac:dyDescent="0.2"/>
  <cols>
    <col min="1" max="1" width="9.140625" style="4"/>
    <col min="2" max="2" width="55" style="4" bestFit="1" customWidth="1"/>
    <col min="3" max="3" width="13.5703125" style="4" bestFit="1" customWidth="1"/>
    <col min="4" max="4" width="40.42578125" style="4" bestFit="1" customWidth="1"/>
    <col min="5" max="5" width="8.85546875" style="4" bestFit="1" customWidth="1"/>
    <col min="6" max="6" width="15.28515625" style="43" bestFit="1" customWidth="1"/>
    <col min="7" max="7" width="7.42578125" style="43" bestFit="1" customWidth="1"/>
    <col min="8" max="8" width="13.5703125" style="3" customWidth="1"/>
    <col min="9" max="9" width="4.7109375" style="3" bestFit="1" customWidth="1"/>
    <col min="10" max="10" width="31.5703125" style="3" customWidth="1"/>
    <col min="11" max="11" width="33.42578125" style="3" customWidth="1"/>
    <col min="12" max="12" width="31.42578125" style="4" customWidth="1"/>
    <col min="13" max="16384" width="9.140625" style="4"/>
  </cols>
  <sheetData>
    <row r="1" spans="2:12" ht="21" customHeight="1" x14ac:dyDescent="0.2">
      <c r="B1" s="1" t="s">
        <v>0</v>
      </c>
      <c r="C1" s="2"/>
      <c r="D1" s="2"/>
      <c r="E1" s="2"/>
      <c r="F1" s="2"/>
      <c r="G1" s="2"/>
    </row>
    <row r="3" spans="2:12" ht="16.5" thickBot="1" x14ac:dyDescent="0.25">
      <c r="B3" s="5" t="s">
        <v>1</v>
      </c>
      <c r="C3" s="6"/>
      <c r="D3" s="7"/>
      <c r="E3" s="7"/>
      <c r="F3" s="8"/>
      <c r="G3" s="8"/>
    </row>
    <row r="4" spans="2:12" ht="28.5" x14ac:dyDescent="0.2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J4" s="13" t="s">
        <v>9</v>
      </c>
      <c r="K4" s="13" t="s">
        <v>10</v>
      </c>
      <c r="L4" s="13" t="s">
        <v>11</v>
      </c>
    </row>
    <row r="5" spans="2:12" x14ac:dyDescent="0.2">
      <c r="B5" s="14" t="s">
        <v>12</v>
      </c>
      <c r="C5" s="15"/>
      <c r="D5" s="15"/>
      <c r="E5" s="15"/>
      <c r="F5" s="16"/>
      <c r="G5" s="16"/>
      <c r="H5" s="16"/>
      <c r="J5" s="17"/>
      <c r="K5" s="18"/>
      <c r="L5" s="19"/>
    </row>
    <row r="6" spans="2:12" x14ac:dyDescent="0.2">
      <c r="B6" s="20" t="s">
        <v>13</v>
      </c>
      <c r="C6" s="21"/>
      <c r="D6" s="21"/>
      <c r="E6" s="21"/>
      <c r="F6" s="22"/>
      <c r="G6" s="22"/>
      <c r="H6" s="22"/>
      <c r="J6" s="23"/>
      <c r="K6" s="24"/>
      <c r="L6" s="25"/>
    </row>
    <row r="7" spans="2:12" x14ac:dyDescent="0.2">
      <c r="B7" s="26" t="s">
        <v>14</v>
      </c>
      <c r="C7" s="21" t="s">
        <v>15</v>
      </c>
      <c r="D7" s="21" t="s">
        <v>16</v>
      </c>
      <c r="E7" s="27">
        <v>610585</v>
      </c>
      <c r="F7" s="22">
        <v>5706.53</v>
      </c>
      <c r="G7" s="22">
        <v>6.48</v>
      </c>
      <c r="H7" s="22" t="s">
        <v>17</v>
      </c>
      <c r="J7" s="23"/>
      <c r="K7" s="24"/>
      <c r="L7" s="25"/>
    </row>
    <row r="8" spans="2:12" x14ac:dyDescent="0.2">
      <c r="B8" s="26" t="s">
        <v>18</v>
      </c>
      <c r="C8" s="21" t="s">
        <v>19</v>
      </c>
      <c r="D8" s="21" t="s">
        <v>20</v>
      </c>
      <c r="E8" s="27">
        <v>424000</v>
      </c>
      <c r="F8" s="22">
        <v>5662.52</v>
      </c>
      <c r="G8" s="22">
        <v>6.43</v>
      </c>
      <c r="H8" s="22" t="s">
        <v>17</v>
      </c>
      <c r="J8" s="23"/>
      <c r="K8" s="24"/>
      <c r="L8" s="25"/>
    </row>
    <row r="9" spans="2:12" x14ac:dyDescent="0.2">
      <c r="B9" s="26" t="s">
        <v>21</v>
      </c>
      <c r="C9" s="21" t="s">
        <v>22</v>
      </c>
      <c r="D9" s="21" t="s">
        <v>16</v>
      </c>
      <c r="E9" s="27">
        <v>332500</v>
      </c>
      <c r="F9" s="22">
        <v>5657.16</v>
      </c>
      <c r="G9" s="22">
        <v>6.43</v>
      </c>
      <c r="H9" s="22" t="s">
        <v>17</v>
      </c>
      <c r="J9" s="23"/>
      <c r="K9" s="24"/>
      <c r="L9" s="25"/>
    </row>
    <row r="10" spans="2:12" x14ac:dyDescent="0.2">
      <c r="B10" s="26" t="s">
        <v>23</v>
      </c>
      <c r="C10" s="21" t="s">
        <v>24</v>
      </c>
      <c r="D10" s="21" t="s">
        <v>25</v>
      </c>
      <c r="E10" s="27">
        <v>185299</v>
      </c>
      <c r="F10" s="22">
        <v>4725.59</v>
      </c>
      <c r="G10" s="22">
        <v>5.37</v>
      </c>
      <c r="H10" s="22" t="s">
        <v>17</v>
      </c>
      <c r="J10" s="23"/>
      <c r="K10" s="24"/>
      <c r="L10" s="25"/>
    </row>
    <row r="11" spans="2:12" x14ac:dyDescent="0.2">
      <c r="B11" s="26" t="s">
        <v>26</v>
      </c>
      <c r="C11" s="21" t="s">
        <v>27</v>
      </c>
      <c r="D11" s="21" t="s">
        <v>28</v>
      </c>
      <c r="E11" s="27">
        <v>871880</v>
      </c>
      <c r="F11" s="22">
        <v>3937.41</v>
      </c>
      <c r="G11" s="22">
        <v>4.47</v>
      </c>
      <c r="H11" s="22" t="s">
        <v>17</v>
      </c>
      <c r="J11" s="23"/>
      <c r="K11" s="24"/>
      <c r="L11" s="25"/>
    </row>
    <row r="12" spans="2:12" x14ac:dyDescent="0.2">
      <c r="B12" s="26" t="s">
        <v>29</v>
      </c>
      <c r="C12" s="21" t="s">
        <v>30</v>
      </c>
      <c r="D12" s="21" t="s">
        <v>31</v>
      </c>
      <c r="E12" s="27">
        <v>120338</v>
      </c>
      <c r="F12" s="22">
        <v>3395.88</v>
      </c>
      <c r="G12" s="22">
        <v>3.86</v>
      </c>
      <c r="H12" s="22" t="s">
        <v>17</v>
      </c>
      <c r="J12" s="28"/>
      <c r="K12" s="29"/>
      <c r="L12" s="30"/>
    </row>
    <row r="13" spans="2:12" x14ac:dyDescent="0.2">
      <c r="B13" s="26" t="s">
        <v>32</v>
      </c>
      <c r="C13" s="21" t="s">
        <v>33</v>
      </c>
      <c r="D13" s="21" t="s">
        <v>16</v>
      </c>
      <c r="E13" s="27">
        <v>556415</v>
      </c>
      <c r="F13" s="22">
        <v>3187.42</v>
      </c>
      <c r="G13" s="22">
        <v>3.62</v>
      </c>
      <c r="H13" s="22" t="s">
        <v>17</v>
      </c>
      <c r="K13" s="4" t="s">
        <v>34</v>
      </c>
      <c r="L13" s="3"/>
    </row>
    <row r="14" spans="2:12" x14ac:dyDescent="0.2">
      <c r="B14" s="26" t="s">
        <v>35</v>
      </c>
      <c r="C14" s="21" t="s">
        <v>36</v>
      </c>
      <c r="D14" s="21" t="s">
        <v>37</v>
      </c>
      <c r="E14" s="27">
        <v>1620000</v>
      </c>
      <c r="F14" s="22">
        <v>3064.23</v>
      </c>
      <c r="G14" s="22">
        <v>3.48</v>
      </c>
      <c r="H14" s="22" t="s">
        <v>17</v>
      </c>
    </row>
    <row r="15" spans="2:12" x14ac:dyDescent="0.2">
      <c r="B15" s="26" t="s">
        <v>38</v>
      </c>
      <c r="C15" s="21" t="s">
        <v>39</v>
      </c>
      <c r="D15" s="21" t="s">
        <v>40</v>
      </c>
      <c r="E15" s="27">
        <v>116342</v>
      </c>
      <c r="F15" s="22">
        <v>2753.76</v>
      </c>
      <c r="G15" s="22">
        <v>3.13</v>
      </c>
      <c r="H15" s="22" t="s">
        <v>41</v>
      </c>
    </row>
    <row r="16" spans="2:12" x14ac:dyDescent="0.2">
      <c r="B16" s="26" t="s">
        <v>42</v>
      </c>
      <c r="C16" s="21" t="s">
        <v>43</v>
      </c>
      <c r="D16" s="21" t="s">
        <v>44</v>
      </c>
      <c r="E16" s="27">
        <v>2165783</v>
      </c>
      <c r="F16" s="22">
        <v>2723.47</v>
      </c>
      <c r="G16" s="22">
        <v>3.09</v>
      </c>
      <c r="H16" s="22" t="s">
        <v>17</v>
      </c>
    </row>
    <row r="17" spans="2:8" x14ac:dyDescent="0.2">
      <c r="B17" s="26" t="s">
        <v>45</v>
      </c>
      <c r="C17" s="21" t="s">
        <v>46</v>
      </c>
      <c r="D17" s="21" t="s">
        <v>16</v>
      </c>
      <c r="E17" s="27">
        <v>262357</v>
      </c>
      <c r="F17" s="22">
        <v>2590.64</v>
      </c>
      <c r="G17" s="22">
        <v>2.94</v>
      </c>
      <c r="H17" s="22" t="s">
        <v>17</v>
      </c>
    </row>
    <row r="18" spans="2:8" x14ac:dyDescent="0.2">
      <c r="B18" s="26" t="s">
        <v>47</v>
      </c>
      <c r="C18" s="21" t="s">
        <v>48</v>
      </c>
      <c r="D18" s="21" t="s">
        <v>49</v>
      </c>
      <c r="E18" s="27">
        <v>283000</v>
      </c>
      <c r="F18" s="22">
        <v>2486.86</v>
      </c>
      <c r="G18" s="22">
        <v>2.83</v>
      </c>
      <c r="H18" s="22" t="s">
        <v>17</v>
      </c>
    </row>
    <row r="19" spans="2:8" x14ac:dyDescent="0.2">
      <c r="B19" s="26" t="s">
        <v>50</v>
      </c>
      <c r="C19" s="21" t="s">
        <v>51</v>
      </c>
      <c r="D19" s="21" t="s">
        <v>31</v>
      </c>
      <c r="E19" s="27">
        <v>195638</v>
      </c>
      <c r="F19" s="22">
        <v>2440.88</v>
      </c>
      <c r="G19" s="22">
        <v>2.77</v>
      </c>
      <c r="H19" s="22" t="s">
        <v>41</v>
      </c>
    </row>
    <row r="20" spans="2:8" x14ac:dyDescent="0.2">
      <c r="B20" s="26" t="s">
        <v>52</v>
      </c>
      <c r="C20" s="21" t="s">
        <v>53</v>
      </c>
      <c r="D20" s="21" t="s">
        <v>54</v>
      </c>
      <c r="E20" s="27">
        <v>92907</v>
      </c>
      <c r="F20" s="22">
        <v>2299.96</v>
      </c>
      <c r="G20" s="22">
        <v>2.61</v>
      </c>
      <c r="H20" s="22" t="s">
        <v>17</v>
      </c>
    </row>
    <row r="21" spans="2:8" x14ac:dyDescent="0.2">
      <c r="B21" s="26" t="s">
        <v>55</v>
      </c>
      <c r="C21" s="21" t="s">
        <v>56</v>
      </c>
      <c r="D21" s="21" t="s">
        <v>57</v>
      </c>
      <c r="E21" s="27">
        <v>96790</v>
      </c>
      <c r="F21" s="22">
        <v>2241.27</v>
      </c>
      <c r="G21" s="22">
        <v>2.5499999999999998</v>
      </c>
      <c r="H21" s="22" t="s">
        <v>41</v>
      </c>
    </row>
    <row r="22" spans="2:8" x14ac:dyDescent="0.2">
      <c r="B22" s="26" t="s">
        <v>58</v>
      </c>
      <c r="C22" s="21" t="s">
        <v>59</v>
      </c>
      <c r="D22" s="21" t="s">
        <v>60</v>
      </c>
      <c r="E22" s="27">
        <v>367165</v>
      </c>
      <c r="F22" s="22">
        <v>2111.9299999999998</v>
      </c>
      <c r="G22" s="22">
        <v>2.4</v>
      </c>
      <c r="H22" s="22" t="s">
        <v>41</v>
      </c>
    </row>
    <row r="23" spans="2:8" x14ac:dyDescent="0.2">
      <c r="B23" s="26" t="s">
        <v>61</v>
      </c>
      <c r="C23" s="21" t="s">
        <v>62</v>
      </c>
      <c r="D23" s="21" t="s">
        <v>16</v>
      </c>
      <c r="E23" s="27">
        <v>1399741</v>
      </c>
      <c r="F23" s="22">
        <v>1765.77</v>
      </c>
      <c r="G23" s="22">
        <v>2.0099999999999998</v>
      </c>
      <c r="H23" s="22" t="s">
        <v>63</v>
      </c>
    </row>
    <row r="24" spans="2:8" x14ac:dyDescent="0.2">
      <c r="B24" s="26" t="s">
        <v>64</v>
      </c>
      <c r="C24" s="21" t="s">
        <v>65</v>
      </c>
      <c r="D24" s="21" t="s">
        <v>66</v>
      </c>
      <c r="E24" s="27">
        <v>213984</v>
      </c>
      <c r="F24" s="22">
        <v>1717.33</v>
      </c>
      <c r="G24" s="22">
        <v>1.95</v>
      </c>
      <c r="H24" s="22" t="s">
        <v>17</v>
      </c>
    </row>
    <row r="25" spans="2:8" x14ac:dyDescent="0.2">
      <c r="B25" s="26" t="s">
        <v>67</v>
      </c>
      <c r="C25" s="21" t="s">
        <v>68</v>
      </c>
      <c r="D25" s="21" t="s">
        <v>20</v>
      </c>
      <c r="E25" s="27">
        <v>132430</v>
      </c>
      <c r="F25" s="22">
        <v>1573.2</v>
      </c>
      <c r="G25" s="22">
        <v>1.79</v>
      </c>
      <c r="H25" s="22" t="s">
        <v>17</v>
      </c>
    </row>
    <row r="26" spans="2:8" x14ac:dyDescent="0.2">
      <c r="B26" s="26" t="s">
        <v>69</v>
      </c>
      <c r="C26" s="21" t="s">
        <v>70</v>
      </c>
      <c r="D26" s="21" t="s">
        <v>40</v>
      </c>
      <c r="E26" s="27">
        <v>146938</v>
      </c>
      <c r="F26" s="22">
        <v>1545.2</v>
      </c>
      <c r="G26" s="22">
        <v>1.76</v>
      </c>
      <c r="H26" s="22" t="s">
        <v>17</v>
      </c>
    </row>
    <row r="27" spans="2:8" x14ac:dyDescent="0.2">
      <c r="B27" s="26" t="s">
        <v>71</v>
      </c>
      <c r="C27" s="21" t="s">
        <v>72</v>
      </c>
      <c r="D27" s="21" t="s">
        <v>73</v>
      </c>
      <c r="E27" s="27">
        <v>115000</v>
      </c>
      <c r="F27" s="22">
        <v>1502.94</v>
      </c>
      <c r="G27" s="22">
        <v>1.71</v>
      </c>
      <c r="H27" s="22" t="s">
        <v>17</v>
      </c>
    </row>
    <row r="28" spans="2:8" x14ac:dyDescent="0.2">
      <c r="B28" s="26" t="s">
        <v>74</v>
      </c>
      <c r="C28" s="21" t="s">
        <v>75</v>
      </c>
      <c r="D28" s="21" t="s">
        <v>76</v>
      </c>
      <c r="E28" s="27">
        <v>28925</v>
      </c>
      <c r="F28" s="22">
        <v>1357.03</v>
      </c>
      <c r="G28" s="22">
        <v>1.54</v>
      </c>
      <c r="H28" s="22" t="s">
        <v>17</v>
      </c>
    </row>
    <row r="29" spans="2:8" x14ac:dyDescent="0.2">
      <c r="B29" s="26" t="s">
        <v>77</v>
      </c>
      <c r="C29" s="21" t="s">
        <v>78</v>
      </c>
      <c r="D29" s="21" t="s">
        <v>16</v>
      </c>
      <c r="E29" s="27">
        <v>96000</v>
      </c>
      <c r="F29" s="22">
        <v>1319.66</v>
      </c>
      <c r="G29" s="22">
        <v>1.5</v>
      </c>
      <c r="H29" s="22" t="s">
        <v>17</v>
      </c>
    </row>
    <row r="30" spans="2:8" x14ac:dyDescent="0.2">
      <c r="B30" s="26" t="s">
        <v>79</v>
      </c>
      <c r="C30" s="21" t="s">
        <v>80</v>
      </c>
      <c r="D30" s="21" t="s">
        <v>76</v>
      </c>
      <c r="E30" s="27">
        <v>219504</v>
      </c>
      <c r="F30" s="22">
        <v>1307.26</v>
      </c>
      <c r="G30" s="22">
        <v>1.49</v>
      </c>
      <c r="H30" s="22" t="s">
        <v>17</v>
      </c>
    </row>
    <row r="31" spans="2:8" x14ac:dyDescent="0.2">
      <c r="B31" s="26" t="s">
        <v>81</v>
      </c>
      <c r="C31" s="21" t="s">
        <v>82</v>
      </c>
      <c r="D31" s="21" t="s">
        <v>25</v>
      </c>
      <c r="E31" s="27">
        <v>325000</v>
      </c>
      <c r="F31" s="22">
        <v>1185.28</v>
      </c>
      <c r="G31" s="22">
        <v>1.35</v>
      </c>
      <c r="H31" s="22" t="s">
        <v>17</v>
      </c>
    </row>
    <row r="32" spans="2:8" x14ac:dyDescent="0.2">
      <c r="B32" s="26" t="s">
        <v>83</v>
      </c>
      <c r="C32" s="21" t="s">
        <v>84</v>
      </c>
      <c r="D32" s="21" t="s">
        <v>85</v>
      </c>
      <c r="E32" s="27">
        <v>1375000</v>
      </c>
      <c r="F32" s="22">
        <v>1178.3800000000001</v>
      </c>
      <c r="G32" s="22">
        <v>1.34</v>
      </c>
      <c r="H32" s="22" t="s">
        <v>17</v>
      </c>
    </row>
    <row r="33" spans="2:8" x14ac:dyDescent="0.2">
      <c r="B33" s="26" t="s">
        <v>86</v>
      </c>
      <c r="C33" s="21" t="s">
        <v>87</v>
      </c>
      <c r="D33" s="21" t="s">
        <v>88</v>
      </c>
      <c r="E33" s="27">
        <v>185437</v>
      </c>
      <c r="F33" s="22">
        <v>1111.5999999999999</v>
      </c>
      <c r="G33" s="22">
        <v>1.26</v>
      </c>
      <c r="H33" s="22" t="s">
        <v>63</v>
      </c>
    </row>
    <row r="34" spans="2:8" x14ac:dyDescent="0.2">
      <c r="B34" s="26" t="s">
        <v>89</v>
      </c>
      <c r="C34" s="21" t="s">
        <v>90</v>
      </c>
      <c r="D34" s="21" t="s">
        <v>16</v>
      </c>
      <c r="E34" s="27">
        <v>1188266</v>
      </c>
      <c r="F34" s="22">
        <v>1070.6300000000001</v>
      </c>
      <c r="G34" s="22">
        <v>1.22</v>
      </c>
      <c r="H34" s="22" t="s">
        <v>41</v>
      </c>
    </row>
    <row r="35" spans="2:8" x14ac:dyDescent="0.2">
      <c r="B35" s="26" t="s">
        <v>91</v>
      </c>
      <c r="C35" s="21" t="s">
        <v>92</v>
      </c>
      <c r="D35" s="21" t="s">
        <v>93</v>
      </c>
      <c r="E35" s="27">
        <v>140000</v>
      </c>
      <c r="F35" s="22">
        <v>1005.97</v>
      </c>
      <c r="G35" s="22">
        <v>1.1399999999999999</v>
      </c>
      <c r="H35" s="22" t="s">
        <v>41</v>
      </c>
    </row>
    <row r="36" spans="2:8" x14ac:dyDescent="0.2">
      <c r="B36" s="26" t="s">
        <v>94</v>
      </c>
      <c r="C36" s="21" t="s">
        <v>95</v>
      </c>
      <c r="D36" s="21" t="s">
        <v>96</v>
      </c>
      <c r="E36" s="27">
        <v>37500</v>
      </c>
      <c r="F36" s="22">
        <v>985.09</v>
      </c>
      <c r="G36" s="22">
        <v>1.1200000000000001</v>
      </c>
      <c r="H36" s="22" t="s">
        <v>17</v>
      </c>
    </row>
    <row r="37" spans="2:8" x14ac:dyDescent="0.2">
      <c r="B37" s="26" t="s">
        <v>97</v>
      </c>
      <c r="C37" s="21" t="s">
        <v>98</v>
      </c>
      <c r="D37" s="21" t="s">
        <v>96</v>
      </c>
      <c r="E37" s="27">
        <v>13548</v>
      </c>
      <c r="F37" s="22">
        <v>981.63</v>
      </c>
      <c r="G37" s="22">
        <v>1.1200000000000001</v>
      </c>
      <c r="H37" s="22" t="s">
        <v>63</v>
      </c>
    </row>
    <row r="38" spans="2:8" x14ac:dyDescent="0.2">
      <c r="B38" s="26" t="s">
        <v>99</v>
      </c>
      <c r="C38" s="21" t="s">
        <v>100</v>
      </c>
      <c r="D38" s="21" t="s">
        <v>96</v>
      </c>
      <c r="E38" s="27">
        <v>146000</v>
      </c>
      <c r="F38" s="22">
        <v>966.23</v>
      </c>
      <c r="G38" s="22">
        <v>1.1000000000000001</v>
      </c>
      <c r="H38" s="22" t="s">
        <v>63</v>
      </c>
    </row>
    <row r="39" spans="2:8" x14ac:dyDescent="0.2">
      <c r="B39" s="26" t="s">
        <v>101</v>
      </c>
      <c r="C39" s="21" t="s">
        <v>102</v>
      </c>
      <c r="D39" s="21" t="s">
        <v>103</v>
      </c>
      <c r="E39" s="27">
        <v>12336</v>
      </c>
      <c r="F39" s="22">
        <v>945.05</v>
      </c>
      <c r="G39" s="22">
        <v>1.07</v>
      </c>
      <c r="H39" s="22" t="s">
        <v>41</v>
      </c>
    </row>
    <row r="40" spans="2:8" x14ac:dyDescent="0.2">
      <c r="B40" s="26" t="s">
        <v>104</v>
      </c>
      <c r="C40" s="21" t="s">
        <v>105</v>
      </c>
      <c r="D40" s="21" t="s">
        <v>106</v>
      </c>
      <c r="E40" s="27">
        <v>555000</v>
      </c>
      <c r="F40" s="22">
        <v>929.07</v>
      </c>
      <c r="G40" s="22">
        <v>1.06</v>
      </c>
      <c r="H40" s="22" t="s">
        <v>63</v>
      </c>
    </row>
    <row r="41" spans="2:8" x14ac:dyDescent="0.2">
      <c r="B41" s="26" t="s">
        <v>107</v>
      </c>
      <c r="C41" s="21" t="s">
        <v>108</v>
      </c>
      <c r="D41" s="21" t="s">
        <v>109</v>
      </c>
      <c r="E41" s="27">
        <v>161000</v>
      </c>
      <c r="F41" s="22">
        <v>887.35</v>
      </c>
      <c r="G41" s="22">
        <v>1.01</v>
      </c>
      <c r="H41" s="22" t="s">
        <v>41</v>
      </c>
    </row>
    <row r="42" spans="2:8" x14ac:dyDescent="0.2">
      <c r="B42" s="26" t="s">
        <v>110</v>
      </c>
      <c r="C42" s="21" t="s">
        <v>111</v>
      </c>
      <c r="D42" s="21" t="s">
        <v>112</v>
      </c>
      <c r="E42" s="27">
        <v>152500</v>
      </c>
      <c r="F42" s="22">
        <v>873.75</v>
      </c>
      <c r="G42" s="22">
        <v>0.99</v>
      </c>
      <c r="H42" s="22" t="s">
        <v>17</v>
      </c>
    </row>
    <row r="43" spans="2:8" x14ac:dyDescent="0.2">
      <c r="B43" s="26" t="s">
        <v>113</v>
      </c>
      <c r="C43" s="21" t="s">
        <v>114</v>
      </c>
      <c r="D43" s="21" t="s">
        <v>31</v>
      </c>
      <c r="E43" s="27">
        <v>32500</v>
      </c>
      <c r="F43" s="22">
        <v>848.25</v>
      </c>
      <c r="G43" s="22">
        <v>0.96</v>
      </c>
      <c r="H43" s="22" t="s">
        <v>63</v>
      </c>
    </row>
    <row r="44" spans="2:8" x14ac:dyDescent="0.2">
      <c r="B44" s="26" t="s">
        <v>115</v>
      </c>
      <c r="C44" s="21" t="s">
        <v>116</v>
      </c>
      <c r="D44" s="21" t="s">
        <v>57</v>
      </c>
      <c r="E44" s="27">
        <v>26000</v>
      </c>
      <c r="F44" s="22">
        <v>832.12</v>
      </c>
      <c r="G44" s="22">
        <v>0.95</v>
      </c>
      <c r="H44" s="22" t="s">
        <v>63</v>
      </c>
    </row>
    <row r="45" spans="2:8" x14ac:dyDescent="0.2">
      <c r="B45" s="26" t="s">
        <v>117</v>
      </c>
      <c r="C45" s="21" t="s">
        <v>118</v>
      </c>
      <c r="D45" s="21" t="s">
        <v>76</v>
      </c>
      <c r="E45" s="27">
        <v>8500</v>
      </c>
      <c r="F45" s="22">
        <v>832.07</v>
      </c>
      <c r="G45" s="22">
        <v>0.95</v>
      </c>
      <c r="H45" s="22" t="s">
        <v>17</v>
      </c>
    </row>
    <row r="46" spans="2:8" x14ac:dyDescent="0.2">
      <c r="B46" s="26" t="s">
        <v>119</v>
      </c>
      <c r="C46" s="21" t="s">
        <v>120</v>
      </c>
      <c r="D46" s="21" t="s">
        <v>96</v>
      </c>
      <c r="E46" s="27">
        <v>104060</v>
      </c>
      <c r="F46" s="22">
        <v>742</v>
      </c>
      <c r="G46" s="22">
        <v>0.84</v>
      </c>
      <c r="H46" s="22" t="s">
        <v>41</v>
      </c>
    </row>
    <row r="47" spans="2:8" x14ac:dyDescent="0.2">
      <c r="B47" s="26" t="s">
        <v>121</v>
      </c>
      <c r="C47" s="21" t="s">
        <v>122</v>
      </c>
      <c r="D47" s="21" t="s">
        <v>73</v>
      </c>
      <c r="E47" s="27">
        <v>45000</v>
      </c>
      <c r="F47" s="22">
        <v>605</v>
      </c>
      <c r="G47" s="22">
        <v>0.69</v>
      </c>
      <c r="H47" s="22" t="s">
        <v>17</v>
      </c>
    </row>
    <row r="48" spans="2:8" x14ac:dyDescent="0.2">
      <c r="B48" s="26" t="s">
        <v>123</v>
      </c>
      <c r="C48" s="21" t="s">
        <v>124</v>
      </c>
      <c r="D48" s="21" t="s">
        <v>125</v>
      </c>
      <c r="E48" s="27">
        <v>130000</v>
      </c>
      <c r="F48" s="22">
        <v>601.12</v>
      </c>
      <c r="G48" s="22">
        <v>0.68</v>
      </c>
      <c r="H48" s="22" t="s">
        <v>41</v>
      </c>
    </row>
    <row r="49" spans="2:8" x14ac:dyDescent="0.2">
      <c r="B49" s="26" t="s">
        <v>126</v>
      </c>
      <c r="C49" s="21" t="s">
        <v>127</v>
      </c>
      <c r="D49" s="21" t="s">
        <v>20</v>
      </c>
      <c r="E49" s="27">
        <v>10000</v>
      </c>
      <c r="F49" s="22">
        <v>471.13</v>
      </c>
      <c r="G49" s="22">
        <v>0.54</v>
      </c>
      <c r="H49" s="22" t="s">
        <v>63</v>
      </c>
    </row>
    <row r="50" spans="2:8" x14ac:dyDescent="0.2">
      <c r="B50" s="26" t="s">
        <v>128</v>
      </c>
      <c r="C50" s="21" t="s">
        <v>129</v>
      </c>
      <c r="D50" s="21" t="s">
        <v>130</v>
      </c>
      <c r="E50" s="27">
        <v>68547</v>
      </c>
      <c r="F50" s="22">
        <v>455.56</v>
      </c>
      <c r="G50" s="22">
        <v>0.52</v>
      </c>
      <c r="H50" s="22" t="s">
        <v>63</v>
      </c>
    </row>
    <row r="51" spans="2:8" x14ac:dyDescent="0.2">
      <c r="B51" s="26" t="s">
        <v>131</v>
      </c>
      <c r="C51" s="21" t="s">
        <v>132</v>
      </c>
      <c r="D51" s="21" t="s">
        <v>40</v>
      </c>
      <c r="E51" s="27">
        <v>36831</v>
      </c>
      <c r="F51" s="22">
        <v>373.82</v>
      </c>
      <c r="G51" s="22">
        <v>0.42</v>
      </c>
      <c r="H51" s="22" t="s">
        <v>17</v>
      </c>
    </row>
    <row r="52" spans="2:8" x14ac:dyDescent="0.2">
      <c r="B52" s="26" t="s">
        <v>133</v>
      </c>
      <c r="C52" s="21" t="s">
        <v>134</v>
      </c>
      <c r="D52" s="21" t="s">
        <v>40</v>
      </c>
      <c r="E52" s="27">
        <v>8193</v>
      </c>
      <c r="F52" s="22">
        <v>139.84</v>
      </c>
      <c r="G52" s="22">
        <v>0.16</v>
      </c>
      <c r="H52" s="22" t="s">
        <v>17</v>
      </c>
    </row>
    <row r="53" spans="2:8" x14ac:dyDescent="0.2">
      <c r="B53" s="26" t="s">
        <v>135</v>
      </c>
      <c r="C53" s="21" t="s">
        <v>136</v>
      </c>
      <c r="D53" s="21" t="s">
        <v>49</v>
      </c>
      <c r="E53" s="27">
        <v>10357</v>
      </c>
      <c r="F53" s="22">
        <v>50.32</v>
      </c>
      <c r="G53" s="22">
        <v>0.06</v>
      </c>
      <c r="H53" s="22" t="s">
        <v>17</v>
      </c>
    </row>
    <row r="54" spans="2:8" x14ac:dyDescent="0.2">
      <c r="B54" s="31" t="s">
        <v>137</v>
      </c>
      <c r="C54" s="32"/>
      <c r="D54" s="32"/>
      <c r="E54" s="32"/>
      <c r="F54" s="33">
        <f>SUM(F7:F53)</f>
        <v>85145.160000000033</v>
      </c>
      <c r="G54" s="33">
        <f>SUM(G7:G53)</f>
        <v>96.760000000000019</v>
      </c>
      <c r="H54" s="33"/>
    </row>
    <row r="55" spans="2:8" x14ac:dyDescent="0.2">
      <c r="B55" s="34" t="s">
        <v>138</v>
      </c>
      <c r="C55" s="34"/>
      <c r="D55" s="34"/>
      <c r="E55" s="34"/>
      <c r="F55" s="35">
        <f>F54</f>
        <v>85145.160000000033</v>
      </c>
      <c r="G55" s="35">
        <f>G54</f>
        <v>96.760000000000019</v>
      </c>
      <c r="H55" s="35"/>
    </row>
    <row r="56" spans="2:8" x14ac:dyDescent="0.2">
      <c r="B56" s="36" t="s">
        <v>139</v>
      </c>
      <c r="C56" s="37"/>
      <c r="D56" s="37"/>
      <c r="E56" s="37"/>
      <c r="F56" s="38"/>
      <c r="G56" s="38"/>
      <c r="H56" s="38"/>
    </row>
    <row r="57" spans="2:8" x14ac:dyDescent="0.2">
      <c r="B57" s="26" t="s">
        <v>139</v>
      </c>
      <c r="C57" s="26"/>
      <c r="D57" s="21"/>
      <c r="E57" s="21"/>
      <c r="F57" s="22">
        <v>2806.71</v>
      </c>
      <c r="G57" s="22">
        <v>3.19</v>
      </c>
      <c r="H57" s="22"/>
    </row>
    <row r="58" spans="2:8" x14ac:dyDescent="0.2">
      <c r="B58" s="31" t="s">
        <v>137</v>
      </c>
      <c r="C58" s="32"/>
      <c r="D58" s="32"/>
      <c r="E58" s="32"/>
      <c r="F58" s="33">
        <f>SUM(F56:F57)</f>
        <v>2806.71</v>
      </c>
      <c r="G58" s="33">
        <f>SUM(G56:G57)</f>
        <v>3.19</v>
      </c>
      <c r="H58" s="33"/>
    </row>
    <row r="59" spans="2:8" x14ac:dyDescent="0.2">
      <c r="B59" s="39" t="s">
        <v>138</v>
      </c>
      <c r="C59" s="39"/>
      <c r="D59" s="39"/>
      <c r="E59" s="39"/>
      <c r="F59" s="40">
        <f>F58</f>
        <v>2806.71</v>
      </c>
      <c r="G59" s="40">
        <f>G58</f>
        <v>3.19</v>
      </c>
      <c r="H59" s="40"/>
    </row>
    <row r="60" spans="2:8" x14ac:dyDescent="0.2">
      <c r="B60" s="41" t="s">
        <v>140</v>
      </c>
      <c r="C60" s="41"/>
      <c r="D60" s="41"/>
      <c r="E60" s="41"/>
      <c r="F60" s="42">
        <f>F61-(+F55+F59)</f>
        <v>54.419999999954598</v>
      </c>
      <c r="G60" s="42">
        <f>G61-(+G55+G59)</f>
        <v>4.9999999999982947E-2</v>
      </c>
      <c r="H60" s="42"/>
    </row>
    <row r="61" spans="2:8" x14ac:dyDescent="0.2">
      <c r="B61" s="41" t="s">
        <v>141</v>
      </c>
      <c r="C61" s="41"/>
      <c r="D61" s="41"/>
      <c r="E61" s="41"/>
      <c r="F61" s="42">
        <v>88006.29</v>
      </c>
      <c r="G61" s="42">
        <v>100</v>
      </c>
      <c r="H61" s="42"/>
    </row>
    <row r="62" spans="2:8" ht="12.75" thickBot="1" x14ac:dyDescent="0.25"/>
    <row r="63" spans="2:8" ht="13.5" thickTop="1" thickBot="1" x14ac:dyDescent="0.25">
      <c r="B63" s="44" t="s">
        <v>142</v>
      </c>
      <c r="C63" s="45" t="s">
        <v>143</v>
      </c>
    </row>
    <row r="64" spans="2:8" ht="12.75" thickTop="1" x14ac:dyDescent="0.2"/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2023-07-06 11:06:42</KDate>
  <Classification>Public</Classification>
  <Subclassification/>
  <HostName>MUMCMP00915</HostName>
  <Domain_User>CANARAROBECOMF/396</Domain_User>
  <IPAdd>192.9.198.198</IPAdd>
  <FilePath>Book9</FilePath>
  <KID>A4BB6D0D6391638242384028370589</KID>
  <UniqueName/>
  <Suggested/>
  <Justification/>
</Klassify>
</file>

<file path=customXml/itemProps1.xml><?xml version="1.0" encoding="utf-8"?>
<ds:datastoreItem xmlns:ds="http://schemas.openxmlformats.org/officeDocument/2006/customXml" ds:itemID="{011EACDC-528D-4D87-8BF8-D669070FB34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lastModifiedBy>Kartiki Birje</cp:lastModifiedBy>
  <dcterms:created xsi:type="dcterms:W3CDTF">2023-07-06T05:36:23Z</dcterms:created>
  <dcterms:modified xsi:type="dcterms:W3CDTF">2023-07-06T05:36:43Z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A4BB6D0D6391638242384028370589</vt:lpwstr>
  </property>
</Properties>
</file>