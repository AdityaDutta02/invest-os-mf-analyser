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Jul 25\"/>
    </mc:Choice>
  </mc:AlternateContent>
  <xr:revisionPtr revIDLastSave="0" documentId="8_{7E0DD234-B25B-4F49-8162-36F6AF472FBD}" xr6:coauthVersionLast="47" xr6:coauthVersionMax="47" xr10:uidLastSave="{00000000-0000-0000-0000-000000000000}"/>
  <bookViews>
    <workbookView xWindow="-120" yWindow="-120" windowWidth="20730" windowHeight="11040" xr2:uid="{8488472D-77F6-4085-B351-0ABEFC2A95C2}"/>
  </bookViews>
  <sheets>
    <sheet name="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47" i="1" s="1"/>
  <c r="F46" i="1"/>
  <c r="F47" i="1" s="1"/>
  <c r="G43" i="1"/>
  <c r="F43" i="1"/>
  <c r="G40" i="1"/>
  <c r="F40" i="1"/>
  <c r="G36" i="1"/>
  <c r="F36" i="1"/>
  <c r="G33" i="1"/>
  <c r="F33" i="1"/>
  <c r="G25" i="1"/>
  <c r="G37" i="1" s="1"/>
  <c r="F25" i="1"/>
  <c r="F37" i="1" s="1"/>
  <c r="F13" i="1"/>
  <c r="G12" i="1"/>
  <c r="G13" i="1" s="1"/>
  <c r="G48" i="1" s="1"/>
  <c r="F12" i="1"/>
  <c r="F48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<sst xmlns="http://schemas.openxmlformats.org/spreadsheetml/2006/main" count="120" uniqueCount="95">
  <si>
    <t>CANARA ROBECO ULTRA SHORT TERM FUND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</si>
  <si>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</si>
  <si>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</si>
  <si>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</si>
  <si>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</si>
  <si>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</si>
  <si>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</si>
  <si>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</si>
  <si>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</si>
  <si>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July'25</t>
  </si>
  <si>
    <t>Benchmark Risk-O-Meter Level- July'25</t>
  </si>
  <si>
    <t>Scheme Risk-O-Meter Level- June'25</t>
  </si>
  <si>
    <t>Benchmark Risk-O-Meter Level- June'25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</si>
  <si>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</si>
  <si>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</si>
  <si>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</si>
  <si>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</si>
  <si>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</si>
  <si>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</si>
  <si>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</si>
  <si>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</si>
  <si>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7.59% Power Finance Corporation Ltd (03/11/2025)</t>
  </si>
  <si>
    <t>INE134E08LU1</t>
  </si>
  <si>
    <t>CRISIL AAA</t>
  </si>
  <si>
    <t>Relatively Low (Class I)</t>
  </si>
  <si>
    <t>B-I</t>
  </si>
  <si>
    <t>7.40% National Bank For Agriculture &amp; Rural Development (30/01/2026) **</t>
  </si>
  <si>
    <t>INE261F08DO9</t>
  </si>
  <si>
    <t>7.9237% BAJAJ HOUSING FINANCE LTD 16-MAR-26 **</t>
  </si>
  <si>
    <t>INE377Y07375</t>
  </si>
  <si>
    <t>Moderate 
(Class II)</t>
  </si>
  <si>
    <t>7.83% Bajaj Housing Finance Ltd (12/12/2025) **</t>
  </si>
  <si>
    <t>INE377Y07391</t>
  </si>
  <si>
    <t>7.82% LIC Housing Finance Ltd (14/01/2026) **</t>
  </si>
  <si>
    <t>INE115A07QE3</t>
  </si>
  <si>
    <t>Relatively High (Class III)</t>
  </si>
  <si>
    <t>Sub Total</t>
  </si>
  <si>
    <t>Total</t>
  </si>
  <si>
    <t>Benchmark: CRISIL Ultra Short Duration Debt A-I Index</t>
  </si>
  <si>
    <t>Money Market Instruments</t>
  </si>
  <si>
    <t>Certificate of Deposit</t>
  </si>
  <si>
    <t>ICICI Bank Ltd (14/11/2025) ** #</t>
  </si>
  <si>
    <t>INE090AD6204</t>
  </si>
  <si>
    <t>ICRA A1+</t>
  </si>
  <si>
    <t>Small Industries Development Bank of India (05/12/2025) #</t>
  </si>
  <si>
    <t>INE556F16AX2</t>
  </si>
  <si>
    <t>CARE A1+</t>
  </si>
  <si>
    <t>Kotak Mahindra Bank Ltd (11/12/2025) ** #</t>
  </si>
  <si>
    <t>INE237A160Z6</t>
  </si>
  <si>
    <t>CRISIL A1+</t>
  </si>
  <si>
    <t>Union Bank of India (22/09/2025) ** #</t>
  </si>
  <si>
    <t>INE692A16JM0</t>
  </si>
  <si>
    <t>Axis Bank Ltd (13/11/2025) ** #</t>
  </si>
  <si>
    <t>INE238AD6983</t>
  </si>
  <si>
    <t>Union Bank of India (10/12/2025) ** #</t>
  </si>
  <si>
    <t>INE692A16IF6</t>
  </si>
  <si>
    <t>IND A1+</t>
  </si>
  <si>
    <t>Axis Bank Ltd (04/03/2026) ** #</t>
  </si>
  <si>
    <t>INE238AD6AN0</t>
  </si>
  <si>
    <t>Indian Bank (12/03/2026) ** #</t>
  </si>
  <si>
    <t>INE562A16OI3</t>
  </si>
  <si>
    <t>HDFC Bank Ltd (12/03/2026) ** #</t>
  </si>
  <si>
    <t>INE040A16GN6</t>
  </si>
  <si>
    <t>Commercial Paper</t>
  </si>
  <si>
    <t>Export-Import Bank Of India (17/11/2025) **</t>
  </si>
  <si>
    <t>INE514E14SJ0</t>
  </si>
  <si>
    <t>SBI Cards and Payment Services Ltd (12/12/2025) **</t>
  </si>
  <si>
    <t>INE018E14PQ3</t>
  </si>
  <si>
    <t>Aditya Birla Capital Ltd (17/09/2025) **</t>
  </si>
  <si>
    <t>INE860H144D4</t>
  </si>
  <si>
    <t>ICICI Securities Ltd (27/02/2026) **</t>
  </si>
  <si>
    <t>INE763G14XI0</t>
  </si>
  <si>
    <t>ICICI Securities Ltd (20/03/2026) **</t>
  </si>
  <si>
    <t>INE763G14XY7</t>
  </si>
  <si>
    <t>Reliance Jio Infocomm Ltd (20/08/2025) **</t>
  </si>
  <si>
    <t>INE110L14UA7</t>
  </si>
  <si>
    <t>Treasury Bill</t>
  </si>
  <si>
    <t>364 DTB (16-OCT-2025)</t>
  </si>
  <si>
    <t>IN002024Z271</t>
  </si>
  <si>
    <t xml:space="preserve"> Sovereign</t>
  </si>
  <si>
    <t>Government Bonds</t>
  </si>
  <si>
    <t>GOI FRB 2033 (22-SEP-2033)</t>
  </si>
  <si>
    <t>IN0020200120</t>
  </si>
  <si>
    <t>Sovereign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</si>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</sst>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5" xfId="1" applyFont="1" applyFill="1" applyBorder="1" applyAlignment="1">
      <alignment horizontal="center" vertical="center"/>
    </xf>
    <xf numFmtId="164" fontId="3" fillId="3" borderId="10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center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9" fillId="4" borderId="13" xfId="0" applyFont="1" applyFill="1" applyBorder="1" applyAlignment="1">
      <alignment horizontal="center" vertical="center"/>
    </xf>
    <xf numFmtId="0" fontId="9" fillId="3" borderId="14" xfId="0" applyFont="1" applyFill="1" applyBorder="1"/>
    <xf numFmtId="4" fontId="9" fillId="3" borderId="15" xfId="0" applyNumberFormat="1" applyFont="1" applyFill="1" applyBorder="1"/>
    <xf numFmtId="4" fontId="9" fillId="3" borderId="14" xfId="0" applyNumberFormat="1" applyFont="1" applyFill="1" applyBorder="1"/>
    <xf numFmtId="0" fontId="9" fillId="3" borderId="0" xfId="0" applyFont="1" applyFill="1"/>
    <xf numFmtId="164" fontId="3" fillId="3" borderId="13" xfId="1" applyFont="1" applyFill="1" applyBorder="1" applyAlignment="1">
      <alignment horizontal="center" vertical="center"/>
    </xf>
    <xf numFmtId="0" fontId="9" fillId="3" borderId="16" xfId="0" applyFont="1" applyFill="1" applyBorder="1"/>
    <xf numFmtId="4" fontId="9" fillId="3" borderId="16" xfId="0" applyNumberFormat="1" applyFont="1" applyFill="1" applyBorder="1"/>
    <xf numFmtId="164" fontId="3" fillId="3" borderId="0" xfId="1" applyFont="1" applyFill="1" applyAlignment="1"/>
    <xf numFmtId="164" fontId="3" fillId="3" borderId="0" xfId="1" applyFont="1" applyFill="1"/>
    <xf numFmtId="4" fontId="9" fillId="3" borderId="17" xfId="0" applyNumberFormat="1" applyFont="1" applyFill="1" applyBorder="1"/>
    <xf numFmtId="4" fontId="9" fillId="3" borderId="11" xfId="0" applyNumberFormat="1" applyFont="1" applyFill="1" applyBorder="1"/>
    <xf numFmtId="0" fontId="3" fillId="3" borderId="18" xfId="0" applyFont="1" applyFill="1" applyBorder="1"/>
    <xf numFmtId="3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7" xfId="0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24C5-49AA-427D-B2A6-7F06D6F7EE96}">
  <dimension ref="B1:R59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28515625" style="3" bestFit="1" customWidth="1"/>
    <col min="3" max="3" width="13.5703125" style="3" bestFit="1" customWidth="1"/>
    <col min="4" max="4" width="22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.140625" style="3"/>
    <col min="10" max="10" width="31.5703125" style="3" customWidth="1"/>
    <col min="11" max="11" width="35.5703125" style="3" customWidth="1"/>
    <col min="12" max="13" width="31.42578125" style="3" customWidth="1"/>
    <col min="14" max="14" width="9.140625" style="3"/>
    <col min="15" max="15" width="12.5703125" style="3" customWidth="1"/>
    <col min="16" max="16384" width="9.140625" style="3"/>
  </cols>
  <sheetData>
    <row r="1" spans="2:18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8" ht="16.5" thickBot="1" x14ac:dyDescent="0.25">
      <c r="B3" s="4" t="s">
        <v>1</v>
      </c>
      <c r="C3" s="5"/>
      <c r="D3" s="6"/>
      <c r="E3" s="6"/>
      <c r="F3" s="7"/>
      <c r="G3" s="7"/>
    </row>
    <row r="4" spans="2:18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 x14ac:dyDescent="0.2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4" x14ac:dyDescent="0.2">
      <c r="B6" s="24" t="s">
        <v>19</v>
      </c>
      <c r="C6" s="25"/>
      <c r="D6" s="25"/>
      <c r="E6" s="25"/>
      <c r="F6" s="26"/>
      <c r="G6" s="26"/>
      <c r="H6" s="26"/>
      <c r="J6" s="27"/>
      <c r="K6" s="21"/>
      <c r="L6" s="27"/>
      <c r="M6" s="21"/>
      <c r="O6" s="28" t="s">
        <v>20</v>
      </c>
      <c r="P6" s="29"/>
      <c r="Q6" s="29"/>
      <c r="R6" s="29"/>
    </row>
    <row r="7" spans="2:18" x14ac:dyDescent="0.2">
      <c r="B7" s="25" t="s">
        <v>21</v>
      </c>
      <c r="C7" s="25" t="s">
        <v>22</v>
      </c>
      <c r="D7" s="25" t="s">
        <v>23</v>
      </c>
      <c r="E7" s="30">
        <v>500</v>
      </c>
      <c r="F7" s="26">
        <v>5014.53</v>
      </c>
      <c r="G7" s="26">
        <v>6.98</v>
      </c>
      <c r="H7" s="26">
        <v>6.1</v>
      </c>
      <c r="J7" s="27"/>
      <c r="K7" s="21"/>
      <c r="L7" s="27"/>
      <c r="M7" s="21"/>
      <c r="O7" s="31" t="s">
        <v>24</v>
      </c>
      <c r="P7" s="32"/>
      <c r="Q7" s="33" t="s">
        <v>25</v>
      </c>
      <c r="R7" s="32"/>
    </row>
    <row r="8" spans="2:18" x14ac:dyDescent="0.2">
      <c r="B8" s="25" t="s">
        <v>26</v>
      </c>
      <c r="C8" s="25" t="s">
        <v>27</v>
      </c>
      <c r="D8" s="25" t="s">
        <v>23</v>
      </c>
      <c r="E8" s="30">
        <v>400</v>
      </c>
      <c r="F8" s="26">
        <v>4017.06</v>
      </c>
      <c r="G8" s="26">
        <v>5.59</v>
      </c>
      <c r="H8" s="26">
        <v>6.29</v>
      </c>
      <c r="J8" s="27"/>
      <c r="K8" s="21"/>
      <c r="L8" s="27"/>
      <c r="M8" s="21"/>
      <c r="O8" s="31"/>
      <c r="P8" s="34"/>
      <c r="Q8" s="35"/>
      <c r="R8" s="34"/>
    </row>
    <row r="9" spans="2:18" x14ac:dyDescent="0.2">
      <c r="B9" s="25" t="s">
        <v>28</v>
      </c>
      <c r="C9" s="25" t="s">
        <v>29</v>
      </c>
      <c r="D9" s="25" t="s">
        <v>23</v>
      </c>
      <c r="E9" s="30">
        <v>250</v>
      </c>
      <c r="F9" s="26">
        <v>2520.0700000000002</v>
      </c>
      <c r="G9" s="26">
        <v>3.51</v>
      </c>
      <c r="H9" s="26">
        <v>6.39</v>
      </c>
      <c r="J9" s="27"/>
      <c r="K9" s="21"/>
      <c r="L9" s="27"/>
      <c r="M9" s="21"/>
      <c r="O9" s="31" t="s">
        <v>30</v>
      </c>
      <c r="P9" s="32"/>
      <c r="Q9" s="32"/>
      <c r="R9" s="32"/>
    </row>
    <row r="10" spans="2:18" x14ac:dyDescent="0.2">
      <c r="B10" s="25" t="s">
        <v>31</v>
      </c>
      <c r="C10" s="25" t="s">
        <v>32</v>
      </c>
      <c r="D10" s="25" t="s">
        <v>23</v>
      </c>
      <c r="E10" s="30">
        <v>250</v>
      </c>
      <c r="F10" s="26">
        <v>2510.86</v>
      </c>
      <c r="G10" s="26">
        <v>3.5</v>
      </c>
      <c r="H10" s="26">
        <v>6.3</v>
      </c>
      <c r="J10" s="27"/>
      <c r="K10" s="21"/>
      <c r="L10" s="27"/>
      <c r="M10" s="21"/>
      <c r="O10" s="31"/>
      <c r="P10" s="34"/>
      <c r="Q10" s="34"/>
      <c r="R10" s="34"/>
    </row>
    <row r="11" spans="2:18" x14ac:dyDescent="0.2">
      <c r="B11" s="25" t="s">
        <v>33</v>
      </c>
      <c r="C11" s="25" t="s">
        <v>34</v>
      </c>
      <c r="D11" s="25" t="s">
        <v>23</v>
      </c>
      <c r="E11" s="30">
        <v>200</v>
      </c>
      <c r="F11" s="26">
        <v>2009.95</v>
      </c>
      <c r="G11" s="26">
        <v>2.8</v>
      </c>
      <c r="H11" s="26">
        <v>6.42</v>
      </c>
      <c r="J11" s="27"/>
      <c r="K11" s="21"/>
      <c r="L11" s="27"/>
      <c r="M11" s="21"/>
      <c r="O11" s="31" t="s">
        <v>35</v>
      </c>
      <c r="P11" s="32"/>
      <c r="Q11" s="32"/>
      <c r="R11" s="32"/>
    </row>
    <row r="12" spans="2:18" x14ac:dyDescent="0.2">
      <c r="B12" s="36" t="s">
        <v>36</v>
      </c>
      <c r="C12" s="36"/>
      <c r="D12" s="36"/>
      <c r="E12" s="36"/>
      <c r="F12" s="37">
        <f>SUM(F6:F11)</f>
        <v>16072.470000000001</v>
      </c>
      <c r="G12" s="37">
        <f>SUM(G6:G11)</f>
        <v>22.38</v>
      </c>
      <c r="H12" s="38"/>
      <c r="I12" s="39"/>
      <c r="J12" s="40"/>
      <c r="K12" s="21"/>
      <c r="L12" s="40"/>
      <c r="M12" s="21"/>
      <c r="O12" s="31"/>
      <c r="P12" s="34"/>
      <c r="Q12" s="34"/>
      <c r="R12" s="34"/>
    </row>
    <row r="13" spans="2:18" x14ac:dyDescent="0.2">
      <c r="B13" s="41" t="s">
        <v>37</v>
      </c>
      <c r="C13" s="41"/>
      <c r="D13" s="41"/>
      <c r="E13" s="41"/>
      <c r="F13" s="42">
        <f>F12</f>
        <v>16072.470000000001</v>
      </c>
      <c r="G13" s="42">
        <f>G12</f>
        <v>22.38</v>
      </c>
      <c r="H13" s="42"/>
      <c r="I13" s="39"/>
      <c r="J13" s="43"/>
      <c r="K13" s="43" t="s">
        <v>38</v>
      </c>
      <c r="L13" s="44"/>
      <c r="M13" s="44"/>
    </row>
    <row r="14" spans="2:18" x14ac:dyDescent="0.2">
      <c r="B14" s="24" t="s">
        <v>39</v>
      </c>
      <c r="C14" s="25"/>
      <c r="D14" s="25"/>
      <c r="E14" s="25"/>
      <c r="F14" s="26"/>
      <c r="G14" s="26"/>
      <c r="H14" s="26"/>
    </row>
    <row r="15" spans="2:18" x14ac:dyDescent="0.2">
      <c r="B15" s="24" t="s">
        <v>40</v>
      </c>
      <c r="C15" s="25"/>
      <c r="D15" s="25"/>
      <c r="E15" s="25"/>
      <c r="F15" s="26"/>
      <c r="G15" s="26"/>
      <c r="H15" s="26"/>
    </row>
    <row r="16" spans="2:18" x14ac:dyDescent="0.2">
      <c r="B16" s="25" t="s">
        <v>41</v>
      </c>
      <c r="C16" s="25" t="s">
        <v>42</v>
      </c>
      <c r="D16" s="25" t="s">
        <v>43</v>
      </c>
      <c r="E16" s="30">
        <v>1000</v>
      </c>
      <c r="F16" s="26">
        <v>4917.53</v>
      </c>
      <c r="G16" s="26">
        <v>6.85</v>
      </c>
      <c r="H16" s="26">
        <v>5.83</v>
      </c>
    </row>
    <row r="17" spans="2:9" x14ac:dyDescent="0.2">
      <c r="B17" s="25" t="s">
        <v>44</v>
      </c>
      <c r="C17" s="25" t="s">
        <v>45</v>
      </c>
      <c r="D17" s="25" t="s">
        <v>46</v>
      </c>
      <c r="E17" s="30">
        <v>1000</v>
      </c>
      <c r="F17" s="26">
        <v>4899.04</v>
      </c>
      <c r="G17" s="26">
        <v>6.82</v>
      </c>
      <c r="H17" s="26">
        <v>5.97</v>
      </c>
    </row>
    <row r="18" spans="2:9" x14ac:dyDescent="0.2">
      <c r="B18" s="25" t="s">
        <v>47</v>
      </c>
      <c r="C18" s="25" t="s">
        <v>48</v>
      </c>
      <c r="D18" s="25" t="s">
        <v>49</v>
      </c>
      <c r="E18" s="30">
        <v>1000</v>
      </c>
      <c r="F18" s="26">
        <v>4895.72</v>
      </c>
      <c r="G18" s="26">
        <v>6.82</v>
      </c>
      <c r="H18" s="26">
        <v>5.89</v>
      </c>
    </row>
    <row r="19" spans="2:9" x14ac:dyDescent="0.2">
      <c r="B19" s="25" t="s">
        <v>50</v>
      </c>
      <c r="C19" s="25" t="s">
        <v>51</v>
      </c>
      <c r="D19" s="25" t="s">
        <v>43</v>
      </c>
      <c r="E19" s="30">
        <v>500</v>
      </c>
      <c r="F19" s="26">
        <v>2479.79</v>
      </c>
      <c r="G19" s="26">
        <v>3.45</v>
      </c>
      <c r="H19" s="26">
        <v>5.72</v>
      </c>
    </row>
    <row r="20" spans="2:9" x14ac:dyDescent="0.2">
      <c r="B20" s="25" t="s">
        <v>52</v>
      </c>
      <c r="C20" s="25" t="s">
        <v>53</v>
      </c>
      <c r="D20" s="25" t="s">
        <v>49</v>
      </c>
      <c r="E20" s="30">
        <v>500</v>
      </c>
      <c r="F20" s="26">
        <v>2458.5700000000002</v>
      </c>
      <c r="G20" s="26">
        <v>3.42</v>
      </c>
      <c r="H20" s="26">
        <v>5.91</v>
      </c>
    </row>
    <row r="21" spans="2:9" x14ac:dyDescent="0.2">
      <c r="B21" s="25" t="s">
        <v>54</v>
      </c>
      <c r="C21" s="25" t="s">
        <v>55</v>
      </c>
      <c r="D21" s="25" t="s">
        <v>56</v>
      </c>
      <c r="E21" s="30">
        <v>500</v>
      </c>
      <c r="F21" s="26">
        <v>2448</v>
      </c>
      <c r="G21" s="26">
        <v>3.41</v>
      </c>
      <c r="H21" s="26">
        <v>5.92</v>
      </c>
    </row>
    <row r="22" spans="2:9" x14ac:dyDescent="0.2">
      <c r="B22" s="25" t="s">
        <v>57</v>
      </c>
      <c r="C22" s="25" t="s">
        <v>58</v>
      </c>
      <c r="D22" s="25" t="s">
        <v>49</v>
      </c>
      <c r="E22" s="30">
        <v>500</v>
      </c>
      <c r="F22" s="26">
        <v>2413.5300000000002</v>
      </c>
      <c r="G22" s="26">
        <v>3.36</v>
      </c>
      <c r="H22" s="26">
        <v>6.08</v>
      </c>
    </row>
    <row r="23" spans="2:9" x14ac:dyDescent="0.2">
      <c r="B23" s="25" t="s">
        <v>59</v>
      </c>
      <c r="C23" s="25" t="s">
        <v>60</v>
      </c>
      <c r="D23" s="25" t="s">
        <v>49</v>
      </c>
      <c r="E23" s="30">
        <v>500</v>
      </c>
      <c r="F23" s="26">
        <v>2411.17</v>
      </c>
      <c r="G23" s="26">
        <v>3.36</v>
      </c>
      <c r="H23" s="26">
        <v>6.03</v>
      </c>
    </row>
    <row r="24" spans="2:9" x14ac:dyDescent="0.2">
      <c r="B24" s="25" t="s">
        <v>61</v>
      </c>
      <c r="C24" s="25" t="s">
        <v>62</v>
      </c>
      <c r="D24" s="25" t="s">
        <v>46</v>
      </c>
      <c r="E24" s="30">
        <v>500</v>
      </c>
      <c r="F24" s="26">
        <v>2410.3200000000002</v>
      </c>
      <c r="G24" s="26">
        <v>3.36</v>
      </c>
      <c r="H24" s="26">
        <v>6.09</v>
      </c>
    </row>
    <row r="25" spans="2:9" x14ac:dyDescent="0.2">
      <c r="B25" s="24" t="s">
        <v>36</v>
      </c>
      <c r="C25" s="24"/>
      <c r="D25" s="24"/>
      <c r="E25" s="24"/>
      <c r="F25" s="45">
        <f>SUM(F15:F24)</f>
        <v>29333.67</v>
      </c>
      <c r="G25" s="45">
        <f>SUM(G15:G24)</f>
        <v>40.85</v>
      </c>
      <c r="H25" s="46"/>
      <c r="I25" s="39"/>
    </row>
    <row r="26" spans="2:9" x14ac:dyDescent="0.2">
      <c r="B26" s="24" t="s">
        <v>63</v>
      </c>
      <c r="C26" s="25"/>
      <c r="D26" s="25"/>
      <c r="E26" s="25"/>
      <c r="F26" s="26"/>
      <c r="G26" s="26"/>
      <c r="H26" s="26"/>
    </row>
    <row r="27" spans="2:9" x14ac:dyDescent="0.2">
      <c r="B27" s="25" t="s">
        <v>64</v>
      </c>
      <c r="C27" s="25" t="s">
        <v>65</v>
      </c>
      <c r="D27" s="25" t="s">
        <v>49</v>
      </c>
      <c r="E27" s="30">
        <v>1000</v>
      </c>
      <c r="F27" s="26">
        <v>4913.6400000000003</v>
      </c>
      <c r="G27" s="26">
        <v>6.84</v>
      </c>
      <c r="H27" s="26">
        <v>5.94</v>
      </c>
    </row>
    <row r="28" spans="2:9" x14ac:dyDescent="0.2">
      <c r="B28" s="25" t="s">
        <v>66</v>
      </c>
      <c r="C28" s="25" t="s">
        <v>67</v>
      </c>
      <c r="D28" s="25" t="s">
        <v>49</v>
      </c>
      <c r="E28" s="30">
        <v>1000</v>
      </c>
      <c r="F28" s="26">
        <v>4884.0600000000004</v>
      </c>
      <c r="G28" s="26">
        <v>6.8</v>
      </c>
      <c r="H28" s="26">
        <v>6.52</v>
      </c>
    </row>
    <row r="29" spans="2:9" x14ac:dyDescent="0.2">
      <c r="B29" s="25" t="s">
        <v>68</v>
      </c>
      <c r="C29" s="25" t="s">
        <v>69</v>
      </c>
      <c r="D29" s="25" t="s">
        <v>43</v>
      </c>
      <c r="E29" s="30">
        <v>500</v>
      </c>
      <c r="F29" s="26">
        <v>2480.52</v>
      </c>
      <c r="G29" s="26">
        <v>3.45</v>
      </c>
      <c r="H29" s="26">
        <v>6.1</v>
      </c>
    </row>
    <row r="30" spans="2:9" x14ac:dyDescent="0.2">
      <c r="B30" s="25" t="s">
        <v>70</v>
      </c>
      <c r="C30" s="25" t="s">
        <v>71</v>
      </c>
      <c r="D30" s="25" t="s">
        <v>49</v>
      </c>
      <c r="E30" s="30">
        <v>500</v>
      </c>
      <c r="F30" s="26">
        <v>2410.88</v>
      </c>
      <c r="G30" s="26">
        <v>3.36</v>
      </c>
      <c r="H30" s="26">
        <v>6.43</v>
      </c>
    </row>
    <row r="31" spans="2:9" x14ac:dyDescent="0.2">
      <c r="B31" s="25" t="s">
        <v>72</v>
      </c>
      <c r="C31" s="25" t="s">
        <v>73</v>
      </c>
      <c r="D31" s="25" t="s">
        <v>49</v>
      </c>
      <c r="E31" s="30">
        <v>500</v>
      </c>
      <c r="F31" s="26">
        <v>2402.3200000000002</v>
      </c>
      <c r="G31" s="26">
        <v>3.35</v>
      </c>
      <c r="H31" s="26">
        <v>6.43</v>
      </c>
    </row>
    <row r="32" spans="2:9" x14ac:dyDescent="0.2">
      <c r="B32" s="25" t="s">
        <v>74</v>
      </c>
      <c r="C32" s="25" t="s">
        <v>75</v>
      </c>
      <c r="D32" s="25" t="s">
        <v>49</v>
      </c>
      <c r="E32" s="30">
        <v>400</v>
      </c>
      <c r="F32" s="26">
        <v>1993.94</v>
      </c>
      <c r="G32" s="26">
        <v>2.78</v>
      </c>
      <c r="H32" s="26">
        <v>5.84</v>
      </c>
    </row>
    <row r="33" spans="2:9" x14ac:dyDescent="0.2">
      <c r="B33" s="24" t="s">
        <v>36</v>
      </c>
      <c r="C33" s="24"/>
      <c r="D33" s="24"/>
      <c r="E33" s="24"/>
      <c r="F33" s="45">
        <f>SUM(F26:F32)</f>
        <v>19085.36</v>
      </c>
      <c r="G33" s="45">
        <f>SUM(G26:G32)</f>
        <v>26.580000000000002</v>
      </c>
      <c r="H33" s="46"/>
      <c r="I33" s="39"/>
    </row>
    <row r="34" spans="2:9" x14ac:dyDescent="0.2">
      <c r="B34" s="24" t="s">
        <v>76</v>
      </c>
      <c r="C34" s="25"/>
      <c r="D34" s="25"/>
      <c r="E34" s="25"/>
      <c r="F34" s="26"/>
      <c r="G34" s="26"/>
      <c r="H34" s="26"/>
    </row>
    <row r="35" spans="2:9" x14ac:dyDescent="0.2">
      <c r="B35" s="25" t="s">
        <v>77</v>
      </c>
      <c r="C35" s="25" t="s">
        <v>78</v>
      </c>
      <c r="D35" s="25" t="s">
        <v>79</v>
      </c>
      <c r="E35" s="30">
        <v>2000000</v>
      </c>
      <c r="F35" s="26">
        <v>1977.84</v>
      </c>
      <c r="G35" s="26">
        <v>2.75</v>
      </c>
      <c r="H35" s="26">
        <v>5.38</v>
      </c>
    </row>
    <row r="36" spans="2:9" x14ac:dyDescent="0.2">
      <c r="B36" s="36" t="s">
        <v>36</v>
      </c>
      <c r="C36" s="36"/>
      <c r="D36" s="36"/>
      <c r="E36" s="36"/>
      <c r="F36" s="37">
        <f>SUM(F34:F35)</f>
        <v>1977.84</v>
      </c>
      <c r="G36" s="37">
        <f>SUM(G34:G35)</f>
        <v>2.75</v>
      </c>
      <c r="H36" s="38"/>
      <c r="I36" s="39"/>
    </row>
    <row r="37" spans="2:9" x14ac:dyDescent="0.2">
      <c r="B37" s="41" t="s">
        <v>37</v>
      </c>
      <c r="C37" s="41"/>
      <c r="D37" s="41"/>
      <c r="E37" s="41"/>
      <c r="F37" s="42">
        <f>F25+F33+F36</f>
        <v>50396.869999999995</v>
      </c>
      <c r="G37" s="42">
        <f>G25+G33+G36</f>
        <v>70.180000000000007</v>
      </c>
      <c r="H37" s="42"/>
      <c r="I37" s="39"/>
    </row>
    <row r="38" spans="2:9" x14ac:dyDescent="0.2">
      <c r="B38" s="24" t="s">
        <v>80</v>
      </c>
      <c r="C38" s="25"/>
      <c r="D38" s="25"/>
      <c r="E38" s="25"/>
      <c r="F38" s="26"/>
      <c r="G38" s="26"/>
      <c r="H38" s="26"/>
    </row>
    <row r="39" spans="2:9" x14ac:dyDescent="0.2">
      <c r="B39" s="47" t="s">
        <v>81</v>
      </c>
      <c r="C39" s="47" t="s">
        <v>82</v>
      </c>
      <c r="D39" s="47" t="s">
        <v>83</v>
      </c>
      <c r="E39" s="48">
        <v>500000</v>
      </c>
      <c r="F39" s="49">
        <v>519.75</v>
      </c>
      <c r="G39" s="49">
        <v>0.72</v>
      </c>
      <c r="H39" s="49">
        <v>7.16</v>
      </c>
    </row>
    <row r="40" spans="2:9" x14ac:dyDescent="0.2">
      <c r="B40" s="50" t="s">
        <v>37</v>
      </c>
      <c r="C40" s="50"/>
      <c r="D40" s="50"/>
      <c r="E40" s="50"/>
      <c r="F40" s="45">
        <f>SUM(F39:F39)</f>
        <v>519.75</v>
      </c>
      <c r="G40" s="45">
        <f>SUM(G39:G39)</f>
        <v>0.72</v>
      </c>
      <c r="H40" s="45"/>
      <c r="I40" s="39"/>
    </row>
    <row r="41" spans="2:9" x14ac:dyDescent="0.2">
      <c r="B41" s="24" t="s">
        <v>84</v>
      </c>
      <c r="C41" s="25"/>
      <c r="D41" s="25"/>
      <c r="E41" s="25"/>
      <c r="F41" s="26"/>
      <c r="G41" s="26"/>
      <c r="H41" s="26"/>
    </row>
    <row r="42" spans="2:9" x14ac:dyDescent="0.2">
      <c r="B42" s="47" t="s">
        <v>85</v>
      </c>
      <c r="C42" s="47" t="s">
        <v>86</v>
      </c>
      <c r="D42" s="47" t="s">
        <v>84</v>
      </c>
      <c r="E42" s="48">
        <v>1529.0239999999999</v>
      </c>
      <c r="F42" s="49">
        <v>172.62</v>
      </c>
      <c r="G42" s="49">
        <v>0.24</v>
      </c>
      <c r="H42" s="49">
        <v>5.58</v>
      </c>
    </row>
    <row r="43" spans="2:9" x14ac:dyDescent="0.2">
      <c r="B43" s="50" t="s">
        <v>37</v>
      </c>
      <c r="C43" s="50"/>
      <c r="D43" s="50"/>
      <c r="E43" s="50"/>
      <c r="F43" s="45">
        <f>SUM(F42:F42)</f>
        <v>172.62</v>
      </c>
      <c r="G43" s="45">
        <f>SUM(G42:G42)</f>
        <v>0.24</v>
      </c>
      <c r="H43" s="45"/>
      <c r="I43" s="39"/>
    </row>
    <row r="44" spans="2:9" x14ac:dyDescent="0.2">
      <c r="B44" s="24" t="s">
        <v>87</v>
      </c>
      <c r="C44" s="25"/>
      <c r="D44" s="25"/>
      <c r="E44" s="25"/>
      <c r="F44" s="26"/>
      <c r="G44" s="26"/>
      <c r="H44" s="26"/>
    </row>
    <row r="45" spans="2:9" x14ac:dyDescent="0.2">
      <c r="B45" s="25" t="s">
        <v>87</v>
      </c>
      <c r="C45" s="25"/>
      <c r="D45" s="25"/>
      <c r="E45" s="25"/>
      <c r="F45" s="26">
        <v>4126.1099999999997</v>
      </c>
      <c r="G45" s="26">
        <v>5.75</v>
      </c>
      <c r="H45" s="26"/>
    </row>
    <row r="46" spans="2:9" x14ac:dyDescent="0.2">
      <c r="B46" s="36" t="s">
        <v>36</v>
      </c>
      <c r="C46" s="36"/>
      <c r="D46" s="36"/>
      <c r="E46" s="36"/>
      <c r="F46" s="37">
        <f>SUM(F44:F45)</f>
        <v>4126.1099999999997</v>
      </c>
      <c r="G46" s="37">
        <f>SUM(G44:G45)</f>
        <v>5.75</v>
      </c>
      <c r="H46" s="38"/>
      <c r="I46" s="39"/>
    </row>
    <row r="47" spans="2:9" x14ac:dyDescent="0.2">
      <c r="B47" s="51" t="s">
        <v>37</v>
      </c>
      <c r="C47" s="51"/>
      <c r="D47" s="51"/>
      <c r="E47" s="51"/>
      <c r="F47" s="52">
        <f>F46</f>
        <v>4126.1099999999997</v>
      </c>
      <c r="G47" s="52">
        <f>G46</f>
        <v>5.75</v>
      </c>
      <c r="H47" s="52"/>
      <c r="I47" s="39"/>
    </row>
    <row r="48" spans="2:9" x14ac:dyDescent="0.2">
      <c r="B48" s="53" t="s">
        <v>88</v>
      </c>
      <c r="C48" s="53"/>
      <c r="D48" s="53"/>
      <c r="E48" s="53"/>
      <c r="F48" s="54">
        <f>F49-(+F13+F37+F40+F43+F47)</f>
        <v>525.19000000000233</v>
      </c>
      <c r="G48" s="54">
        <f>G49-(+G13+G37+G40+G43+G47)</f>
        <v>0.73000000000000398</v>
      </c>
      <c r="H48" s="54"/>
      <c r="I48" s="39"/>
    </row>
    <row r="49" spans="2:9" x14ac:dyDescent="0.2">
      <c r="B49" s="53" t="s">
        <v>89</v>
      </c>
      <c r="C49" s="53"/>
      <c r="D49" s="53"/>
      <c r="E49" s="53"/>
      <c r="F49" s="54">
        <v>71813.009999999995</v>
      </c>
      <c r="G49" s="54">
        <v>100</v>
      </c>
      <c r="H49" s="54"/>
      <c r="I49" s="39"/>
    </row>
    <row r="51" spans="2:9" x14ac:dyDescent="0.2">
      <c r="B51" s="39" t="s">
        <v>90</v>
      </c>
    </row>
    <row r="52" spans="2:9" x14ac:dyDescent="0.2">
      <c r="B52" s="39" t="s">
        <v>91</v>
      </c>
    </row>
    <row r="53" spans="2:9" ht="12.75" thickBot="1" x14ac:dyDescent="0.25"/>
    <row r="54" spans="2:9" ht="13.5" thickTop="1" thickBot="1" x14ac:dyDescent="0.25">
      <c r="B54" s="55" t="s">
        <v>92</v>
      </c>
      <c r="C54" s="56">
        <v>0.3332</v>
      </c>
    </row>
    <row r="55" spans="2:9" ht="13.5" thickTop="1" thickBot="1" x14ac:dyDescent="0.25"/>
    <row r="56" spans="2:9" ht="13.5" thickTop="1" thickBot="1" x14ac:dyDescent="0.25">
      <c r="B56" s="55" t="s">
        <v>93</v>
      </c>
      <c r="C56" s="57">
        <v>6.0400000000000002E-2</v>
      </c>
    </row>
    <row r="57" spans="2:9" ht="13.5" thickTop="1" thickBot="1" x14ac:dyDescent="0.25"/>
    <row r="58" spans="2:9" ht="13.5" thickTop="1" thickBot="1" x14ac:dyDescent="0.25">
      <c r="B58" s="55" t="s">
        <v>94</v>
      </c>
      <c r="C58" s="56">
        <v>0.35299999999999998</v>
      </c>
    </row>
    <row r="59" spans="2:9" ht="12.75" thickTop="1" x14ac:dyDescent="0.2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2025-08-06 15:50:20</KDate>
  <Classification>MIS Internal</Classification>
  <Subclassification/>
  <HostName>MUMCMP01323</HostName>
  <Domain_User>CANARAROBECOMF/628</Domain_User>
  <IPAdd>192.9.198.196</IPAdd>
  <FilePath>Book22</FilePath>
  <KID>109819A0F0A5638900922203990624</KID>
  <UniqueName/>
  <Suggested/>
  <Justification/>
</Klassify>
</file>

<file path=customXml/itemProps1.xml><?xml version="1.0" encoding="utf-8"?>
<ds:datastoreItem xmlns:ds="http://schemas.openxmlformats.org/officeDocument/2006/customXml" ds:itemID="{52A1BCC7-489A-493E-84D7-7DAB74194F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2025-08-06T10:20:13Z</dcterms:created>
  <dcterms:modified xsi:type="dcterms:W3CDTF">2025-08-06T10:20:20Z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109819A0F0A5638900922203990624</vt:lpwstr>
  </property>
</Properties>
</file>