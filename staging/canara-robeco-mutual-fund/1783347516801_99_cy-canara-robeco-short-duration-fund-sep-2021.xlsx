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5" i="1"/>
  <c r="F65" i="1"/>
  <c r="G48" i="1"/>
  <c r="G49" i="1" s="1"/>
  <c r="F48" i="1"/>
  <c r="F49" i="1" s="1"/>
  <c r="G42" i="1"/>
  <c r="G43" i="1" s="1"/>
  <c r="F42" i="1"/>
  <c r="F43" i="1" s="1"/>
  <c r="F70" i="1" l="1"/>
  <c r="G70" i="1"/>
</calcChain>
</file>

<file path=xl/sharedStrings.xml><?xml version="1.0" encoding="utf-8"?>
<sst xmlns="http://schemas.openxmlformats.org/spreadsheetml/2006/main" count="183" uniqueCount="131">
  <si>
    <t>CANARA ROBECO SHORT DURATION FUND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</si>
  <si>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</si>
  <si>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</si>
  <si>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</si>
  <si>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</si>
  <si>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</si>
  <si>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</si>
  <si>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</si>
  <si>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</si>
  <si>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Revised Risk-o-meter Level- Aug'21</t>
  </si>
  <si>
    <t>Revised Risk-o-meter Level- Sep'21</t>
  </si>
  <si>
    <t>Benchmark Risk-o-meter Level- Sep'21</t>
  </si>
  <si>
    <t>Debt Instruments</t>
  </si>
  <si>
    <t>(a) Listed / awaiting listing on Stock Exchanges</t>
  </si>
  <si>
    <t>5.05% Indian Oil Corporation Ltd (25/11/2022) **</t>
  </si>
  <si>
    <t>INE242A08460</t>
  </si>
  <si>
    <t>CRISIL AAA</t>
  </si>
  <si>
    <t>7.09% REC Ltd (13/12/2022) **</t>
  </si>
  <si>
    <t>INE020B08CD3</t>
  </si>
  <si>
    <t>7.17% Reliance Industries Ltd (08/11/2022) **</t>
  </si>
  <si>
    <t>INE002A08500</t>
  </si>
  <si>
    <t>6.59% Indian Railway Finance Corporation Ltd (14/04/2023) **</t>
  </si>
  <si>
    <t>INE053F07BZ2</t>
  </si>
  <si>
    <t>CARE AAA</t>
  </si>
  <si>
    <t>7.42% Power Finance Corporation Ltd (19/11/2024) **</t>
  </si>
  <si>
    <t>INE134E08KH0</t>
  </si>
  <si>
    <t>7.20% Housing Development Finance Corporation Ltd (13/04/2023) **</t>
  </si>
  <si>
    <t>INE001A07SJ0</t>
  </si>
  <si>
    <t>7.4450% LIC HOUSING FINANCE LTD13-JAN-23 **</t>
  </si>
  <si>
    <t>INE115A07OJ7</t>
  </si>
  <si>
    <t>Benchmark: CRISIL Short Term Bond Fund Index</t>
  </si>
  <si>
    <t>6.98% National Bank For Agriculture &amp; Rural Development (19/09/2022) **</t>
  </si>
  <si>
    <t>INE261F08BO3</t>
  </si>
  <si>
    <t>6.70% National Bank For Agriculture &amp; Rural Development (11/11/2022) **</t>
  </si>
  <si>
    <t>INE261F08BQ8</t>
  </si>
  <si>
    <t>6.50% Power Finance Corporation Ltd (17/09/2025) **</t>
  </si>
  <si>
    <t>INE134E08LD7</t>
  </si>
  <si>
    <t>7.00% Reliance Industries Ltd (31/08/2022) **</t>
  </si>
  <si>
    <t>INE002A08476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</si>
  <si>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</si>
  <si>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</si>
  <si>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</si>
  <si>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</si>
  <si>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</si>
  <si>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</si>
  <si>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ICRA AAA</t>
  </si>
  <si>
    <t>4.58% Small Industries Development Bank Of India (18/12/2023) **</t>
  </si>
  <si>
    <t>INE556F08JR2</t>
  </si>
  <si>
    <t>7.79% LIC Housing Finance Ltd (18/10/2024) **</t>
  </si>
  <si>
    <t>INE115A07OM1</t>
  </si>
  <si>
    <t>7.40% LIC Housing Finance Ltd (06/09/2024) **</t>
  </si>
  <si>
    <t>INE115A07ML7</t>
  </si>
  <si>
    <t>6.80% Small Industries Development Bank Of India (29/09/2022) **</t>
  </si>
  <si>
    <t>INE556F08JO9</t>
  </si>
  <si>
    <t>8.15% REC Ltd (10/06/2022) **</t>
  </si>
  <si>
    <t>INE020B08BT1</t>
  </si>
  <si>
    <t>7.87% Larsen &amp; Toubro Ltd (18/04/2022)</t>
  </si>
  <si>
    <t>INE018A08AR3</t>
  </si>
  <si>
    <t>5.40% Housing Development Finance Corporation Ltd (11/08/2023)</t>
  </si>
  <si>
    <t>INE001A07SP7</t>
  </si>
  <si>
    <t>7.05% National Housing Bank (18/12/2024) **</t>
  </si>
  <si>
    <t>INE557F08FG1</t>
  </si>
  <si>
    <t>7.24% REC Ltd (31/12/2022) **</t>
  </si>
  <si>
    <t>INE020B08CG6</t>
  </si>
  <si>
    <t>6.99% Small Industries Development Bank Of India (08/08/2022) **</t>
  </si>
  <si>
    <t>INE556F08JN1</t>
  </si>
  <si>
    <t>8.02% Larsen &amp; Toubro Ltd (22/05/2022) **</t>
  </si>
  <si>
    <t>INE018A08AS1</t>
  </si>
  <si>
    <t>7.85% National Bank For Agriculture &amp; Rural Development (23/05/2022) **</t>
  </si>
  <si>
    <t>INE261F08BJ3</t>
  </si>
  <si>
    <t>6.93% UltraTech Cement Ltd (25/11/2021) **</t>
  </si>
  <si>
    <t>INE481G08032</t>
  </si>
  <si>
    <t>8.40% Power Grid Corporation of India Ltd (27/05/2027) **</t>
  </si>
  <si>
    <t>INE752E07MT2</t>
  </si>
  <si>
    <t>8.40% Power Grid Corporation of India Ltd (27/05/2026) **</t>
  </si>
  <si>
    <t>INE752E07MS4</t>
  </si>
  <si>
    <t>7.99% Housing Development Finance Corporation Ltd (11/07/2024) **</t>
  </si>
  <si>
    <t>INE001A07RV7</t>
  </si>
  <si>
    <t>8.50% National Bank For Agriculture &amp; Rural Development (31/01/2023) **</t>
  </si>
  <si>
    <t>INE261F08AT4</t>
  </si>
  <si>
    <t>8.50% LIC Housing Finance Ltd (20/06/2022) **</t>
  </si>
  <si>
    <t>INE115A07OD0</t>
  </si>
  <si>
    <t>6.72% NTPC Ltd (24/11/2021) **</t>
  </si>
  <si>
    <t>INE733E07KH1</t>
  </si>
  <si>
    <t>7.49% Power Grid Corporation of India Ltd (25/10/2024) **</t>
  </si>
  <si>
    <t>INE752E08593</t>
  </si>
  <si>
    <t>8.58% Housing Development Finance Corporation Ltd (18/03/2022) **</t>
  </si>
  <si>
    <t>INE001A07RS3</t>
  </si>
  <si>
    <t>Sub Total</t>
  </si>
  <si>
    <t>Total</t>
  </si>
  <si>
    <t>Money Market Instruments</t>
  </si>
  <si>
    <t>Treasury Bill</t>
  </si>
  <si>
    <t>364 DAYS INDIA TREASURY BILLS 23-DEC-21</t>
  </si>
  <si>
    <t>IN002020Z386</t>
  </si>
  <si>
    <t xml:space="preserve"> Sovereign</t>
  </si>
  <si>
    <t>182 DAYS INDIA TREASURY BILLS 14-OCT-21</t>
  </si>
  <si>
    <t>IN002021Y023</t>
  </si>
  <si>
    <t>Government Bonds</t>
  </si>
  <si>
    <t>6.10% INDIA GOVERNMENT 12-JUL-31</t>
  </si>
  <si>
    <t>IN0020210095</t>
  </si>
  <si>
    <t>Sovereign</t>
  </si>
  <si>
    <t>4.48% GOI (02/11/2023)</t>
  </si>
  <si>
    <t>IN0020200211</t>
  </si>
  <si>
    <t>6.30% INDIA GOVERNMENT 09-APR-23</t>
  </si>
  <si>
    <t>IN0020030014</t>
  </si>
  <si>
    <t>5.63% GOI (12/04/2026)</t>
  </si>
  <si>
    <t>IN0020210012</t>
  </si>
  <si>
    <t>8.75% UTTAR PRADESH SDL 11-JAN-22</t>
  </si>
  <si>
    <t>IN3320110130</t>
  </si>
  <si>
    <t>8.62% MAHARASHTRA SDL 06-MAR-23</t>
  </si>
  <si>
    <t>IN2220120116</t>
  </si>
  <si>
    <t>8.20% GOI (15/02/2022)</t>
  </si>
  <si>
    <t>IN0020060037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</si>
  <si>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</si>
  <si>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</si>
  <si>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</si>
  <si>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</si>
  <si>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</si>
  <si>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</si>
  <si>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8.49% Punjab SDL Uday 31-Mar-22</t>
  </si>
  <si>
    <t>IN2820150273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</si>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</sst>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6" xfId="0" applyFont="1" applyFill="1" applyBorder="1"/>
    <xf numFmtId="0" fontId="2" fillId="3" borderId="6" xfId="0" applyNumberFormat="1" applyFont="1" applyFill="1" applyBorder="1"/>
    <xf numFmtId="4" fontId="2" fillId="3" borderId="6" xfId="0" applyNumberFormat="1" applyFont="1" applyFill="1" applyBorder="1"/>
    <xf numFmtId="0" fontId="2" fillId="3" borderId="7" xfId="0" applyFont="1" applyFill="1" applyBorder="1" applyAlignment="1">
      <alignment horizontal="center"/>
    </xf>
    <xf numFmtId="0" fontId="8" fillId="3" borderId="8" xfId="0" applyFont="1" applyFill="1" applyBorder="1"/>
    <xf numFmtId="0" fontId="2" fillId="3" borderId="8" xfId="0" applyFont="1" applyFill="1" applyBorder="1"/>
    <xf numFmtId="0" fontId="2" fillId="3" borderId="8" xfId="0" applyNumberFormat="1" applyFont="1" applyFill="1" applyBorder="1"/>
    <xf numFmtId="4" fontId="2" fillId="3" borderId="8" xfId="0" applyNumberFormat="1" applyFont="1" applyFill="1" applyBorder="1"/>
    <xf numFmtId="0" fontId="2" fillId="3" borderId="9" xfId="0" applyFont="1" applyFill="1" applyBorder="1" applyAlignment="1">
      <alignment horizontal="center"/>
    </xf>
    <xf numFmtId="3" fontId="2" fillId="3" borderId="8" xfId="0" applyNumberFormat="1" applyFont="1" applyFill="1" applyBorder="1"/>
    <xf numFmtId="0" fontId="2" fillId="3" borderId="10" xfId="0" applyFont="1" applyFill="1" applyBorder="1" applyAlignment="1">
      <alignment horizontal="center"/>
    </xf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2" xfId="0" applyNumberFormat="1" applyFont="1" applyFill="1" applyBorder="1"/>
    <xf numFmtId="4" fontId="8" fillId="3" borderId="11" xfId="0" applyNumberFormat="1" applyFont="1" applyFill="1" applyBorder="1"/>
    <xf numFmtId="0" fontId="8" fillId="3" borderId="0" xfId="0" applyFont="1" applyFill="1"/>
    <xf numFmtId="0" fontId="8" fillId="3" borderId="13" xfId="0" applyFont="1" applyFill="1" applyBorder="1"/>
    <xf numFmtId="0" fontId="8" fillId="3" borderId="13" xfId="0" applyNumberFormat="1" applyFont="1" applyFill="1" applyBorder="1"/>
    <xf numFmtId="4" fontId="8" fillId="3" borderId="13" xfId="0" applyNumberFormat="1" applyFont="1" applyFill="1" applyBorder="1"/>
    <xf numFmtId="0" fontId="2" fillId="3" borderId="14" xfId="0" applyFont="1" applyFill="1" applyBorder="1"/>
    <xf numFmtId="3" fontId="2" fillId="3" borderId="14" xfId="0" applyNumberFormat="1" applyFont="1" applyFill="1" applyBorder="1"/>
    <xf numFmtId="4" fontId="2" fillId="3" borderId="14" xfId="0" applyNumberFormat="1" applyFont="1" applyFill="1" applyBorder="1"/>
    <xf numFmtId="0" fontId="8" fillId="3" borderId="15" xfId="0" applyFont="1" applyFill="1" applyBorder="1"/>
    <xf numFmtId="0" fontId="8" fillId="3" borderId="15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38100</xdr:rowOff>
    </xdr:from>
    <xdr:to>
      <xdr:col>9</xdr:col>
      <xdr:colOff>1647889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9000A-EE61-4052-BBDF-B730D8EE9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4700" y="1047750"/>
          <a:ext cx="1609789" cy="116205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47625</xdr:rowOff>
    </xdr:from>
    <xdr:to>
      <xdr:col>11</xdr:col>
      <xdr:colOff>64</xdr:colOff>
      <xdr:row>11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93184-F817-4761-A0E0-CF08DF9B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8725" y="1057275"/>
          <a:ext cx="1609789" cy="11620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4</xdr:row>
      <xdr:rowOff>47625</xdr:rowOff>
    </xdr:from>
    <xdr:to>
      <xdr:col>11</xdr:col>
      <xdr:colOff>1676399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E17A9B-8F0E-4BC9-B355-60E596A30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06550" y="1057275"/>
          <a:ext cx="1638299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4"/>
  <sheetViews>
    <sheetView tabSelected="1" topLeftCell="D1" workbookViewId="0">
      <selection activeCell="B1" sqref="B1:H1"/>
    </sheetView>
  </sheetViews>
  <sheetFormatPr defaultRowHeight="12"/>
  <cols>
    <col min="1" max="1" width="9.140625" style="3"/>
    <col min="2" max="2" width="61.5703125" style="3" bestFit="1" customWidth="1"/>
    <col min="3" max="3" width="13.7109375" style="3" bestFit="1" customWidth="1"/>
    <col min="4" max="4" width="18.28515625" style="3" bestFit="1" customWidth="1"/>
    <col min="5" max="5" width="22.28515625" style="48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85546875" style="3" customWidth="1"/>
    <col min="11" max="11" width="24.7109375" style="3" customWidth="1"/>
    <col min="12" max="12" width="25.5703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4"/>
      <c r="J6" s="25"/>
      <c r="K6" s="25"/>
      <c r="L6" s="25"/>
    </row>
    <row r="7" spans="2:12">
      <c r="B7" s="22" t="s">
        <v>14</v>
      </c>
      <c r="C7" s="22" t="s">
        <v>15</v>
      </c>
      <c r="D7" s="22" t="s">
        <v>16</v>
      </c>
      <c r="E7" s="26">
        <v>650</v>
      </c>
      <c r="F7" s="24">
        <v>6556.94</v>
      </c>
      <c r="G7" s="24">
        <v>6.75</v>
      </c>
      <c r="H7" s="24">
        <v>4.26</v>
      </c>
      <c r="J7" s="25"/>
      <c r="K7" s="25"/>
      <c r="L7" s="25"/>
    </row>
    <row r="8" spans="2:12">
      <c r="B8" s="22" t="s">
        <v>17</v>
      </c>
      <c r="C8" s="22" t="s">
        <v>18</v>
      </c>
      <c r="D8" s="22" t="s">
        <v>16</v>
      </c>
      <c r="E8" s="26">
        <v>450</v>
      </c>
      <c r="F8" s="24">
        <v>4634.78</v>
      </c>
      <c r="G8" s="24">
        <v>4.7699999999999996</v>
      </c>
      <c r="H8" s="24">
        <v>4.45</v>
      </c>
      <c r="J8" s="25"/>
      <c r="K8" s="25"/>
      <c r="L8" s="25"/>
    </row>
    <row r="9" spans="2:12">
      <c r="B9" s="22" t="s">
        <v>19</v>
      </c>
      <c r="C9" s="22" t="s">
        <v>20</v>
      </c>
      <c r="D9" s="22" t="s">
        <v>16</v>
      </c>
      <c r="E9" s="26">
        <v>350</v>
      </c>
      <c r="F9" s="24">
        <v>3602.94</v>
      </c>
      <c r="G9" s="24">
        <v>3.71</v>
      </c>
      <c r="H9" s="24">
        <v>4.37</v>
      </c>
      <c r="J9" s="25"/>
      <c r="K9" s="25"/>
      <c r="L9" s="25"/>
    </row>
    <row r="10" spans="2:12">
      <c r="B10" s="22" t="s">
        <v>21</v>
      </c>
      <c r="C10" s="22" t="s">
        <v>22</v>
      </c>
      <c r="D10" s="22" t="s">
        <v>23</v>
      </c>
      <c r="E10" s="26">
        <v>350</v>
      </c>
      <c r="F10" s="24">
        <v>3598.78</v>
      </c>
      <c r="G10" s="24">
        <v>3.71</v>
      </c>
      <c r="H10" s="24">
        <v>4.66</v>
      </c>
      <c r="J10" s="25"/>
      <c r="K10" s="25"/>
      <c r="L10" s="25"/>
    </row>
    <row r="11" spans="2:12">
      <c r="B11" s="22" t="s">
        <v>24</v>
      </c>
      <c r="C11" s="22" t="s">
        <v>25</v>
      </c>
      <c r="D11" s="22" t="s">
        <v>16</v>
      </c>
      <c r="E11" s="26">
        <v>250</v>
      </c>
      <c r="F11" s="24">
        <v>2632.06</v>
      </c>
      <c r="G11" s="24">
        <v>2.71</v>
      </c>
      <c r="H11" s="24">
        <v>5.53</v>
      </c>
      <c r="J11" s="25"/>
      <c r="K11" s="25"/>
      <c r="L11" s="25"/>
    </row>
    <row r="12" spans="2:12">
      <c r="B12" s="22" t="s">
        <v>26</v>
      </c>
      <c r="C12" s="22" t="s">
        <v>27</v>
      </c>
      <c r="D12" s="22" t="s">
        <v>16</v>
      </c>
      <c r="E12" s="26">
        <v>250</v>
      </c>
      <c r="F12" s="24">
        <v>2585.56</v>
      </c>
      <c r="G12" s="24">
        <v>2.66</v>
      </c>
      <c r="H12" s="24">
        <v>4.8</v>
      </c>
      <c r="J12" s="27"/>
      <c r="K12" s="27"/>
      <c r="L12" s="27"/>
    </row>
    <row r="13" spans="2:12">
      <c r="B13" s="22" t="s">
        <v>28</v>
      </c>
      <c r="C13" s="22" t="s">
        <v>29</v>
      </c>
      <c r="D13" s="22" t="s">
        <v>16</v>
      </c>
      <c r="E13" s="26">
        <v>250</v>
      </c>
      <c r="F13" s="24">
        <v>2579.65</v>
      </c>
      <c r="G13" s="24">
        <v>2.66</v>
      </c>
      <c r="H13" s="24">
        <v>4.8</v>
      </c>
      <c r="L13" s="3" t="s">
        <v>30</v>
      </c>
    </row>
    <row r="14" spans="2:12">
      <c r="B14" s="22" t="s">
        <v>31</v>
      </c>
      <c r="C14" s="22" t="s">
        <v>32</v>
      </c>
      <c r="D14" s="22" t="s">
        <v>16</v>
      </c>
      <c r="E14" s="26">
        <v>250</v>
      </c>
      <c r="F14" s="24">
        <v>2563.89</v>
      </c>
      <c r="G14" s="24">
        <v>2.64</v>
      </c>
      <c r="H14" s="24">
        <v>4.2300000000000004</v>
      </c>
    </row>
    <row r="15" spans="2:12">
      <c r="B15" s="22" t="s">
        <v>33</v>
      </c>
      <c r="C15" s="22" t="s">
        <v>34</v>
      </c>
      <c r="D15" s="22" t="s">
        <v>16</v>
      </c>
      <c r="E15" s="26">
        <v>250</v>
      </c>
      <c r="F15" s="24">
        <v>2562.12</v>
      </c>
      <c r="G15" s="24">
        <v>2.64</v>
      </c>
      <c r="H15" s="24">
        <v>4.3499999999999996</v>
      </c>
    </row>
    <row r="16" spans="2:12">
      <c r="B16" s="22" t="s">
        <v>35</v>
      </c>
      <c r="C16" s="22" t="s">
        <v>36</v>
      </c>
      <c r="D16" s="22" t="s">
        <v>16</v>
      </c>
      <c r="E16" s="26">
        <v>250</v>
      </c>
      <c r="F16" s="24">
        <v>2561.33</v>
      </c>
      <c r="G16" s="24">
        <v>2.64</v>
      </c>
      <c r="H16" s="24">
        <v>5.79</v>
      </c>
    </row>
    <row r="17" spans="2:8">
      <c r="B17" s="22" t="s">
        <v>37</v>
      </c>
      <c r="C17" s="22" t="s">
        <v>38</v>
      </c>
      <c r="D17" s="22" t="s">
        <v>16</v>
      </c>
      <c r="E17" s="26">
        <v>250</v>
      </c>
      <c r="F17" s="24">
        <v>2560.34</v>
      </c>
      <c r="G17" s="24">
        <v>2.64</v>
      </c>
      <c r="H17" s="24">
        <v>4.24</v>
      </c>
    </row>
    <row r="18" spans="2:8">
      <c r="B18" s="22" t="s">
        <v>39</v>
      </c>
      <c r="C18" s="22" t="s">
        <v>40</v>
      </c>
      <c r="D18" s="22" t="s">
        <v>16</v>
      </c>
      <c r="E18" s="26">
        <v>250</v>
      </c>
      <c r="F18" s="24">
        <v>2529.02</v>
      </c>
      <c r="G18" s="24">
        <v>2.61</v>
      </c>
      <c r="H18" s="24">
        <v>4.67</v>
      </c>
    </row>
    <row r="19" spans="2:8">
      <c r="B19" s="22" t="s">
        <v>41</v>
      </c>
      <c r="C19" s="22" t="s">
        <v>42</v>
      </c>
      <c r="D19" s="22" t="s">
        <v>16</v>
      </c>
      <c r="E19" s="26">
        <v>200</v>
      </c>
      <c r="F19" s="24">
        <v>2088.54</v>
      </c>
      <c r="G19" s="24">
        <v>2.15</v>
      </c>
      <c r="H19" s="24">
        <v>5.74</v>
      </c>
    </row>
    <row r="20" spans="2:8">
      <c r="B20" s="22" t="s">
        <v>43</v>
      </c>
      <c r="C20" s="22" t="s">
        <v>44</v>
      </c>
      <c r="D20" s="22" t="s">
        <v>45</v>
      </c>
      <c r="E20" s="26">
        <v>200</v>
      </c>
      <c r="F20" s="24">
        <v>2042.11</v>
      </c>
      <c r="G20" s="24">
        <v>2.1</v>
      </c>
      <c r="H20" s="24">
        <v>4.03</v>
      </c>
    </row>
    <row r="21" spans="2:8">
      <c r="B21" s="22" t="s">
        <v>46</v>
      </c>
      <c r="C21" s="22" t="s">
        <v>47</v>
      </c>
      <c r="D21" s="22" t="s">
        <v>45</v>
      </c>
      <c r="E21" s="26">
        <v>200</v>
      </c>
      <c r="F21" s="24">
        <v>1994.71</v>
      </c>
      <c r="G21" s="24">
        <v>2.0499999999999998</v>
      </c>
      <c r="H21" s="24">
        <v>4.7</v>
      </c>
    </row>
    <row r="22" spans="2:8">
      <c r="B22" s="22" t="s">
        <v>48</v>
      </c>
      <c r="C22" s="22" t="s">
        <v>49</v>
      </c>
      <c r="D22" s="22" t="s">
        <v>16</v>
      </c>
      <c r="E22" s="26">
        <v>150</v>
      </c>
      <c r="F22" s="24">
        <v>1586.81</v>
      </c>
      <c r="G22" s="24">
        <v>1.63</v>
      </c>
      <c r="H22" s="24">
        <v>5.67</v>
      </c>
    </row>
    <row r="23" spans="2:8">
      <c r="B23" s="22" t="s">
        <v>50</v>
      </c>
      <c r="C23" s="22" t="s">
        <v>51</v>
      </c>
      <c r="D23" s="22" t="s">
        <v>16</v>
      </c>
      <c r="E23" s="26">
        <v>150</v>
      </c>
      <c r="F23" s="24">
        <v>1571.41</v>
      </c>
      <c r="G23" s="24">
        <v>1.62</v>
      </c>
      <c r="H23" s="24">
        <v>5.59</v>
      </c>
    </row>
    <row r="24" spans="2:8">
      <c r="B24" s="22" t="s">
        <v>52</v>
      </c>
      <c r="C24" s="22" t="s">
        <v>53</v>
      </c>
      <c r="D24" s="22" t="s">
        <v>23</v>
      </c>
      <c r="E24" s="26">
        <v>150</v>
      </c>
      <c r="F24" s="24">
        <v>1538.31</v>
      </c>
      <c r="G24" s="24">
        <v>1.58</v>
      </c>
      <c r="H24" s="24">
        <v>4.13</v>
      </c>
    </row>
    <row r="25" spans="2:8">
      <c r="B25" s="22" t="s">
        <v>54</v>
      </c>
      <c r="C25" s="22" t="s">
        <v>55</v>
      </c>
      <c r="D25" s="22" t="s">
        <v>16</v>
      </c>
      <c r="E25" s="26">
        <v>150</v>
      </c>
      <c r="F25" s="24">
        <v>1538.16</v>
      </c>
      <c r="G25" s="24">
        <v>1.58</v>
      </c>
      <c r="H25" s="24">
        <v>4.26</v>
      </c>
    </row>
    <row r="26" spans="2:8">
      <c r="B26" s="22" t="s">
        <v>56</v>
      </c>
      <c r="C26" s="22" t="s">
        <v>57</v>
      </c>
      <c r="D26" s="22" t="s">
        <v>16</v>
      </c>
      <c r="E26" s="26">
        <v>150</v>
      </c>
      <c r="F26" s="24">
        <v>1527.73</v>
      </c>
      <c r="G26" s="24">
        <v>1.57</v>
      </c>
      <c r="H26" s="24">
        <v>4.2699999999999996</v>
      </c>
    </row>
    <row r="27" spans="2:8">
      <c r="B27" s="22" t="s">
        <v>58</v>
      </c>
      <c r="C27" s="22" t="s">
        <v>59</v>
      </c>
      <c r="D27" s="22" t="s">
        <v>16</v>
      </c>
      <c r="E27" s="26">
        <v>150</v>
      </c>
      <c r="F27" s="24">
        <v>1512.8</v>
      </c>
      <c r="G27" s="24">
        <v>1.56</v>
      </c>
      <c r="H27" s="24">
        <v>4.9000000000000004</v>
      </c>
    </row>
    <row r="28" spans="2:8">
      <c r="B28" s="22" t="s">
        <v>60</v>
      </c>
      <c r="C28" s="22" t="s">
        <v>61</v>
      </c>
      <c r="D28" s="22" t="s">
        <v>16</v>
      </c>
      <c r="E28" s="26">
        <v>100</v>
      </c>
      <c r="F28" s="24">
        <v>1053.33</v>
      </c>
      <c r="G28" s="24">
        <v>1.0900000000000001</v>
      </c>
      <c r="H28" s="24">
        <v>5.2</v>
      </c>
    </row>
    <row r="29" spans="2:8">
      <c r="B29" s="22" t="s">
        <v>62</v>
      </c>
      <c r="C29" s="22" t="s">
        <v>63</v>
      </c>
      <c r="D29" s="22" t="s">
        <v>16</v>
      </c>
      <c r="E29" s="26">
        <v>100</v>
      </c>
      <c r="F29" s="24">
        <v>1032.9000000000001</v>
      </c>
      <c r="G29" s="24">
        <v>1.06</v>
      </c>
      <c r="H29" s="24">
        <v>4.45</v>
      </c>
    </row>
    <row r="30" spans="2:8">
      <c r="B30" s="22" t="s">
        <v>64</v>
      </c>
      <c r="C30" s="22" t="s">
        <v>65</v>
      </c>
      <c r="D30" s="22" t="s">
        <v>23</v>
      </c>
      <c r="E30" s="26">
        <v>100</v>
      </c>
      <c r="F30" s="24">
        <v>1023.23</v>
      </c>
      <c r="G30" s="24">
        <v>1.05</v>
      </c>
      <c r="H30" s="24">
        <v>4.13</v>
      </c>
    </row>
    <row r="31" spans="2:8">
      <c r="B31" s="22" t="s">
        <v>66</v>
      </c>
      <c r="C31" s="22" t="s">
        <v>67</v>
      </c>
      <c r="D31" s="22" t="s">
        <v>16</v>
      </c>
      <c r="E31" s="26">
        <v>100</v>
      </c>
      <c r="F31" s="24">
        <v>1022.66</v>
      </c>
      <c r="G31" s="24">
        <v>1.05</v>
      </c>
      <c r="H31" s="24">
        <v>4.2699999999999996</v>
      </c>
    </row>
    <row r="32" spans="2:8">
      <c r="B32" s="22" t="s">
        <v>68</v>
      </c>
      <c r="C32" s="22" t="s">
        <v>69</v>
      </c>
      <c r="D32" s="22" t="s">
        <v>16</v>
      </c>
      <c r="E32" s="26">
        <v>100</v>
      </c>
      <c r="F32" s="24">
        <v>1022.28</v>
      </c>
      <c r="G32" s="24">
        <v>1.05</v>
      </c>
      <c r="H32" s="24">
        <v>4.18</v>
      </c>
    </row>
    <row r="33" spans="2:10">
      <c r="B33" s="22" t="s">
        <v>70</v>
      </c>
      <c r="C33" s="22" t="s">
        <v>71</v>
      </c>
      <c r="D33" s="22" t="s">
        <v>16</v>
      </c>
      <c r="E33" s="26">
        <v>100</v>
      </c>
      <c r="F33" s="24">
        <v>1004.64</v>
      </c>
      <c r="G33" s="24">
        <v>1.03</v>
      </c>
      <c r="H33" s="24">
        <v>3.67</v>
      </c>
    </row>
    <row r="34" spans="2:10">
      <c r="B34" s="22" t="s">
        <v>72</v>
      </c>
      <c r="C34" s="22" t="s">
        <v>73</v>
      </c>
      <c r="D34" s="22" t="s">
        <v>16</v>
      </c>
      <c r="E34" s="26">
        <v>50</v>
      </c>
      <c r="F34" s="24">
        <v>554.66999999999996</v>
      </c>
      <c r="G34" s="24">
        <v>0.56999999999999995</v>
      </c>
      <c r="H34" s="24">
        <v>6.05</v>
      </c>
    </row>
    <row r="35" spans="2:10">
      <c r="B35" s="22" t="s">
        <v>74</v>
      </c>
      <c r="C35" s="22" t="s">
        <v>75</v>
      </c>
      <c r="D35" s="22" t="s">
        <v>16</v>
      </c>
      <c r="E35" s="26">
        <v>50</v>
      </c>
      <c r="F35" s="24">
        <v>551.44000000000005</v>
      </c>
      <c r="G35" s="24">
        <v>0.56999999999999995</v>
      </c>
      <c r="H35" s="24">
        <v>5.8</v>
      </c>
    </row>
    <row r="36" spans="2:10">
      <c r="B36" s="22" t="s">
        <v>76</v>
      </c>
      <c r="C36" s="22" t="s">
        <v>77</v>
      </c>
      <c r="D36" s="22" t="s">
        <v>16</v>
      </c>
      <c r="E36" s="26">
        <v>50</v>
      </c>
      <c r="F36" s="24">
        <v>532.19000000000005</v>
      </c>
      <c r="G36" s="24">
        <v>0.55000000000000004</v>
      </c>
      <c r="H36" s="24">
        <v>5.42</v>
      </c>
    </row>
    <row r="37" spans="2:10">
      <c r="B37" s="22" t="s">
        <v>78</v>
      </c>
      <c r="C37" s="22" t="s">
        <v>79</v>
      </c>
      <c r="D37" s="22" t="s">
        <v>16</v>
      </c>
      <c r="E37" s="26">
        <v>50</v>
      </c>
      <c r="F37" s="24">
        <v>524.88</v>
      </c>
      <c r="G37" s="24">
        <v>0.54</v>
      </c>
      <c r="H37" s="24">
        <v>4.54</v>
      </c>
    </row>
    <row r="38" spans="2:10">
      <c r="B38" s="22" t="s">
        <v>80</v>
      </c>
      <c r="C38" s="22" t="s">
        <v>81</v>
      </c>
      <c r="D38" s="22" t="s">
        <v>16</v>
      </c>
      <c r="E38" s="26">
        <v>50</v>
      </c>
      <c r="F38" s="24">
        <v>513.92999999999995</v>
      </c>
      <c r="G38" s="24">
        <v>0.53</v>
      </c>
      <c r="H38" s="24">
        <v>4.4000000000000004</v>
      </c>
    </row>
    <row r="39" spans="2:10">
      <c r="B39" s="22" t="s">
        <v>82</v>
      </c>
      <c r="C39" s="22" t="s">
        <v>83</v>
      </c>
      <c r="D39" s="22" t="s">
        <v>16</v>
      </c>
      <c r="E39" s="26">
        <v>50</v>
      </c>
      <c r="F39" s="24">
        <v>502.27</v>
      </c>
      <c r="G39" s="24">
        <v>0.52</v>
      </c>
      <c r="H39" s="24">
        <v>3.5</v>
      </c>
    </row>
    <row r="40" spans="2:10">
      <c r="B40" s="22" t="s">
        <v>84</v>
      </c>
      <c r="C40" s="22" t="s">
        <v>85</v>
      </c>
      <c r="D40" s="22" t="s">
        <v>16</v>
      </c>
      <c r="E40" s="26">
        <v>100</v>
      </c>
      <c r="F40" s="24">
        <v>318.85000000000002</v>
      </c>
      <c r="G40" s="24">
        <v>0.33</v>
      </c>
      <c r="H40" s="24">
        <v>5.22</v>
      </c>
    </row>
    <row r="41" spans="2:10">
      <c r="B41" s="22" t="s">
        <v>86</v>
      </c>
      <c r="C41" s="22" t="s">
        <v>87</v>
      </c>
      <c r="D41" s="22" t="s">
        <v>16</v>
      </c>
      <c r="E41" s="26">
        <v>10</v>
      </c>
      <c r="F41" s="24">
        <v>102</v>
      </c>
      <c r="G41" s="24">
        <v>0.11</v>
      </c>
      <c r="H41" s="24">
        <v>4</v>
      </c>
    </row>
    <row r="42" spans="2:10">
      <c r="B42" s="28" t="s">
        <v>88</v>
      </c>
      <c r="C42" s="28"/>
      <c r="D42" s="28"/>
      <c r="E42" s="29"/>
      <c r="F42" s="30">
        <f>SUM(F6:F41)</f>
        <v>64127.260000000009</v>
      </c>
      <c r="G42" s="30">
        <f>SUM(G6:G41)</f>
        <v>66.029999999999987</v>
      </c>
      <c r="H42" s="31"/>
      <c r="I42" s="32"/>
      <c r="J42" s="32"/>
    </row>
    <row r="43" spans="2:10">
      <c r="B43" s="33" t="s">
        <v>89</v>
      </c>
      <c r="C43" s="33"/>
      <c r="D43" s="33"/>
      <c r="E43" s="34"/>
      <c r="F43" s="35">
        <f>F42</f>
        <v>64127.260000000009</v>
      </c>
      <c r="G43" s="35">
        <f>G42</f>
        <v>66.029999999999987</v>
      </c>
      <c r="H43" s="35"/>
      <c r="I43" s="32"/>
      <c r="J43" s="32"/>
    </row>
    <row r="44" spans="2:10">
      <c r="B44" s="21" t="s">
        <v>90</v>
      </c>
      <c r="C44" s="22"/>
      <c r="D44" s="22"/>
      <c r="E44" s="23"/>
      <c r="F44" s="24"/>
      <c r="G44" s="24"/>
      <c r="H44" s="24"/>
    </row>
    <row r="45" spans="2:10">
      <c r="B45" s="21" t="s">
        <v>91</v>
      </c>
      <c r="C45" s="22"/>
      <c r="D45" s="22"/>
      <c r="E45" s="23"/>
      <c r="F45" s="24"/>
      <c r="G45" s="24"/>
      <c r="H45" s="24"/>
    </row>
    <row r="46" spans="2:10">
      <c r="B46" s="22" t="s">
        <v>92</v>
      </c>
      <c r="C46" s="22" t="s">
        <v>93</v>
      </c>
      <c r="D46" s="22" t="s">
        <v>94</v>
      </c>
      <c r="E46" s="26">
        <v>5000000</v>
      </c>
      <c r="F46" s="24">
        <v>4961.28</v>
      </c>
      <c r="G46" s="24">
        <v>5.1100000000000003</v>
      </c>
      <c r="H46" s="24">
        <v>3.43</v>
      </c>
    </row>
    <row r="47" spans="2:10">
      <c r="B47" s="22" t="s">
        <v>95</v>
      </c>
      <c r="C47" s="22" t="s">
        <v>96</v>
      </c>
      <c r="D47" s="22" t="s">
        <v>94</v>
      </c>
      <c r="E47" s="26">
        <v>1300000</v>
      </c>
      <c r="F47" s="24">
        <v>1298.5</v>
      </c>
      <c r="G47" s="24">
        <v>1.34</v>
      </c>
      <c r="H47" s="24">
        <v>3.24</v>
      </c>
    </row>
    <row r="48" spans="2:10">
      <c r="B48" s="28" t="s">
        <v>88</v>
      </c>
      <c r="C48" s="28"/>
      <c r="D48" s="28"/>
      <c r="E48" s="29"/>
      <c r="F48" s="30">
        <f>SUM(F45:F47)</f>
        <v>6259.78</v>
      </c>
      <c r="G48" s="30">
        <f>SUM(G45:G47)</f>
        <v>6.45</v>
      </c>
      <c r="H48" s="31"/>
      <c r="I48" s="32"/>
      <c r="J48" s="32"/>
    </row>
    <row r="49" spans="2:10">
      <c r="B49" s="33" t="s">
        <v>89</v>
      </c>
      <c r="C49" s="33"/>
      <c r="D49" s="33"/>
      <c r="E49" s="34"/>
      <c r="F49" s="35">
        <f>+F48</f>
        <v>6259.78</v>
      </c>
      <c r="G49" s="35">
        <f>+G48</f>
        <v>6.45</v>
      </c>
      <c r="H49" s="35"/>
      <c r="I49" s="32"/>
      <c r="J49" s="32"/>
    </row>
    <row r="50" spans="2:10">
      <c r="B50" s="21" t="s">
        <v>97</v>
      </c>
      <c r="C50" s="22"/>
      <c r="D50" s="22"/>
      <c r="E50" s="23"/>
      <c r="F50" s="24"/>
      <c r="G50" s="24"/>
      <c r="H50" s="24"/>
    </row>
    <row r="51" spans="2:10">
      <c r="B51" s="22" t="s">
        <v>98</v>
      </c>
      <c r="C51" s="22" t="s">
        <v>99</v>
      </c>
      <c r="D51" s="22" t="s">
        <v>100</v>
      </c>
      <c r="E51" s="26">
        <v>5000000</v>
      </c>
      <c r="F51" s="24">
        <v>4957.04</v>
      </c>
      <c r="G51" s="24">
        <v>5.1100000000000003</v>
      </c>
      <c r="H51" s="24">
        <v>6.22</v>
      </c>
    </row>
    <row r="52" spans="2:10">
      <c r="B52" s="22" t="s">
        <v>101</v>
      </c>
      <c r="C52" s="22" t="s">
        <v>102</v>
      </c>
      <c r="D52" s="22" t="s">
        <v>100</v>
      </c>
      <c r="E52" s="26">
        <v>4500000</v>
      </c>
      <c r="F52" s="24">
        <v>4505.6499999999996</v>
      </c>
      <c r="G52" s="24">
        <v>4.6399999999999997</v>
      </c>
      <c r="H52" s="24">
        <v>4.41</v>
      </c>
    </row>
    <row r="53" spans="2:10">
      <c r="B53" s="22" t="s">
        <v>103</v>
      </c>
      <c r="C53" s="22" t="s">
        <v>104</v>
      </c>
      <c r="D53" s="22" t="s">
        <v>100</v>
      </c>
      <c r="E53" s="26">
        <v>2500000</v>
      </c>
      <c r="F53" s="24">
        <v>2571.46</v>
      </c>
      <c r="G53" s="24">
        <v>2.65</v>
      </c>
      <c r="H53" s="24">
        <v>4.34</v>
      </c>
    </row>
    <row r="54" spans="2:10">
      <c r="B54" s="22" t="s">
        <v>105</v>
      </c>
      <c r="C54" s="22" t="s">
        <v>106</v>
      </c>
      <c r="D54" s="22" t="s">
        <v>100</v>
      </c>
      <c r="E54" s="26">
        <v>2500000</v>
      </c>
      <c r="F54" s="24">
        <v>2496.63</v>
      </c>
      <c r="G54" s="24">
        <v>2.57</v>
      </c>
      <c r="H54" s="24">
        <v>5.66</v>
      </c>
    </row>
    <row r="55" spans="2:10">
      <c r="B55" s="22" t="s">
        <v>107</v>
      </c>
      <c r="C55" s="22" t="s">
        <v>108</v>
      </c>
      <c r="D55" s="22" t="s">
        <v>100</v>
      </c>
      <c r="E55" s="26">
        <v>2000000</v>
      </c>
      <c r="F55" s="24">
        <v>2027.1</v>
      </c>
      <c r="G55" s="24">
        <v>2.09</v>
      </c>
      <c r="H55" s="24">
        <v>3.78</v>
      </c>
    </row>
    <row r="56" spans="2:10">
      <c r="B56" s="22" t="s">
        <v>109</v>
      </c>
      <c r="C56" s="22" t="s">
        <v>110</v>
      </c>
      <c r="D56" s="22" t="s">
        <v>100</v>
      </c>
      <c r="E56" s="26">
        <v>1000000</v>
      </c>
      <c r="F56" s="24">
        <v>1055.7</v>
      </c>
      <c r="G56" s="24">
        <v>1.0900000000000001</v>
      </c>
      <c r="H56" s="24">
        <v>4.5599999999999996</v>
      </c>
    </row>
    <row r="57" spans="2:10">
      <c r="B57" s="22" t="s">
        <v>111</v>
      </c>
      <c r="C57" s="22" t="s">
        <v>112</v>
      </c>
      <c r="D57" s="22" t="s">
        <v>100</v>
      </c>
      <c r="E57" s="26">
        <v>600000</v>
      </c>
      <c r="F57" s="24">
        <v>609.96</v>
      </c>
      <c r="G57" s="24">
        <v>0.63</v>
      </c>
      <c r="H57" s="24">
        <v>3.67</v>
      </c>
    </row>
    <row r="58" spans="2:10">
      <c r="B58" s="22" t="s">
        <v>113</v>
      </c>
      <c r="C58" s="22" t="s">
        <v>114</v>
      </c>
      <c r="D58" s="22" t="s">
        <v>100</v>
      </c>
      <c r="E58" s="26">
        <v>500000</v>
      </c>
      <c r="F58" s="24">
        <v>518.83000000000004</v>
      </c>
      <c r="G58" s="24">
        <v>0.53</v>
      </c>
      <c r="H58" s="24">
        <v>4</v>
      </c>
    </row>
    <row r="59" spans="2:10">
      <c r="B59" s="22" t="s">
        <v>115</v>
      </c>
      <c r="C59" s="22" t="s">
        <v>116</v>
      </c>
      <c r="D59" s="22" t="s">
        <v>100</v>
      </c>
      <c r="E59" s="26">
        <v>500000</v>
      </c>
      <c r="F59" s="24">
        <v>518.79</v>
      </c>
      <c r="G59" s="24">
        <v>0.53</v>
      </c>
      <c r="H59" s="24">
        <v>4</v>
      </c>
    </row>
    <row r="60" spans="2:10">
      <c r="B60" s="22" t="s">
        <v>117</v>
      </c>
      <c r="C60" s="22" t="s">
        <v>118</v>
      </c>
      <c r="D60" s="22" t="s">
        <v>100</v>
      </c>
      <c r="E60" s="26">
        <v>500000</v>
      </c>
      <c r="F60" s="24">
        <v>514.75</v>
      </c>
      <c r="G60" s="24">
        <v>0.53</v>
      </c>
      <c r="H60" s="24">
        <v>4.1100000000000003</v>
      </c>
    </row>
    <row r="61" spans="2:10">
      <c r="B61" s="22" t="s">
        <v>119</v>
      </c>
      <c r="C61" s="22" t="s">
        <v>120</v>
      </c>
      <c r="D61" s="22" t="s">
        <v>100</v>
      </c>
      <c r="E61" s="26">
        <v>500000</v>
      </c>
      <c r="F61" s="24">
        <v>511.41</v>
      </c>
      <c r="G61" s="24">
        <v>0.53</v>
      </c>
      <c r="H61" s="24">
        <v>3.84</v>
      </c>
    </row>
    <row r="62" spans="2:10">
      <c r="B62" s="22" t="s">
        <v>121</v>
      </c>
      <c r="C62" s="22" t="s">
        <v>122</v>
      </c>
      <c r="D62" s="22" t="s">
        <v>100</v>
      </c>
      <c r="E62" s="26">
        <v>500000</v>
      </c>
      <c r="F62" s="24">
        <v>510.91</v>
      </c>
      <c r="G62" s="24">
        <v>0.53</v>
      </c>
      <c r="H62" s="24">
        <v>3.76</v>
      </c>
    </row>
    <row r="63" spans="2:10">
      <c r="B63" s="22" t="s">
        <v>123</v>
      </c>
      <c r="C63" s="22" t="s">
        <v>124</v>
      </c>
      <c r="D63" s="22" t="s">
        <v>100</v>
      </c>
      <c r="E63" s="26">
        <v>400000</v>
      </c>
      <c r="F63" s="24">
        <v>412.99</v>
      </c>
      <c r="G63" s="24">
        <v>0.43</v>
      </c>
      <c r="H63" s="24">
        <v>4</v>
      </c>
    </row>
    <row r="64" spans="2:10">
      <c r="B64" s="36" t="s">
        <v>125</v>
      </c>
      <c r="C64" s="36" t="s">
        <v>126</v>
      </c>
      <c r="D64" s="36" t="s">
        <v>100</v>
      </c>
      <c r="E64" s="37">
        <v>28300</v>
      </c>
      <c r="F64" s="38">
        <v>30.51</v>
      </c>
      <c r="G64" s="38">
        <v>0.03</v>
      </c>
      <c r="H64" s="38">
        <v>6.15</v>
      </c>
    </row>
    <row r="65" spans="2:10">
      <c r="B65" s="39" t="s">
        <v>89</v>
      </c>
      <c r="C65" s="39"/>
      <c r="D65" s="39"/>
      <c r="E65" s="40"/>
      <c r="F65" s="41">
        <f>SUM(F51:F64)</f>
        <v>21241.73</v>
      </c>
      <c r="G65" s="41">
        <f>SUM(G51:G64)</f>
        <v>21.890000000000008</v>
      </c>
      <c r="H65" s="41"/>
      <c r="I65" s="32"/>
      <c r="J65" s="32"/>
    </row>
    <row r="66" spans="2:10">
      <c r="B66" s="21" t="s">
        <v>127</v>
      </c>
      <c r="C66" s="22"/>
      <c r="D66" s="22"/>
      <c r="E66" s="23"/>
      <c r="F66" s="24"/>
      <c r="G66" s="24"/>
      <c r="H66" s="24"/>
    </row>
    <row r="67" spans="2:10">
      <c r="B67" s="22" t="s">
        <v>127</v>
      </c>
      <c r="C67" s="22"/>
      <c r="D67" s="22"/>
      <c r="E67" s="23"/>
      <c r="F67" s="24">
        <v>6941.94</v>
      </c>
      <c r="G67" s="24">
        <v>7.15</v>
      </c>
      <c r="H67" s="24"/>
    </row>
    <row r="68" spans="2:10">
      <c r="B68" s="28" t="s">
        <v>88</v>
      </c>
      <c r="C68" s="28"/>
      <c r="D68" s="28"/>
      <c r="E68" s="29"/>
      <c r="F68" s="30">
        <f>SUM(F66:F67)</f>
        <v>6941.94</v>
      </c>
      <c r="G68" s="30">
        <f>SUM(G66:G67)</f>
        <v>7.15</v>
      </c>
      <c r="H68" s="31"/>
      <c r="I68" s="32"/>
      <c r="J68" s="32"/>
    </row>
    <row r="69" spans="2:10">
      <c r="B69" s="42" t="s">
        <v>89</v>
      </c>
      <c r="C69" s="42"/>
      <c r="D69" s="42"/>
      <c r="E69" s="43"/>
      <c r="F69" s="44">
        <f>F68</f>
        <v>6941.94</v>
      </c>
      <c r="G69" s="44">
        <f>G68</f>
        <v>7.15</v>
      </c>
      <c r="H69" s="44"/>
      <c r="I69" s="32"/>
      <c r="J69" s="32"/>
    </row>
    <row r="70" spans="2:10">
      <c r="B70" s="45" t="s">
        <v>128</v>
      </c>
      <c r="C70" s="45"/>
      <c r="D70" s="45"/>
      <c r="E70" s="46"/>
      <c r="F70" s="47">
        <f>F71-(+F43+F49+F65+F69)</f>
        <v>-1495.25</v>
      </c>
      <c r="G70" s="47">
        <f>G71-(+G43+G49+G65+G69)</f>
        <v>-1.5200000000000102</v>
      </c>
      <c r="H70" s="47"/>
      <c r="I70" s="32"/>
      <c r="J70" s="32"/>
    </row>
    <row r="71" spans="2:10">
      <c r="B71" s="45" t="s">
        <v>129</v>
      </c>
      <c r="C71" s="45"/>
      <c r="D71" s="45"/>
      <c r="E71" s="46"/>
      <c r="F71" s="47">
        <v>97075.46</v>
      </c>
      <c r="G71" s="47">
        <v>100</v>
      </c>
      <c r="H71" s="47"/>
      <c r="I71" s="32"/>
      <c r="J71" s="32"/>
    </row>
    <row r="73" spans="2:10">
      <c r="B73" s="32" t="s">
        <v>130</v>
      </c>
    </row>
    <row r="74" spans="2:10">
      <c r="B74" s="32"/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2021-10-08T11:19:19Z</dcterms:created>
  <dcterms:modified xsi:type="dcterms:W3CDTF">2021-10-08T11:19:22Z</dcterms:modified>
</cp:coreProperties>
</file>