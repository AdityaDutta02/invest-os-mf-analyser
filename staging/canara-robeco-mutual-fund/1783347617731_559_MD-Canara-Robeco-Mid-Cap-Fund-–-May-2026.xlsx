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MAY'26\REVISED\"/>
    </mc:Choice>
  </mc:AlternateContent>
  <xr:revisionPtr revIDLastSave="0" documentId="8_{C68B3C36-F422-47CB-8062-04A0E819F8ED}" xr6:coauthVersionLast="47" xr6:coauthVersionMax="47" xr10:uidLastSave="{00000000-0000-0000-0000-000000000000}"/>
  <bookViews>
    <workbookView xWindow="-120" yWindow="-120" windowWidth="20730" windowHeight="11040" xr2:uid="{F817712E-2BD8-4B86-B661-D87BC1BF9B13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1" i="1" l="1"/>
  <c r="G70" i="1"/>
  <c r="G71" i="1" s="1"/>
  <c r="F70" i="1"/>
  <c r="G67" i="1"/>
  <c r="G72" i="1" s="1"/>
  <c r="G66" i="1"/>
  <c r="F66" i="1"/>
  <c r="F67" i="1" s="1"/>
  <c r="F7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<sst xmlns="http://schemas.openxmlformats.org/spreadsheetml/2006/main" count="280" uniqueCount="188">
  <si>
    <t>CANARA ROBECO MID CAP FUND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</si>
  <si>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</si>
  <si>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</si>
  <si>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</si>
  <si>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</si>
  <si>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</si>
  <si>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</si>
  <si>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</si>
  <si>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</si>
  <si>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May'26</t>
  </si>
  <si>
    <t>Benchmark Risk-O-Meter Level - May'26</t>
  </si>
  <si>
    <t>Scheme Risk-O-Meter Level - April'26</t>
  </si>
  <si>
    <t>Benchmark Risk-O-Meter Level - April'26</t>
  </si>
  <si>
    <t>Equity &amp; Equity related</t>
  </si>
  <si>
    <t>(a) Listed / awaiting listing on Stock Exchanges</t>
  </si>
  <si>
    <t>Bharat Heavy Electricals Ltd</t>
  </si>
  <si>
    <t>INE257A01026</t>
  </si>
  <si>
    <t>Electrical Equipment</t>
  </si>
  <si>
    <t>Mid Cap</t>
  </si>
  <si>
    <t>Bank Of Maharashtra</t>
  </si>
  <si>
    <t>INE457A01014</t>
  </si>
  <si>
    <t>Banks</t>
  </si>
  <si>
    <t>Premier Energies Ltd</t>
  </si>
  <si>
    <t>INE0BS701011</t>
  </si>
  <si>
    <t>Global Health Ltd</t>
  </si>
  <si>
    <t>INE474Q01031</t>
  </si>
  <si>
    <t>Healthcare Services</t>
  </si>
  <si>
    <t>Federal Bank Ltd</t>
  </si>
  <si>
    <t>INE171A01029</t>
  </si>
  <si>
    <t>Persistent Systems Ltd</t>
  </si>
  <si>
    <t>INE262H01021</t>
  </si>
  <si>
    <t>IT - Software</t>
  </si>
  <si>
    <t>Multi Commodity Exchange Of India Ltd</t>
  </si>
  <si>
    <t>INE745G01043</t>
  </si>
  <si>
    <t>Capital Markets</t>
  </si>
  <si>
    <t>Benchmark: BSE 150 Mid Cap Index TRI</t>
  </si>
  <si>
    <t>Shriram Finance Ltd</t>
  </si>
  <si>
    <t>INE721A01047</t>
  </si>
  <si>
    <t>Finance</t>
  </si>
  <si>
    <t>Large Cap</t>
  </si>
  <si>
    <t>Ge Vernova T&amp;D India Ltd</t>
  </si>
  <si>
    <t>INE200A01026</t>
  </si>
  <si>
    <t>Indian Bank</t>
  </si>
  <si>
    <t>INE562A01011</t>
  </si>
  <si>
    <t>Max Financial Services Ltd</t>
  </si>
  <si>
    <t>INE180A01020</t>
  </si>
  <si>
    <t>Insurance</t>
  </si>
  <si>
    <t>Coforge Ltd</t>
  </si>
  <si>
    <t>INE591G01025</t>
  </si>
  <si>
    <t>Thermax Ltd</t>
  </si>
  <si>
    <t>INE152A01029</t>
  </si>
  <si>
    <t>SRF Ltd</t>
  </si>
  <si>
    <t>INE647A01010</t>
  </si>
  <si>
    <t>Chemicals &amp; Petrochemicals</t>
  </si>
  <si>
    <t>Phoenix Mills Ltd</t>
  </si>
  <si>
    <t>INE211B01039</t>
  </si>
  <si>
    <t>Realty</t>
  </si>
  <si>
    <t>Hindustan Petroleum Corporation Ltd</t>
  </si>
  <si>
    <t>INE094A01015</t>
  </si>
  <si>
    <t>Petroleum Products</t>
  </si>
  <si>
    <t>One 97 Communications Ltd</t>
  </si>
  <si>
    <t>INE982J01020</t>
  </si>
  <si>
    <t>Financial Technology (Fintech)</t>
  </si>
  <si>
    <t>Billionbrains Garage Ventures Ltd</t>
  </si>
  <si>
    <t>INE0HOQ01053</t>
  </si>
  <si>
    <t>Mahindra &amp; Mahindra Ltd</t>
  </si>
  <si>
    <t>INE101A01026</t>
  </si>
  <si>
    <t>Automobiles</t>
  </si>
  <si>
    <t>Eternal Ltd</t>
  </si>
  <si>
    <t>INE758T01015</t>
  </si>
  <si>
    <t>Retailing</t>
  </si>
  <si>
    <t>Apar Industries Ltd</t>
  </si>
  <si>
    <t>INE372A01015</t>
  </si>
  <si>
    <t>L&amp;T Technology Services Ltd</t>
  </si>
  <si>
    <t>INE010V01017</t>
  </si>
  <si>
    <t>IT - Services</t>
  </si>
  <si>
    <t>J.K. Cement Ltd</t>
  </si>
  <si>
    <t>INE823G01014</t>
  </si>
  <si>
    <t>Cement &amp; Cement Products</t>
  </si>
  <si>
    <t>Lenskart Solutions Ltd</t>
  </si>
  <si>
    <t>INE956O01016</t>
  </si>
  <si>
    <t>ICICI Prudential Asset Management Co Ltd</t>
  </si>
  <si>
    <t>INE346A01027</t>
  </si>
  <si>
    <t>L&amp;T Finance Ltd</t>
  </si>
  <si>
    <t>INE498L01015</t>
  </si>
  <si>
    <t>HDFC Asset Management Co Ltd</t>
  </si>
  <si>
    <t>INE127D01025</t>
  </si>
  <si>
    <t>Chalet Hotels Ltd</t>
  </si>
  <si>
    <t>INE427F01016</t>
  </si>
  <si>
    <t>Leisure Services</t>
  </si>
  <si>
    <t>Small Cap</t>
  </si>
  <si>
    <t>Swiggy Ltd</t>
  </si>
  <si>
    <t>INE00H001014</t>
  </si>
  <si>
    <t>NHPC Ltd</t>
  </si>
  <si>
    <t>INE848E01016</t>
  </si>
  <si>
    <t>Power</t>
  </si>
  <si>
    <t>KEI Industries Ltd</t>
  </si>
  <si>
    <t>INE878B01027</t>
  </si>
  <si>
    <t>Industrial Products</t>
  </si>
  <si>
    <t>Solar Industries India Ltd</t>
  </si>
  <si>
    <t>INE343H01029</t>
  </si>
  <si>
    <t>Radico Khaitan Ltd</t>
  </si>
  <si>
    <t>INE944F01028</t>
  </si>
  <si>
    <t>Beverages</t>
  </si>
  <si>
    <t>Torrent Power Ltd</t>
  </si>
  <si>
    <t>INE813H01021</t>
  </si>
  <si>
    <t>Ajanta Pharma Ltd</t>
  </si>
  <si>
    <t>INE031B01049</t>
  </si>
  <si>
    <t>Pharmaceuticals &amp; Biotechnology</t>
  </si>
  <si>
    <t>Vishal Mega Mart Ltd</t>
  </si>
  <si>
    <t>INE01EA01019</t>
  </si>
  <si>
    <t>Biocon Ltd</t>
  </si>
  <si>
    <t>INE376G01013</t>
  </si>
  <si>
    <t>AU Small Finance Bank Ltd</t>
  </si>
  <si>
    <t>INE949L01017</t>
  </si>
  <si>
    <t>Max Healthcare Institute Ltd</t>
  </si>
  <si>
    <t>INE027H01010</t>
  </si>
  <si>
    <t>Linde India Ltd</t>
  </si>
  <si>
    <t>INE473A01011</t>
  </si>
  <si>
    <t>Interglobe Aviation Ltd</t>
  </si>
  <si>
    <t>INE646L01027</t>
  </si>
  <si>
    <t>Transport Services</t>
  </si>
  <si>
    <t>Varun Beverages Ltd</t>
  </si>
  <si>
    <t>INE200M01039</t>
  </si>
  <si>
    <t>Physicswallah Ltd</t>
  </si>
  <si>
    <t>INE0LP301011</t>
  </si>
  <si>
    <t>Other Consumer Services</t>
  </si>
  <si>
    <t>Dalmia Bharat Ltd</t>
  </si>
  <si>
    <t>INE00R701025</t>
  </si>
  <si>
    <t>Delhivery Ltd</t>
  </si>
  <si>
    <t>INE148O01028</t>
  </si>
  <si>
    <t>Uno Minda Ltd</t>
  </si>
  <si>
    <t>INE405E01023</t>
  </si>
  <si>
    <t>Auto Components</t>
  </si>
  <si>
    <t>Blue Star Ltd</t>
  </si>
  <si>
    <t>INE472A01039</t>
  </si>
  <si>
    <t>Consumer Durables</t>
  </si>
  <si>
    <t>Prestige Estates Projects Ltd</t>
  </si>
  <si>
    <t>INE811K01011</t>
  </si>
  <si>
    <t>Trent Ltd</t>
  </si>
  <si>
    <t>INE849A01020</t>
  </si>
  <si>
    <t>Info Edge (India) Ltd</t>
  </si>
  <si>
    <t>INE663F01032</t>
  </si>
  <si>
    <t>PB Fintech Ltd</t>
  </si>
  <si>
    <t>INE417T01026</t>
  </si>
  <si>
    <t>Abbott India Ltd</t>
  </si>
  <si>
    <t>INE358A01014</t>
  </si>
  <si>
    <t>Supreme Industries Ltd</t>
  </si>
  <si>
    <t>INE195A01028</t>
  </si>
  <si>
    <t>MRF Ltd</t>
  </si>
  <si>
    <t>INE883A01011</t>
  </si>
  <si>
    <t>Bharti Hexacom Ltd</t>
  </si>
  <si>
    <t>INE343G01021</t>
  </si>
  <si>
    <t>Telecom - Services</t>
  </si>
  <si>
    <t>Schaeffler India Ltd</t>
  </si>
  <si>
    <t>INE513A01022</t>
  </si>
  <si>
    <t>Bharat Electronics Ltd</t>
  </si>
  <si>
    <t>INE263A01024</t>
  </si>
  <si>
    <t>Aerospace &amp; Defense</t>
  </si>
  <si>
    <t>Metro Brands Ltd</t>
  </si>
  <si>
    <t>INE317I01021</t>
  </si>
  <si>
    <t>Balkrishna Industries Ltd</t>
  </si>
  <si>
    <t>INE787D01026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</si>
  <si>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</si>
  <si>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</si>
  <si>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</si>
  <si>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</si>
  <si>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</si>
  <si>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</si>
  <si>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</si>
  <si>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Notes</t>
  </si>
  <si>
    <t>(1) The provision made for Securities classified as below investment grade or default as of May,31 2026 is Rs Nil and its percentage to Net Asset Value is Nil.</t>
  </si>
  <si>
    <t>(2)  Aggregate value of illiquid shares of the fund amounts to Rs. Nil and their percentage to Net Asset value is Nil.</t>
  </si>
  <si>
    <t>(3)  Plan/option wise per unit Net Asset Value are as follows:</t>
  </si>
  <si>
    <t xml:space="preserve">      Plan/Option</t>
  </si>
  <si>
    <t>As on April,30 2026</t>
  </si>
  <si>
    <t>As on May,29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</si>
  <si>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</si>
  <si>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</si>
  <si>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</si>
  <si>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</si>
  <si>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(4) No Dividend declared during the month ended May,31 2026</t>
  </si>
  <si>
    <t>(5) Total outstanding exposure in derivative instruments as on May,31 2026 is Nil.</t>
  </si>
  <si>
    <t>(6) Total Market value of investments in Foreign Securities/American Depositary Receipts/Global Depositary Receipts as at May,31 2026 is Rs. Nil .</t>
  </si>
  <si>
    <t>(7)  During the period, the portfolio turnover ratio is 0.53 times.</t>
  </si>
  <si>
    <t>(8)  Details of repo transaction in corporate debt securities for the month ended May,31 2026 is Nil.</t>
  </si>
  <si>
    <t>Please refer the below link for the performance of the Schemes managed by Canara Robeco Mutual Fund</t>
  </si>
  <si>
    <t>https://www.canararobeco.com/docs/default-source/default-document-library/Scheme_Performance_May_26.pdf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</si>
</sst>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9C79-4DB5-46F7-BAEC-3BF2419E401A}">
  <dimension ref="B1:N97"/>
  <sheetViews>
    <sheetView tabSelected="1" workbookViewId="0">
      <selection activeCell="B1" sqref="B1:G1"/>
    </sheetView>
  </sheetViews>
  <sheetFormatPr defaultRowHeight="12" x14ac:dyDescent="0.2"/>
  <cols>
    <col min="1" max="1" width="9.140625" style="4"/>
    <col min="2" max="2" width="53.85546875" style="4" bestFit="1" customWidth="1"/>
    <col min="3" max="3" width="13.85546875" style="4" bestFit="1" customWidth="1"/>
    <col min="4" max="4" width="27.85546875" style="4" bestFit="1" customWidth="1"/>
    <col min="5" max="5" width="9.85546875" style="4" bestFit="1" customWidth="1"/>
    <col min="6" max="6" width="15.28515625" style="38" bestFit="1" customWidth="1"/>
    <col min="7" max="7" width="7.42578125" style="38" bestFit="1" customWidth="1"/>
    <col min="8" max="8" width="13.5703125" style="38" customWidth="1"/>
    <col min="9" max="10" width="9.140625" style="4"/>
    <col min="11" max="11" width="31.5703125" style="4" customWidth="1"/>
    <col min="12" max="12" width="35.5703125" style="4" customWidth="1"/>
    <col min="13" max="13" width="31.42578125" style="4" customWidth="1"/>
    <col min="14" max="14" width="35.5703125" style="4" customWidth="1"/>
    <col min="15" max="16384" width="9.140625" style="4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3"/>
    </row>
    <row r="3" spans="2:14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 x14ac:dyDescent="0.2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 x14ac:dyDescent="0.2">
      <c r="B7" s="22" t="s">
        <v>15</v>
      </c>
      <c r="C7" s="19" t="s">
        <v>16</v>
      </c>
      <c r="D7" s="19" t="s">
        <v>17</v>
      </c>
      <c r="E7" s="23">
        <v>3537604</v>
      </c>
      <c r="F7" s="20">
        <v>14742.96</v>
      </c>
      <c r="G7" s="20">
        <v>3.19</v>
      </c>
      <c r="H7" s="20" t="s">
        <v>18</v>
      </c>
      <c r="K7" s="21"/>
      <c r="L7" s="21"/>
      <c r="M7" s="21"/>
      <c r="N7" s="21"/>
    </row>
    <row r="8" spans="2:14" x14ac:dyDescent="0.2">
      <c r="B8" s="22" t="s">
        <v>19</v>
      </c>
      <c r="C8" s="19" t="s">
        <v>20</v>
      </c>
      <c r="D8" s="19" t="s">
        <v>21</v>
      </c>
      <c r="E8" s="23">
        <v>15601539</v>
      </c>
      <c r="F8" s="20">
        <v>12367.34</v>
      </c>
      <c r="G8" s="20">
        <v>2.68</v>
      </c>
      <c r="H8" s="20" t="s">
        <v>18</v>
      </c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17</v>
      </c>
      <c r="E9" s="23">
        <v>1117216</v>
      </c>
      <c r="F9" s="20">
        <v>11853.66</v>
      </c>
      <c r="G9" s="20">
        <v>2.56</v>
      </c>
      <c r="H9" s="20" t="s">
        <v>18</v>
      </c>
      <c r="K9" s="21"/>
      <c r="L9" s="21"/>
      <c r="M9" s="21"/>
      <c r="N9" s="21"/>
    </row>
    <row r="10" spans="2:14" x14ac:dyDescent="0.2">
      <c r="B10" s="22" t="s">
        <v>24</v>
      </c>
      <c r="C10" s="19" t="s">
        <v>25</v>
      </c>
      <c r="D10" s="19" t="s">
        <v>26</v>
      </c>
      <c r="E10" s="23">
        <v>937433</v>
      </c>
      <c r="F10" s="20">
        <v>11146.08</v>
      </c>
      <c r="G10" s="20">
        <v>2.41</v>
      </c>
      <c r="H10" s="20" t="s">
        <v>18</v>
      </c>
      <c r="K10" s="21"/>
      <c r="L10" s="21"/>
      <c r="M10" s="21"/>
      <c r="N10" s="21"/>
    </row>
    <row r="11" spans="2:14" x14ac:dyDescent="0.2">
      <c r="B11" s="22" t="s">
        <v>27</v>
      </c>
      <c r="C11" s="19" t="s">
        <v>28</v>
      </c>
      <c r="D11" s="19" t="s">
        <v>21</v>
      </c>
      <c r="E11" s="23">
        <v>3786188</v>
      </c>
      <c r="F11" s="20">
        <v>10940.19</v>
      </c>
      <c r="G11" s="20">
        <v>2.37</v>
      </c>
      <c r="H11" s="20" t="s">
        <v>18</v>
      </c>
      <c r="K11" s="21"/>
      <c r="L11" s="21"/>
      <c r="M11" s="21"/>
      <c r="N11" s="21"/>
    </row>
    <row r="12" spans="2:14" x14ac:dyDescent="0.2">
      <c r="B12" s="22" t="s">
        <v>29</v>
      </c>
      <c r="C12" s="19" t="s">
        <v>30</v>
      </c>
      <c r="D12" s="19" t="s">
        <v>31</v>
      </c>
      <c r="E12" s="23">
        <v>206456</v>
      </c>
      <c r="F12" s="20">
        <v>10723.94</v>
      </c>
      <c r="G12" s="20">
        <v>2.3199999999999998</v>
      </c>
      <c r="H12" s="20" t="s">
        <v>18</v>
      </c>
      <c r="K12" s="24"/>
      <c r="L12" s="24"/>
      <c r="M12" s="24"/>
      <c r="N12" s="24"/>
    </row>
    <row r="13" spans="2:14" x14ac:dyDescent="0.2">
      <c r="B13" s="22" t="s">
        <v>32</v>
      </c>
      <c r="C13" s="19" t="s">
        <v>33</v>
      </c>
      <c r="D13" s="19" t="s">
        <v>34</v>
      </c>
      <c r="E13" s="23">
        <v>361592</v>
      </c>
      <c r="F13" s="20">
        <v>10683.24</v>
      </c>
      <c r="G13" s="20">
        <v>2.31</v>
      </c>
      <c r="H13" s="20" t="s">
        <v>18</v>
      </c>
      <c r="L13" s="4" t="s">
        <v>35</v>
      </c>
    </row>
    <row r="14" spans="2:14" x14ac:dyDescent="0.2">
      <c r="B14" s="22" t="s">
        <v>36</v>
      </c>
      <c r="C14" s="19" t="s">
        <v>37</v>
      </c>
      <c r="D14" s="19" t="s">
        <v>38</v>
      </c>
      <c r="E14" s="23">
        <v>1117846</v>
      </c>
      <c r="F14" s="20">
        <v>10587.68</v>
      </c>
      <c r="G14" s="20">
        <v>2.29</v>
      </c>
      <c r="H14" s="20" t="s">
        <v>39</v>
      </c>
    </row>
    <row r="15" spans="2:14" x14ac:dyDescent="0.2">
      <c r="B15" s="22" t="s">
        <v>40</v>
      </c>
      <c r="C15" s="19" t="s">
        <v>41</v>
      </c>
      <c r="D15" s="19" t="s">
        <v>17</v>
      </c>
      <c r="E15" s="23">
        <v>201229</v>
      </c>
      <c r="F15" s="20">
        <v>10360.48</v>
      </c>
      <c r="G15" s="20">
        <v>2.2400000000000002</v>
      </c>
      <c r="H15" s="20" t="s">
        <v>18</v>
      </c>
    </row>
    <row r="16" spans="2:14" x14ac:dyDescent="0.2">
      <c r="B16" s="22" t="s">
        <v>42</v>
      </c>
      <c r="C16" s="19" t="s">
        <v>43</v>
      </c>
      <c r="D16" s="19" t="s">
        <v>21</v>
      </c>
      <c r="E16" s="23">
        <v>1238113</v>
      </c>
      <c r="F16" s="20">
        <v>10313.48</v>
      </c>
      <c r="G16" s="20">
        <v>2.23</v>
      </c>
      <c r="H16" s="20" t="s">
        <v>18</v>
      </c>
    </row>
    <row r="17" spans="2:8" x14ac:dyDescent="0.2">
      <c r="B17" s="22" t="s">
        <v>44</v>
      </c>
      <c r="C17" s="19" t="s">
        <v>45</v>
      </c>
      <c r="D17" s="19" t="s">
        <v>46</v>
      </c>
      <c r="E17" s="23">
        <v>604633</v>
      </c>
      <c r="F17" s="20">
        <v>10121.56</v>
      </c>
      <c r="G17" s="20">
        <v>2.19</v>
      </c>
      <c r="H17" s="20" t="s">
        <v>18</v>
      </c>
    </row>
    <row r="18" spans="2:8" x14ac:dyDescent="0.2">
      <c r="B18" s="22" t="s">
        <v>47</v>
      </c>
      <c r="C18" s="19" t="s">
        <v>48</v>
      </c>
      <c r="D18" s="19" t="s">
        <v>31</v>
      </c>
      <c r="E18" s="23">
        <v>703369</v>
      </c>
      <c r="F18" s="20">
        <v>10000.5</v>
      </c>
      <c r="G18" s="20">
        <v>2.16</v>
      </c>
      <c r="H18" s="20" t="s">
        <v>18</v>
      </c>
    </row>
    <row r="19" spans="2:8" x14ac:dyDescent="0.2">
      <c r="B19" s="22" t="s">
        <v>49</v>
      </c>
      <c r="C19" s="19" t="s">
        <v>50</v>
      </c>
      <c r="D19" s="19" t="s">
        <v>17</v>
      </c>
      <c r="E19" s="23">
        <v>199303</v>
      </c>
      <c r="F19" s="20">
        <v>9930.67</v>
      </c>
      <c r="G19" s="20">
        <v>2.15</v>
      </c>
      <c r="H19" s="20" t="s">
        <v>18</v>
      </c>
    </row>
    <row r="20" spans="2:8" x14ac:dyDescent="0.2">
      <c r="B20" s="22" t="s">
        <v>51</v>
      </c>
      <c r="C20" s="19" t="s">
        <v>52</v>
      </c>
      <c r="D20" s="19" t="s">
        <v>53</v>
      </c>
      <c r="E20" s="23">
        <v>347581</v>
      </c>
      <c r="F20" s="20">
        <v>9439.6</v>
      </c>
      <c r="G20" s="20">
        <v>2.04</v>
      </c>
      <c r="H20" s="20" t="s">
        <v>18</v>
      </c>
    </row>
    <row r="21" spans="2:8" x14ac:dyDescent="0.2">
      <c r="B21" s="22" t="s">
        <v>54</v>
      </c>
      <c r="C21" s="19" t="s">
        <v>55</v>
      </c>
      <c r="D21" s="19" t="s">
        <v>56</v>
      </c>
      <c r="E21" s="23">
        <v>531133</v>
      </c>
      <c r="F21" s="20">
        <v>9407.43</v>
      </c>
      <c r="G21" s="20">
        <v>2.04</v>
      </c>
      <c r="H21" s="20" t="s">
        <v>18</v>
      </c>
    </row>
    <row r="22" spans="2:8" x14ac:dyDescent="0.2">
      <c r="B22" s="22" t="s">
        <v>57</v>
      </c>
      <c r="C22" s="19" t="s">
        <v>58</v>
      </c>
      <c r="D22" s="19" t="s">
        <v>59</v>
      </c>
      <c r="E22" s="23">
        <v>2338270</v>
      </c>
      <c r="F22" s="20">
        <v>9209.2800000000007</v>
      </c>
      <c r="G22" s="20">
        <v>1.99</v>
      </c>
      <c r="H22" s="20" t="s">
        <v>18</v>
      </c>
    </row>
    <row r="23" spans="2:8" x14ac:dyDescent="0.2">
      <c r="B23" s="22" t="s">
        <v>60</v>
      </c>
      <c r="C23" s="19" t="s">
        <v>61</v>
      </c>
      <c r="D23" s="19" t="s">
        <v>62</v>
      </c>
      <c r="E23" s="23">
        <v>799306</v>
      </c>
      <c r="F23" s="20">
        <v>8942.64</v>
      </c>
      <c r="G23" s="20">
        <v>1.93</v>
      </c>
      <c r="H23" s="20" t="s">
        <v>18</v>
      </c>
    </row>
    <row r="24" spans="2:8" x14ac:dyDescent="0.2">
      <c r="B24" s="22" t="s">
        <v>63</v>
      </c>
      <c r="C24" s="19" t="s">
        <v>64</v>
      </c>
      <c r="D24" s="19" t="s">
        <v>34</v>
      </c>
      <c r="E24" s="23">
        <v>4801535</v>
      </c>
      <c r="F24" s="20">
        <v>8877.56</v>
      </c>
      <c r="G24" s="20">
        <v>1.92</v>
      </c>
      <c r="H24" s="20" t="s">
        <v>18</v>
      </c>
    </row>
    <row r="25" spans="2:8" x14ac:dyDescent="0.2">
      <c r="B25" s="22" t="s">
        <v>65</v>
      </c>
      <c r="C25" s="19" t="s">
        <v>66</v>
      </c>
      <c r="D25" s="19" t="s">
        <v>67</v>
      </c>
      <c r="E25" s="23">
        <v>290921</v>
      </c>
      <c r="F25" s="20">
        <v>8860.2900000000009</v>
      </c>
      <c r="G25" s="20">
        <v>1.92</v>
      </c>
      <c r="H25" s="20" t="s">
        <v>39</v>
      </c>
    </row>
    <row r="26" spans="2:8" x14ac:dyDescent="0.2">
      <c r="B26" s="22" t="s">
        <v>68</v>
      </c>
      <c r="C26" s="19" t="s">
        <v>69</v>
      </c>
      <c r="D26" s="19" t="s">
        <v>70</v>
      </c>
      <c r="E26" s="23">
        <v>3515050</v>
      </c>
      <c r="F26" s="20">
        <v>8808.01</v>
      </c>
      <c r="G26" s="20">
        <v>1.91</v>
      </c>
      <c r="H26" s="20" t="s">
        <v>39</v>
      </c>
    </row>
    <row r="27" spans="2:8" x14ac:dyDescent="0.2">
      <c r="B27" s="22" t="s">
        <v>71</v>
      </c>
      <c r="C27" s="19" t="s">
        <v>72</v>
      </c>
      <c r="D27" s="19" t="s">
        <v>17</v>
      </c>
      <c r="E27" s="23">
        <v>66991</v>
      </c>
      <c r="F27" s="20">
        <v>8787.8799999999992</v>
      </c>
      <c r="G27" s="20">
        <v>1.9</v>
      </c>
      <c r="H27" s="20" t="s">
        <v>18</v>
      </c>
    </row>
    <row r="28" spans="2:8" x14ac:dyDescent="0.2">
      <c r="B28" s="22" t="s">
        <v>73</v>
      </c>
      <c r="C28" s="19" t="s">
        <v>74</v>
      </c>
      <c r="D28" s="19" t="s">
        <v>75</v>
      </c>
      <c r="E28" s="23">
        <v>248681</v>
      </c>
      <c r="F28" s="20">
        <v>8535.73</v>
      </c>
      <c r="G28" s="20">
        <v>1.85</v>
      </c>
      <c r="H28" s="20" t="s">
        <v>18</v>
      </c>
    </row>
    <row r="29" spans="2:8" x14ac:dyDescent="0.2">
      <c r="B29" s="22" t="s">
        <v>76</v>
      </c>
      <c r="C29" s="19" t="s">
        <v>77</v>
      </c>
      <c r="D29" s="19" t="s">
        <v>78</v>
      </c>
      <c r="E29" s="23">
        <v>161716</v>
      </c>
      <c r="F29" s="20">
        <v>8362.33</v>
      </c>
      <c r="G29" s="20">
        <v>1.81</v>
      </c>
      <c r="H29" s="20" t="s">
        <v>18</v>
      </c>
    </row>
    <row r="30" spans="2:8" x14ac:dyDescent="0.2">
      <c r="B30" s="22" t="s">
        <v>79</v>
      </c>
      <c r="C30" s="19" t="s">
        <v>80</v>
      </c>
      <c r="D30" s="19" t="s">
        <v>70</v>
      </c>
      <c r="E30" s="23">
        <v>1592512</v>
      </c>
      <c r="F30" s="20">
        <v>8342.3700000000008</v>
      </c>
      <c r="G30" s="20">
        <v>1.81</v>
      </c>
      <c r="H30" s="20" t="s">
        <v>18</v>
      </c>
    </row>
    <row r="31" spans="2:8" x14ac:dyDescent="0.2">
      <c r="B31" s="22" t="s">
        <v>81</v>
      </c>
      <c r="C31" s="19" t="s">
        <v>82</v>
      </c>
      <c r="D31" s="19" t="s">
        <v>34</v>
      </c>
      <c r="E31" s="23">
        <v>231236</v>
      </c>
      <c r="F31" s="20">
        <v>8182.29</v>
      </c>
      <c r="G31" s="20">
        <v>1.77</v>
      </c>
      <c r="H31" s="20" t="s">
        <v>39</v>
      </c>
    </row>
    <row r="32" spans="2:8" x14ac:dyDescent="0.2">
      <c r="B32" s="22" t="s">
        <v>83</v>
      </c>
      <c r="C32" s="19" t="s">
        <v>84</v>
      </c>
      <c r="D32" s="19" t="s">
        <v>38</v>
      </c>
      <c r="E32" s="23">
        <v>2770989</v>
      </c>
      <c r="F32" s="20">
        <v>7941.65</v>
      </c>
      <c r="G32" s="20">
        <v>1.72</v>
      </c>
      <c r="H32" s="20" t="s">
        <v>18</v>
      </c>
    </row>
    <row r="33" spans="2:8" x14ac:dyDescent="0.2">
      <c r="B33" s="22" t="s">
        <v>85</v>
      </c>
      <c r="C33" s="19" t="s">
        <v>86</v>
      </c>
      <c r="D33" s="19" t="s">
        <v>34</v>
      </c>
      <c r="E33" s="23">
        <v>296474</v>
      </c>
      <c r="F33" s="20">
        <v>7928.6</v>
      </c>
      <c r="G33" s="20">
        <v>1.72</v>
      </c>
      <c r="H33" s="20" t="s">
        <v>39</v>
      </c>
    </row>
    <row r="34" spans="2:8" x14ac:dyDescent="0.2">
      <c r="B34" s="22" t="s">
        <v>87</v>
      </c>
      <c r="C34" s="19" t="s">
        <v>88</v>
      </c>
      <c r="D34" s="19" t="s">
        <v>89</v>
      </c>
      <c r="E34" s="23">
        <v>984929</v>
      </c>
      <c r="F34" s="20">
        <v>7727.75</v>
      </c>
      <c r="G34" s="20">
        <v>1.67</v>
      </c>
      <c r="H34" s="20" t="s">
        <v>90</v>
      </c>
    </row>
    <row r="35" spans="2:8" x14ac:dyDescent="0.2">
      <c r="B35" s="22" t="s">
        <v>91</v>
      </c>
      <c r="C35" s="19" t="s">
        <v>92</v>
      </c>
      <c r="D35" s="19" t="s">
        <v>70</v>
      </c>
      <c r="E35" s="23">
        <v>2949473</v>
      </c>
      <c r="F35" s="20">
        <v>7606.69</v>
      </c>
      <c r="G35" s="20">
        <v>1.65</v>
      </c>
      <c r="H35" s="20" t="s">
        <v>18</v>
      </c>
    </row>
    <row r="36" spans="2:8" x14ac:dyDescent="0.2">
      <c r="B36" s="22" t="s">
        <v>93</v>
      </c>
      <c r="C36" s="19" t="s">
        <v>94</v>
      </c>
      <c r="D36" s="19" t="s">
        <v>95</v>
      </c>
      <c r="E36" s="23">
        <v>9547521</v>
      </c>
      <c r="F36" s="20">
        <v>7530.13</v>
      </c>
      <c r="G36" s="20">
        <v>1.63</v>
      </c>
      <c r="H36" s="20" t="s">
        <v>18</v>
      </c>
    </row>
    <row r="37" spans="2:8" x14ac:dyDescent="0.2">
      <c r="B37" s="22" t="s">
        <v>96</v>
      </c>
      <c r="C37" s="19" t="s">
        <v>97</v>
      </c>
      <c r="D37" s="19" t="s">
        <v>98</v>
      </c>
      <c r="E37" s="23">
        <v>139949</v>
      </c>
      <c r="F37" s="20">
        <v>7371.81</v>
      </c>
      <c r="G37" s="20">
        <v>1.6</v>
      </c>
      <c r="H37" s="20" t="s">
        <v>18</v>
      </c>
    </row>
    <row r="38" spans="2:8" x14ac:dyDescent="0.2">
      <c r="B38" s="22" t="s">
        <v>99</v>
      </c>
      <c r="C38" s="19" t="s">
        <v>100</v>
      </c>
      <c r="D38" s="19" t="s">
        <v>53</v>
      </c>
      <c r="E38" s="23">
        <v>40298</v>
      </c>
      <c r="F38" s="20">
        <v>7353.18</v>
      </c>
      <c r="G38" s="20">
        <v>1.59</v>
      </c>
      <c r="H38" s="20" t="s">
        <v>39</v>
      </c>
    </row>
    <row r="39" spans="2:8" x14ac:dyDescent="0.2">
      <c r="B39" s="22" t="s">
        <v>101</v>
      </c>
      <c r="C39" s="19" t="s">
        <v>102</v>
      </c>
      <c r="D39" s="19" t="s">
        <v>103</v>
      </c>
      <c r="E39" s="23">
        <v>195751</v>
      </c>
      <c r="F39" s="20">
        <v>6887.69</v>
      </c>
      <c r="G39" s="20">
        <v>1.49</v>
      </c>
      <c r="H39" s="20" t="s">
        <v>18</v>
      </c>
    </row>
    <row r="40" spans="2:8" x14ac:dyDescent="0.2">
      <c r="B40" s="22" t="s">
        <v>104</v>
      </c>
      <c r="C40" s="19" t="s">
        <v>105</v>
      </c>
      <c r="D40" s="19" t="s">
        <v>95</v>
      </c>
      <c r="E40" s="23">
        <v>476764</v>
      </c>
      <c r="F40" s="20">
        <v>6771.48</v>
      </c>
      <c r="G40" s="20">
        <v>1.47</v>
      </c>
      <c r="H40" s="20" t="s">
        <v>18</v>
      </c>
    </row>
    <row r="41" spans="2:8" x14ac:dyDescent="0.2">
      <c r="B41" s="22" t="s">
        <v>106</v>
      </c>
      <c r="C41" s="19" t="s">
        <v>107</v>
      </c>
      <c r="D41" s="19" t="s">
        <v>108</v>
      </c>
      <c r="E41" s="23">
        <v>226163</v>
      </c>
      <c r="F41" s="20">
        <v>6624.09</v>
      </c>
      <c r="G41" s="20">
        <v>1.43</v>
      </c>
      <c r="H41" s="20" t="s">
        <v>90</v>
      </c>
    </row>
    <row r="42" spans="2:8" x14ac:dyDescent="0.2">
      <c r="B42" s="22" t="s">
        <v>109</v>
      </c>
      <c r="C42" s="19" t="s">
        <v>110</v>
      </c>
      <c r="D42" s="19" t="s">
        <v>70</v>
      </c>
      <c r="E42" s="23">
        <v>5355184</v>
      </c>
      <c r="F42" s="20">
        <v>6521.01</v>
      </c>
      <c r="G42" s="20">
        <v>1.41</v>
      </c>
      <c r="H42" s="20" t="s">
        <v>18</v>
      </c>
    </row>
    <row r="43" spans="2:8" x14ac:dyDescent="0.2">
      <c r="B43" s="22" t="s">
        <v>111</v>
      </c>
      <c r="C43" s="19" t="s">
        <v>112</v>
      </c>
      <c r="D43" s="19" t="s">
        <v>108</v>
      </c>
      <c r="E43" s="23">
        <v>1518358</v>
      </c>
      <c r="F43" s="20">
        <v>6508.44</v>
      </c>
      <c r="G43" s="20">
        <v>1.41</v>
      </c>
      <c r="H43" s="20" t="s">
        <v>18</v>
      </c>
    </row>
    <row r="44" spans="2:8" x14ac:dyDescent="0.2">
      <c r="B44" s="22" t="s">
        <v>113</v>
      </c>
      <c r="C44" s="19" t="s">
        <v>114</v>
      </c>
      <c r="D44" s="19" t="s">
        <v>21</v>
      </c>
      <c r="E44" s="23">
        <v>621430</v>
      </c>
      <c r="F44" s="20">
        <v>6119.22</v>
      </c>
      <c r="G44" s="20">
        <v>1.32</v>
      </c>
      <c r="H44" s="20" t="s">
        <v>18</v>
      </c>
    </row>
    <row r="45" spans="2:8" x14ac:dyDescent="0.2">
      <c r="B45" s="22" t="s">
        <v>115</v>
      </c>
      <c r="C45" s="19" t="s">
        <v>116</v>
      </c>
      <c r="D45" s="19" t="s">
        <v>26</v>
      </c>
      <c r="E45" s="23">
        <v>630741</v>
      </c>
      <c r="F45" s="20">
        <v>6087.28</v>
      </c>
      <c r="G45" s="20">
        <v>1.32</v>
      </c>
      <c r="H45" s="20" t="s">
        <v>39</v>
      </c>
    </row>
    <row r="46" spans="2:8" x14ac:dyDescent="0.2">
      <c r="B46" s="22" t="s">
        <v>117</v>
      </c>
      <c r="C46" s="19" t="s">
        <v>118</v>
      </c>
      <c r="D46" s="19" t="s">
        <v>53</v>
      </c>
      <c r="E46" s="23">
        <v>83816</v>
      </c>
      <c r="F46" s="20">
        <v>6038.52</v>
      </c>
      <c r="G46" s="20">
        <v>1.31</v>
      </c>
      <c r="H46" s="20" t="s">
        <v>18</v>
      </c>
    </row>
    <row r="47" spans="2:8" x14ac:dyDescent="0.2">
      <c r="B47" s="22" t="s">
        <v>119</v>
      </c>
      <c r="C47" s="19" t="s">
        <v>120</v>
      </c>
      <c r="D47" s="19" t="s">
        <v>121</v>
      </c>
      <c r="E47" s="23">
        <v>136494</v>
      </c>
      <c r="F47" s="20">
        <v>6012.56</v>
      </c>
      <c r="G47" s="20">
        <v>1.3</v>
      </c>
      <c r="H47" s="20" t="s">
        <v>39</v>
      </c>
    </row>
    <row r="48" spans="2:8" x14ac:dyDescent="0.2">
      <c r="B48" s="22" t="s">
        <v>122</v>
      </c>
      <c r="C48" s="19" t="s">
        <v>123</v>
      </c>
      <c r="D48" s="19" t="s">
        <v>103</v>
      </c>
      <c r="E48" s="23">
        <v>1098567</v>
      </c>
      <c r="F48" s="20">
        <v>5800.43</v>
      </c>
      <c r="G48" s="20">
        <v>1.26</v>
      </c>
      <c r="H48" s="20" t="s">
        <v>39</v>
      </c>
    </row>
    <row r="49" spans="2:8" x14ac:dyDescent="0.2">
      <c r="B49" s="22" t="s">
        <v>124</v>
      </c>
      <c r="C49" s="19" t="s">
        <v>125</v>
      </c>
      <c r="D49" s="19" t="s">
        <v>126</v>
      </c>
      <c r="E49" s="23">
        <v>5376076</v>
      </c>
      <c r="F49" s="20">
        <v>5737.35</v>
      </c>
      <c r="G49" s="20">
        <v>1.24</v>
      </c>
      <c r="H49" s="20" t="s">
        <v>18</v>
      </c>
    </row>
    <row r="50" spans="2:8" x14ac:dyDescent="0.2">
      <c r="B50" s="22" t="s">
        <v>127</v>
      </c>
      <c r="C50" s="19" t="s">
        <v>128</v>
      </c>
      <c r="D50" s="19" t="s">
        <v>78</v>
      </c>
      <c r="E50" s="23">
        <v>324131</v>
      </c>
      <c r="F50" s="20">
        <v>5666.46</v>
      </c>
      <c r="G50" s="20">
        <v>1.23</v>
      </c>
      <c r="H50" s="20" t="s">
        <v>18</v>
      </c>
    </row>
    <row r="51" spans="2:8" x14ac:dyDescent="0.2">
      <c r="B51" s="22" t="s">
        <v>129</v>
      </c>
      <c r="C51" s="19" t="s">
        <v>130</v>
      </c>
      <c r="D51" s="19" t="s">
        <v>121</v>
      </c>
      <c r="E51" s="23">
        <v>1243793</v>
      </c>
      <c r="F51" s="20">
        <v>5626.3</v>
      </c>
      <c r="G51" s="20">
        <v>1.22</v>
      </c>
      <c r="H51" s="20" t="s">
        <v>90</v>
      </c>
    </row>
    <row r="52" spans="2:8" x14ac:dyDescent="0.2">
      <c r="B52" s="22" t="s">
        <v>131</v>
      </c>
      <c r="C52" s="19" t="s">
        <v>132</v>
      </c>
      <c r="D52" s="19" t="s">
        <v>133</v>
      </c>
      <c r="E52" s="23">
        <v>505065</v>
      </c>
      <c r="F52" s="20">
        <v>5564.3</v>
      </c>
      <c r="G52" s="20">
        <v>1.2</v>
      </c>
      <c r="H52" s="20" t="s">
        <v>18</v>
      </c>
    </row>
    <row r="53" spans="2:8" x14ac:dyDescent="0.2">
      <c r="B53" s="22" t="s">
        <v>134</v>
      </c>
      <c r="C53" s="19" t="s">
        <v>135</v>
      </c>
      <c r="D53" s="19" t="s">
        <v>136</v>
      </c>
      <c r="E53" s="23">
        <v>344791</v>
      </c>
      <c r="F53" s="20">
        <v>5478.73</v>
      </c>
      <c r="G53" s="20">
        <v>1.19</v>
      </c>
      <c r="H53" s="20" t="s">
        <v>18</v>
      </c>
    </row>
    <row r="54" spans="2:8" x14ac:dyDescent="0.2">
      <c r="B54" s="22" t="s">
        <v>137</v>
      </c>
      <c r="C54" s="19" t="s">
        <v>138</v>
      </c>
      <c r="D54" s="19" t="s">
        <v>56</v>
      </c>
      <c r="E54" s="23">
        <v>365321</v>
      </c>
      <c r="F54" s="20">
        <v>5001.9799999999996</v>
      </c>
      <c r="G54" s="20">
        <v>1.08</v>
      </c>
      <c r="H54" s="20" t="s">
        <v>18</v>
      </c>
    </row>
    <row r="55" spans="2:8" x14ac:dyDescent="0.2">
      <c r="B55" s="22" t="s">
        <v>139</v>
      </c>
      <c r="C55" s="19" t="s">
        <v>140</v>
      </c>
      <c r="D55" s="19" t="s">
        <v>70</v>
      </c>
      <c r="E55" s="23">
        <v>118113</v>
      </c>
      <c r="F55" s="20">
        <v>4989.09</v>
      </c>
      <c r="G55" s="20">
        <v>1.08</v>
      </c>
      <c r="H55" s="20" t="s">
        <v>39</v>
      </c>
    </row>
    <row r="56" spans="2:8" x14ac:dyDescent="0.2">
      <c r="B56" s="22" t="s">
        <v>141</v>
      </c>
      <c r="C56" s="19" t="s">
        <v>142</v>
      </c>
      <c r="D56" s="19" t="s">
        <v>70</v>
      </c>
      <c r="E56" s="23">
        <v>499565</v>
      </c>
      <c r="F56" s="20">
        <v>4970.67</v>
      </c>
      <c r="G56" s="20">
        <v>1.08</v>
      </c>
      <c r="H56" s="20" t="s">
        <v>18</v>
      </c>
    </row>
    <row r="57" spans="2:8" x14ac:dyDescent="0.2">
      <c r="B57" s="22" t="s">
        <v>143</v>
      </c>
      <c r="C57" s="19" t="s">
        <v>144</v>
      </c>
      <c r="D57" s="19" t="s">
        <v>62</v>
      </c>
      <c r="E57" s="23">
        <v>289346</v>
      </c>
      <c r="F57" s="20">
        <v>4926.12</v>
      </c>
      <c r="G57" s="20">
        <v>1.07</v>
      </c>
      <c r="H57" s="20" t="s">
        <v>18</v>
      </c>
    </row>
    <row r="58" spans="2:8" x14ac:dyDescent="0.2">
      <c r="B58" s="22" t="s">
        <v>145</v>
      </c>
      <c r="C58" s="19" t="s">
        <v>146</v>
      </c>
      <c r="D58" s="19" t="s">
        <v>108</v>
      </c>
      <c r="E58" s="23">
        <v>17976</v>
      </c>
      <c r="F58" s="20">
        <v>4827.45</v>
      </c>
      <c r="G58" s="20">
        <v>1.04</v>
      </c>
      <c r="H58" s="20" t="s">
        <v>18</v>
      </c>
    </row>
    <row r="59" spans="2:8" x14ac:dyDescent="0.2">
      <c r="B59" s="22" t="s">
        <v>147</v>
      </c>
      <c r="C59" s="19" t="s">
        <v>148</v>
      </c>
      <c r="D59" s="19" t="s">
        <v>98</v>
      </c>
      <c r="E59" s="23">
        <v>132212</v>
      </c>
      <c r="F59" s="20">
        <v>4692.2</v>
      </c>
      <c r="G59" s="20">
        <v>1.02</v>
      </c>
      <c r="H59" s="20" t="s">
        <v>18</v>
      </c>
    </row>
    <row r="60" spans="2:8" x14ac:dyDescent="0.2">
      <c r="B60" s="22" t="s">
        <v>149</v>
      </c>
      <c r="C60" s="19" t="s">
        <v>150</v>
      </c>
      <c r="D60" s="19" t="s">
        <v>133</v>
      </c>
      <c r="E60" s="23">
        <v>3690</v>
      </c>
      <c r="F60" s="20">
        <v>4554.2</v>
      </c>
      <c r="G60" s="20">
        <v>0.99</v>
      </c>
      <c r="H60" s="20" t="s">
        <v>18</v>
      </c>
    </row>
    <row r="61" spans="2:8" x14ac:dyDescent="0.2">
      <c r="B61" s="22" t="s">
        <v>151</v>
      </c>
      <c r="C61" s="19" t="s">
        <v>152</v>
      </c>
      <c r="D61" s="19" t="s">
        <v>153</v>
      </c>
      <c r="E61" s="23">
        <v>303629</v>
      </c>
      <c r="F61" s="20">
        <v>4540.7700000000004</v>
      </c>
      <c r="G61" s="20">
        <v>0.98</v>
      </c>
      <c r="H61" s="20" t="s">
        <v>18</v>
      </c>
    </row>
    <row r="62" spans="2:8" x14ac:dyDescent="0.2">
      <c r="B62" s="22" t="s">
        <v>154</v>
      </c>
      <c r="C62" s="19" t="s">
        <v>155</v>
      </c>
      <c r="D62" s="19" t="s">
        <v>133</v>
      </c>
      <c r="E62" s="23">
        <v>100785</v>
      </c>
      <c r="F62" s="20">
        <v>4161.1099999999997</v>
      </c>
      <c r="G62" s="20">
        <v>0.9</v>
      </c>
      <c r="H62" s="20" t="s">
        <v>18</v>
      </c>
    </row>
    <row r="63" spans="2:8" x14ac:dyDescent="0.2">
      <c r="B63" s="22" t="s">
        <v>156</v>
      </c>
      <c r="C63" s="19" t="s">
        <v>157</v>
      </c>
      <c r="D63" s="19" t="s">
        <v>158</v>
      </c>
      <c r="E63" s="23">
        <v>938593</v>
      </c>
      <c r="F63" s="20">
        <v>3855.27</v>
      </c>
      <c r="G63" s="20">
        <v>0.83</v>
      </c>
      <c r="H63" s="20" t="s">
        <v>39</v>
      </c>
    </row>
    <row r="64" spans="2:8" x14ac:dyDescent="0.2">
      <c r="B64" s="22" t="s">
        <v>159</v>
      </c>
      <c r="C64" s="19" t="s">
        <v>160</v>
      </c>
      <c r="D64" s="19" t="s">
        <v>136</v>
      </c>
      <c r="E64" s="23">
        <v>360620</v>
      </c>
      <c r="F64" s="20">
        <v>3693.83</v>
      </c>
      <c r="G64" s="20">
        <v>0.8</v>
      </c>
      <c r="H64" s="20" t="s">
        <v>90</v>
      </c>
    </row>
    <row r="65" spans="2:9" x14ac:dyDescent="0.2">
      <c r="B65" s="22" t="s">
        <v>161</v>
      </c>
      <c r="C65" s="19" t="s">
        <v>162</v>
      </c>
      <c r="D65" s="19" t="s">
        <v>133</v>
      </c>
      <c r="E65" s="23">
        <v>47752</v>
      </c>
      <c r="F65" s="20">
        <v>1053.17</v>
      </c>
      <c r="G65" s="20">
        <v>0.23</v>
      </c>
      <c r="H65" s="20" t="s">
        <v>18</v>
      </c>
    </row>
    <row r="66" spans="2:9" x14ac:dyDescent="0.2">
      <c r="B66" s="25" t="s">
        <v>163</v>
      </c>
      <c r="C66" s="26"/>
      <c r="D66" s="26"/>
      <c r="E66" s="26"/>
      <c r="F66" s="27">
        <f>SUM(F7:F65)</f>
        <v>445696.72000000003</v>
      </c>
      <c r="G66" s="27">
        <f>SUM(G7:G65)</f>
        <v>96.469999999999985</v>
      </c>
      <c r="H66" s="27"/>
      <c r="I66" s="28"/>
    </row>
    <row r="67" spans="2:9" x14ac:dyDescent="0.2">
      <c r="B67" s="29" t="s">
        <v>164</v>
      </c>
      <c r="C67" s="29"/>
      <c r="D67" s="29"/>
      <c r="E67" s="29"/>
      <c r="F67" s="30">
        <f>F66</f>
        <v>445696.72000000003</v>
      </c>
      <c r="G67" s="30">
        <f>G66</f>
        <v>96.469999999999985</v>
      </c>
      <c r="H67" s="30"/>
      <c r="I67" s="28"/>
    </row>
    <row r="68" spans="2:9" x14ac:dyDescent="0.2">
      <c r="B68" s="31" t="s">
        <v>165</v>
      </c>
      <c r="C68" s="32"/>
      <c r="D68" s="32"/>
      <c r="E68" s="32"/>
      <c r="F68" s="33"/>
      <c r="G68" s="33"/>
      <c r="H68" s="33"/>
    </row>
    <row r="69" spans="2:9" x14ac:dyDescent="0.2">
      <c r="B69" s="22" t="s">
        <v>165</v>
      </c>
      <c r="C69" s="19"/>
      <c r="D69" s="19"/>
      <c r="E69" s="19"/>
      <c r="F69" s="20">
        <v>16575.95</v>
      </c>
      <c r="G69" s="20">
        <v>3.59</v>
      </c>
      <c r="H69" s="20"/>
    </row>
    <row r="70" spans="2:9" x14ac:dyDescent="0.2">
      <c r="B70" s="25" t="s">
        <v>163</v>
      </c>
      <c r="C70" s="26"/>
      <c r="D70" s="26"/>
      <c r="E70" s="26"/>
      <c r="F70" s="27">
        <f>SUM(F68:F69)</f>
        <v>16575.95</v>
      </c>
      <c r="G70" s="27">
        <f>SUM(G68:G69)</f>
        <v>3.59</v>
      </c>
      <c r="H70" s="27"/>
      <c r="I70" s="28"/>
    </row>
    <row r="71" spans="2:9" x14ac:dyDescent="0.2">
      <c r="B71" s="34" t="s">
        <v>164</v>
      </c>
      <c r="C71" s="34"/>
      <c r="D71" s="34"/>
      <c r="E71" s="34"/>
      <c r="F71" s="35">
        <f>F70</f>
        <v>16575.95</v>
      </c>
      <c r="G71" s="35">
        <f>G70</f>
        <v>3.59</v>
      </c>
      <c r="H71" s="35"/>
      <c r="I71" s="28"/>
    </row>
    <row r="72" spans="2:9" x14ac:dyDescent="0.2">
      <c r="B72" s="36" t="s">
        <v>166</v>
      </c>
      <c r="C72" s="36"/>
      <c r="D72" s="36"/>
      <c r="E72" s="36"/>
      <c r="F72" s="37">
        <f>F73-(+F67+F71)</f>
        <v>-93.580000000016298</v>
      </c>
      <c r="G72" s="37">
        <f>G73-(+G67+G71)</f>
        <v>-5.9999999999988063E-2</v>
      </c>
      <c r="H72" s="37"/>
      <c r="I72" s="28"/>
    </row>
    <row r="73" spans="2:9" x14ac:dyDescent="0.2">
      <c r="B73" s="36" t="s">
        <v>167</v>
      </c>
      <c r="C73" s="36"/>
      <c r="D73" s="36"/>
      <c r="E73" s="36"/>
      <c r="F73" s="37">
        <v>462179.09</v>
      </c>
      <c r="G73" s="37">
        <v>100</v>
      </c>
      <c r="H73" s="37"/>
      <c r="I73" s="28"/>
    </row>
    <row r="75" spans="2:9" ht="12.75" thickBot="1" x14ac:dyDescent="0.25">
      <c r="B75" s="28"/>
    </row>
    <row r="76" spans="2:9" ht="13.5" thickTop="1" thickBot="1" x14ac:dyDescent="0.25">
      <c r="B76" s="39" t="s">
        <v>168</v>
      </c>
      <c r="C76" s="40" t="s">
        <v>169</v>
      </c>
    </row>
    <row r="77" spans="2:9" ht="12.75" thickTop="1" x14ac:dyDescent="0.2"/>
    <row r="79" spans="2:9" x14ac:dyDescent="0.2">
      <c r="B79" s="28" t="s">
        <v>170</v>
      </c>
    </row>
    <row r="80" spans="2:9" x14ac:dyDescent="0.2">
      <c r="B80" s="4" t="s">
        <v>171</v>
      </c>
    </row>
    <row r="81" spans="2:5" x14ac:dyDescent="0.2">
      <c r="B81" s="4" t="s">
        <v>172</v>
      </c>
    </row>
    <row r="82" spans="2:5" x14ac:dyDescent="0.2">
      <c r="B82" s="4" t="s">
        <v>173</v>
      </c>
    </row>
    <row r="83" spans="2:5" x14ac:dyDescent="0.2">
      <c r="B83" s="28" t="s">
        <v>174</v>
      </c>
      <c r="C83" s="28"/>
      <c r="D83" s="28" t="s">
        <v>175</v>
      </c>
      <c r="E83" s="28" t="s">
        <v>176</v>
      </c>
    </row>
    <row r="84" spans="2:5" x14ac:dyDescent="0.2">
      <c r="B84" s="4" t="s">
        <v>177</v>
      </c>
      <c r="D84" s="4">
        <v>17.170000000000002</v>
      </c>
      <c r="E84" s="4">
        <v>17.54</v>
      </c>
    </row>
    <row r="85" spans="2:5" x14ac:dyDescent="0.2">
      <c r="B85" s="4" t="s">
        <v>178</v>
      </c>
      <c r="D85" s="4">
        <v>15.79</v>
      </c>
      <c r="E85" s="4">
        <v>16.13</v>
      </c>
    </row>
    <row r="86" spans="2:5" x14ac:dyDescent="0.2">
      <c r="B86" s="4" t="s">
        <v>179</v>
      </c>
      <c r="D86" s="4">
        <v>18</v>
      </c>
      <c r="E86" s="4">
        <v>18.41</v>
      </c>
    </row>
    <row r="87" spans="2:5" x14ac:dyDescent="0.2">
      <c r="B87" s="4" t="s">
        <v>180</v>
      </c>
      <c r="D87" s="4">
        <v>16.579999999999998</v>
      </c>
      <c r="E87" s="4">
        <v>16.95</v>
      </c>
    </row>
    <row r="89" spans="2:5" x14ac:dyDescent="0.2">
      <c r="B89" s="4" t="s">
        <v>181</v>
      </c>
    </row>
    <row r="90" spans="2:5" x14ac:dyDescent="0.2">
      <c r="B90" s="4" t="s">
        <v>182</v>
      </c>
    </row>
    <row r="91" spans="2:5" x14ac:dyDescent="0.2">
      <c r="B91" s="4" t="s">
        <v>183</v>
      </c>
    </row>
    <row r="92" spans="2:5" x14ac:dyDescent="0.2">
      <c r="B92" s="4" t="s">
        <v>184</v>
      </c>
    </row>
    <row r="93" spans="2:5" x14ac:dyDescent="0.2">
      <c r="B93" s="4" t="s">
        <v>185</v>
      </c>
    </row>
    <row r="95" spans="2:5" x14ac:dyDescent="0.2">
      <c r="B95" s="28" t="s">
        <v>186</v>
      </c>
    </row>
    <row r="97" spans="2:2" ht="15" x14ac:dyDescent="0.2">
      <c r="B97" s="41" t="s">
        <v>187</v>
      </c>
    </row>
  </sheetData>
  <mergeCells count="5">
    <mergeCell ref="B1:G1"/>
    <mergeCell ref="K5:K12"/>
    <mergeCell ref="L5:L12"/>
    <mergeCell ref="M5:M12"/>
    <mergeCell ref="N5:N12"/>
  </mergeCells>
  <hyperlinks>
    <hyperlink ref="B97" r:id="rId1" display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xr:uid="{AC13E599-5158-49CC-B0AC-0106D13FF63C}"/>
  </hyperlinks>
  <pageMargins left="0.7" right="0.7" top="0.75" bottom="0.75" header="0.3" footer="0.3"/>
  <pageSetup paperSize="9" orientation="portrait" r:id="rId2"/>
  <headerFooter>
    <oddHeader>&amp;L&amp;"Calibri"&amp;11&amp;K008000 MIS Internal</oddHeader>
    <oddFooter>&amp;L&amp;"Calibri"&amp;11&amp;K008000 MIS Internal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2026-06-08 17:42:01</KDate>
  <Classification>MIS INTERNAL</Classification>
  <Subclassification/>
  <HostName>MUMCMP01323</HostName>
  <Domain_User>CANARAROBECOMF/628</Domain_User>
  <IPAdd>192.9.198.196</IPAdd>
  <FilePath>Book10</FilePath>
  <KID>109819A0F0A5639165373212140322</KID>
  <UniqueName/>
  <Suggested/>
  <Justification/>
  <KlassifyGUID/>
</Klassify>
</file>

<file path=customXml/itemProps1.xml><?xml version="1.0" encoding="utf-8"?>
<ds:datastoreItem xmlns:ds="http://schemas.openxmlformats.org/officeDocument/2006/customXml" ds:itemID="{A77AA21C-9106-4FBD-8049-2EBB8B4295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2026-06-08T12:11:59Z</dcterms:created>
  <dcterms:modified xsi:type="dcterms:W3CDTF">2026-06-08T12:12:01Z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109819A0F0A5639165373212140322</vt:lpwstr>
  </property>
</Properties>
</file>