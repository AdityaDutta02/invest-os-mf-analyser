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hemangi\data\monthly portfolios with ISIN\FY 2023-24\July 2023\"/>
    </mc:Choice>
  </mc:AlternateContent>
  <bookViews>
    <workbookView xWindow="0" yWindow="0" windowWidth="20490" windowHeight="7620"/>
  </bookViews>
  <sheets>
    <sheet name="BP" sheetId="1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42" i="1" l="1"/>
  <c r="G43" i="1" s="1"/>
  <c r="F42" i="1"/>
  <c r="F43" i="1" s="1"/>
  <c r="G39" i="1"/>
  <c r="F39" i="1"/>
  <c r="G33" i="1"/>
  <c r="F33" i="1"/>
  <c r="G30" i="1"/>
  <c r="G34" i="1" s="1"/>
  <c r="F30" i="1"/>
  <c r="F34" i="1" s="1"/>
  <c r="G25" i="1"/>
  <c r="G26" i="1" s="1"/>
  <c r="F25" i="1"/>
  <c r="F26" i="1" s="1"/>
  <c r="F44" i="1" l="1"/>
  <c r="G44" i="1"/>
</calcChain>
</file>

<file path=xl/sharedStrings.xml><?xml version="1.0" encoding="utf-8"?>
<sst xmlns="http://schemas.openxmlformats.org/spreadsheetml/2006/main" count="115" uniqueCount="91">
  <si>
    <t>CANARA ROBECO BANKING AND PSU DEBT FUND</t>
  </si>
  <si>
    <t>Monthly Portfolio Statement as on July 31, 2023</t>
  </si>
  <si>
    <t>Name of the Instrument</t>
  </si>
  <si>
    <t>ISIN</t>
  </si>
  <si>
    <t>Industry / Rating</t>
  </si>
  <si>
    <t>Quantity</t>
  </si>
  <si>
    <t>Market/Fair Value
 (Rs. in Lacs)</t>
  </si>
  <si>
    <t>% to Net
 Assets</t>
  </si>
  <si>
    <t>Yield %</t>
  </si>
  <si>
    <t>Scheme Risk-o-meter Level- Jul'23</t>
  </si>
  <si>
    <t>Benchmark Risk-o-meter Level- Jul'23</t>
  </si>
  <si>
    <t>Scheme Risk-o-meter Level- Jun'23</t>
  </si>
  <si>
    <t>Potential Risk Class (PRC) Matrix</t>
  </si>
  <si>
    <t>Debt Instruments</t>
  </si>
  <si>
    <t>Credit Risk →</t>
  </si>
  <si>
    <t>Relatively Low (Class A)</t>
  </si>
  <si>
    <t>Moderate (Class B)</t>
  </si>
  <si>
    <t>Relatively High (Class C)</t>
  </si>
  <si>
    <t>(a) Listed / awaiting listing on Stock Exchanges</t>
  </si>
  <si>
    <t>Interest Rate Risk ↓</t>
  </si>
  <si>
    <t>8.44% HDFC Bank Ltd (28/12/2028) **</t>
  </si>
  <si>
    <t>INE040A08393</t>
  </si>
  <si>
    <t>CRISIL AAA</t>
  </si>
  <si>
    <t>Relatively Low (Class I)</t>
  </si>
  <si>
    <t>8.85% Axis Bank Ltd (05/12/2024) **</t>
  </si>
  <si>
    <t>INE238A08351</t>
  </si>
  <si>
    <t>7.35% NTPC Ltd (17/04/2026) **</t>
  </si>
  <si>
    <t>INE733E08247</t>
  </si>
  <si>
    <t>Moderate 
(Class II)</t>
  </si>
  <si>
    <t>7.44% REC Ltd (30/04/2026) **</t>
  </si>
  <si>
    <t>INE020B08EL2</t>
  </si>
  <si>
    <t>IND AAA</t>
  </si>
  <si>
    <t>7.12% Hindustan Petroleum Corporation Ltd (30/07/2025) **</t>
  </si>
  <si>
    <t>INE094A08127</t>
  </si>
  <si>
    <t>Relatively High (Class III)</t>
  </si>
  <si>
    <t>B-III</t>
  </si>
  <si>
    <t>7.15% Small Industries Development Bank Of India (21/07/2025)</t>
  </si>
  <si>
    <t>INE556F08JZ5</t>
  </si>
  <si>
    <t>ICRA AAA</t>
  </si>
  <si>
    <t>5.23% National Bank For Agriculture &amp; Rural Development (31/01/2025) **</t>
  </si>
  <si>
    <t>INE261F08DI1</t>
  </si>
  <si>
    <t>Benchmark: CRISIL Banking and PSU Debt Index</t>
  </si>
  <si>
    <t>8.45% Indian Railway Finance Corporation Ltd (04/12/2028) **</t>
  </si>
  <si>
    <t>INE053F07AY7</t>
  </si>
  <si>
    <t>8.27% REC Ltd (06/02/2025) **</t>
  </si>
  <si>
    <t>INE020B08906</t>
  </si>
  <si>
    <t>7.65% Indian Railway Finance Corporation Ltd (30/12/2032) **</t>
  </si>
  <si>
    <t>INE053F08221</t>
  </si>
  <si>
    <t>7.63% Grasim industries Ltd (01/12/2027) **</t>
  </si>
  <si>
    <t>INE047A08208</t>
  </si>
  <si>
    <t>6.85% National Bank For Agriculture &amp; Rural Development (21/03/2031) **</t>
  </si>
  <si>
    <t>INE261F08DA8</t>
  </si>
  <si>
    <t>9.15% ICICI Bank Ltd (06/08/2024) **</t>
  </si>
  <si>
    <t>INE090A08TN1</t>
  </si>
  <si>
    <t>8.65% Power Finance Corporation Ltd (28/12/2024) **</t>
  </si>
  <si>
    <t>INE134E08GV9</t>
  </si>
  <si>
    <t>7.70% Power Finance Corporation Ltd (15/04/2033)</t>
  </si>
  <si>
    <t>INE134E08MI4</t>
  </si>
  <si>
    <t>7.71% LIC Housing Finance Ltd (09/05/2033) **</t>
  </si>
  <si>
    <t>INE115A07QI4</t>
  </si>
  <si>
    <t>6.19% LIC Housing Finance Ltd (25/11/2024) **</t>
  </si>
  <si>
    <t>INE115A07OW0</t>
  </si>
  <si>
    <t>7.34% National Housing Bank (07/08/2025) **</t>
  </si>
  <si>
    <t>INE557F08FN7</t>
  </si>
  <si>
    <t>Sub Total</t>
  </si>
  <si>
    <t>Total</t>
  </si>
  <si>
    <t>Money Market Instruments</t>
  </si>
  <si>
    <t>Certificate of Deposit</t>
  </si>
  <si>
    <t>State Bank Of India (15/03/2024) #</t>
  </si>
  <si>
    <t>INE062A16481</t>
  </si>
  <si>
    <t>IND A1+</t>
  </si>
  <si>
    <t>Treasury Bill</t>
  </si>
  <si>
    <t>364 DAYS TREASURY BILLS 01-FEB-24</t>
  </si>
  <si>
    <t>IN002022Z440</t>
  </si>
  <si>
    <t xml:space="preserve"> Sovereign</t>
  </si>
  <si>
    <t>Government Bonds</t>
  </si>
  <si>
    <t>7.39% TAMIL NADU SDL 10-MAY-33</t>
  </si>
  <si>
    <t>IN3120230021</t>
  </si>
  <si>
    <t>Sovereign</t>
  </si>
  <si>
    <t>7.64% KERALA SDL 04-JAN-34</t>
  </si>
  <si>
    <t>IN2020220124</t>
  </si>
  <si>
    <t>7.26% GOI 06-FEB-33</t>
  </si>
  <si>
    <t>IN0020220151</t>
  </si>
  <si>
    <t>TREPS</t>
  </si>
  <si>
    <t>Net Receivables / (Payables)</t>
  </si>
  <si>
    <t>Grand Total</t>
  </si>
  <si>
    <t>**  Non Traded Security</t>
  </si>
  <si>
    <t>#  Unlisted Security</t>
  </si>
  <si>
    <t>Modified Duration</t>
  </si>
  <si>
    <t>Annualised Portfolio YTM</t>
  </si>
  <si>
    <t>Macaulay Duration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</si>
</sst>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indexed="63"/>
      <name val="Arial"/>
      <family val="2"/>
    </font>
    <font>
      <sz val="9"/>
      <color theme="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72"/>
      <name val="Arial"/>
      <family val="2"/>
    </font>
    <font>
      <b/>
      <sz val="11"/>
      <color theme="1"/>
      <name val="Taz SemiLight"/>
      <family val="2"/>
    </font>
    <font>
      <b/>
      <sz val="9"/>
      <color theme="1"/>
      <name val="Arial"/>
      <family val="2"/>
    </font>
    <font>
      <b/>
      <sz val="9"/>
      <color rgb="FFFF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3D3D3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0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0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4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3" borderId="0" xfId="0" applyFont="1" applyFill="1"/>
    <xf numFmtId="0" fontId="4" fillId="3" borderId="0" xfId="0" applyFont="1" applyFill="1" applyAlignment="1">
      <alignment horizontal="left" vertical="top"/>
    </xf>
    <xf numFmtId="0" fontId="5" fillId="3" borderId="0" xfId="0" applyFont="1" applyFill="1" applyAlignment="1">
      <alignment horizontal="left" vertical="top" wrapText="1"/>
    </xf>
    <xf numFmtId="0" fontId="6" fillId="3" borderId="0" xfId="0" applyFont="1" applyFill="1" applyAlignment="1">
      <alignment horizontal="left" vertical="top" wrapText="1"/>
    </xf>
    <xf numFmtId="0" fontId="6" fillId="3" borderId="0" xfId="0" applyNumberFormat="1" applyFont="1" applyFill="1" applyAlignment="1">
      <alignment horizontal="left" vertical="top" wrapText="1"/>
    </xf>
    <xf numFmtId="4" fontId="6" fillId="3" borderId="0" xfId="0" applyNumberFormat="1" applyFont="1" applyFill="1" applyAlignment="1">
      <alignment horizontal="left" vertical="top" wrapText="1"/>
    </xf>
    <xf numFmtId="4" fontId="3" fillId="3" borderId="0" xfId="0" applyNumberFormat="1" applyFont="1" applyFill="1"/>
    <xf numFmtId="0" fontId="7" fillId="3" borderId="2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center" vertical="center" wrapText="1"/>
    </xf>
    <xf numFmtId="0" fontId="7" fillId="3" borderId="3" xfId="0" applyNumberFormat="1" applyFont="1" applyFill="1" applyBorder="1" applyAlignment="1">
      <alignment horizontal="center" vertical="center" wrapText="1"/>
    </xf>
    <xf numFmtId="4" fontId="7" fillId="3" borderId="3" xfId="0" applyNumberFormat="1" applyFont="1" applyFill="1" applyBorder="1" applyAlignment="1">
      <alignment horizontal="center" vertical="center" wrapText="1"/>
    </xf>
    <xf numFmtId="4" fontId="7" fillId="3" borderId="4" xfId="0" applyNumberFormat="1" applyFont="1" applyFill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3" borderId="9" xfId="0" applyFont="1" applyFill="1" applyBorder="1"/>
    <xf numFmtId="0" fontId="3" fillId="3" borderId="9" xfId="0" applyFont="1" applyFill="1" applyBorder="1"/>
    <xf numFmtId="0" fontId="3" fillId="3" borderId="9" xfId="0" applyNumberFormat="1" applyFont="1" applyFill="1" applyBorder="1"/>
    <xf numFmtId="4" fontId="3" fillId="3" borderId="9" xfId="0" applyNumberFormat="1" applyFont="1" applyFill="1" applyBorder="1"/>
    <xf numFmtId="43" fontId="3" fillId="3" borderId="10" xfId="1" applyFont="1" applyFill="1" applyBorder="1" applyAlignment="1">
      <alignment horizontal="center"/>
    </xf>
    <xf numFmtId="0" fontId="9" fillId="0" borderId="10" xfId="0" applyFont="1" applyBorder="1" applyAlignment="1">
      <alignment horizontal="center" wrapText="1"/>
    </xf>
    <xf numFmtId="0" fontId="9" fillId="0" borderId="10" xfId="0" applyFont="1" applyBorder="1" applyAlignment="1">
      <alignment horizontal="center" wrapText="1"/>
    </xf>
    <xf numFmtId="0" fontId="9" fillId="3" borderId="11" xfId="0" applyFont="1" applyFill="1" applyBorder="1"/>
    <xf numFmtId="0" fontId="3" fillId="3" borderId="11" xfId="0" applyFont="1" applyFill="1" applyBorder="1"/>
    <xf numFmtId="0" fontId="3" fillId="3" borderId="11" xfId="0" applyNumberFormat="1" applyFont="1" applyFill="1" applyBorder="1"/>
    <xf numFmtId="4" fontId="3" fillId="3" borderId="11" xfId="0" applyNumberFormat="1" applyFont="1" applyFill="1" applyBorder="1"/>
    <xf numFmtId="0" fontId="9" fillId="0" borderId="10" xfId="0" applyFont="1" applyBorder="1" applyAlignment="1">
      <alignment horizontal="left" vertical="top" wrapText="1"/>
    </xf>
    <xf numFmtId="3" fontId="3" fillId="3" borderId="11" xfId="0" applyNumberFormat="1" applyFont="1" applyFill="1" applyBorder="1"/>
    <xf numFmtId="0" fontId="9" fillId="0" borderId="10" xfId="0" applyFont="1" applyBorder="1" applyAlignment="1">
      <alignment horizontal="left" wrapText="1"/>
    </xf>
    <xf numFmtId="0" fontId="3" fillId="0" borderId="5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9" fillId="4" borderId="5" xfId="0" applyFont="1" applyFill="1" applyBorder="1" applyAlignment="1">
      <alignment horizontal="center" vertical="center"/>
    </xf>
    <xf numFmtId="0" fontId="9" fillId="4" borderId="12" xfId="0" applyFont="1" applyFill="1" applyBorder="1" applyAlignment="1">
      <alignment horizontal="center" vertical="center"/>
    </xf>
    <xf numFmtId="43" fontId="3" fillId="3" borderId="0" xfId="1" applyFont="1" applyFill="1"/>
    <xf numFmtId="0" fontId="9" fillId="3" borderId="13" xfId="0" applyFont="1" applyFill="1" applyBorder="1"/>
    <xf numFmtId="0" fontId="9" fillId="3" borderId="13" xfId="0" applyNumberFormat="1" applyFont="1" applyFill="1" applyBorder="1"/>
    <xf numFmtId="4" fontId="9" fillId="3" borderId="14" xfId="0" applyNumberFormat="1" applyFont="1" applyFill="1" applyBorder="1"/>
    <xf numFmtId="4" fontId="9" fillId="3" borderId="13" xfId="0" applyNumberFormat="1" applyFont="1" applyFill="1" applyBorder="1"/>
    <xf numFmtId="0" fontId="9" fillId="3" borderId="15" xfId="0" applyFont="1" applyFill="1" applyBorder="1"/>
    <xf numFmtId="0" fontId="9" fillId="3" borderId="15" xfId="0" applyNumberFormat="1" applyFont="1" applyFill="1" applyBorder="1"/>
    <xf numFmtId="4" fontId="9" fillId="3" borderId="15" xfId="0" applyNumberFormat="1" applyFont="1" applyFill="1" applyBorder="1"/>
    <xf numFmtId="0" fontId="9" fillId="3" borderId="11" xfId="0" applyNumberFormat="1" applyFont="1" applyFill="1" applyBorder="1"/>
    <xf numFmtId="4" fontId="9" fillId="3" borderId="16" xfId="0" applyNumberFormat="1" applyFont="1" applyFill="1" applyBorder="1"/>
    <xf numFmtId="4" fontId="9" fillId="3" borderId="11" xfId="0" applyNumberFormat="1" applyFont="1" applyFill="1" applyBorder="1"/>
    <xf numFmtId="0" fontId="3" fillId="3" borderId="17" xfId="0" applyFont="1" applyFill="1" applyBorder="1"/>
    <xf numFmtId="3" fontId="3" fillId="3" borderId="17" xfId="0" applyNumberFormat="1" applyFont="1" applyFill="1" applyBorder="1"/>
    <xf numFmtId="4" fontId="3" fillId="3" borderId="17" xfId="0" applyNumberFormat="1" applyFont="1" applyFill="1" applyBorder="1"/>
    <xf numFmtId="0" fontId="9" fillId="3" borderId="16" xfId="0" applyFont="1" applyFill="1" applyBorder="1"/>
    <xf numFmtId="0" fontId="9" fillId="3" borderId="16" xfId="0" applyNumberFormat="1" applyFont="1" applyFill="1" applyBorder="1"/>
    <xf numFmtId="0" fontId="9" fillId="3" borderId="18" xfId="0" applyFont="1" applyFill="1" applyBorder="1"/>
    <xf numFmtId="0" fontId="9" fillId="3" borderId="18" xfId="0" applyNumberFormat="1" applyFont="1" applyFill="1" applyBorder="1"/>
    <xf numFmtId="4" fontId="9" fillId="3" borderId="18" xfId="0" applyNumberFormat="1" applyFont="1" applyFill="1" applyBorder="1"/>
    <xf numFmtId="0" fontId="9" fillId="3" borderId="10" xfId="0" applyFont="1" applyFill="1" applyBorder="1"/>
    <xf numFmtId="0" fontId="9" fillId="3" borderId="10" xfId="0" applyNumberFormat="1" applyFont="1" applyFill="1" applyBorder="1"/>
    <xf numFmtId="4" fontId="9" fillId="3" borderId="10" xfId="0" applyNumberFormat="1" applyFont="1" applyFill="1" applyBorder="1"/>
    <xf numFmtId="0" fontId="3" fillId="3" borderId="0" xfId="0" applyNumberFormat="1" applyFont="1" applyFill="1"/>
    <xf numFmtId="0" fontId="9" fillId="3" borderId="0" xfId="0" applyFont="1" applyFill="1"/>
    <xf numFmtId="0" fontId="10" fillId="5" borderId="19" xfId="0" applyFont="1" applyFill="1" applyBorder="1"/>
    <xf numFmtId="2" fontId="9" fillId="3" borderId="20" xfId="0" applyNumberFormat="1" applyFont="1" applyFill="1" applyBorder="1"/>
    <xf numFmtId="10" fontId="9" fillId="3" borderId="20" xfId="0" applyNumberFormat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191861</xdr:colOff>
      <xdr:row>4</xdr:row>
      <xdr:rowOff>76202</xdr:rowOff>
    </xdr:from>
    <xdr:to>
      <xdr:col>10</xdr:col>
      <xdr:colOff>1962150</xdr:colOff>
      <xdr:row>10</xdr:row>
      <xdr:rowOff>104775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869511" y="1085852"/>
          <a:ext cx="1770289" cy="1400173"/>
        </a:xfrm>
        <a:prstGeom prst="rect">
          <a:avLst/>
        </a:prstGeom>
      </xdr:spPr>
    </xdr:pic>
    <xdr:clientData/>
  </xdr:twoCellAnchor>
  <xdr:oneCellAnchor>
    <xdr:from>
      <xdr:col>9</xdr:col>
      <xdr:colOff>144237</xdr:colOff>
      <xdr:row>4</xdr:row>
      <xdr:rowOff>166006</xdr:rowOff>
    </xdr:from>
    <xdr:ext cx="1797502" cy="1177019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16862" y="1175656"/>
          <a:ext cx="1797502" cy="1177019"/>
        </a:xfrm>
        <a:prstGeom prst="rect">
          <a:avLst/>
        </a:prstGeom>
      </xdr:spPr>
    </xdr:pic>
    <xdr:clientData/>
  </xdr:oneCellAnchor>
  <xdr:oneCellAnchor>
    <xdr:from>
      <xdr:col>11</xdr:col>
      <xdr:colOff>133350</xdr:colOff>
      <xdr:row>4</xdr:row>
      <xdr:rowOff>219075</xdr:rowOff>
    </xdr:from>
    <xdr:ext cx="1797502" cy="1177019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1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039850" y="1228725"/>
          <a:ext cx="1797502" cy="117701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Q63"/>
  <sheetViews>
    <sheetView tabSelected="1" workbookViewId="0">
      <selection activeCell="F6" sqref="F6"/>
    </sheetView>
  </sheetViews>
  <sheetFormatPr defaultRowHeight="12"/>
  <cols>
    <col min="1" max="1" width="9.140625" style="3"/>
    <col min="2" max="2" width="60.28515625" style="3" bestFit="1" customWidth="1"/>
    <col min="3" max="3" width="13.85546875" style="3" bestFit="1" customWidth="1"/>
    <col min="4" max="4" width="14.140625" style="3" bestFit="1" customWidth="1"/>
    <col min="5" max="5" width="8.85546875" style="59" bestFit="1" customWidth="1"/>
    <col min="6" max="6" width="15.28515625" style="9" bestFit="1" customWidth="1"/>
    <col min="7" max="7" width="7.42578125" style="9" bestFit="1" customWidth="1"/>
    <col min="8" max="8" width="6.5703125" style="9" bestFit="1" customWidth="1"/>
    <col min="9" max="9" width="8" style="3" bestFit="1" customWidth="1"/>
    <col min="10" max="10" width="31.5703125" style="3" customWidth="1"/>
    <col min="11" max="11" width="33.42578125" style="3" customWidth="1"/>
    <col min="12" max="12" width="31.42578125" style="3" customWidth="1"/>
    <col min="13" max="16384" width="9.140625" style="3"/>
  </cols>
  <sheetData>
    <row r="1" spans="2:17" ht="21" customHeight="1">
      <c r="B1" s="1" t="s">
        <v>0</v>
      </c>
      <c r="C1" s="2"/>
      <c r="D1" s="2"/>
      <c r="E1" s="2"/>
      <c r="F1" s="2"/>
      <c r="G1" s="2"/>
      <c r="H1" s="2"/>
    </row>
    <row r="3" spans="2:17" ht="16.5" thickBot="1">
      <c r="B3" s="4" t="s">
        <v>1</v>
      </c>
      <c r="C3" s="5"/>
      <c r="D3" s="6"/>
      <c r="E3" s="7"/>
      <c r="F3" s="8"/>
      <c r="G3" s="8"/>
    </row>
    <row r="4" spans="2:17" ht="30">
      <c r="B4" s="10" t="s">
        <v>2</v>
      </c>
      <c r="C4" s="11" t="s">
        <v>3</v>
      </c>
      <c r="D4" s="11" t="s">
        <v>4</v>
      </c>
      <c r="E4" s="12" t="s">
        <v>5</v>
      </c>
      <c r="F4" s="13" t="s">
        <v>6</v>
      </c>
      <c r="G4" s="14" t="s">
        <v>7</v>
      </c>
      <c r="H4" s="14" t="s">
        <v>8</v>
      </c>
      <c r="J4" s="15" t="s">
        <v>9</v>
      </c>
      <c r="K4" s="15" t="s">
        <v>10</v>
      </c>
      <c r="L4" s="15" t="s">
        <v>11</v>
      </c>
      <c r="N4" s="16" t="s">
        <v>12</v>
      </c>
      <c r="O4" s="17"/>
      <c r="P4" s="17"/>
      <c r="Q4" s="18"/>
    </row>
    <row r="5" spans="2:17" ht="24">
      <c r="B5" s="19" t="s">
        <v>13</v>
      </c>
      <c r="C5" s="20"/>
      <c r="D5" s="20"/>
      <c r="E5" s="21"/>
      <c r="F5" s="22"/>
      <c r="G5" s="22"/>
      <c r="H5" s="22"/>
      <c r="J5" s="23"/>
      <c r="K5" s="23"/>
      <c r="L5" s="23"/>
      <c r="N5" s="24" t="s">
        <v>14</v>
      </c>
      <c r="O5" s="25" t="s">
        <v>15</v>
      </c>
      <c r="P5" s="25" t="s">
        <v>16</v>
      </c>
      <c r="Q5" s="25" t="s">
        <v>17</v>
      </c>
    </row>
    <row r="6" spans="2:17" ht="36">
      <c r="B6" s="26" t="s">
        <v>18</v>
      </c>
      <c r="C6" s="27"/>
      <c r="D6" s="27"/>
      <c r="E6" s="28"/>
      <c r="F6" s="29"/>
      <c r="G6" s="29"/>
      <c r="H6" s="29"/>
      <c r="J6" s="23"/>
      <c r="K6" s="23"/>
      <c r="L6" s="23"/>
      <c r="N6" s="30" t="s">
        <v>19</v>
      </c>
      <c r="O6" s="25"/>
      <c r="P6" s="25"/>
      <c r="Q6" s="25"/>
    </row>
    <row r="7" spans="2:17">
      <c r="B7" s="27" t="s">
        <v>20</v>
      </c>
      <c r="C7" s="27" t="s">
        <v>21</v>
      </c>
      <c r="D7" s="27" t="s">
        <v>22</v>
      </c>
      <c r="E7" s="31">
        <v>250</v>
      </c>
      <c r="F7" s="29">
        <v>2569.84</v>
      </c>
      <c r="G7" s="29">
        <v>6.24</v>
      </c>
      <c r="H7" s="29">
        <v>7.77</v>
      </c>
      <c r="J7" s="23"/>
      <c r="K7" s="23"/>
      <c r="L7" s="23"/>
      <c r="N7" s="32" t="s">
        <v>23</v>
      </c>
      <c r="O7" s="33"/>
      <c r="P7" s="33"/>
      <c r="Q7" s="33"/>
    </row>
    <row r="8" spans="2:17">
      <c r="B8" s="27" t="s">
        <v>24</v>
      </c>
      <c r="C8" s="27" t="s">
        <v>25</v>
      </c>
      <c r="D8" s="27" t="s">
        <v>22</v>
      </c>
      <c r="E8" s="31">
        <v>250</v>
      </c>
      <c r="F8" s="29">
        <v>2537.5</v>
      </c>
      <c r="G8" s="29">
        <v>6.16</v>
      </c>
      <c r="H8" s="29">
        <v>7.58</v>
      </c>
      <c r="J8" s="23"/>
      <c r="K8" s="23"/>
      <c r="L8" s="23"/>
      <c r="N8" s="32"/>
      <c r="O8" s="34"/>
      <c r="P8" s="34"/>
      <c r="Q8" s="34"/>
    </row>
    <row r="9" spans="2:17">
      <c r="B9" s="27" t="s">
        <v>26</v>
      </c>
      <c r="C9" s="27" t="s">
        <v>27</v>
      </c>
      <c r="D9" s="27" t="s">
        <v>22</v>
      </c>
      <c r="E9" s="31">
        <v>2500</v>
      </c>
      <c r="F9" s="29">
        <v>2498.37</v>
      </c>
      <c r="G9" s="29">
        <v>6.07</v>
      </c>
      <c r="H9" s="29">
        <v>7.36</v>
      </c>
      <c r="J9" s="23"/>
      <c r="K9" s="23"/>
      <c r="L9" s="23"/>
      <c r="N9" s="32" t="s">
        <v>28</v>
      </c>
      <c r="O9" s="33"/>
      <c r="P9" s="33"/>
      <c r="Q9" s="33"/>
    </row>
    <row r="10" spans="2:17">
      <c r="B10" s="27" t="s">
        <v>29</v>
      </c>
      <c r="C10" s="27" t="s">
        <v>30</v>
      </c>
      <c r="D10" s="27" t="s">
        <v>31</v>
      </c>
      <c r="E10" s="31">
        <v>2500</v>
      </c>
      <c r="F10" s="29">
        <v>2496.7800000000002</v>
      </c>
      <c r="G10" s="29">
        <v>6.06</v>
      </c>
      <c r="H10" s="29">
        <v>7.49</v>
      </c>
      <c r="J10" s="23"/>
      <c r="K10" s="23"/>
      <c r="L10" s="23"/>
      <c r="N10" s="32"/>
      <c r="O10" s="34"/>
      <c r="P10" s="34"/>
      <c r="Q10" s="34"/>
    </row>
    <row r="11" spans="2:17">
      <c r="B11" s="27" t="s">
        <v>32</v>
      </c>
      <c r="C11" s="27" t="s">
        <v>33</v>
      </c>
      <c r="D11" s="27" t="s">
        <v>22</v>
      </c>
      <c r="E11" s="31">
        <v>250</v>
      </c>
      <c r="F11" s="29">
        <v>2485.8200000000002</v>
      </c>
      <c r="G11" s="29">
        <v>6.04</v>
      </c>
      <c r="H11" s="29">
        <v>7.44</v>
      </c>
      <c r="J11" s="23"/>
      <c r="K11" s="23"/>
      <c r="L11" s="23"/>
      <c r="N11" s="32" t="s">
        <v>34</v>
      </c>
      <c r="O11" s="33"/>
      <c r="P11" s="35" t="s">
        <v>35</v>
      </c>
      <c r="Q11" s="33"/>
    </row>
    <row r="12" spans="2:17">
      <c r="B12" s="27" t="s">
        <v>36</v>
      </c>
      <c r="C12" s="27" t="s">
        <v>37</v>
      </c>
      <c r="D12" s="27" t="s">
        <v>38</v>
      </c>
      <c r="E12" s="31">
        <v>250</v>
      </c>
      <c r="F12" s="29">
        <v>2481.14</v>
      </c>
      <c r="G12" s="29">
        <v>6.03</v>
      </c>
      <c r="H12" s="29">
        <v>7.57</v>
      </c>
      <c r="J12" s="23"/>
      <c r="K12" s="23"/>
      <c r="L12" s="23"/>
      <c r="N12" s="32"/>
      <c r="O12" s="34"/>
      <c r="P12" s="36"/>
      <c r="Q12" s="34"/>
    </row>
    <row r="13" spans="2:17" ht="15">
      <c r="B13" s="27" t="s">
        <v>39</v>
      </c>
      <c r="C13" s="27" t="s">
        <v>40</v>
      </c>
      <c r="D13" s="27" t="s">
        <v>22</v>
      </c>
      <c r="E13" s="31">
        <v>250</v>
      </c>
      <c r="F13" s="29">
        <v>2421.13</v>
      </c>
      <c r="G13" s="29">
        <v>5.88</v>
      </c>
      <c r="H13" s="29">
        <v>7.5</v>
      </c>
      <c r="J13" s="37"/>
      <c r="K13" t="s">
        <v>41</v>
      </c>
      <c r="L13" s="37"/>
    </row>
    <row r="14" spans="2:17">
      <c r="B14" s="27" t="s">
        <v>42</v>
      </c>
      <c r="C14" s="27" t="s">
        <v>43</v>
      </c>
      <c r="D14" s="27" t="s">
        <v>22</v>
      </c>
      <c r="E14" s="31">
        <v>150</v>
      </c>
      <c r="F14" s="29">
        <v>1562.48</v>
      </c>
      <c r="G14" s="29">
        <v>3.79</v>
      </c>
      <c r="H14" s="29">
        <v>7.47</v>
      </c>
      <c r="J14" s="37"/>
      <c r="K14" s="37"/>
      <c r="L14" s="37"/>
      <c r="M14" s="37"/>
    </row>
    <row r="15" spans="2:17">
      <c r="B15" s="27" t="s">
        <v>44</v>
      </c>
      <c r="C15" s="27" t="s">
        <v>45</v>
      </c>
      <c r="D15" s="27" t="s">
        <v>22</v>
      </c>
      <c r="E15" s="31">
        <v>150</v>
      </c>
      <c r="F15" s="29">
        <v>1517.32</v>
      </c>
      <c r="G15" s="29">
        <v>3.68</v>
      </c>
      <c r="H15" s="29">
        <v>7.44</v>
      </c>
      <c r="J15" s="37"/>
      <c r="K15" s="37"/>
      <c r="L15" s="37"/>
      <c r="M15" s="37"/>
    </row>
    <row r="16" spans="2:17">
      <c r="B16" s="27" t="s">
        <v>46</v>
      </c>
      <c r="C16" s="27" t="s">
        <v>47</v>
      </c>
      <c r="D16" s="27" t="s">
        <v>22</v>
      </c>
      <c r="E16" s="31">
        <v>150</v>
      </c>
      <c r="F16" s="29">
        <v>1516.32</v>
      </c>
      <c r="G16" s="29">
        <v>3.68</v>
      </c>
      <c r="H16" s="29">
        <v>7.49</v>
      </c>
      <c r="J16" s="37"/>
      <c r="K16" s="37"/>
      <c r="L16" s="37"/>
      <c r="M16" s="37"/>
    </row>
    <row r="17" spans="2:13">
      <c r="B17" s="27" t="s">
        <v>48</v>
      </c>
      <c r="C17" s="27" t="s">
        <v>49</v>
      </c>
      <c r="D17" s="27" t="s">
        <v>22</v>
      </c>
      <c r="E17" s="31">
        <v>150</v>
      </c>
      <c r="F17" s="29">
        <v>1502.56</v>
      </c>
      <c r="G17" s="29">
        <v>3.65</v>
      </c>
      <c r="H17" s="29">
        <v>7.56</v>
      </c>
      <c r="J17" s="37"/>
      <c r="K17" s="37"/>
      <c r="L17" s="37"/>
      <c r="M17" s="37"/>
    </row>
    <row r="18" spans="2:13">
      <c r="B18" s="27" t="s">
        <v>50</v>
      </c>
      <c r="C18" s="27" t="s">
        <v>51</v>
      </c>
      <c r="D18" s="27" t="s">
        <v>38</v>
      </c>
      <c r="E18" s="31">
        <v>150</v>
      </c>
      <c r="F18" s="29">
        <v>1452.09</v>
      </c>
      <c r="G18" s="29">
        <v>3.53</v>
      </c>
      <c r="H18" s="29">
        <v>7.54</v>
      </c>
      <c r="J18" s="37"/>
      <c r="K18" s="37"/>
      <c r="L18" s="37"/>
      <c r="M18" s="37"/>
    </row>
    <row r="19" spans="2:13">
      <c r="B19" s="27" t="s">
        <v>52</v>
      </c>
      <c r="C19" s="27" t="s">
        <v>53</v>
      </c>
      <c r="D19" s="27" t="s">
        <v>38</v>
      </c>
      <c r="E19" s="31">
        <v>100</v>
      </c>
      <c r="F19" s="29">
        <v>1016.34</v>
      </c>
      <c r="G19" s="29">
        <v>2.4700000000000002</v>
      </c>
      <c r="H19" s="29">
        <v>7.59</v>
      </c>
      <c r="J19" s="37"/>
      <c r="K19" s="37"/>
      <c r="L19" s="37"/>
      <c r="M19" s="37"/>
    </row>
    <row r="20" spans="2:13">
      <c r="B20" s="27" t="s">
        <v>54</v>
      </c>
      <c r="C20" s="27" t="s">
        <v>55</v>
      </c>
      <c r="D20" s="27" t="s">
        <v>22</v>
      </c>
      <c r="E20" s="31">
        <v>100</v>
      </c>
      <c r="F20" s="29">
        <v>1015.09</v>
      </c>
      <c r="G20" s="29">
        <v>2.4700000000000002</v>
      </c>
      <c r="H20" s="29">
        <v>7.43</v>
      </c>
      <c r="J20" s="37"/>
      <c r="K20" s="37"/>
      <c r="L20" s="37"/>
      <c r="M20" s="37"/>
    </row>
    <row r="21" spans="2:13">
      <c r="B21" s="27" t="s">
        <v>56</v>
      </c>
      <c r="C21" s="27" t="s">
        <v>57</v>
      </c>
      <c r="D21" s="27" t="s">
        <v>22</v>
      </c>
      <c r="E21" s="31">
        <v>1000</v>
      </c>
      <c r="F21" s="29">
        <v>1008.73</v>
      </c>
      <c r="G21" s="29">
        <v>2.4500000000000002</v>
      </c>
      <c r="H21" s="29">
        <v>7.56</v>
      </c>
      <c r="J21" s="37"/>
      <c r="K21" s="37"/>
      <c r="L21" s="37"/>
      <c r="M21" s="37"/>
    </row>
    <row r="22" spans="2:13">
      <c r="B22" s="27" t="s">
        <v>58</v>
      </c>
      <c r="C22" s="27" t="s">
        <v>59</v>
      </c>
      <c r="D22" s="27" t="s">
        <v>22</v>
      </c>
      <c r="E22" s="31">
        <v>100</v>
      </c>
      <c r="F22" s="29">
        <v>1003.77</v>
      </c>
      <c r="G22" s="29">
        <v>2.44</v>
      </c>
      <c r="H22" s="29">
        <v>7.65</v>
      </c>
      <c r="J22" s="37"/>
      <c r="K22" s="37"/>
      <c r="L22" s="37"/>
      <c r="M22" s="37"/>
    </row>
    <row r="23" spans="2:13">
      <c r="B23" s="27" t="s">
        <v>60</v>
      </c>
      <c r="C23" s="27" t="s">
        <v>61</v>
      </c>
      <c r="D23" s="27" t="s">
        <v>22</v>
      </c>
      <c r="E23" s="31">
        <v>100</v>
      </c>
      <c r="F23" s="29">
        <v>981.84</v>
      </c>
      <c r="G23" s="29">
        <v>2.38</v>
      </c>
      <c r="H23" s="29">
        <v>7.65</v>
      </c>
      <c r="J23" s="37"/>
      <c r="K23" s="37"/>
      <c r="L23" s="37"/>
      <c r="M23" s="37"/>
    </row>
    <row r="24" spans="2:13">
      <c r="B24" s="27" t="s">
        <v>62</v>
      </c>
      <c r="C24" s="27" t="s">
        <v>63</v>
      </c>
      <c r="D24" s="27" t="s">
        <v>22</v>
      </c>
      <c r="E24" s="31">
        <v>50</v>
      </c>
      <c r="F24" s="29">
        <v>499.21</v>
      </c>
      <c r="G24" s="29">
        <v>1.21</v>
      </c>
      <c r="H24" s="29">
        <v>7.43</v>
      </c>
      <c r="J24" s="37"/>
      <c r="K24" s="37"/>
      <c r="L24" s="37"/>
      <c r="M24" s="37"/>
    </row>
    <row r="25" spans="2:13">
      <c r="B25" s="38" t="s">
        <v>64</v>
      </c>
      <c r="C25" s="38"/>
      <c r="D25" s="38"/>
      <c r="E25" s="39"/>
      <c r="F25" s="40">
        <f>SUM(F6:F24)</f>
        <v>30566.329999999998</v>
      </c>
      <c r="G25" s="40">
        <f>SUM(G6:G24)</f>
        <v>74.22999999999999</v>
      </c>
      <c r="H25" s="41"/>
      <c r="J25" s="37"/>
      <c r="K25" s="37"/>
      <c r="L25" s="37"/>
      <c r="M25" s="37"/>
    </row>
    <row r="26" spans="2:13">
      <c r="B26" s="42" t="s">
        <v>65</v>
      </c>
      <c r="C26" s="42"/>
      <c r="D26" s="42"/>
      <c r="E26" s="43"/>
      <c r="F26" s="44">
        <f>F25</f>
        <v>30566.329999999998</v>
      </c>
      <c r="G26" s="44">
        <f>G25</f>
        <v>74.22999999999999</v>
      </c>
      <c r="H26" s="44"/>
      <c r="J26" s="37"/>
      <c r="K26" s="37"/>
      <c r="L26" s="37"/>
      <c r="M26" s="37"/>
    </row>
    <row r="27" spans="2:13">
      <c r="B27" s="26" t="s">
        <v>66</v>
      </c>
      <c r="C27" s="27"/>
      <c r="D27" s="27"/>
      <c r="E27" s="28"/>
      <c r="F27" s="29"/>
      <c r="G27" s="29"/>
      <c r="H27" s="29"/>
      <c r="J27" s="37"/>
      <c r="K27" s="37"/>
      <c r="L27" s="37"/>
      <c r="M27" s="37"/>
    </row>
    <row r="28" spans="2:13">
      <c r="B28" s="26" t="s">
        <v>67</v>
      </c>
      <c r="C28" s="27"/>
      <c r="D28" s="27"/>
      <c r="E28" s="28"/>
      <c r="F28" s="29"/>
      <c r="G28" s="29"/>
      <c r="H28" s="29"/>
      <c r="J28" s="37"/>
      <c r="K28" s="37"/>
      <c r="L28" s="37"/>
      <c r="M28" s="37"/>
    </row>
    <row r="29" spans="2:13">
      <c r="B29" s="27" t="s">
        <v>68</v>
      </c>
      <c r="C29" s="27" t="s">
        <v>69</v>
      </c>
      <c r="D29" s="27" t="s">
        <v>70</v>
      </c>
      <c r="E29" s="31">
        <v>500</v>
      </c>
      <c r="F29" s="29">
        <v>2393.9899999999998</v>
      </c>
      <c r="G29" s="29">
        <v>5.81</v>
      </c>
      <c r="H29" s="29">
        <v>7.12</v>
      </c>
      <c r="J29" s="37"/>
      <c r="K29" s="37"/>
      <c r="L29" s="37"/>
      <c r="M29" s="37"/>
    </row>
    <row r="30" spans="2:13">
      <c r="B30" s="26" t="s">
        <v>64</v>
      </c>
      <c r="C30" s="26"/>
      <c r="D30" s="26"/>
      <c r="E30" s="45"/>
      <c r="F30" s="46">
        <f>SUM(F28:F29)</f>
        <v>2393.9899999999998</v>
      </c>
      <c r="G30" s="46">
        <f>SUM(G28:G29)</f>
        <v>5.81</v>
      </c>
      <c r="H30" s="47"/>
      <c r="J30" s="37"/>
      <c r="K30" s="37"/>
      <c r="L30" s="37"/>
      <c r="M30" s="37"/>
    </row>
    <row r="31" spans="2:13">
      <c r="B31" s="26" t="s">
        <v>71</v>
      </c>
      <c r="C31" s="27"/>
      <c r="D31" s="27"/>
      <c r="E31" s="28"/>
      <c r="F31" s="29"/>
      <c r="G31" s="29"/>
      <c r="H31" s="29"/>
      <c r="J31" s="37"/>
      <c r="K31" s="37"/>
      <c r="L31" s="37"/>
      <c r="M31" s="37"/>
    </row>
    <row r="32" spans="2:13">
      <c r="B32" s="27" t="s">
        <v>72</v>
      </c>
      <c r="C32" s="27" t="s">
        <v>73</v>
      </c>
      <c r="D32" s="27" t="s">
        <v>74</v>
      </c>
      <c r="E32" s="31">
        <v>250000</v>
      </c>
      <c r="F32" s="29">
        <v>241.66</v>
      </c>
      <c r="G32" s="29">
        <v>0.59</v>
      </c>
      <c r="H32" s="29">
        <v>6.85</v>
      </c>
      <c r="J32" s="37"/>
      <c r="K32" s="37"/>
      <c r="L32" s="37"/>
      <c r="M32" s="37"/>
    </row>
    <row r="33" spans="2:13">
      <c r="B33" s="38" t="s">
        <v>64</v>
      </c>
      <c r="C33" s="38"/>
      <c r="D33" s="38"/>
      <c r="E33" s="39"/>
      <c r="F33" s="40">
        <f>SUM(F31:F32)</f>
        <v>241.66</v>
      </c>
      <c r="G33" s="40">
        <f>SUM(G31:G32)</f>
        <v>0.59</v>
      </c>
      <c r="H33" s="41"/>
      <c r="J33" s="37"/>
      <c r="K33" s="37"/>
      <c r="L33" s="37"/>
      <c r="M33" s="37"/>
    </row>
    <row r="34" spans="2:13">
      <c r="B34" s="42" t="s">
        <v>65</v>
      </c>
      <c r="C34" s="42"/>
      <c r="D34" s="42"/>
      <c r="E34" s="43"/>
      <c r="F34" s="44">
        <f>F30+F33</f>
        <v>2635.6499999999996</v>
      </c>
      <c r="G34" s="44">
        <f>G30+G33</f>
        <v>6.3999999999999995</v>
      </c>
      <c r="H34" s="44"/>
      <c r="J34" s="37"/>
      <c r="K34" s="37"/>
      <c r="L34" s="37"/>
      <c r="M34" s="37"/>
    </row>
    <row r="35" spans="2:13">
      <c r="B35" s="26" t="s">
        <v>75</v>
      </c>
      <c r="C35" s="27"/>
      <c r="D35" s="27"/>
      <c r="E35" s="28"/>
      <c r="F35" s="29"/>
      <c r="G35" s="29"/>
      <c r="H35" s="29"/>
      <c r="J35" s="37"/>
      <c r="K35" s="37"/>
      <c r="L35" s="37"/>
      <c r="M35" s="37"/>
    </row>
    <row r="36" spans="2:13">
      <c r="B36" s="27" t="s">
        <v>76</v>
      </c>
      <c r="C36" s="27" t="s">
        <v>77</v>
      </c>
      <c r="D36" s="27" t="s">
        <v>78</v>
      </c>
      <c r="E36" s="31">
        <v>2500000</v>
      </c>
      <c r="F36" s="29">
        <v>2490.37</v>
      </c>
      <c r="G36" s="29">
        <v>6.05</v>
      </c>
      <c r="H36" s="29">
        <v>7.58</v>
      </c>
      <c r="J36" s="37"/>
      <c r="K36" s="37"/>
      <c r="L36" s="37"/>
      <c r="M36" s="37"/>
    </row>
    <row r="37" spans="2:13">
      <c r="B37" s="27" t="s">
        <v>79</v>
      </c>
      <c r="C37" s="27" t="s">
        <v>80</v>
      </c>
      <c r="D37" s="27" t="s">
        <v>78</v>
      </c>
      <c r="E37" s="31">
        <v>1000000</v>
      </c>
      <c r="F37" s="29">
        <v>1014.98</v>
      </c>
      <c r="G37" s="29">
        <v>2.46</v>
      </c>
      <c r="H37" s="29">
        <v>7.57</v>
      </c>
      <c r="J37" s="37"/>
      <c r="K37" s="37"/>
      <c r="L37" s="37"/>
      <c r="M37" s="37"/>
    </row>
    <row r="38" spans="2:13">
      <c r="B38" s="48" t="s">
        <v>81</v>
      </c>
      <c r="C38" s="48" t="s">
        <v>82</v>
      </c>
      <c r="D38" s="48" t="s">
        <v>78</v>
      </c>
      <c r="E38" s="49">
        <v>1000000</v>
      </c>
      <c r="F38" s="50">
        <v>1005.96</v>
      </c>
      <c r="G38" s="50">
        <v>2.44</v>
      </c>
      <c r="H38" s="50">
        <v>7.3</v>
      </c>
      <c r="J38" s="37"/>
      <c r="K38" s="37"/>
      <c r="L38" s="37"/>
      <c r="M38" s="37"/>
    </row>
    <row r="39" spans="2:13">
      <c r="B39" s="51" t="s">
        <v>65</v>
      </c>
      <c r="C39" s="51"/>
      <c r="D39" s="51"/>
      <c r="E39" s="52"/>
      <c r="F39" s="46">
        <f>SUM(F36:F38)</f>
        <v>4511.3099999999995</v>
      </c>
      <c r="G39" s="46">
        <f>SUM(G36:G38)</f>
        <v>10.95</v>
      </c>
      <c r="H39" s="46"/>
      <c r="J39" s="37"/>
      <c r="K39" s="37"/>
      <c r="L39" s="37"/>
      <c r="M39" s="37"/>
    </row>
    <row r="40" spans="2:13">
      <c r="B40" s="26" t="s">
        <v>83</v>
      </c>
      <c r="C40" s="27"/>
      <c r="D40" s="27"/>
      <c r="E40" s="28"/>
      <c r="F40" s="29"/>
      <c r="G40" s="29"/>
      <c r="H40" s="29"/>
      <c r="J40" s="37"/>
      <c r="K40" s="37"/>
      <c r="L40" s="37"/>
      <c r="M40" s="37"/>
    </row>
    <row r="41" spans="2:13">
      <c r="B41" s="27" t="s">
        <v>83</v>
      </c>
      <c r="C41" s="27"/>
      <c r="D41" s="27"/>
      <c r="E41" s="28"/>
      <c r="F41" s="29">
        <v>2452.38</v>
      </c>
      <c r="G41" s="29">
        <v>5.96</v>
      </c>
      <c r="H41" s="29"/>
      <c r="J41" s="37"/>
      <c r="K41" s="37"/>
      <c r="L41" s="37"/>
      <c r="M41" s="37"/>
    </row>
    <row r="42" spans="2:13">
      <c r="B42" s="38" t="s">
        <v>64</v>
      </c>
      <c r="C42" s="38"/>
      <c r="D42" s="38"/>
      <c r="E42" s="39"/>
      <c r="F42" s="40">
        <f>SUM(F40:F41)</f>
        <v>2452.38</v>
      </c>
      <c r="G42" s="40">
        <f>SUM(G40:G41)</f>
        <v>5.96</v>
      </c>
      <c r="H42" s="41"/>
      <c r="J42" s="37"/>
      <c r="K42" s="37"/>
      <c r="L42" s="37"/>
      <c r="M42" s="37"/>
    </row>
    <row r="43" spans="2:13">
      <c r="B43" s="53" t="s">
        <v>65</v>
      </c>
      <c r="C43" s="53"/>
      <c r="D43" s="53"/>
      <c r="E43" s="54"/>
      <c r="F43" s="55">
        <f>F42</f>
        <v>2452.38</v>
      </c>
      <c r="G43" s="55">
        <f>G42</f>
        <v>5.96</v>
      </c>
      <c r="H43" s="55"/>
      <c r="J43" s="37"/>
      <c r="K43" s="37"/>
      <c r="L43" s="37"/>
      <c r="M43" s="37"/>
    </row>
    <row r="44" spans="2:13">
      <c r="B44" s="56" t="s">
        <v>84</v>
      </c>
      <c r="C44" s="56"/>
      <c r="D44" s="56"/>
      <c r="E44" s="57"/>
      <c r="F44" s="58">
        <f>F45-(+F26+F34+F39+F43)</f>
        <v>1010.830000000009</v>
      </c>
      <c r="G44" s="58">
        <f>G45-(+G26+G34+G39+G43)</f>
        <v>2.460000000000008</v>
      </c>
      <c r="H44" s="58"/>
      <c r="J44" s="37"/>
      <c r="K44" s="37"/>
      <c r="L44" s="37"/>
      <c r="M44" s="37"/>
    </row>
    <row r="45" spans="2:13">
      <c r="B45" s="56" t="s">
        <v>85</v>
      </c>
      <c r="C45" s="56"/>
      <c r="D45" s="56"/>
      <c r="E45" s="57"/>
      <c r="F45" s="58">
        <v>41176.5</v>
      </c>
      <c r="G45" s="58">
        <v>100</v>
      </c>
      <c r="H45" s="58"/>
      <c r="J45" s="37"/>
      <c r="K45" s="37"/>
      <c r="L45" s="37"/>
      <c r="M45" s="37"/>
    </row>
    <row r="46" spans="2:13">
      <c r="J46" s="37"/>
      <c r="K46" s="37"/>
      <c r="L46" s="37"/>
      <c r="M46" s="37"/>
    </row>
    <row r="47" spans="2:13">
      <c r="B47" s="60" t="s">
        <v>86</v>
      </c>
      <c r="J47" s="37"/>
      <c r="K47" s="37"/>
      <c r="L47" s="37"/>
      <c r="M47" s="37"/>
    </row>
    <row r="48" spans="2:13">
      <c r="B48" s="60" t="s">
        <v>87</v>
      </c>
      <c r="J48" s="37"/>
      <c r="K48" s="37"/>
      <c r="L48" s="37"/>
      <c r="M48" s="37"/>
    </row>
    <row r="49" spans="2:13" ht="12.75" thickBot="1">
      <c r="J49" s="37"/>
      <c r="K49" s="37"/>
      <c r="L49" s="37"/>
      <c r="M49" s="37"/>
    </row>
    <row r="50" spans="2:13" ht="13.5" thickTop="1" thickBot="1">
      <c r="B50" s="61" t="s">
        <v>88</v>
      </c>
      <c r="C50" s="62">
        <v>2.8671000000000002</v>
      </c>
      <c r="J50" s="37"/>
      <c r="K50" s="37"/>
      <c r="L50" s="37"/>
      <c r="M50" s="37"/>
    </row>
    <row r="51" spans="2:13" ht="13.5" thickTop="1" thickBot="1">
      <c r="J51" s="37"/>
      <c r="K51" s="37"/>
      <c r="L51" s="37"/>
      <c r="M51" s="37"/>
    </row>
    <row r="52" spans="2:13" ht="13.5" thickTop="1" thickBot="1">
      <c r="B52" s="61" t="s">
        <v>89</v>
      </c>
      <c r="C52" s="63">
        <v>7.3999999999999996E-2</v>
      </c>
      <c r="J52" s="37"/>
      <c r="K52" s="37"/>
      <c r="L52" s="37"/>
    </row>
    <row r="53" spans="2:13" ht="13.5" thickTop="1" thickBot="1">
      <c r="J53" s="37"/>
      <c r="K53" s="37"/>
      <c r="L53" s="37"/>
    </row>
    <row r="54" spans="2:13" ht="13.5" thickTop="1" thickBot="1">
      <c r="B54" s="61" t="s">
        <v>90</v>
      </c>
      <c r="C54" s="62">
        <v>3.1322999999999999</v>
      </c>
      <c r="J54" s="37"/>
      <c r="K54" s="37"/>
      <c r="L54" s="37"/>
    </row>
    <row r="55" spans="2:13" ht="12.75" thickTop="1">
      <c r="J55" s="37"/>
      <c r="K55" s="37"/>
      <c r="L55" s="37"/>
    </row>
    <row r="56" spans="2:13">
      <c r="J56" s="37"/>
      <c r="K56" s="37"/>
      <c r="L56" s="37"/>
    </row>
    <row r="57" spans="2:13">
      <c r="J57" s="37"/>
      <c r="K57" s="37"/>
      <c r="L57" s="37"/>
    </row>
    <row r="58" spans="2:13">
      <c r="J58" s="37"/>
      <c r="K58" s="37"/>
      <c r="L58" s="37"/>
    </row>
    <row r="59" spans="2:13">
      <c r="J59" s="37"/>
      <c r="K59" s="37"/>
      <c r="L59" s="37"/>
    </row>
    <row r="60" spans="2:13">
      <c r="J60" s="37"/>
      <c r="K60" s="37"/>
      <c r="L60" s="37"/>
    </row>
    <row r="61" spans="2:13">
      <c r="J61" s="37"/>
      <c r="K61" s="37"/>
      <c r="L61" s="37"/>
    </row>
    <row r="62" spans="2:13">
      <c r="J62" s="37"/>
      <c r="K62" s="37"/>
      <c r="L62" s="37"/>
    </row>
    <row r="63" spans="2:13">
      <c r="J63" s="37"/>
      <c r="K63" s="37"/>
      <c r="L63" s="37"/>
    </row>
  </sheetData>
  <mergeCells count="20">
    <mergeCell ref="N11:N12"/>
    <mergeCell ref="O11:O12"/>
    <mergeCell ref="P11:P12"/>
    <mergeCell ref="Q11:Q12"/>
    <mergeCell ref="P7:P8"/>
    <mergeCell ref="Q7:Q8"/>
    <mergeCell ref="N9:N10"/>
    <mergeCell ref="O9:O10"/>
    <mergeCell ref="P9:P10"/>
    <mergeCell ref="Q9:Q10"/>
    <mergeCell ref="B1:H1"/>
    <mergeCell ref="N4:Q4"/>
    <mergeCell ref="J5:J12"/>
    <mergeCell ref="K5:K12"/>
    <mergeCell ref="L5:L12"/>
    <mergeCell ref="O5:O6"/>
    <mergeCell ref="P5:P6"/>
    <mergeCell ref="Q5:Q6"/>
    <mergeCell ref="N7:N8"/>
    <mergeCell ref="O7:O8"/>
  </mergeCells>
  <pageMargins left="0.7" right="0.7" top="0.75" bottom="0.75" header="0.3" footer="0.3"/>
  <pageSetup paperSize="9" orientation="portrait" r:id="rId1"/>
  <headerFooter>
    <oddFooter>&amp;C&amp;1#&amp;"Calibri"&amp;10&amp;K000000PUBLIC</oddFooter>
    <evenFooter>&amp;LPUBLIC</evenFooter>
    <firstFooter>&amp;LPUBLIC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Klassify>
  <SNO>1</SNO>
  <KDate>2023-08-08 11:35:47</KDate>
  <Classification>Public</Classification>
  <Subclassification/>
  <HostName>MUMCMP00935</HostName>
  <Domain_User>CANARAROBECOMF/628</Domain_User>
  <IPAdd>192.9.198.194</IPAdd>
  <FilePath>Book23</FilePath>
  <KID>C025A5607E97638270913477516466</KID>
  <UniqueName/>
  <Suggested/>
  <Justification/>
</Klassify>
</file>

<file path=customXml/itemProps1.xml><?xml version="1.0" encoding="utf-8"?>
<ds:datastoreItem xmlns:ds="http://schemas.openxmlformats.org/officeDocument/2006/customXml" ds:itemID="{146DA4D6-30A2-4E66-950F-838C8AD9C4E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Ruchi Kanabar</dc:creator>
  <cp:lastModifiedBy>Ruchi Kanabar</cp:lastModifiedBy>
  <dcterms:created xsi:type="dcterms:W3CDTF">2023-08-08T06:05:41Z</dcterms:created>
  <dcterms:modified xsi:type="dcterms:W3CDTF">2023-08-08T06:05:47Z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Public</vt:lpwstr>
  </property>
  <property fmtid="{D5CDD505-2E9C-101B-9397-08002B2CF9AE}" pid="3" name="Rules">
    <vt:lpwstr/>
  </property>
  <property fmtid="{D5CDD505-2E9C-101B-9397-08002B2CF9AE}" pid="4" name="KID">
    <vt:lpwstr>C025A5607E97638270913477516466</vt:lpwstr>
  </property>
</Properties>
</file>