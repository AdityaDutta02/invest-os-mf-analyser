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une 2022\"/>
    </mc:Choice>
  </mc:AlternateContent>
  <bookViews>
    <workbookView xWindow="0" yWindow="0" windowWidth="20490" windowHeight="7050"/>
  </bookViews>
  <sheets>
    <sheet name="I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1" l="1"/>
  <c r="G27" i="1" s="1"/>
  <c r="F26" i="1"/>
  <c r="F27" i="1" s="1"/>
  <c r="G23" i="1"/>
  <c r="F23" i="1"/>
  <c r="G13" i="1"/>
  <c r="G28" i="1" s="1"/>
  <c r="F13" i="1"/>
  <c r="F28" i="1" s="1"/>
  <c r="G12" i="1"/>
  <c r="F12" i="1"/>
</calcChain>
</file>

<file path=xl/sharedStrings.xml><?xml version="1.0" encoding="utf-8"?>
<sst xmlns="http://schemas.openxmlformats.org/spreadsheetml/2006/main" count="75" uniqueCount="60">
  <si>
    <t>CANARA ROBECO INCOME FUND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</si>
  <si>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</si>
  <si>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</si>
  <si>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</si>
  <si>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</si>
  <si>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</si>
  <si>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</si>
  <si>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</si>
  <si>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</si>
  <si>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Jun'22</t>
  </si>
  <si>
    <t>Benchmark Risk-o-meter Level- Jun'22</t>
  </si>
  <si>
    <t>Previous Scheme Risk-o-meter Level- May'22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</si>
  <si>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</si>
  <si>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</si>
  <si>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</si>
  <si>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</si>
  <si>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</si>
  <si>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</si>
  <si>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</si>
  <si>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</si>
  <si>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8.70% Power Finance Corporation Ltd (14/05/2025) **</t>
  </si>
  <si>
    <t>INE134E08CY2</t>
  </si>
  <si>
    <t>CRISIL AAA</t>
  </si>
  <si>
    <t>Relatively Low (Class I)</t>
  </si>
  <si>
    <t>8.79% LIC Housing Finance Ltd (05/03/2024) **</t>
  </si>
  <si>
    <t>INE115A07NY8</t>
  </si>
  <si>
    <t>8.13% Power Grid Corporation of India Ltd (25/04/2023) **</t>
  </si>
  <si>
    <t>INE752E07NP8</t>
  </si>
  <si>
    <t>Moderate 
(Class II)</t>
  </si>
  <si>
    <t>7.99% Housing Development Finance Corporation Ltd (11/07/2024) **</t>
  </si>
  <si>
    <t>INE001A07RV7</t>
  </si>
  <si>
    <t>7.17% Reliance Industries Ltd (08/11/2022)</t>
  </si>
  <si>
    <t>INE002A08500</t>
  </si>
  <si>
    <t>Relatively High (Class III)</t>
  </si>
  <si>
    <t>B-III</t>
  </si>
  <si>
    <t>Sub Total</t>
  </si>
  <si>
    <t>Total</t>
  </si>
  <si>
    <t>Benchmark: CRISIL Medium to Long Duration Fund B-III Index</t>
  </si>
  <si>
    <t>Government Bonds</t>
  </si>
  <si>
    <t>7.59% GOI (11/01/2026)</t>
  </si>
  <si>
    <t>IN0020150093</t>
  </si>
  <si>
    <t>Sovereign</t>
  </si>
  <si>
    <t>6.54% GOI 17-JAN-32</t>
  </si>
  <si>
    <t>IN0020210244</t>
  </si>
  <si>
    <t>7.38% GOI 20-JUN-27</t>
  </si>
  <si>
    <t>IN0020220037</t>
  </si>
  <si>
    <t>6.69% GOI 27-JUN-24</t>
  </si>
  <si>
    <t>IN0020220052</t>
  </si>
  <si>
    <t>5.74% GOI (15/11/2026)</t>
  </si>
  <si>
    <t>IN0020210186</t>
  </si>
  <si>
    <t>7.27% INDIA GOVERNMENT 08-APR-26</t>
  </si>
  <si>
    <t>IN0020190016</t>
  </si>
  <si>
    <t>5.63% GOI (12/04/2026)</t>
  </si>
  <si>
    <t>IN0020210012</t>
  </si>
  <si>
    <t>8.47% Maharashtra SDL 10-Feb-26</t>
  </si>
  <si>
    <t>IN2220150188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</si>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</sst>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4" borderId="12" xfId="0" applyFont="1" applyFill="1" applyBorder="1" applyAlignment="1">
      <alignment horizontal="center" vertical="center"/>
    </xf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3" fillId="3" borderId="16" xfId="0" applyFont="1" applyFill="1" applyBorder="1"/>
    <xf numFmtId="3" fontId="3" fillId="3" borderId="16" xfId="0" applyNumberFormat="1" applyFont="1" applyFill="1" applyBorder="1"/>
    <xf numFmtId="4" fontId="3" fillId="3" borderId="16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76200</xdr:colOff>
      <xdr:row>4</xdr:row>
      <xdr:rowOff>85725</xdr:rowOff>
    </xdr:from>
    <xdr:ext cx="1552575" cy="1323975"/>
    <xdr:pic>
      <xdr:nvPicPr>
        <xdr:cNvPr id="2" name="Picture 1">
          <a:extLst>
            <a:ext uri="{FF2B5EF4-FFF2-40B4-BE49-F238E27FC236}">
              <a16:creationId xmlns:a16="http://schemas.microsoft.com/office/drawing/2014/main" id="{96610149-7811-43B8-87D1-75D4863AA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86900" y="1095375"/>
          <a:ext cx="1552575" cy="1323975"/>
        </a:xfrm>
        <a:prstGeom prst="rect">
          <a:avLst/>
        </a:prstGeom>
      </xdr:spPr>
    </xdr:pic>
    <xdr:clientData/>
  </xdr:oneCellAnchor>
  <xdr:oneCellAnchor>
    <xdr:from>
      <xdr:col>10</xdr:col>
      <xdr:colOff>76201</xdr:colOff>
      <xdr:row>4</xdr:row>
      <xdr:rowOff>95250</xdr:rowOff>
    </xdr:from>
    <xdr:ext cx="1590674" cy="1295399"/>
    <xdr:pic>
      <xdr:nvPicPr>
        <xdr:cNvPr id="3" name="Picture 2">
          <a:extLst>
            <a:ext uri="{FF2B5EF4-FFF2-40B4-BE49-F238E27FC236}">
              <a16:creationId xmlns:a16="http://schemas.microsoft.com/office/drawing/2014/main" id="{3DF17483-88BD-4556-87C8-536465402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3326" y="1104900"/>
          <a:ext cx="1590674" cy="1295399"/>
        </a:xfrm>
        <a:prstGeom prst="rect">
          <a:avLst/>
        </a:prstGeom>
      </xdr:spPr>
    </xdr:pic>
    <xdr:clientData/>
  </xdr:oneCellAnchor>
  <xdr:oneCellAnchor>
    <xdr:from>
      <xdr:col>11</xdr:col>
      <xdr:colOff>104775</xdr:colOff>
      <xdr:row>4</xdr:row>
      <xdr:rowOff>104774</xdr:rowOff>
    </xdr:from>
    <xdr:ext cx="1552575" cy="1362075"/>
    <xdr:pic>
      <xdr:nvPicPr>
        <xdr:cNvPr id="4" name="Picture 3">
          <a:extLst>
            <a:ext uri="{FF2B5EF4-FFF2-40B4-BE49-F238E27FC236}">
              <a16:creationId xmlns:a16="http://schemas.microsoft.com/office/drawing/2014/main" id="{B439D35E-821E-4B65-9F8B-FF7EBD50A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0" y="1114424"/>
          <a:ext cx="1552575" cy="1362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1"/>
  <sheetViews>
    <sheetView tabSelected="1" workbookViewId="0">
      <selection activeCell="D19" sqref="D19"/>
    </sheetView>
  </sheetViews>
  <sheetFormatPr defaultRowHeight="12"/>
  <cols>
    <col min="1" max="1" width="9.140625" style="4"/>
    <col min="2" max="2" width="57.140625" style="4" bestFit="1" customWidth="1"/>
    <col min="3" max="3" width="13.5703125" style="4" bestFit="1" customWidth="1"/>
    <col min="4" max="4" width="14.140625" style="4" bestFit="1" customWidth="1"/>
    <col min="5" max="5" width="8.85546875" style="58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" style="3" bestFit="1" customWidth="1"/>
    <col min="10" max="10" width="28.140625" style="3" customWidth="1"/>
    <col min="11" max="11" width="27.7109375" style="3" customWidth="1"/>
    <col min="12" max="12" width="28.7109375" style="3" customWidth="1"/>
    <col min="13" max="16384" width="9.140625" style="4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8"/>
      <c r="F3" s="9"/>
      <c r="G3" s="9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>
      <c r="B6" s="27" t="s">
        <v>18</v>
      </c>
      <c r="C6" s="28"/>
      <c r="D6" s="28"/>
      <c r="E6" s="29"/>
      <c r="F6" s="30"/>
      <c r="G6" s="30"/>
      <c r="H6" s="30"/>
      <c r="J6" s="24"/>
      <c r="K6" s="24"/>
      <c r="L6" s="24"/>
      <c r="N6" s="31" t="s">
        <v>19</v>
      </c>
      <c r="O6" s="26"/>
      <c r="P6" s="26"/>
      <c r="Q6" s="26"/>
    </row>
    <row r="7" spans="2:17">
      <c r="B7" s="28" t="s">
        <v>20</v>
      </c>
      <c r="C7" s="28" t="s">
        <v>21</v>
      </c>
      <c r="D7" s="28" t="s">
        <v>22</v>
      </c>
      <c r="E7" s="32">
        <v>50</v>
      </c>
      <c r="F7" s="30">
        <v>517.44000000000005</v>
      </c>
      <c r="G7" s="30">
        <v>4.1399999999999997</v>
      </c>
      <c r="H7" s="30">
        <v>7.3</v>
      </c>
      <c r="J7" s="24"/>
      <c r="K7" s="24"/>
      <c r="L7" s="24"/>
      <c r="N7" s="33" t="s">
        <v>23</v>
      </c>
      <c r="O7" s="34"/>
      <c r="P7" s="34"/>
      <c r="Q7" s="34"/>
    </row>
    <row r="8" spans="2:17">
      <c r="B8" s="28" t="s">
        <v>24</v>
      </c>
      <c r="C8" s="28" t="s">
        <v>25</v>
      </c>
      <c r="D8" s="28" t="s">
        <v>22</v>
      </c>
      <c r="E8" s="32">
        <v>50</v>
      </c>
      <c r="F8" s="30">
        <v>511.62</v>
      </c>
      <c r="G8" s="30">
        <v>4.0999999999999996</v>
      </c>
      <c r="H8" s="30">
        <v>7.23</v>
      </c>
      <c r="J8" s="24"/>
      <c r="K8" s="24"/>
      <c r="L8" s="24"/>
      <c r="N8" s="33"/>
      <c r="O8" s="35"/>
      <c r="P8" s="35"/>
      <c r="Q8" s="35"/>
    </row>
    <row r="9" spans="2:17">
      <c r="B9" s="28" t="s">
        <v>26</v>
      </c>
      <c r="C9" s="28" t="s">
        <v>27</v>
      </c>
      <c r="D9" s="28" t="s">
        <v>22</v>
      </c>
      <c r="E9" s="32">
        <v>50</v>
      </c>
      <c r="F9" s="30">
        <v>506.34</v>
      </c>
      <c r="G9" s="30">
        <v>4.05</v>
      </c>
      <c r="H9" s="30">
        <v>6.4</v>
      </c>
      <c r="J9" s="24"/>
      <c r="K9" s="24"/>
      <c r="L9" s="24"/>
      <c r="N9" s="33" t="s">
        <v>28</v>
      </c>
      <c r="O9" s="34"/>
      <c r="P9" s="34"/>
      <c r="Q9" s="34"/>
    </row>
    <row r="10" spans="2:17">
      <c r="B10" s="28" t="s">
        <v>29</v>
      </c>
      <c r="C10" s="28" t="s">
        <v>30</v>
      </c>
      <c r="D10" s="28" t="s">
        <v>22</v>
      </c>
      <c r="E10" s="32">
        <v>50</v>
      </c>
      <c r="F10" s="30">
        <v>506.25</v>
      </c>
      <c r="G10" s="30">
        <v>4.05</v>
      </c>
      <c r="H10" s="30">
        <v>7.3</v>
      </c>
      <c r="J10" s="24"/>
      <c r="K10" s="24"/>
      <c r="L10" s="24"/>
      <c r="N10" s="33"/>
      <c r="O10" s="35"/>
      <c r="P10" s="35"/>
      <c r="Q10" s="35"/>
    </row>
    <row r="11" spans="2:17">
      <c r="B11" s="28" t="s">
        <v>31</v>
      </c>
      <c r="C11" s="28" t="s">
        <v>32</v>
      </c>
      <c r="D11" s="28" t="s">
        <v>22</v>
      </c>
      <c r="E11" s="32">
        <v>50</v>
      </c>
      <c r="F11" s="30">
        <v>501.79</v>
      </c>
      <c r="G11" s="30">
        <v>4.0199999999999996</v>
      </c>
      <c r="H11" s="30">
        <v>5.88</v>
      </c>
      <c r="J11" s="24"/>
      <c r="K11" s="24"/>
      <c r="L11" s="24"/>
      <c r="N11" s="33" t="s">
        <v>33</v>
      </c>
      <c r="O11" s="34"/>
      <c r="P11" s="36" t="s">
        <v>34</v>
      </c>
      <c r="Q11" s="34"/>
    </row>
    <row r="12" spans="2:17">
      <c r="B12" s="37" t="s">
        <v>35</v>
      </c>
      <c r="C12" s="37"/>
      <c r="D12" s="37"/>
      <c r="E12" s="38"/>
      <c r="F12" s="39">
        <f>SUM(F6:F11)</f>
        <v>2543.44</v>
      </c>
      <c r="G12" s="39">
        <f>SUM(G6:G11)</f>
        <v>20.36</v>
      </c>
      <c r="H12" s="40"/>
      <c r="J12" s="24"/>
      <c r="K12" s="24"/>
      <c r="L12" s="24"/>
      <c r="N12" s="33"/>
      <c r="O12" s="35"/>
      <c r="P12" s="41"/>
      <c r="Q12" s="35"/>
    </row>
    <row r="13" spans="2:17">
      <c r="B13" s="42" t="s">
        <v>36</v>
      </c>
      <c r="C13" s="42"/>
      <c r="D13" s="42"/>
      <c r="E13" s="43"/>
      <c r="F13" s="44">
        <f>F12</f>
        <v>2543.44</v>
      </c>
      <c r="G13" s="44">
        <f>G12</f>
        <v>20.36</v>
      </c>
      <c r="H13" s="44"/>
      <c r="K13" s="3" t="s">
        <v>37</v>
      </c>
    </row>
    <row r="14" spans="2:17">
      <c r="B14" s="27" t="s">
        <v>38</v>
      </c>
      <c r="C14" s="28"/>
      <c r="D14" s="28"/>
      <c r="E14" s="29"/>
      <c r="F14" s="30"/>
      <c r="G14" s="30"/>
      <c r="H14" s="30"/>
    </row>
    <row r="15" spans="2:17">
      <c r="B15" s="28" t="s">
        <v>39</v>
      </c>
      <c r="C15" s="28" t="s">
        <v>40</v>
      </c>
      <c r="D15" s="28" t="s">
        <v>41</v>
      </c>
      <c r="E15" s="32">
        <v>1500000</v>
      </c>
      <c r="F15" s="30">
        <v>1521.13</v>
      </c>
      <c r="G15" s="30">
        <v>12.18</v>
      </c>
      <c r="H15" s="30">
        <v>7.13</v>
      </c>
    </row>
    <row r="16" spans="2:17">
      <c r="B16" s="28" t="s">
        <v>42</v>
      </c>
      <c r="C16" s="28" t="s">
        <v>43</v>
      </c>
      <c r="D16" s="28" t="s">
        <v>41</v>
      </c>
      <c r="E16" s="32">
        <v>1500000</v>
      </c>
      <c r="F16" s="30">
        <v>1408.62</v>
      </c>
      <c r="G16" s="30">
        <v>11.28</v>
      </c>
      <c r="H16" s="30">
        <v>7.44</v>
      </c>
    </row>
    <row r="17" spans="2:8">
      <c r="B17" s="28" t="s">
        <v>44</v>
      </c>
      <c r="C17" s="28" t="s">
        <v>45</v>
      </c>
      <c r="D17" s="28" t="s">
        <v>41</v>
      </c>
      <c r="E17" s="32">
        <v>1000000</v>
      </c>
      <c r="F17" s="30">
        <v>1005.8</v>
      </c>
      <c r="G17" s="30">
        <v>8.0500000000000007</v>
      </c>
      <c r="H17" s="30">
        <v>7.24</v>
      </c>
    </row>
    <row r="18" spans="2:8">
      <c r="B18" s="28" t="s">
        <v>46</v>
      </c>
      <c r="C18" s="28" t="s">
        <v>47</v>
      </c>
      <c r="D18" s="28" t="s">
        <v>41</v>
      </c>
      <c r="E18" s="32">
        <v>1000000</v>
      </c>
      <c r="F18" s="30">
        <v>1000.7</v>
      </c>
      <c r="G18" s="30">
        <v>8.01</v>
      </c>
      <c r="H18" s="30">
        <v>6.65</v>
      </c>
    </row>
    <row r="19" spans="2:8">
      <c r="B19" s="28" t="s">
        <v>48</v>
      </c>
      <c r="C19" s="28" t="s">
        <v>49</v>
      </c>
      <c r="D19" s="28" t="s">
        <v>41</v>
      </c>
      <c r="E19" s="32">
        <v>1000000</v>
      </c>
      <c r="F19" s="30">
        <v>946.97</v>
      </c>
      <c r="G19" s="30">
        <v>7.58</v>
      </c>
      <c r="H19" s="30">
        <v>7.17</v>
      </c>
    </row>
    <row r="20" spans="2:8">
      <c r="B20" s="28" t="s">
        <v>50</v>
      </c>
      <c r="C20" s="28" t="s">
        <v>51</v>
      </c>
      <c r="D20" s="28" t="s">
        <v>41</v>
      </c>
      <c r="E20" s="32">
        <v>500000</v>
      </c>
      <c r="F20" s="30">
        <v>501.6</v>
      </c>
      <c r="G20" s="30">
        <v>4.0199999999999996</v>
      </c>
      <c r="H20" s="30">
        <v>7.17</v>
      </c>
    </row>
    <row r="21" spans="2:8">
      <c r="B21" s="28" t="s">
        <v>52</v>
      </c>
      <c r="C21" s="28" t="s">
        <v>53</v>
      </c>
      <c r="D21" s="28" t="s">
        <v>41</v>
      </c>
      <c r="E21" s="32">
        <v>500000</v>
      </c>
      <c r="F21" s="30">
        <v>475.72</v>
      </c>
      <c r="G21" s="30">
        <v>3.81</v>
      </c>
      <c r="H21" s="30">
        <v>7.11</v>
      </c>
    </row>
    <row r="22" spans="2:8">
      <c r="B22" s="45" t="s">
        <v>54</v>
      </c>
      <c r="C22" s="45" t="s">
        <v>55</v>
      </c>
      <c r="D22" s="45" t="s">
        <v>41</v>
      </c>
      <c r="E22" s="46">
        <v>28000</v>
      </c>
      <c r="F22" s="47">
        <v>28.95</v>
      </c>
      <c r="G22" s="47">
        <v>0.23</v>
      </c>
      <c r="H22" s="47">
        <v>7.38</v>
      </c>
    </row>
    <row r="23" spans="2:8">
      <c r="B23" s="48" t="s">
        <v>36</v>
      </c>
      <c r="C23" s="48"/>
      <c r="D23" s="48"/>
      <c r="E23" s="49"/>
      <c r="F23" s="50">
        <f>SUM(F15:F22)</f>
        <v>6889.4900000000007</v>
      </c>
      <c r="G23" s="50">
        <f>SUM(G15:G22)</f>
        <v>55.160000000000004</v>
      </c>
      <c r="H23" s="50"/>
    </row>
    <row r="24" spans="2:8">
      <c r="B24" s="27" t="s">
        <v>56</v>
      </c>
      <c r="C24" s="28"/>
      <c r="D24" s="28"/>
      <c r="E24" s="29"/>
      <c r="F24" s="30"/>
      <c r="G24" s="30"/>
      <c r="H24" s="30"/>
    </row>
    <row r="25" spans="2:8">
      <c r="B25" s="28" t="s">
        <v>56</v>
      </c>
      <c r="C25" s="28"/>
      <c r="D25" s="28"/>
      <c r="E25" s="29"/>
      <c r="F25" s="30">
        <v>2827.78</v>
      </c>
      <c r="G25" s="30">
        <v>22.64</v>
      </c>
      <c r="H25" s="30"/>
    </row>
    <row r="26" spans="2:8">
      <c r="B26" s="37" t="s">
        <v>35</v>
      </c>
      <c r="C26" s="37"/>
      <c r="D26" s="37"/>
      <c r="E26" s="38"/>
      <c r="F26" s="39">
        <f>SUM(F24:F25)</f>
        <v>2827.78</v>
      </c>
      <c r="G26" s="39">
        <f>SUM(G24:G25)</f>
        <v>22.64</v>
      </c>
      <c r="H26" s="40"/>
    </row>
    <row r="27" spans="2:8">
      <c r="B27" s="51" t="s">
        <v>36</v>
      </c>
      <c r="C27" s="51"/>
      <c r="D27" s="51"/>
      <c r="E27" s="52"/>
      <c r="F27" s="53">
        <f>F26</f>
        <v>2827.78</v>
      </c>
      <c r="G27" s="53">
        <f>G26</f>
        <v>22.64</v>
      </c>
      <c r="H27" s="53"/>
    </row>
    <row r="28" spans="2:8">
      <c r="B28" s="54" t="s">
        <v>57</v>
      </c>
      <c r="C28" s="54"/>
      <c r="D28" s="54"/>
      <c r="E28" s="55"/>
      <c r="F28" s="56">
        <f>F29-(+F13+F23+F27)</f>
        <v>227.88999999999942</v>
      </c>
      <c r="G28" s="56">
        <f>G29-(+G13+G23+G27)</f>
        <v>1.8399999999999892</v>
      </c>
      <c r="H28" s="56"/>
    </row>
    <row r="29" spans="2:8">
      <c r="B29" s="54" t="s">
        <v>58</v>
      </c>
      <c r="C29" s="54"/>
      <c r="D29" s="54"/>
      <c r="E29" s="55"/>
      <c r="F29" s="56">
        <v>12488.6</v>
      </c>
      <c r="G29" s="56">
        <v>100</v>
      </c>
      <c r="H29" s="56"/>
    </row>
    <row r="31" spans="2:8">
      <c r="B31" s="57" t="s">
        <v>59</v>
      </c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rintOptions horizontalCentered="1"/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2022-07-07 12:05:49</KDate>
  <Classification>Public</Classification>
  <Subclassification/>
  <HostName>MUMCMP00935</HostName>
  <Domain_User>CANARAROBECOMF/628</Domain_User>
  <IPAdd>192.9.198.194</IPAdd>
  <FilePath>Book13</FilePath>
  <KID>C025A5607E97637927923490394978</KID>
  <UniqueName/>
  <Suggested/>
  <Justification/>
</Klassify>
</file>

<file path=customXml/itemProps1.xml><?xml version="1.0" encoding="utf-8"?>
<ds:datastoreItem xmlns:ds="http://schemas.openxmlformats.org/officeDocument/2006/customXml" ds:itemID="{71979D9C-84FD-4CED-AF0E-1D406B63506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2022-07-07T06:35:43Z</dcterms:created>
  <dcterms:modified xsi:type="dcterms:W3CDTF">2022-07-07T06:35:49Z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C025A5607E97637927923490394978</vt:lpwstr>
  </property>
</Properties>
</file>