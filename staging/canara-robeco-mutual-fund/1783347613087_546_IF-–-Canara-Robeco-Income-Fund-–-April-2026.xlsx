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P:\hemangi\data\monthly portfolios with ISIN\FY 2026-27\APRIL'26\Monthly Portfolio Apr 26\Verified by Certitude\"/>
    </mc:Choice>
  </mc:AlternateContent>
  <xr:revisionPtr revIDLastSave="0" documentId="8_{1D7097E4-93CA-4771-8B37-4491F70F3D85}" xr6:coauthVersionLast="47" xr6:coauthVersionMax="47" xr10:uidLastSave="{00000000-0000-0000-0000-000000000000}"/>
  <bookViews>
    <workbookView xWindow="-110" yWindow="-110" windowWidth="19420" windowHeight="10300" xr2:uid="{5DCCB515-E1EF-47DB-8543-822D5C3515C4}"/>
  </bookViews>
  <sheets>
    <sheet name="I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9" i="1" l="1"/>
  <c r="G30" i="1" s="1"/>
  <c r="F29" i="1"/>
  <c r="F30" i="1" s="1"/>
  <c r="G26" i="1"/>
  <c r="F26" i="1"/>
  <c r="G23" i="1"/>
  <c r="F23" i="1"/>
  <c r="G9" i="1"/>
  <c r="G8" i="1"/>
  <c r="F8" i="1"/>
  <c r="F9" i="1" s="1"/>
  <c r="F31" i="1" l="1"/>
  <c r="G3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<sst xmlns="http://schemas.openxmlformats.org/spreadsheetml/2006/main" count="101" uniqueCount="84">
  <si>
    <t>CANARA ROBECO INCOME FUND</t>
  </si>
  <si>
    <t>Monthly Portfolio Statement as on April 30, 2026</t>
  </si>
  <si>
    <t>Name of the Instrument</t>
  </si>
  <si>
    <t>ISIN</t>
  </si>
  <si>
    <t>Industry / Rating</t>
  </si>
  <si>
    <t>Quantity</t>
  </si>
  <si>
    <t>Market/Fair Value
 (Rs. in Lacs)</t>
  </si>
  <si>
    <t>% to Net
 Assets</t>
  </si>
  <si>
    <t>Yield %</t>
  </si>
  <si>
    <t>Scheme Risk-O-Meter Level - April'26</t>
  </si>
  <si>
    <t>Benchmark Risk-O-Meter Level - April'26</t>
  </si>
  <si>
    <t>Scheme Risk-O-Meter Level - March'26</t>
  </si>
  <si>
    <t>Benchmark Risk-O-Meter Level - March'26</t>
  </si>
  <si>
    <t>Potential Risk Class (PRC) Matrix</t>
  </si>
  <si>
    <t>Money Market Instruments</t>
  </si>
  <si>
    <t>Credit Risk →</t>
  </si>
  <si>
    <t>Relatively Low (Class A)</t>
  </si>
  <si>
    <t>Moderate (Class B)</t>
  </si>
  <si>
    <t>Relatively High (Class C)</t>
  </si>
  <si>
    <t>Treasury Bill</t>
  </si>
  <si>
    <t>Interest Rate Risk ↓</t>
  </si>
  <si>
    <t>364 DTB (10-SEP-2026)</t>
  </si>
  <si>
    <t>IN002025Z245</t>
  </si>
  <si>
    <t xml:space="preserve"> Sovereign</t>
  </si>
  <si>
    <t>Relatively Low (Class I)</t>
  </si>
  <si>
    <t>Sub Total</t>
  </si>
  <si>
    <t>Total</t>
  </si>
  <si>
    <t>Moderate 
(Class II)</t>
  </si>
  <si>
    <t>Government Bonds</t>
  </si>
  <si>
    <t>6.48% GOI 2035 (06-OCT-2035)</t>
  </si>
  <si>
    <t>IN0020250091</t>
  </si>
  <si>
    <t>Sovereign</t>
  </si>
  <si>
    <t>Relatively High (Class III)</t>
  </si>
  <si>
    <t>B-III</t>
  </si>
  <si>
    <t>GOI FRB 2034 (30-OCT-2034)</t>
  </si>
  <si>
    <t>IN0020210137</t>
  </si>
  <si>
    <t>7.18% MAHARASHTRA SDL 28-JUN-29</t>
  </si>
  <si>
    <t>IN2220170038</t>
  </si>
  <si>
    <t>Benchmark: CRISIL Medium to Long Duration Debt A-III Index</t>
  </si>
  <si>
    <t>7.02% KERALA SDL 03-MAR-28</t>
  </si>
  <si>
    <t>IN2020200266</t>
  </si>
  <si>
    <t>6.68% GOI 2033 (27-JAN-2033)</t>
  </si>
  <si>
    <t>IN0020250133</t>
  </si>
  <si>
    <t>6.90% GOI 2065 (15-APR-2065)</t>
  </si>
  <si>
    <t>IN0020250018</t>
  </si>
  <si>
    <t>GOI FRB 2033 (22-SEP-2033)</t>
  </si>
  <si>
    <t>IN0020200120</t>
  </si>
  <si>
    <t>8.34% UTTAR PRADESH SDL 06-FEB-29</t>
  </si>
  <si>
    <t>IN3320180141</t>
  </si>
  <si>
    <t>8.15% RAJASTHAN SDL 16-APR-29</t>
  </si>
  <si>
    <t>IN2920190021</t>
  </si>
  <si>
    <t>7.11% TAMIL NADU SDL 31-JUL-29</t>
  </si>
  <si>
    <t>IN3120190068</t>
  </si>
  <si>
    <t>6.53% TAMIL NADU SDL 06-JAN-31</t>
  </si>
  <si>
    <t>IN3120200339</t>
  </si>
  <si>
    <t>6.28% GOI 2032 (14-JUL-2032)</t>
  </si>
  <si>
    <t>IN0020250059</t>
  </si>
  <si>
    <t>Alternative Investment Fund</t>
  </si>
  <si>
    <t>CORPORATE DEBT MARKET DEVELOPMENT FUND CLASS A2</t>
  </si>
  <si>
    <t>INF0RQ622028</t>
  </si>
  <si>
    <t>TREPS</t>
  </si>
  <si>
    <t>Net Receivables / (Payables)</t>
  </si>
  <si>
    <t>Grand Total</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</si>
  <si>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</si>
  <si>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Modified Duration (In Years)</t>
  </si>
  <si>
    <t>Annualised Portfolio YTM</t>
  </si>
  <si>
    <t>Macaulay Duration (In Years)</t>
  </si>
  <si>
    <t>Average Maturity Yrs</t>
  </si>
  <si>
    <t>Notes</t>
  </si>
  <si>
    <t>(1) The provision made for Securities classified as below investment grade or default as of April,30 2026 is Rs Nil and its percentage to Net Asset Value is Nil.</t>
  </si>
  <si>
    <t>(2)  Plan/option wise per unit Net Asset Value are as follows:</t>
  </si>
  <si>
    <t xml:space="preserve">      Plan/Option</t>
  </si>
  <si>
    <t>As on March,31 2026</t>
  </si>
  <si>
    <t>As on April,30 2026</t>
  </si>
  <si>
    <t xml:space="preserve">      REGULAR PLAN - GROWTH OPTION</t>
  </si>
  <si>
    <t xml:space="preserve">      REGULAR PLAN - QUARTERLY IDCW (Payout/Reinvestment)</t>
  </si>
  <si>
    <t xml:space="preserve">      DIRECT PLAN - GROWTH OPTION</t>
  </si>
  <si>
    <t xml:space="preserve">      DIRECT PLAN - QUARTERLY IDCW (Payout/Reinvestment)</t>
  </si>
  <si>
    <t>(3) No Dividend declared during the month ended April,30 2026</t>
  </si>
  <si>
    <t>(4) Total outstanding exposure in derivative instruments as on April,30 2026 is Nil.</t>
  </si>
  <si>
    <t>(5) Total Market value of investments in Foreign Securities/American Depositary Receipts/Global Depositary Receipts as at April,30 2026 is Rs. Nil .</t>
  </si>
  <si>
    <t>(6)  Details of repo transaction in corporate debt securities for the month ended April,30 2026 is Nil.</t>
  </si>
  <si>
    <t>Please refer the below link for the performance of the Schemes managed by Canara Robeco Mutual Fund</t>
  </si>
  <si>
    <t>https://www.canararobeco.com/docs/default-source/default-document-library/Scheme%20Performance%20April%2026.pdf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</si>
</sst>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
      <b/>
      <sz val="8"/>
      <color rgb="FFFF0000"/>
      <name val="Arial"/>
      <family val="2"/>
    </font>
    <font>
      <b/>
      <sz val="8"/>
      <name val="Arial"/>
      <family val="2"/>
    </font>
  </fonts>
  <fills count="6">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theme="0" tint="-0.14999847407452621"/>
        <bgColor indexed="64"/>
      </patternFill>
    </fill>
    <fill>
      <patternFill patternType="solid">
        <fgColor rgb="FFD3D3D3"/>
        <bgColor indexed="64"/>
      </patternFill>
    </fill>
  </fills>
  <borders count="22">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0"/>
      </left>
      <right style="thin">
        <color indexed="0"/>
      </right>
      <top/>
      <bottom/>
      <diagonal/>
    </border>
    <border>
      <left style="thin">
        <color indexed="64"/>
      </left>
      <right style="thin">
        <color indexed="64"/>
      </right>
      <top/>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60">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3" borderId="9" xfId="0" applyFont="1" applyFill="1" applyBorder="1"/>
    <xf numFmtId="0" fontId="4" fillId="3" borderId="9" xfId="0" applyFont="1" applyFill="1" applyBorder="1"/>
    <xf numFmtId="4" fontId="4" fillId="3" borderId="9" xfId="0" applyNumberFormat="1" applyFont="1" applyFill="1" applyBorder="1"/>
    <xf numFmtId="43" fontId="4" fillId="3" borderId="10" xfId="1" applyFont="1" applyFill="1" applyBorder="1" applyAlignment="1">
      <alignment horizontal="center" vertical="center"/>
    </xf>
    <xf numFmtId="43" fontId="4" fillId="3" borderId="5" xfId="1" applyFont="1" applyFill="1" applyBorder="1" applyAlignment="1">
      <alignment horizontal="center" vertical="center"/>
    </xf>
    <xf numFmtId="0" fontId="10" fillId="0" borderId="10" xfId="0" applyFont="1" applyBorder="1" applyAlignment="1">
      <alignment horizontal="center" wrapText="1"/>
    </xf>
    <xf numFmtId="0" fontId="10" fillId="0" borderId="10" xfId="0" applyFont="1" applyBorder="1" applyAlignment="1">
      <alignment horizontal="center" wrapText="1"/>
    </xf>
    <xf numFmtId="0" fontId="10" fillId="3" borderId="11" xfId="0" applyFont="1" applyFill="1" applyBorder="1"/>
    <xf numFmtId="0" fontId="4" fillId="3" borderId="11" xfId="0" applyFont="1" applyFill="1" applyBorder="1"/>
    <xf numFmtId="4" fontId="4" fillId="3" borderId="11" xfId="0" applyNumberFormat="1" applyFont="1" applyFill="1" applyBorder="1"/>
    <xf numFmtId="43" fontId="4" fillId="3" borderId="12" xfId="1" applyFont="1" applyFill="1" applyBorder="1" applyAlignment="1">
      <alignment horizontal="center" vertical="center"/>
    </xf>
    <xf numFmtId="0" fontId="10" fillId="0" borderId="10" xfId="0" applyFont="1" applyBorder="1" applyAlignment="1">
      <alignment horizontal="left" vertical="top" wrapText="1"/>
    </xf>
    <xf numFmtId="3" fontId="4" fillId="3" borderId="11" xfId="0" applyNumberFormat="1" applyFont="1" applyFill="1" applyBorder="1"/>
    <xf numFmtId="0" fontId="10" fillId="0" borderId="10" xfId="0" applyFont="1" applyBorder="1" applyAlignment="1">
      <alignment horizontal="left" wrapText="1"/>
    </xf>
    <xf numFmtId="0" fontId="4" fillId="0" borderId="5" xfId="0" applyFont="1" applyBorder="1" applyAlignment="1">
      <alignment horizontal="center"/>
    </xf>
    <xf numFmtId="0" fontId="10" fillId="3" borderId="13" xfId="0" applyFont="1" applyFill="1" applyBorder="1"/>
    <xf numFmtId="4" fontId="10" fillId="3" borderId="14" xfId="0" applyNumberFormat="1" applyFont="1" applyFill="1" applyBorder="1"/>
    <xf numFmtId="4" fontId="10" fillId="3" borderId="13" xfId="0" applyNumberFormat="1" applyFont="1" applyFill="1" applyBorder="1"/>
    <xf numFmtId="0" fontId="10" fillId="3" borderId="0" xfId="0" applyFont="1" applyFill="1"/>
    <xf numFmtId="0" fontId="4" fillId="0" borderId="15" xfId="0" applyFont="1" applyBorder="1" applyAlignment="1">
      <alignment horizontal="center"/>
    </xf>
    <xf numFmtId="0" fontId="10" fillId="3" borderId="16" xfId="0" applyFont="1" applyFill="1" applyBorder="1"/>
    <xf numFmtId="4" fontId="10" fillId="3" borderId="16" xfId="0" applyNumberFormat="1" applyFont="1" applyFill="1" applyBorder="1"/>
    <xf numFmtId="0" fontId="10" fillId="4" borderId="5" xfId="0" applyFont="1" applyFill="1" applyBorder="1" applyAlignment="1">
      <alignment horizontal="center" vertical="center"/>
    </xf>
    <xf numFmtId="43" fontId="4" fillId="3" borderId="15" xfId="1" applyFont="1" applyFill="1" applyBorder="1" applyAlignment="1">
      <alignment horizontal="center" vertical="center"/>
    </xf>
    <xf numFmtId="0" fontId="10" fillId="4" borderId="15" xfId="0" applyFont="1" applyFill="1" applyBorder="1" applyAlignment="1">
      <alignment horizontal="center" vertical="center"/>
    </xf>
    <xf numFmtId="43" fontId="4" fillId="3" borderId="0" xfId="1" applyFont="1" applyFill="1" applyAlignment="1"/>
    <xf numFmtId="43" fontId="4" fillId="3" borderId="0" xfId="1" applyFont="1" applyFill="1"/>
    <xf numFmtId="0" fontId="4" fillId="3" borderId="17" xfId="0" applyFont="1" applyFill="1" applyBorder="1"/>
    <xf numFmtId="3" fontId="4" fillId="3" borderId="17" xfId="0" applyNumberFormat="1" applyFont="1" applyFill="1" applyBorder="1"/>
    <xf numFmtId="4" fontId="4" fillId="3" borderId="17" xfId="0" applyNumberFormat="1" applyFont="1" applyFill="1" applyBorder="1"/>
    <xf numFmtId="0" fontId="10" fillId="3" borderId="18" xfId="0" applyFont="1" applyFill="1" applyBorder="1"/>
    <xf numFmtId="4" fontId="10" fillId="3" borderId="18" xfId="0" applyNumberFormat="1" applyFont="1" applyFill="1" applyBorder="1"/>
    <xf numFmtId="0" fontId="10" fillId="3" borderId="19" xfId="0" applyFont="1" applyFill="1" applyBorder="1"/>
    <xf numFmtId="4" fontId="10" fillId="3" borderId="19" xfId="0" applyNumberFormat="1" applyFont="1" applyFill="1" applyBorder="1"/>
    <xf numFmtId="0" fontId="10" fillId="3" borderId="10" xfId="0" applyFont="1" applyFill="1" applyBorder="1"/>
    <xf numFmtId="4" fontId="10" fillId="3" borderId="10" xfId="0" applyNumberFormat="1" applyFont="1" applyFill="1" applyBorder="1"/>
    <xf numFmtId="0" fontId="10" fillId="3" borderId="0" xfId="0" applyFont="1" applyFill="1" applyAlignment="1">
      <alignment horizontal="left" vertical="top" wrapText="1"/>
    </xf>
    <xf numFmtId="0" fontId="11" fillId="5" borderId="20" xfId="0" applyFont="1" applyFill="1" applyBorder="1"/>
    <xf numFmtId="2" fontId="10" fillId="3" borderId="21" xfId="0" applyNumberFormat="1" applyFont="1" applyFill="1" applyBorder="1"/>
    <xf numFmtId="10" fontId="10" fillId="3" borderId="21" xfId="0" applyNumberFormat="1" applyFont="1" applyFill="1" applyBorder="1"/>
    <xf numFmtId="49" fontId="12" fillId="5" borderId="20" xfId="0" applyNumberFormat="1" applyFont="1" applyFill="1" applyBorder="1"/>
    <xf numFmtId="2" fontId="13" fillId="0" borderId="21" xfId="0" applyNumberFormat="1" applyFont="1" applyBorder="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nararobeco.com/docs/default-source/default-document-library/Scheme%20Performance%20April%20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F65F-07DC-46C5-A908-7BF29455E10A}">
  <dimension ref="B1:S61"/>
  <sheetViews>
    <sheetView tabSelected="1" workbookViewId="0">
      <selection activeCell="B1" sqref="B1:H1"/>
    </sheetView>
  </sheetViews>
  <sheetFormatPr defaultColWidth="9.1796875" defaultRowHeight="11.5"/>
  <cols>
    <col min="1" max="1" width="9.1796875" style="3"/>
    <col min="2" max="2" width="54.453125" style="3" bestFit="1" customWidth="1"/>
    <col min="3" max="3" width="13.453125" style="3" bestFit="1" customWidth="1"/>
    <col min="4" max="4" width="22.81640625" style="3" bestFit="1" customWidth="1"/>
    <col min="5" max="5" width="8.81640625" style="3" bestFit="1" customWidth="1"/>
    <col min="6" max="6" width="15.26953125" style="8" bestFit="1" customWidth="1"/>
    <col min="7" max="7" width="7.453125" style="8" bestFit="1" customWidth="1"/>
    <col min="8" max="8" width="6.54296875" style="8" bestFit="1" customWidth="1"/>
    <col min="9" max="10" width="9.1796875" style="3"/>
    <col min="11" max="11" width="31.54296875" style="3" customWidth="1"/>
    <col min="12" max="12" width="35.54296875" style="3" customWidth="1"/>
    <col min="13" max="14" width="31.453125" style="3" customWidth="1"/>
    <col min="15" max="15" width="9.1796875" style="3"/>
    <col min="16" max="16" width="12.453125" style="3" customWidth="1"/>
    <col min="17" max="16384" width="9.1796875" style="3"/>
  </cols>
  <sheetData>
    <row r="1" spans="2:19" ht="21" customHeight="1">
      <c r="B1" s="1" t="s">
        <v>0</v>
      </c>
      <c r="C1" s="2"/>
      <c r="D1" s="2"/>
      <c r="E1" s="2"/>
      <c r="F1" s="2"/>
      <c r="G1" s="2"/>
      <c r="H1" s="2"/>
    </row>
    <row r="3" spans="2:19" ht="16" thickBot="1">
      <c r="B3" s="4" t="s">
        <v>1</v>
      </c>
      <c r="C3" s="5"/>
      <c r="D3" s="6"/>
      <c r="E3" s="6"/>
      <c r="F3" s="7"/>
      <c r="G3" s="7"/>
    </row>
    <row r="4" spans="2:19" ht="34.5">
      <c r="B4" s="9" t="s">
        <v>2</v>
      </c>
      <c r="C4" s="10" t="s">
        <v>3</v>
      </c>
      <c r="D4" s="10" t="s">
        <v>4</v>
      </c>
      <c r="E4" s="10" t="s">
        <v>5</v>
      </c>
      <c r="F4" s="11" t="s">
        <v>6</v>
      </c>
      <c r="G4" s="12" t="s">
        <v>7</v>
      </c>
      <c r="H4" s="12" t="s">
        <v>8</v>
      </c>
      <c r="K4" s="13" t="s">
        <v>9</v>
      </c>
      <c r="L4" s="13" t="s">
        <v>10</v>
      </c>
      <c r="M4" s="13" t="s">
        <v>11</v>
      </c>
      <c r="N4" s="13" t="s">
        <v>12</v>
      </c>
      <c r="P4" s="14" t="s">
        <v>13</v>
      </c>
      <c r="Q4" s="15"/>
      <c r="R4" s="15"/>
      <c r="S4" s="16"/>
    </row>
    <row r="5" spans="2:19">
      <c r="B5" s="17" t="s">
        <v>14</v>
      </c>
      <c r="C5" s="18"/>
      <c r="D5" s="18"/>
      <c r="E5" s="18"/>
      <c r="F5" s="19"/>
      <c r="G5" s="19"/>
      <c r="H5" s="19"/>
      <c r="K5" s="20" t="e" vm="1">
        <v>#VALUE!</v>
      </c>
      <c r="L5" s="21" t="e" vm="2">
        <v>#VALUE!</v>
      </c>
      <c r="M5" s="20" t="e" vm="1">
        <v>#VALUE!</v>
      </c>
      <c r="N5" s="21" t="e" vm="2">
        <v>#VALUE!</v>
      </c>
      <c r="P5" s="22" t="s">
        <v>15</v>
      </c>
      <c r="Q5" s="23" t="s">
        <v>16</v>
      </c>
      <c r="R5" s="23" t="s">
        <v>17</v>
      </c>
      <c r="S5" s="23" t="s">
        <v>18</v>
      </c>
    </row>
    <row r="6" spans="2:19" ht="23">
      <c r="B6" s="24" t="s">
        <v>19</v>
      </c>
      <c r="C6" s="25"/>
      <c r="D6" s="25"/>
      <c r="E6" s="25"/>
      <c r="F6" s="26"/>
      <c r="G6" s="26"/>
      <c r="H6" s="26"/>
      <c r="K6" s="20"/>
      <c r="L6" s="27"/>
      <c r="M6" s="20"/>
      <c r="N6" s="27"/>
      <c r="P6" s="28" t="s">
        <v>20</v>
      </c>
      <c r="Q6" s="23"/>
      <c r="R6" s="23"/>
      <c r="S6" s="23"/>
    </row>
    <row r="7" spans="2:19">
      <c r="B7" s="25" t="s">
        <v>21</v>
      </c>
      <c r="C7" s="25" t="s">
        <v>22</v>
      </c>
      <c r="D7" s="25" t="s">
        <v>23</v>
      </c>
      <c r="E7" s="29">
        <v>100000</v>
      </c>
      <c r="F7" s="26">
        <v>98.1</v>
      </c>
      <c r="G7" s="26">
        <v>0.87</v>
      </c>
      <c r="H7" s="26">
        <v>5.36</v>
      </c>
      <c r="K7" s="20"/>
      <c r="L7" s="27"/>
      <c r="M7" s="20"/>
      <c r="N7" s="27"/>
      <c r="P7" s="30" t="s">
        <v>24</v>
      </c>
      <c r="Q7" s="31"/>
      <c r="R7" s="31"/>
      <c r="S7" s="31"/>
    </row>
    <row r="8" spans="2:19">
      <c r="B8" s="32" t="s">
        <v>25</v>
      </c>
      <c r="C8" s="32"/>
      <c r="D8" s="32"/>
      <c r="E8" s="32"/>
      <c r="F8" s="33">
        <f>SUM(F6:F7)</f>
        <v>98.1</v>
      </c>
      <c r="G8" s="33">
        <f>SUM(G6:G7)</f>
        <v>0.87</v>
      </c>
      <c r="H8" s="34"/>
      <c r="I8" s="35"/>
      <c r="K8" s="20"/>
      <c r="L8" s="27"/>
      <c r="M8" s="20"/>
      <c r="N8" s="27"/>
      <c r="P8" s="30"/>
      <c r="Q8" s="36"/>
      <c r="R8" s="36"/>
      <c r="S8" s="36"/>
    </row>
    <row r="9" spans="2:19">
      <c r="B9" s="37" t="s">
        <v>26</v>
      </c>
      <c r="C9" s="37"/>
      <c r="D9" s="37"/>
      <c r="E9" s="37"/>
      <c r="F9" s="38">
        <f>+F8</f>
        <v>98.1</v>
      </c>
      <c r="G9" s="38">
        <f>+G8</f>
        <v>0.87</v>
      </c>
      <c r="H9" s="38"/>
      <c r="I9" s="35"/>
      <c r="K9" s="20"/>
      <c r="L9" s="27"/>
      <c r="M9" s="20"/>
      <c r="N9" s="27"/>
      <c r="P9" s="30" t="s">
        <v>27</v>
      </c>
      <c r="Q9" s="31"/>
      <c r="R9" s="31"/>
      <c r="S9" s="31"/>
    </row>
    <row r="10" spans="2:19">
      <c r="B10" s="24" t="s">
        <v>28</v>
      </c>
      <c r="C10" s="25"/>
      <c r="D10" s="25"/>
      <c r="E10" s="25"/>
      <c r="F10" s="26"/>
      <c r="G10" s="26"/>
      <c r="H10" s="26"/>
      <c r="K10" s="20"/>
      <c r="L10" s="27"/>
      <c r="M10" s="20"/>
      <c r="N10" s="27"/>
      <c r="P10" s="30"/>
      <c r="Q10" s="36"/>
      <c r="R10" s="36"/>
      <c r="S10" s="36"/>
    </row>
    <row r="11" spans="2:19">
      <c r="B11" s="25" t="s">
        <v>29</v>
      </c>
      <c r="C11" s="25" t="s">
        <v>30</v>
      </c>
      <c r="D11" s="25" t="s">
        <v>31</v>
      </c>
      <c r="E11" s="29">
        <v>2500000</v>
      </c>
      <c r="F11" s="26">
        <v>2407.0500000000002</v>
      </c>
      <c r="G11" s="26">
        <v>21.35</v>
      </c>
      <c r="H11" s="26">
        <v>7.15</v>
      </c>
      <c r="K11" s="20"/>
      <c r="L11" s="27"/>
      <c r="M11" s="20"/>
      <c r="N11" s="27"/>
      <c r="P11" s="30" t="s">
        <v>32</v>
      </c>
      <c r="Q11" s="31"/>
      <c r="R11" s="39" t="s">
        <v>33</v>
      </c>
      <c r="S11" s="31"/>
    </row>
    <row r="12" spans="2:19">
      <c r="B12" s="25" t="s">
        <v>34</v>
      </c>
      <c r="C12" s="25" t="s">
        <v>35</v>
      </c>
      <c r="D12" s="25" t="s">
        <v>31</v>
      </c>
      <c r="E12" s="29">
        <v>1500000</v>
      </c>
      <c r="F12" s="26">
        <v>1541.81</v>
      </c>
      <c r="G12" s="26">
        <v>13.67</v>
      </c>
      <c r="H12" s="26">
        <v>6.03</v>
      </c>
      <c r="K12" s="20"/>
      <c r="L12" s="40"/>
      <c r="M12" s="20"/>
      <c r="N12" s="40"/>
      <c r="P12" s="30"/>
      <c r="Q12" s="36"/>
      <c r="R12" s="41"/>
      <c r="S12" s="36"/>
    </row>
    <row r="13" spans="2:19">
      <c r="B13" s="25" t="s">
        <v>36</v>
      </c>
      <c r="C13" s="25" t="s">
        <v>37</v>
      </c>
      <c r="D13" s="25" t="s">
        <v>31</v>
      </c>
      <c r="E13" s="29">
        <v>1000000</v>
      </c>
      <c r="F13" s="26">
        <v>1002.51</v>
      </c>
      <c r="G13" s="26">
        <v>8.89</v>
      </c>
      <c r="H13" s="26">
        <v>7.21</v>
      </c>
      <c r="K13" s="42"/>
      <c r="L13" s="42" t="s">
        <v>38</v>
      </c>
      <c r="M13" s="43"/>
      <c r="N13" s="43"/>
    </row>
    <row r="14" spans="2:19">
      <c r="B14" s="25" t="s">
        <v>39</v>
      </c>
      <c r="C14" s="25" t="s">
        <v>40</v>
      </c>
      <c r="D14" s="25" t="s">
        <v>31</v>
      </c>
      <c r="E14" s="29">
        <v>1000000</v>
      </c>
      <c r="F14" s="26">
        <v>1001.61</v>
      </c>
      <c r="G14" s="26">
        <v>8.8800000000000008</v>
      </c>
      <c r="H14" s="26">
        <v>7.04</v>
      </c>
    </row>
    <row r="15" spans="2:19">
      <c r="B15" s="25" t="s">
        <v>41</v>
      </c>
      <c r="C15" s="25" t="s">
        <v>42</v>
      </c>
      <c r="D15" s="25" t="s">
        <v>31</v>
      </c>
      <c r="E15" s="29">
        <v>1000000</v>
      </c>
      <c r="F15" s="26">
        <v>985.29</v>
      </c>
      <c r="G15" s="26">
        <v>8.74</v>
      </c>
      <c r="H15" s="26">
        <v>7.08</v>
      </c>
    </row>
    <row r="16" spans="2:19">
      <c r="B16" s="25" t="s">
        <v>43</v>
      </c>
      <c r="C16" s="25" t="s">
        <v>44</v>
      </c>
      <c r="D16" s="25" t="s">
        <v>31</v>
      </c>
      <c r="E16" s="29">
        <v>1000000</v>
      </c>
      <c r="F16" s="26">
        <v>906.56</v>
      </c>
      <c r="G16" s="26">
        <v>8.0399999999999991</v>
      </c>
      <c r="H16" s="26">
        <v>7.8</v>
      </c>
    </row>
    <row r="17" spans="2:9">
      <c r="B17" s="25" t="s">
        <v>45</v>
      </c>
      <c r="C17" s="25" t="s">
        <v>46</v>
      </c>
      <c r="D17" s="25" t="s">
        <v>31</v>
      </c>
      <c r="E17" s="29">
        <v>500000</v>
      </c>
      <c r="F17" s="26">
        <v>519.76</v>
      </c>
      <c r="G17" s="26">
        <v>4.6100000000000003</v>
      </c>
      <c r="H17" s="26">
        <v>6.08</v>
      </c>
    </row>
    <row r="18" spans="2:9">
      <c r="B18" s="25" t="s">
        <v>47</v>
      </c>
      <c r="C18" s="25" t="s">
        <v>48</v>
      </c>
      <c r="D18" s="25" t="s">
        <v>31</v>
      </c>
      <c r="E18" s="29">
        <v>500000</v>
      </c>
      <c r="F18" s="26">
        <v>514.66</v>
      </c>
      <c r="G18" s="26">
        <v>4.5599999999999996</v>
      </c>
      <c r="H18" s="26">
        <v>7.27</v>
      </c>
    </row>
    <row r="19" spans="2:9">
      <c r="B19" s="25" t="s">
        <v>49</v>
      </c>
      <c r="C19" s="25" t="s">
        <v>50</v>
      </c>
      <c r="D19" s="25" t="s">
        <v>31</v>
      </c>
      <c r="E19" s="29">
        <v>500000</v>
      </c>
      <c r="F19" s="26">
        <v>513</v>
      </c>
      <c r="G19" s="26">
        <v>4.55</v>
      </c>
      <c r="H19" s="26">
        <v>7.28</v>
      </c>
    </row>
    <row r="20" spans="2:9">
      <c r="B20" s="25" t="s">
        <v>51</v>
      </c>
      <c r="C20" s="25" t="s">
        <v>52</v>
      </c>
      <c r="D20" s="25" t="s">
        <v>31</v>
      </c>
      <c r="E20" s="29">
        <v>500000</v>
      </c>
      <c r="F20" s="26">
        <v>498.89</v>
      </c>
      <c r="G20" s="26">
        <v>4.42</v>
      </c>
      <c r="H20" s="26">
        <v>7.31</v>
      </c>
    </row>
    <row r="21" spans="2:9">
      <c r="B21" s="25" t="s">
        <v>53</v>
      </c>
      <c r="C21" s="25" t="s">
        <v>54</v>
      </c>
      <c r="D21" s="25" t="s">
        <v>31</v>
      </c>
      <c r="E21" s="29">
        <v>500000</v>
      </c>
      <c r="F21" s="26">
        <v>484.75</v>
      </c>
      <c r="G21" s="26">
        <v>4.3</v>
      </c>
      <c r="H21" s="26">
        <v>7.44</v>
      </c>
    </row>
    <row r="22" spans="2:9">
      <c r="B22" s="44" t="s">
        <v>55</v>
      </c>
      <c r="C22" s="44" t="s">
        <v>56</v>
      </c>
      <c r="D22" s="44" t="s">
        <v>31</v>
      </c>
      <c r="E22" s="45">
        <v>66200</v>
      </c>
      <c r="F22" s="46">
        <v>64.14</v>
      </c>
      <c r="G22" s="46">
        <v>0.56999999999999995</v>
      </c>
      <c r="H22" s="46">
        <v>7.02</v>
      </c>
    </row>
    <row r="23" spans="2:9">
      <c r="B23" s="47" t="s">
        <v>26</v>
      </c>
      <c r="C23" s="47"/>
      <c r="D23" s="47"/>
      <c r="E23" s="47"/>
      <c r="F23" s="48">
        <f>SUM(F11:F22)</f>
        <v>10440.029999999999</v>
      </c>
      <c r="G23" s="48">
        <f>SUM(G11:G22)</f>
        <v>92.58</v>
      </c>
      <c r="H23" s="48"/>
      <c r="I23" s="35"/>
    </row>
    <row r="24" spans="2:9">
      <c r="B24" s="24" t="s">
        <v>57</v>
      </c>
      <c r="C24" s="25"/>
      <c r="D24" s="25"/>
      <c r="E24" s="25"/>
      <c r="F24" s="26"/>
      <c r="G24" s="26"/>
      <c r="H24" s="26"/>
    </row>
    <row r="25" spans="2:9">
      <c r="B25" s="44" t="s">
        <v>58</v>
      </c>
      <c r="C25" s="44" t="s">
        <v>59</v>
      </c>
      <c r="D25" s="44" t="s">
        <v>57</v>
      </c>
      <c r="E25" s="45">
        <v>314.88400000000001</v>
      </c>
      <c r="F25" s="46">
        <v>37</v>
      </c>
      <c r="G25" s="46">
        <v>0.33</v>
      </c>
      <c r="H25" s="46">
        <v>5.61</v>
      </c>
    </row>
    <row r="26" spans="2:9">
      <c r="B26" s="47" t="s">
        <v>26</v>
      </c>
      <c r="C26" s="47"/>
      <c r="D26" s="47"/>
      <c r="E26" s="47"/>
      <c r="F26" s="48">
        <f>SUM(F25:F25)</f>
        <v>37</v>
      </c>
      <c r="G26" s="48">
        <f>SUM(G25:G25)</f>
        <v>0.33</v>
      </c>
      <c r="H26" s="48"/>
      <c r="I26" s="35"/>
    </row>
    <row r="27" spans="2:9">
      <c r="B27" s="24" t="s">
        <v>60</v>
      </c>
      <c r="C27" s="25"/>
      <c r="D27" s="25"/>
      <c r="E27" s="25"/>
      <c r="F27" s="26"/>
      <c r="G27" s="26"/>
      <c r="H27" s="26"/>
    </row>
    <row r="28" spans="2:9">
      <c r="B28" s="25" t="s">
        <v>60</v>
      </c>
      <c r="C28" s="25"/>
      <c r="D28" s="25"/>
      <c r="E28" s="25"/>
      <c r="F28" s="26">
        <v>532.84</v>
      </c>
      <c r="G28" s="26">
        <v>4.7300000000000004</v>
      </c>
      <c r="H28" s="26"/>
    </row>
    <row r="29" spans="2:9">
      <c r="B29" s="32" t="s">
        <v>25</v>
      </c>
      <c r="C29" s="32"/>
      <c r="D29" s="32"/>
      <c r="E29" s="32"/>
      <c r="F29" s="33">
        <f>SUM(F27:F28)</f>
        <v>532.84</v>
      </c>
      <c r="G29" s="33">
        <f>SUM(G27:G28)</f>
        <v>4.7300000000000004</v>
      </c>
      <c r="H29" s="34"/>
      <c r="I29" s="35"/>
    </row>
    <row r="30" spans="2:9">
      <c r="B30" s="49" t="s">
        <v>26</v>
      </c>
      <c r="C30" s="49"/>
      <c r="D30" s="49"/>
      <c r="E30" s="49"/>
      <c r="F30" s="50">
        <f>F29</f>
        <v>532.84</v>
      </c>
      <c r="G30" s="50">
        <f>G29</f>
        <v>4.7300000000000004</v>
      </c>
      <c r="H30" s="50"/>
      <c r="I30" s="35"/>
    </row>
    <row r="31" spans="2:9">
      <c r="B31" s="51" t="s">
        <v>61</v>
      </c>
      <c r="C31" s="51"/>
      <c r="D31" s="51"/>
      <c r="E31" s="51"/>
      <c r="F31" s="52">
        <f>F32-(+F9+F23+F26+F30)</f>
        <v>167.90999999999985</v>
      </c>
      <c r="G31" s="52">
        <f>G32-(+G9+G23+G26+G30)</f>
        <v>1.4899999999999949</v>
      </c>
      <c r="H31" s="52"/>
      <c r="I31" s="35"/>
    </row>
    <row r="32" spans="2:9">
      <c r="B32" s="51" t="s">
        <v>62</v>
      </c>
      <c r="C32" s="51"/>
      <c r="D32" s="51"/>
      <c r="E32" s="51"/>
      <c r="F32" s="52">
        <v>11275.88</v>
      </c>
      <c r="G32" s="52">
        <v>100</v>
      </c>
      <c r="H32" s="52"/>
      <c r="I32" s="35"/>
    </row>
    <row r="34" spans="2:8" ht="62.25" customHeight="1">
      <c r="B34" s="53" t="s">
        <v>63</v>
      </c>
      <c r="C34" s="53"/>
      <c r="D34" s="53"/>
      <c r="E34" s="53"/>
      <c r="F34" s="53"/>
      <c r="G34" s="53"/>
      <c r="H34" s="53"/>
    </row>
    <row r="35" spans="2:8" ht="12" thickBot="1"/>
    <row r="36" spans="2:8" ht="12.5" thickTop="1" thickBot="1">
      <c r="B36" s="54" t="s">
        <v>64</v>
      </c>
      <c r="C36" s="55">
        <v>3.9748000000000001</v>
      </c>
    </row>
    <row r="37" spans="2:8" ht="12.5" thickTop="1" thickBot="1"/>
    <row r="38" spans="2:8" ht="12.5" thickTop="1" thickBot="1">
      <c r="B38" s="54" t="s">
        <v>65</v>
      </c>
      <c r="C38" s="56">
        <v>6.88E-2</v>
      </c>
    </row>
    <row r="39" spans="2:8" ht="12.5" thickTop="1" thickBot="1"/>
    <row r="40" spans="2:8" ht="12.5" thickTop="1" thickBot="1">
      <c r="B40" s="54" t="s">
        <v>66</v>
      </c>
      <c r="C40" s="55">
        <v>4.1376999999999997</v>
      </c>
    </row>
    <row r="41" spans="2:8" ht="12.5" thickTop="1" thickBot="1"/>
    <row r="42" spans="2:8" ht="12.5" thickTop="1" thickBot="1">
      <c r="B42" s="57" t="s">
        <v>67</v>
      </c>
      <c r="C42" s="58">
        <v>8.4896999999999991</v>
      </c>
    </row>
    <row r="43" spans="2:8" ht="12" thickTop="1"/>
    <row r="44" spans="2:8">
      <c r="B44" s="35" t="s">
        <v>68</v>
      </c>
    </row>
    <row r="45" spans="2:8">
      <c r="B45" s="3" t="s">
        <v>69</v>
      </c>
    </row>
    <row r="46" spans="2:8">
      <c r="B46" s="3" t="s">
        <v>70</v>
      </c>
    </row>
    <row r="47" spans="2:8">
      <c r="B47" s="35" t="s">
        <v>71</v>
      </c>
      <c r="C47" s="35"/>
      <c r="D47" s="35" t="s">
        <v>72</v>
      </c>
      <c r="E47" s="35" t="s">
        <v>73</v>
      </c>
    </row>
    <row r="48" spans="2:8">
      <c r="B48" s="3" t="s">
        <v>74</v>
      </c>
      <c r="D48" s="3">
        <v>55.604100000000003</v>
      </c>
      <c r="E48" s="3">
        <v>55.888500000000001</v>
      </c>
    </row>
    <row r="49" spans="2:5">
      <c r="B49" s="3" t="s">
        <v>75</v>
      </c>
      <c r="D49" s="3">
        <v>14.478999999999999</v>
      </c>
      <c r="E49" s="3">
        <v>14.553100000000001</v>
      </c>
    </row>
    <row r="50" spans="2:5">
      <c r="B50" s="3" t="s">
        <v>76</v>
      </c>
      <c r="D50" s="3">
        <v>62.888100000000001</v>
      </c>
      <c r="E50" s="3">
        <v>63.264899999999997</v>
      </c>
    </row>
    <row r="51" spans="2:5">
      <c r="B51" s="3" t="s">
        <v>77</v>
      </c>
      <c r="D51" s="3">
        <v>16.6431</v>
      </c>
      <c r="E51" s="3">
        <v>16.742799999999999</v>
      </c>
    </row>
    <row r="53" spans="2:5">
      <c r="B53" s="3" t="s">
        <v>78</v>
      </c>
      <c r="D53" s="35"/>
      <c r="E53" s="35"/>
    </row>
    <row r="54" spans="2:5">
      <c r="B54" s="3" t="s">
        <v>79</v>
      </c>
    </row>
    <row r="55" spans="2:5">
      <c r="B55" s="3" t="s">
        <v>80</v>
      </c>
    </row>
    <row r="56" spans="2:5">
      <c r="B56" s="3" t="s">
        <v>81</v>
      </c>
    </row>
    <row r="57" spans="2:5">
      <c r="B57" s="35"/>
      <c r="C57" s="35"/>
      <c r="D57" s="35"/>
    </row>
    <row r="59" spans="2:5">
      <c r="B59" s="35" t="s">
        <v>82</v>
      </c>
      <c r="E59" s="35"/>
    </row>
    <row r="61" spans="2:5" ht="14.5">
      <c r="B61" s="59" t="s">
        <v>83</v>
      </c>
    </row>
  </sheetData>
  <mergeCells count="22">
    <mergeCell ref="P11:P12"/>
    <mergeCell ref="Q11:Q12"/>
    <mergeCell ref="R11:R12"/>
    <mergeCell ref="S11:S12"/>
    <mergeCell ref="B34:H34"/>
    <mergeCell ref="Q7:Q8"/>
    <mergeCell ref="R7:R8"/>
    <mergeCell ref="S7:S8"/>
    <mergeCell ref="P9:P10"/>
    <mergeCell ref="Q9:Q10"/>
    <mergeCell ref="R9:R10"/>
    <mergeCell ref="S9:S10"/>
    <mergeCell ref="B1:H1"/>
    <mergeCell ref="P4:S4"/>
    <mergeCell ref="K5:K12"/>
    <mergeCell ref="L5:L12"/>
    <mergeCell ref="M5:M12"/>
    <mergeCell ref="N5:N12"/>
    <mergeCell ref="Q5:Q6"/>
    <mergeCell ref="R5:R6"/>
    <mergeCell ref="S5:S6"/>
    <mergeCell ref="P7:P8"/>
  </mergeCells>
  <hyperlinks>
    <hyperlink ref="B61" r:id="rId1" tooltip="https://www.canararobeco.com/docs/default-source/default-document-library/Scheme%20Performance%20April%2026.pdf" display="https://www.canararobeco.com/docs/default-source/default-document-library/Scheme Performance April 26.pdf" xr:uid="{8FD87A9E-7C02-43AC-A602-CB6B2D98EEDC}"/>
  </hyperlinks>
  <pageMargins left="0.7" right="0.7" top="0.75" bottom="0.75" header="0.3" footer="0.3"/>
  <pageSetup paperSize="9" orientation="portrait" r:id="rId2"/>
  <headerFooter>
    <oddHeader>&amp;L&amp;"Calibri"&amp;11&amp;KAA3399 Public</oddHeader>
    <oddFooter>&amp;L&amp;"Calibri"&amp;11&amp;KAA3399 Public</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2026-05-08 18:14:19</KDate>
  <Classification>PUBLIC</Classification>
  <Subclassification/>
  <HostName>MUMCMP01346</HostName>
  <Domain_User>CANARAROBECOMF/396</Domain_User>
  <IPAdd>192.9.198.198</IPAdd>
  <FilePath>Book19</FilePath>
  <KID>1098191A8D7D639138608592430378</KID>
  <UniqueName/>
  <Suggested/>
  <Justification/>
  <KlassifyGUID/>
</Klassify>
</file>

<file path=customXml/itemProps1.xml><?xml version="1.0" encoding="utf-8"?>
<ds:datastoreItem xmlns:ds="http://schemas.openxmlformats.org/officeDocument/2006/customXml" ds:itemID="{05B1646F-F877-430C-84EE-5364F1D3C5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Kartiki Birje</dc:creator>
  <cp:keywords>Public</cp:keywords>
  <cp:lastModifiedBy>Kartiki Birje</cp:lastModifiedBy>
  <dcterms:created xsi:type="dcterms:W3CDTF">2026-05-08T12:44:15Z</dcterms:created>
  <dcterms:modified xsi:type="dcterms:W3CDTF">2026-05-08T12:44:19Z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KID">
    <vt:lpwstr>1098191A8D7D639138608592430378</vt:lpwstr>
  </property>
</Properties>
</file>