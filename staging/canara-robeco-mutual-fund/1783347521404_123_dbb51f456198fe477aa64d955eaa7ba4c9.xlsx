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DB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" l="1"/>
  <c r="G18" i="1" s="1"/>
  <c r="G19" i="1" s="1"/>
  <c r="F17" i="1"/>
  <c r="F18" i="1" s="1"/>
  <c r="F19" i="1" s="1"/>
  <c r="G14" i="1"/>
  <c r="F14" i="1"/>
</calcChain>
</file>

<file path=xl/sharedStrings.xml><?xml version="1.0" encoding="utf-8"?>
<sst xmlns="http://schemas.openxmlformats.org/spreadsheetml/2006/main" count="58" uniqueCount="49">
  <si>
    <t>CANARA ROBECO DYNAMIC BOND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</si>
  <si>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</si>
  <si>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</si>
  <si>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</si>
  <si>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</si>
  <si>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</si>
  <si>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</si>
  <si>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</si>
  <si>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</si>
  <si>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Apr'23</t>
  </si>
  <si>
    <t>Benchmark Risk-o-meter Level- Apr'23</t>
  </si>
  <si>
    <t>Scheme Risk-o-meter Level- Mar'23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</si>
  <si>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</si>
  <si>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</si>
  <si>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</si>
  <si>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</si>
  <si>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</si>
  <si>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</si>
  <si>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7.41% GOI 19-DEC-36</t>
  </si>
  <si>
    <t>IN0020220102</t>
  </si>
  <si>
    <t>Sovereign</t>
  </si>
  <si>
    <t>Interest Rate Risk ↓</t>
  </si>
  <si>
    <t>7.10% GOI 18-APR-29</t>
  </si>
  <si>
    <t>IN0020220011</t>
  </si>
  <si>
    <t>Relatively Low (Class I)</t>
  </si>
  <si>
    <t>7.16% INDIA GOVERNMENT 20-MAY-23</t>
  </si>
  <si>
    <t>IN0020130012</t>
  </si>
  <si>
    <t>5.74% INDIA GOVERNMENT 15-NOV-26</t>
  </si>
  <si>
    <t>IN0020210186</t>
  </si>
  <si>
    <t>Moderate 
(Class II)</t>
  </si>
  <si>
    <t>7.26% GOI 22-AUG-32</t>
  </si>
  <si>
    <t>IN0020220060</t>
  </si>
  <si>
    <t>5.63% INDIA GOVERNMENT 12-APR-26</t>
  </si>
  <si>
    <t>IN0020210012</t>
  </si>
  <si>
    <t>Relatively High (Class III)</t>
  </si>
  <si>
    <t>B-III</t>
  </si>
  <si>
    <t>7.38% GOI 20-JUN-27</t>
  </si>
  <si>
    <t>IN0020220037</t>
  </si>
  <si>
    <t>6.68% INDIA GOVERNMENT 17-SEP-31</t>
  </si>
  <si>
    <t>IN0020170042</t>
  </si>
  <si>
    <t>Benchmark: CRISIL Dynamic Bond B-III Index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</si>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</sst>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" fontId="3" fillId="3" borderId="0" xfId="0" applyNumberFormat="1" applyFont="1" applyFill="1"/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1" xfId="0" applyFont="1" applyFill="1" applyBorder="1"/>
    <xf numFmtId="3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0" fontId="9" fillId="0" borderId="5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0" borderId="13" xfId="0" applyFont="1" applyBorder="1" applyAlignment="1">
      <alignment horizontal="left" wrapText="1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3" fontId="3" fillId="3" borderId="14" xfId="0" applyNumberFormat="1" applyFont="1" applyFill="1" applyBorder="1"/>
    <xf numFmtId="4" fontId="3" fillId="3" borderId="14" xfId="0" applyNumberFormat="1" applyFont="1" applyFill="1" applyBorder="1"/>
    <xf numFmtId="43" fontId="3" fillId="3" borderId="0" xfId="1" applyFont="1" applyFill="1" applyAlignment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4" fontId="9" fillId="3" borderId="0" xfId="0" applyNumberFormat="1" applyFont="1" applyFill="1"/>
    <xf numFmtId="0" fontId="9" fillId="3" borderId="11" xfId="0" applyFont="1" applyFill="1" applyBorder="1"/>
    <xf numFmtId="0" fontId="3" fillId="3" borderId="11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7" xfId="0" applyNumberFormat="1" applyFont="1" applyFill="1" applyBorder="1"/>
    <xf numFmtId="4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49" fontId="10" fillId="5" borderId="19" xfId="0" applyNumberFormat="1" applyFont="1" applyFill="1" applyBorder="1"/>
    <xf numFmtId="2" fontId="11" fillId="0" borderId="20" xfId="0" applyNumberFormat="1" applyFont="1" applyBorder="1"/>
    <xf numFmtId="49" fontId="12" fillId="0" borderId="0" xfId="0" applyNumberFormat="1" applyFont="1"/>
    <xf numFmtId="10" fontId="11" fillId="0" borderId="2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107575</xdr:colOff>
      <xdr:row>4</xdr:row>
      <xdr:rowOff>64717</xdr:rowOff>
    </xdr:from>
    <xdr:ext cx="2045075" cy="1230684"/>
    <xdr:pic>
      <xdr:nvPicPr>
        <xdr:cNvPr id="2" name="Picture 1">
          <a:extLst>
            <a:ext uri="{FF2B5EF4-FFF2-40B4-BE49-F238E27FC236}">
              <a16:creationId xmlns:a16="http://schemas.microsoft.com/office/drawing/2014/main" id="{82DC1D09-A218-4BA8-9429-7C3908615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9675" y="1074367"/>
          <a:ext cx="2045075" cy="1230684"/>
        </a:xfrm>
        <a:prstGeom prst="rect">
          <a:avLst/>
        </a:prstGeom>
      </xdr:spPr>
    </xdr:pic>
    <xdr:clientData/>
  </xdr:oneCellAnchor>
  <xdr:oneCellAnchor>
    <xdr:from>
      <xdr:col>10</xdr:col>
      <xdr:colOff>124946</xdr:colOff>
      <xdr:row>4</xdr:row>
      <xdr:rowOff>75081</xdr:rowOff>
    </xdr:from>
    <xdr:ext cx="2134181" cy="1206904"/>
    <xdr:pic>
      <xdr:nvPicPr>
        <xdr:cNvPr id="3" name="Picture 2">
          <a:extLst>
            <a:ext uri="{FF2B5EF4-FFF2-40B4-BE49-F238E27FC236}">
              <a16:creationId xmlns:a16="http://schemas.microsoft.com/office/drawing/2014/main" id="{8335CC22-FF93-49EF-9DCD-0389B1152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69246" y="1084731"/>
          <a:ext cx="2134181" cy="1206904"/>
        </a:xfrm>
        <a:prstGeom prst="rect">
          <a:avLst/>
        </a:prstGeom>
      </xdr:spPr>
    </xdr:pic>
    <xdr:clientData/>
  </xdr:oneCellAnchor>
  <xdr:oneCellAnchor>
    <xdr:from>
      <xdr:col>11</xdr:col>
      <xdr:colOff>107575</xdr:colOff>
      <xdr:row>4</xdr:row>
      <xdr:rowOff>64717</xdr:rowOff>
    </xdr:from>
    <xdr:ext cx="2045075" cy="1230684"/>
    <xdr:pic>
      <xdr:nvPicPr>
        <xdr:cNvPr id="4" name="Picture 3">
          <a:extLst>
            <a:ext uri="{FF2B5EF4-FFF2-40B4-BE49-F238E27FC236}">
              <a16:creationId xmlns:a16="http://schemas.microsoft.com/office/drawing/2014/main" id="{9770E7C7-292F-48B0-9947-4E54D55E9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4075" y="1074367"/>
          <a:ext cx="2045075" cy="123068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5"/>
  <sheetViews>
    <sheetView tabSelected="1" workbookViewId="0">
      <selection activeCell="A14" sqref="A14"/>
    </sheetView>
  </sheetViews>
  <sheetFormatPr defaultRowHeight="12"/>
  <cols>
    <col min="1" max="1" width="9.140625" style="5"/>
    <col min="2" max="2" width="54.42578125" style="5" bestFit="1" customWidth="1"/>
    <col min="3" max="3" width="12.7109375" style="5" bestFit="1" customWidth="1"/>
    <col min="4" max="4" width="14.140625" style="5" bestFit="1" customWidth="1"/>
    <col min="5" max="5" width="8.85546875" style="60" bestFit="1" customWidth="1"/>
    <col min="6" max="6" width="15.28515625" style="3" bestFit="1" customWidth="1"/>
    <col min="7" max="7" width="7.42578125" style="3" bestFit="1" customWidth="1"/>
    <col min="8" max="8" width="6.5703125" style="3" bestFit="1" customWidth="1"/>
    <col min="9" max="9" width="9.140625" style="3"/>
    <col min="10" max="11" width="35.42578125" style="4" customWidth="1"/>
    <col min="12" max="12" width="35.42578125" style="5" customWidth="1"/>
    <col min="13" max="13" width="4.7109375" style="5" bestFit="1" customWidth="1"/>
    <col min="14" max="14" width="15.85546875" style="5" customWidth="1"/>
    <col min="15" max="16384" width="9.140625" style="5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6" t="s">
        <v>1</v>
      </c>
      <c r="C3" s="7"/>
      <c r="D3" s="8"/>
      <c r="E3" s="9"/>
      <c r="F3" s="10"/>
      <c r="G3" s="10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4"/>
      <c r="N4" s="17" t="s">
        <v>12</v>
      </c>
      <c r="O4" s="18"/>
      <c r="P4" s="18"/>
      <c r="Q4" s="19"/>
    </row>
    <row r="5" spans="2:17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M5" s="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24">
      <c r="B6" s="27" t="s">
        <v>18</v>
      </c>
      <c r="C6" s="27" t="s">
        <v>19</v>
      </c>
      <c r="D6" s="27" t="s">
        <v>20</v>
      </c>
      <c r="E6" s="28">
        <v>2700000</v>
      </c>
      <c r="F6" s="29">
        <v>2742.68</v>
      </c>
      <c r="G6" s="29">
        <v>22.29</v>
      </c>
      <c r="H6" s="29">
        <v>7.35</v>
      </c>
      <c r="J6" s="30"/>
      <c r="K6" s="30"/>
      <c r="L6" s="30"/>
      <c r="M6" s="4"/>
      <c r="N6" s="31" t="s">
        <v>21</v>
      </c>
      <c r="O6" s="32"/>
      <c r="P6" s="32"/>
      <c r="Q6" s="32"/>
    </row>
    <row r="7" spans="2:17">
      <c r="B7" s="27" t="s">
        <v>22</v>
      </c>
      <c r="C7" s="27" t="s">
        <v>23</v>
      </c>
      <c r="D7" s="27" t="s">
        <v>20</v>
      </c>
      <c r="E7" s="28">
        <v>1500000</v>
      </c>
      <c r="F7" s="29">
        <v>1502.77</v>
      </c>
      <c r="G7" s="29">
        <v>12.21</v>
      </c>
      <c r="H7" s="29">
        <v>7.19</v>
      </c>
      <c r="J7" s="30"/>
      <c r="K7" s="30"/>
      <c r="L7" s="30"/>
      <c r="M7" s="4"/>
      <c r="N7" s="33" t="s">
        <v>24</v>
      </c>
      <c r="O7" s="34"/>
      <c r="P7" s="34"/>
      <c r="Q7" s="34"/>
    </row>
    <row r="8" spans="2:17">
      <c r="B8" s="27" t="s">
        <v>25</v>
      </c>
      <c r="C8" s="27" t="s">
        <v>26</v>
      </c>
      <c r="D8" s="27" t="s">
        <v>20</v>
      </c>
      <c r="E8" s="28">
        <v>1000000</v>
      </c>
      <c r="F8" s="29">
        <v>1000.19</v>
      </c>
      <c r="G8" s="29">
        <v>8.1300000000000008</v>
      </c>
      <c r="H8" s="29">
        <v>6.69</v>
      </c>
      <c r="J8" s="30"/>
      <c r="K8" s="30"/>
      <c r="L8" s="30"/>
      <c r="M8" s="4"/>
      <c r="N8" s="35"/>
      <c r="O8" s="36"/>
      <c r="P8" s="36"/>
      <c r="Q8" s="36"/>
    </row>
    <row r="9" spans="2:17">
      <c r="B9" s="27" t="s">
        <v>27</v>
      </c>
      <c r="C9" s="27" t="s">
        <v>28</v>
      </c>
      <c r="D9" s="27" t="s">
        <v>20</v>
      </c>
      <c r="E9" s="28">
        <v>1000000</v>
      </c>
      <c r="F9" s="29">
        <v>961.9</v>
      </c>
      <c r="G9" s="29">
        <v>7.82</v>
      </c>
      <c r="H9" s="29">
        <v>7.09</v>
      </c>
      <c r="J9" s="30"/>
      <c r="K9" s="30"/>
      <c r="L9" s="30"/>
      <c r="M9" s="4"/>
      <c r="N9" s="33" t="s">
        <v>29</v>
      </c>
      <c r="O9" s="34"/>
      <c r="P9" s="34"/>
      <c r="Q9" s="34"/>
    </row>
    <row r="10" spans="2:17">
      <c r="B10" s="27" t="s">
        <v>30</v>
      </c>
      <c r="C10" s="27" t="s">
        <v>31</v>
      </c>
      <c r="D10" s="27" t="s">
        <v>20</v>
      </c>
      <c r="E10" s="28">
        <v>590000</v>
      </c>
      <c r="F10" s="29">
        <v>594.08000000000004</v>
      </c>
      <c r="G10" s="29">
        <v>4.83</v>
      </c>
      <c r="H10" s="29">
        <v>7.28</v>
      </c>
      <c r="J10" s="30"/>
      <c r="K10" s="30"/>
      <c r="L10" s="30"/>
      <c r="M10" s="4"/>
      <c r="N10" s="35"/>
      <c r="O10" s="36"/>
      <c r="P10" s="36"/>
      <c r="Q10" s="36"/>
    </row>
    <row r="11" spans="2:17">
      <c r="B11" s="27" t="s">
        <v>32</v>
      </c>
      <c r="C11" s="27" t="s">
        <v>33</v>
      </c>
      <c r="D11" s="27" t="s">
        <v>20</v>
      </c>
      <c r="E11" s="28">
        <v>500000</v>
      </c>
      <c r="F11" s="29">
        <v>482.49</v>
      </c>
      <c r="G11" s="29">
        <v>3.92</v>
      </c>
      <c r="H11" s="29">
        <v>7.08</v>
      </c>
      <c r="J11" s="30"/>
      <c r="K11" s="30"/>
      <c r="L11" s="30"/>
      <c r="M11" s="4"/>
      <c r="N11" s="33" t="s">
        <v>34</v>
      </c>
      <c r="O11" s="34"/>
      <c r="P11" s="37" t="s">
        <v>35</v>
      </c>
      <c r="Q11" s="34"/>
    </row>
    <row r="12" spans="2:17">
      <c r="B12" s="27" t="s">
        <v>36</v>
      </c>
      <c r="C12" s="27" t="s">
        <v>37</v>
      </c>
      <c r="D12" s="27" t="s">
        <v>20</v>
      </c>
      <c r="E12" s="28">
        <v>249900</v>
      </c>
      <c r="F12" s="29">
        <v>253.29</v>
      </c>
      <c r="G12" s="29">
        <v>2.06</v>
      </c>
      <c r="H12" s="29">
        <v>7.11</v>
      </c>
      <c r="J12" s="38"/>
      <c r="K12" s="38"/>
      <c r="L12" s="38"/>
      <c r="M12" s="4"/>
      <c r="N12" s="35"/>
      <c r="O12" s="36"/>
      <c r="P12" s="39"/>
      <c r="Q12" s="36"/>
    </row>
    <row r="13" spans="2:17">
      <c r="B13" s="40" t="s">
        <v>38</v>
      </c>
      <c r="C13" s="40" t="s">
        <v>39</v>
      </c>
      <c r="D13" s="40" t="s">
        <v>20</v>
      </c>
      <c r="E13" s="41">
        <v>23200</v>
      </c>
      <c r="F13" s="42">
        <v>22.51</v>
      </c>
      <c r="G13" s="42">
        <v>0.18</v>
      </c>
      <c r="H13" s="42">
        <v>7.28</v>
      </c>
      <c r="K13" s="43" t="s">
        <v>40</v>
      </c>
      <c r="L13" s="4"/>
      <c r="M13" s="4"/>
    </row>
    <row r="14" spans="2:17">
      <c r="B14" s="44" t="s">
        <v>41</v>
      </c>
      <c r="C14" s="44"/>
      <c r="D14" s="44"/>
      <c r="E14" s="45"/>
      <c r="F14" s="46">
        <f>SUM(F6:F13)</f>
        <v>7559.9099999999989</v>
      </c>
      <c r="G14" s="46">
        <f>SUM(G6:G13)</f>
        <v>61.440000000000005</v>
      </c>
      <c r="H14" s="46"/>
      <c r="I14" s="47"/>
      <c r="L14" s="4"/>
      <c r="M14" s="4"/>
    </row>
    <row r="15" spans="2:17">
      <c r="B15" s="48" t="s">
        <v>42</v>
      </c>
      <c r="C15" s="27"/>
      <c r="D15" s="27"/>
      <c r="E15" s="49"/>
      <c r="F15" s="29"/>
      <c r="G15" s="29"/>
      <c r="H15" s="29"/>
      <c r="L15" s="4"/>
      <c r="M15" s="4"/>
    </row>
    <row r="16" spans="2:17">
      <c r="B16" s="27" t="s">
        <v>42</v>
      </c>
      <c r="C16" s="27"/>
      <c r="D16" s="27"/>
      <c r="E16" s="49"/>
      <c r="F16" s="29">
        <v>4533.1400000000003</v>
      </c>
      <c r="G16" s="29">
        <v>36.85</v>
      </c>
      <c r="H16" s="29"/>
      <c r="L16" s="4"/>
      <c r="M16" s="4"/>
    </row>
    <row r="17" spans="2:13">
      <c r="B17" s="50" t="s">
        <v>43</v>
      </c>
      <c r="C17" s="50"/>
      <c r="D17" s="50"/>
      <c r="E17" s="51"/>
      <c r="F17" s="52">
        <f>SUM(F15:F16)</f>
        <v>4533.1400000000003</v>
      </c>
      <c r="G17" s="52">
        <f>SUM(G15:G16)</f>
        <v>36.85</v>
      </c>
      <c r="H17" s="53"/>
      <c r="I17" s="47"/>
      <c r="L17" s="4"/>
      <c r="M17" s="4"/>
    </row>
    <row r="18" spans="2:13">
      <c r="B18" s="54" t="s">
        <v>41</v>
      </c>
      <c r="C18" s="54"/>
      <c r="D18" s="54"/>
      <c r="E18" s="55"/>
      <c r="F18" s="56">
        <f>F17</f>
        <v>4533.1400000000003</v>
      </c>
      <c r="G18" s="56">
        <f>G17</f>
        <v>36.85</v>
      </c>
      <c r="H18" s="56"/>
      <c r="I18" s="47"/>
      <c r="L18" s="4"/>
      <c r="M18" s="4"/>
    </row>
    <row r="19" spans="2:13">
      <c r="B19" s="57" t="s">
        <v>44</v>
      </c>
      <c r="C19" s="57"/>
      <c r="D19" s="57"/>
      <c r="E19" s="58"/>
      <c r="F19" s="59">
        <f>F20-(+F14+F18)</f>
        <v>209.79000000000087</v>
      </c>
      <c r="G19" s="59">
        <f>G20-(+G14+G18)</f>
        <v>1.7099999999999937</v>
      </c>
      <c r="H19" s="59"/>
      <c r="I19" s="47"/>
      <c r="L19" s="4"/>
      <c r="M19" s="4"/>
    </row>
    <row r="20" spans="2:13">
      <c r="B20" s="57" t="s">
        <v>45</v>
      </c>
      <c r="C20" s="57"/>
      <c r="D20" s="57"/>
      <c r="E20" s="58"/>
      <c r="F20" s="59">
        <v>12302.84</v>
      </c>
      <c r="G20" s="59">
        <v>100</v>
      </c>
      <c r="H20" s="59"/>
      <c r="I20" s="47"/>
      <c r="L20" s="4"/>
      <c r="M20" s="4"/>
    </row>
    <row r="21" spans="2:13" ht="12.75" thickBot="1">
      <c r="L21" s="4"/>
      <c r="M21" s="4"/>
    </row>
    <row r="22" spans="2:13" ht="13.5" thickTop="1" thickBot="1">
      <c r="B22" s="61" t="s">
        <v>46</v>
      </c>
      <c r="C22" s="62">
        <v>3.1807935010406694</v>
      </c>
      <c r="L22" s="4"/>
      <c r="M22" s="4"/>
    </row>
    <row r="23" spans="2:13" ht="13.5" thickTop="1" thickBot="1">
      <c r="B23" s="63"/>
      <c r="C23" s="63"/>
      <c r="L23" s="4"/>
      <c r="M23" s="4"/>
    </row>
    <row r="24" spans="2:13" ht="13.5" thickTop="1" thickBot="1">
      <c r="B24" s="61" t="s">
        <v>47</v>
      </c>
      <c r="C24" s="64">
        <v>7.0142440404903042E-2</v>
      </c>
      <c r="L24" s="4"/>
      <c r="M24" s="4"/>
    </row>
    <row r="25" spans="2:13" ht="13.5" thickTop="1" thickBot="1">
      <c r="B25" s="63"/>
      <c r="C25" s="63"/>
      <c r="L25" s="4"/>
      <c r="M25" s="4"/>
    </row>
    <row r="26" spans="2:13" ht="13.5" thickTop="1" thickBot="1">
      <c r="B26" s="61" t="s">
        <v>48</v>
      </c>
      <c r="C26" s="62">
        <v>3.3844396033145729</v>
      </c>
      <c r="L26" s="4"/>
      <c r="M26" s="4"/>
    </row>
    <row r="27" spans="2:13" ht="12.75" thickTop="1">
      <c r="L27" s="4"/>
      <c r="M27" s="4"/>
    </row>
    <row r="28" spans="2:13">
      <c r="L28" s="4"/>
      <c r="M28" s="4"/>
    </row>
    <row r="29" spans="2:13">
      <c r="L29" s="4"/>
      <c r="M29" s="4"/>
    </row>
    <row r="30" spans="2:13">
      <c r="L30" s="4"/>
      <c r="M30" s="4"/>
    </row>
    <row r="31" spans="2:13">
      <c r="L31" s="4"/>
      <c r="M31" s="4"/>
    </row>
    <row r="32" spans="2:13">
      <c r="L32" s="4"/>
      <c r="M32" s="4"/>
    </row>
    <row r="33" spans="12:13">
      <c r="L33" s="4"/>
      <c r="M33" s="4"/>
    </row>
    <row r="34" spans="12:13">
      <c r="L34" s="4"/>
      <c r="M34" s="4"/>
    </row>
    <row r="35" spans="12:13">
      <c r="L35" s="4"/>
      <c r="M35" s="4"/>
    </row>
    <row r="36" spans="12:13">
      <c r="L36" s="4"/>
      <c r="M36" s="4"/>
    </row>
    <row r="37" spans="12:13">
      <c r="L37" s="4"/>
      <c r="M37" s="4"/>
    </row>
    <row r="38" spans="12:13">
      <c r="L38" s="4"/>
      <c r="M38" s="4"/>
    </row>
    <row r="39" spans="12:13">
      <c r="L39" s="4"/>
      <c r="M39" s="4"/>
    </row>
    <row r="40" spans="12:13">
      <c r="L40" s="4"/>
      <c r="M40" s="4"/>
    </row>
    <row r="41" spans="12:13">
      <c r="L41" s="4"/>
      <c r="M41" s="4"/>
    </row>
    <row r="42" spans="12:13">
      <c r="L42" s="4"/>
      <c r="M42" s="4"/>
    </row>
    <row r="43" spans="12:13">
      <c r="L43" s="4"/>
      <c r="M43" s="4"/>
    </row>
    <row r="44" spans="12:13">
      <c r="L44" s="4"/>
      <c r="M44" s="4"/>
    </row>
    <row r="45" spans="12:13">
      <c r="L45" s="4"/>
      <c r="M45" s="4"/>
    </row>
    <row r="46" spans="12:13">
      <c r="L46" s="4"/>
      <c r="M46" s="4"/>
    </row>
    <row r="47" spans="12:13">
      <c r="L47" s="4"/>
      <c r="M47" s="4"/>
    </row>
    <row r="48" spans="12:13">
      <c r="L48" s="4"/>
      <c r="M48" s="4"/>
    </row>
    <row r="49" spans="12:13">
      <c r="L49" s="4"/>
      <c r="M49" s="4"/>
    </row>
    <row r="50" spans="12:13">
      <c r="L50" s="4"/>
      <c r="M50" s="4"/>
    </row>
    <row r="51" spans="12:13">
      <c r="L51" s="4"/>
      <c r="M51" s="4"/>
    </row>
    <row r="52" spans="12:13">
      <c r="L52" s="4"/>
      <c r="M52" s="4"/>
    </row>
    <row r="53" spans="12:13">
      <c r="L53" s="4"/>
      <c r="M53" s="4"/>
    </row>
    <row r="54" spans="12:13">
      <c r="L54" s="4"/>
      <c r="M54" s="4"/>
    </row>
    <row r="55" spans="12:13">
      <c r="L55" s="4"/>
      <c r="M55" s="4"/>
    </row>
    <row r="56" spans="12:13">
      <c r="L56" s="4"/>
      <c r="M56" s="4"/>
    </row>
    <row r="57" spans="12:13">
      <c r="L57" s="4"/>
      <c r="M57" s="4"/>
    </row>
    <row r="58" spans="12:13">
      <c r="L58" s="4"/>
      <c r="M58" s="4"/>
    </row>
    <row r="59" spans="12:13">
      <c r="L59" s="4"/>
      <c r="M59" s="4"/>
    </row>
    <row r="60" spans="12:13">
      <c r="L60" s="4"/>
      <c r="M60" s="4"/>
    </row>
    <row r="61" spans="12:13">
      <c r="L61" s="4"/>
      <c r="M61" s="4"/>
    </row>
    <row r="62" spans="12:13">
      <c r="L62" s="4"/>
      <c r="M62" s="4"/>
    </row>
    <row r="63" spans="12:13">
      <c r="L63" s="4"/>
      <c r="M63" s="4"/>
    </row>
    <row r="64" spans="12:13">
      <c r="L64" s="4"/>
      <c r="M64" s="4"/>
    </row>
    <row r="65" spans="12:13">
      <c r="L65" s="4"/>
      <c r="M65" s="4"/>
    </row>
    <row r="66" spans="12:13">
      <c r="L66" s="4"/>
      <c r="M66" s="4"/>
    </row>
    <row r="67" spans="12:13">
      <c r="L67" s="4"/>
      <c r="M67" s="4"/>
    </row>
    <row r="68" spans="12:13">
      <c r="L68" s="4"/>
      <c r="M68" s="4"/>
    </row>
    <row r="69" spans="12:13">
      <c r="L69" s="4"/>
      <c r="M69" s="4"/>
    </row>
    <row r="70" spans="12:13">
      <c r="L70" s="4"/>
      <c r="M70" s="4"/>
    </row>
    <row r="71" spans="12:13">
      <c r="L71" s="4"/>
      <c r="M71" s="4"/>
    </row>
    <row r="72" spans="12:13">
      <c r="L72" s="4"/>
      <c r="M72" s="4"/>
    </row>
    <row r="73" spans="12:13">
      <c r="L73" s="4"/>
      <c r="M73" s="4"/>
    </row>
    <row r="74" spans="12:13">
      <c r="L74" s="4"/>
      <c r="M74" s="4"/>
    </row>
    <row r="75" spans="12:13">
      <c r="L75" s="4"/>
      <c r="M75" s="4"/>
    </row>
    <row r="76" spans="12:13">
      <c r="L76" s="4"/>
      <c r="M76" s="4"/>
    </row>
    <row r="77" spans="12:13">
      <c r="L77" s="4"/>
      <c r="M77" s="4"/>
    </row>
    <row r="78" spans="12:13">
      <c r="L78" s="4"/>
      <c r="M78" s="4"/>
    </row>
    <row r="79" spans="12:13">
      <c r="L79" s="4"/>
      <c r="M79" s="4"/>
    </row>
    <row r="80" spans="12:13">
      <c r="L80" s="4"/>
      <c r="M80" s="4"/>
    </row>
    <row r="81" spans="12:13">
      <c r="L81" s="4"/>
      <c r="M81" s="4"/>
    </row>
    <row r="82" spans="12:13">
      <c r="L82" s="4"/>
      <c r="M82" s="4"/>
    </row>
    <row r="83" spans="12:13">
      <c r="L83" s="4"/>
      <c r="M83" s="4"/>
    </row>
    <row r="84" spans="12:13">
      <c r="L84" s="4"/>
      <c r="M84" s="4"/>
    </row>
    <row r="85" spans="12:13">
      <c r="L85" s="4"/>
      <c r="M85" s="4"/>
    </row>
    <row r="86" spans="12:13">
      <c r="L86" s="4"/>
      <c r="M86" s="4"/>
    </row>
    <row r="87" spans="12:13">
      <c r="L87" s="4"/>
      <c r="M87" s="4"/>
    </row>
    <row r="88" spans="12:13">
      <c r="L88" s="4"/>
      <c r="M88" s="4"/>
    </row>
    <row r="89" spans="12:13">
      <c r="L89" s="4"/>
      <c r="M89" s="4"/>
    </row>
    <row r="90" spans="12:13">
      <c r="L90" s="4"/>
      <c r="M90" s="4"/>
    </row>
    <row r="91" spans="12:13">
      <c r="L91" s="4"/>
      <c r="M91" s="4"/>
    </row>
    <row r="92" spans="12:13">
      <c r="L92" s="4"/>
      <c r="M92" s="4"/>
    </row>
    <row r="93" spans="12:13">
      <c r="L93" s="4"/>
      <c r="M93" s="4"/>
    </row>
    <row r="94" spans="12:13">
      <c r="L94" s="4"/>
      <c r="M94" s="4"/>
    </row>
    <row r="95" spans="12:13">
      <c r="L95" s="4"/>
      <c r="M95" s="4"/>
    </row>
    <row r="96" spans="12:13">
      <c r="L96" s="4"/>
      <c r="M96" s="4"/>
    </row>
    <row r="97" spans="12:13">
      <c r="L97" s="4"/>
      <c r="M97" s="4"/>
    </row>
    <row r="98" spans="12:13">
      <c r="L98" s="4"/>
      <c r="M98" s="4"/>
    </row>
    <row r="99" spans="12:13">
      <c r="L99" s="4"/>
      <c r="M99" s="4"/>
    </row>
    <row r="100" spans="12:13">
      <c r="L100" s="4"/>
      <c r="M100" s="4"/>
    </row>
    <row r="101" spans="12:13">
      <c r="L101" s="4"/>
      <c r="M101" s="4"/>
    </row>
    <row r="102" spans="12:13">
      <c r="L102" s="4"/>
      <c r="M102" s="4"/>
    </row>
    <row r="103" spans="12:13">
      <c r="L103" s="4"/>
      <c r="M103" s="4"/>
    </row>
    <row r="104" spans="12:13">
      <c r="L104" s="4"/>
      <c r="M104" s="4"/>
    </row>
    <row r="105" spans="12:13">
      <c r="L105" s="4"/>
      <c r="M105" s="4"/>
    </row>
    <row r="106" spans="12:13">
      <c r="L106" s="4"/>
      <c r="M106" s="4"/>
    </row>
    <row r="107" spans="12:13">
      <c r="L107" s="4"/>
      <c r="M107" s="4"/>
    </row>
    <row r="108" spans="12:13">
      <c r="L108" s="4"/>
      <c r="M108" s="4"/>
    </row>
    <row r="109" spans="12:13">
      <c r="L109" s="4"/>
      <c r="M109" s="4"/>
    </row>
    <row r="110" spans="12:13">
      <c r="L110" s="4"/>
      <c r="M110" s="4"/>
    </row>
    <row r="111" spans="12:13">
      <c r="L111" s="4"/>
      <c r="M111" s="4"/>
    </row>
    <row r="112" spans="12:13">
      <c r="L112" s="4"/>
      <c r="M112" s="4"/>
    </row>
    <row r="113" spans="12:13">
      <c r="L113" s="4"/>
      <c r="M113" s="4"/>
    </row>
    <row r="114" spans="12:13">
      <c r="L114" s="4"/>
      <c r="M114" s="4"/>
    </row>
    <row r="115" spans="12:13">
      <c r="L115" s="4"/>
      <c r="M115" s="4"/>
    </row>
    <row r="116" spans="12:13">
      <c r="L116" s="4"/>
      <c r="M116" s="4"/>
    </row>
    <row r="117" spans="12:13">
      <c r="L117" s="4"/>
      <c r="M117" s="4"/>
    </row>
    <row r="118" spans="12:13">
      <c r="L118" s="4"/>
      <c r="M118" s="4"/>
    </row>
    <row r="119" spans="12:13">
      <c r="L119" s="4"/>
      <c r="M119" s="4"/>
    </row>
    <row r="120" spans="12:13">
      <c r="L120" s="4"/>
      <c r="M120" s="4"/>
    </row>
    <row r="121" spans="12:13">
      <c r="L121" s="4"/>
      <c r="M121" s="4"/>
    </row>
    <row r="122" spans="12:13">
      <c r="L122" s="4"/>
      <c r="M122" s="4"/>
    </row>
    <row r="123" spans="12:13">
      <c r="L123" s="4"/>
      <c r="M123" s="4"/>
    </row>
    <row r="124" spans="12:13">
      <c r="L124" s="4"/>
      <c r="M124" s="4"/>
    </row>
    <row r="125" spans="12:13">
      <c r="L125" s="4"/>
      <c r="M125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17:44:36</KDate>
  <Classification>Public</Classification>
  <Subclassification/>
  <HostName>MUMCMP00935</HostName>
  <Domain_User>CANARAROBECOMF/628</Domain_User>
  <IPAdd>192.9.198.194</IPAdd>
  <FilePath>Book12</FilePath>
  <KID>C025A5607E97638188190765784747</KID>
  <UniqueName/>
  <Suggested/>
  <Justification/>
</Klassify>
</file>

<file path=customXml/itemProps1.xml><?xml version="1.0" encoding="utf-8"?>
<ds:datastoreItem xmlns:ds="http://schemas.openxmlformats.org/officeDocument/2006/customXml" ds:itemID="{6AABB2CC-E6C4-465D-8060-082E0F74D0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2023-05-04T12:14:30Z</dcterms:created>
  <dcterms:modified xsi:type="dcterms:W3CDTF">2023-05-04T12:14:36Z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C025A5607E97638188190765784747</vt:lpwstr>
  </property>
</Properties>
</file>