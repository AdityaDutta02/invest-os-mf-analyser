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AEF66272-284A-4332-BD0C-0F6FB22DE38A}" xr6:coauthVersionLast="47" xr6:coauthVersionMax="47" xr10:uidLastSave="{00000000-0000-0000-0000-000000000000}"/>
  <bookViews>
    <workbookView xWindow="-110" yWindow="-110" windowWidth="19420" windowHeight="10300" xr2:uid="{499D6C1D-79FB-485F-974C-DFC1FA3CAE62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6" i="1"/>
  <c r="G71" i="1" s="1"/>
  <c r="G65" i="1"/>
  <c r="F65" i="1"/>
  <c r="F66" i="1" s="1"/>
  <c r="F7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<sst xmlns="http://schemas.openxmlformats.org/spreadsheetml/2006/main" count="261" uniqueCount="167">
  <si>
    <t>CANARA ROBECO MANUFACTURING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</si>
  <si>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</si>
  <si>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</si>
  <si>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</si>
  <si>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</si>
  <si>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</si>
  <si>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</si>
  <si>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</si>
  <si>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</si>
  <si>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</si>
  <si>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</si>
  <si>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</si>
  <si>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</si>
  <si>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</si>
  <si>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</si>
  <si>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</si>
  <si>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</si>
  <si>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</si>
  <si>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</si>
  <si>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</si>
  <si>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Maruti Suzuki India Ltd</t>
  </si>
  <si>
    <t>INE585B01010</t>
  </si>
  <si>
    <t>Bharat Electronics Ltd</t>
  </si>
  <si>
    <t>INE263A01024</t>
  </si>
  <si>
    <t>Aerospace &amp; Defense</t>
  </si>
  <si>
    <t>Reliance Industries Ltd</t>
  </si>
  <si>
    <t>INE002A01018</t>
  </si>
  <si>
    <t>Petroleum Products</t>
  </si>
  <si>
    <t>Ge Vernova T&amp;D India Ltd</t>
  </si>
  <si>
    <t>INE200A01026</t>
  </si>
  <si>
    <t>Electrical Equipment</t>
  </si>
  <si>
    <t>Mid Cap</t>
  </si>
  <si>
    <t>Bajaj Auto Ltd</t>
  </si>
  <si>
    <t>INE917I01010</t>
  </si>
  <si>
    <t>Solar Industries India Ltd</t>
  </si>
  <si>
    <t>INE343H01029</t>
  </si>
  <si>
    <t>Chemicals &amp; Petrochemicals</t>
  </si>
  <si>
    <t>Benchmark: Nifty India Manufacturing TRI</t>
  </si>
  <si>
    <t>Tata Steel Ltd</t>
  </si>
  <si>
    <t>INE081A01020</t>
  </si>
  <si>
    <t>Ferrous Metals</t>
  </si>
  <si>
    <t>Dixon Technologies (India) Ltd</t>
  </si>
  <si>
    <t>INE935N01020</t>
  </si>
  <si>
    <t>Consumer Durables</t>
  </si>
  <si>
    <t>Hindalco Industries Ltd</t>
  </si>
  <si>
    <t>INE038A01020</t>
  </si>
  <si>
    <t>Non - Ferrous Metals</t>
  </si>
  <si>
    <t>Cummins India Ltd</t>
  </si>
  <si>
    <t>INE298A01020</t>
  </si>
  <si>
    <t>Industrial Products</t>
  </si>
  <si>
    <t>J.K. Cement Ltd</t>
  </si>
  <si>
    <t>INE823G01014</t>
  </si>
  <si>
    <t>Cement &amp; Cement Products</t>
  </si>
  <si>
    <t>Larsen &amp; Toubro Ltd</t>
  </si>
  <si>
    <t>INE018A01030</t>
  </si>
  <si>
    <t>Construction</t>
  </si>
  <si>
    <t>Hindustan Aeronautics Ltd</t>
  </si>
  <si>
    <t>INE066F01020</t>
  </si>
  <si>
    <t>Exide Industries Ltd</t>
  </si>
  <si>
    <t>INE302A01020</t>
  </si>
  <si>
    <t>Auto Components</t>
  </si>
  <si>
    <t>Varun Beverages Ltd</t>
  </si>
  <si>
    <t>INE200M01039</t>
  </si>
  <si>
    <t>Beverages</t>
  </si>
  <si>
    <t>Syrma SGS Technology Ltd</t>
  </si>
  <si>
    <t>INE0DYJ01015</t>
  </si>
  <si>
    <t>Industrial Manufacturing</t>
  </si>
  <si>
    <t>Small Cap</t>
  </si>
  <si>
    <t>Polycab India Ltd</t>
  </si>
  <si>
    <t>INE455K01017</t>
  </si>
  <si>
    <t>Waaree Energies Ltd</t>
  </si>
  <si>
    <t>INE377N01017</t>
  </si>
  <si>
    <t>Oil &amp; Natural Gas Corporation Ltd</t>
  </si>
  <si>
    <t>INE213A01029</t>
  </si>
  <si>
    <t>Oil</t>
  </si>
  <si>
    <t>Mrs Bectors Food Specialities Ltd</t>
  </si>
  <si>
    <t>INE495P01012</t>
  </si>
  <si>
    <t>Food Products</t>
  </si>
  <si>
    <t>Hitachi Energy India Ltd</t>
  </si>
  <si>
    <t>INE07Y701011</t>
  </si>
  <si>
    <t>Innova Captab Ltd</t>
  </si>
  <si>
    <t>INE0DUT01020</t>
  </si>
  <si>
    <t>Pharmaceuticals &amp; Biotechnology</t>
  </si>
  <si>
    <t>Kaynes Technology India Ltd</t>
  </si>
  <si>
    <t>INE918Z01012</t>
  </si>
  <si>
    <t>Ultratech Cement Ltd</t>
  </si>
  <si>
    <t>INE481G01011</t>
  </si>
  <si>
    <t>The Ramco Cements Ltd</t>
  </si>
  <si>
    <t>INE331A01037</t>
  </si>
  <si>
    <t>Suzlon Energy Ltd</t>
  </si>
  <si>
    <t>INE040H01021</t>
  </si>
  <si>
    <t>Grasim Industries Ltd</t>
  </si>
  <si>
    <t>INE047A01021</t>
  </si>
  <si>
    <t>CG Power and Industrial Solutions Ltd</t>
  </si>
  <si>
    <t>INE067A01029</t>
  </si>
  <si>
    <t>Aditya Birla Real Estate Ltd</t>
  </si>
  <si>
    <t>INE055A01016</t>
  </si>
  <si>
    <t>Paper, Forest &amp; Jute Products</t>
  </si>
  <si>
    <t>Apar Industries Ltd</t>
  </si>
  <si>
    <t>INE372A01015</t>
  </si>
  <si>
    <t>J.B. Chemicals &amp; Pharmaceuticals Ltd</t>
  </si>
  <si>
    <t>INE572A01036</t>
  </si>
  <si>
    <t>Voltas Ltd</t>
  </si>
  <si>
    <t>INE226A01021</t>
  </si>
  <si>
    <t>Pidilite Industries Ltd</t>
  </si>
  <si>
    <t>INE318A01026</t>
  </si>
  <si>
    <t>Bikaji Foods International Ltd</t>
  </si>
  <si>
    <t>INE00E101023</t>
  </si>
  <si>
    <t>K.P.R. Mill Ltd</t>
  </si>
  <si>
    <t>INE930H01031</t>
  </si>
  <si>
    <t>Textiles &amp; Apparels</t>
  </si>
  <si>
    <t>Amber Enterprises India Ltd</t>
  </si>
  <si>
    <t>INE371P01015</t>
  </si>
  <si>
    <t>Siemens Energy India ltd</t>
  </si>
  <si>
    <t>INE1NPP01017</t>
  </si>
  <si>
    <t>Safari Industries (India) Ltd</t>
  </si>
  <si>
    <t>INE429E01023</t>
  </si>
  <si>
    <t>Divi's Laboratories Ltd</t>
  </si>
  <si>
    <t>INE361B01024</t>
  </si>
  <si>
    <t>Balrampur Chini Mills Ltd</t>
  </si>
  <si>
    <t>INE119A01028</t>
  </si>
  <si>
    <t>Agricultural Food &amp; Other Products</t>
  </si>
  <si>
    <t>NOCIL Ltd</t>
  </si>
  <si>
    <t>INE163A01018</t>
  </si>
  <si>
    <t>KEI Industries Ltd</t>
  </si>
  <si>
    <t>INE878B01027</t>
  </si>
  <si>
    <t>All Time Plastics Ltd</t>
  </si>
  <si>
    <t>INE0GV601021</t>
  </si>
  <si>
    <t>Timken India Ltd</t>
  </si>
  <si>
    <t>INE325A01013</t>
  </si>
  <si>
    <t>Triveni Turbine Ltd</t>
  </si>
  <si>
    <t>INE152M01016</t>
  </si>
  <si>
    <t>Engineers India Ltd</t>
  </si>
  <si>
    <t>INE510A01028</t>
  </si>
  <si>
    <t>Kansai Nerolac Paints Ltd</t>
  </si>
  <si>
    <t>INE531A01024</t>
  </si>
  <si>
    <t>V-Guard Industries Ltd</t>
  </si>
  <si>
    <t>INE951I01027</t>
  </si>
  <si>
    <t>Doms Industries Ltd</t>
  </si>
  <si>
    <t>INE321T01012</t>
  </si>
  <si>
    <t>Household Products</t>
  </si>
  <si>
    <t>Havells India Ltd</t>
  </si>
  <si>
    <t>INE176B01034</t>
  </si>
  <si>
    <t>MOIL Ltd</t>
  </si>
  <si>
    <t>INE490G01020</t>
  </si>
  <si>
    <t>Minerals &amp; Mining</t>
  </si>
  <si>
    <t>Craftsman Automation Ltd</t>
  </si>
  <si>
    <t>INE00LO01017</t>
  </si>
  <si>
    <t>Concord Biotech Ltd</t>
  </si>
  <si>
    <t>INE338H01029</t>
  </si>
  <si>
    <t>KSB Ltd</t>
  </si>
  <si>
    <t>INE999A01023</t>
  </si>
  <si>
    <t>Schaeffler India Ltd</t>
  </si>
  <si>
    <t>INE513A01022</t>
  </si>
  <si>
    <t>Praj Industries Ltd</t>
  </si>
  <si>
    <t>INE074A01025</t>
  </si>
  <si>
    <t>Cello World Ltd</t>
  </si>
  <si>
    <t>INE0LMW01024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</si>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</sst>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164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0" xfId="1" applyFont="1" applyFill="1"/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5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889C1-C5D1-433F-9EC7-791AD6B30B41}">
  <dimension ref="B1:O80"/>
  <sheetViews>
    <sheetView tabSelected="1" topLeftCell="A66" workbookViewId="0">
      <selection activeCell="B78" sqref="B78:F80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453125" style="3" bestFit="1" customWidth="1"/>
    <col min="4" max="4" width="26.45312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5" ht="16" thickBot="1">
      <c r="B3" s="4" t="s">
        <v>1</v>
      </c>
      <c r="C3" s="5"/>
      <c r="D3" s="6"/>
      <c r="E3" s="6"/>
      <c r="F3" s="7"/>
      <c r="G3" s="7"/>
      <c r="H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7" t="e" vm="2">
        <v>#VALUE!</v>
      </c>
      <c r="N5" s="17" t="e" vm="1">
        <v>#VALUE!</v>
      </c>
      <c r="O5" s="17" t="e" vm="2">
        <v>#VALUE!</v>
      </c>
    </row>
    <row r="6" spans="2:15">
      <c r="B6" s="18" t="s">
        <v>15</v>
      </c>
      <c r="C6" s="19"/>
      <c r="D6" s="19"/>
      <c r="E6" s="19"/>
      <c r="F6" s="20"/>
      <c r="G6" s="20"/>
      <c r="H6" s="20"/>
      <c r="I6" s="20"/>
      <c r="L6" s="21"/>
      <c r="M6" s="21"/>
      <c r="N6" s="21"/>
      <c r="O6" s="21"/>
    </row>
    <row r="7" spans="2:15">
      <c r="B7" s="22" t="s">
        <v>16</v>
      </c>
      <c r="C7" s="19" t="s">
        <v>17</v>
      </c>
      <c r="D7" s="19" t="s">
        <v>18</v>
      </c>
      <c r="E7" s="23">
        <v>291821</v>
      </c>
      <c r="F7" s="20">
        <v>9336.81</v>
      </c>
      <c r="G7" s="20">
        <v>5.74</v>
      </c>
      <c r="H7" s="20" t="s">
        <v>19</v>
      </c>
      <c r="I7" s="20"/>
      <c r="L7" s="21"/>
      <c r="M7" s="21"/>
      <c r="N7" s="21"/>
      <c r="O7" s="21"/>
    </row>
    <row r="8" spans="2:15">
      <c r="B8" s="22" t="s">
        <v>20</v>
      </c>
      <c r="C8" s="19" t="s">
        <v>21</v>
      </c>
      <c r="D8" s="19" t="s">
        <v>18</v>
      </c>
      <c r="E8" s="23">
        <v>56322</v>
      </c>
      <c r="F8" s="20">
        <v>8330.59</v>
      </c>
      <c r="G8" s="20">
        <v>5.13</v>
      </c>
      <c r="H8" s="20" t="s">
        <v>19</v>
      </c>
      <c r="I8" s="20"/>
      <c r="L8" s="21"/>
      <c r="M8" s="21"/>
      <c r="N8" s="21"/>
      <c r="O8" s="21"/>
    </row>
    <row r="9" spans="2:15">
      <c r="B9" s="22" t="s">
        <v>22</v>
      </c>
      <c r="C9" s="19" t="s">
        <v>23</v>
      </c>
      <c r="D9" s="19" t="s">
        <v>24</v>
      </c>
      <c r="E9" s="23">
        <v>2141178</v>
      </c>
      <c r="F9" s="20">
        <v>7909.51</v>
      </c>
      <c r="G9" s="20">
        <v>4.87</v>
      </c>
      <c r="H9" s="20" t="s">
        <v>19</v>
      </c>
      <c r="I9" s="20"/>
      <c r="L9" s="21"/>
      <c r="M9" s="21"/>
      <c r="N9" s="21"/>
      <c r="O9" s="21"/>
    </row>
    <row r="10" spans="2:15">
      <c r="B10" s="22" t="s">
        <v>25</v>
      </c>
      <c r="C10" s="19" t="s">
        <v>26</v>
      </c>
      <c r="D10" s="19" t="s">
        <v>27</v>
      </c>
      <c r="E10" s="23">
        <v>491299</v>
      </c>
      <c r="F10" s="20">
        <v>6667.91</v>
      </c>
      <c r="G10" s="20">
        <v>4.0999999999999996</v>
      </c>
      <c r="H10" s="20" t="s">
        <v>19</v>
      </c>
      <c r="I10" s="20"/>
      <c r="L10" s="21"/>
      <c r="M10" s="21"/>
      <c r="N10" s="21"/>
      <c r="O10" s="21"/>
    </row>
    <row r="11" spans="2:15">
      <c r="B11" s="22" t="s">
        <v>28</v>
      </c>
      <c r="C11" s="19" t="s">
        <v>29</v>
      </c>
      <c r="D11" s="19" t="s">
        <v>30</v>
      </c>
      <c r="E11" s="23">
        <v>224433</v>
      </c>
      <c r="F11" s="20">
        <v>6237.44</v>
      </c>
      <c r="G11" s="20">
        <v>3.84</v>
      </c>
      <c r="H11" s="20" t="s">
        <v>31</v>
      </c>
      <c r="I11" s="20"/>
      <c r="L11" s="21"/>
      <c r="M11" s="21"/>
      <c r="N11" s="21"/>
      <c r="O11" s="21"/>
    </row>
    <row r="12" spans="2:15">
      <c r="B12" s="22" t="s">
        <v>32</v>
      </c>
      <c r="C12" s="19" t="s">
        <v>33</v>
      </c>
      <c r="D12" s="19" t="s">
        <v>18</v>
      </c>
      <c r="E12" s="23">
        <v>51226</v>
      </c>
      <c r="F12" s="20">
        <v>4421.57</v>
      </c>
      <c r="G12" s="20">
        <v>2.72</v>
      </c>
      <c r="H12" s="20" t="s">
        <v>19</v>
      </c>
      <c r="I12" s="20"/>
      <c r="L12" s="24"/>
      <c r="M12" s="24"/>
      <c r="N12" s="24"/>
      <c r="O12" s="24"/>
    </row>
    <row r="13" spans="2:15">
      <c r="B13" s="22" t="s">
        <v>34</v>
      </c>
      <c r="C13" s="19" t="s">
        <v>35</v>
      </c>
      <c r="D13" s="19" t="s">
        <v>36</v>
      </c>
      <c r="E13" s="23">
        <v>31853</v>
      </c>
      <c r="F13" s="20">
        <v>4394.12</v>
      </c>
      <c r="G13" s="20">
        <v>2.7</v>
      </c>
      <c r="H13" s="20" t="s">
        <v>19</v>
      </c>
      <c r="I13" s="20"/>
      <c r="L13" s="25"/>
      <c r="M13" s="26" t="s">
        <v>37</v>
      </c>
      <c r="N13" s="25"/>
    </row>
    <row r="14" spans="2:15">
      <c r="B14" s="22" t="s">
        <v>38</v>
      </c>
      <c r="C14" s="19" t="s">
        <v>39</v>
      </c>
      <c r="D14" s="19" t="s">
        <v>40</v>
      </c>
      <c r="E14" s="23">
        <v>2830661</v>
      </c>
      <c r="F14" s="20">
        <v>4372.8100000000004</v>
      </c>
      <c r="G14" s="20">
        <v>2.69</v>
      </c>
      <c r="H14" s="20" t="s">
        <v>19</v>
      </c>
      <c r="I14" s="20"/>
    </row>
    <row r="15" spans="2:15">
      <c r="B15" s="22" t="s">
        <v>41</v>
      </c>
      <c r="C15" s="19" t="s">
        <v>42</v>
      </c>
      <c r="D15" s="19" t="s">
        <v>43</v>
      </c>
      <c r="E15" s="23">
        <v>25980</v>
      </c>
      <c r="F15" s="20">
        <v>4336.0600000000004</v>
      </c>
      <c r="G15" s="20">
        <v>2.67</v>
      </c>
      <c r="H15" s="20" t="s">
        <v>31</v>
      </c>
      <c r="I15" s="20"/>
    </row>
    <row r="16" spans="2:15">
      <c r="B16" s="22" t="s">
        <v>44</v>
      </c>
      <c r="C16" s="19" t="s">
        <v>45</v>
      </c>
      <c r="D16" s="19" t="s">
        <v>46</v>
      </c>
      <c r="E16" s="23">
        <v>588403</v>
      </c>
      <c r="F16" s="20">
        <v>4142.0600000000004</v>
      </c>
      <c r="G16" s="20">
        <v>2.5499999999999998</v>
      </c>
      <c r="H16" s="20" t="s">
        <v>19</v>
      </c>
      <c r="I16" s="20"/>
    </row>
    <row r="17" spans="2:9">
      <c r="B17" s="22" t="s">
        <v>47</v>
      </c>
      <c r="C17" s="19" t="s">
        <v>48</v>
      </c>
      <c r="D17" s="19" t="s">
        <v>49</v>
      </c>
      <c r="E17" s="23">
        <v>94648</v>
      </c>
      <c r="F17" s="20">
        <v>3621.42</v>
      </c>
      <c r="G17" s="20">
        <v>2.23</v>
      </c>
      <c r="H17" s="20" t="s">
        <v>31</v>
      </c>
      <c r="I17" s="20"/>
    </row>
    <row r="18" spans="2:9">
      <c r="B18" s="22" t="s">
        <v>50</v>
      </c>
      <c r="C18" s="19" t="s">
        <v>51</v>
      </c>
      <c r="D18" s="19" t="s">
        <v>52</v>
      </c>
      <c r="E18" s="23">
        <v>48249</v>
      </c>
      <c r="F18" s="20">
        <v>3351.62</v>
      </c>
      <c r="G18" s="20">
        <v>2.06</v>
      </c>
      <c r="H18" s="20" t="s">
        <v>31</v>
      </c>
      <c r="I18" s="20"/>
    </row>
    <row r="19" spans="2:9">
      <c r="B19" s="22" t="s">
        <v>53</v>
      </c>
      <c r="C19" s="19" t="s">
        <v>54</v>
      </c>
      <c r="D19" s="19" t="s">
        <v>55</v>
      </c>
      <c r="E19" s="23">
        <v>92109</v>
      </c>
      <c r="F19" s="20">
        <v>3316.85</v>
      </c>
      <c r="G19" s="20">
        <v>2.04</v>
      </c>
      <c r="H19" s="20" t="s">
        <v>19</v>
      </c>
      <c r="I19" s="20"/>
    </row>
    <row r="20" spans="2:9">
      <c r="B20" s="22" t="s">
        <v>56</v>
      </c>
      <c r="C20" s="19" t="s">
        <v>57</v>
      </c>
      <c r="D20" s="19" t="s">
        <v>24</v>
      </c>
      <c r="E20" s="23">
        <v>73776</v>
      </c>
      <c r="F20" s="20">
        <v>3196.42</v>
      </c>
      <c r="G20" s="20">
        <v>1.97</v>
      </c>
      <c r="H20" s="20" t="s">
        <v>19</v>
      </c>
      <c r="I20" s="20"/>
    </row>
    <row r="21" spans="2:9">
      <c r="B21" s="22" t="s">
        <v>58</v>
      </c>
      <c r="C21" s="19" t="s">
        <v>59</v>
      </c>
      <c r="D21" s="19" t="s">
        <v>60</v>
      </c>
      <c r="E21" s="23">
        <v>766079</v>
      </c>
      <c r="F21" s="20">
        <v>3035.59</v>
      </c>
      <c r="G21" s="20">
        <v>1.87</v>
      </c>
      <c r="H21" s="20" t="s">
        <v>31</v>
      </c>
      <c r="I21" s="20"/>
    </row>
    <row r="22" spans="2:9">
      <c r="B22" s="22" t="s">
        <v>61</v>
      </c>
      <c r="C22" s="19" t="s">
        <v>62</v>
      </c>
      <c r="D22" s="19" t="s">
        <v>63</v>
      </c>
      <c r="E22" s="23">
        <v>619768</v>
      </c>
      <c r="F22" s="20">
        <v>3019.2</v>
      </c>
      <c r="G22" s="20">
        <v>1.86</v>
      </c>
      <c r="H22" s="20" t="s">
        <v>19</v>
      </c>
      <c r="I22" s="20"/>
    </row>
    <row r="23" spans="2:9">
      <c r="B23" s="22" t="s">
        <v>64</v>
      </c>
      <c r="C23" s="19" t="s">
        <v>65</v>
      </c>
      <c r="D23" s="19" t="s">
        <v>66</v>
      </c>
      <c r="E23" s="23">
        <v>398580</v>
      </c>
      <c r="F23" s="20">
        <v>3002.3</v>
      </c>
      <c r="G23" s="20">
        <v>1.85</v>
      </c>
      <c r="H23" s="20" t="s">
        <v>67</v>
      </c>
      <c r="I23" s="20"/>
    </row>
    <row r="24" spans="2:9">
      <c r="B24" s="22" t="s">
        <v>68</v>
      </c>
      <c r="C24" s="19" t="s">
        <v>69</v>
      </c>
      <c r="D24" s="19" t="s">
        <v>49</v>
      </c>
      <c r="E24" s="23">
        <v>42224</v>
      </c>
      <c r="F24" s="20">
        <v>2994.1</v>
      </c>
      <c r="G24" s="20">
        <v>1.84</v>
      </c>
      <c r="H24" s="20" t="s">
        <v>31</v>
      </c>
      <c r="I24" s="20"/>
    </row>
    <row r="25" spans="2:9">
      <c r="B25" s="22" t="s">
        <v>70</v>
      </c>
      <c r="C25" s="19" t="s">
        <v>71</v>
      </c>
      <c r="D25" s="19" t="s">
        <v>30</v>
      </c>
      <c r="E25" s="23">
        <v>86928</v>
      </c>
      <c r="F25" s="20">
        <v>2957.29</v>
      </c>
      <c r="G25" s="20">
        <v>1.82</v>
      </c>
      <c r="H25" s="20" t="s">
        <v>31</v>
      </c>
      <c r="I25" s="20"/>
    </row>
    <row r="26" spans="2:9">
      <c r="B26" s="22" t="s">
        <v>72</v>
      </c>
      <c r="C26" s="19" t="s">
        <v>73</v>
      </c>
      <c r="D26" s="19" t="s">
        <v>74</v>
      </c>
      <c r="E26" s="23">
        <v>1170070</v>
      </c>
      <c r="F26" s="20">
        <v>2734.57</v>
      </c>
      <c r="G26" s="20">
        <v>1.68</v>
      </c>
      <c r="H26" s="20" t="s">
        <v>19</v>
      </c>
      <c r="I26" s="20"/>
    </row>
    <row r="27" spans="2:9">
      <c r="B27" s="22" t="s">
        <v>75</v>
      </c>
      <c r="C27" s="19" t="s">
        <v>76</v>
      </c>
      <c r="D27" s="19" t="s">
        <v>77</v>
      </c>
      <c r="E27" s="23">
        <v>186790</v>
      </c>
      <c r="F27" s="20">
        <v>2577.52</v>
      </c>
      <c r="G27" s="20">
        <v>1.59</v>
      </c>
      <c r="H27" s="20" t="s">
        <v>67</v>
      </c>
      <c r="I27" s="20"/>
    </row>
    <row r="28" spans="2:9">
      <c r="B28" s="22" t="s">
        <v>78</v>
      </c>
      <c r="C28" s="19" t="s">
        <v>79</v>
      </c>
      <c r="D28" s="19" t="s">
        <v>30</v>
      </c>
      <c r="E28" s="23">
        <v>13228</v>
      </c>
      <c r="F28" s="20">
        <v>2527.87</v>
      </c>
      <c r="G28" s="20">
        <v>1.56</v>
      </c>
      <c r="H28" s="20" t="s">
        <v>31</v>
      </c>
      <c r="I28" s="20"/>
    </row>
    <row r="29" spans="2:9">
      <c r="B29" s="22" t="s">
        <v>80</v>
      </c>
      <c r="C29" s="19" t="s">
        <v>81</v>
      </c>
      <c r="D29" s="19" t="s">
        <v>82</v>
      </c>
      <c r="E29" s="23">
        <v>272265</v>
      </c>
      <c r="F29" s="20">
        <v>2455.9699999999998</v>
      </c>
      <c r="G29" s="20">
        <v>1.51</v>
      </c>
      <c r="H29" s="20" t="s">
        <v>67</v>
      </c>
      <c r="I29" s="20"/>
    </row>
    <row r="30" spans="2:9">
      <c r="B30" s="22" t="s">
        <v>83</v>
      </c>
      <c r="C30" s="19" t="s">
        <v>84</v>
      </c>
      <c r="D30" s="19" t="s">
        <v>66</v>
      </c>
      <c r="E30" s="23">
        <v>39791</v>
      </c>
      <c r="F30" s="20">
        <v>2436.4</v>
      </c>
      <c r="G30" s="20">
        <v>1.5</v>
      </c>
      <c r="H30" s="20" t="s">
        <v>31</v>
      </c>
      <c r="I30" s="20"/>
    </row>
    <row r="31" spans="2:9">
      <c r="B31" s="22" t="s">
        <v>85</v>
      </c>
      <c r="C31" s="19" t="s">
        <v>86</v>
      </c>
      <c r="D31" s="19" t="s">
        <v>52</v>
      </c>
      <c r="E31" s="23">
        <v>19085</v>
      </c>
      <c r="F31" s="20">
        <v>2412.34</v>
      </c>
      <c r="G31" s="20">
        <v>1.48</v>
      </c>
      <c r="H31" s="20" t="s">
        <v>19</v>
      </c>
      <c r="I31" s="20"/>
    </row>
    <row r="32" spans="2:9">
      <c r="B32" s="22" t="s">
        <v>87</v>
      </c>
      <c r="C32" s="19" t="s">
        <v>88</v>
      </c>
      <c r="D32" s="19" t="s">
        <v>52</v>
      </c>
      <c r="E32" s="23">
        <v>226835</v>
      </c>
      <c r="F32" s="20">
        <v>2374.5100000000002</v>
      </c>
      <c r="G32" s="20">
        <v>1.46</v>
      </c>
      <c r="H32" s="20" t="s">
        <v>67</v>
      </c>
      <c r="I32" s="20"/>
    </row>
    <row r="33" spans="2:9">
      <c r="B33" s="22" t="s">
        <v>89</v>
      </c>
      <c r="C33" s="19" t="s">
        <v>90</v>
      </c>
      <c r="D33" s="19" t="s">
        <v>30</v>
      </c>
      <c r="E33" s="23">
        <v>4183056</v>
      </c>
      <c r="F33" s="20">
        <v>2360.5</v>
      </c>
      <c r="G33" s="20">
        <v>1.45</v>
      </c>
      <c r="H33" s="20" t="s">
        <v>31</v>
      </c>
      <c r="I33" s="20"/>
    </row>
    <row r="34" spans="2:9">
      <c r="B34" s="22" t="s">
        <v>91</v>
      </c>
      <c r="C34" s="19" t="s">
        <v>92</v>
      </c>
      <c r="D34" s="19" t="s">
        <v>52</v>
      </c>
      <c r="E34" s="23">
        <v>83029</v>
      </c>
      <c r="F34" s="20">
        <v>2304.5500000000002</v>
      </c>
      <c r="G34" s="20">
        <v>1.42</v>
      </c>
      <c r="H34" s="20" t="s">
        <v>19</v>
      </c>
      <c r="I34" s="20"/>
    </row>
    <row r="35" spans="2:9">
      <c r="B35" s="22" t="s">
        <v>93</v>
      </c>
      <c r="C35" s="19" t="s">
        <v>94</v>
      </c>
      <c r="D35" s="19" t="s">
        <v>30</v>
      </c>
      <c r="E35" s="23">
        <v>322724</v>
      </c>
      <c r="F35" s="20">
        <v>2240.67</v>
      </c>
      <c r="G35" s="20">
        <v>1.38</v>
      </c>
      <c r="H35" s="20" t="s">
        <v>19</v>
      </c>
      <c r="I35" s="20"/>
    </row>
    <row r="36" spans="2:9">
      <c r="B36" s="22" t="s">
        <v>95</v>
      </c>
      <c r="C36" s="19" t="s">
        <v>96</v>
      </c>
      <c r="D36" s="19" t="s">
        <v>97</v>
      </c>
      <c r="E36" s="23">
        <v>127518</v>
      </c>
      <c r="F36" s="20">
        <v>2231.8200000000002</v>
      </c>
      <c r="G36" s="20">
        <v>1.37</v>
      </c>
      <c r="H36" s="20" t="s">
        <v>67</v>
      </c>
      <c r="I36" s="20"/>
    </row>
    <row r="37" spans="2:9">
      <c r="B37" s="22" t="s">
        <v>98</v>
      </c>
      <c r="C37" s="19" t="s">
        <v>99</v>
      </c>
      <c r="D37" s="19" t="s">
        <v>30</v>
      </c>
      <c r="E37" s="23">
        <v>28635</v>
      </c>
      <c r="F37" s="20">
        <v>2214.06</v>
      </c>
      <c r="G37" s="20">
        <v>1.36</v>
      </c>
      <c r="H37" s="20" t="s">
        <v>67</v>
      </c>
      <c r="I37" s="20"/>
    </row>
    <row r="38" spans="2:9">
      <c r="B38" s="22" t="s">
        <v>100</v>
      </c>
      <c r="C38" s="19" t="s">
        <v>101</v>
      </c>
      <c r="D38" s="19" t="s">
        <v>82</v>
      </c>
      <c r="E38" s="23">
        <v>127229</v>
      </c>
      <c r="F38" s="20">
        <v>2193.81</v>
      </c>
      <c r="G38" s="20">
        <v>1.35</v>
      </c>
      <c r="H38" s="20" t="s">
        <v>67</v>
      </c>
      <c r="I38" s="20"/>
    </row>
    <row r="39" spans="2:9">
      <c r="B39" s="22" t="s">
        <v>102</v>
      </c>
      <c r="C39" s="19" t="s">
        <v>103</v>
      </c>
      <c r="D39" s="19" t="s">
        <v>43</v>
      </c>
      <c r="E39" s="23">
        <v>151555</v>
      </c>
      <c r="F39" s="20">
        <v>2082.37</v>
      </c>
      <c r="G39" s="20">
        <v>1.28</v>
      </c>
      <c r="H39" s="20" t="s">
        <v>31</v>
      </c>
      <c r="I39" s="20"/>
    </row>
    <row r="40" spans="2:9">
      <c r="B40" s="22" t="s">
        <v>104</v>
      </c>
      <c r="C40" s="19" t="s">
        <v>105</v>
      </c>
      <c r="D40" s="19" t="s">
        <v>36</v>
      </c>
      <c r="E40" s="23">
        <v>65951</v>
      </c>
      <c r="F40" s="20">
        <v>2011.7</v>
      </c>
      <c r="G40" s="20">
        <v>1.24</v>
      </c>
      <c r="H40" s="20" t="s">
        <v>19</v>
      </c>
      <c r="I40" s="20"/>
    </row>
    <row r="41" spans="2:9">
      <c r="B41" s="22" t="s">
        <v>106</v>
      </c>
      <c r="C41" s="19" t="s">
        <v>107</v>
      </c>
      <c r="D41" s="19" t="s">
        <v>77</v>
      </c>
      <c r="E41" s="23">
        <v>243113</v>
      </c>
      <c r="F41" s="20">
        <v>1921.32</v>
      </c>
      <c r="G41" s="20">
        <v>1.18</v>
      </c>
      <c r="H41" s="20" t="s">
        <v>67</v>
      </c>
      <c r="I41" s="20"/>
    </row>
    <row r="42" spans="2:9">
      <c r="B42" s="22" t="s">
        <v>108</v>
      </c>
      <c r="C42" s="19" t="s">
        <v>109</v>
      </c>
      <c r="D42" s="19" t="s">
        <v>110</v>
      </c>
      <c r="E42" s="23">
        <v>192259</v>
      </c>
      <c r="F42" s="20">
        <v>1896.44</v>
      </c>
      <c r="G42" s="20">
        <v>1.17</v>
      </c>
      <c r="H42" s="20" t="s">
        <v>31</v>
      </c>
      <c r="I42" s="20"/>
    </row>
    <row r="43" spans="2:9">
      <c r="B43" s="22" t="s">
        <v>111</v>
      </c>
      <c r="C43" s="19" t="s">
        <v>112</v>
      </c>
      <c r="D43" s="19" t="s">
        <v>43</v>
      </c>
      <c r="E43" s="23">
        <v>25996</v>
      </c>
      <c r="F43" s="20">
        <v>1889.26</v>
      </c>
      <c r="G43" s="20">
        <v>1.1599999999999999</v>
      </c>
      <c r="H43" s="20" t="s">
        <v>67</v>
      </c>
      <c r="I43" s="20"/>
    </row>
    <row r="44" spans="2:9">
      <c r="B44" s="22" t="s">
        <v>113</v>
      </c>
      <c r="C44" s="19" t="s">
        <v>114</v>
      </c>
      <c r="D44" s="19" t="s">
        <v>30</v>
      </c>
      <c r="E44" s="23">
        <v>54354</v>
      </c>
      <c r="F44" s="20">
        <v>1834.39</v>
      </c>
      <c r="G44" s="20">
        <v>1.1299999999999999</v>
      </c>
      <c r="H44" s="20" t="s">
        <v>19</v>
      </c>
      <c r="I44" s="20"/>
    </row>
    <row r="45" spans="2:9">
      <c r="B45" s="22" t="s">
        <v>115</v>
      </c>
      <c r="C45" s="19" t="s">
        <v>116</v>
      </c>
      <c r="D45" s="19" t="s">
        <v>43</v>
      </c>
      <c r="E45" s="23">
        <v>85148</v>
      </c>
      <c r="F45" s="20">
        <v>1824.81</v>
      </c>
      <c r="G45" s="20">
        <v>1.1200000000000001</v>
      </c>
      <c r="H45" s="20" t="s">
        <v>67</v>
      </c>
      <c r="I45" s="20"/>
    </row>
    <row r="46" spans="2:9">
      <c r="B46" s="22" t="s">
        <v>117</v>
      </c>
      <c r="C46" s="19" t="s">
        <v>118</v>
      </c>
      <c r="D46" s="19" t="s">
        <v>82</v>
      </c>
      <c r="E46" s="23">
        <v>28840</v>
      </c>
      <c r="F46" s="20">
        <v>1768.32</v>
      </c>
      <c r="G46" s="20">
        <v>1.0900000000000001</v>
      </c>
      <c r="H46" s="20" t="s">
        <v>19</v>
      </c>
      <c r="I46" s="20"/>
    </row>
    <row r="47" spans="2:9">
      <c r="B47" s="22" t="s">
        <v>119</v>
      </c>
      <c r="C47" s="19" t="s">
        <v>120</v>
      </c>
      <c r="D47" s="19" t="s">
        <v>121</v>
      </c>
      <c r="E47" s="23">
        <v>319050</v>
      </c>
      <c r="F47" s="20">
        <v>1710.75</v>
      </c>
      <c r="G47" s="20">
        <v>1.05</v>
      </c>
      <c r="H47" s="20" t="s">
        <v>67</v>
      </c>
      <c r="I47" s="20"/>
    </row>
    <row r="48" spans="2:9">
      <c r="B48" s="22" t="s">
        <v>122</v>
      </c>
      <c r="C48" s="19" t="s">
        <v>123</v>
      </c>
      <c r="D48" s="19" t="s">
        <v>36</v>
      </c>
      <c r="E48" s="23">
        <v>948605</v>
      </c>
      <c r="F48" s="20">
        <v>1677.99</v>
      </c>
      <c r="G48" s="20">
        <v>1.03</v>
      </c>
      <c r="H48" s="20" t="s">
        <v>67</v>
      </c>
      <c r="I48" s="20"/>
    </row>
    <row r="49" spans="2:9">
      <c r="B49" s="22" t="s">
        <v>124</v>
      </c>
      <c r="C49" s="19" t="s">
        <v>125</v>
      </c>
      <c r="D49" s="19" t="s">
        <v>49</v>
      </c>
      <c r="E49" s="23">
        <v>41937</v>
      </c>
      <c r="F49" s="20">
        <v>1598.05</v>
      </c>
      <c r="G49" s="20">
        <v>0.98</v>
      </c>
      <c r="H49" s="20" t="s">
        <v>31</v>
      </c>
      <c r="I49" s="20"/>
    </row>
    <row r="50" spans="2:9">
      <c r="B50" s="22" t="s">
        <v>126</v>
      </c>
      <c r="C50" s="19" t="s">
        <v>127</v>
      </c>
      <c r="D50" s="19" t="s">
        <v>43</v>
      </c>
      <c r="E50" s="23">
        <v>508734</v>
      </c>
      <c r="F50" s="20">
        <v>1510.94</v>
      </c>
      <c r="G50" s="20">
        <v>0.93</v>
      </c>
      <c r="H50" s="20" t="s">
        <v>67</v>
      </c>
      <c r="I50" s="20"/>
    </row>
    <row r="51" spans="2:9">
      <c r="B51" s="22" t="s">
        <v>128</v>
      </c>
      <c r="C51" s="19" t="s">
        <v>129</v>
      </c>
      <c r="D51" s="19" t="s">
        <v>49</v>
      </c>
      <c r="E51" s="23">
        <v>51388</v>
      </c>
      <c r="F51" s="20">
        <v>1484.19</v>
      </c>
      <c r="G51" s="20">
        <v>0.91</v>
      </c>
      <c r="H51" s="20" t="s">
        <v>67</v>
      </c>
      <c r="I51" s="20"/>
    </row>
    <row r="52" spans="2:9">
      <c r="B52" s="22" t="s">
        <v>130</v>
      </c>
      <c r="C52" s="19" t="s">
        <v>131</v>
      </c>
      <c r="D52" s="19" t="s">
        <v>30</v>
      </c>
      <c r="E52" s="23">
        <v>280121</v>
      </c>
      <c r="F52" s="20">
        <v>1454.11</v>
      </c>
      <c r="G52" s="20">
        <v>0.89</v>
      </c>
      <c r="H52" s="20" t="s">
        <v>67</v>
      </c>
      <c r="I52" s="20"/>
    </row>
    <row r="53" spans="2:9">
      <c r="B53" s="22" t="s">
        <v>132</v>
      </c>
      <c r="C53" s="19" t="s">
        <v>133</v>
      </c>
      <c r="D53" s="19" t="s">
        <v>55</v>
      </c>
      <c r="E53" s="23">
        <v>714231</v>
      </c>
      <c r="F53" s="20">
        <v>1416.61</v>
      </c>
      <c r="G53" s="20">
        <v>0.87</v>
      </c>
      <c r="H53" s="20" t="s">
        <v>67</v>
      </c>
      <c r="I53" s="20"/>
    </row>
    <row r="54" spans="2:9">
      <c r="B54" s="22" t="s">
        <v>134</v>
      </c>
      <c r="C54" s="19" t="s">
        <v>135</v>
      </c>
      <c r="D54" s="19" t="s">
        <v>43</v>
      </c>
      <c r="E54" s="23">
        <v>567325</v>
      </c>
      <c r="F54" s="20">
        <v>1361.52</v>
      </c>
      <c r="G54" s="20">
        <v>0.84</v>
      </c>
      <c r="H54" s="20" t="s">
        <v>67</v>
      </c>
      <c r="I54" s="20"/>
    </row>
    <row r="55" spans="2:9">
      <c r="B55" s="22" t="s">
        <v>136</v>
      </c>
      <c r="C55" s="19" t="s">
        <v>137</v>
      </c>
      <c r="D55" s="19" t="s">
        <v>43</v>
      </c>
      <c r="E55" s="23">
        <v>360952</v>
      </c>
      <c r="F55" s="20">
        <v>1311.52</v>
      </c>
      <c r="G55" s="20">
        <v>0.81</v>
      </c>
      <c r="H55" s="20" t="s">
        <v>67</v>
      </c>
      <c r="I55" s="20"/>
    </row>
    <row r="56" spans="2:9">
      <c r="B56" s="22" t="s">
        <v>138</v>
      </c>
      <c r="C56" s="19" t="s">
        <v>139</v>
      </c>
      <c r="D56" s="19" t="s">
        <v>140</v>
      </c>
      <c r="E56" s="23">
        <v>51309</v>
      </c>
      <c r="F56" s="20">
        <v>1247.68</v>
      </c>
      <c r="G56" s="20">
        <v>0.77</v>
      </c>
      <c r="H56" s="20" t="s">
        <v>67</v>
      </c>
      <c r="I56" s="20"/>
    </row>
    <row r="57" spans="2:9">
      <c r="B57" s="22" t="s">
        <v>141</v>
      </c>
      <c r="C57" s="19" t="s">
        <v>142</v>
      </c>
      <c r="D57" s="19" t="s">
        <v>43</v>
      </c>
      <c r="E57" s="23">
        <v>77985</v>
      </c>
      <c r="F57" s="20">
        <v>1189.74</v>
      </c>
      <c r="G57" s="20">
        <v>0.73</v>
      </c>
      <c r="H57" s="20" t="s">
        <v>19</v>
      </c>
      <c r="I57" s="20"/>
    </row>
    <row r="58" spans="2:9">
      <c r="B58" s="22" t="s">
        <v>143</v>
      </c>
      <c r="C58" s="19" t="s">
        <v>144</v>
      </c>
      <c r="D58" s="19" t="s">
        <v>145</v>
      </c>
      <c r="E58" s="23">
        <v>350708</v>
      </c>
      <c r="F58" s="20">
        <v>1158.21</v>
      </c>
      <c r="G58" s="20">
        <v>0.71</v>
      </c>
      <c r="H58" s="20" t="s">
        <v>67</v>
      </c>
      <c r="I58" s="20"/>
    </row>
    <row r="59" spans="2:9">
      <c r="B59" s="22" t="s">
        <v>146</v>
      </c>
      <c r="C59" s="19" t="s">
        <v>147</v>
      </c>
      <c r="D59" s="19" t="s">
        <v>60</v>
      </c>
      <c r="E59" s="23">
        <v>16361</v>
      </c>
      <c r="F59" s="20">
        <v>1130.95</v>
      </c>
      <c r="G59" s="20">
        <v>0.7</v>
      </c>
      <c r="H59" s="20" t="s">
        <v>67</v>
      </c>
      <c r="I59" s="20"/>
    </row>
    <row r="60" spans="2:9">
      <c r="B60" s="22" t="s">
        <v>148</v>
      </c>
      <c r="C60" s="19" t="s">
        <v>149</v>
      </c>
      <c r="D60" s="19" t="s">
        <v>82</v>
      </c>
      <c r="E60" s="23">
        <v>65725</v>
      </c>
      <c r="F60" s="20">
        <v>1105.3</v>
      </c>
      <c r="G60" s="20">
        <v>0.68</v>
      </c>
      <c r="H60" s="20" t="s">
        <v>67</v>
      </c>
      <c r="I60" s="20"/>
    </row>
    <row r="61" spans="2:9">
      <c r="B61" s="22" t="s">
        <v>150</v>
      </c>
      <c r="C61" s="19" t="s">
        <v>151</v>
      </c>
      <c r="D61" s="19" t="s">
        <v>49</v>
      </c>
      <c r="E61" s="23">
        <v>131195</v>
      </c>
      <c r="F61" s="20">
        <v>1083.54</v>
      </c>
      <c r="G61" s="20">
        <v>0.67</v>
      </c>
      <c r="H61" s="20" t="s">
        <v>67</v>
      </c>
      <c r="I61" s="20"/>
    </row>
    <row r="62" spans="2:9">
      <c r="B62" s="22" t="s">
        <v>152</v>
      </c>
      <c r="C62" s="19" t="s">
        <v>153</v>
      </c>
      <c r="D62" s="19" t="s">
        <v>60</v>
      </c>
      <c r="E62" s="23">
        <v>25737</v>
      </c>
      <c r="F62" s="20">
        <v>995.35</v>
      </c>
      <c r="G62" s="20">
        <v>0.61</v>
      </c>
      <c r="H62" s="20" t="s">
        <v>31</v>
      </c>
      <c r="I62" s="20"/>
    </row>
    <row r="63" spans="2:9">
      <c r="B63" s="22" t="s">
        <v>154</v>
      </c>
      <c r="C63" s="19" t="s">
        <v>155</v>
      </c>
      <c r="D63" s="19" t="s">
        <v>66</v>
      </c>
      <c r="E63" s="23">
        <v>240630</v>
      </c>
      <c r="F63" s="20">
        <v>941.59</v>
      </c>
      <c r="G63" s="20">
        <v>0.57999999999999996</v>
      </c>
      <c r="H63" s="20" t="s">
        <v>67</v>
      </c>
      <c r="I63" s="20"/>
    </row>
    <row r="64" spans="2:9">
      <c r="B64" s="22" t="s">
        <v>156</v>
      </c>
      <c r="C64" s="19" t="s">
        <v>157</v>
      </c>
      <c r="D64" s="19" t="s">
        <v>43</v>
      </c>
      <c r="E64" s="23">
        <v>131343</v>
      </c>
      <c r="F64" s="20">
        <v>708.53</v>
      </c>
      <c r="G64" s="20">
        <v>0.44</v>
      </c>
      <c r="H64" s="20" t="s">
        <v>67</v>
      </c>
      <c r="I64" s="20"/>
    </row>
    <row r="65" spans="2:10">
      <c r="B65" s="27" t="s">
        <v>158</v>
      </c>
      <c r="C65" s="28"/>
      <c r="D65" s="28"/>
      <c r="E65" s="28"/>
      <c r="F65" s="29">
        <f>SUM(F7:F64)</f>
        <v>158023.43999999992</v>
      </c>
      <c r="G65" s="29">
        <f>SUM(G7:G64)</f>
        <v>97.230000000000018</v>
      </c>
      <c r="H65" s="29"/>
      <c r="I65" s="29"/>
      <c r="J65" s="30"/>
    </row>
    <row r="66" spans="2:10">
      <c r="B66" s="31" t="s">
        <v>159</v>
      </c>
      <c r="C66" s="31"/>
      <c r="D66" s="31"/>
      <c r="E66" s="31"/>
      <c r="F66" s="32">
        <f>F65</f>
        <v>158023.43999999992</v>
      </c>
      <c r="G66" s="32">
        <f>G65</f>
        <v>97.230000000000018</v>
      </c>
      <c r="H66" s="33"/>
      <c r="I66" s="33"/>
      <c r="J66" s="30"/>
    </row>
    <row r="67" spans="2:10">
      <c r="B67" s="34" t="s">
        <v>160</v>
      </c>
      <c r="C67" s="35"/>
      <c r="D67" s="35"/>
      <c r="E67" s="35"/>
      <c r="F67" s="36"/>
      <c r="G67" s="36"/>
      <c r="H67" s="36"/>
      <c r="I67" s="36"/>
    </row>
    <row r="68" spans="2:10">
      <c r="B68" s="22" t="s">
        <v>160</v>
      </c>
      <c r="C68" s="19"/>
      <c r="D68" s="19"/>
      <c r="E68" s="19"/>
      <c r="F68" s="20">
        <v>4803.1099999999997</v>
      </c>
      <c r="G68" s="20">
        <v>2.95</v>
      </c>
      <c r="H68" s="20"/>
      <c r="I68" s="20"/>
    </row>
    <row r="69" spans="2:10">
      <c r="B69" s="27" t="s">
        <v>158</v>
      </c>
      <c r="C69" s="28"/>
      <c r="D69" s="28"/>
      <c r="E69" s="28"/>
      <c r="F69" s="29">
        <f>SUM(F67:F68)</f>
        <v>4803.1099999999997</v>
      </c>
      <c r="G69" s="29">
        <f>SUM(G67:G68)</f>
        <v>2.95</v>
      </c>
      <c r="H69" s="37"/>
      <c r="I69" s="37"/>
      <c r="J69" s="30"/>
    </row>
    <row r="70" spans="2:10">
      <c r="B70" s="38" t="s">
        <v>159</v>
      </c>
      <c r="C70" s="38"/>
      <c r="D70" s="38"/>
      <c r="E70" s="38"/>
      <c r="F70" s="39">
        <f>F69</f>
        <v>4803.1099999999997</v>
      </c>
      <c r="G70" s="39">
        <f>G69</f>
        <v>2.95</v>
      </c>
      <c r="H70" s="39"/>
      <c r="I70" s="39"/>
      <c r="J70" s="30"/>
    </row>
    <row r="71" spans="2:10">
      <c r="B71" s="40" t="s">
        <v>161</v>
      </c>
      <c r="C71" s="40"/>
      <c r="D71" s="40"/>
      <c r="E71" s="40"/>
      <c r="F71" s="41">
        <f>F72-(+F66+F70)</f>
        <v>-282.80999999991036</v>
      </c>
      <c r="G71" s="41">
        <f>G72-(+G66+G70)</f>
        <v>-0.18000000000002103</v>
      </c>
      <c r="H71" s="41"/>
      <c r="I71" s="41"/>
      <c r="J71" s="30"/>
    </row>
    <row r="72" spans="2:10">
      <c r="B72" s="40" t="s">
        <v>162</v>
      </c>
      <c r="C72" s="40"/>
      <c r="D72" s="40"/>
      <c r="E72" s="40"/>
      <c r="F72" s="41">
        <v>162543.74</v>
      </c>
      <c r="G72" s="41">
        <v>100</v>
      </c>
      <c r="H72" s="41"/>
      <c r="I72" s="41"/>
      <c r="J72" s="30"/>
    </row>
    <row r="74" spans="2:10" ht="12" thickBot="1">
      <c r="B74" s="30"/>
    </row>
    <row r="75" spans="2:10" ht="12.5" thickTop="1" thickBot="1">
      <c r="B75" s="42" t="s">
        <v>163</v>
      </c>
      <c r="C75" s="43" t="s">
        <v>164</v>
      </c>
    </row>
    <row r="76" spans="2:10" ht="12" thickTop="1"/>
    <row r="78" spans="2:10">
      <c r="B78" s="30" t="s">
        <v>165</v>
      </c>
    </row>
    <row r="80" spans="2:10" ht="14.5">
      <c r="B80" s="44" t="s">
        <v>166</v>
      </c>
    </row>
  </sheetData>
  <mergeCells count="5">
    <mergeCell ref="B1:I1"/>
    <mergeCell ref="L5:L12"/>
    <mergeCell ref="M5:M12"/>
    <mergeCell ref="N5:N12"/>
    <mergeCell ref="O5:O12"/>
  </mergeCells>
  <hyperlinks>
    <hyperlink ref="B80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CC7B58ED-A6DE-4724-B31D-1A10AFAB3792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17:19:20</KDate>
  <Classification>Public</Classification>
  <Subclassification/>
  <HostName>MUMCMP01346</HostName>
  <Domain_User>CANARAROBECOMF/396</Domain_User>
  <IPAdd>192.9.198.198</IPAdd>
  <FilePath>Book42</FilePath>
  <KID>1098191A8D7D638929487607816169</KID>
  <UniqueName/>
  <Suggested/>
  <Justification/>
</Klassify>
</file>

<file path=customXml/itemProps1.xml><?xml version="1.0" encoding="utf-8"?>
<ds:datastoreItem xmlns:ds="http://schemas.openxmlformats.org/officeDocument/2006/customXml" ds:itemID="{700EA343-5173-4B94-87B6-F269DD5AB3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2025-09-08T11:49:16Z</dcterms:created>
  <dcterms:modified xsi:type="dcterms:W3CDTF">2025-09-08T11:49:20Z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1098191A8D7D638929487607816169</vt:lpwstr>
  </property>
</Properties>
</file>