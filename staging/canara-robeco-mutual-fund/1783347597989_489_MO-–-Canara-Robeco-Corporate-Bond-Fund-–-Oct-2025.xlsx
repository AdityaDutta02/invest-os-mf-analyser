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Oct 25\"/>
    </mc:Choice>
  </mc:AlternateContent>
  <xr:revisionPtr revIDLastSave="0" documentId="8_{B2DA0789-DCBC-4582-B680-39C9A2D4A2AF}" xr6:coauthVersionLast="47" xr6:coauthVersionMax="47" xr10:uidLastSave="{00000000-0000-0000-0000-000000000000}"/>
  <bookViews>
    <workbookView xWindow="-120" yWindow="-120" windowWidth="20730" windowHeight="11040" xr2:uid="{B3E467D0-F684-4423-A6F9-5D39BA3A9FC7}"/>
  </bookViews>
  <sheets>
    <sheet name="M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1" l="1"/>
  <c r="G37" i="1" s="1"/>
  <c r="F36" i="1"/>
  <c r="F37" i="1" s="1"/>
  <c r="G33" i="1"/>
  <c r="F33" i="1"/>
  <c r="G30" i="1"/>
  <c r="F30" i="1"/>
  <c r="G22" i="1"/>
  <c r="G23" i="1" s="1"/>
  <c r="F22" i="1"/>
  <c r="F23" i="1" s="1"/>
  <c r="G17" i="1"/>
  <c r="G18" i="1" s="1"/>
  <c r="G38" i="1" s="1"/>
  <c r="F17" i="1"/>
  <c r="F18" i="1" s="1"/>
  <c r="F38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<sst xmlns="http://schemas.openxmlformats.org/spreadsheetml/2006/main" count="99" uniqueCount="79">
  <si>
    <t>CANARA ROBECO CORPORATE BOND FUND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</si>
  <si>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</si>
  <si>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</si>
  <si>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</si>
  <si>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</si>
  <si>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</si>
  <si>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</si>
  <si>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</si>
  <si>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</si>
  <si>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October'25</t>
  </si>
  <si>
    <t>Benchmark Risk-O-Meter Level- October'25</t>
  </si>
  <si>
    <t>Scheme Risk-O-Meter Level- September'25</t>
  </si>
  <si>
    <t>Benchmark Risk-O-Meter Level- September'25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</si>
  <si>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</si>
  <si>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</si>
  <si>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</si>
  <si>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</si>
  <si>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</si>
  <si>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</si>
  <si>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</si>
  <si>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</si>
  <si>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7.70% Power Finance Corporation Ltd (15/04/2033) **</t>
  </si>
  <si>
    <t>INE134E08MI4</t>
  </si>
  <si>
    <t>CRISIL AAA</t>
  </si>
  <si>
    <t>Relatively Low (Class I)</t>
  </si>
  <si>
    <t>7.68% LIC Housing Finance Ltd (29/05/2034) **</t>
  </si>
  <si>
    <t>INE115A07QR5</t>
  </si>
  <si>
    <t>7.63% Grasim industries Ltd (01/12/2027) **</t>
  </si>
  <si>
    <t>INE047A08208</t>
  </si>
  <si>
    <t>Moderate 
(Class II)</t>
  </si>
  <si>
    <t>8.23% Kotak Mahindra Prime Ltd (21/12/2026) **</t>
  </si>
  <si>
    <t>INE916DA7SP4</t>
  </si>
  <si>
    <t>7.51% REC Ltd (31/07/2026) **</t>
  </si>
  <si>
    <t>INE020B08EI8</t>
  </si>
  <si>
    <t>Relatively High (Class III)</t>
  </si>
  <si>
    <t>B-III</t>
  </si>
  <si>
    <t>7.59% Small Industries Development Bank Of India (10/02/2026) **</t>
  </si>
  <si>
    <t>INE556F08KG3</t>
  </si>
  <si>
    <t>8.45% Indian Railway Finance Corporation Ltd (04/12/2028) **</t>
  </si>
  <si>
    <t>INE053F07AY7</t>
  </si>
  <si>
    <t>Benchmark: CRISIL Corporate Debt A-II Index</t>
  </si>
  <si>
    <t>7.48% National Bank For Agriculture &amp; Rural Development (15/09/2028)</t>
  </si>
  <si>
    <t>INE261F08EO7</t>
  </si>
  <si>
    <t>7.3763% BAJAJ FINANCE LTD 26-JUN-28 **</t>
  </si>
  <si>
    <t>INE296A07TJ4</t>
  </si>
  <si>
    <t>7.96% HDB Financial Services Ltd (17/11/2025) **</t>
  </si>
  <si>
    <t>INE756I07EM6</t>
  </si>
  <si>
    <t>CARE AAA</t>
  </si>
  <si>
    <t>Sub Total</t>
  </si>
  <si>
    <t>Total</t>
  </si>
  <si>
    <t>Money Market Instruments</t>
  </si>
  <si>
    <t>Treasury Bill</t>
  </si>
  <si>
    <t>364 DTB (08-JAN-2026)</t>
  </si>
  <si>
    <t>IN002024Z396</t>
  </si>
  <si>
    <t xml:space="preserve"> Sovereign</t>
  </si>
  <si>
    <t>Government Bonds</t>
  </si>
  <si>
    <t>6.79% GOI 2031 (30-DEC-2031)</t>
  </si>
  <si>
    <t>IN0020240191</t>
  </si>
  <si>
    <t>Sovereign</t>
  </si>
  <si>
    <t>6.79% GOI 2034 (07-OCT-2034)</t>
  </si>
  <si>
    <t>IN0020240126</t>
  </si>
  <si>
    <t>7.26% TAMIL NADU SDL 24-SEP-35</t>
  </si>
  <si>
    <t>IN3120250300</t>
  </si>
  <si>
    <t>6.68% GOI 2040 (07-JUL-2040)</t>
  </si>
  <si>
    <t>IN0020250042</t>
  </si>
  <si>
    <t>6.33% GOI 2035 (05-MAY-2035)</t>
  </si>
  <si>
    <t>IN0020250026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</si>
  <si>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</si>
  <si>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</si>
  <si>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</si>
  <si>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</si>
  <si>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</si>
  <si>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</si>
  <si>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Non Traded Security</t>
  </si>
  <si>
    <t>Modified Duration (In Years)</t>
  </si>
  <si>
    <t>Annualised Portfolio YTM</t>
  </si>
  <si>
    <t>Macaulay Duration (In Years)</t>
  </si>
  <si>
    <t>Please refer the below link for the performance of the Schemes managed by Canara Robeco Mutual Fund</t>
  </si>
  <si>
    <t>https://canararobeco.com/docs/default-source/default-document-library/Scheme_Performance_October_25.pdf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</si>
</sst>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9"/>
      <color rgb="FF000000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1" fillId="3" borderId="9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164" fontId="4" fillId="3" borderId="5" xfId="1" applyFont="1" applyFill="1" applyBorder="1" applyAlignment="1">
      <alignment horizontal="center" vertical="center"/>
    </xf>
    <xf numFmtId="164" fontId="4" fillId="3" borderId="10" xfId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wrapText="1"/>
    </xf>
    <xf numFmtId="0" fontId="10" fillId="0" borderId="10" xfId="0" applyFont="1" applyBorder="1" applyAlignment="1">
      <alignment horizontal="center" wrapText="1"/>
    </xf>
    <xf numFmtId="0" fontId="11" fillId="3" borderId="11" xfId="0" applyFont="1" applyFill="1" applyBorder="1"/>
    <xf numFmtId="0" fontId="4" fillId="3" borderId="11" xfId="0" applyFont="1" applyFill="1" applyBorder="1"/>
    <xf numFmtId="4" fontId="4" fillId="3" borderId="11" xfId="0" applyNumberFormat="1" applyFont="1" applyFill="1" applyBorder="1"/>
    <xf numFmtId="164" fontId="4" fillId="3" borderId="12" xfId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left" vertical="top" wrapText="1"/>
    </xf>
    <xf numFmtId="3" fontId="4" fillId="3" borderId="11" xfId="0" applyNumberFormat="1" applyFont="1" applyFill="1" applyBorder="1"/>
    <xf numFmtId="0" fontId="10" fillId="0" borderId="10" xfId="0" applyFont="1" applyBorder="1" applyAlignment="1">
      <alignment horizontal="left" wrapText="1"/>
    </xf>
    <xf numFmtId="0" fontId="12" fillId="0" borderId="5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0" fillId="4" borderId="5" xfId="0" applyFont="1" applyFill="1" applyBorder="1" applyAlignment="1">
      <alignment horizontal="center" vertical="center"/>
    </xf>
    <xf numFmtId="164" fontId="4" fillId="3" borderId="13" xfId="1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164" fontId="4" fillId="3" borderId="0" xfId="1" applyFont="1" applyFill="1"/>
    <xf numFmtId="0" fontId="11" fillId="3" borderId="14" xfId="0" applyFont="1" applyFill="1" applyBorder="1"/>
    <xf numFmtId="4" fontId="11" fillId="3" borderId="15" xfId="0" applyNumberFormat="1" applyFont="1" applyFill="1" applyBorder="1"/>
    <xf numFmtId="4" fontId="11" fillId="3" borderId="14" xfId="0" applyNumberFormat="1" applyFont="1" applyFill="1" applyBorder="1"/>
    <xf numFmtId="0" fontId="11" fillId="3" borderId="0" xfId="0" applyFont="1" applyFill="1"/>
    <xf numFmtId="0" fontId="11" fillId="3" borderId="16" xfId="0" applyFont="1" applyFill="1" applyBorder="1"/>
    <xf numFmtId="4" fontId="11" fillId="3" borderId="16" xfId="0" applyNumberFormat="1" applyFont="1" applyFill="1" applyBorder="1"/>
    <xf numFmtId="0" fontId="4" fillId="3" borderId="17" xfId="0" applyFont="1" applyFill="1" applyBorder="1"/>
    <xf numFmtId="3" fontId="4" fillId="3" borderId="17" xfId="0" applyNumberFormat="1" applyFont="1" applyFill="1" applyBorder="1"/>
    <xf numFmtId="4" fontId="4" fillId="3" borderId="17" xfId="0" applyNumberFormat="1" applyFont="1" applyFill="1" applyBorder="1"/>
    <xf numFmtId="0" fontId="11" fillId="3" borderId="18" xfId="0" applyFont="1" applyFill="1" applyBorder="1"/>
    <xf numFmtId="4" fontId="11" fillId="3" borderId="18" xfId="0" applyNumberFormat="1" applyFont="1" applyFill="1" applyBorder="1"/>
    <xf numFmtId="0" fontId="11" fillId="3" borderId="19" xfId="0" applyFont="1" applyFill="1" applyBorder="1"/>
    <xf numFmtId="4" fontId="11" fillId="3" borderId="19" xfId="0" applyNumberFormat="1" applyFont="1" applyFill="1" applyBorder="1"/>
    <xf numFmtId="0" fontId="11" fillId="3" borderId="10" xfId="0" applyFont="1" applyFill="1" applyBorder="1"/>
    <xf numFmtId="4" fontId="11" fillId="3" borderId="10" xfId="0" applyNumberFormat="1" applyFont="1" applyFill="1" applyBorder="1"/>
    <xf numFmtId="0" fontId="13" fillId="5" borderId="20" xfId="0" applyFont="1" applyFill="1" applyBorder="1"/>
    <xf numFmtId="2" fontId="11" fillId="3" borderId="21" xfId="0" applyNumberFormat="1" applyFont="1" applyFill="1" applyBorder="1"/>
    <xf numFmtId="10" fontId="11" fillId="3" borderId="21" xfId="0" applyNumberFormat="1" applyFont="1" applyFill="1" applyBorder="1"/>
    <xf numFmtId="0" fontId="2" fillId="0" borderId="0" xfId="2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anararobeco.com/docs/default-source/default-document-library/Scheme_Performance_October_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4848A-7961-4597-9232-480E108A2727}">
  <dimension ref="B1:R51"/>
  <sheetViews>
    <sheetView tabSelected="1" workbookViewId="0">
      <selection activeCell="B13" sqref="B13"/>
    </sheetView>
  </sheetViews>
  <sheetFormatPr defaultRowHeight="12" x14ac:dyDescent="0.2"/>
  <cols>
    <col min="1" max="1" width="9.140625" style="3"/>
    <col min="2" max="2" width="58.28515625" style="3" bestFit="1" customWidth="1"/>
    <col min="3" max="3" width="13.5703125" style="3" bestFit="1" customWidth="1"/>
    <col min="4" max="4" width="22.85546875" style="3" bestFit="1" customWidth="1"/>
    <col min="5" max="5" width="7.7109375" style="3" bestFit="1" customWidth="1"/>
    <col min="6" max="6" width="15.28515625" style="8" bestFit="1" customWidth="1"/>
    <col min="7" max="7" width="7.42578125" style="8" bestFit="1" customWidth="1"/>
    <col min="8" max="8" width="6.5703125" style="8" bestFit="1" customWidth="1"/>
    <col min="9" max="9" width="9.140625" style="3"/>
    <col min="10" max="10" width="31.5703125" style="3" customWidth="1"/>
    <col min="11" max="11" width="35.5703125" style="3" customWidth="1"/>
    <col min="12" max="13" width="31.42578125" style="3" customWidth="1"/>
    <col min="14" max="14" width="9.140625" style="3"/>
    <col min="15" max="15" width="13" style="3" customWidth="1"/>
    <col min="16" max="16384" width="9.140625" style="3"/>
  </cols>
  <sheetData>
    <row r="1" spans="2:18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8" ht="16.5" thickBot="1" x14ac:dyDescent="0.25">
      <c r="B3" s="4" t="s">
        <v>1</v>
      </c>
      <c r="C3" s="5"/>
      <c r="D3" s="6"/>
      <c r="E3" s="6"/>
      <c r="F3" s="7"/>
      <c r="G3" s="7"/>
    </row>
    <row r="4" spans="2:18" ht="28.5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O4" s="14" t="s">
        <v>13</v>
      </c>
      <c r="P4" s="15"/>
      <c r="Q4" s="15"/>
      <c r="R4" s="16"/>
    </row>
    <row r="5" spans="2:18" x14ac:dyDescent="0.2">
      <c r="B5" s="17" t="s">
        <v>14</v>
      </c>
      <c r="C5" s="18"/>
      <c r="D5" s="18"/>
      <c r="E5" s="18"/>
      <c r="F5" s="19"/>
      <c r="G5" s="19"/>
      <c r="H5" s="19"/>
      <c r="J5" s="20" t="e" vm="1">
        <v>#VALUE!</v>
      </c>
      <c r="K5" s="21" t="e" vm="2">
        <v>#VALUE!</v>
      </c>
      <c r="L5" s="20" t="e" vm="1">
        <v>#VALUE!</v>
      </c>
      <c r="M5" s="21" t="e" vm="2">
        <v>#VALUE!</v>
      </c>
      <c r="O5" s="22" t="s">
        <v>15</v>
      </c>
      <c r="P5" s="23" t="s">
        <v>16</v>
      </c>
      <c r="Q5" s="23" t="s">
        <v>17</v>
      </c>
      <c r="R5" s="23" t="s">
        <v>18</v>
      </c>
    </row>
    <row r="6" spans="2:18" ht="24" x14ac:dyDescent="0.2">
      <c r="B6" s="24" t="s">
        <v>19</v>
      </c>
      <c r="C6" s="25"/>
      <c r="D6" s="25"/>
      <c r="E6" s="25"/>
      <c r="F6" s="26"/>
      <c r="G6" s="26"/>
      <c r="H6" s="26"/>
      <c r="J6" s="27"/>
      <c r="K6" s="21"/>
      <c r="L6" s="27"/>
      <c r="M6" s="21"/>
      <c r="O6" s="28" t="s">
        <v>20</v>
      </c>
      <c r="P6" s="23"/>
      <c r="Q6" s="23"/>
      <c r="R6" s="23"/>
    </row>
    <row r="7" spans="2:18" x14ac:dyDescent="0.2">
      <c r="B7" s="25" t="s">
        <v>21</v>
      </c>
      <c r="C7" s="25" t="s">
        <v>22</v>
      </c>
      <c r="D7" s="25" t="s">
        <v>23</v>
      </c>
      <c r="E7" s="29">
        <v>1000</v>
      </c>
      <c r="F7" s="26">
        <v>1035.28</v>
      </c>
      <c r="G7" s="26">
        <v>9.16</v>
      </c>
      <c r="H7" s="26">
        <v>7.07</v>
      </c>
      <c r="J7" s="27"/>
      <c r="K7" s="21"/>
      <c r="L7" s="27"/>
      <c r="M7" s="21"/>
      <c r="O7" s="30" t="s">
        <v>24</v>
      </c>
      <c r="P7" s="31"/>
      <c r="Q7" s="31"/>
      <c r="R7" s="31"/>
    </row>
    <row r="8" spans="2:18" x14ac:dyDescent="0.2">
      <c r="B8" s="25" t="s">
        <v>25</v>
      </c>
      <c r="C8" s="25" t="s">
        <v>26</v>
      </c>
      <c r="D8" s="25" t="s">
        <v>23</v>
      </c>
      <c r="E8" s="29">
        <v>1000</v>
      </c>
      <c r="F8" s="26">
        <v>1024.2</v>
      </c>
      <c r="G8" s="26">
        <v>9.06</v>
      </c>
      <c r="H8" s="26">
        <v>7.28</v>
      </c>
      <c r="J8" s="27"/>
      <c r="K8" s="21"/>
      <c r="L8" s="27"/>
      <c r="M8" s="21"/>
      <c r="O8" s="30"/>
      <c r="P8" s="32"/>
      <c r="Q8" s="32"/>
      <c r="R8" s="32"/>
    </row>
    <row r="9" spans="2:18" x14ac:dyDescent="0.2">
      <c r="B9" s="25" t="s">
        <v>27</v>
      </c>
      <c r="C9" s="25" t="s">
        <v>28</v>
      </c>
      <c r="D9" s="25" t="s">
        <v>23</v>
      </c>
      <c r="E9" s="29">
        <v>100</v>
      </c>
      <c r="F9" s="26">
        <v>1020.51</v>
      </c>
      <c r="G9" s="26">
        <v>9.0299999999999994</v>
      </c>
      <c r="H9" s="26">
        <v>6.54</v>
      </c>
      <c r="J9" s="27"/>
      <c r="K9" s="21"/>
      <c r="L9" s="27"/>
      <c r="M9" s="21"/>
      <c r="O9" s="30" t="s">
        <v>29</v>
      </c>
      <c r="P9" s="31"/>
      <c r="Q9" s="31"/>
      <c r="R9" s="31"/>
    </row>
    <row r="10" spans="2:18" x14ac:dyDescent="0.2">
      <c r="B10" s="25" t="s">
        <v>30</v>
      </c>
      <c r="C10" s="25" t="s">
        <v>31</v>
      </c>
      <c r="D10" s="25" t="s">
        <v>23</v>
      </c>
      <c r="E10" s="29">
        <v>1000</v>
      </c>
      <c r="F10" s="26">
        <v>1013.76</v>
      </c>
      <c r="G10" s="26">
        <v>8.9700000000000006</v>
      </c>
      <c r="H10" s="26">
        <v>6.9</v>
      </c>
      <c r="J10" s="27"/>
      <c r="K10" s="21"/>
      <c r="L10" s="27"/>
      <c r="M10" s="21"/>
      <c r="O10" s="30"/>
      <c r="P10" s="32"/>
      <c r="Q10" s="32"/>
      <c r="R10" s="32"/>
    </row>
    <row r="11" spans="2:18" x14ac:dyDescent="0.2">
      <c r="B11" s="25" t="s">
        <v>32</v>
      </c>
      <c r="C11" s="25" t="s">
        <v>33</v>
      </c>
      <c r="D11" s="25" t="s">
        <v>23</v>
      </c>
      <c r="E11" s="29">
        <v>1000</v>
      </c>
      <c r="F11" s="26">
        <v>1006.04</v>
      </c>
      <c r="G11" s="26">
        <v>8.9</v>
      </c>
      <c r="H11" s="26">
        <v>6.54</v>
      </c>
      <c r="J11" s="27"/>
      <c r="K11" s="21"/>
      <c r="L11" s="27"/>
      <c r="M11" s="21"/>
      <c r="O11" s="30" t="s">
        <v>34</v>
      </c>
      <c r="P11" s="31"/>
      <c r="Q11" s="33" t="s">
        <v>35</v>
      </c>
      <c r="R11" s="31"/>
    </row>
    <row r="12" spans="2:18" x14ac:dyDescent="0.2">
      <c r="B12" s="25" t="s">
        <v>36</v>
      </c>
      <c r="C12" s="25" t="s">
        <v>37</v>
      </c>
      <c r="D12" s="25" t="s">
        <v>23</v>
      </c>
      <c r="E12" s="29">
        <v>1000</v>
      </c>
      <c r="F12" s="26">
        <v>1003.23</v>
      </c>
      <c r="G12" s="26">
        <v>8.8800000000000008</v>
      </c>
      <c r="H12" s="26">
        <v>6.28</v>
      </c>
      <c r="J12" s="34"/>
      <c r="K12" s="21"/>
      <c r="L12" s="34"/>
      <c r="M12" s="21"/>
      <c r="O12" s="30"/>
      <c r="P12" s="32"/>
      <c r="Q12" s="35"/>
      <c r="R12" s="32"/>
    </row>
    <row r="13" spans="2:18" x14ac:dyDescent="0.2">
      <c r="B13" s="25" t="s">
        <v>38</v>
      </c>
      <c r="C13" s="25" t="s">
        <v>39</v>
      </c>
      <c r="D13" s="25" t="s">
        <v>23</v>
      </c>
      <c r="E13" s="29">
        <v>50</v>
      </c>
      <c r="F13" s="26">
        <v>524.55999999999995</v>
      </c>
      <c r="G13" s="26">
        <v>4.6399999999999997</v>
      </c>
      <c r="H13" s="26">
        <v>6.65</v>
      </c>
      <c r="J13" s="36"/>
      <c r="K13" s="3" t="s">
        <v>40</v>
      </c>
      <c r="L13" s="36"/>
      <c r="M13" s="36"/>
    </row>
    <row r="14" spans="2:18" x14ac:dyDescent="0.2">
      <c r="B14" s="25" t="s">
        <v>41</v>
      </c>
      <c r="C14" s="25" t="s">
        <v>42</v>
      </c>
      <c r="D14" s="25" t="s">
        <v>23</v>
      </c>
      <c r="E14" s="29">
        <v>500</v>
      </c>
      <c r="F14" s="26">
        <v>509.2</v>
      </c>
      <c r="G14" s="26">
        <v>4.51</v>
      </c>
      <c r="H14" s="26">
        <v>6.74</v>
      </c>
    </row>
    <row r="15" spans="2:18" x14ac:dyDescent="0.2">
      <c r="B15" s="25" t="s">
        <v>43</v>
      </c>
      <c r="C15" s="25" t="s">
        <v>44</v>
      </c>
      <c r="D15" s="25" t="s">
        <v>23</v>
      </c>
      <c r="E15" s="29">
        <v>500</v>
      </c>
      <c r="F15" s="26">
        <v>502.46</v>
      </c>
      <c r="G15" s="26">
        <v>4.45</v>
      </c>
      <c r="H15" s="26">
        <v>7.12</v>
      </c>
    </row>
    <row r="16" spans="2:18" x14ac:dyDescent="0.2">
      <c r="B16" s="25" t="s">
        <v>45</v>
      </c>
      <c r="C16" s="25" t="s">
        <v>46</v>
      </c>
      <c r="D16" s="25" t="s">
        <v>47</v>
      </c>
      <c r="E16" s="29">
        <v>50</v>
      </c>
      <c r="F16" s="26">
        <v>500.21</v>
      </c>
      <c r="G16" s="26">
        <v>4.43</v>
      </c>
      <c r="H16" s="26">
        <v>6.51</v>
      </c>
    </row>
    <row r="17" spans="2:9" x14ac:dyDescent="0.2">
      <c r="B17" s="37" t="s">
        <v>48</v>
      </c>
      <c r="C17" s="37"/>
      <c r="D17" s="37"/>
      <c r="E17" s="37"/>
      <c r="F17" s="38">
        <f>SUM(F6:F16)</f>
        <v>8139.45</v>
      </c>
      <c r="G17" s="38">
        <f>SUM(G6:G16)</f>
        <v>72.03</v>
      </c>
      <c r="H17" s="39"/>
      <c r="I17" s="40"/>
    </row>
    <row r="18" spans="2:9" x14ac:dyDescent="0.2">
      <c r="B18" s="41" t="s">
        <v>49</v>
      </c>
      <c r="C18" s="41"/>
      <c r="D18" s="41"/>
      <c r="E18" s="41"/>
      <c r="F18" s="42">
        <f>F17</f>
        <v>8139.45</v>
      </c>
      <c r="G18" s="42">
        <f>G17</f>
        <v>72.03</v>
      </c>
      <c r="H18" s="42"/>
      <c r="I18" s="40"/>
    </row>
    <row r="19" spans="2:9" x14ac:dyDescent="0.2">
      <c r="B19" s="24" t="s">
        <v>50</v>
      </c>
      <c r="C19" s="25"/>
      <c r="D19" s="25"/>
      <c r="E19" s="25"/>
      <c r="F19" s="26"/>
      <c r="G19" s="26"/>
      <c r="H19" s="26"/>
    </row>
    <row r="20" spans="2:9" x14ac:dyDescent="0.2">
      <c r="B20" s="24" t="s">
        <v>51</v>
      </c>
      <c r="C20" s="25"/>
      <c r="D20" s="25"/>
      <c r="E20" s="25"/>
      <c r="F20" s="26"/>
      <c r="G20" s="26"/>
      <c r="H20" s="26"/>
    </row>
    <row r="21" spans="2:9" x14ac:dyDescent="0.2">
      <c r="B21" s="25" t="s">
        <v>52</v>
      </c>
      <c r="C21" s="25" t="s">
        <v>53</v>
      </c>
      <c r="D21" s="25" t="s">
        <v>54</v>
      </c>
      <c r="E21" s="29">
        <v>100000</v>
      </c>
      <c r="F21" s="26">
        <v>99</v>
      </c>
      <c r="G21" s="26">
        <v>0.88</v>
      </c>
      <c r="H21" s="26">
        <v>5.41</v>
      </c>
    </row>
    <row r="22" spans="2:9" x14ac:dyDescent="0.2">
      <c r="B22" s="37" t="s">
        <v>48</v>
      </c>
      <c r="C22" s="37"/>
      <c r="D22" s="37"/>
      <c r="E22" s="37"/>
      <c r="F22" s="38">
        <f>SUM(F20:F21)</f>
        <v>99</v>
      </c>
      <c r="G22" s="38">
        <f>SUM(G20:G21)</f>
        <v>0.88</v>
      </c>
      <c r="H22" s="39"/>
      <c r="I22" s="40"/>
    </row>
    <row r="23" spans="2:9" x14ac:dyDescent="0.2">
      <c r="B23" s="41" t="s">
        <v>49</v>
      </c>
      <c r="C23" s="41"/>
      <c r="D23" s="41"/>
      <c r="E23" s="41"/>
      <c r="F23" s="42">
        <f>+F22</f>
        <v>99</v>
      </c>
      <c r="G23" s="42">
        <f>+G22</f>
        <v>0.88</v>
      </c>
      <c r="H23" s="42"/>
      <c r="I23" s="40"/>
    </row>
    <row r="24" spans="2:9" x14ac:dyDescent="0.2">
      <c r="B24" s="24" t="s">
        <v>55</v>
      </c>
      <c r="C24" s="25"/>
      <c r="D24" s="25"/>
      <c r="E24" s="25"/>
      <c r="F24" s="26"/>
      <c r="G24" s="26"/>
      <c r="H24" s="26"/>
    </row>
    <row r="25" spans="2:9" x14ac:dyDescent="0.2">
      <c r="B25" s="25" t="s">
        <v>56</v>
      </c>
      <c r="C25" s="25" t="s">
        <v>57</v>
      </c>
      <c r="D25" s="25" t="s">
        <v>58</v>
      </c>
      <c r="E25" s="29">
        <v>500000</v>
      </c>
      <c r="F25" s="26">
        <v>509.51</v>
      </c>
      <c r="G25" s="26">
        <v>4.51</v>
      </c>
      <c r="H25" s="26">
        <v>6.51</v>
      </c>
    </row>
    <row r="26" spans="2:9" x14ac:dyDescent="0.2">
      <c r="B26" s="25" t="s">
        <v>59</v>
      </c>
      <c r="C26" s="25" t="s">
        <v>60</v>
      </c>
      <c r="D26" s="25" t="s">
        <v>58</v>
      </c>
      <c r="E26" s="29">
        <v>500000</v>
      </c>
      <c r="F26" s="26">
        <v>506.79</v>
      </c>
      <c r="G26" s="26">
        <v>4.4800000000000004</v>
      </c>
      <c r="H26" s="26">
        <v>6.69</v>
      </c>
    </row>
    <row r="27" spans="2:9" x14ac:dyDescent="0.2">
      <c r="B27" s="25" t="s">
        <v>61</v>
      </c>
      <c r="C27" s="25" t="s">
        <v>62</v>
      </c>
      <c r="D27" s="25" t="s">
        <v>58</v>
      </c>
      <c r="E27" s="29">
        <v>500000</v>
      </c>
      <c r="F27" s="26">
        <v>504.32</v>
      </c>
      <c r="G27" s="26">
        <v>4.46</v>
      </c>
      <c r="H27" s="26">
        <v>7.26</v>
      </c>
    </row>
    <row r="28" spans="2:9" x14ac:dyDescent="0.2">
      <c r="B28" s="25" t="s">
        <v>63</v>
      </c>
      <c r="C28" s="25" t="s">
        <v>64</v>
      </c>
      <c r="D28" s="25" t="s">
        <v>58</v>
      </c>
      <c r="E28" s="29">
        <v>500000</v>
      </c>
      <c r="F28" s="26">
        <v>490.21</v>
      </c>
      <c r="G28" s="26">
        <v>4.34</v>
      </c>
      <c r="H28" s="26">
        <v>7.01</v>
      </c>
    </row>
    <row r="29" spans="2:9" x14ac:dyDescent="0.2">
      <c r="B29" s="43" t="s">
        <v>65</v>
      </c>
      <c r="C29" s="43" t="s">
        <v>66</v>
      </c>
      <c r="D29" s="43" t="s">
        <v>58</v>
      </c>
      <c r="E29" s="44">
        <v>400000</v>
      </c>
      <c r="F29" s="45">
        <v>394.31</v>
      </c>
      <c r="G29" s="45">
        <v>3.49</v>
      </c>
      <c r="H29" s="45">
        <v>6.64</v>
      </c>
    </row>
    <row r="30" spans="2:9" x14ac:dyDescent="0.2">
      <c r="B30" s="46" t="s">
        <v>49</v>
      </c>
      <c r="C30" s="46"/>
      <c r="D30" s="46"/>
      <c r="E30" s="46"/>
      <c r="F30" s="47">
        <f>SUM(F25:F29)</f>
        <v>2405.14</v>
      </c>
      <c r="G30" s="47">
        <f>SUM(G25:G29)</f>
        <v>21.28</v>
      </c>
      <c r="H30" s="47"/>
      <c r="I30" s="40"/>
    </row>
    <row r="31" spans="2:9" x14ac:dyDescent="0.2">
      <c r="B31" s="24" t="s">
        <v>67</v>
      </c>
      <c r="C31" s="25"/>
      <c r="D31" s="25"/>
      <c r="E31" s="25"/>
      <c r="F31" s="26"/>
      <c r="G31" s="26"/>
      <c r="H31" s="26"/>
    </row>
    <row r="32" spans="2:9" x14ac:dyDescent="0.2">
      <c r="B32" s="43" t="s">
        <v>68</v>
      </c>
      <c r="C32" s="43" t="s">
        <v>69</v>
      </c>
      <c r="D32" s="43" t="s">
        <v>67</v>
      </c>
      <c r="E32" s="44">
        <v>488.87599999999998</v>
      </c>
      <c r="F32" s="45">
        <v>55.93</v>
      </c>
      <c r="G32" s="45">
        <v>0.49</v>
      </c>
      <c r="H32" s="45">
        <v>5.58</v>
      </c>
    </row>
    <row r="33" spans="2:9" x14ac:dyDescent="0.2">
      <c r="B33" s="46" t="s">
        <v>49</v>
      </c>
      <c r="C33" s="46"/>
      <c r="D33" s="46"/>
      <c r="E33" s="46"/>
      <c r="F33" s="47">
        <f>SUM(F32:F32)</f>
        <v>55.93</v>
      </c>
      <c r="G33" s="47">
        <f>SUM(G32:G32)</f>
        <v>0.49</v>
      </c>
      <c r="H33" s="47"/>
      <c r="I33" s="40"/>
    </row>
    <row r="34" spans="2:9" x14ac:dyDescent="0.2">
      <c r="B34" s="24" t="s">
        <v>70</v>
      </c>
      <c r="C34" s="25"/>
      <c r="D34" s="25"/>
      <c r="E34" s="25"/>
      <c r="F34" s="26"/>
      <c r="G34" s="26"/>
      <c r="H34" s="26"/>
    </row>
    <row r="35" spans="2:9" x14ac:dyDescent="0.2">
      <c r="B35" s="25" t="s">
        <v>70</v>
      </c>
      <c r="C35" s="25"/>
      <c r="D35" s="25"/>
      <c r="E35" s="25"/>
      <c r="F35" s="26">
        <v>187.06</v>
      </c>
      <c r="G35" s="26">
        <v>1.66</v>
      </c>
      <c r="H35" s="26"/>
    </row>
    <row r="36" spans="2:9" x14ac:dyDescent="0.2">
      <c r="B36" s="37" t="s">
        <v>48</v>
      </c>
      <c r="C36" s="37"/>
      <c r="D36" s="37"/>
      <c r="E36" s="37"/>
      <c r="F36" s="38">
        <f>SUM(F34:F35)</f>
        <v>187.06</v>
      </c>
      <c r="G36" s="38">
        <f>SUM(G34:G35)</f>
        <v>1.66</v>
      </c>
      <c r="H36" s="39"/>
      <c r="I36" s="40"/>
    </row>
    <row r="37" spans="2:9" x14ac:dyDescent="0.2">
      <c r="B37" s="48" t="s">
        <v>49</v>
      </c>
      <c r="C37" s="48"/>
      <c r="D37" s="48"/>
      <c r="E37" s="48"/>
      <c r="F37" s="49">
        <f>F36</f>
        <v>187.06</v>
      </c>
      <c r="G37" s="49">
        <f>G36</f>
        <v>1.66</v>
      </c>
      <c r="H37" s="49"/>
      <c r="I37" s="40"/>
    </row>
    <row r="38" spans="2:9" x14ac:dyDescent="0.2">
      <c r="B38" s="50" t="s">
        <v>71</v>
      </c>
      <c r="C38" s="50"/>
      <c r="D38" s="50"/>
      <c r="E38" s="50"/>
      <c r="F38" s="51">
        <f>F39-(+F18+F23+F30+F33+F37)</f>
        <v>416.1200000000008</v>
      </c>
      <c r="G38" s="51">
        <f>G39-(+G18+G23+G30+G33+G37)</f>
        <v>3.6600000000000108</v>
      </c>
      <c r="H38" s="51"/>
      <c r="I38" s="40"/>
    </row>
    <row r="39" spans="2:9" x14ac:dyDescent="0.2">
      <c r="B39" s="50" t="s">
        <v>72</v>
      </c>
      <c r="C39" s="50"/>
      <c r="D39" s="50"/>
      <c r="E39" s="50"/>
      <c r="F39" s="51">
        <v>11302.7</v>
      </c>
      <c r="G39" s="51">
        <v>100</v>
      </c>
      <c r="H39" s="51"/>
      <c r="I39" s="40"/>
    </row>
    <row r="41" spans="2:9" x14ac:dyDescent="0.2">
      <c r="B41" s="40" t="s">
        <v>73</v>
      </c>
    </row>
    <row r="42" spans="2:9" ht="12.75" thickBot="1" x14ac:dyDescent="0.25"/>
    <row r="43" spans="2:9" ht="13.5" thickTop="1" thickBot="1" x14ac:dyDescent="0.25">
      <c r="B43" s="52" t="s">
        <v>74</v>
      </c>
      <c r="C43" s="53">
        <v>3.2444000000000002</v>
      </c>
    </row>
    <row r="44" spans="2:9" ht="13.5" thickTop="1" thickBot="1" x14ac:dyDescent="0.25"/>
    <row r="45" spans="2:9" ht="13.5" thickTop="1" thickBot="1" x14ac:dyDescent="0.25">
      <c r="B45" s="52" t="s">
        <v>75</v>
      </c>
      <c r="C45" s="54">
        <v>6.7000000000000004E-2</v>
      </c>
    </row>
    <row r="46" spans="2:9" ht="13.5" thickTop="1" thickBot="1" x14ac:dyDescent="0.25"/>
    <row r="47" spans="2:9" ht="13.5" thickTop="1" thickBot="1" x14ac:dyDescent="0.25">
      <c r="B47" s="52" t="s">
        <v>76</v>
      </c>
      <c r="C47" s="53">
        <v>3.4237000000000002</v>
      </c>
    </row>
    <row r="48" spans="2:9" ht="12.75" thickTop="1" x14ac:dyDescent="0.2"/>
    <row r="49" spans="2:2" x14ac:dyDescent="0.2">
      <c r="B49" s="40" t="s">
        <v>77</v>
      </c>
    </row>
    <row r="51" spans="2:2" ht="15" x14ac:dyDescent="0.25">
      <c r="B51" s="55" t="s">
        <v>78</v>
      </c>
    </row>
  </sheetData>
  <mergeCells count="21">
    <mergeCell ref="O11:O12"/>
    <mergeCell ref="P11:P12"/>
    <mergeCell ref="Q11:Q12"/>
    <mergeCell ref="R11:R12"/>
    <mergeCell ref="P7:P8"/>
    <mergeCell ref="Q7:Q8"/>
    <mergeCell ref="R7:R8"/>
    <mergeCell ref="O9:O10"/>
    <mergeCell ref="P9:P10"/>
    <mergeCell ref="Q9:Q10"/>
    <mergeCell ref="R9:R10"/>
    <mergeCell ref="B1:H1"/>
    <mergeCell ref="O4:R4"/>
    <mergeCell ref="J5:J12"/>
    <mergeCell ref="K5:K12"/>
    <mergeCell ref="L5:L12"/>
    <mergeCell ref="M5:M12"/>
    <mergeCell ref="P5:P6"/>
    <mergeCell ref="Q5:Q6"/>
    <mergeCell ref="R5:R6"/>
    <mergeCell ref="O7:O8"/>
  </mergeCells>
  <hyperlinks>
    <hyperlink ref="B51" r:id="rId1" xr:uid="{3F536C44-98B3-4AFE-A2B0-6F6D114308E0}"/>
  </hyperlinks>
  <pageMargins left="0.7" right="0.7" top="0.75" bottom="0.75" header="0.3" footer="0.3"/>
  <pageSetup paperSize="9" orientation="portrait" r:id="rId2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2025-11-07 16:42:12</KDate>
  <Classification>MIS Internal</Classification>
  <Subclassification/>
  <HostName>MUMCMP01323</HostName>
  <Domain_User>CANARAROBECOMF/628</Domain_User>
  <IPAdd>192.9.198.196</IPAdd>
  <FilePath>Book25</FilePath>
  <KID>109819A0F0A5638981305328698641</KID>
  <UniqueName/>
  <Suggested/>
  <Justification/>
</Klassify>
</file>

<file path=customXml/itemProps1.xml><?xml version="1.0" encoding="utf-8"?>
<ds:datastoreItem xmlns:ds="http://schemas.openxmlformats.org/officeDocument/2006/customXml" ds:itemID="{D6EBE0C4-09EA-442F-81AA-D0251BFD187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2025-11-07T11:12:11Z</dcterms:created>
  <dcterms:modified xsi:type="dcterms:W3CDTF">2025-11-07T11:12:13Z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Rules">
    <vt:lpwstr/>
  </property>
  <property fmtid="{D5CDD505-2E9C-101B-9397-08002B2CF9AE}" pid="4" name="KID">
    <vt:lpwstr>109819A0F0A5638981305328698641</vt:lpwstr>
  </property>
</Properties>
</file>