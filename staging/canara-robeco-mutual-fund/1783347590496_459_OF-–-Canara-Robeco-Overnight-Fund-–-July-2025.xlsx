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2D1CA63E-48E4-42AD-8A0E-48886A09BD81}" xr6:coauthVersionLast="47" xr6:coauthVersionMax="47" xr10:uidLastSave="{00000000-0000-0000-0000-000000000000}"/>
  <bookViews>
    <workbookView xWindow="-120" yWindow="-120" windowWidth="20730" windowHeight="11040" xr2:uid="{21A81DDE-C8FB-4439-9371-065CD262D946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 s="1"/>
  <c r="F14" i="1"/>
  <c r="F15" i="1" s="1"/>
  <c r="G11" i="1"/>
  <c r="G16" i="1" s="1"/>
  <c r="G10" i="1"/>
  <c r="F10" i="1"/>
  <c r="F11" i="1" s="1"/>
  <c r="F1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<sst xmlns="http://schemas.openxmlformats.org/spreadsheetml/2006/main" count="46" uniqueCount="41">
  <si>
    <t>CANARA ROBECO OVERNIGHT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</si>
  <si>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</si>
  <si>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</si>
  <si>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</si>
  <si>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</si>
  <si>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</si>
  <si>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</si>
  <si>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</si>
  <si>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</si>
  <si>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July'25</t>
  </si>
  <si>
    <t>Benchmark Risk-O-Meter Level- July'25</t>
  </si>
  <si>
    <t>Scheme Risk-O-Meter Level- June'25</t>
  </si>
  <si>
    <t>Benchmark Risk-O-Meter Level- June'25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</si>
  <si>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</si>
  <si>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</si>
  <si>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</si>
  <si>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</si>
  <si>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</si>
  <si>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</si>
  <si>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</si>
  <si>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</si>
  <si>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364 DTB (07-AUG-2025)</t>
  </si>
  <si>
    <t>IN002024Z198</t>
  </si>
  <si>
    <t xml:space="preserve"> Sovereign</t>
  </si>
  <si>
    <t>Relatively Low (Class I)</t>
  </si>
  <si>
    <t>A-I</t>
  </si>
  <si>
    <t>91 DTB (21-AUG-2025)</t>
  </si>
  <si>
    <t>IN002025X083</t>
  </si>
  <si>
    <t>182 DTB (14-AUG-2025)</t>
  </si>
  <si>
    <t>IN002024Y449</t>
  </si>
  <si>
    <t>Moderate (Class II)</t>
  </si>
  <si>
    <t>Sub Total</t>
  </si>
  <si>
    <t>Total</t>
  </si>
  <si>
    <t>Relatively High (Class III)</t>
  </si>
  <si>
    <t>TREPS</t>
  </si>
  <si>
    <t>Benchmark: CRISIL Liquid Overnight Index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</si>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</sst>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top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0" xfId="1" applyFont="1" applyFill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164" fontId="3" fillId="3" borderId="0" xfId="1" applyFont="1" applyFill="1" applyAlignment="1"/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17" xfId="0" applyFont="1" applyFill="1" applyBorder="1"/>
    <xf numFmtId="2" fontId="9" fillId="3" borderId="18" xfId="0" applyNumberFormat="1" applyFont="1" applyFill="1" applyBorder="1"/>
    <xf numFmtId="10" fontId="9" fillId="3" borderId="18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997D-1A80-4033-8382-D5D82433009C}">
  <dimension ref="B1:R26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4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5.5703125" style="3" bestFit="1" customWidth="1"/>
    <col min="15" max="15" width="12.8554687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4" x14ac:dyDescent="0.2">
      <c r="B6" s="23" t="s">
        <v>19</v>
      </c>
      <c r="C6" s="24"/>
      <c r="D6" s="24"/>
      <c r="E6" s="24"/>
      <c r="F6" s="25"/>
      <c r="G6" s="25"/>
      <c r="H6" s="25"/>
      <c r="J6" s="20"/>
      <c r="K6" s="20"/>
      <c r="L6" s="20"/>
      <c r="M6" s="20"/>
      <c r="N6" s="26"/>
      <c r="O6" s="27" t="s">
        <v>20</v>
      </c>
      <c r="P6" s="22"/>
      <c r="Q6" s="22"/>
      <c r="R6" s="22"/>
    </row>
    <row r="7" spans="2:18" x14ac:dyDescent="0.2">
      <c r="B7" s="24" t="s">
        <v>21</v>
      </c>
      <c r="C7" s="24" t="s">
        <v>22</v>
      </c>
      <c r="D7" s="24" t="s">
        <v>23</v>
      </c>
      <c r="E7" s="28">
        <v>1000000</v>
      </c>
      <c r="F7" s="25">
        <v>999.13</v>
      </c>
      <c r="G7" s="25">
        <v>3.41</v>
      </c>
      <c r="H7" s="25">
        <v>5.3</v>
      </c>
      <c r="J7" s="20"/>
      <c r="K7" s="20"/>
      <c r="L7" s="20"/>
      <c r="M7" s="20"/>
      <c r="N7" s="26"/>
      <c r="O7" s="29" t="s">
        <v>24</v>
      </c>
      <c r="P7" s="30" t="s">
        <v>25</v>
      </c>
      <c r="Q7" s="31"/>
      <c r="R7" s="31"/>
    </row>
    <row r="8" spans="2:18" x14ac:dyDescent="0.2">
      <c r="B8" s="24" t="s">
        <v>26</v>
      </c>
      <c r="C8" s="24" t="s">
        <v>27</v>
      </c>
      <c r="D8" s="24" t="s">
        <v>23</v>
      </c>
      <c r="E8" s="28">
        <v>1000000</v>
      </c>
      <c r="F8" s="25">
        <v>997.1</v>
      </c>
      <c r="G8" s="25">
        <v>3.4</v>
      </c>
      <c r="H8" s="25">
        <v>5.31</v>
      </c>
      <c r="J8" s="20"/>
      <c r="K8" s="20"/>
      <c r="L8" s="20"/>
      <c r="M8" s="20"/>
      <c r="N8" s="26"/>
      <c r="O8" s="29"/>
      <c r="P8" s="32"/>
      <c r="Q8" s="33"/>
      <c r="R8" s="33"/>
    </row>
    <row r="9" spans="2:18" x14ac:dyDescent="0.2">
      <c r="B9" s="24" t="s">
        <v>28</v>
      </c>
      <c r="C9" s="24" t="s">
        <v>29</v>
      </c>
      <c r="D9" s="24" t="s">
        <v>23</v>
      </c>
      <c r="E9" s="28">
        <v>500000</v>
      </c>
      <c r="F9" s="25">
        <v>499.06</v>
      </c>
      <c r="G9" s="25">
        <v>1.7</v>
      </c>
      <c r="H9" s="25">
        <v>5.29</v>
      </c>
      <c r="J9" s="20"/>
      <c r="K9" s="20"/>
      <c r="L9" s="20"/>
      <c r="M9" s="20"/>
      <c r="N9" s="26"/>
      <c r="O9" s="29" t="s">
        <v>30</v>
      </c>
      <c r="P9" s="31"/>
      <c r="Q9" s="31"/>
      <c r="R9" s="31"/>
    </row>
    <row r="10" spans="2:18" x14ac:dyDescent="0.2">
      <c r="B10" s="34" t="s">
        <v>31</v>
      </c>
      <c r="C10" s="34"/>
      <c r="D10" s="34"/>
      <c r="E10" s="34"/>
      <c r="F10" s="35">
        <f>SUM(F6:F9)</f>
        <v>2495.29</v>
      </c>
      <c r="G10" s="35">
        <f>SUM(G6:G9)</f>
        <v>8.51</v>
      </c>
      <c r="H10" s="36"/>
      <c r="I10" s="37"/>
      <c r="J10" s="20"/>
      <c r="K10" s="20"/>
      <c r="L10" s="20"/>
      <c r="M10" s="20"/>
      <c r="N10" s="26"/>
      <c r="O10" s="29"/>
      <c r="P10" s="33"/>
      <c r="Q10" s="33"/>
      <c r="R10" s="33"/>
    </row>
    <row r="11" spans="2:18" x14ac:dyDescent="0.2">
      <c r="B11" s="38" t="s">
        <v>32</v>
      </c>
      <c r="C11" s="38"/>
      <c r="D11" s="38"/>
      <c r="E11" s="38"/>
      <c r="F11" s="39">
        <f>+F10</f>
        <v>2495.29</v>
      </c>
      <c r="G11" s="39">
        <f>+G10</f>
        <v>8.51</v>
      </c>
      <c r="H11" s="39"/>
      <c r="I11" s="37"/>
      <c r="J11" s="20"/>
      <c r="K11" s="20"/>
      <c r="L11" s="20"/>
      <c r="M11" s="20"/>
      <c r="N11" s="26"/>
      <c r="O11" s="29" t="s">
        <v>33</v>
      </c>
      <c r="P11" s="31"/>
      <c r="Q11" s="31"/>
      <c r="R11" s="31"/>
    </row>
    <row r="12" spans="2:18" x14ac:dyDescent="0.2">
      <c r="B12" s="23" t="s">
        <v>34</v>
      </c>
      <c r="C12" s="24"/>
      <c r="D12" s="24"/>
      <c r="E12" s="24"/>
      <c r="F12" s="25"/>
      <c r="G12" s="25"/>
      <c r="H12" s="25"/>
      <c r="J12" s="20"/>
      <c r="K12" s="20"/>
      <c r="L12" s="20"/>
      <c r="M12" s="20"/>
      <c r="N12" s="26"/>
      <c r="O12" s="29"/>
      <c r="P12" s="33"/>
      <c r="Q12" s="33"/>
      <c r="R12" s="33"/>
    </row>
    <row r="13" spans="2:18" x14ac:dyDescent="0.2">
      <c r="B13" s="24" t="s">
        <v>34</v>
      </c>
      <c r="C13" s="24"/>
      <c r="D13" s="24"/>
      <c r="E13" s="24"/>
      <c r="F13" s="25">
        <v>26779.79</v>
      </c>
      <c r="G13" s="25">
        <v>91.39</v>
      </c>
      <c r="H13" s="25"/>
      <c r="J13" s="40"/>
      <c r="K13" s="40" t="s">
        <v>35</v>
      </c>
      <c r="L13" s="26"/>
      <c r="M13" s="26"/>
      <c r="N13" s="26"/>
    </row>
    <row r="14" spans="2:18" x14ac:dyDescent="0.2">
      <c r="B14" s="34" t="s">
        <v>31</v>
      </c>
      <c r="C14" s="34"/>
      <c r="D14" s="34"/>
      <c r="E14" s="34"/>
      <c r="F14" s="35">
        <f>SUM(F12:F13)</f>
        <v>26779.79</v>
      </c>
      <c r="G14" s="35">
        <f>SUM(G12:G13)</f>
        <v>91.39</v>
      </c>
      <c r="H14" s="36"/>
      <c r="I14" s="37"/>
    </row>
    <row r="15" spans="2:18" x14ac:dyDescent="0.2">
      <c r="B15" s="41" t="s">
        <v>32</v>
      </c>
      <c r="C15" s="41"/>
      <c r="D15" s="41"/>
      <c r="E15" s="41"/>
      <c r="F15" s="42">
        <f>F14</f>
        <v>26779.79</v>
      </c>
      <c r="G15" s="42">
        <f>G14</f>
        <v>91.39</v>
      </c>
      <c r="H15" s="42"/>
      <c r="I15" s="37"/>
    </row>
    <row r="16" spans="2:18" x14ac:dyDescent="0.2">
      <c r="B16" s="43" t="s">
        <v>36</v>
      </c>
      <c r="C16" s="43"/>
      <c r="D16" s="43"/>
      <c r="E16" s="43"/>
      <c r="F16" s="44">
        <f>F17-(+F11+F15)</f>
        <v>28.519999999996799</v>
      </c>
      <c r="G16" s="44">
        <f>G17-(+G11+G15)</f>
        <v>9.9999999999994316E-2</v>
      </c>
      <c r="H16" s="44"/>
      <c r="I16" s="37"/>
    </row>
    <row r="17" spans="2:9" x14ac:dyDescent="0.2">
      <c r="B17" s="43" t="s">
        <v>37</v>
      </c>
      <c r="C17" s="43"/>
      <c r="D17" s="43"/>
      <c r="E17" s="43"/>
      <c r="F17" s="44">
        <v>29303.599999999999</v>
      </c>
      <c r="G17" s="44">
        <v>100</v>
      </c>
      <c r="H17" s="44"/>
      <c r="I17" s="37"/>
    </row>
    <row r="19" spans="2:9" x14ac:dyDescent="0.2">
      <c r="B19" s="37"/>
    </row>
    <row r="20" spans="2:9" ht="12.75" thickBot="1" x14ac:dyDescent="0.25"/>
    <row r="21" spans="2:9" ht="13.5" thickTop="1" thickBot="1" x14ac:dyDescent="0.25">
      <c r="B21" s="45" t="s">
        <v>38</v>
      </c>
      <c r="C21" s="46">
        <v>5.4999999999999997E-3</v>
      </c>
    </row>
    <row r="22" spans="2:9" ht="13.5" thickTop="1" thickBot="1" x14ac:dyDescent="0.25"/>
    <row r="23" spans="2:9" ht="13.5" thickTop="1" thickBot="1" x14ac:dyDescent="0.25">
      <c r="B23" s="45" t="s">
        <v>39</v>
      </c>
      <c r="C23" s="47">
        <v>5.4300000000000001E-2</v>
      </c>
    </row>
    <row r="24" spans="2:9" ht="13.5" thickTop="1" thickBot="1" x14ac:dyDescent="0.25"/>
    <row r="25" spans="2:9" ht="13.5" thickTop="1" thickBot="1" x14ac:dyDescent="0.25">
      <c r="B25" s="45" t="s">
        <v>40</v>
      </c>
      <c r="C25" s="46">
        <v>5.7999999999999996E-3</v>
      </c>
    </row>
    <row r="26" spans="2:9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15:50:29</KDate>
  <Classification>MIS Internal</Classification>
  <Subclassification/>
  <HostName>MUMCMP01323</HostName>
  <Domain_User>CANARAROBECOMF/628</Domain_User>
  <IPAdd>192.9.198.196</IPAdd>
  <FilePath>Book23</FilePath>
  <KID>109819A0F0A5638900922296480732</KID>
  <UniqueName/>
  <Suggested/>
  <Justification/>
</Klassify>
</file>

<file path=customXml/itemProps1.xml><?xml version="1.0" encoding="utf-8"?>
<ds:datastoreItem xmlns:ds="http://schemas.openxmlformats.org/officeDocument/2006/customXml" ds:itemID="{159B773E-2EF6-4681-BBA6-89239317F2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2025-08-06T10:20:28Z</dcterms:created>
  <dcterms:modified xsi:type="dcterms:W3CDTF">2025-08-06T10:20:30Z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109819A0F0A5638900922296480732</vt:lpwstr>
  </property>
</Properties>
</file>