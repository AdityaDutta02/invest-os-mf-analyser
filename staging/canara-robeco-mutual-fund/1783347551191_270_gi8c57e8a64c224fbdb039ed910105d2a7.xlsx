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GI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3" i="1" s="1"/>
  <c r="F12" i="1"/>
  <c r="F13" i="1" s="1"/>
  <c r="G9" i="1"/>
  <c r="F9" i="1"/>
  <c r="F14" i="1" s="1"/>
  <c r="G14" i="1" l="1"/>
</calcChain>
</file>

<file path=xl/sharedStrings.xml><?xml version="1.0" encoding="utf-8"?>
<sst xmlns="http://schemas.openxmlformats.org/spreadsheetml/2006/main" count="29" uniqueCount="25">
  <si>
    <t>CANARA ROBECO GILT 1988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</si>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</sst>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4" fontId="8" fillId="3" borderId="8" xfId="0" applyNumberFormat="1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9" xfId="0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4" fontId="8" fillId="3" borderId="12" xfId="0" applyNumberFormat="1" applyFont="1" applyFill="1" applyBorder="1"/>
    <xf numFmtId="49" fontId="9" fillId="4" borderId="13" xfId="0" applyNumberFormat="1" applyFont="1" applyFill="1" applyBorder="1"/>
    <xf numFmtId="2" fontId="9" fillId="0" borderId="14" xfId="0" applyNumberFormat="1" applyFont="1" applyBorder="1" applyAlignment="1">
      <alignment horizontal="right"/>
    </xf>
    <xf numFmtId="0" fontId="6" fillId="3" borderId="0" xfId="0" applyFont="1" applyFill="1"/>
    <xf numFmtId="10" fontId="9" fillId="0" borderId="14" xfId="2" applyNumberFormat="1" applyFont="1" applyBorder="1" applyAlignment="1">
      <alignment horizontal="right"/>
    </xf>
    <xf numFmtId="2" fontId="9" fillId="0" borderId="14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tabSelected="1" workbookViewId="0"/>
  </sheetViews>
  <sheetFormatPr defaultRowHeight="12" x14ac:dyDescent="0.2"/>
  <cols>
    <col min="1" max="1" width="9.140625" style="3"/>
    <col min="2" max="2" width="60.8554687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2.42578125" style="4" customWidth="1"/>
    <col min="11" max="11" width="31.42578125" style="4" customWidth="1"/>
    <col min="12" max="12" width="33.42578125" style="4" customWidth="1"/>
    <col min="13" max="13" width="4.7109375" style="4" bestFit="1" customWidth="1"/>
    <col min="14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2" ht="16.5" thickBot="1" x14ac:dyDescent="0.25">
      <c r="B3" s="5" t="s">
        <v>1</v>
      </c>
      <c r="C3" s="6"/>
      <c r="D3" s="7"/>
      <c r="E3" s="7"/>
      <c r="F3" s="8"/>
      <c r="G3" s="8"/>
    </row>
    <row r="4" spans="2:12" ht="24" x14ac:dyDescent="0.25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/>
      <c r="K4"/>
      <c r="L4"/>
    </row>
    <row r="5" spans="2:12" x14ac:dyDescent="0.2">
      <c r="B5" s="14" t="s">
        <v>9</v>
      </c>
      <c r="C5" s="15"/>
      <c r="D5" s="15"/>
      <c r="E5" s="15"/>
      <c r="F5" s="16"/>
      <c r="G5" s="16"/>
      <c r="H5" s="16"/>
    </row>
    <row r="6" spans="2:12" x14ac:dyDescent="0.2">
      <c r="B6" s="17" t="s">
        <v>10</v>
      </c>
      <c r="C6" s="17" t="s">
        <v>11</v>
      </c>
      <c r="D6" s="17" t="s">
        <v>12</v>
      </c>
      <c r="E6" s="18">
        <v>1500000</v>
      </c>
      <c r="F6" s="19">
        <v>1475.38</v>
      </c>
      <c r="G6" s="19">
        <v>44.73</v>
      </c>
      <c r="H6" s="19">
        <v>7.36</v>
      </c>
    </row>
    <row r="7" spans="2:12" x14ac:dyDescent="0.2">
      <c r="B7" s="17" t="s">
        <v>13</v>
      </c>
      <c r="C7" s="17" t="s">
        <v>14</v>
      </c>
      <c r="D7" s="17" t="s">
        <v>12</v>
      </c>
      <c r="E7" s="18">
        <v>1000000</v>
      </c>
      <c r="F7" s="19">
        <v>1012.09</v>
      </c>
      <c r="G7" s="19">
        <v>30.69</v>
      </c>
      <c r="H7" s="19">
        <v>7.27</v>
      </c>
    </row>
    <row r="8" spans="2:12" x14ac:dyDescent="0.2">
      <c r="B8" s="20" t="s">
        <v>15</v>
      </c>
      <c r="C8" s="20" t="s">
        <v>16</v>
      </c>
      <c r="D8" s="20" t="s">
        <v>12</v>
      </c>
      <c r="E8" s="21">
        <v>500000</v>
      </c>
      <c r="F8" s="22">
        <v>504.31</v>
      </c>
      <c r="G8" s="22">
        <v>15.29</v>
      </c>
      <c r="H8" s="22">
        <v>7.57</v>
      </c>
    </row>
    <row r="9" spans="2:12" x14ac:dyDescent="0.2">
      <c r="B9" s="23" t="s">
        <v>17</v>
      </c>
      <c r="C9" s="23"/>
      <c r="D9" s="23"/>
      <c r="E9" s="23"/>
      <c r="F9" s="24">
        <f>SUM(F6:F8)</f>
        <v>2991.78</v>
      </c>
      <c r="G9" s="24">
        <f>SUM(G6:G8)</f>
        <v>90.710000000000008</v>
      </c>
      <c r="H9" s="24"/>
      <c r="I9" s="25"/>
    </row>
    <row r="10" spans="2:12" x14ac:dyDescent="0.2">
      <c r="B10" s="26" t="s">
        <v>18</v>
      </c>
      <c r="C10" s="17"/>
      <c r="D10" s="17"/>
      <c r="E10" s="17"/>
      <c r="F10" s="19"/>
      <c r="G10" s="19"/>
      <c r="H10" s="19"/>
    </row>
    <row r="11" spans="2:12" x14ac:dyDescent="0.2">
      <c r="B11" s="17" t="s">
        <v>18</v>
      </c>
      <c r="C11" s="17"/>
      <c r="D11" s="17"/>
      <c r="E11" s="17"/>
      <c r="F11" s="19">
        <v>248.76</v>
      </c>
      <c r="G11" s="19">
        <v>7.54</v>
      </c>
      <c r="H11" s="19"/>
    </row>
    <row r="12" spans="2:12" x14ac:dyDescent="0.2">
      <c r="B12" s="27" t="s">
        <v>19</v>
      </c>
      <c r="C12" s="27"/>
      <c r="D12" s="27"/>
      <c r="E12" s="27"/>
      <c r="F12" s="28">
        <f>SUM(F10:F11)</f>
        <v>248.76</v>
      </c>
      <c r="G12" s="28">
        <f>SUM(G10:G11)</f>
        <v>7.54</v>
      </c>
      <c r="H12" s="29"/>
      <c r="I12" s="25"/>
    </row>
    <row r="13" spans="2:12" x14ac:dyDescent="0.2">
      <c r="B13" s="30" t="s">
        <v>17</v>
      </c>
      <c r="C13" s="30"/>
      <c r="D13" s="30"/>
      <c r="E13" s="30"/>
      <c r="F13" s="31">
        <f>F12</f>
        <v>248.76</v>
      </c>
      <c r="G13" s="31">
        <f>G12</f>
        <v>7.54</v>
      </c>
      <c r="H13" s="31"/>
      <c r="I13" s="25"/>
    </row>
    <row r="14" spans="2:12" x14ac:dyDescent="0.2">
      <c r="B14" s="32" t="s">
        <v>20</v>
      </c>
      <c r="C14" s="32"/>
      <c r="D14" s="32"/>
      <c r="E14" s="32"/>
      <c r="F14" s="33">
        <f>F15-(+F9+F13)</f>
        <v>57.559999999999945</v>
      </c>
      <c r="G14" s="33">
        <f>G15-(+G9+G13)</f>
        <v>1.7499999999999858</v>
      </c>
      <c r="H14" s="33"/>
      <c r="I14" s="25"/>
    </row>
    <row r="15" spans="2:12" x14ac:dyDescent="0.2">
      <c r="B15" s="32" t="s">
        <v>21</v>
      </c>
      <c r="C15" s="32"/>
      <c r="D15" s="32"/>
      <c r="E15" s="32"/>
      <c r="F15" s="33">
        <v>3298.1</v>
      </c>
      <c r="G15" s="33">
        <v>100</v>
      </c>
      <c r="H15" s="33"/>
      <c r="I15" s="25"/>
    </row>
    <row r="17" spans="2:3" ht="12.75" thickBot="1" x14ac:dyDescent="0.25">
      <c r="B17" s="25"/>
    </row>
    <row r="18" spans="2:3" ht="13.5" thickTop="1" thickBot="1" x14ac:dyDescent="0.25">
      <c r="B18" s="34" t="s">
        <v>22</v>
      </c>
      <c r="C18" s="35">
        <v>4.9365800887986069</v>
      </c>
    </row>
    <row r="19" spans="2:3" ht="12.75" thickTop="1" x14ac:dyDescent="0.2">
      <c r="B19" s="36"/>
      <c r="C19" s="36"/>
    </row>
    <row r="20" spans="2:3" ht="12.75" thickBot="1" x14ac:dyDescent="0.25">
      <c r="B20" s="36"/>
      <c r="C20" s="36"/>
    </row>
    <row r="21" spans="2:3" ht="13.5" thickTop="1" thickBot="1" x14ac:dyDescent="0.25">
      <c r="B21" s="34" t="s">
        <v>23</v>
      </c>
      <c r="C21" s="37">
        <v>7.2847932193236931E-2</v>
      </c>
    </row>
    <row r="22" spans="2:3" ht="12.75" thickTop="1" x14ac:dyDescent="0.2">
      <c r="B22" s="36"/>
      <c r="C22" s="36"/>
    </row>
    <row r="23" spans="2:3" ht="12.75" thickBot="1" x14ac:dyDescent="0.25">
      <c r="B23" s="36"/>
      <c r="C23" s="36"/>
    </row>
    <row r="24" spans="2:3" ht="13.5" thickTop="1" thickBot="1" x14ac:dyDescent="0.25">
      <c r="B24" s="34" t="s">
        <v>24</v>
      </c>
      <c r="C24" s="38">
        <v>3.9047171714291102</v>
      </c>
    </row>
    <row r="25" spans="2:3" ht="12.75" thickTop="1" x14ac:dyDescent="0.2"/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12:44:04</KDate>
  <Classification>Public</Classification>
  <Subclassification/>
  <HostName>MUMCMP00935</HostName>
  <Domain_User>CANARAROBECOMF/628</Domain_User>
  <IPAdd>192.9.198.194</IPAdd>
  <FilePath>Book17</FilePath>
  <KID>C025A5607E97638085194440545302</KID>
  <UniqueName/>
  <Suggested/>
  <Justification/>
</Klassify>
</file>

<file path=customXml/itemProps1.xml><?xml version="1.0" encoding="utf-8"?>
<ds:datastoreItem xmlns:ds="http://schemas.openxmlformats.org/officeDocument/2006/customXml" ds:itemID="{ECACE634-2078-422A-AE7D-62F8C29A40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2023-01-05T07:13:59Z</dcterms:created>
  <dcterms:modified xsi:type="dcterms:W3CDTF">2023-01-05T07:14:04Z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C025A5607E97638085194440545302</vt:lpwstr>
  </property>
</Properties>
</file>