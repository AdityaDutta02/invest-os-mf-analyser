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MO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G38" i="1" s="1"/>
  <c r="F37" i="1"/>
  <c r="F38" i="1" s="1"/>
  <c r="G34" i="1"/>
  <c r="F34" i="1"/>
  <c r="G31" i="1"/>
  <c r="F31" i="1"/>
  <c r="G24" i="1"/>
  <c r="G25" i="1" s="1"/>
  <c r="F24" i="1"/>
  <c r="F25" i="1" s="1"/>
  <c r="G19" i="1"/>
  <c r="G20" i="1" s="1"/>
  <c r="F19" i="1"/>
  <c r="F20" i="1" s="1"/>
  <c r="F39" i="1" l="1"/>
  <c r="G39" i="1"/>
</calcChain>
</file>

<file path=xl/sharedStrings.xml><?xml version="1.0" encoding="utf-8"?>
<sst xmlns="http://schemas.openxmlformats.org/spreadsheetml/2006/main" count="98" uniqueCount="78">
  <si>
    <t>CANARA ROBECO CORPORATE BOND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</si>
  <si>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</si>
  <si>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</si>
  <si>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</si>
  <si>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</si>
  <si>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</si>
  <si>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</si>
  <si>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</si>
  <si>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</si>
  <si>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</si>
  <si>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</si>
  <si>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</si>
  <si>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</si>
  <si>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</si>
  <si>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</si>
  <si>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</si>
  <si>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</si>
  <si>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</si>
  <si>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</si>
  <si>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</si>
  <si>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7.95% HDFC Bank Ltd (21/09/2026) **</t>
  </si>
  <si>
    <t>INE040A08369</t>
  </si>
  <si>
    <t>CRISIL AAA</t>
  </si>
  <si>
    <t>Relatively Low (Class I)</t>
  </si>
  <si>
    <t>4.58% Small Industries Development Bank Of India (18/12/2023) **</t>
  </si>
  <si>
    <t>INE556F08JR2</t>
  </si>
  <si>
    <t>ICRA AAA</t>
  </si>
  <si>
    <t>7.51% REC Ltd (31/07/2026) **</t>
  </si>
  <si>
    <t>INE020B08EI8</t>
  </si>
  <si>
    <t>Moderate 
(Class II)</t>
  </si>
  <si>
    <t>7.70% Power Finance Corporation Ltd (15/04/2033) **</t>
  </si>
  <si>
    <t>INE134E08MI4</t>
  </si>
  <si>
    <t>7.69% National Bank For Agriculture &amp; Rural Development (29/05/2024) **</t>
  </si>
  <si>
    <t>INE261F08BK1</t>
  </si>
  <si>
    <t>Relatively High (Class III)</t>
  </si>
  <si>
    <t>B-III</t>
  </si>
  <si>
    <t>7.40% LIC Housing Finance Ltd (06/09/2024) **</t>
  </si>
  <si>
    <t>INE115A07ML7</t>
  </si>
  <si>
    <t>7.63% Grasim industries Ltd (01/12/2027) **</t>
  </si>
  <si>
    <t>INE047A08208</t>
  </si>
  <si>
    <t>Benchmark: CRISIL Corporate Bond B-III Index</t>
  </si>
  <si>
    <t>7.05% National Housing Bank (18/12/2024) **</t>
  </si>
  <si>
    <t>INE557F08FG1</t>
  </si>
  <si>
    <t>5.75% Bajaj Finance Ltd (16/02/2024) **</t>
  </si>
  <si>
    <t>INE296A07RX9</t>
  </si>
  <si>
    <t>8.45% Indian Railway Finance Corporation Ltd (04/12/2028) **</t>
  </si>
  <si>
    <t>INE053F07AY7</t>
  </si>
  <si>
    <t>7.60% Grasim Industries Ltd (04/06/2024) **</t>
  </si>
  <si>
    <t>INE047A08158</t>
  </si>
  <si>
    <t>5.10% Sundaram Finance Ltd (01/12/2023) **</t>
  </si>
  <si>
    <t>INE660A07QQ2</t>
  </si>
  <si>
    <t>Sub Total</t>
  </si>
  <si>
    <t>Total</t>
  </si>
  <si>
    <t>Money Market Instruments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</si>
  <si>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</si>
  <si>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</si>
  <si>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</si>
  <si>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</si>
  <si>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</si>
  <si>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</si>
  <si>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</si>
  <si>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</si>
  <si>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7.38% GOI 20-JUN-27</t>
  </si>
  <si>
    <t>IN0020220037</t>
  </si>
  <si>
    <t>7.18% GOI 2037 (14-AUG-2033)</t>
  </si>
  <si>
    <t>IN0020230085</t>
  </si>
  <si>
    <t>7.18% GOI 2037 (24-JUL-2037)</t>
  </si>
  <si>
    <t>IN0020230077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</si>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</sst>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152399</xdr:colOff>
      <xdr:row>4</xdr:row>
      <xdr:rowOff>57151</xdr:rowOff>
    </xdr:from>
    <xdr:ext cx="1897641" cy="12864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8224" y="1047751"/>
          <a:ext cx="1897641" cy="1286465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4</xdr:row>
      <xdr:rowOff>95250</xdr:rowOff>
    </xdr:from>
    <xdr:ext cx="192109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4150" y="1085850"/>
          <a:ext cx="1921090" cy="1219199"/>
        </a:xfrm>
        <a:prstGeom prst="rect">
          <a:avLst/>
        </a:prstGeom>
      </xdr:spPr>
    </xdr:pic>
    <xdr:clientData/>
  </xdr:oneCellAnchor>
  <xdr:oneCellAnchor>
    <xdr:from>
      <xdr:col>11</xdr:col>
      <xdr:colOff>85725</xdr:colOff>
      <xdr:row>4</xdr:row>
      <xdr:rowOff>123825</xdr:rowOff>
    </xdr:from>
    <xdr:ext cx="192109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0400" y="1114425"/>
          <a:ext cx="192109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9"/>
  <sheetViews>
    <sheetView tabSelected="1" workbookViewId="0"/>
  </sheetViews>
  <sheetFormatPr defaultRowHeight="12" x14ac:dyDescent="0.2"/>
  <cols>
    <col min="1" max="1" width="9.140625" style="3"/>
    <col min="2" max="2" width="60.28515625" style="3" bestFit="1" customWidth="1"/>
    <col min="3" max="3" width="13.5703125" style="3" bestFit="1" customWidth="1"/>
    <col min="4" max="4" width="22.85546875" style="3" bestFit="1" customWidth="1"/>
    <col min="5" max="5" width="8.85546875" style="58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1.5703125" style="4" customWidth="1"/>
    <col min="11" max="11" width="33.42578125" style="4" customWidth="1"/>
    <col min="12" max="12" width="31.42578125" style="4" customWidth="1"/>
    <col min="13" max="13" width="4.7109375" style="4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8"/>
      <c r="F3" s="9"/>
      <c r="G3" s="9"/>
    </row>
    <row r="4" spans="2:17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3"/>
      <c r="N4" s="17" t="s">
        <v>12</v>
      </c>
      <c r="O4" s="18"/>
      <c r="P4" s="18"/>
      <c r="Q4" s="19"/>
    </row>
    <row r="5" spans="2:17" ht="24" customHeight="1" x14ac:dyDescent="0.2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3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3"/>
      <c r="N6" s="31" t="s">
        <v>19</v>
      </c>
      <c r="O6" s="26"/>
      <c r="P6" s="26"/>
      <c r="Q6" s="26"/>
    </row>
    <row r="7" spans="2:17" ht="12" customHeight="1" x14ac:dyDescent="0.2">
      <c r="B7" s="28" t="s">
        <v>20</v>
      </c>
      <c r="C7" s="28" t="s">
        <v>21</v>
      </c>
      <c r="D7" s="28" t="s">
        <v>22</v>
      </c>
      <c r="E7" s="32">
        <v>150</v>
      </c>
      <c r="F7" s="30">
        <v>1501.23</v>
      </c>
      <c r="G7" s="30">
        <v>9.14</v>
      </c>
      <c r="H7" s="30">
        <v>7.91</v>
      </c>
      <c r="J7" s="24"/>
      <c r="K7" s="24"/>
      <c r="L7" s="24"/>
      <c r="N7" s="33" t="s">
        <v>23</v>
      </c>
      <c r="O7" s="34"/>
      <c r="P7" s="34"/>
      <c r="Q7" s="34"/>
    </row>
    <row r="8" spans="2:17" x14ac:dyDescent="0.2">
      <c r="B8" s="28" t="s">
        <v>24</v>
      </c>
      <c r="C8" s="28" t="s">
        <v>25</v>
      </c>
      <c r="D8" s="28" t="s">
        <v>26</v>
      </c>
      <c r="E8" s="32">
        <v>150</v>
      </c>
      <c r="F8" s="30">
        <v>1494.39</v>
      </c>
      <c r="G8" s="30">
        <v>9.1</v>
      </c>
      <c r="H8" s="30">
        <v>7.23</v>
      </c>
      <c r="J8" s="24"/>
      <c r="K8" s="24"/>
      <c r="L8" s="24"/>
      <c r="N8" s="33"/>
      <c r="O8" s="35"/>
      <c r="P8" s="35"/>
      <c r="Q8" s="35"/>
    </row>
    <row r="9" spans="2:17" ht="12" customHeight="1" x14ac:dyDescent="0.2">
      <c r="B9" s="28" t="s">
        <v>27</v>
      </c>
      <c r="C9" s="28" t="s">
        <v>28</v>
      </c>
      <c r="D9" s="28" t="s">
        <v>22</v>
      </c>
      <c r="E9" s="32">
        <v>1500</v>
      </c>
      <c r="F9" s="30">
        <v>1490.06</v>
      </c>
      <c r="G9" s="30">
        <v>9.08</v>
      </c>
      <c r="H9" s="30">
        <v>7.77</v>
      </c>
      <c r="J9" s="24"/>
      <c r="K9" s="24"/>
      <c r="L9" s="24"/>
      <c r="N9" s="33" t="s">
        <v>29</v>
      </c>
      <c r="O9" s="34"/>
      <c r="P9" s="34"/>
      <c r="Q9" s="34"/>
    </row>
    <row r="10" spans="2:17" x14ac:dyDescent="0.2">
      <c r="B10" s="28" t="s">
        <v>30</v>
      </c>
      <c r="C10" s="28" t="s">
        <v>31</v>
      </c>
      <c r="D10" s="28" t="s">
        <v>22</v>
      </c>
      <c r="E10" s="32">
        <v>1000</v>
      </c>
      <c r="F10" s="30">
        <v>1001.18</v>
      </c>
      <c r="G10" s="30">
        <v>6.1</v>
      </c>
      <c r="H10" s="30">
        <v>7.67</v>
      </c>
      <c r="J10" s="24"/>
      <c r="K10" s="24"/>
      <c r="L10" s="24"/>
      <c r="N10" s="33"/>
      <c r="O10" s="35"/>
      <c r="P10" s="35"/>
      <c r="Q10" s="35"/>
    </row>
    <row r="11" spans="2:17" ht="12" customHeight="1" x14ac:dyDescent="0.2">
      <c r="B11" s="28" t="s">
        <v>32</v>
      </c>
      <c r="C11" s="28" t="s">
        <v>33</v>
      </c>
      <c r="D11" s="28" t="s">
        <v>22</v>
      </c>
      <c r="E11" s="32">
        <v>100</v>
      </c>
      <c r="F11" s="30">
        <v>999.18</v>
      </c>
      <c r="G11" s="30">
        <v>6.09</v>
      </c>
      <c r="H11" s="30">
        <v>7.59</v>
      </c>
      <c r="J11" s="24"/>
      <c r="K11" s="24"/>
      <c r="L11" s="24"/>
      <c r="N11" s="33" t="s">
        <v>34</v>
      </c>
      <c r="O11" s="34"/>
      <c r="P11" s="36" t="s">
        <v>35</v>
      </c>
      <c r="Q11" s="34"/>
    </row>
    <row r="12" spans="2:17" x14ac:dyDescent="0.2">
      <c r="B12" s="28" t="s">
        <v>36</v>
      </c>
      <c r="C12" s="28" t="s">
        <v>37</v>
      </c>
      <c r="D12" s="28" t="s">
        <v>22</v>
      </c>
      <c r="E12" s="32">
        <v>100</v>
      </c>
      <c r="F12" s="30">
        <v>996.41</v>
      </c>
      <c r="G12" s="30">
        <v>6.07</v>
      </c>
      <c r="H12" s="30">
        <v>7.77</v>
      </c>
      <c r="J12" s="24"/>
      <c r="K12" s="24"/>
      <c r="L12" s="24"/>
      <c r="N12" s="33"/>
      <c r="O12" s="35"/>
      <c r="P12" s="37"/>
      <c r="Q12" s="35"/>
    </row>
    <row r="13" spans="2:17" x14ac:dyDescent="0.2">
      <c r="B13" s="28" t="s">
        <v>38</v>
      </c>
      <c r="C13" s="28" t="s">
        <v>39</v>
      </c>
      <c r="D13" s="28" t="s">
        <v>22</v>
      </c>
      <c r="E13" s="32">
        <v>100</v>
      </c>
      <c r="F13" s="30">
        <v>994.37</v>
      </c>
      <c r="G13" s="30">
        <v>6.06</v>
      </c>
      <c r="H13" s="30">
        <v>7.79</v>
      </c>
      <c r="K13" s="3" t="s">
        <v>40</v>
      </c>
    </row>
    <row r="14" spans="2:17" x14ac:dyDescent="0.2">
      <c r="B14" s="28" t="s">
        <v>41</v>
      </c>
      <c r="C14" s="28" t="s">
        <v>42</v>
      </c>
      <c r="D14" s="28" t="s">
        <v>22</v>
      </c>
      <c r="E14" s="32">
        <v>100</v>
      </c>
      <c r="F14" s="30">
        <v>994.17</v>
      </c>
      <c r="G14" s="30">
        <v>6.06</v>
      </c>
      <c r="H14" s="30">
        <v>7.58</v>
      </c>
    </row>
    <row r="15" spans="2:17" x14ac:dyDescent="0.2">
      <c r="B15" s="28" t="s">
        <v>43</v>
      </c>
      <c r="C15" s="28" t="s">
        <v>44</v>
      </c>
      <c r="D15" s="28" t="s">
        <v>22</v>
      </c>
      <c r="E15" s="32">
        <v>100</v>
      </c>
      <c r="F15" s="30">
        <v>993.34</v>
      </c>
      <c r="G15" s="30">
        <v>6.05</v>
      </c>
      <c r="H15" s="30">
        <v>7.76</v>
      </c>
    </row>
    <row r="16" spans="2:17" x14ac:dyDescent="0.2">
      <c r="B16" s="28" t="s">
        <v>45</v>
      </c>
      <c r="C16" s="28" t="s">
        <v>46</v>
      </c>
      <c r="D16" s="28" t="s">
        <v>22</v>
      </c>
      <c r="E16" s="32">
        <v>50</v>
      </c>
      <c r="F16" s="30">
        <v>515.58000000000004</v>
      </c>
      <c r="G16" s="30">
        <v>3.14</v>
      </c>
      <c r="H16" s="30">
        <v>7.69</v>
      </c>
    </row>
    <row r="17" spans="2:9" x14ac:dyDescent="0.2">
      <c r="B17" s="28" t="s">
        <v>47</v>
      </c>
      <c r="C17" s="28" t="s">
        <v>48</v>
      </c>
      <c r="D17" s="28" t="s">
        <v>22</v>
      </c>
      <c r="E17" s="32">
        <v>50</v>
      </c>
      <c r="F17" s="30">
        <v>499.31</v>
      </c>
      <c r="G17" s="30">
        <v>3.04</v>
      </c>
      <c r="H17" s="30">
        <v>7.61</v>
      </c>
    </row>
    <row r="18" spans="2:9" x14ac:dyDescent="0.2">
      <c r="B18" s="28" t="s">
        <v>49</v>
      </c>
      <c r="C18" s="28" t="s">
        <v>50</v>
      </c>
      <c r="D18" s="28" t="s">
        <v>22</v>
      </c>
      <c r="E18" s="32">
        <v>50</v>
      </c>
      <c r="F18" s="30">
        <v>498.87</v>
      </c>
      <c r="G18" s="30">
        <v>3.04</v>
      </c>
      <c r="H18" s="30">
        <v>7.51</v>
      </c>
    </row>
    <row r="19" spans="2:9" x14ac:dyDescent="0.2">
      <c r="B19" s="38" t="s">
        <v>51</v>
      </c>
      <c r="C19" s="38"/>
      <c r="D19" s="38"/>
      <c r="E19" s="39"/>
      <c r="F19" s="40">
        <f>SUM(F6:F18)</f>
        <v>11978.090000000002</v>
      </c>
      <c r="G19" s="40">
        <f>SUM(G6:G18)</f>
        <v>72.970000000000013</v>
      </c>
      <c r="H19" s="41"/>
      <c r="I19" s="42"/>
    </row>
    <row r="20" spans="2:9" x14ac:dyDescent="0.2">
      <c r="B20" s="43" t="s">
        <v>52</v>
      </c>
      <c r="C20" s="43"/>
      <c r="D20" s="43"/>
      <c r="E20" s="44"/>
      <c r="F20" s="45">
        <f>F19</f>
        <v>11978.090000000002</v>
      </c>
      <c r="G20" s="45">
        <f>G19</f>
        <v>72.970000000000013</v>
      </c>
      <c r="H20" s="45"/>
      <c r="I20" s="42"/>
    </row>
    <row r="21" spans="2:9" x14ac:dyDescent="0.2">
      <c r="B21" s="27" t="s">
        <v>53</v>
      </c>
      <c r="C21" s="28"/>
      <c r="D21" s="28"/>
      <c r="E21" s="29"/>
      <c r="F21" s="30"/>
      <c r="G21" s="30"/>
      <c r="H21" s="30"/>
    </row>
    <row r="22" spans="2:9" x14ac:dyDescent="0.2">
      <c r="B22" s="27" t="s">
        <v>54</v>
      </c>
      <c r="C22" s="28"/>
      <c r="D22" s="28"/>
      <c r="E22" s="29"/>
      <c r="F22" s="30"/>
      <c r="G22" s="30"/>
      <c r="H22" s="30"/>
    </row>
    <row r="23" spans="2:9" x14ac:dyDescent="0.2">
      <c r="B23" s="28" t="s">
        <v>55</v>
      </c>
      <c r="C23" s="28" t="s">
        <v>56</v>
      </c>
      <c r="D23" s="28" t="s">
        <v>57</v>
      </c>
      <c r="E23" s="32">
        <v>250000</v>
      </c>
      <c r="F23" s="30">
        <v>245.67</v>
      </c>
      <c r="G23" s="30">
        <v>1.5</v>
      </c>
      <c r="H23" s="30">
        <v>7</v>
      </c>
    </row>
    <row r="24" spans="2:9" x14ac:dyDescent="0.2">
      <c r="B24" s="38" t="s">
        <v>51</v>
      </c>
      <c r="C24" s="38"/>
      <c r="D24" s="38"/>
      <c r="E24" s="39"/>
      <c r="F24" s="40">
        <f>SUM(F22:F23)</f>
        <v>245.67</v>
      </c>
      <c r="G24" s="40">
        <f>SUM(G22:G23)</f>
        <v>1.5</v>
      </c>
      <c r="H24" s="41"/>
      <c r="I24" s="42"/>
    </row>
    <row r="25" spans="2:9" x14ac:dyDescent="0.2">
      <c r="B25" s="43" t="s">
        <v>52</v>
      </c>
      <c r="C25" s="43"/>
      <c r="D25" s="43"/>
      <c r="E25" s="44"/>
      <c r="F25" s="45">
        <f>+F24</f>
        <v>245.67</v>
      </c>
      <c r="G25" s="45">
        <f>+G24</f>
        <v>1.5</v>
      </c>
      <c r="H25" s="45"/>
      <c r="I25" s="42"/>
    </row>
    <row r="26" spans="2:9" x14ac:dyDescent="0.2">
      <c r="B26" s="27" t="s">
        <v>58</v>
      </c>
      <c r="C26" s="28"/>
      <c r="D26" s="28"/>
      <c r="E26" s="29"/>
      <c r="F26" s="30"/>
      <c r="G26" s="30"/>
      <c r="H26" s="30"/>
    </row>
    <row r="27" spans="2:9" x14ac:dyDescent="0.2">
      <c r="B27" s="28" t="s">
        <v>59</v>
      </c>
      <c r="C27" s="28" t="s">
        <v>60</v>
      </c>
      <c r="D27" s="28" t="s">
        <v>61</v>
      </c>
      <c r="E27" s="32">
        <v>1000000</v>
      </c>
      <c r="F27" s="30">
        <v>988.84</v>
      </c>
      <c r="G27" s="30">
        <v>6.02</v>
      </c>
      <c r="H27" s="30">
        <v>7.53</v>
      </c>
    </row>
    <row r="28" spans="2:9" x14ac:dyDescent="0.2">
      <c r="B28" s="28" t="s">
        <v>62</v>
      </c>
      <c r="C28" s="28" t="s">
        <v>63</v>
      </c>
      <c r="D28" s="28" t="s">
        <v>61</v>
      </c>
      <c r="E28" s="32">
        <v>500000</v>
      </c>
      <c r="F28" s="30">
        <v>500.45</v>
      </c>
      <c r="G28" s="30">
        <v>3.05</v>
      </c>
      <c r="H28" s="30">
        <v>7.48</v>
      </c>
    </row>
    <row r="29" spans="2:9" x14ac:dyDescent="0.2">
      <c r="B29" s="28" t="s">
        <v>64</v>
      </c>
      <c r="C29" s="28" t="s">
        <v>65</v>
      </c>
      <c r="D29" s="28" t="s">
        <v>61</v>
      </c>
      <c r="E29" s="32">
        <v>250000</v>
      </c>
      <c r="F29" s="30">
        <v>247.02</v>
      </c>
      <c r="G29" s="30">
        <v>1.5</v>
      </c>
      <c r="H29" s="30">
        <v>7.49</v>
      </c>
    </row>
    <row r="30" spans="2:9" x14ac:dyDescent="0.2">
      <c r="B30" s="46" t="s">
        <v>66</v>
      </c>
      <c r="C30" s="46" t="s">
        <v>67</v>
      </c>
      <c r="D30" s="46" t="s">
        <v>61</v>
      </c>
      <c r="E30" s="47">
        <v>200000</v>
      </c>
      <c r="F30" s="48">
        <v>195.26</v>
      </c>
      <c r="G30" s="48">
        <v>1.19</v>
      </c>
      <c r="H30" s="48">
        <v>7.6</v>
      </c>
    </row>
    <row r="31" spans="2:9" x14ac:dyDescent="0.2">
      <c r="B31" s="49" t="s">
        <v>52</v>
      </c>
      <c r="C31" s="49"/>
      <c r="D31" s="49"/>
      <c r="E31" s="50"/>
      <c r="F31" s="51">
        <f>SUM(F27:F30)</f>
        <v>1931.57</v>
      </c>
      <c r="G31" s="51">
        <f>SUM(G27:G30)</f>
        <v>11.76</v>
      </c>
      <c r="H31" s="51"/>
      <c r="I31" s="42"/>
    </row>
    <row r="32" spans="2:9" x14ac:dyDescent="0.2">
      <c r="B32" s="27" t="s">
        <v>68</v>
      </c>
      <c r="C32" s="28"/>
      <c r="D32" s="28"/>
      <c r="E32" s="29"/>
      <c r="F32" s="30"/>
      <c r="G32" s="30"/>
      <c r="H32" s="30"/>
    </row>
    <row r="33" spans="2:9" x14ac:dyDescent="0.2">
      <c r="B33" s="46" t="s">
        <v>69</v>
      </c>
      <c r="C33" s="46" t="s">
        <v>70</v>
      </c>
      <c r="D33" s="46"/>
      <c r="E33" s="47">
        <v>488.87599999999998</v>
      </c>
      <c r="F33" s="48">
        <v>48.91</v>
      </c>
      <c r="G33" s="48">
        <v>0.3</v>
      </c>
      <c r="H33" s="48"/>
    </row>
    <row r="34" spans="2:9" x14ac:dyDescent="0.2">
      <c r="B34" s="49" t="s">
        <v>52</v>
      </c>
      <c r="C34" s="49"/>
      <c r="D34" s="49"/>
      <c r="E34" s="50"/>
      <c r="F34" s="51">
        <f>SUM(F33:F33)</f>
        <v>48.91</v>
      </c>
      <c r="G34" s="51">
        <f>SUM(G33:G33)</f>
        <v>0.3</v>
      </c>
      <c r="H34" s="51"/>
      <c r="I34" s="42"/>
    </row>
    <row r="35" spans="2:9" x14ac:dyDescent="0.2">
      <c r="B35" s="27" t="s">
        <v>71</v>
      </c>
      <c r="C35" s="28"/>
      <c r="D35" s="28"/>
      <c r="E35" s="29"/>
      <c r="F35" s="30"/>
      <c r="G35" s="30"/>
      <c r="H35" s="30"/>
    </row>
    <row r="36" spans="2:9" x14ac:dyDescent="0.2">
      <c r="B36" s="28" t="s">
        <v>71</v>
      </c>
      <c r="C36" s="28"/>
      <c r="D36" s="28"/>
      <c r="E36" s="29"/>
      <c r="F36" s="30">
        <v>1276.7</v>
      </c>
      <c r="G36" s="30">
        <v>7.7799999999999994</v>
      </c>
      <c r="H36" s="30"/>
    </row>
    <row r="37" spans="2:9" x14ac:dyDescent="0.2">
      <c r="B37" s="38" t="s">
        <v>51</v>
      </c>
      <c r="C37" s="38"/>
      <c r="D37" s="38"/>
      <c r="E37" s="39"/>
      <c r="F37" s="40">
        <f>SUM(F35:F36)</f>
        <v>1276.7</v>
      </c>
      <c r="G37" s="40">
        <f>SUM(G35:G36)</f>
        <v>7.7799999999999994</v>
      </c>
      <c r="H37" s="41"/>
      <c r="I37" s="42"/>
    </row>
    <row r="38" spans="2:9" x14ac:dyDescent="0.2">
      <c r="B38" s="52" t="s">
        <v>52</v>
      </c>
      <c r="C38" s="52"/>
      <c r="D38" s="52"/>
      <c r="E38" s="53"/>
      <c r="F38" s="54">
        <f>F37</f>
        <v>1276.7</v>
      </c>
      <c r="G38" s="54">
        <f>G37</f>
        <v>7.7799999999999994</v>
      </c>
      <c r="H38" s="54"/>
      <c r="I38" s="42"/>
    </row>
    <row r="39" spans="2:9" x14ac:dyDescent="0.2">
      <c r="B39" s="55" t="s">
        <v>72</v>
      </c>
      <c r="C39" s="55"/>
      <c r="D39" s="55"/>
      <c r="E39" s="56"/>
      <c r="F39" s="57">
        <f>F40-(+F20+F25+F31+F34+F38)</f>
        <v>936.80999999999767</v>
      </c>
      <c r="G39" s="57">
        <f>G40-(+G20+G25+G31+G34+G38)</f>
        <v>5.6899999999999835</v>
      </c>
      <c r="H39" s="57"/>
      <c r="I39" s="42"/>
    </row>
    <row r="40" spans="2:9" x14ac:dyDescent="0.2">
      <c r="B40" s="55" t="s">
        <v>73</v>
      </c>
      <c r="C40" s="55"/>
      <c r="D40" s="55"/>
      <c r="E40" s="56"/>
      <c r="F40" s="57">
        <v>16417.75</v>
      </c>
      <c r="G40" s="57">
        <v>100</v>
      </c>
      <c r="H40" s="57"/>
      <c r="I40" s="42"/>
    </row>
    <row r="42" spans="2:9" x14ac:dyDescent="0.2">
      <c r="B42" s="42" t="s">
        <v>74</v>
      </c>
    </row>
    <row r="43" spans="2:9" ht="12.75" thickBot="1" x14ac:dyDescent="0.25"/>
    <row r="44" spans="2:9" ht="13.5" thickTop="1" thickBot="1" x14ac:dyDescent="0.25">
      <c r="B44" s="59" t="s">
        <v>75</v>
      </c>
      <c r="C44" s="60">
        <v>1.9275</v>
      </c>
    </row>
    <row r="45" spans="2:9" ht="13.5" thickTop="1" thickBot="1" x14ac:dyDescent="0.25"/>
    <row r="46" spans="2:9" ht="13.5" thickTop="1" thickBot="1" x14ac:dyDescent="0.25">
      <c r="B46" s="59" t="s">
        <v>76</v>
      </c>
      <c r="C46" s="61">
        <v>7.51E-2</v>
      </c>
    </row>
    <row r="47" spans="2:9" ht="13.5" thickTop="1" thickBot="1" x14ac:dyDescent="0.25"/>
    <row r="48" spans="2:9" ht="13.5" thickTop="1" thickBot="1" x14ac:dyDescent="0.25">
      <c r="B48" s="59" t="s">
        <v>77</v>
      </c>
      <c r="C48" s="60">
        <v>2.1884000000000001</v>
      </c>
    </row>
    <row r="49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12:22:55</KDate>
  <Classification>Public</Classification>
  <Subclassification/>
  <HostName>MUMCMP00935</HostName>
  <Domain_User>CANARAROBECOMF/628</Domain_User>
  <IPAdd>192.9.198.194</IPAdd>
  <FilePath>Book21</FilePath>
  <KID>C025A5607E97638348701757990220</KID>
  <UniqueName/>
  <Suggested/>
  <Justification/>
</Klassify>
</file>

<file path=customXml/itemProps1.xml><?xml version="1.0" encoding="utf-8"?>
<ds:datastoreItem xmlns:ds="http://schemas.openxmlformats.org/officeDocument/2006/customXml" ds:itemID="{E283A27E-FA48-4B3B-BBF8-FDA660790F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2023-11-06T06:52:47Z</dcterms:created>
  <dcterms:modified xsi:type="dcterms:W3CDTF">2023-11-06T06:52:55Z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C025A5607E97638348701757990220</vt:lpwstr>
  </property>
</Properties>
</file>