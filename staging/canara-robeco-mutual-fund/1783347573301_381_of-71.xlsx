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"/>
    </mc:Choice>
  </mc:AlternateContent>
  <bookViews>
    <workbookView xWindow="0" yWindow="0" windowWidth="20490" windowHeight="7650"/>
  </bookViews>
  <sheets>
    <sheet name="O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 s="1"/>
  <c r="G9" i="1" s="1"/>
  <c r="F7" i="1"/>
  <c r="F8" i="1" s="1"/>
  <c r="F9" i="1" s="1"/>
</calcChain>
</file>

<file path=xl/sharedStrings.xml><?xml version="1.0" encoding="utf-8"?>
<sst xmlns="http://schemas.openxmlformats.org/spreadsheetml/2006/main" count="28" uniqueCount="27">
  <si>
    <t>CANARA ROBECO OVERNIGHT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</si>
  <si>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</si>
  <si>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</si>
  <si>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</si>
  <si>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</si>
  <si>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</si>
  <si>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</si>
  <si>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</si>
  <si>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Oct'22</t>
  </si>
  <si>
    <t>Benchmark Risk-o-meter Level- Oct'22</t>
  </si>
  <si>
    <t>Previous Scheme Risk-o-meter Level- Sep'22</t>
  </si>
  <si>
    <t>Potential Risk Class (PRC) Matrix</t>
  </si>
  <si>
    <t>TREPS</t>
  </si>
  <si>
    <t>Credit Risk →</t>
  </si>
  <si>
    <t>Relatively Low (Class A)</t>
  </si>
  <si>
    <t>Moderate (Class B)</t>
  </si>
  <si>
    <t>Relatively High 
(Class C)</t>
  </si>
  <si>
    <t>Interest Rate Risk ↓</t>
  </si>
  <si>
    <t>Sub Total</t>
  </si>
  <si>
    <t>Relatively Low (Class I)</t>
  </si>
  <si>
    <t>A-I</t>
  </si>
  <si>
    <t>Total</t>
  </si>
  <si>
    <t>Net Receivables / (Payables)</t>
  </si>
  <si>
    <t>Moderate (Class II)</t>
  </si>
  <si>
    <t>Grand Total</t>
  </si>
  <si>
    <t>Relatively High (Class III)</t>
  </si>
  <si>
    <t>Benchmark: CRISIL Overnight Fund A-I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</si>
</sst>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top" wrapText="1"/>
    </xf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0" borderId="5" xfId="0" applyFont="1" applyBorder="1" applyAlignment="1">
      <alignment horizontal="left" wrapText="1"/>
    </xf>
    <xf numFmtId="0" fontId="9" fillId="4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4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3" fontId="3" fillId="3" borderId="0" xfId="1" applyFont="1" applyFill="1" applyAlignment="1"/>
    <xf numFmtId="0" fontId="3" fillId="3" borderId="0" xfId="0" applyFont="1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292715</xdr:colOff>
      <xdr:row>4</xdr:row>
      <xdr:rowOff>9526</xdr:rowOff>
    </xdr:from>
    <xdr:ext cx="1812310" cy="1457324"/>
    <xdr:pic>
      <xdr:nvPicPr>
        <xdr:cNvPr id="2" name="Picture 1">
          <a:extLst>
            <a:ext uri="{FF2B5EF4-FFF2-40B4-BE49-F238E27FC236}">
              <a16:creationId xmlns:a16="http://schemas.microsoft.com/office/drawing/2014/main" id="{3B6F987D-F535-4B3B-9BF8-2FF64A4D8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7665" y="1019176"/>
          <a:ext cx="1812310" cy="1457324"/>
        </a:xfrm>
        <a:prstGeom prst="rect">
          <a:avLst/>
        </a:prstGeom>
      </xdr:spPr>
    </xdr:pic>
    <xdr:clientData/>
  </xdr:oneCellAnchor>
  <xdr:twoCellAnchor editAs="oneCell">
    <xdr:from>
      <xdr:col>8</xdr:col>
      <xdr:colOff>190500</xdr:colOff>
      <xdr:row>4</xdr:row>
      <xdr:rowOff>58976</xdr:rowOff>
    </xdr:from>
    <xdr:to>
      <xdr:col>8</xdr:col>
      <xdr:colOff>1847850</xdr:colOff>
      <xdr:row>11</xdr:row>
      <xdr:rowOff>116531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517ED-0AED-466E-8489-C654B829B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068626"/>
          <a:ext cx="1657350" cy="158155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4</xdr:row>
      <xdr:rowOff>85725</xdr:rowOff>
    </xdr:from>
    <xdr:to>
      <xdr:col>9</xdr:col>
      <xdr:colOff>2162175</xdr:colOff>
      <xdr:row>11</xdr:row>
      <xdr:rowOff>18556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D7AE1C-924E-4277-B553-7FB245A91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96600" y="1095375"/>
          <a:ext cx="1685925" cy="1456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3"/>
  <sheetViews>
    <sheetView tabSelected="1" workbookViewId="0">
      <selection activeCell="A16" sqref="A16"/>
    </sheetView>
  </sheetViews>
  <sheetFormatPr defaultRowHeight="12"/>
  <cols>
    <col min="1" max="1" width="9.140625" style="3"/>
    <col min="2" max="2" width="58.28515625" style="3" bestFit="1" customWidth="1"/>
    <col min="3" max="3" width="4.140625" style="3" bestFit="1" customWidth="1"/>
    <col min="4" max="4" width="14.140625" style="3" bestFit="1" customWidth="1"/>
    <col min="5" max="5" width="7.7109375" style="47" bestFit="1" customWidth="1"/>
    <col min="6" max="6" width="15.28515625" style="48" bestFit="1" customWidth="1"/>
    <col min="7" max="7" width="7.42578125" style="48" bestFit="1" customWidth="1"/>
    <col min="8" max="8" width="9.140625" style="3"/>
    <col min="9" max="9" width="31" style="4" bestFit="1" customWidth="1"/>
    <col min="10" max="10" width="37.7109375" style="4" bestFit="1" customWidth="1"/>
    <col min="11" max="11" width="34" style="4" customWidth="1"/>
    <col min="12" max="12" width="6.140625" style="4" bestFit="1" customWidth="1"/>
    <col min="13" max="16384" width="9.140625" style="3"/>
  </cols>
  <sheetData>
    <row r="1" spans="2:16" ht="21" customHeight="1">
      <c r="B1" s="1" t="s">
        <v>0</v>
      </c>
      <c r="C1" s="2"/>
      <c r="D1" s="2"/>
      <c r="E1" s="2"/>
      <c r="F1" s="2"/>
      <c r="G1" s="2"/>
    </row>
    <row r="3" spans="2:16" ht="16.5" thickBot="1">
      <c r="B3" s="5" t="s">
        <v>1</v>
      </c>
      <c r="C3" s="6"/>
      <c r="D3" s="7"/>
      <c r="E3" s="8"/>
      <c r="F3" s="9"/>
      <c r="G3" s="9"/>
    </row>
    <row r="4" spans="2:16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I4" s="15" t="s">
        <v>8</v>
      </c>
      <c r="J4" s="15" t="s">
        <v>9</v>
      </c>
      <c r="K4" s="15" t="s">
        <v>10</v>
      </c>
      <c r="M4" s="16" t="s">
        <v>11</v>
      </c>
      <c r="N4" s="17"/>
      <c r="O4" s="17"/>
      <c r="P4" s="18"/>
    </row>
    <row r="5" spans="2:16" ht="24">
      <c r="B5" s="19" t="s">
        <v>12</v>
      </c>
      <c r="C5" s="20"/>
      <c r="D5" s="20"/>
      <c r="E5" s="21"/>
      <c r="F5" s="22"/>
      <c r="G5" s="22"/>
      <c r="I5" s="23"/>
      <c r="J5" s="23"/>
      <c r="K5" s="23"/>
      <c r="M5" s="24" t="s">
        <v>13</v>
      </c>
      <c r="N5" s="25" t="s">
        <v>14</v>
      </c>
      <c r="O5" s="25" t="s">
        <v>15</v>
      </c>
      <c r="P5" s="25" t="s">
        <v>16</v>
      </c>
    </row>
    <row r="6" spans="2:16" ht="36">
      <c r="B6" s="26" t="s">
        <v>12</v>
      </c>
      <c r="C6" s="26"/>
      <c r="D6" s="27"/>
      <c r="E6" s="28"/>
      <c r="F6" s="29">
        <v>25927.32</v>
      </c>
      <c r="G6" s="29">
        <v>100.29999999999998</v>
      </c>
      <c r="I6" s="23"/>
      <c r="J6" s="23"/>
      <c r="K6" s="23"/>
      <c r="M6" s="30" t="s">
        <v>17</v>
      </c>
      <c r="N6" s="25"/>
      <c r="O6" s="25"/>
      <c r="P6" s="25"/>
    </row>
    <row r="7" spans="2:16">
      <c r="B7" s="31" t="s">
        <v>18</v>
      </c>
      <c r="C7" s="32"/>
      <c r="D7" s="32"/>
      <c r="E7" s="33"/>
      <c r="F7" s="34">
        <f>SUM(F5:F6)</f>
        <v>25927.32</v>
      </c>
      <c r="G7" s="34">
        <f>SUM(G5:G6)</f>
        <v>100.29999999999998</v>
      </c>
      <c r="H7" s="35"/>
      <c r="I7" s="23"/>
      <c r="J7" s="23"/>
      <c r="K7" s="23"/>
      <c r="M7" s="36" t="s">
        <v>19</v>
      </c>
      <c r="N7" s="37" t="s">
        <v>20</v>
      </c>
      <c r="O7" s="38"/>
      <c r="P7" s="38"/>
    </row>
    <row r="8" spans="2:16">
      <c r="B8" s="39" t="s">
        <v>21</v>
      </c>
      <c r="C8" s="39"/>
      <c r="D8" s="39"/>
      <c r="E8" s="40"/>
      <c r="F8" s="41">
        <f>F7</f>
        <v>25927.32</v>
      </c>
      <c r="G8" s="41">
        <f>G7</f>
        <v>100.29999999999998</v>
      </c>
      <c r="H8" s="35"/>
      <c r="I8" s="23"/>
      <c r="J8" s="23"/>
      <c r="K8" s="23"/>
      <c r="M8" s="36"/>
      <c r="N8" s="42"/>
      <c r="O8" s="43"/>
      <c r="P8" s="43"/>
    </row>
    <row r="9" spans="2:16">
      <c r="B9" s="44" t="s">
        <v>22</v>
      </c>
      <c r="C9" s="44"/>
      <c r="D9" s="44"/>
      <c r="E9" s="45"/>
      <c r="F9" s="46">
        <f>F10-(+F8)</f>
        <v>-78.090000000000146</v>
      </c>
      <c r="G9" s="46">
        <f>G10-(+G8)</f>
        <v>-0.29999999999998295</v>
      </c>
      <c r="H9" s="35"/>
      <c r="I9" s="23"/>
      <c r="J9" s="23"/>
      <c r="K9" s="23"/>
      <c r="M9" s="36" t="s">
        <v>23</v>
      </c>
      <c r="N9" s="38"/>
      <c r="O9" s="38"/>
      <c r="P9" s="38"/>
    </row>
    <row r="10" spans="2:16">
      <c r="B10" s="44" t="s">
        <v>24</v>
      </c>
      <c r="C10" s="44"/>
      <c r="D10" s="44"/>
      <c r="E10" s="45"/>
      <c r="F10" s="46">
        <v>25849.23</v>
      </c>
      <c r="G10" s="46">
        <v>100</v>
      </c>
      <c r="H10" s="35"/>
      <c r="I10" s="23"/>
      <c r="J10" s="23"/>
      <c r="K10" s="23"/>
      <c r="M10" s="36"/>
      <c r="N10" s="43"/>
      <c r="O10" s="43"/>
      <c r="P10" s="43"/>
    </row>
    <row r="11" spans="2:16">
      <c r="I11" s="23"/>
      <c r="J11" s="23"/>
      <c r="K11" s="23"/>
      <c r="M11" s="36" t="s">
        <v>25</v>
      </c>
      <c r="N11" s="38"/>
      <c r="O11" s="38"/>
      <c r="P11" s="38"/>
    </row>
    <row r="12" spans="2:16">
      <c r="B12" s="35"/>
      <c r="I12" s="23"/>
      <c r="J12" s="23"/>
      <c r="K12" s="23"/>
      <c r="M12" s="36"/>
      <c r="N12" s="43"/>
      <c r="O12" s="43"/>
      <c r="P12" s="43"/>
    </row>
    <row r="13" spans="2:16">
      <c r="I13" s="49"/>
      <c r="J13" s="49" t="s">
        <v>26</v>
      </c>
      <c r="K13" s="50"/>
    </row>
  </sheetData>
  <mergeCells count="20">
    <mergeCell ref="M11:M12"/>
    <mergeCell ref="N11:N12"/>
    <mergeCell ref="O11:O12"/>
    <mergeCell ref="P11:P12"/>
    <mergeCell ref="O7:O8"/>
    <mergeCell ref="P7:P8"/>
    <mergeCell ref="M9:M10"/>
    <mergeCell ref="N9:N10"/>
    <mergeCell ref="O9:O10"/>
    <mergeCell ref="P9:P10"/>
    <mergeCell ref="B1:G1"/>
    <mergeCell ref="M4:P4"/>
    <mergeCell ref="I5:I12"/>
    <mergeCell ref="J5:J12"/>
    <mergeCell ref="K5:K12"/>
    <mergeCell ref="N5:N6"/>
    <mergeCell ref="O5:O6"/>
    <mergeCell ref="P5:P6"/>
    <mergeCell ref="M7:M8"/>
    <mergeCell ref="N7:N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2022-11-07 15:41:07</KDate>
  <Classification>Public</Classification>
  <Subclassification/>
  <HostName>MUMCMP00935</HostName>
  <Domain_User>CANARAROBECOMF/628</Domain_User>
  <IPAdd>192.9.198.194</IPAdd>
  <FilePath>Book1</FilePath>
  <KID>C025A5607E97638034324677267736</KID>
  <UniqueName/>
  <Suggested/>
  <Justification/>
</Klassify>
</file>

<file path=customXml/itemProps1.xml><?xml version="1.0" encoding="utf-8"?>
<ds:datastoreItem xmlns:ds="http://schemas.openxmlformats.org/officeDocument/2006/customXml" ds:itemID="{634BCFF6-656E-465D-927F-E94FBCDABA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2022-11-07T10:11:02Z</dcterms:created>
  <dcterms:modified xsi:type="dcterms:W3CDTF">2022-11-07T10:11:08Z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C025A5607E97638034324677267736</vt:lpwstr>
  </property>
</Properties>
</file>