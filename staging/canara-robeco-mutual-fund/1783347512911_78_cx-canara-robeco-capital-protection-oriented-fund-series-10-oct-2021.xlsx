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Oct 21\"/>
    </mc:Choice>
  </mc:AlternateContent>
  <bookViews>
    <workbookView xWindow="0" yWindow="0" windowWidth="20490" windowHeight="7350"/>
  </bookViews>
  <sheets>
    <sheet name="CX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8" i="1" l="1"/>
  <c r="G49" i="1" s="1"/>
  <c r="F48" i="1"/>
  <c r="F49" i="1" s="1"/>
  <c r="G45" i="1"/>
  <c r="F45" i="1"/>
  <c r="G39" i="1"/>
  <c r="F39" i="1"/>
  <c r="G38" i="1"/>
  <c r="F38" i="1"/>
  <c r="G28" i="1"/>
  <c r="G50" i="1" s="1"/>
  <c r="F28" i="1"/>
  <c r="F50" i="1" s="1"/>
  <c r="G27" i="1"/>
  <c r="F27" i="1"/>
</calcChain>
</file>

<file path=xl/sharedStrings.xml><?xml version="1.0" encoding="utf-8"?>
<sst xmlns="http://schemas.openxmlformats.org/spreadsheetml/2006/main" count="124" uniqueCount="101">
  <si>
    <t>CANARA  ROBECO  CAPITAL  PROTECTION  ORIENTED FUND– SERIES 10</t>
  </si>
  <si>
    <t>Monthly Portfolio Statement as on October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</si>
  <si>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</si>
  <si>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</si>
  <si>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</si>
  <si>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</si>
  <si>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</si>
  <si>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</si>
  <si>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</si>
  <si>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Risk-o-meter Level- Sep'21</t>
  </si>
  <si>
    <t>Revised Risk-o-meter Level- Oct'21</t>
  </si>
  <si>
    <t>Benchmark Risk-o-meter Level- Oct'21</t>
  </si>
  <si>
    <t>Equity &amp; Equity related</t>
  </si>
  <si>
    <t>(a) Listed / awaiting listing on Stock Exchanges</t>
  </si>
  <si>
    <t>HDFC Bank Ltd</t>
  </si>
  <si>
    <t>INE040A01034</t>
  </si>
  <si>
    <t>Banks</t>
  </si>
  <si>
    <t>ICICI Bank Ltd</t>
  </si>
  <si>
    <t>INE090A01021</t>
  </si>
  <si>
    <t>Infosys Ltd</t>
  </si>
  <si>
    <t>INE009A01021</t>
  </si>
  <si>
    <t>Software</t>
  </si>
  <si>
    <t>Tata Consultancy Services Ltd</t>
  </si>
  <si>
    <t>INE467B01029</t>
  </si>
  <si>
    <t>Reliance Industries Ltd</t>
  </si>
  <si>
    <t>INE002A01018</t>
  </si>
  <si>
    <t>Petroleum Products</t>
  </si>
  <si>
    <t>Hindustan Unilever Ltd</t>
  </si>
  <si>
    <t>INE030A01027</t>
  </si>
  <si>
    <t>Consumer Non Durables</t>
  </si>
  <si>
    <t>Voltas Ltd</t>
  </si>
  <si>
    <t>INE226A01021</t>
  </si>
  <si>
    <t>Consumer Durables</t>
  </si>
  <si>
    <t>Benchmark: CRISIL Hybrid 85+15 - Conservative Index</t>
  </si>
  <si>
    <t>Larsen &amp; Toubro Ltd</t>
  </si>
  <si>
    <t>INE018A01030</t>
  </si>
  <si>
    <t>Construction Project</t>
  </si>
  <si>
    <t>Note: The risk-o-meter level of the scheme is revised based on the Notice-cum-Addendum No.36., dated 08th November 2021. However, there is no change in the product labelling of the scheme.</t>
  </si>
  <si>
    <t>Alkem Laboratories Ltd</t>
  </si>
  <si>
    <t>INE540L01014</t>
  </si>
  <si>
    <t>Pharmaceuticals</t>
  </si>
  <si>
    <t>Gujarat Gas Ltd</t>
  </si>
  <si>
    <t>INE844O01030</t>
  </si>
  <si>
    <t>Gas</t>
  </si>
  <si>
    <t>Bajaj Finance Ltd</t>
  </si>
  <si>
    <t>INE296A01024</t>
  </si>
  <si>
    <t>Finance</t>
  </si>
  <si>
    <t>Axis Bank Ltd</t>
  </si>
  <si>
    <t>INE238A01034</t>
  </si>
  <si>
    <t>Shree Cement Ltd</t>
  </si>
  <si>
    <t>INE070A01015</t>
  </si>
  <si>
    <t>Cement &amp; Cement Products</t>
  </si>
  <si>
    <t>Honeywell Automation India Ltd</t>
  </si>
  <si>
    <t>INE671A01010</t>
  </si>
  <si>
    <t>Industrial Capital Goods</t>
  </si>
  <si>
    <t>Ultratech Cement Ltd</t>
  </si>
  <si>
    <t>INE481G01011</t>
  </si>
  <si>
    <t>Kansai Nerolac Paints Ltd</t>
  </si>
  <si>
    <t>INE531A01024</t>
  </si>
  <si>
    <t>Bharat Forge Ltd</t>
  </si>
  <si>
    <t>INE465A01025</t>
  </si>
  <si>
    <t>Industrial Products</t>
  </si>
  <si>
    <t>Tata Consumer Products Ltd</t>
  </si>
  <si>
    <t>INE192A01025</t>
  </si>
  <si>
    <t>Mahindra &amp; Mahindra Ltd</t>
  </si>
  <si>
    <t>INE101A01026</t>
  </si>
  <si>
    <t>Auto</t>
  </si>
  <si>
    <t>Maruti Suzuki India Ltd</t>
  </si>
  <si>
    <t>INE585B01010</t>
  </si>
  <si>
    <t>Sub Total</t>
  </si>
  <si>
    <t>Total</t>
  </si>
  <si>
    <t>Debt Instruments</t>
  </si>
  <si>
    <t>8.58% Housing Development Finance Corporation Ltd (18/03/2022) **</t>
  </si>
  <si>
    <t>INE001A07RS3</t>
  </si>
  <si>
    <t>CRISIL AAA</t>
  </si>
  <si>
    <t>8.18% Power Finance Corporation Ltd (19/03/2022) **</t>
  </si>
  <si>
    <t>INE134E08JW1</t>
  </si>
  <si>
    <t>7.95% LIC Housing Finance Ltd (24/03/2022) **</t>
  </si>
  <si>
    <t>INE115A07LM7</t>
  </si>
  <si>
    <t>8.30% Reliance Industries Ltd (08/03/2022) **</t>
  </si>
  <si>
    <t>INE002A08575</t>
  </si>
  <si>
    <t>8.60% National Bank For Agriculture &amp; Rural Development (31/01/2022) **</t>
  </si>
  <si>
    <t>INE261F08AI7</t>
  </si>
  <si>
    <t>6.60% REC Ltd (21/03/2022) **</t>
  </si>
  <si>
    <t>INE020B08CV5</t>
  </si>
  <si>
    <t>9.43% LIC Housing Finance Ltd (10/02/2022) **</t>
  </si>
  <si>
    <t>INE115A07CA1</t>
  </si>
  <si>
    <t>Government Bonds</t>
  </si>
  <si>
    <t>8.21% Haryana SDL Uday 31-Mar-22</t>
  </si>
  <si>
    <t>IN1620150145</t>
  </si>
  <si>
    <t>Sovereign</t>
  </si>
  <si>
    <t>8.49% Punjab SDL Uday 31-Mar-22</t>
  </si>
  <si>
    <t>IN2820150273</t>
  </si>
  <si>
    <t>8.20% GOI (15/02/2022)</t>
  </si>
  <si>
    <t>IN0020060037</t>
  </si>
  <si>
    <t>8.99% GUJARAT SDL 14-MAR-22</t>
  </si>
  <si>
    <t>IN1520110132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</si>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</sst>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i/>
      <sz val="10"/>
      <name val="Taz SemiLight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4" fontId="2" fillId="3" borderId="0" xfId="0" applyNumberFormat="1" applyFont="1" applyFill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7" xfId="0" applyFont="1" applyFill="1" applyBorder="1"/>
    <xf numFmtId="0" fontId="2" fillId="3" borderId="7" xfId="0" applyNumberFormat="1" applyFont="1" applyFill="1" applyBorder="1"/>
    <xf numFmtId="4" fontId="2" fillId="3" borderId="7" xfId="0" applyNumberFormat="1" applyFont="1" applyFill="1" applyBorder="1"/>
    <xf numFmtId="4" fontId="2" fillId="3" borderId="8" xfId="0" applyNumberFormat="1" applyFont="1" applyFill="1" applyBorder="1"/>
    <xf numFmtId="0" fontId="2" fillId="3" borderId="9" xfId="0" applyFont="1" applyFill="1" applyBorder="1" applyAlignment="1">
      <alignment horizontal="center"/>
    </xf>
    <xf numFmtId="0" fontId="8" fillId="3" borderId="10" xfId="0" applyFont="1" applyFill="1" applyBorder="1"/>
    <xf numFmtId="0" fontId="2" fillId="3" borderId="11" xfId="0" applyFont="1" applyFill="1" applyBorder="1"/>
    <xf numFmtId="0" fontId="2" fillId="3" borderId="11" xfId="0" applyNumberFormat="1" applyFont="1" applyFill="1" applyBorder="1"/>
    <xf numFmtId="4" fontId="2" fillId="3" borderId="11" xfId="0" applyNumberFormat="1" applyFont="1" applyFill="1" applyBorder="1"/>
    <xf numFmtId="4" fontId="2" fillId="3" borderId="12" xfId="0" applyNumberFormat="1" applyFont="1" applyFill="1" applyBorder="1"/>
    <xf numFmtId="0" fontId="2" fillId="3" borderId="13" xfId="0" applyFont="1" applyFill="1" applyBorder="1" applyAlignment="1">
      <alignment horizontal="center"/>
    </xf>
    <xf numFmtId="0" fontId="2" fillId="3" borderId="10" xfId="0" applyFont="1" applyFill="1" applyBorder="1"/>
    <xf numFmtId="3" fontId="2" fillId="3" borderId="11" xfId="0" applyNumberFormat="1" applyFont="1" applyFill="1" applyBorder="1"/>
    <xf numFmtId="0" fontId="2" fillId="3" borderId="14" xfId="0" applyFont="1" applyFill="1" applyBorder="1" applyAlignment="1">
      <alignment horizontal="center"/>
    </xf>
    <xf numFmtId="0" fontId="9" fillId="4" borderId="0" xfId="0" applyFont="1" applyFill="1" applyBorder="1" applyAlignment="1">
      <alignment horizontal="left" wrapText="1"/>
    </xf>
    <xf numFmtId="0" fontId="8" fillId="3" borderId="15" xfId="0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7" xfId="0" applyNumberFormat="1" applyFont="1" applyFill="1" applyBorder="1"/>
    <xf numFmtId="4" fontId="8" fillId="3" borderId="18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4" fontId="8" fillId="3" borderId="0" xfId="0" applyNumberFormat="1" applyFont="1" applyFill="1"/>
    <xf numFmtId="0" fontId="8" fillId="3" borderId="20" xfId="0" applyFont="1" applyFill="1" applyBorder="1"/>
    <xf numFmtId="0" fontId="2" fillId="3" borderId="20" xfId="0" applyFont="1" applyFill="1" applyBorder="1"/>
    <xf numFmtId="0" fontId="2" fillId="3" borderId="20" xfId="0" applyNumberFormat="1" applyFont="1" applyFill="1" applyBorder="1"/>
    <xf numFmtId="4" fontId="2" fillId="3" borderId="20" xfId="0" applyNumberFormat="1" applyFont="1" applyFill="1" applyBorder="1"/>
    <xf numFmtId="0" fontId="8" fillId="3" borderId="11" xfId="0" applyFont="1" applyFill="1" applyBorder="1"/>
    <xf numFmtId="4" fontId="8" fillId="3" borderId="16" xfId="0" applyNumberFormat="1" applyFont="1" applyFill="1" applyBorder="1"/>
    <xf numFmtId="0" fontId="8" fillId="3" borderId="21" xfId="0" applyFont="1" applyFill="1" applyBorder="1"/>
    <xf numFmtId="0" fontId="8" fillId="3" borderId="21" xfId="0" applyNumberFormat="1" applyFont="1" applyFill="1" applyBorder="1"/>
    <xf numFmtId="4" fontId="8" fillId="3" borderId="21" xfId="0" applyNumberFormat="1" applyFont="1" applyFill="1" applyBorder="1"/>
    <xf numFmtId="0" fontId="2" fillId="3" borderId="22" xfId="0" applyFont="1" applyFill="1" applyBorder="1"/>
    <xf numFmtId="3" fontId="2" fillId="3" borderId="22" xfId="0" applyNumberFormat="1" applyFont="1" applyFill="1" applyBorder="1"/>
    <xf numFmtId="4" fontId="2" fillId="3" borderId="22" xfId="0" applyNumberFormat="1" applyFont="1" applyFill="1" applyBorder="1"/>
    <xf numFmtId="0" fontId="8" fillId="3" borderId="23" xfId="0" applyFont="1" applyFill="1" applyBorder="1"/>
    <xf numFmtId="0" fontId="8" fillId="3" borderId="23" xfId="0" applyNumberFormat="1" applyFont="1" applyFill="1" applyBorder="1"/>
    <xf numFmtId="4" fontId="8" fillId="3" borderId="23" xfId="0" applyNumberFormat="1" applyFont="1" applyFill="1" applyBorder="1"/>
    <xf numFmtId="0" fontId="8" fillId="3" borderId="24" xfId="0" applyFont="1" applyFill="1" applyBorder="1"/>
    <xf numFmtId="0" fontId="8" fillId="3" borderId="24" xfId="0" applyNumberFormat="1" applyFont="1" applyFill="1" applyBorder="1"/>
    <xf numFmtId="4" fontId="8" fillId="3" borderId="24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8" fillId="3" borderId="0" xfId="0" applyFont="1" applyFill="1"/>
    <xf numFmtId="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4</xdr:row>
      <xdr:rowOff>47625</xdr:rowOff>
    </xdr:from>
    <xdr:to>
      <xdr:col>9</xdr:col>
      <xdr:colOff>1647825</xdr:colOff>
      <xdr:row>11</xdr:row>
      <xdr:rowOff>133350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8425" y="105727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38100</xdr:colOff>
      <xdr:row>4</xdr:row>
      <xdr:rowOff>47625</xdr:rowOff>
    </xdr:from>
    <xdr:to>
      <xdr:col>11</xdr:col>
      <xdr:colOff>1657350</xdr:colOff>
      <xdr:row>11</xdr:row>
      <xdr:rowOff>142875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57275"/>
          <a:ext cx="16192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28575</xdr:colOff>
      <xdr:row>4</xdr:row>
      <xdr:rowOff>38100</xdr:rowOff>
    </xdr:from>
    <xdr:to>
      <xdr:col>10</xdr:col>
      <xdr:colOff>1638300</xdr:colOff>
      <xdr:row>11</xdr:row>
      <xdr:rowOff>133350</xdr:rowOff>
    </xdr:to>
    <xdr:pic>
      <xdr:nvPicPr>
        <xdr:cNvPr id="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3875" y="1047750"/>
          <a:ext cx="16097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tabSelected="1" workbookViewId="0">
      <selection activeCell="A4" sqref="A4"/>
    </sheetView>
  </sheetViews>
  <sheetFormatPr defaultRowHeight="12"/>
  <cols>
    <col min="1" max="1" width="9.140625" style="3"/>
    <col min="2" max="2" width="60.28515625" style="3" bestFit="1" customWidth="1"/>
    <col min="3" max="3" width="13.5703125" style="3" bestFit="1" customWidth="1"/>
    <col min="4" max="4" width="23.42578125" style="3" bestFit="1" customWidth="1"/>
    <col min="5" max="5" width="8.85546875" style="6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25.140625" style="3" customWidth="1"/>
    <col min="11" max="11" width="25" style="3" customWidth="1"/>
    <col min="12" max="12" width="25.5703125" style="3" customWidth="1"/>
    <col min="13" max="16384" width="9.140625" style="3"/>
  </cols>
  <sheetData>
    <row r="1" spans="2:14" ht="21" customHeight="1">
      <c r="B1" s="1" t="s">
        <v>0</v>
      </c>
      <c r="C1" s="2"/>
      <c r="D1" s="2"/>
      <c r="E1" s="2"/>
      <c r="F1" s="2"/>
      <c r="G1" s="2"/>
      <c r="H1" s="2"/>
    </row>
    <row r="3" spans="2:14" ht="16.5" thickBot="1">
      <c r="B3" s="4" t="s">
        <v>1</v>
      </c>
      <c r="C3" s="5"/>
      <c r="D3" s="6"/>
      <c r="E3" s="7"/>
      <c r="F3" s="8"/>
      <c r="G3" s="8"/>
    </row>
    <row r="4" spans="2:14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4">
      <c r="B5" s="16" t="s">
        <v>12</v>
      </c>
      <c r="C5" s="17"/>
      <c r="D5" s="17"/>
      <c r="E5" s="18"/>
      <c r="F5" s="19"/>
      <c r="G5" s="19"/>
      <c r="H5" s="20"/>
      <c r="J5" s="21"/>
      <c r="K5" s="21"/>
      <c r="L5" s="21"/>
    </row>
    <row r="6" spans="2:14">
      <c r="B6" s="22" t="s">
        <v>13</v>
      </c>
      <c r="C6" s="23"/>
      <c r="D6" s="23"/>
      <c r="E6" s="24"/>
      <c r="F6" s="25"/>
      <c r="G6" s="25"/>
      <c r="H6" s="26"/>
      <c r="J6" s="27"/>
      <c r="K6" s="27"/>
      <c r="L6" s="27"/>
    </row>
    <row r="7" spans="2:14">
      <c r="B7" s="28" t="s">
        <v>14</v>
      </c>
      <c r="C7" s="23" t="s">
        <v>15</v>
      </c>
      <c r="D7" s="23" t="s">
        <v>16</v>
      </c>
      <c r="E7" s="29">
        <v>21240</v>
      </c>
      <c r="F7" s="25">
        <v>336.2</v>
      </c>
      <c r="G7" s="25">
        <v>1.54</v>
      </c>
      <c r="H7" s="26"/>
      <c r="J7" s="27"/>
      <c r="K7" s="27"/>
      <c r="L7" s="27"/>
    </row>
    <row r="8" spans="2:14">
      <c r="B8" s="28" t="s">
        <v>17</v>
      </c>
      <c r="C8" s="23" t="s">
        <v>18</v>
      </c>
      <c r="D8" s="23" t="s">
        <v>16</v>
      </c>
      <c r="E8" s="29">
        <v>38500</v>
      </c>
      <c r="F8" s="25">
        <v>308.79000000000002</v>
      </c>
      <c r="G8" s="25">
        <v>1.42</v>
      </c>
      <c r="H8" s="26"/>
      <c r="J8" s="27"/>
      <c r="K8" s="27"/>
      <c r="L8" s="27"/>
    </row>
    <row r="9" spans="2:14">
      <c r="B9" s="28" t="s">
        <v>19</v>
      </c>
      <c r="C9" s="23" t="s">
        <v>20</v>
      </c>
      <c r="D9" s="23" t="s">
        <v>21</v>
      </c>
      <c r="E9" s="29">
        <v>14000</v>
      </c>
      <c r="F9" s="25">
        <v>233.49</v>
      </c>
      <c r="G9" s="25">
        <v>1.07</v>
      </c>
      <c r="H9" s="26"/>
      <c r="J9" s="27"/>
      <c r="K9" s="27"/>
      <c r="L9" s="27"/>
    </row>
    <row r="10" spans="2:14">
      <c r="B10" s="28" t="s">
        <v>22</v>
      </c>
      <c r="C10" s="23" t="s">
        <v>23</v>
      </c>
      <c r="D10" s="23" t="s">
        <v>21</v>
      </c>
      <c r="E10" s="29">
        <v>4928</v>
      </c>
      <c r="F10" s="25">
        <v>167.44</v>
      </c>
      <c r="G10" s="25">
        <v>0.77</v>
      </c>
      <c r="H10" s="26"/>
      <c r="J10" s="27"/>
      <c r="K10" s="27"/>
      <c r="L10" s="27"/>
    </row>
    <row r="11" spans="2:14">
      <c r="B11" s="28" t="s">
        <v>24</v>
      </c>
      <c r="C11" s="23" t="s">
        <v>25</v>
      </c>
      <c r="D11" s="23" t="s">
        <v>26</v>
      </c>
      <c r="E11" s="29">
        <v>5500</v>
      </c>
      <c r="F11" s="25">
        <v>139.49</v>
      </c>
      <c r="G11" s="25">
        <v>0.64</v>
      </c>
      <c r="H11" s="26"/>
      <c r="J11" s="27"/>
      <c r="K11" s="27"/>
      <c r="L11" s="27"/>
    </row>
    <row r="12" spans="2:14">
      <c r="B12" s="28" t="s">
        <v>27</v>
      </c>
      <c r="C12" s="23" t="s">
        <v>28</v>
      </c>
      <c r="D12" s="23" t="s">
        <v>29</v>
      </c>
      <c r="E12" s="29">
        <v>5730</v>
      </c>
      <c r="F12" s="25">
        <v>137.13</v>
      </c>
      <c r="G12" s="25">
        <v>0.63</v>
      </c>
      <c r="H12" s="26"/>
      <c r="J12" s="30"/>
      <c r="K12" s="30"/>
      <c r="L12" s="30"/>
    </row>
    <row r="13" spans="2:14">
      <c r="B13" s="28" t="s">
        <v>30</v>
      </c>
      <c r="C13" s="23" t="s">
        <v>31</v>
      </c>
      <c r="D13" s="23" t="s">
        <v>32</v>
      </c>
      <c r="E13" s="29">
        <v>9400</v>
      </c>
      <c r="F13" s="25">
        <v>113.23</v>
      </c>
      <c r="G13" s="25">
        <v>0.52</v>
      </c>
      <c r="H13" s="26"/>
      <c r="L13" s="3" t="s">
        <v>33</v>
      </c>
    </row>
    <row r="14" spans="2:14" ht="12" customHeight="1">
      <c r="B14" s="28" t="s">
        <v>34</v>
      </c>
      <c r="C14" s="23" t="s">
        <v>35</v>
      </c>
      <c r="D14" s="23" t="s">
        <v>36</v>
      </c>
      <c r="E14" s="29">
        <v>6370</v>
      </c>
      <c r="F14" s="25">
        <v>112.54</v>
      </c>
      <c r="G14" s="25">
        <v>0.52</v>
      </c>
      <c r="H14" s="26"/>
      <c r="J14" s="31" t="s">
        <v>37</v>
      </c>
      <c r="K14" s="31"/>
      <c r="L14" s="31"/>
      <c r="M14" s="31"/>
      <c r="N14" s="31"/>
    </row>
    <row r="15" spans="2:14" ht="12" customHeight="1">
      <c r="B15" s="28" t="s">
        <v>38</v>
      </c>
      <c r="C15" s="23" t="s">
        <v>39</v>
      </c>
      <c r="D15" s="23" t="s">
        <v>40</v>
      </c>
      <c r="E15" s="29">
        <v>3000</v>
      </c>
      <c r="F15" s="25">
        <v>108.32</v>
      </c>
      <c r="G15" s="25">
        <v>0.5</v>
      </c>
      <c r="H15" s="26"/>
      <c r="J15" s="31"/>
      <c r="K15" s="31"/>
      <c r="L15" s="31"/>
      <c r="M15" s="31"/>
      <c r="N15" s="31"/>
    </row>
    <row r="16" spans="2:14">
      <c r="B16" s="28" t="s">
        <v>41</v>
      </c>
      <c r="C16" s="23" t="s">
        <v>42</v>
      </c>
      <c r="D16" s="23" t="s">
        <v>43</v>
      </c>
      <c r="E16" s="29">
        <v>15000</v>
      </c>
      <c r="F16" s="25">
        <v>93.35</v>
      </c>
      <c r="G16" s="25">
        <v>0.43</v>
      </c>
      <c r="H16" s="26"/>
    </row>
    <row r="17" spans="2:8">
      <c r="B17" s="28" t="s">
        <v>44</v>
      </c>
      <c r="C17" s="23" t="s">
        <v>45</v>
      </c>
      <c r="D17" s="23" t="s">
        <v>46</v>
      </c>
      <c r="E17" s="29">
        <v>1250</v>
      </c>
      <c r="F17" s="25">
        <v>92.5</v>
      </c>
      <c r="G17" s="25">
        <v>0.42</v>
      </c>
      <c r="H17" s="26"/>
    </row>
    <row r="18" spans="2:8">
      <c r="B18" s="28" t="s">
        <v>47</v>
      </c>
      <c r="C18" s="23" t="s">
        <v>48</v>
      </c>
      <c r="D18" s="23" t="s">
        <v>16</v>
      </c>
      <c r="E18" s="29">
        <v>12330</v>
      </c>
      <c r="F18" s="25">
        <v>91.49</v>
      </c>
      <c r="G18" s="25">
        <v>0.42</v>
      </c>
      <c r="H18" s="26"/>
    </row>
    <row r="19" spans="2:8">
      <c r="B19" s="28" t="s">
        <v>49</v>
      </c>
      <c r="C19" s="23" t="s">
        <v>50</v>
      </c>
      <c r="D19" s="23" t="s">
        <v>51</v>
      </c>
      <c r="E19" s="29">
        <v>300</v>
      </c>
      <c r="F19" s="25">
        <v>85.91</v>
      </c>
      <c r="G19" s="25">
        <v>0.39</v>
      </c>
      <c r="H19" s="26"/>
    </row>
    <row r="20" spans="2:8">
      <c r="B20" s="28" t="s">
        <v>52</v>
      </c>
      <c r="C20" s="23" t="s">
        <v>53</v>
      </c>
      <c r="D20" s="23" t="s">
        <v>54</v>
      </c>
      <c r="E20" s="29">
        <v>165</v>
      </c>
      <c r="F20" s="25">
        <v>69.19</v>
      </c>
      <c r="G20" s="25">
        <v>0.32</v>
      </c>
      <c r="H20" s="26"/>
    </row>
    <row r="21" spans="2:8">
      <c r="B21" s="28" t="s">
        <v>55</v>
      </c>
      <c r="C21" s="23" t="s">
        <v>56</v>
      </c>
      <c r="D21" s="23" t="s">
        <v>51</v>
      </c>
      <c r="E21" s="29">
        <v>900</v>
      </c>
      <c r="F21" s="25">
        <v>68.72</v>
      </c>
      <c r="G21" s="25">
        <v>0.32</v>
      </c>
      <c r="H21" s="26"/>
    </row>
    <row r="22" spans="2:8">
      <c r="B22" s="28" t="s">
        <v>57</v>
      </c>
      <c r="C22" s="23" t="s">
        <v>58</v>
      </c>
      <c r="D22" s="23" t="s">
        <v>29</v>
      </c>
      <c r="E22" s="29">
        <v>12500</v>
      </c>
      <c r="F22" s="25">
        <v>68.13</v>
      </c>
      <c r="G22" s="25">
        <v>0.31</v>
      </c>
      <c r="H22" s="26"/>
    </row>
    <row r="23" spans="2:8">
      <c r="B23" s="28" t="s">
        <v>59</v>
      </c>
      <c r="C23" s="23" t="s">
        <v>60</v>
      </c>
      <c r="D23" s="23" t="s">
        <v>61</v>
      </c>
      <c r="E23" s="29">
        <v>8000</v>
      </c>
      <c r="F23" s="25">
        <v>61.37</v>
      </c>
      <c r="G23" s="25">
        <v>0.28000000000000003</v>
      </c>
      <c r="H23" s="26"/>
    </row>
    <row r="24" spans="2:8">
      <c r="B24" s="28" t="s">
        <v>62</v>
      </c>
      <c r="C24" s="23" t="s">
        <v>63</v>
      </c>
      <c r="D24" s="23" t="s">
        <v>29</v>
      </c>
      <c r="E24" s="29">
        <v>7500</v>
      </c>
      <c r="F24" s="25">
        <v>60.71</v>
      </c>
      <c r="G24" s="25">
        <v>0.28000000000000003</v>
      </c>
      <c r="H24" s="26"/>
    </row>
    <row r="25" spans="2:8">
      <c r="B25" s="28" t="s">
        <v>64</v>
      </c>
      <c r="C25" s="23" t="s">
        <v>65</v>
      </c>
      <c r="D25" s="23" t="s">
        <v>66</v>
      </c>
      <c r="E25" s="29">
        <v>6500</v>
      </c>
      <c r="F25" s="25">
        <v>57.48</v>
      </c>
      <c r="G25" s="25">
        <v>0.26</v>
      </c>
      <c r="H25" s="26"/>
    </row>
    <row r="26" spans="2:8">
      <c r="B26" s="28" t="s">
        <v>67</v>
      </c>
      <c r="C26" s="23" t="s">
        <v>68</v>
      </c>
      <c r="D26" s="23" t="s">
        <v>66</v>
      </c>
      <c r="E26" s="29">
        <v>500</v>
      </c>
      <c r="F26" s="25">
        <v>37.409999999999997</v>
      </c>
      <c r="G26" s="25">
        <v>0.17</v>
      </c>
      <c r="H26" s="26"/>
    </row>
    <row r="27" spans="2:8">
      <c r="B27" s="32" t="s">
        <v>69</v>
      </c>
      <c r="C27" s="33"/>
      <c r="D27" s="33"/>
      <c r="E27" s="34"/>
      <c r="F27" s="35">
        <f>SUM(F7:F26)</f>
        <v>2442.8899999999994</v>
      </c>
      <c r="G27" s="35">
        <f>SUM(G7:G26)</f>
        <v>11.209999999999999</v>
      </c>
      <c r="H27" s="36"/>
    </row>
    <row r="28" spans="2:8">
      <c r="B28" s="37" t="s">
        <v>70</v>
      </c>
      <c r="C28" s="37"/>
      <c r="D28" s="37"/>
      <c r="E28" s="38"/>
      <c r="F28" s="39">
        <f>F27</f>
        <v>2442.8899999999994</v>
      </c>
      <c r="G28" s="39">
        <f>G27</f>
        <v>11.209999999999999</v>
      </c>
      <c r="H28" s="40"/>
    </row>
    <row r="29" spans="2:8">
      <c r="B29" s="41" t="s">
        <v>71</v>
      </c>
      <c r="C29" s="42"/>
      <c r="D29" s="42"/>
      <c r="E29" s="43"/>
      <c r="F29" s="44"/>
      <c r="G29" s="44"/>
      <c r="H29" s="44"/>
    </row>
    <row r="30" spans="2:8">
      <c r="B30" s="45" t="s">
        <v>13</v>
      </c>
      <c r="C30" s="23"/>
      <c r="D30" s="23"/>
      <c r="E30" s="24"/>
      <c r="F30" s="25"/>
      <c r="G30" s="25"/>
      <c r="H30" s="25"/>
    </row>
    <row r="31" spans="2:8">
      <c r="B31" s="23" t="s">
        <v>72</v>
      </c>
      <c r="C31" s="23" t="s">
        <v>73</v>
      </c>
      <c r="D31" s="23" t="s">
        <v>74</v>
      </c>
      <c r="E31" s="29">
        <v>200</v>
      </c>
      <c r="F31" s="25">
        <v>2032.41</v>
      </c>
      <c r="G31" s="25">
        <v>9.32</v>
      </c>
      <c r="H31" s="25">
        <v>4.0199999999999996</v>
      </c>
    </row>
    <row r="32" spans="2:8">
      <c r="B32" s="23" t="s">
        <v>75</v>
      </c>
      <c r="C32" s="23" t="s">
        <v>76</v>
      </c>
      <c r="D32" s="23" t="s">
        <v>74</v>
      </c>
      <c r="E32" s="29">
        <v>150</v>
      </c>
      <c r="F32" s="25">
        <v>1522.69</v>
      </c>
      <c r="G32" s="25">
        <v>6.98</v>
      </c>
      <c r="H32" s="25">
        <v>3.95</v>
      </c>
    </row>
    <row r="33" spans="2:8">
      <c r="B33" s="23" t="s">
        <v>77</v>
      </c>
      <c r="C33" s="23" t="s">
        <v>78</v>
      </c>
      <c r="D33" s="23" t="s">
        <v>74</v>
      </c>
      <c r="E33" s="29">
        <v>150</v>
      </c>
      <c r="F33" s="25">
        <v>1521.65</v>
      </c>
      <c r="G33" s="25">
        <v>6.97</v>
      </c>
      <c r="H33" s="25">
        <v>4.04</v>
      </c>
    </row>
    <row r="34" spans="2:8">
      <c r="B34" s="23" t="s">
        <v>79</v>
      </c>
      <c r="C34" s="23" t="s">
        <v>80</v>
      </c>
      <c r="D34" s="23" t="s">
        <v>74</v>
      </c>
      <c r="E34" s="29">
        <v>150</v>
      </c>
      <c r="F34" s="25">
        <v>1521.57</v>
      </c>
      <c r="G34" s="25">
        <v>6.97</v>
      </c>
      <c r="H34" s="25">
        <v>3.93</v>
      </c>
    </row>
    <row r="35" spans="2:8">
      <c r="B35" s="23" t="s">
        <v>81</v>
      </c>
      <c r="C35" s="23" t="s">
        <v>82</v>
      </c>
      <c r="D35" s="23" t="s">
        <v>74</v>
      </c>
      <c r="E35" s="29">
        <v>140</v>
      </c>
      <c r="F35" s="25">
        <v>1415.92</v>
      </c>
      <c r="G35" s="25">
        <v>6.49</v>
      </c>
      <c r="H35" s="25">
        <v>3.8</v>
      </c>
    </row>
    <row r="36" spans="2:8">
      <c r="B36" s="23" t="s">
        <v>83</v>
      </c>
      <c r="C36" s="23" t="s">
        <v>84</v>
      </c>
      <c r="D36" s="23" t="s">
        <v>74</v>
      </c>
      <c r="E36" s="29">
        <v>100</v>
      </c>
      <c r="F36" s="25">
        <v>1009.53</v>
      </c>
      <c r="G36" s="25">
        <v>4.63</v>
      </c>
      <c r="H36" s="25">
        <v>3.94</v>
      </c>
    </row>
    <row r="37" spans="2:8">
      <c r="B37" s="23" t="s">
        <v>85</v>
      </c>
      <c r="C37" s="23" t="s">
        <v>86</v>
      </c>
      <c r="D37" s="23" t="s">
        <v>74</v>
      </c>
      <c r="E37" s="29">
        <v>50</v>
      </c>
      <c r="F37" s="25">
        <v>507.04</v>
      </c>
      <c r="G37" s="25">
        <v>2.3199999999999998</v>
      </c>
      <c r="H37" s="25">
        <v>4.0599999999999996</v>
      </c>
    </row>
    <row r="38" spans="2:8">
      <c r="B38" s="33" t="s">
        <v>69</v>
      </c>
      <c r="C38" s="33"/>
      <c r="D38" s="33"/>
      <c r="E38" s="34"/>
      <c r="F38" s="35">
        <f>SUM(F30:F37)</f>
        <v>9530.8100000000013</v>
      </c>
      <c r="G38" s="35">
        <f>SUM(G30:G37)</f>
        <v>43.68</v>
      </c>
      <c r="H38" s="46"/>
    </row>
    <row r="39" spans="2:8">
      <c r="B39" s="47" t="s">
        <v>70</v>
      </c>
      <c r="C39" s="47"/>
      <c r="D39" s="47"/>
      <c r="E39" s="48"/>
      <c r="F39" s="49">
        <f>F38</f>
        <v>9530.8100000000013</v>
      </c>
      <c r="G39" s="49">
        <f>G38</f>
        <v>43.68</v>
      </c>
      <c r="H39" s="49"/>
    </row>
    <row r="40" spans="2:8">
      <c r="B40" s="45" t="s">
        <v>87</v>
      </c>
      <c r="C40" s="23"/>
      <c r="D40" s="23"/>
      <c r="E40" s="24"/>
      <c r="F40" s="25"/>
      <c r="G40" s="25"/>
      <c r="H40" s="25"/>
    </row>
    <row r="41" spans="2:8">
      <c r="B41" s="23" t="s">
        <v>88</v>
      </c>
      <c r="C41" s="23" t="s">
        <v>89</v>
      </c>
      <c r="D41" s="23" t="s">
        <v>90</v>
      </c>
      <c r="E41" s="29">
        <v>4200000</v>
      </c>
      <c r="F41" s="25">
        <v>4271.3999999999996</v>
      </c>
      <c r="G41" s="25">
        <v>19.579999999999998</v>
      </c>
      <c r="H41" s="25">
        <v>4.0199999999999996</v>
      </c>
    </row>
    <row r="42" spans="2:8">
      <c r="B42" s="23" t="s">
        <v>91</v>
      </c>
      <c r="C42" s="23" t="s">
        <v>92</v>
      </c>
      <c r="D42" s="23" t="s">
        <v>90</v>
      </c>
      <c r="E42" s="29">
        <v>2200000</v>
      </c>
      <c r="F42" s="25">
        <v>2239.59</v>
      </c>
      <c r="G42" s="25">
        <v>10.27</v>
      </c>
      <c r="H42" s="25">
        <v>4.05</v>
      </c>
    </row>
    <row r="43" spans="2:8">
      <c r="B43" s="23" t="s">
        <v>93</v>
      </c>
      <c r="C43" s="23" t="s">
        <v>94</v>
      </c>
      <c r="D43" s="23" t="s">
        <v>90</v>
      </c>
      <c r="E43" s="29">
        <v>400000</v>
      </c>
      <c r="F43" s="25">
        <v>404.87</v>
      </c>
      <c r="G43" s="25">
        <v>1.86</v>
      </c>
      <c r="H43" s="25">
        <v>3.89</v>
      </c>
    </row>
    <row r="44" spans="2:8">
      <c r="B44" s="50" t="s">
        <v>95</v>
      </c>
      <c r="C44" s="50" t="s">
        <v>96</v>
      </c>
      <c r="D44" s="50" t="s">
        <v>90</v>
      </c>
      <c r="E44" s="51">
        <v>220000</v>
      </c>
      <c r="F44" s="52">
        <v>224.13</v>
      </c>
      <c r="G44" s="52">
        <v>1.03</v>
      </c>
      <c r="H44" s="52">
        <v>3.8</v>
      </c>
    </row>
    <row r="45" spans="2:8">
      <c r="B45" s="53" t="s">
        <v>70</v>
      </c>
      <c r="C45" s="53"/>
      <c r="D45" s="53"/>
      <c r="E45" s="54"/>
      <c r="F45" s="55">
        <f>SUM(F41:F44)</f>
        <v>7139.99</v>
      </c>
      <c r="G45" s="55">
        <f>SUM(G41:G44)</f>
        <v>32.739999999999995</v>
      </c>
      <c r="H45" s="55"/>
    </row>
    <row r="46" spans="2:8">
      <c r="B46" s="45" t="s">
        <v>97</v>
      </c>
      <c r="C46" s="23"/>
      <c r="D46" s="23"/>
      <c r="E46" s="24"/>
      <c r="F46" s="25"/>
      <c r="G46" s="25"/>
      <c r="H46" s="25"/>
    </row>
    <row r="47" spans="2:8">
      <c r="B47" s="23" t="s">
        <v>97</v>
      </c>
      <c r="C47" s="23"/>
      <c r="D47" s="23"/>
      <c r="E47" s="24"/>
      <c r="F47" s="25">
        <v>1813.76</v>
      </c>
      <c r="G47" s="25">
        <v>8.31</v>
      </c>
      <c r="H47" s="25"/>
    </row>
    <row r="48" spans="2:8">
      <c r="B48" s="33" t="s">
        <v>69</v>
      </c>
      <c r="C48" s="33"/>
      <c r="D48" s="33"/>
      <c r="E48" s="34"/>
      <c r="F48" s="35">
        <f>SUM(F46:F47)</f>
        <v>1813.76</v>
      </c>
      <c r="G48" s="35">
        <f>SUM(G46:G47)</f>
        <v>8.31</v>
      </c>
      <c r="H48" s="46"/>
    </row>
    <row r="49" spans="2:8">
      <c r="B49" s="56" t="s">
        <v>70</v>
      </c>
      <c r="C49" s="56"/>
      <c r="D49" s="56"/>
      <c r="E49" s="57"/>
      <c r="F49" s="58">
        <f>F48</f>
        <v>1813.76</v>
      </c>
      <c r="G49" s="58">
        <f>G48</f>
        <v>8.31</v>
      </c>
      <c r="H49" s="58"/>
    </row>
    <row r="50" spans="2:8">
      <c r="B50" s="59" t="s">
        <v>98</v>
      </c>
      <c r="C50" s="59"/>
      <c r="D50" s="59"/>
      <c r="E50" s="60"/>
      <c r="F50" s="61">
        <f>F51-(+F28+F39+F45+F49)</f>
        <v>889</v>
      </c>
      <c r="G50" s="61">
        <f>G51-(+G28+G39+G45+G49)</f>
        <v>4.0600000000000023</v>
      </c>
      <c r="H50" s="61"/>
    </row>
    <row r="51" spans="2:8">
      <c r="B51" s="59" t="s">
        <v>99</v>
      </c>
      <c r="C51" s="59"/>
      <c r="D51" s="59"/>
      <c r="E51" s="60"/>
      <c r="F51" s="61">
        <v>21816.45</v>
      </c>
      <c r="G51" s="61">
        <v>100</v>
      </c>
      <c r="H51" s="61"/>
    </row>
    <row r="53" spans="2:8">
      <c r="B53" s="62" t="s">
        <v>100</v>
      </c>
    </row>
  </sheetData>
  <mergeCells count="5">
    <mergeCell ref="B1:H1"/>
    <mergeCell ref="J5:J12"/>
    <mergeCell ref="K5:K12"/>
    <mergeCell ref="L5:L12"/>
    <mergeCell ref="J14:N15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2021-11-08T10:39:58Z</dcterms:created>
  <dcterms:modified xsi:type="dcterms:W3CDTF">2021-11-08T10:40:01Z</dcterms:modified>
</cp:coreProperties>
</file>