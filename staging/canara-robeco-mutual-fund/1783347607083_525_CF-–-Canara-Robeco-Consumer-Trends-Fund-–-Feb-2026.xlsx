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6F603E99-854E-48FE-9C37-5508D72105AC}" xr6:coauthVersionLast="47" xr6:coauthVersionMax="47" xr10:uidLastSave="{00000000-0000-0000-0000-000000000000}"/>
  <bookViews>
    <workbookView xWindow="-120" yWindow="-120" windowWidth="20730" windowHeight="11040" xr2:uid="{7A6EF066-9E87-45C1-9AC4-226B9BF1A103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3" i="1"/>
  <c r="G58" i="1" s="1"/>
  <c r="G52" i="1"/>
  <c r="F52" i="1"/>
  <c r="F53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<sst xmlns="http://schemas.openxmlformats.org/spreadsheetml/2006/main" count="208" uniqueCount="139">
  <si>
    <t>CANARA ROBECO CONSUMER TRENDS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</si>
  <si>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</si>
  <si>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</si>
  <si>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</si>
  <si>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</si>
  <si>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</si>
  <si>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</si>
  <si>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</si>
  <si>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</si>
  <si>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</si>
  <si>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</si>
  <si>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</si>
  <si>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</si>
  <si>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</si>
  <si>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</si>
  <si>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</si>
  <si>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</si>
  <si>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</si>
  <si>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</si>
  <si>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Maruti Suzuki India Ltd</t>
  </si>
  <si>
    <t>INE585B01010</t>
  </si>
  <si>
    <t>Automobiles</t>
  </si>
  <si>
    <t>Bharti Airtel Ltd</t>
  </si>
  <si>
    <t>INE397D01024</t>
  </si>
  <si>
    <t>Telecom - Services</t>
  </si>
  <si>
    <t>Bajaj Finance Ltd</t>
  </si>
  <si>
    <t>INE296A01032</t>
  </si>
  <si>
    <t>Finance</t>
  </si>
  <si>
    <t>Mahindra &amp; Mahindra Ltd</t>
  </si>
  <si>
    <t>INE101A01026</t>
  </si>
  <si>
    <t>ITC Ltd</t>
  </si>
  <si>
    <t>INE154A01025</t>
  </si>
  <si>
    <t>Diversified FMCG</t>
  </si>
  <si>
    <t>Britannia Industries Ltd</t>
  </si>
  <si>
    <t>INE216A01030</t>
  </si>
  <si>
    <t>Food Products</t>
  </si>
  <si>
    <t>Benchmark: BSE 100 TRI</t>
  </si>
  <si>
    <t>Eternal Ltd</t>
  </si>
  <si>
    <t>INE758T01015</t>
  </si>
  <si>
    <t>Retailing</t>
  </si>
  <si>
    <t>Godrej Consumer Products Ltd</t>
  </si>
  <si>
    <t>INE102D01028</t>
  </si>
  <si>
    <t>Personal Products</t>
  </si>
  <si>
    <t>Varun Beverages Ltd</t>
  </si>
  <si>
    <t>INE200M01039</t>
  </si>
  <si>
    <t>Beverages</t>
  </si>
  <si>
    <t>KEI Industries Ltd</t>
  </si>
  <si>
    <t>INE878B01027</t>
  </si>
  <si>
    <t>Industrial Products</t>
  </si>
  <si>
    <t>Mid Cap</t>
  </si>
  <si>
    <t>ICICI Bank Ltd</t>
  </si>
  <si>
    <t>INE090A01021</t>
  </si>
  <si>
    <t>Titan Co Ltd</t>
  </si>
  <si>
    <t>INE280A01028</t>
  </si>
  <si>
    <t>Consumer Durables</t>
  </si>
  <si>
    <t>Samvardhana Motherson International Ltd</t>
  </si>
  <si>
    <t>INE775A01035</t>
  </si>
  <si>
    <t>Auto Components</t>
  </si>
  <si>
    <t>United Spirits Ltd</t>
  </si>
  <si>
    <t>INE854D01024</t>
  </si>
  <si>
    <t>BSE Ltd</t>
  </si>
  <si>
    <t>INE118H01025</t>
  </si>
  <si>
    <t>Capital Markets</t>
  </si>
  <si>
    <t>Jubilant Foodworks Ltd</t>
  </si>
  <si>
    <t>INE797F01020</t>
  </si>
  <si>
    <t>Leisure Services</t>
  </si>
  <si>
    <t>Max Financial Services Ltd</t>
  </si>
  <si>
    <t>INE180A01020</t>
  </si>
  <si>
    <t>Insurance</t>
  </si>
  <si>
    <t>FSN E-Commerce Ventures Ltd</t>
  </si>
  <si>
    <t>INE388Y01029</t>
  </si>
  <si>
    <t>Voltas Ltd</t>
  </si>
  <si>
    <t>INE226A01021</t>
  </si>
  <si>
    <t>Indian Bank</t>
  </si>
  <si>
    <t>INE562A01011</t>
  </si>
  <si>
    <t>Asian Paints Ltd</t>
  </si>
  <si>
    <t>INE021A01026</t>
  </si>
  <si>
    <t>Cholamandalam Financial Holdings Ltd</t>
  </si>
  <si>
    <t>INE149A01033</t>
  </si>
  <si>
    <t>Trent Ltd</t>
  </si>
  <si>
    <t>INE849A01020</t>
  </si>
  <si>
    <t>Interglobe Aviation Ltd</t>
  </si>
  <si>
    <t>INE646L01027</t>
  </si>
  <si>
    <t>Transport Services</t>
  </si>
  <si>
    <t>United Breweries Ltd</t>
  </si>
  <si>
    <t>INE686F01025</t>
  </si>
  <si>
    <t>Crompton Greaves Consumer Electricals Ltd</t>
  </si>
  <si>
    <t>INE299U01018</t>
  </si>
  <si>
    <t>Small Cap</t>
  </si>
  <si>
    <t>Vishal Mega Mart Ltd</t>
  </si>
  <si>
    <t>INE01EA01019</t>
  </si>
  <si>
    <t>SBI Life Insurance Co Ltd</t>
  </si>
  <si>
    <t>INE123W01016</t>
  </si>
  <si>
    <t>J.B. Chemicals &amp; Pharmaceuticals Ltd</t>
  </si>
  <si>
    <t>INE572A01036</t>
  </si>
  <si>
    <t>Pharmaceuticals &amp; Biotechnology</t>
  </si>
  <si>
    <t>Info Edge (India) Ltd</t>
  </si>
  <si>
    <t>INE663F01032</t>
  </si>
  <si>
    <t>Lenskart Solutions Ltd</t>
  </si>
  <si>
    <t>INE956O01016</t>
  </si>
  <si>
    <t>PNB Housing Finance Ltd</t>
  </si>
  <si>
    <t>INE572E01012</t>
  </si>
  <si>
    <t>Indian Hotels Co Ltd</t>
  </si>
  <si>
    <t>INE053A01029</t>
  </si>
  <si>
    <t>Arvind Fashions Ltd</t>
  </si>
  <si>
    <t>INE955V01021</t>
  </si>
  <si>
    <t>Mrs Bectors Food Specialities Ltd</t>
  </si>
  <si>
    <t>INE495P01020</t>
  </si>
  <si>
    <t>Jyothy Labs Ltd</t>
  </si>
  <si>
    <t>INE668F01031</t>
  </si>
  <si>
    <t>Household Products</t>
  </si>
  <si>
    <t>EIH Ltd</t>
  </si>
  <si>
    <t>INE230A01023</t>
  </si>
  <si>
    <t>One 97 Communications Ltd</t>
  </si>
  <si>
    <t>INE982J01020</t>
  </si>
  <si>
    <t>Financial Technology (Fintech)</t>
  </si>
  <si>
    <t>Angel One Ltd</t>
  </si>
  <si>
    <t>INE732I01021</t>
  </si>
  <si>
    <t>PVR Inox Ltd</t>
  </si>
  <si>
    <t>INE191H01014</t>
  </si>
  <si>
    <t>Entertainment</t>
  </si>
  <si>
    <t>Tata Motors Ltd</t>
  </si>
  <si>
    <t>INE1TAE01010</t>
  </si>
  <si>
    <t>Agricultural, Commercial &amp; Construction Vehicles</t>
  </si>
  <si>
    <t>Tata Motors Passenger Vehicles Ltd</t>
  </si>
  <si>
    <t>INE155A01022</t>
  </si>
  <si>
    <t>Vedant Fashions Ltd</t>
  </si>
  <si>
    <t>INE825V01034</t>
  </si>
  <si>
    <t>Shoppers Stop Ltd</t>
  </si>
  <si>
    <t>INE498B01024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</si>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</sst>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933D-4CE8-493A-90B1-4F404CF943A2}">
  <dimension ref="B1:N66"/>
  <sheetViews>
    <sheetView tabSelected="1" topLeftCell="L1" workbookViewId="0">
      <selection activeCell="S1" sqref="S1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5703125" style="4" bestFit="1" customWidth="1"/>
    <col min="4" max="4" width="40.425781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1274000</v>
      </c>
      <c r="F7" s="20">
        <v>11309.94</v>
      </c>
      <c r="G7" s="20">
        <v>5.8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21</v>
      </c>
      <c r="E8" s="23">
        <v>64500</v>
      </c>
      <c r="F8" s="20">
        <v>9582.77</v>
      </c>
      <c r="G8" s="20">
        <v>4.91</v>
      </c>
      <c r="H8" s="20" t="s">
        <v>18</v>
      </c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503000</v>
      </c>
      <c r="F9" s="20">
        <v>9452.8799999999992</v>
      </c>
      <c r="G9" s="20">
        <v>4.8499999999999996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830000</v>
      </c>
      <c r="F10" s="20">
        <v>8265.9699999999993</v>
      </c>
      <c r="G10" s="20">
        <v>4.24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21</v>
      </c>
      <c r="E11" s="23">
        <v>240000</v>
      </c>
      <c r="F11" s="20">
        <v>8153.76</v>
      </c>
      <c r="G11" s="20">
        <v>4.18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32</v>
      </c>
      <c r="E12" s="23">
        <v>2600000</v>
      </c>
      <c r="F12" s="20">
        <v>8153.6</v>
      </c>
      <c r="G12" s="20">
        <v>4.18</v>
      </c>
      <c r="H12" s="20" t="s">
        <v>18</v>
      </c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128500</v>
      </c>
      <c r="F13" s="20">
        <v>7713.21</v>
      </c>
      <c r="G13" s="20">
        <v>3.96</v>
      </c>
      <c r="H13" s="20" t="s">
        <v>18</v>
      </c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3000000</v>
      </c>
      <c r="F14" s="20">
        <v>7389</v>
      </c>
      <c r="G14" s="20">
        <v>3.79</v>
      </c>
      <c r="H14" s="20" t="s">
        <v>18</v>
      </c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498000</v>
      </c>
      <c r="F15" s="20">
        <v>6063.15</v>
      </c>
      <c r="G15" s="20">
        <v>3.11</v>
      </c>
      <c r="H15" s="20" t="s">
        <v>18</v>
      </c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1300000</v>
      </c>
      <c r="F16" s="20">
        <v>5868.2</v>
      </c>
      <c r="G16" s="20">
        <v>3.01</v>
      </c>
      <c r="H16" s="20" t="s">
        <v>18</v>
      </c>
    </row>
    <row r="17" spans="2:8" x14ac:dyDescent="0.2">
      <c r="B17" s="22" t="s">
        <v>46</v>
      </c>
      <c r="C17" s="19" t="s">
        <v>47</v>
      </c>
      <c r="D17" s="19" t="s">
        <v>48</v>
      </c>
      <c r="E17" s="23">
        <v>109000</v>
      </c>
      <c r="F17" s="20">
        <v>5537.64</v>
      </c>
      <c r="G17" s="20">
        <v>2.84</v>
      </c>
      <c r="H17" s="20" t="s">
        <v>49</v>
      </c>
    </row>
    <row r="18" spans="2:8" x14ac:dyDescent="0.2">
      <c r="B18" s="22" t="s">
        <v>50</v>
      </c>
      <c r="C18" s="19" t="s">
        <v>51</v>
      </c>
      <c r="D18" s="19" t="s">
        <v>17</v>
      </c>
      <c r="E18" s="23">
        <v>395000</v>
      </c>
      <c r="F18" s="20">
        <v>5446.66</v>
      </c>
      <c r="G18" s="20">
        <v>2.79</v>
      </c>
      <c r="H18" s="20" t="s">
        <v>18</v>
      </c>
    </row>
    <row r="19" spans="2:8" x14ac:dyDescent="0.2">
      <c r="B19" s="22" t="s">
        <v>52</v>
      </c>
      <c r="C19" s="19" t="s">
        <v>53</v>
      </c>
      <c r="D19" s="19" t="s">
        <v>54</v>
      </c>
      <c r="E19" s="23">
        <v>123000</v>
      </c>
      <c r="F19" s="20">
        <v>5322.83</v>
      </c>
      <c r="G19" s="20">
        <v>2.73</v>
      </c>
      <c r="H19" s="20" t="s">
        <v>18</v>
      </c>
    </row>
    <row r="20" spans="2:8" x14ac:dyDescent="0.2">
      <c r="B20" s="22" t="s">
        <v>55</v>
      </c>
      <c r="C20" s="19" t="s">
        <v>56</v>
      </c>
      <c r="D20" s="19" t="s">
        <v>57</v>
      </c>
      <c r="E20" s="23">
        <v>3487500</v>
      </c>
      <c r="F20" s="20">
        <v>4650.2299999999996</v>
      </c>
      <c r="G20" s="20">
        <v>2.38</v>
      </c>
      <c r="H20" s="20" t="s">
        <v>18</v>
      </c>
    </row>
    <row r="21" spans="2:8" x14ac:dyDescent="0.2">
      <c r="B21" s="22" t="s">
        <v>58</v>
      </c>
      <c r="C21" s="19" t="s">
        <v>59</v>
      </c>
      <c r="D21" s="19" t="s">
        <v>45</v>
      </c>
      <c r="E21" s="23">
        <v>310000</v>
      </c>
      <c r="F21" s="20">
        <v>4280.4799999999996</v>
      </c>
      <c r="G21" s="20">
        <v>2.2000000000000002</v>
      </c>
      <c r="H21" s="20" t="s">
        <v>49</v>
      </c>
    </row>
    <row r="22" spans="2:8" x14ac:dyDescent="0.2">
      <c r="B22" s="22" t="s">
        <v>60</v>
      </c>
      <c r="C22" s="19" t="s">
        <v>61</v>
      </c>
      <c r="D22" s="19" t="s">
        <v>62</v>
      </c>
      <c r="E22" s="23">
        <v>153500</v>
      </c>
      <c r="F22" s="20">
        <v>4155.3999999999996</v>
      </c>
      <c r="G22" s="20">
        <v>2.13</v>
      </c>
      <c r="H22" s="20" t="s">
        <v>49</v>
      </c>
    </row>
    <row r="23" spans="2:8" x14ac:dyDescent="0.2">
      <c r="B23" s="22" t="s">
        <v>63</v>
      </c>
      <c r="C23" s="19" t="s">
        <v>64</v>
      </c>
      <c r="D23" s="19" t="s">
        <v>65</v>
      </c>
      <c r="E23" s="23">
        <v>780000</v>
      </c>
      <c r="F23" s="20">
        <v>4055.22</v>
      </c>
      <c r="G23" s="20">
        <v>2.08</v>
      </c>
      <c r="H23" s="20" t="s">
        <v>49</v>
      </c>
    </row>
    <row r="24" spans="2:8" x14ac:dyDescent="0.2">
      <c r="B24" s="22" t="s">
        <v>66</v>
      </c>
      <c r="C24" s="19" t="s">
        <v>67</v>
      </c>
      <c r="D24" s="19" t="s">
        <v>68</v>
      </c>
      <c r="E24" s="23">
        <v>213000</v>
      </c>
      <c r="F24" s="20">
        <v>3862.54</v>
      </c>
      <c r="G24" s="20">
        <v>1.98</v>
      </c>
      <c r="H24" s="20" t="s">
        <v>49</v>
      </c>
    </row>
    <row r="25" spans="2:8" x14ac:dyDescent="0.2">
      <c r="B25" s="22" t="s">
        <v>69</v>
      </c>
      <c r="C25" s="19" t="s">
        <v>70</v>
      </c>
      <c r="D25" s="19" t="s">
        <v>39</v>
      </c>
      <c r="E25" s="23">
        <v>1450000</v>
      </c>
      <c r="F25" s="20">
        <v>3849.46</v>
      </c>
      <c r="G25" s="20">
        <v>1.97</v>
      </c>
      <c r="H25" s="20" t="s">
        <v>49</v>
      </c>
    </row>
    <row r="26" spans="2:8" x14ac:dyDescent="0.2">
      <c r="B26" s="22" t="s">
        <v>71</v>
      </c>
      <c r="C26" s="19" t="s">
        <v>72</v>
      </c>
      <c r="D26" s="19" t="s">
        <v>54</v>
      </c>
      <c r="E26" s="23">
        <v>245000</v>
      </c>
      <c r="F26" s="20">
        <v>3825.19</v>
      </c>
      <c r="G26" s="20">
        <v>1.96</v>
      </c>
      <c r="H26" s="20" t="s">
        <v>49</v>
      </c>
    </row>
    <row r="27" spans="2:8" x14ac:dyDescent="0.2">
      <c r="B27" s="22" t="s">
        <v>73</v>
      </c>
      <c r="C27" s="19" t="s">
        <v>74</v>
      </c>
      <c r="D27" s="19" t="s">
        <v>17</v>
      </c>
      <c r="E27" s="23">
        <v>370000</v>
      </c>
      <c r="F27" s="20">
        <v>3664.85</v>
      </c>
      <c r="G27" s="20">
        <v>1.88</v>
      </c>
      <c r="H27" s="20" t="s">
        <v>49</v>
      </c>
    </row>
    <row r="28" spans="2:8" x14ac:dyDescent="0.2">
      <c r="B28" s="22" t="s">
        <v>75</v>
      </c>
      <c r="C28" s="19" t="s">
        <v>76</v>
      </c>
      <c r="D28" s="19" t="s">
        <v>54</v>
      </c>
      <c r="E28" s="23">
        <v>150000</v>
      </c>
      <c r="F28" s="20">
        <v>3564.3</v>
      </c>
      <c r="G28" s="20">
        <v>1.83</v>
      </c>
      <c r="H28" s="20" t="s">
        <v>18</v>
      </c>
    </row>
    <row r="29" spans="2:8" x14ac:dyDescent="0.2">
      <c r="B29" s="22" t="s">
        <v>77</v>
      </c>
      <c r="C29" s="19" t="s">
        <v>78</v>
      </c>
      <c r="D29" s="19" t="s">
        <v>27</v>
      </c>
      <c r="E29" s="23">
        <v>216200</v>
      </c>
      <c r="F29" s="20">
        <v>3532.92</v>
      </c>
      <c r="G29" s="20">
        <v>1.81</v>
      </c>
      <c r="H29" s="20" t="s">
        <v>49</v>
      </c>
    </row>
    <row r="30" spans="2:8" x14ac:dyDescent="0.2">
      <c r="B30" s="22" t="s">
        <v>79</v>
      </c>
      <c r="C30" s="19" t="s">
        <v>80</v>
      </c>
      <c r="D30" s="19" t="s">
        <v>39</v>
      </c>
      <c r="E30" s="23">
        <v>90000</v>
      </c>
      <c r="F30" s="20">
        <v>3509.55</v>
      </c>
      <c r="G30" s="20">
        <v>1.8</v>
      </c>
      <c r="H30" s="20" t="s">
        <v>18</v>
      </c>
    </row>
    <row r="31" spans="2:8" x14ac:dyDescent="0.2">
      <c r="B31" s="22" t="s">
        <v>81</v>
      </c>
      <c r="C31" s="19" t="s">
        <v>82</v>
      </c>
      <c r="D31" s="19" t="s">
        <v>83</v>
      </c>
      <c r="E31" s="23">
        <v>71000</v>
      </c>
      <c r="F31" s="20">
        <v>3427.31</v>
      </c>
      <c r="G31" s="20">
        <v>1.76</v>
      </c>
      <c r="H31" s="20" t="s">
        <v>18</v>
      </c>
    </row>
    <row r="32" spans="2:8" x14ac:dyDescent="0.2">
      <c r="B32" s="22" t="s">
        <v>84</v>
      </c>
      <c r="C32" s="19" t="s">
        <v>85</v>
      </c>
      <c r="D32" s="19" t="s">
        <v>45</v>
      </c>
      <c r="E32" s="23">
        <v>209000</v>
      </c>
      <c r="F32" s="20">
        <v>3354.45</v>
      </c>
      <c r="G32" s="20">
        <v>1.72</v>
      </c>
      <c r="H32" s="20" t="s">
        <v>49</v>
      </c>
    </row>
    <row r="33" spans="2:8" x14ac:dyDescent="0.2">
      <c r="B33" s="22" t="s">
        <v>86</v>
      </c>
      <c r="C33" s="19" t="s">
        <v>87</v>
      </c>
      <c r="D33" s="19" t="s">
        <v>54</v>
      </c>
      <c r="E33" s="23">
        <v>1270000</v>
      </c>
      <c r="F33" s="20">
        <v>3274.7</v>
      </c>
      <c r="G33" s="20">
        <v>1.68</v>
      </c>
      <c r="H33" s="20" t="s">
        <v>88</v>
      </c>
    </row>
    <row r="34" spans="2:8" x14ac:dyDescent="0.2">
      <c r="B34" s="22" t="s">
        <v>89</v>
      </c>
      <c r="C34" s="19" t="s">
        <v>90</v>
      </c>
      <c r="D34" s="19" t="s">
        <v>39</v>
      </c>
      <c r="E34" s="23">
        <v>2705110</v>
      </c>
      <c r="F34" s="20">
        <v>3186.08</v>
      </c>
      <c r="G34" s="20">
        <v>1.63</v>
      </c>
      <c r="H34" s="20" t="s">
        <v>49</v>
      </c>
    </row>
    <row r="35" spans="2:8" x14ac:dyDescent="0.2">
      <c r="B35" s="22" t="s">
        <v>91</v>
      </c>
      <c r="C35" s="19" t="s">
        <v>92</v>
      </c>
      <c r="D35" s="19" t="s">
        <v>68</v>
      </c>
      <c r="E35" s="23">
        <v>135000</v>
      </c>
      <c r="F35" s="20">
        <v>2750.22</v>
      </c>
      <c r="G35" s="20">
        <v>1.41</v>
      </c>
      <c r="H35" s="20" t="s">
        <v>18</v>
      </c>
    </row>
    <row r="36" spans="2:8" x14ac:dyDescent="0.2">
      <c r="B36" s="22" t="s">
        <v>93</v>
      </c>
      <c r="C36" s="19" t="s">
        <v>94</v>
      </c>
      <c r="D36" s="19" t="s">
        <v>95</v>
      </c>
      <c r="E36" s="23">
        <v>133000</v>
      </c>
      <c r="F36" s="20">
        <v>2731.16</v>
      </c>
      <c r="G36" s="20">
        <v>1.4</v>
      </c>
      <c r="H36" s="20" t="s">
        <v>88</v>
      </c>
    </row>
    <row r="37" spans="2:8" x14ac:dyDescent="0.2">
      <c r="B37" s="22" t="s">
        <v>96</v>
      </c>
      <c r="C37" s="19" t="s">
        <v>97</v>
      </c>
      <c r="D37" s="19" t="s">
        <v>39</v>
      </c>
      <c r="E37" s="23">
        <v>265000</v>
      </c>
      <c r="F37" s="20">
        <v>2728.44</v>
      </c>
      <c r="G37" s="20">
        <v>1.4</v>
      </c>
      <c r="H37" s="20" t="s">
        <v>49</v>
      </c>
    </row>
    <row r="38" spans="2:8" x14ac:dyDescent="0.2">
      <c r="B38" s="22" t="s">
        <v>98</v>
      </c>
      <c r="C38" s="19" t="s">
        <v>99</v>
      </c>
      <c r="D38" s="19" t="s">
        <v>39</v>
      </c>
      <c r="E38" s="23">
        <v>497502</v>
      </c>
      <c r="F38" s="20">
        <v>2673.58</v>
      </c>
      <c r="G38" s="20">
        <v>1.37</v>
      </c>
      <c r="H38" s="20" t="s">
        <v>49</v>
      </c>
    </row>
    <row r="39" spans="2:8" x14ac:dyDescent="0.2">
      <c r="B39" s="22" t="s">
        <v>100</v>
      </c>
      <c r="C39" s="19" t="s">
        <v>101</v>
      </c>
      <c r="D39" s="19" t="s">
        <v>27</v>
      </c>
      <c r="E39" s="23">
        <v>300000</v>
      </c>
      <c r="F39" s="20">
        <v>2474.25</v>
      </c>
      <c r="G39" s="20">
        <v>1.27</v>
      </c>
      <c r="H39" s="20" t="s">
        <v>88</v>
      </c>
    </row>
    <row r="40" spans="2:8" x14ac:dyDescent="0.2">
      <c r="B40" s="22" t="s">
        <v>102</v>
      </c>
      <c r="C40" s="19" t="s">
        <v>103</v>
      </c>
      <c r="D40" s="19" t="s">
        <v>65</v>
      </c>
      <c r="E40" s="23">
        <v>370000</v>
      </c>
      <c r="F40" s="20">
        <v>2468.09</v>
      </c>
      <c r="G40" s="20">
        <v>1.27</v>
      </c>
      <c r="H40" s="20" t="s">
        <v>18</v>
      </c>
    </row>
    <row r="41" spans="2:8" x14ac:dyDescent="0.2">
      <c r="B41" s="22" t="s">
        <v>104</v>
      </c>
      <c r="C41" s="19" t="s">
        <v>105</v>
      </c>
      <c r="D41" s="19" t="s">
        <v>39</v>
      </c>
      <c r="E41" s="23">
        <v>548000</v>
      </c>
      <c r="F41" s="20">
        <v>2412.3000000000002</v>
      </c>
      <c r="G41" s="20">
        <v>1.24</v>
      </c>
      <c r="H41" s="20" t="s">
        <v>88</v>
      </c>
    </row>
    <row r="42" spans="2:8" x14ac:dyDescent="0.2">
      <c r="B42" s="22" t="s">
        <v>106</v>
      </c>
      <c r="C42" s="19" t="s">
        <v>107</v>
      </c>
      <c r="D42" s="19" t="s">
        <v>35</v>
      </c>
      <c r="E42" s="23">
        <v>1120000</v>
      </c>
      <c r="F42" s="20">
        <v>2336.54</v>
      </c>
      <c r="G42" s="20">
        <v>1.2</v>
      </c>
      <c r="H42" s="20" t="s">
        <v>88</v>
      </c>
    </row>
    <row r="43" spans="2:8" x14ac:dyDescent="0.2">
      <c r="B43" s="22" t="s">
        <v>108</v>
      </c>
      <c r="C43" s="19" t="s">
        <v>109</v>
      </c>
      <c r="D43" s="19" t="s">
        <v>110</v>
      </c>
      <c r="E43" s="23">
        <v>877000</v>
      </c>
      <c r="F43" s="20">
        <v>2222.84</v>
      </c>
      <c r="G43" s="20">
        <v>1.1399999999999999</v>
      </c>
      <c r="H43" s="20" t="s">
        <v>88</v>
      </c>
    </row>
    <row r="44" spans="2:8" x14ac:dyDescent="0.2">
      <c r="B44" s="22" t="s">
        <v>111</v>
      </c>
      <c r="C44" s="19" t="s">
        <v>112</v>
      </c>
      <c r="D44" s="19" t="s">
        <v>65</v>
      </c>
      <c r="E44" s="23">
        <v>700000</v>
      </c>
      <c r="F44" s="20">
        <v>2194.85</v>
      </c>
      <c r="G44" s="20">
        <v>1.1299999999999999</v>
      </c>
      <c r="H44" s="20" t="s">
        <v>88</v>
      </c>
    </row>
    <row r="45" spans="2:8" x14ac:dyDescent="0.2">
      <c r="B45" s="22" t="s">
        <v>113</v>
      </c>
      <c r="C45" s="19" t="s">
        <v>114</v>
      </c>
      <c r="D45" s="19" t="s">
        <v>115</v>
      </c>
      <c r="E45" s="23">
        <v>175000</v>
      </c>
      <c r="F45" s="20">
        <v>1922.03</v>
      </c>
      <c r="G45" s="20">
        <v>0.99</v>
      </c>
      <c r="H45" s="20" t="s">
        <v>49</v>
      </c>
    </row>
    <row r="46" spans="2:8" x14ac:dyDescent="0.2">
      <c r="B46" s="22" t="s">
        <v>116</v>
      </c>
      <c r="C46" s="19" t="s">
        <v>117</v>
      </c>
      <c r="D46" s="19" t="s">
        <v>62</v>
      </c>
      <c r="E46" s="23">
        <v>800000</v>
      </c>
      <c r="F46" s="20">
        <v>1865.6</v>
      </c>
      <c r="G46" s="20">
        <v>0.96</v>
      </c>
      <c r="H46" s="20" t="s">
        <v>88</v>
      </c>
    </row>
    <row r="47" spans="2:8" x14ac:dyDescent="0.2">
      <c r="B47" s="22" t="s">
        <v>118</v>
      </c>
      <c r="C47" s="19" t="s">
        <v>119</v>
      </c>
      <c r="D47" s="19" t="s">
        <v>120</v>
      </c>
      <c r="E47" s="23">
        <v>158000</v>
      </c>
      <c r="F47" s="20">
        <v>1615.08</v>
      </c>
      <c r="G47" s="20">
        <v>0.83</v>
      </c>
      <c r="H47" s="20" t="s">
        <v>88</v>
      </c>
    </row>
    <row r="48" spans="2:8" x14ac:dyDescent="0.2">
      <c r="B48" s="22" t="s">
        <v>121</v>
      </c>
      <c r="C48" s="19" t="s">
        <v>122</v>
      </c>
      <c r="D48" s="19" t="s">
        <v>123</v>
      </c>
      <c r="E48" s="23">
        <v>310000</v>
      </c>
      <c r="F48" s="20">
        <v>1566.43</v>
      </c>
      <c r="G48" s="20">
        <v>0.8</v>
      </c>
      <c r="H48" s="20" t="s">
        <v>18</v>
      </c>
    </row>
    <row r="49" spans="2:9" x14ac:dyDescent="0.2">
      <c r="B49" s="22" t="s">
        <v>124</v>
      </c>
      <c r="C49" s="19" t="s">
        <v>125</v>
      </c>
      <c r="D49" s="19" t="s">
        <v>21</v>
      </c>
      <c r="E49" s="23">
        <v>310000</v>
      </c>
      <c r="F49" s="20">
        <v>1186.22</v>
      </c>
      <c r="G49" s="20">
        <v>0.61</v>
      </c>
      <c r="H49" s="20" t="s">
        <v>18</v>
      </c>
    </row>
    <row r="50" spans="2:9" x14ac:dyDescent="0.2">
      <c r="B50" s="22" t="s">
        <v>126</v>
      </c>
      <c r="C50" s="19" t="s">
        <v>127</v>
      </c>
      <c r="D50" s="19" t="s">
        <v>39</v>
      </c>
      <c r="E50" s="23">
        <v>175000</v>
      </c>
      <c r="F50" s="20">
        <v>682.41</v>
      </c>
      <c r="G50" s="20">
        <v>0.35</v>
      </c>
      <c r="H50" s="20" t="s">
        <v>88</v>
      </c>
    </row>
    <row r="51" spans="2:9" x14ac:dyDescent="0.2">
      <c r="B51" s="22" t="s">
        <v>128</v>
      </c>
      <c r="C51" s="19" t="s">
        <v>129</v>
      </c>
      <c r="D51" s="19" t="s">
        <v>39</v>
      </c>
      <c r="E51" s="23">
        <v>222500</v>
      </c>
      <c r="F51" s="20">
        <v>676.07</v>
      </c>
      <c r="G51" s="20">
        <v>0.35</v>
      </c>
      <c r="H51" s="20" t="s">
        <v>88</v>
      </c>
    </row>
    <row r="52" spans="2:9" x14ac:dyDescent="0.2">
      <c r="B52" s="26" t="s">
        <v>130</v>
      </c>
      <c r="C52" s="27"/>
      <c r="D52" s="27"/>
      <c r="E52" s="27"/>
      <c r="F52" s="28">
        <f>SUM(F7:F51)</f>
        <v>188958.4</v>
      </c>
      <c r="G52" s="28">
        <f>SUM(G7:G51)</f>
        <v>96.919999999999959</v>
      </c>
      <c r="H52" s="28"/>
      <c r="I52" s="29"/>
    </row>
    <row r="53" spans="2:9" x14ac:dyDescent="0.2">
      <c r="B53" s="30" t="s">
        <v>131</v>
      </c>
      <c r="C53" s="30"/>
      <c r="D53" s="30"/>
      <c r="E53" s="30"/>
      <c r="F53" s="31">
        <f>F52</f>
        <v>188958.4</v>
      </c>
      <c r="G53" s="31">
        <f>G52</f>
        <v>96.919999999999959</v>
      </c>
      <c r="H53" s="31"/>
      <c r="I53" s="29"/>
    </row>
    <row r="54" spans="2:9" x14ac:dyDescent="0.2">
      <c r="B54" s="32" t="s">
        <v>132</v>
      </c>
      <c r="C54" s="33"/>
      <c r="D54" s="33"/>
      <c r="E54" s="33"/>
      <c r="F54" s="34"/>
      <c r="G54" s="34"/>
      <c r="H54" s="34"/>
    </row>
    <row r="55" spans="2:9" x14ac:dyDescent="0.2">
      <c r="B55" s="22" t="s">
        <v>132</v>
      </c>
      <c r="C55" s="19"/>
      <c r="D55" s="19"/>
      <c r="E55" s="19"/>
      <c r="F55" s="20">
        <v>6374.79</v>
      </c>
      <c r="G55" s="20">
        <v>3.27</v>
      </c>
      <c r="H55" s="20"/>
    </row>
    <row r="56" spans="2:9" x14ac:dyDescent="0.2">
      <c r="B56" s="26" t="s">
        <v>130</v>
      </c>
      <c r="C56" s="27"/>
      <c r="D56" s="27"/>
      <c r="E56" s="27"/>
      <c r="F56" s="28">
        <f>SUM(F54:F55)</f>
        <v>6374.79</v>
      </c>
      <c r="G56" s="28">
        <f>SUM(G54:G55)</f>
        <v>3.27</v>
      </c>
      <c r="H56" s="28"/>
      <c r="I56" s="29"/>
    </row>
    <row r="57" spans="2:9" x14ac:dyDescent="0.2">
      <c r="B57" s="35" t="s">
        <v>131</v>
      </c>
      <c r="C57" s="35"/>
      <c r="D57" s="35"/>
      <c r="E57" s="35"/>
      <c r="F57" s="36">
        <f>F56</f>
        <v>6374.79</v>
      </c>
      <c r="G57" s="36">
        <f>G56</f>
        <v>3.27</v>
      </c>
      <c r="H57" s="36"/>
      <c r="I57" s="29"/>
    </row>
    <row r="58" spans="2:9" x14ac:dyDescent="0.2">
      <c r="B58" s="37" t="s">
        <v>133</v>
      </c>
      <c r="C58" s="37"/>
      <c r="D58" s="37"/>
      <c r="E58" s="37"/>
      <c r="F58" s="38">
        <f>F59-(+F53+F57)</f>
        <v>-329.86000000001513</v>
      </c>
      <c r="G58" s="38">
        <f>G59-(+G53+G57)</f>
        <v>-0.18999999999995509</v>
      </c>
      <c r="H58" s="38"/>
      <c r="I58" s="29"/>
    </row>
    <row r="59" spans="2:9" x14ac:dyDescent="0.2">
      <c r="B59" s="37" t="s">
        <v>134</v>
      </c>
      <c r="C59" s="37"/>
      <c r="D59" s="37"/>
      <c r="E59" s="37"/>
      <c r="F59" s="38">
        <v>195003.33</v>
      </c>
      <c r="G59" s="38">
        <v>100</v>
      </c>
      <c r="H59" s="38"/>
      <c r="I59" s="29"/>
    </row>
    <row r="61" spans="2:9" ht="12.75" thickBot="1" x14ac:dyDescent="0.25">
      <c r="B61" s="29"/>
    </row>
    <row r="62" spans="2:9" ht="13.5" thickTop="1" thickBot="1" x14ac:dyDescent="0.25">
      <c r="B62" s="40" t="s">
        <v>135</v>
      </c>
      <c r="C62" s="41" t="s">
        <v>136</v>
      </c>
    </row>
    <row r="63" spans="2:9" ht="12.75" thickTop="1" x14ac:dyDescent="0.2"/>
    <row r="64" spans="2:9" x14ac:dyDescent="0.2">
      <c r="B64" s="29" t="s">
        <v>137</v>
      </c>
    </row>
    <row r="66" spans="2:2" ht="15" x14ac:dyDescent="0.2">
      <c r="B66" s="42" t="s">
        <v>138</v>
      </c>
    </row>
  </sheetData>
  <mergeCells count="5">
    <mergeCell ref="B1:G1"/>
    <mergeCell ref="K5:K12"/>
    <mergeCell ref="L5:L12"/>
    <mergeCell ref="M5:M12"/>
    <mergeCell ref="N5:N12"/>
  </mergeCells>
  <hyperlinks>
    <hyperlink ref="B66" r:id="rId1" xr:uid="{1C16E9E2-D0CB-4852-AF8A-1AC507981B3B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11:34:38</KDate>
  <Classification>MIS INTERNAL</Classification>
  <Subclassification/>
  <HostName>MUMCMP01323</HostName>
  <Domain_User>CANARAROBECOMF/628</Domain_User>
  <IPAdd>10.212.134.107</IPAdd>
  <FilePath>Book5</FilePath>
  <KID>00090FAA0001639086528784408699</KID>
  <UniqueName/>
  <Suggested/>
  <Justification/>
  <KlassifyGUID/>
</Klassify>
</file>

<file path=customXml/itemProps1.xml><?xml version="1.0" encoding="utf-8"?>
<ds:datastoreItem xmlns:ds="http://schemas.openxmlformats.org/officeDocument/2006/customXml" ds:itemID="{E6905A81-1530-4B2E-BC9C-B084C803D6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2026-03-09T06:04:36Z</dcterms:created>
  <dcterms:modified xsi:type="dcterms:W3CDTF">2026-03-09T06:04:38Z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00090FAA0001639086528784408699</vt:lpwstr>
  </property>
</Properties>
</file>