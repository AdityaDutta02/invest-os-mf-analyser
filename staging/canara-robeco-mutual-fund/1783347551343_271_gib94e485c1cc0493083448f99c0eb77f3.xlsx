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12D906D0-0AEE-410E-A48F-E45D043AAA98}" xr6:coauthVersionLast="47" xr6:coauthVersionMax="47" xr10:uidLastSave="{00000000-0000-0000-0000-000000000000}"/>
  <bookViews>
    <workbookView xWindow="-120" yWindow="-120" windowWidth="20730" windowHeight="11160" xr2:uid="{AE1A4238-4391-484D-84C7-BE5EA09451E7}"/>
  </bookViews>
  <sheets>
    <sheet name="G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3" i="1" s="1"/>
  <c r="F12" i="1"/>
  <c r="F13" i="1" s="1"/>
  <c r="G9" i="1"/>
  <c r="G14" i="1" s="1"/>
  <c r="F9" i="1"/>
  <c r="F14" i="1" s="1"/>
</calcChain>
</file>

<file path=xl/sharedStrings.xml><?xml version="1.0" encoding="utf-8"?>
<sst xmlns="http://schemas.openxmlformats.org/spreadsheetml/2006/main" count="29" uniqueCount="25">
  <si>
    <t>CANARA ROBECO GILT 1988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</si>
  <si>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</si>
  <si>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</si>
  <si>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</si>
  <si>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</si>
  <si>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</si>
  <si>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</si>
  <si>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</si>
  <si>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</si>
  <si>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</si>
  <si>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INDIA GOVERNMENT 15-MAY-27</t>
  </si>
  <si>
    <t>IN0020170026</t>
  </si>
  <si>
    <t>Sovereign</t>
  </si>
  <si>
    <t>7.59% INDIA GOVERNMENT 11-JAN-26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</si>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</sst>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4" fontId="8" fillId="3" borderId="8" xfId="0" applyNumberFormat="1" applyFont="1" applyFill="1" applyBorder="1"/>
    <xf numFmtId="0" fontId="8" fillId="3" borderId="6" xfId="0" applyFont="1" applyFill="1" applyBorder="1"/>
    <xf numFmtId="0" fontId="8" fillId="3" borderId="9" xfId="0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4" fontId="8" fillId="3" borderId="12" xfId="0" applyNumberFormat="1" applyFont="1" applyFill="1" applyBorder="1"/>
    <xf numFmtId="0" fontId="3" fillId="3" borderId="0" xfId="0" applyFont="1" applyFill="1"/>
    <xf numFmtId="0" fontId="9" fillId="4" borderId="13" xfId="0" applyFont="1" applyFill="1" applyBorder="1"/>
    <xf numFmtId="2" fontId="8" fillId="3" borderId="14" xfId="0" applyNumberFormat="1" applyFont="1" applyFill="1" applyBorder="1"/>
    <xf numFmtId="10" fontId="8" fillId="3" borderId="14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34C4-14A4-4DC9-BB28-9F3B3F190135}">
  <dimension ref="B1:L23"/>
  <sheetViews>
    <sheetView tabSelected="1" workbookViewId="0"/>
  </sheetViews>
  <sheetFormatPr defaultRowHeight="12" x14ac:dyDescent="0.2"/>
  <cols>
    <col min="1" max="1" width="9.140625" style="32"/>
    <col min="2" max="2" width="55" style="32" bestFit="1" customWidth="1"/>
    <col min="3" max="3" width="12.7109375" style="32" bestFit="1" customWidth="1"/>
    <col min="4" max="4" width="14.140625" style="32" bestFit="1" customWidth="1"/>
    <col min="5" max="5" width="8.85546875" style="32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" style="3" bestFit="1" customWidth="1"/>
    <col min="10" max="10" width="4.7109375" style="3" bestFit="1" customWidth="1"/>
    <col min="11" max="11" width="6.5703125" style="3" bestFit="1" customWidth="1"/>
    <col min="12" max="12" width="4.7109375" style="3" bestFit="1" customWidth="1"/>
    <col min="13" max="16384" width="9.140625" style="32"/>
  </cols>
  <sheetData>
    <row r="1" spans="2: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8" ht="16.5" thickBot="1" x14ac:dyDescent="0.25">
      <c r="B3" s="4" t="s">
        <v>1</v>
      </c>
      <c r="C3" s="5"/>
      <c r="D3" s="6"/>
      <c r="E3" s="6"/>
      <c r="F3" s="7"/>
      <c r="G3" s="7"/>
    </row>
    <row r="4" spans="2:8" ht="24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</row>
    <row r="5" spans="2:8" x14ac:dyDescent="0.2">
      <c r="B5" s="13" t="s">
        <v>9</v>
      </c>
      <c r="C5" s="14"/>
      <c r="D5" s="14"/>
      <c r="E5" s="14"/>
      <c r="F5" s="15"/>
      <c r="G5" s="15"/>
      <c r="H5" s="15"/>
    </row>
    <row r="6" spans="2:8" x14ac:dyDescent="0.2">
      <c r="B6" s="16" t="s">
        <v>10</v>
      </c>
      <c r="C6" s="16" t="s">
        <v>11</v>
      </c>
      <c r="D6" s="16" t="s">
        <v>12</v>
      </c>
      <c r="E6" s="17">
        <v>1500000</v>
      </c>
      <c r="F6" s="18">
        <v>1485.08</v>
      </c>
      <c r="G6" s="18">
        <v>43.54</v>
      </c>
      <c r="H6" s="18">
        <v>7.21</v>
      </c>
    </row>
    <row r="7" spans="2:8" x14ac:dyDescent="0.2">
      <c r="B7" s="16" t="s">
        <v>13</v>
      </c>
      <c r="C7" s="16" t="s">
        <v>14</v>
      </c>
      <c r="D7" s="16" t="s">
        <v>12</v>
      </c>
      <c r="E7" s="17">
        <v>1000000</v>
      </c>
      <c r="F7" s="18">
        <v>1013.02</v>
      </c>
      <c r="G7" s="18">
        <v>29.7</v>
      </c>
      <c r="H7" s="18">
        <v>7.14</v>
      </c>
    </row>
    <row r="8" spans="2:8" x14ac:dyDescent="0.2">
      <c r="B8" s="19" t="s">
        <v>15</v>
      </c>
      <c r="C8" s="19" t="s">
        <v>16</v>
      </c>
      <c r="D8" s="19" t="s">
        <v>12</v>
      </c>
      <c r="E8" s="20">
        <v>500000</v>
      </c>
      <c r="F8" s="21">
        <v>512.52</v>
      </c>
      <c r="G8" s="21">
        <v>15.02</v>
      </c>
      <c r="H8" s="21">
        <v>7.37</v>
      </c>
    </row>
    <row r="9" spans="2:8" x14ac:dyDescent="0.2">
      <c r="B9" s="22" t="s">
        <v>17</v>
      </c>
      <c r="C9" s="22"/>
      <c r="D9" s="22"/>
      <c r="E9" s="22"/>
      <c r="F9" s="23">
        <f>SUM(F6:F8)</f>
        <v>3010.62</v>
      </c>
      <c r="G9" s="23">
        <f>SUM(G6:G8)</f>
        <v>88.259999999999991</v>
      </c>
      <c r="H9" s="23"/>
    </row>
    <row r="10" spans="2:8" x14ac:dyDescent="0.2">
      <c r="B10" s="24" t="s">
        <v>18</v>
      </c>
      <c r="C10" s="16"/>
      <c r="D10" s="16"/>
      <c r="E10" s="16"/>
      <c r="F10" s="18"/>
      <c r="G10" s="18"/>
      <c r="H10" s="18"/>
    </row>
    <row r="11" spans="2:8" x14ac:dyDescent="0.2">
      <c r="B11" s="16" t="s">
        <v>18</v>
      </c>
      <c r="C11" s="16"/>
      <c r="D11" s="16"/>
      <c r="E11" s="16"/>
      <c r="F11" s="18">
        <v>334.52</v>
      </c>
      <c r="G11" s="18">
        <v>9.81</v>
      </c>
      <c r="H11" s="18"/>
    </row>
    <row r="12" spans="2:8" x14ac:dyDescent="0.2">
      <c r="B12" s="25" t="s">
        <v>19</v>
      </c>
      <c r="C12" s="25"/>
      <c r="D12" s="25"/>
      <c r="E12" s="25"/>
      <c r="F12" s="26">
        <f>SUM(F10:F11)</f>
        <v>334.52</v>
      </c>
      <c r="G12" s="26">
        <f>SUM(G10:G11)</f>
        <v>9.81</v>
      </c>
      <c r="H12" s="27"/>
    </row>
    <row r="13" spans="2:8" x14ac:dyDescent="0.2">
      <c r="B13" s="28" t="s">
        <v>17</v>
      </c>
      <c r="C13" s="28"/>
      <c r="D13" s="28"/>
      <c r="E13" s="28"/>
      <c r="F13" s="29">
        <f>F12</f>
        <v>334.52</v>
      </c>
      <c r="G13" s="29">
        <f>G12</f>
        <v>9.81</v>
      </c>
      <c r="H13" s="29"/>
    </row>
    <row r="14" spans="2:8" x14ac:dyDescent="0.2">
      <c r="B14" s="30" t="s">
        <v>20</v>
      </c>
      <c r="C14" s="30"/>
      <c r="D14" s="30"/>
      <c r="E14" s="30"/>
      <c r="F14" s="31">
        <f>F15-(+F9+F13)</f>
        <v>66.070000000000164</v>
      </c>
      <c r="G14" s="31">
        <f>G15-(+G9+G13)</f>
        <v>1.9300000000000068</v>
      </c>
      <c r="H14" s="31"/>
    </row>
    <row r="15" spans="2:8" x14ac:dyDescent="0.2">
      <c r="B15" s="30" t="s">
        <v>21</v>
      </c>
      <c r="C15" s="30"/>
      <c r="D15" s="30"/>
      <c r="E15" s="30"/>
      <c r="F15" s="31">
        <v>3411.21</v>
      </c>
      <c r="G15" s="31">
        <v>100</v>
      </c>
      <c r="H15" s="31"/>
    </row>
    <row r="17" spans="2:3" ht="12.75" thickBot="1" x14ac:dyDescent="0.25"/>
    <row r="18" spans="2:3" ht="13.5" thickTop="1" thickBot="1" x14ac:dyDescent="0.25">
      <c r="B18" s="33" t="s">
        <v>22</v>
      </c>
      <c r="C18" s="34">
        <v>3.3201999999999998</v>
      </c>
    </row>
    <row r="19" spans="2:3" ht="13.5" thickTop="1" thickBot="1" x14ac:dyDescent="0.25"/>
    <row r="20" spans="2:3" ht="13.5" thickTop="1" thickBot="1" x14ac:dyDescent="0.25">
      <c r="B20" s="33" t="s">
        <v>23</v>
      </c>
      <c r="C20" s="35">
        <v>7.1599999999999997E-2</v>
      </c>
    </row>
    <row r="21" spans="2:3" ht="13.5" thickTop="1" thickBot="1" x14ac:dyDescent="0.25"/>
    <row r="22" spans="2:3" ht="13.5" thickTop="1" thickBot="1" x14ac:dyDescent="0.25">
      <c r="B22" s="33" t="s">
        <v>24</v>
      </c>
      <c r="C22" s="34">
        <v>3.5030000000000001</v>
      </c>
    </row>
    <row r="23" spans="2:3" ht="12.75" thickTop="1" x14ac:dyDescent="0.2"/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11:08:19</KDate>
  <Classification>Public</Classification>
  <Subclassification/>
  <HostName>MUMCMP00915</HostName>
  <Domain_User>CANARAROBECOMF/396</Domain_User>
  <IPAdd>192.9.198.198</IPAdd>
  <FilePath>Book17</FilePath>
  <KID>A4BB6D0D6391638242384999867951</KID>
  <UniqueName/>
  <Suggested/>
  <Justification/>
</Klassify>
</file>

<file path=customXml/itemProps1.xml><?xml version="1.0" encoding="utf-8"?>
<ds:datastoreItem xmlns:ds="http://schemas.openxmlformats.org/officeDocument/2006/customXml" ds:itemID="{00122E4C-6920-4076-BE8B-697C82F914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2023-07-06T05:38:16Z</dcterms:created>
  <dcterms:modified xsi:type="dcterms:W3CDTF">2023-07-06T05:38:20Z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A4BB6D0D6391638242384999867951</vt:lpwstr>
  </property>
</Properties>
</file>