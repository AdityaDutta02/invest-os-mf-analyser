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42" i="1" s="1"/>
  <c r="F41" i="1"/>
  <c r="F42" i="1" s="1"/>
  <c r="G38" i="1"/>
  <c r="F38" i="1"/>
  <c r="G35" i="1"/>
  <c r="F35" i="1"/>
  <c r="G25" i="1"/>
  <c r="F25" i="1"/>
  <c r="G22" i="1"/>
  <c r="G26" i="1" s="1"/>
  <c r="F22" i="1"/>
  <c r="F26" i="1" s="1"/>
  <c r="G17" i="1"/>
  <c r="G18" i="1" s="1"/>
  <c r="G43" i="1" s="1"/>
  <c r="F17" i="1"/>
  <c r="F18" i="1" s="1"/>
  <c r="F43" i="1" s="1"/>
</calcChain>
</file>

<file path=xl/sharedStrings.xml><?xml version="1.0" encoding="utf-8"?>
<sst xmlns="http://schemas.openxmlformats.org/spreadsheetml/2006/main" count="107" uniqueCount="86">
  <si>
    <t>CANARA ROBECO SHORT DURATION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</si>
  <si>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</si>
  <si>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</si>
  <si>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</si>
  <si>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</si>
  <si>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</si>
  <si>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</si>
  <si>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</si>
  <si>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</si>
  <si>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</si>
  <si>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</si>
  <si>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</si>
  <si>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</si>
  <si>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</si>
  <si>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</si>
  <si>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</si>
  <si>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</si>
  <si>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</si>
  <si>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</si>
  <si>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</si>
  <si>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</si>
  <si>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</si>
  <si>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</si>
  <si>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</si>
  <si>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</si>
  <si>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</si>
  <si>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8.15% Sundaram Finance Ltd (21/03/2025) **</t>
  </si>
  <si>
    <t>INE660A07RL1</t>
  </si>
  <si>
    <t>ICRA AAA</t>
  </si>
  <si>
    <t>Moderate 
(Class II)</t>
  </si>
  <si>
    <t>B-II</t>
  </si>
  <si>
    <t>7.9237% BAJAJ HOUSING FINANCE LTD 16-MAR-26 **</t>
  </si>
  <si>
    <t>INE377Y07375</t>
  </si>
  <si>
    <t>7.75% Small Industries Development Bank Of India (27/10/2025) **</t>
  </si>
  <si>
    <t>INE556F08KD0</t>
  </si>
  <si>
    <t>CARE AAA</t>
  </si>
  <si>
    <t>Relatively High (Class III)</t>
  </si>
  <si>
    <t>7.57% National Bank For Agriculture &amp; Rural Development (19/03/2026) **</t>
  </si>
  <si>
    <t>INE261F08DW2</t>
  </si>
  <si>
    <t>7.70% HDB Financial Services Ltd (11/08/2025) **</t>
  </si>
  <si>
    <t>INE756I07EG8</t>
  </si>
  <si>
    <t>Benchmark: CRISIL Short Duration Debt B-II Index</t>
  </si>
  <si>
    <t>7.38% LIC Housing Finance Ltd (18/08/2025) **</t>
  </si>
  <si>
    <t>INE115A07PZ0</t>
  </si>
  <si>
    <t>7.50% Grasim industries Ltd (10/06/2027) **</t>
  </si>
  <si>
    <t>INE047A08190</t>
  </si>
  <si>
    <t>6.00% Bajaj Finance Ltd (10/09/2024) **</t>
  </si>
  <si>
    <t>INE296A07RK6</t>
  </si>
  <si>
    <t>Sub Total</t>
  </si>
  <si>
    <t>Total</t>
  </si>
  <si>
    <t>Money Market Instruments</t>
  </si>
  <si>
    <t>Certificate of Deposit</t>
  </si>
  <si>
    <t>Axis Bank Ltd (14/02/2024) ** #</t>
  </si>
  <si>
    <t>INE238AD6348</t>
  </si>
  <si>
    <t>CRISIL A1+</t>
  </si>
  <si>
    <t>Treasury Bill</t>
  </si>
  <si>
    <t>364 DAYS TREASURY BILLS 01-FEB-24</t>
  </si>
  <si>
    <t>IN002022Z440</t>
  </si>
  <si>
    <t xml:space="preserve"> Sovereign</t>
  </si>
  <si>
    <t>Government Bonds</t>
  </si>
  <si>
    <t>7.26% GOI 06-FEB-33</t>
  </si>
  <si>
    <t>IN0020220151</t>
  </si>
  <si>
    <t>Sovereign</t>
  </si>
  <si>
    <t>7.38% GOI 20-JUN-27</t>
  </si>
  <si>
    <t>IN0020220037</t>
  </si>
  <si>
    <t>7.06% GOI 2028 (10-APR-2028)</t>
  </si>
  <si>
    <t>IN0020230010</t>
  </si>
  <si>
    <t>7.89% MAHARASHTRA SDL 08-JUN-32</t>
  </si>
  <si>
    <t>IN2220220098</t>
  </si>
  <si>
    <t>7.18% GOI 2037 (14-AUG-2033)</t>
  </si>
  <si>
    <t>IN0020230085</t>
  </si>
  <si>
    <t>7.58% TAMIL NADU SDL 24-AUG-26</t>
  </si>
  <si>
    <t>IN3120160095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</si>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</sst>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2026" y="1110498"/>
          <a:ext cx="2078038" cy="131837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96525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0400" y="117157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4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2.85546875" style="3" bestFit="1" customWidth="1"/>
    <col min="5" max="5" width="8.85546875" style="63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.140625" style="3"/>
    <col min="10" max="10" width="31.5703125" style="4" customWidth="1"/>
    <col min="11" max="11" width="33.42578125" style="4" customWidth="1"/>
    <col min="12" max="12" width="31.42578125" style="4" customWidth="1"/>
    <col min="13" max="13" width="4.7109375" style="4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8"/>
      <c r="F3" s="9"/>
      <c r="G3" s="9"/>
    </row>
    <row r="4" spans="2:17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3"/>
      <c r="N4" s="17" t="s">
        <v>12</v>
      </c>
      <c r="O4" s="18"/>
      <c r="P4" s="18"/>
      <c r="Q4" s="19"/>
    </row>
    <row r="5" spans="2:17" ht="24" x14ac:dyDescent="0.2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3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18</v>
      </c>
      <c r="C6" s="28"/>
      <c r="D6" s="28"/>
      <c r="E6" s="29"/>
      <c r="F6" s="30"/>
      <c r="G6" s="30"/>
      <c r="H6" s="30"/>
      <c r="J6" s="31"/>
      <c r="K6" s="31"/>
      <c r="L6" s="31"/>
      <c r="M6" s="3"/>
      <c r="N6" s="32" t="s">
        <v>19</v>
      </c>
      <c r="O6" s="26"/>
      <c r="P6" s="26"/>
      <c r="Q6" s="26"/>
    </row>
    <row r="7" spans="2:17" x14ac:dyDescent="0.2">
      <c r="B7" s="28" t="s">
        <v>20</v>
      </c>
      <c r="C7" s="28" t="s">
        <v>21</v>
      </c>
      <c r="D7" s="28" t="s">
        <v>22</v>
      </c>
      <c r="E7" s="33">
        <v>250</v>
      </c>
      <c r="F7" s="30">
        <v>2511.88</v>
      </c>
      <c r="G7" s="30">
        <v>5.8</v>
      </c>
      <c r="H7" s="30">
        <v>7.8</v>
      </c>
      <c r="J7" s="31"/>
      <c r="K7" s="31"/>
      <c r="L7" s="31"/>
      <c r="N7" s="34" t="s">
        <v>23</v>
      </c>
      <c r="O7" s="35"/>
      <c r="P7" s="35"/>
      <c r="Q7" s="35"/>
    </row>
    <row r="8" spans="2:17" x14ac:dyDescent="0.2">
      <c r="B8" s="28" t="s">
        <v>24</v>
      </c>
      <c r="C8" s="28" t="s">
        <v>25</v>
      </c>
      <c r="D8" s="28" t="s">
        <v>22</v>
      </c>
      <c r="E8" s="33">
        <v>250</v>
      </c>
      <c r="F8" s="30">
        <v>2508.63</v>
      </c>
      <c r="G8" s="30">
        <v>5.79</v>
      </c>
      <c r="H8" s="30">
        <v>7.5</v>
      </c>
      <c r="J8" s="31"/>
      <c r="K8" s="31"/>
      <c r="L8" s="31"/>
      <c r="N8" s="34"/>
      <c r="O8" s="36"/>
      <c r="P8" s="36"/>
      <c r="Q8" s="36"/>
    </row>
    <row r="9" spans="2:17" x14ac:dyDescent="0.2">
      <c r="B9" s="28" t="s">
        <v>26</v>
      </c>
      <c r="C9" s="28" t="s">
        <v>27</v>
      </c>
      <c r="D9" s="28" t="s">
        <v>28</v>
      </c>
      <c r="E9" s="33">
        <v>2500</v>
      </c>
      <c r="F9" s="30">
        <v>2501.88</v>
      </c>
      <c r="G9" s="30">
        <v>5.78</v>
      </c>
      <c r="H9" s="30">
        <v>8.0299999999999994</v>
      </c>
      <c r="J9" s="31"/>
      <c r="K9" s="31"/>
      <c r="L9" s="31"/>
      <c r="N9" s="34" t="s">
        <v>29</v>
      </c>
      <c r="O9" s="35"/>
      <c r="P9" s="37" t="s">
        <v>30</v>
      </c>
      <c r="Q9" s="35"/>
    </row>
    <row r="10" spans="2:17" x14ac:dyDescent="0.2">
      <c r="B10" s="28" t="s">
        <v>31</v>
      </c>
      <c r="C10" s="28" t="s">
        <v>32</v>
      </c>
      <c r="D10" s="28" t="s">
        <v>22</v>
      </c>
      <c r="E10" s="33">
        <v>250</v>
      </c>
      <c r="F10" s="30">
        <v>2496.85</v>
      </c>
      <c r="G10" s="30">
        <v>5.77</v>
      </c>
      <c r="H10" s="30">
        <v>7.95</v>
      </c>
      <c r="J10" s="31"/>
      <c r="K10" s="31"/>
      <c r="L10" s="31"/>
      <c r="N10" s="34"/>
      <c r="O10" s="36"/>
      <c r="P10" s="38"/>
      <c r="Q10" s="36"/>
    </row>
    <row r="11" spans="2:17" x14ac:dyDescent="0.2">
      <c r="B11" s="28" t="s">
        <v>33</v>
      </c>
      <c r="C11" s="28" t="s">
        <v>34</v>
      </c>
      <c r="D11" s="28" t="s">
        <v>35</v>
      </c>
      <c r="E11" s="33">
        <v>250</v>
      </c>
      <c r="F11" s="30">
        <v>2496.83</v>
      </c>
      <c r="G11" s="30">
        <v>5.77</v>
      </c>
      <c r="H11" s="30">
        <v>7.82</v>
      </c>
      <c r="J11" s="31"/>
      <c r="K11" s="31"/>
      <c r="L11" s="31"/>
      <c r="N11" s="34" t="s">
        <v>36</v>
      </c>
      <c r="O11" s="35"/>
      <c r="P11" s="35"/>
      <c r="Q11" s="35"/>
    </row>
    <row r="12" spans="2:17" x14ac:dyDescent="0.2">
      <c r="B12" s="28" t="s">
        <v>37</v>
      </c>
      <c r="C12" s="28" t="s">
        <v>38</v>
      </c>
      <c r="D12" s="28" t="s">
        <v>22</v>
      </c>
      <c r="E12" s="33">
        <v>2500</v>
      </c>
      <c r="F12" s="30">
        <v>2486</v>
      </c>
      <c r="G12" s="30">
        <v>5.74</v>
      </c>
      <c r="H12" s="30">
        <v>7.81</v>
      </c>
      <c r="J12" s="39"/>
      <c r="K12" s="39"/>
      <c r="L12" s="39"/>
      <c r="N12" s="34"/>
      <c r="O12" s="36"/>
      <c r="P12" s="36"/>
      <c r="Q12" s="36"/>
    </row>
    <row r="13" spans="2:17" x14ac:dyDescent="0.2">
      <c r="B13" s="28" t="s">
        <v>39</v>
      </c>
      <c r="C13" s="28" t="s">
        <v>40</v>
      </c>
      <c r="D13" s="28" t="s">
        <v>22</v>
      </c>
      <c r="E13" s="33">
        <v>250</v>
      </c>
      <c r="F13" s="30">
        <v>2480.77</v>
      </c>
      <c r="G13" s="30">
        <v>5.73</v>
      </c>
      <c r="H13" s="30">
        <v>8.15</v>
      </c>
      <c r="J13" s="40"/>
      <c r="K13" s="40" t="s">
        <v>41</v>
      </c>
    </row>
    <row r="14" spans="2:17" x14ac:dyDescent="0.2">
      <c r="B14" s="28" t="s">
        <v>42</v>
      </c>
      <c r="C14" s="28" t="s">
        <v>43</v>
      </c>
      <c r="D14" s="28" t="s">
        <v>22</v>
      </c>
      <c r="E14" s="33">
        <v>250</v>
      </c>
      <c r="F14" s="30">
        <v>2478.48</v>
      </c>
      <c r="G14" s="30">
        <v>5.72</v>
      </c>
      <c r="H14" s="30">
        <v>7.89</v>
      </c>
    </row>
    <row r="15" spans="2:17" x14ac:dyDescent="0.2">
      <c r="B15" s="28" t="s">
        <v>44</v>
      </c>
      <c r="C15" s="28" t="s">
        <v>45</v>
      </c>
      <c r="D15" s="28" t="s">
        <v>22</v>
      </c>
      <c r="E15" s="33">
        <v>250</v>
      </c>
      <c r="F15" s="30">
        <v>2476.27</v>
      </c>
      <c r="G15" s="30">
        <v>5.72</v>
      </c>
      <c r="H15" s="30">
        <v>7.79</v>
      </c>
    </row>
    <row r="16" spans="2:17" x14ac:dyDescent="0.2">
      <c r="B16" s="28" t="s">
        <v>46</v>
      </c>
      <c r="C16" s="28" t="s">
        <v>47</v>
      </c>
      <c r="D16" s="28" t="s">
        <v>22</v>
      </c>
      <c r="E16" s="33">
        <v>250</v>
      </c>
      <c r="F16" s="30">
        <v>2459.39</v>
      </c>
      <c r="G16" s="30">
        <v>5.68</v>
      </c>
      <c r="H16" s="30">
        <v>7.95</v>
      </c>
    </row>
    <row r="17" spans="2:9" x14ac:dyDescent="0.2">
      <c r="B17" s="41" t="s">
        <v>48</v>
      </c>
      <c r="C17" s="41"/>
      <c r="D17" s="41"/>
      <c r="E17" s="42"/>
      <c r="F17" s="43">
        <f>SUM(F6:F16)</f>
        <v>24896.98</v>
      </c>
      <c r="G17" s="43">
        <f>SUM(G6:G16)</f>
        <v>57.499999999999993</v>
      </c>
      <c r="H17" s="44"/>
      <c r="I17" s="45"/>
    </row>
    <row r="18" spans="2:9" x14ac:dyDescent="0.2">
      <c r="B18" s="46" t="s">
        <v>49</v>
      </c>
      <c r="C18" s="46"/>
      <c r="D18" s="46"/>
      <c r="E18" s="47"/>
      <c r="F18" s="48">
        <f>F17</f>
        <v>24896.98</v>
      </c>
      <c r="G18" s="48">
        <f>G17</f>
        <v>57.499999999999993</v>
      </c>
      <c r="H18" s="48"/>
      <c r="I18" s="45"/>
    </row>
    <row r="19" spans="2:9" x14ac:dyDescent="0.2">
      <c r="B19" s="27" t="s">
        <v>50</v>
      </c>
      <c r="C19" s="28"/>
      <c r="D19" s="28"/>
      <c r="E19" s="29"/>
      <c r="F19" s="30"/>
      <c r="G19" s="30"/>
      <c r="H19" s="30"/>
    </row>
    <row r="20" spans="2:9" x14ac:dyDescent="0.2">
      <c r="B20" s="27" t="s">
        <v>51</v>
      </c>
      <c r="C20" s="28"/>
      <c r="D20" s="28"/>
      <c r="E20" s="29"/>
      <c r="F20" s="30"/>
      <c r="G20" s="30"/>
      <c r="H20" s="30"/>
    </row>
    <row r="21" spans="2:9" x14ac:dyDescent="0.2">
      <c r="B21" s="28" t="s">
        <v>52</v>
      </c>
      <c r="C21" s="28" t="s">
        <v>53</v>
      </c>
      <c r="D21" s="28" t="s">
        <v>54</v>
      </c>
      <c r="E21" s="33">
        <v>500</v>
      </c>
      <c r="F21" s="30">
        <v>2447.96</v>
      </c>
      <c r="G21" s="30">
        <v>5.65</v>
      </c>
      <c r="H21" s="30">
        <v>7.39</v>
      </c>
    </row>
    <row r="22" spans="2:9" x14ac:dyDescent="0.2">
      <c r="B22" s="27" t="s">
        <v>48</v>
      </c>
      <c r="C22" s="27"/>
      <c r="D22" s="27"/>
      <c r="E22" s="49"/>
      <c r="F22" s="50">
        <f>SUM(F20:F21)</f>
        <v>2447.96</v>
      </c>
      <c r="G22" s="50">
        <f>SUM(G20:G21)</f>
        <v>5.65</v>
      </c>
      <c r="H22" s="51"/>
      <c r="I22" s="45"/>
    </row>
    <row r="23" spans="2:9" x14ac:dyDescent="0.2">
      <c r="B23" s="27" t="s">
        <v>55</v>
      </c>
      <c r="C23" s="28"/>
      <c r="D23" s="28"/>
      <c r="E23" s="29"/>
      <c r="F23" s="30"/>
      <c r="G23" s="30"/>
      <c r="H23" s="30"/>
    </row>
    <row r="24" spans="2:9" x14ac:dyDescent="0.2">
      <c r="B24" s="28" t="s">
        <v>56</v>
      </c>
      <c r="C24" s="28" t="s">
        <v>57</v>
      </c>
      <c r="D24" s="28" t="s">
        <v>58</v>
      </c>
      <c r="E24" s="33">
        <v>250000</v>
      </c>
      <c r="F24" s="30">
        <v>245.67</v>
      </c>
      <c r="G24" s="30">
        <v>0.56999999999999995</v>
      </c>
      <c r="H24" s="30">
        <v>7</v>
      </c>
    </row>
    <row r="25" spans="2:9" x14ac:dyDescent="0.2">
      <c r="B25" s="41" t="s">
        <v>48</v>
      </c>
      <c r="C25" s="41"/>
      <c r="D25" s="41"/>
      <c r="E25" s="42"/>
      <c r="F25" s="43">
        <f>SUM(F23:F24)</f>
        <v>245.67</v>
      </c>
      <c r="G25" s="43">
        <f>SUM(G23:G24)</f>
        <v>0.56999999999999995</v>
      </c>
      <c r="H25" s="44"/>
      <c r="I25" s="45"/>
    </row>
    <row r="26" spans="2:9" x14ac:dyDescent="0.2">
      <c r="B26" s="46" t="s">
        <v>49</v>
      </c>
      <c r="C26" s="46"/>
      <c r="D26" s="46"/>
      <c r="E26" s="47"/>
      <c r="F26" s="48">
        <f>F22+F25</f>
        <v>2693.63</v>
      </c>
      <c r="G26" s="48">
        <f>G22+G25</f>
        <v>6.2200000000000006</v>
      </c>
      <c r="H26" s="48"/>
      <c r="I26" s="45"/>
    </row>
    <row r="27" spans="2:9" x14ac:dyDescent="0.2">
      <c r="B27" s="27" t="s">
        <v>59</v>
      </c>
      <c r="C27" s="28"/>
      <c r="D27" s="28"/>
      <c r="E27" s="29"/>
      <c r="F27" s="30"/>
      <c r="G27" s="30"/>
      <c r="H27" s="30"/>
    </row>
    <row r="28" spans="2:9" x14ac:dyDescent="0.2">
      <c r="B28" s="28" t="s">
        <v>60</v>
      </c>
      <c r="C28" s="28" t="s">
        <v>61</v>
      </c>
      <c r="D28" s="28" t="s">
        <v>62</v>
      </c>
      <c r="E28" s="33">
        <v>3000000</v>
      </c>
      <c r="F28" s="30">
        <v>2972.93</v>
      </c>
      <c r="G28" s="30">
        <v>6.87</v>
      </c>
      <c r="H28" s="30">
        <v>7.53</v>
      </c>
    </row>
    <row r="29" spans="2:9" x14ac:dyDescent="0.2">
      <c r="B29" s="28" t="s">
        <v>63</v>
      </c>
      <c r="C29" s="28" t="s">
        <v>64</v>
      </c>
      <c r="D29" s="28" t="s">
        <v>62</v>
      </c>
      <c r="E29" s="33">
        <v>2500000</v>
      </c>
      <c r="F29" s="30">
        <v>2502.25</v>
      </c>
      <c r="G29" s="30">
        <v>5.78</v>
      </c>
      <c r="H29" s="30">
        <v>7.48</v>
      </c>
    </row>
    <row r="30" spans="2:9" x14ac:dyDescent="0.2">
      <c r="B30" s="28" t="s">
        <v>65</v>
      </c>
      <c r="C30" s="28" t="s">
        <v>66</v>
      </c>
      <c r="D30" s="28" t="s">
        <v>62</v>
      </c>
      <c r="E30" s="33">
        <v>2500000</v>
      </c>
      <c r="F30" s="30">
        <v>2473</v>
      </c>
      <c r="G30" s="30">
        <v>5.71</v>
      </c>
      <c r="H30" s="30">
        <v>7.48</v>
      </c>
    </row>
    <row r="31" spans="2:9" x14ac:dyDescent="0.2">
      <c r="B31" s="28" t="s">
        <v>67</v>
      </c>
      <c r="C31" s="28" t="s">
        <v>68</v>
      </c>
      <c r="D31" s="28" t="s">
        <v>62</v>
      </c>
      <c r="E31" s="33">
        <v>1000000</v>
      </c>
      <c r="F31" s="30">
        <v>1012.88</v>
      </c>
      <c r="G31" s="30">
        <v>2.34</v>
      </c>
      <c r="H31" s="30">
        <v>7.83</v>
      </c>
    </row>
    <row r="32" spans="2:9" x14ac:dyDescent="0.2">
      <c r="B32" s="28" t="s">
        <v>69</v>
      </c>
      <c r="C32" s="28" t="s">
        <v>70</v>
      </c>
      <c r="D32" s="28" t="s">
        <v>62</v>
      </c>
      <c r="E32" s="33">
        <v>1000000</v>
      </c>
      <c r="F32" s="30">
        <v>988.08</v>
      </c>
      <c r="G32" s="30">
        <v>2.2799999999999998</v>
      </c>
      <c r="H32" s="30">
        <v>7.49</v>
      </c>
    </row>
    <row r="33" spans="2:9" x14ac:dyDescent="0.2">
      <c r="B33" s="28" t="s">
        <v>71</v>
      </c>
      <c r="C33" s="28" t="s">
        <v>72</v>
      </c>
      <c r="D33" s="28" t="s">
        <v>62</v>
      </c>
      <c r="E33" s="33">
        <v>500000</v>
      </c>
      <c r="F33" s="30">
        <v>499.25</v>
      </c>
      <c r="G33" s="30">
        <v>1.1499999999999999</v>
      </c>
      <c r="H33" s="30">
        <v>7.78</v>
      </c>
    </row>
    <row r="34" spans="2:9" x14ac:dyDescent="0.2">
      <c r="B34" s="52" t="s">
        <v>73</v>
      </c>
      <c r="C34" s="52" t="s">
        <v>74</v>
      </c>
      <c r="D34" s="52" t="s">
        <v>62</v>
      </c>
      <c r="E34" s="53">
        <v>28300</v>
      </c>
      <c r="F34" s="54">
        <v>28.47</v>
      </c>
      <c r="G34" s="54">
        <v>7.0000000000000007E-2</v>
      </c>
      <c r="H34" s="54">
        <v>7.8</v>
      </c>
    </row>
    <row r="35" spans="2:9" x14ac:dyDescent="0.2">
      <c r="B35" s="55" t="s">
        <v>49</v>
      </c>
      <c r="C35" s="55"/>
      <c r="D35" s="55"/>
      <c r="E35" s="56"/>
      <c r="F35" s="50">
        <f>SUM(F28:F34)</f>
        <v>10476.859999999999</v>
      </c>
      <c r="G35" s="50">
        <f>SUM(G28:G34)</f>
        <v>24.2</v>
      </c>
      <c r="H35" s="50"/>
      <c r="I35" s="45"/>
    </row>
    <row r="36" spans="2:9" x14ac:dyDescent="0.2">
      <c r="B36" s="27" t="s">
        <v>75</v>
      </c>
      <c r="C36" s="28"/>
      <c r="D36" s="28"/>
      <c r="E36" s="29"/>
      <c r="F36" s="30"/>
      <c r="G36" s="30"/>
      <c r="H36" s="30"/>
    </row>
    <row r="37" spans="2:9" x14ac:dyDescent="0.2">
      <c r="B37" s="52" t="s">
        <v>76</v>
      </c>
      <c r="C37" s="52" t="s">
        <v>77</v>
      </c>
      <c r="D37" s="52"/>
      <c r="E37" s="53">
        <v>1373.231</v>
      </c>
      <c r="F37" s="54">
        <v>137.38999999999999</v>
      </c>
      <c r="G37" s="54">
        <v>0.32</v>
      </c>
      <c r="H37" s="54"/>
    </row>
    <row r="38" spans="2:9" x14ac:dyDescent="0.2">
      <c r="B38" s="55" t="s">
        <v>49</v>
      </c>
      <c r="C38" s="55"/>
      <c r="D38" s="55"/>
      <c r="E38" s="56"/>
      <c r="F38" s="50">
        <f>SUM(F37:F37)</f>
        <v>137.38999999999999</v>
      </c>
      <c r="G38" s="50">
        <f>SUM(G37:G37)</f>
        <v>0.32</v>
      </c>
      <c r="H38" s="50"/>
      <c r="I38" s="45"/>
    </row>
    <row r="39" spans="2:9" x14ac:dyDescent="0.2">
      <c r="B39" s="27" t="s">
        <v>78</v>
      </c>
      <c r="C39" s="28"/>
      <c r="D39" s="28"/>
      <c r="E39" s="29"/>
      <c r="F39" s="30"/>
      <c r="G39" s="30"/>
      <c r="H39" s="30"/>
    </row>
    <row r="40" spans="2:9" x14ac:dyDescent="0.2">
      <c r="B40" s="28" t="s">
        <v>78</v>
      </c>
      <c r="C40" s="28"/>
      <c r="D40" s="28"/>
      <c r="E40" s="29"/>
      <c r="F40" s="30">
        <v>4159.6099999999997</v>
      </c>
      <c r="G40" s="30">
        <v>9.6100000000000012</v>
      </c>
      <c r="H40" s="30"/>
    </row>
    <row r="41" spans="2:9" x14ac:dyDescent="0.2">
      <c r="B41" s="41" t="s">
        <v>48</v>
      </c>
      <c r="C41" s="41"/>
      <c r="D41" s="41"/>
      <c r="E41" s="42"/>
      <c r="F41" s="43">
        <f>SUM(F39:F40)</f>
        <v>4159.6099999999997</v>
      </c>
      <c r="G41" s="43">
        <f>SUM(G39:G40)</f>
        <v>9.6100000000000012</v>
      </c>
      <c r="H41" s="44"/>
      <c r="I41" s="45"/>
    </row>
    <row r="42" spans="2:9" x14ac:dyDescent="0.2">
      <c r="B42" s="57" t="s">
        <v>49</v>
      </c>
      <c r="C42" s="57"/>
      <c r="D42" s="57"/>
      <c r="E42" s="58"/>
      <c r="F42" s="59">
        <f>F41</f>
        <v>4159.6099999999997</v>
      </c>
      <c r="G42" s="59">
        <f>G41</f>
        <v>9.6100000000000012</v>
      </c>
      <c r="H42" s="59"/>
      <c r="I42" s="45"/>
    </row>
    <row r="43" spans="2:9" x14ac:dyDescent="0.2">
      <c r="B43" s="60" t="s">
        <v>79</v>
      </c>
      <c r="C43" s="60"/>
      <c r="D43" s="60"/>
      <c r="E43" s="61"/>
      <c r="F43" s="62">
        <f>F44-(+F18+F26+F35+F38+F42)</f>
        <v>939.02999999999884</v>
      </c>
      <c r="G43" s="62">
        <f>G44-(+G18+G26+G35+G38+G42)</f>
        <v>2.1500000000000199</v>
      </c>
      <c r="H43" s="62"/>
      <c r="I43" s="45"/>
    </row>
    <row r="44" spans="2:9" x14ac:dyDescent="0.2">
      <c r="B44" s="60" t="s">
        <v>80</v>
      </c>
      <c r="C44" s="60"/>
      <c r="D44" s="60"/>
      <c r="E44" s="61"/>
      <c r="F44" s="62">
        <v>43303.5</v>
      </c>
      <c r="G44" s="62">
        <v>100</v>
      </c>
      <c r="H44" s="62"/>
      <c r="I44" s="45"/>
    </row>
    <row r="46" spans="2:9" x14ac:dyDescent="0.2">
      <c r="B46" s="45" t="s">
        <v>81</v>
      </c>
    </row>
    <row r="47" spans="2:9" x14ac:dyDescent="0.2">
      <c r="B47" s="45" t="s">
        <v>82</v>
      </c>
    </row>
    <row r="48" spans="2:9" ht="12.75" thickBot="1" x14ac:dyDescent="0.25"/>
    <row r="49" spans="2:3" ht="13.5" thickTop="1" thickBot="1" x14ac:dyDescent="0.25">
      <c r="B49" s="64" t="s">
        <v>83</v>
      </c>
      <c r="C49" s="65">
        <v>2.0743</v>
      </c>
    </row>
    <row r="50" spans="2:3" ht="13.5" thickTop="1" thickBot="1" x14ac:dyDescent="0.25"/>
    <row r="51" spans="2:3" ht="13.5" thickTop="1" thickBot="1" x14ac:dyDescent="0.25">
      <c r="B51" s="64" t="s">
        <v>84</v>
      </c>
      <c r="C51" s="66">
        <v>7.6200000000000004E-2</v>
      </c>
    </row>
    <row r="52" spans="2:3" ht="13.5" thickTop="1" thickBot="1" x14ac:dyDescent="0.25"/>
    <row r="53" spans="2:3" ht="13.5" thickTop="1" thickBot="1" x14ac:dyDescent="0.25">
      <c r="B53" s="64" t="s">
        <v>85</v>
      </c>
      <c r="C53" s="65">
        <v>2.2492000000000001</v>
      </c>
    </row>
    <row r="54" spans="2:3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12:22:44</KDate>
  <Classification>Public</Classification>
  <Subclassification/>
  <HostName>MUMCMP00935</HostName>
  <Domain_User>CANARAROBECOMF/628</Domain_User>
  <IPAdd>192.9.198.194</IPAdd>
  <FilePath>Book20</FilePath>
  <KID>C025A5607E97638348701649698620</KID>
  <UniqueName/>
  <Suggested/>
  <Justification/>
</Klassify>
</file>

<file path=customXml/itemProps1.xml><?xml version="1.0" encoding="utf-8"?>
<ds:datastoreItem xmlns:ds="http://schemas.openxmlformats.org/officeDocument/2006/customXml" ds:itemID="{A3F9F3FE-8570-4ED0-AC99-7F30592305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2023-11-06T06:52:39Z</dcterms:created>
  <dcterms:modified xsi:type="dcterms:W3CDTF">2023-11-06T06:52:45Z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C025A5607E97638348701649698620</vt:lpwstr>
  </property>
</Properties>
</file>