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P:\hemangi\data\monthly portfolios with ISIN\FY 2026-27\MAY'26\REVISED\"/>
    </mc:Choice>
  </mc:AlternateContent>
  <xr:revisionPtr revIDLastSave="0" documentId="8_{10C95C56-D2A7-4FB1-83F6-E439459CDB7C}" xr6:coauthVersionLast="47" xr6:coauthVersionMax="47" xr10:uidLastSave="{00000000-0000-0000-0000-000000000000}"/>
  <bookViews>
    <workbookView xWindow="-120" yWindow="-120" windowWidth="20730" windowHeight="11040" xr2:uid="{AEB8F3ED-197A-4051-B3A7-826D7977EAC2}"/>
  </bookViews>
  <sheets>
    <sheet name="M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25" i="1" l="1"/>
  <c r="D124" i="1"/>
  <c r="G104" i="1"/>
  <c r="G105" i="1" s="1"/>
  <c r="F104" i="1"/>
  <c r="F105" i="1" s="1"/>
  <c r="G101" i="1"/>
  <c r="F101" i="1"/>
  <c r="G98" i="1"/>
  <c r="F98" i="1"/>
  <c r="G79" i="1"/>
  <c r="F79" i="1"/>
  <c r="G76" i="1"/>
  <c r="G80" i="1" s="1"/>
  <c r="F76" i="1"/>
  <c r="F80" i="1" s="1"/>
  <c r="G69" i="1"/>
  <c r="G70" i="1" s="1"/>
  <c r="F69" i="1"/>
  <c r="F70" i="1" s="1"/>
  <c r="G50" i="1"/>
  <c r="G51" i="1" s="1"/>
  <c r="F50" i="1"/>
  <c r="F51" i="1" s="1"/>
  <c r="F106" i="1" l="1"/>
  <c r="G106"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<sst xmlns="http://schemas.openxmlformats.org/spreadsheetml/2006/main" count="352" uniqueCount="249">
  <si>
    <t>CANARA ROBECO CONSERVATIVE HYBRID FUND</t>
  </si>
  <si>
    <t>Monthly Portfolio Statement as on May 31, 2026</t>
  </si>
  <si>
    <t>Name of the Instrument</t>
  </si>
  <si>
    <t>ISIN</t>
  </si>
  <si>
    <t>Industry / Rating</t>
  </si>
  <si>
    <t>Quantity</t>
  </si>
  <si>
    <t>Market/Fair Value
 (Rs. in Lacs)</t>
  </si>
  <si>
    <t>% to Net
 Assets</t>
  </si>
  <si>
    <t xml:space="preserve">Market Capitalization </t>
  </si>
  <si>
    <t>Yield %</t>
  </si>
  <si>
    <t>Scheme Risk-O-Meter Level - May'26</t>
  </si>
  <si>
    <t>Benchmark Risk-O-Meter Level - May'26</t>
  </si>
  <si>
    <t>Scheme Risk-O-Meter Level - April'26</t>
  </si>
  <si>
    <t>Benchmark Risk-O-Meter Level - April'26</t>
  </si>
  <si>
    <t>Equity &amp; Equity related</t>
  </si>
  <si>
    <t>(a) Listed / awaiting listing on Stock Exchanges</t>
  </si>
  <si>
    <t>ICICI Bank Ltd</t>
  </si>
  <si>
    <t>INE090A01021</t>
  </si>
  <si>
    <t>Banks</t>
  </si>
  <si>
    <t>Large Cap</t>
  </si>
  <si>
    <t>HDFC Bank Ltd</t>
  </si>
  <si>
    <t>INE040A01034</t>
  </si>
  <si>
    <t>Bajaj Finance Ltd</t>
  </si>
  <si>
    <t>INE296A01032</t>
  </si>
  <si>
    <t>Finance</t>
  </si>
  <si>
    <t>J.B. Chemicals &amp; Pharmaceuticals Ltd</t>
  </si>
  <si>
    <t>INE572A01036</t>
  </si>
  <si>
    <t>Pharmaceuticals &amp; Biotechnology</t>
  </si>
  <si>
    <t>Small Cap</t>
  </si>
  <si>
    <t>Global Health Ltd</t>
  </si>
  <si>
    <t>INE474Q01031</t>
  </si>
  <si>
    <t>Healthcare Services</t>
  </si>
  <si>
    <t>Mid Cap</t>
  </si>
  <si>
    <t>Bharti Airtel Ltd</t>
  </si>
  <si>
    <t>INE397D01024</t>
  </si>
  <si>
    <t>Telecom - Services</t>
  </si>
  <si>
    <t>Varun Beverages Ltd</t>
  </si>
  <si>
    <t>INE200M01039</t>
  </si>
  <si>
    <t>Beverages</t>
  </si>
  <si>
    <t>Benchmark: CRISIL Hybrid 85+15 - Conservative Index</t>
  </si>
  <si>
    <t>Larsen &amp; Toubro Ltd</t>
  </si>
  <si>
    <t>INE018A01030</t>
  </si>
  <si>
    <t>Construction</t>
  </si>
  <si>
    <t>Eternal Ltd</t>
  </si>
  <si>
    <t>INE758T01015</t>
  </si>
  <si>
    <t>Retailing</t>
  </si>
  <si>
    <t>Axis Bank Ltd</t>
  </si>
  <si>
    <t>INE238A01034</t>
  </si>
  <si>
    <t>Britannia Industries Ltd</t>
  </si>
  <si>
    <t>INE216A01030</t>
  </si>
  <si>
    <t>Food Products</t>
  </si>
  <si>
    <t>Chalet Hotels Ltd</t>
  </si>
  <si>
    <t>INE427F01016</t>
  </si>
  <si>
    <t>Leisure Services</t>
  </si>
  <si>
    <t>Dr. Lal Path Labs Ltd</t>
  </si>
  <si>
    <t>INE600L01024</t>
  </si>
  <si>
    <t>Interglobe Aviation Ltd</t>
  </si>
  <si>
    <t>INE646L01027</t>
  </si>
  <si>
    <t>Transport Services</t>
  </si>
  <si>
    <t>Cholamandalam Investment and Finance Co Ltd</t>
  </si>
  <si>
    <t>INE121A01024</t>
  </si>
  <si>
    <t>Home First Finance Co India Ltd</t>
  </si>
  <si>
    <t>INE481N01025</t>
  </si>
  <si>
    <t>Max Healthcare Institute Ltd</t>
  </si>
  <si>
    <t>INE027H01010</t>
  </si>
  <si>
    <t>Trent Ltd</t>
  </si>
  <si>
    <t>INE849A01020</t>
  </si>
  <si>
    <t>Computer Age Management Services Ltd</t>
  </si>
  <si>
    <t>INE596I01020</t>
  </si>
  <si>
    <t>Capital Markets</t>
  </si>
  <si>
    <t>Ultratech Cement Ltd</t>
  </si>
  <si>
    <t>INE481G01011</t>
  </si>
  <si>
    <t>Cement &amp; Cement Products</t>
  </si>
  <si>
    <t>Mrs Bectors Food Specialities Ltd</t>
  </si>
  <si>
    <t>INE495P01020</t>
  </si>
  <si>
    <t>Tech Mahindra Ltd</t>
  </si>
  <si>
    <t>INE669C01036</t>
  </si>
  <si>
    <t>IT - Software</t>
  </si>
  <si>
    <t>Kotak Mahindra Bank Ltd</t>
  </si>
  <si>
    <t>INE237A01036</t>
  </si>
  <si>
    <t>Tata Capital Ltd</t>
  </si>
  <si>
    <t>INE976I01016</t>
  </si>
  <si>
    <t>Motherson Sumi Wiring India Ltd</t>
  </si>
  <si>
    <t>INE0FS801015</t>
  </si>
  <si>
    <t>Auto Components</t>
  </si>
  <si>
    <t>Cera Sanitaryware Ltd</t>
  </si>
  <si>
    <t>INE739E01017</t>
  </si>
  <si>
    <t>Consumer Durables</t>
  </si>
  <si>
    <t>Reliance Industries Ltd</t>
  </si>
  <si>
    <t>INE002A01018</t>
  </si>
  <si>
    <t>Petroleum Products</t>
  </si>
  <si>
    <t>Aditya Birla Real Estate Ltd</t>
  </si>
  <si>
    <t>INE055A01016</t>
  </si>
  <si>
    <t>Realty</t>
  </si>
  <si>
    <t>Shriram Finance Ltd</t>
  </si>
  <si>
    <t>INE721A01047</t>
  </si>
  <si>
    <t>MOIL Ltd</t>
  </si>
  <si>
    <t>INE490G01020</t>
  </si>
  <si>
    <t>Minerals &amp; Mining</t>
  </si>
  <si>
    <t>Bajaj Auto Ltd</t>
  </si>
  <si>
    <t>INE917I01010</t>
  </si>
  <si>
    <t>Automobiles</t>
  </si>
  <si>
    <t>Ltm Ltd</t>
  </si>
  <si>
    <t>INE214T01019</t>
  </si>
  <si>
    <t>Radico Khaitan Ltd</t>
  </si>
  <si>
    <t>INE944F01028</t>
  </si>
  <si>
    <t>Jubilant Foodworks Ltd</t>
  </si>
  <si>
    <t>INE797F01020</t>
  </si>
  <si>
    <t>Innova Captab Ltd</t>
  </si>
  <si>
    <t>INE0DUT01020</t>
  </si>
  <si>
    <t>Bharat Electronics Ltd</t>
  </si>
  <si>
    <t>INE263A01024</t>
  </si>
  <si>
    <t>Aerospace &amp; Defense</t>
  </si>
  <si>
    <t>Info Edge (India) Ltd</t>
  </si>
  <si>
    <t>INE663F01032</t>
  </si>
  <si>
    <t>Titagarh Rail Systems Ltd</t>
  </si>
  <si>
    <t>INE615H01020</t>
  </si>
  <si>
    <t>Industrial Manufacturing</t>
  </si>
  <si>
    <t>Gujarat Gas Ltd</t>
  </si>
  <si>
    <t>INE844O01030</t>
  </si>
  <si>
    <t>Gas</t>
  </si>
  <si>
    <t>Havells India Ltd</t>
  </si>
  <si>
    <t>INE176B01034</t>
  </si>
  <si>
    <t>Dr. Agarwals Health Care Ltd</t>
  </si>
  <si>
    <t>INE943P01029</t>
  </si>
  <si>
    <t>FSN E-Commerce Ventures Ltd</t>
  </si>
  <si>
    <t>INE388Y01029</t>
  </si>
  <si>
    <t>Vishal Mega Mart Ltd</t>
  </si>
  <si>
    <t>INE01EA01019</t>
  </si>
  <si>
    <t>Sub Total</t>
  </si>
  <si>
    <t>Total</t>
  </si>
  <si>
    <t>Debt Instruments</t>
  </si>
  <si>
    <t>7.51% REC Ltd (31/07/2026) **</t>
  </si>
  <si>
    <t>INE020B08EI8</t>
  </si>
  <si>
    <t>CRISIL AAA</t>
  </si>
  <si>
    <t>7.02% Bajaj Housing Finance Ltd (26/05/2028) **</t>
  </si>
  <si>
    <t>INE377Y07565</t>
  </si>
  <si>
    <t>9.00% HDFC Bank Ltd (29/11/2028) **</t>
  </si>
  <si>
    <t>INE040A08AB1</t>
  </si>
  <si>
    <t>8.12% Bajaj Finance Ltd (10/09/2027) **</t>
  </si>
  <si>
    <t>INE296A07TC9</t>
  </si>
  <si>
    <t>8.08% Kotak Mahindra Prime Ltd (21/10/2027) **</t>
  </si>
  <si>
    <t>INE916DA7SV2</t>
  </si>
  <si>
    <t>7.79% Small Industries Development Bank Of India (14/05/2027) **</t>
  </si>
  <si>
    <t>INE556F08KM1</t>
  </si>
  <si>
    <t>7.42% Power Finance Corporation Ltd (15/04/2028) **</t>
  </si>
  <si>
    <t>INE134E08NL6</t>
  </si>
  <si>
    <t>7.75% LIC Housing Finance Ltd (23/08/2029) **</t>
  </si>
  <si>
    <t>INE115A07QU9</t>
  </si>
  <si>
    <t>7.68% LIC Housing Finance Ltd (29/05/2034) **</t>
  </si>
  <si>
    <t>INE115A07QR5</t>
  </si>
  <si>
    <t>6.14% Indian Oil Corporation Ltd (18/02/2027) **</t>
  </si>
  <si>
    <t>INE242A08502</t>
  </si>
  <si>
    <t>8.55% HDFC Bank Ltd (27/03/2029) **</t>
  </si>
  <si>
    <t>INE040A08724</t>
  </si>
  <si>
    <t>7.63% Grasim industries Ltd (01/12/2027) **</t>
  </si>
  <si>
    <t>INE047A08208</t>
  </si>
  <si>
    <t>7.62% National Bank For Agriculture &amp; Rural Development (31/01/2028) **</t>
  </si>
  <si>
    <t>INE261F08DV4</t>
  </si>
  <si>
    <t>8.40% Power Grid Corporation of India Ltd (27/05/2027) **</t>
  </si>
  <si>
    <t>INE752E07MT2</t>
  </si>
  <si>
    <t>8.45% Indian Railway Finance Corporation Ltd (04/12/2028) **</t>
  </si>
  <si>
    <t>INE053F07AY7</t>
  </si>
  <si>
    <t>Money Market Instruments</t>
  </si>
  <si>
    <t>Certificate of Deposit</t>
  </si>
  <si>
    <t>Punjab National Bank (15/09/2026) #</t>
  </si>
  <si>
    <t>INE160A16UT0</t>
  </si>
  <si>
    <t>CARE A1+</t>
  </si>
  <si>
    <t>National Bank For Agriculture &amp; Rural Development (22/01/2027) ** #</t>
  </si>
  <si>
    <t>INE261F16AF6</t>
  </si>
  <si>
    <t>ICRA A1+</t>
  </si>
  <si>
    <t>National Bank For Agriculture &amp; Rural Development (03/02/2027) ** #</t>
  </si>
  <si>
    <t>INE261F16AI0</t>
  </si>
  <si>
    <t>CRISIL A1+</t>
  </si>
  <si>
    <t>Treasury Bill</t>
  </si>
  <si>
    <t>364 DTB (10-SEP-2026)</t>
  </si>
  <si>
    <t>IN002025Z245</t>
  </si>
  <si>
    <t xml:space="preserve"> Sovereign</t>
  </si>
  <si>
    <t>Government Bonds</t>
  </si>
  <si>
    <t>GOI FRB 2033 (22-SEP-2033)</t>
  </si>
  <si>
    <t>IN0020200120</t>
  </si>
  <si>
    <t>Sovereign</t>
  </si>
  <si>
    <t>GOI FRB 2034 (30-OCT-2034)</t>
  </si>
  <si>
    <t>IN0020210137</t>
  </si>
  <si>
    <t>7.18% MAHARASHTRA SDL 28-JUN-29</t>
  </si>
  <si>
    <t>IN2220170038</t>
  </si>
  <si>
    <t>8.15% RAJASTHAN SDL 16-APR-29</t>
  </si>
  <si>
    <t>IN2920190021</t>
  </si>
  <si>
    <t>6.68% GOI 2033 (27-JAN-2033)</t>
  </si>
  <si>
    <t>IN0020250133</t>
  </si>
  <si>
    <t>6.28% GOI 2032 (14-JUL-2032)</t>
  </si>
  <si>
    <t>IN0020250059</t>
  </si>
  <si>
    <t>7.59% RAJASTHAN SDL 04-JUN-29</t>
  </si>
  <si>
    <t>IN2920190054</t>
  </si>
  <si>
    <t>6.94% GOI 2036 (11-MAY-2036)</t>
  </si>
  <si>
    <t>IN0020260025</t>
  </si>
  <si>
    <t>7.11% TAMIL NADU SDL 31-JUL-29</t>
  </si>
  <si>
    <t>IN3120190068</t>
  </si>
  <si>
    <t>6.60% GUJARAT SDL 20-MAY-29</t>
  </si>
  <si>
    <t>IN1520200032</t>
  </si>
  <si>
    <t>7.49% RAJASTHAN SDL 28-AUG-35</t>
  </si>
  <si>
    <t>IN2920250163</t>
  </si>
  <si>
    <t>8.53% GUJARAT SDL 20-NOV-28</t>
  </si>
  <si>
    <t>IN1520180192</t>
  </si>
  <si>
    <t>8.34% UTTAR PRADESH SDL 06-FEB-29</t>
  </si>
  <si>
    <t>IN3320180141</t>
  </si>
  <si>
    <t>7.48% KERALA SDL 23-AUG-32</t>
  </si>
  <si>
    <t>IN2020170089</t>
  </si>
  <si>
    <t>6.55% ANDHRA PRADESH SDL 27-MAY-28</t>
  </si>
  <si>
    <t>IN1020200144</t>
  </si>
  <si>
    <t>7.72% INDIA GOVERNMENT 26-OCT-55</t>
  </si>
  <si>
    <t>IN0020150077</t>
  </si>
  <si>
    <t>Alternative Investment Fund</t>
  </si>
  <si>
    <t>CORPORATE DEBT MARKET DEVELOPMENT FUND CLASS A2</t>
  </si>
  <si>
    <t>INF0RQ622028</t>
  </si>
  <si>
    <t>TREPS</t>
  </si>
  <si>
    <t>Net Receivables / (Payables)</t>
  </si>
  <si>
    <t>Grand Total</t>
  </si>
  <si>
    <t>** Non Traded Security</t>
  </si>
  <si>
    <t>#  Unlisted Security</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</si>
  <si>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</si>
  <si>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Modified Duration (In Years)</t>
  </si>
  <si>
    <t>Annualised Portfolio YTM</t>
  </si>
  <si>
    <t>Macaulay Duration (In Years)</t>
  </si>
  <si>
    <t>Average Maturity Yrs</t>
  </si>
  <si>
    <t>Notes</t>
  </si>
  <si>
    <t>(1)  The provision made for Securities classified as below investment grade or default as of May,31 2026 and its percentage to Net Asset Value</t>
  </si>
  <si>
    <t xml:space="preserve">       Total Securities classified as below investment grade or default provided for ( Rs. In lacs)</t>
  </si>
  <si>
    <t xml:space="preserve">       Total quantum of Securities classified as below investment grade or default in the portfolio as on May,31 2026 ( Rs. In lacs)</t>
  </si>
  <si>
    <t>(2)  Aggregate value of illiquid shares of the fund amounts to Rs. Nil and their percentage to Net Asset value is Nil.</t>
  </si>
  <si>
    <t>(3)  Plan/option wise per unit Net Asset Value are as follows:</t>
  </si>
  <si>
    <t xml:space="preserve">      Plan/Option</t>
  </si>
  <si>
    <t>As on April,30 2026</t>
  </si>
  <si>
    <t>As on May,29 2026</t>
  </si>
  <si>
    <t xml:space="preserve">      REGULAR PLAN - GROWTH OPTION</t>
  </si>
  <si>
    <t xml:space="preserve">      REGULAR PLAN - MONTHLY IDCW (Payout/Reinvestment)</t>
  </si>
  <si>
    <t xml:space="preserve">      REGULAR PLAN - QUARTERLY IDCW (Payout/Reinvestment)</t>
  </si>
  <si>
    <t xml:space="preserve">      DIRECT PLAN - GROWTH OPTION</t>
  </si>
  <si>
    <t xml:space="preserve">      DIRECT PLAN - MONTHLY IDCW (Payout/Reinvestment)</t>
  </si>
  <si>
    <t xml:space="preserve">      DIRECT PLAN - QUARTERLY IDCW (Payout/Reinvestment)</t>
  </si>
  <si>
    <t>(4) Details of Dividend declared per unit (In Rupees) during the month are as follows</t>
  </si>
  <si>
    <t>Individuals/HUF</t>
  </si>
  <si>
    <t>Others</t>
  </si>
  <si>
    <t>(5) Total outstanding exposure in derivative instruments as on May,31 2026 is Nil.</t>
  </si>
  <si>
    <t>(6) Total Market value of investments in Foreign Securities/American Depositary Receipts/Global Depositary Receipts as at May,31 2026 is Rs. Nil .</t>
  </si>
  <si>
    <t>(7)  During the period, the portfolio turnover ratio is 1.37 times.</t>
  </si>
  <si>
    <t>(8)  Details of repo transaction in corporate debt securities for the month ended May,31 2026 is Nil.</t>
  </si>
  <si>
    <t>Please refer the below link for the performance of the Schemes managed by Canara Robeco Mutual Fund</t>
  </si>
  <si>
    <t>https://www.canararobeco.com/docs/default-source/default-document-library/Scheme_Performance_May_26.pdf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</si>
</sst>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12" x14ac:knownFonts="1">
    <font>
      <sz val="11"/>
      <color theme="1"/>
      <name val="Calibri"/>
      <family val="2"/>
      <scheme val="minor"/>
    </font>
    <font>
      <sz val="11"/>
      <color theme="1"/>
      <name val="Calibri"/>
      <family val="2"/>
      <scheme val="minor"/>
    </font>
    <font>
      <u/>
      <sz val="11"/>
      <color theme="10"/>
      <name val="Calibri"/>
      <family val="2"/>
      <scheme val="minor"/>
    </font>
    <font>
      <b/>
      <sz val="16"/>
      <color indexed="63"/>
      <name val="Arial"/>
      <family val="2"/>
    </font>
    <font>
      <sz val="9"/>
      <color theme="1"/>
      <name val="Arial"/>
      <family val="2"/>
    </font>
    <font>
      <b/>
      <sz val="12"/>
      <name val="Arial"/>
      <family val="2"/>
    </font>
    <font>
      <b/>
      <sz val="9"/>
      <name val="Arial"/>
      <family val="2"/>
    </font>
    <font>
      <sz val="9"/>
      <name val="Arial"/>
      <family val="2"/>
    </font>
    <font>
      <b/>
      <sz val="9"/>
      <color indexed="72"/>
      <name val="Arial"/>
      <family val="2"/>
    </font>
    <font>
      <b/>
      <sz val="11"/>
      <color theme="1"/>
      <name val="Taz SemiLight"/>
      <family val="2"/>
    </font>
    <font>
      <b/>
      <sz val="9"/>
      <color theme="1"/>
      <name val="Arial"/>
      <family val="2"/>
    </font>
    <font>
      <b/>
      <sz val="9"/>
      <color rgb="FFFF0000"/>
      <name val="Arial"/>
      <family val="2"/>
    </font>
  </fonts>
  <fills count="5">
    <fill>
      <patternFill patternType="none"/>
    </fill>
    <fill>
      <patternFill patternType="gray125"/>
    </fill>
    <fill>
      <patternFill patternType="solid">
        <fgColor indexed="42"/>
        <bgColor indexed="64"/>
      </patternFill>
    </fill>
    <fill>
      <patternFill patternType="solid">
        <fgColor indexed="65"/>
        <bgColor indexed="64"/>
      </patternFill>
    </fill>
    <fill>
      <patternFill patternType="solid">
        <fgColor rgb="FFD3D3D3"/>
        <bgColor indexed="64"/>
      </patternFill>
    </fill>
  </fills>
  <borders count="24">
    <border>
      <left/>
      <right/>
      <top/>
      <bottom/>
      <diagonal/>
    </border>
    <border>
      <left style="thin">
        <color indexed="64"/>
      </left>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0"/>
      </right>
      <top/>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0"/>
      </right>
      <top style="thin">
        <color indexed="64"/>
      </top>
      <bottom style="thin">
        <color indexed="0"/>
      </bottom>
      <diagonal/>
    </border>
    <border>
      <left style="thin">
        <color indexed="64"/>
      </left>
      <right style="thin">
        <color indexed="64"/>
      </right>
      <top style="thin">
        <color indexed="0"/>
      </top>
      <bottom/>
      <diagonal/>
    </border>
    <border>
      <left style="thin">
        <color indexed="0"/>
      </left>
      <right style="thin">
        <color indexed="0"/>
      </right>
      <top style="thin">
        <color indexed="0"/>
      </top>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style="thin">
        <color indexed="64"/>
      </bottom>
      <diagonal/>
    </border>
    <border>
      <left style="thin">
        <color indexed="0"/>
      </left>
      <right style="thin">
        <color indexed="0"/>
      </right>
      <top/>
      <bottom style="thin">
        <color indexed="64"/>
      </bottom>
      <diagonal/>
    </border>
    <border>
      <left style="thin">
        <color indexed="64"/>
      </left>
      <right style="thin">
        <color indexed="64"/>
      </right>
      <top style="thin">
        <color indexed="0"/>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57">
    <xf numFmtId="0" fontId="0" fillId="0" borderId="0" xfId="0"/>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3" borderId="0" xfId="0" applyFont="1" applyFill="1"/>
    <xf numFmtId="0" fontId="5" fillId="3" borderId="0" xfId="0" applyFont="1" applyFill="1" applyAlignment="1">
      <alignment horizontal="left" vertical="top"/>
    </xf>
    <xf numFmtId="0" fontId="6" fillId="3" borderId="0" xfId="0" applyFont="1" applyFill="1" applyAlignment="1">
      <alignment horizontal="left" vertical="top" wrapText="1"/>
    </xf>
    <xf numFmtId="0" fontId="7" fillId="3" borderId="0" xfId="0" applyFont="1" applyFill="1" applyAlignment="1">
      <alignment horizontal="left" vertical="top" wrapText="1"/>
    </xf>
    <xf numFmtId="4" fontId="7" fillId="3" borderId="0" xfId="0" applyNumberFormat="1" applyFont="1" applyFill="1" applyAlignment="1">
      <alignment horizontal="left" vertical="top" wrapText="1"/>
    </xf>
    <xf numFmtId="4" fontId="4" fillId="3" borderId="0" xfId="0" applyNumberFormat="1" applyFont="1" applyFill="1"/>
    <xf numFmtId="0" fontId="8" fillId="3" borderId="2" xfId="0" applyFont="1" applyFill="1" applyBorder="1" applyAlignment="1">
      <alignment horizontal="left" vertical="center"/>
    </xf>
    <xf numFmtId="0" fontId="8" fillId="3" borderId="3" xfId="0" applyFont="1" applyFill="1" applyBorder="1" applyAlignment="1">
      <alignment horizontal="center" vertical="center" wrapText="1"/>
    </xf>
    <xf numFmtId="4" fontId="8" fillId="3" borderId="3" xfId="0" applyNumberFormat="1" applyFont="1" applyFill="1" applyBorder="1" applyAlignment="1">
      <alignment horizontal="center" vertical="center" wrapText="1"/>
    </xf>
    <xf numFmtId="4" fontId="8" fillId="3" borderId="4" xfId="0" applyNumberFormat="1" applyFont="1" applyFill="1" applyBorder="1" applyAlignment="1">
      <alignment horizontal="center" vertical="center" wrapText="1"/>
    </xf>
    <xf numFmtId="0" fontId="9" fillId="0" borderId="5" xfId="0" applyFont="1" applyBorder="1" applyAlignment="1">
      <alignment horizontal="center" vertical="center" wrapText="1"/>
    </xf>
    <xf numFmtId="0" fontId="10" fillId="3" borderId="6" xfId="0" applyFont="1" applyFill="1" applyBorder="1"/>
    <xf numFmtId="0" fontId="4" fillId="3" borderId="7" xfId="0" applyFont="1" applyFill="1" applyBorder="1"/>
    <xf numFmtId="4" fontId="4" fillId="3" borderId="7" xfId="0" applyNumberFormat="1" applyFont="1" applyFill="1" applyBorder="1"/>
    <xf numFmtId="43" fontId="4" fillId="3" borderId="5" xfId="1" applyFont="1" applyFill="1" applyBorder="1" applyAlignment="1">
      <alignment horizontal="center"/>
    </xf>
    <xf numFmtId="43" fontId="4" fillId="3" borderId="8" xfId="1" applyFont="1" applyFill="1" applyBorder="1" applyAlignment="1">
      <alignment horizontal="center"/>
    </xf>
    <xf numFmtId="0" fontId="10" fillId="3" borderId="9" xfId="0" applyFont="1" applyFill="1" applyBorder="1"/>
    <xf numFmtId="0" fontId="4" fillId="3" borderId="10" xfId="0" applyFont="1" applyFill="1" applyBorder="1"/>
    <xf numFmtId="4" fontId="4" fillId="3" borderId="10" xfId="0" applyNumberFormat="1" applyFont="1" applyFill="1" applyBorder="1"/>
    <xf numFmtId="43" fontId="4" fillId="3" borderId="11" xfId="1" applyFont="1" applyFill="1" applyBorder="1" applyAlignment="1">
      <alignment horizontal="center"/>
    </xf>
    <xf numFmtId="0" fontId="4" fillId="3" borderId="9" xfId="0" applyFont="1" applyFill="1" applyBorder="1"/>
    <xf numFmtId="3" fontId="4" fillId="3" borderId="10" xfId="0" applyNumberFormat="1" applyFont="1" applyFill="1" applyBorder="1"/>
    <xf numFmtId="43" fontId="4" fillId="3" borderId="12" xfId="1" applyFont="1" applyFill="1" applyBorder="1" applyAlignment="1">
      <alignment horizontal="center"/>
    </xf>
    <xf numFmtId="43" fontId="4" fillId="3" borderId="0" xfId="1" applyFont="1" applyFill="1" applyAlignment="1"/>
    <xf numFmtId="0" fontId="10" fillId="3" borderId="13" xfId="0" applyFont="1" applyFill="1" applyBorder="1"/>
    <xf numFmtId="0" fontId="10" fillId="3" borderId="14" xfId="0" applyFont="1" applyFill="1" applyBorder="1"/>
    <xf numFmtId="4" fontId="10" fillId="3" borderId="15" xfId="0" applyNumberFormat="1" applyFont="1" applyFill="1" applyBorder="1"/>
    <xf numFmtId="0" fontId="10" fillId="3" borderId="0" xfId="0" applyFont="1" applyFill="1"/>
    <xf numFmtId="0" fontId="10" fillId="3" borderId="16" xfId="0" applyFont="1" applyFill="1" applyBorder="1"/>
    <xf numFmtId="4" fontId="10" fillId="3" borderId="16" xfId="0" applyNumberFormat="1" applyFont="1" applyFill="1" applyBorder="1"/>
    <xf numFmtId="4" fontId="10" fillId="3" borderId="0" xfId="0" applyNumberFormat="1" applyFont="1" applyFill="1"/>
    <xf numFmtId="0" fontId="10" fillId="3" borderId="17" xfId="0" applyFont="1" applyFill="1" applyBorder="1"/>
    <xf numFmtId="0" fontId="4" fillId="3" borderId="17" xfId="0" applyFont="1" applyFill="1" applyBorder="1"/>
    <xf numFmtId="4" fontId="4" fillId="3" borderId="17" xfId="0" applyNumberFormat="1" applyFont="1" applyFill="1" applyBorder="1"/>
    <xf numFmtId="0" fontId="10" fillId="3" borderId="10" xfId="0" applyFont="1" applyFill="1" applyBorder="1"/>
    <xf numFmtId="4" fontId="10" fillId="3" borderId="14" xfId="0" applyNumberFormat="1" applyFont="1" applyFill="1" applyBorder="1"/>
    <xf numFmtId="0" fontId="10" fillId="3" borderId="18" xfId="0" applyFont="1" applyFill="1" applyBorder="1"/>
    <xf numFmtId="4" fontId="10" fillId="3" borderId="18" xfId="0" applyNumberFormat="1" applyFont="1" applyFill="1" applyBorder="1"/>
    <xf numFmtId="4" fontId="10" fillId="3" borderId="19" xfId="0" applyNumberFormat="1" applyFont="1" applyFill="1" applyBorder="1"/>
    <xf numFmtId="4" fontId="10" fillId="3" borderId="10" xfId="0" applyNumberFormat="1" applyFont="1" applyFill="1" applyBorder="1"/>
    <xf numFmtId="0" fontId="4" fillId="3" borderId="20" xfId="0" applyFont="1" applyFill="1" applyBorder="1"/>
    <xf numFmtId="3" fontId="4" fillId="3" borderId="20" xfId="0" applyNumberFormat="1" applyFont="1" applyFill="1" applyBorder="1"/>
    <xf numFmtId="4" fontId="4" fillId="3" borderId="20" xfId="0" applyNumberFormat="1" applyFont="1" applyFill="1" applyBorder="1"/>
    <xf numFmtId="0" fontId="10" fillId="3" borderId="19" xfId="0" applyFont="1" applyFill="1" applyBorder="1"/>
    <xf numFmtId="0" fontId="10" fillId="3" borderId="21" xfId="0" applyFont="1" applyFill="1" applyBorder="1"/>
    <xf numFmtId="4" fontId="10" fillId="3" borderId="21" xfId="0" applyNumberFormat="1" applyFont="1" applyFill="1" applyBorder="1"/>
    <xf numFmtId="0" fontId="10" fillId="3" borderId="8" xfId="0" applyFont="1" applyFill="1" applyBorder="1"/>
    <xf numFmtId="4" fontId="10" fillId="3" borderId="8" xfId="0" applyNumberFormat="1" applyFont="1" applyFill="1" applyBorder="1"/>
    <xf numFmtId="0" fontId="10" fillId="3" borderId="0" xfId="0" applyFont="1" applyFill="1" applyAlignment="1">
      <alignment horizontal="left" vertical="top" wrapText="1"/>
    </xf>
    <xf numFmtId="0" fontId="11" fillId="4" borderId="22" xfId="0" applyFont="1" applyFill="1" applyBorder="1"/>
    <xf numFmtId="2" fontId="10" fillId="3" borderId="23" xfId="0" applyNumberFormat="1" applyFont="1" applyFill="1" applyBorder="1"/>
    <xf numFmtId="10" fontId="10" fillId="3" borderId="23" xfId="0" applyNumberFormat="1" applyFont="1" applyFill="1" applyBorder="1"/>
    <xf numFmtId="164" fontId="4" fillId="3" borderId="0" xfId="0" applyNumberFormat="1" applyFont="1" applyFill="1"/>
    <xf numFmtId="0" fontId="2" fillId="0" borderId="0" xfId="2" applyAlignment="1">
      <alignmen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03884-0554-4A67-BD6C-54902CD6E9F8}">
  <dimension ref="B1:N148"/>
  <sheetViews>
    <sheetView tabSelected="1" workbookViewId="0">
      <selection activeCell="B1" sqref="B1:I1"/>
    </sheetView>
  </sheetViews>
  <sheetFormatPr defaultRowHeight="12" x14ac:dyDescent="0.2"/>
  <cols>
    <col min="1" max="1" width="9.140625" style="3"/>
    <col min="2" max="2" width="60.28515625" style="3" bestFit="1" customWidth="1"/>
    <col min="3" max="3" width="13.5703125" style="3" bestFit="1" customWidth="1"/>
    <col min="4" max="4" width="27.85546875" style="3" bestFit="1" customWidth="1"/>
    <col min="5" max="5" width="8.85546875" style="3" bestFit="1" customWidth="1"/>
    <col min="6" max="6" width="15.28515625" style="8" bestFit="1" customWidth="1"/>
    <col min="7" max="7" width="7.42578125" style="8" bestFit="1" customWidth="1"/>
    <col min="8" max="8" width="13.5703125" style="8" customWidth="1"/>
    <col min="9" max="9" width="6.5703125" style="8" bestFit="1" customWidth="1"/>
    <col min="10" max="10" width="9.140625" style="3"/>
    <col min="11" max="11" width="31.5703125" style="3" customWidth="1"/>
    <col min="12" max="12" width="35.5703125" style="3" customWidth="1"/>
    <col min="13" max="13" width="31.42578125" style="3" customWidth="1"/>
    <col min="14" max="14" width="35.5703125" style="3" customWidth="1"/>
    <col min="15" max="16384" width="9.140625" style="3"/>
  </cols>
  <sheetData>
    <row r="1" spans="2:14" ht="21" customHeight="1" x14ac:dyDescent="0.2">
      <c r="B1" s="1" t="s">
        <v>0</v>
      </c>
      <c r="C1" s="2"/>
      <c r="D1" s="2"/>
      <c r="E1" s="2"/>
      <c r="F1" s="2"/>
      <c r="G1" s="2"/>
      <c r="H1" s="2"/>
      <c r="I1" s="2"/>
    </row>
    <row r="3" spans="2:14" ht="16.5" thickBot="1" x14ac:dyDescent="0.25">
      <c r="B3" s="4" t="s">
        <v>1</v>
      </c>
      <c r="C3" s="5"/>
      <c r="D3" s="6"/>
      <c r="E3" s="6"/>
      <c r="F3" s="7"/>
      <c r="G3" s="7"/>
      <c r="H3" s="7"/>
    </row>
    <row r="4" spans="2:14" ht="28.5" x14ac:dyDescent="0.2">
      <c r="B4" s="9" t="s">
        <v>2</v>
      </c>
      <c r="C4" s="10" t="s">
        <v>3</v>
      </c>
      <c r="D4" s="10" t="s">
        <v>4</v>
      </c>
      <c r="E4" s="10" t="s">
        <v>5</v>
      </c>
      <c r="F4" s="11" t="s">
        <v>6</v>
      </c>
      <c r="G4" s="12" t="s">
        <v>7</v>
      </c>
      <c r="H4" s="12" t="s">
        <v>8</v>
      </c>
      <c r="I4" s="12" t="s">
        <v>9</v>
      </c>
      <c r="K4" s="13" t="s">
        <v>10</v>
      </c>
      <c r="L4" s="13" t="s">
        <v>11</v>
      </c>
      <c r="M4" s="13" t="s">
        <v>12</v>
      </c>
      <c r="N4" s="13" t="s">
        <v>13</v>
      </c>
    </row>
    <row r="5" spans="2:14" x14ac:dyDescent="0.2">
      <c r="B5" s="14" t="s">
        <v>14</v>
      </c>
      <c r="C5" s="15"/>
      <c r="D5" s="15"/>
      <c r="E5" s="15"/>
      <c r="F5" s="16"/>
      <c r="G5" s="16"/>
      <c r="H5" s="16"/>
      <c r="I5" s="16"/>
      <c r="K5" s="17" t="e" vm="1">
        <v>#VALUE!</v>
      </c>
      <c r="L5" s="17" t="e" vm="2">
        <v>#VALUE!</v>
      </c>
      <c r="M5" s="18" t="e" vm="1">
        <v>#VALUE!</v>
      </c>
      <c r="N5" s="17" t="e" vm="2">
        <v>#VALUE!</v>
      </c>
    </row>
    <row r="6" spans="2:14" x14ac:dyDescent="0.2">
      <c r="B6" s="19" t="s">
        <v>15</v>
      </c>
      <c r="C6" s="20"/>
      <c r="D6" s="20"/>
      <c r="E6" s="20"/>
      <c r="F6" s="21"/>
      <c r="G6" s="21"/>
      <c r="H6" s="21"/>
      <c r="I6" s="21"/>
      <c r="K6" s="22"/>
      <c r="L6" s="22"/>
      <c r="M6" s="18"/>
      <c r="N6" s="22"/>
    </row>
    <row r="7" spans="2:14" x14ac:dyDescent="0.2">
      <c r="B7" s="23" t="s">
        <v>16</v>
      </c>
      <c r="C7" s="20" t="s">
        <v>17</v>
      </c>
      <c r="D7" s="20" t="s">
        <v>18</v>
      </c>
      <c r="E7" s="24">
        <v>121414</v>
      </c>
      <c r="F7" s="21">
        <v>1525.45</v>
      </c>
      <c r="G7" s="21">
        <v>1.79</v>
      </c>
      <c r="H7" s="21" t="s">
        <v>19</v>
      </c>
      <c r="I7" s="21"/>
      <c r="K7" s="22"/>
      <c r="L7" s="22"/>
      <c r="M7" s="18"/>
      <c r="N7" s="22"/>
    </row>
    <row r="8" spans="2:14" x14ac:dyDescent="0.2">
      <c r="B8" s="23" t="s">
        <v>20</v>
      </c>
      <c r="C8" s="20" t="s">
        <v>21</v>
      </c>
      <c r="D8" s="20" t="s">
        <v>18</v>
      </c>
      <c r="E8" s="24">
        <v>190064</v>
      </c>
      <c r="F8" s="21">
        <v>1415.12</v>
      </c>
      <c r="G8" s="21">
        <v>1.66</v>
      </c>
      <c r="H8" s="21" t="s">
        <v>19</v>
      </c>
      <c r="I8" s="21"/>
      <c r="K8" s="22"/>
      <c r="L8" s="22"/>
      <c r="M8" s="18"/>
      <c r="N8" s="22"/>
    </row>
    <row r="9" spans="2:14" x14ac:dyDescent="0.2">
      <c r="B9" s="23" t="s">
        <v>22</v>
      </c>
      <c r="C9" s="20" t="s">
        <v>23</v>
      </c>
      <c r="D9" s="20" t="s">
        <v>24</v>
      </c>
      <c r="E9" s="24">
        <v>119000</v>
      </c>
      <c r="F9" s="21">
        <v>1080.82</v>
      </c>
      <c r="G9" s="21">
        <v>1.27</v>
      </c>
      <c r="H9" s="21" t="s">
        <v>19</v>
      </c>
      <c r="I9" s="21"/>
      <c r="K9" s="22"/>
      <c r="L9" s="22"/>
      <c r="M9" s="18"/>
      <c r="N9" s="22"/>
    </row>
    <row r="10" spans="2:14" x14ac:dyDescent="0.2">
      <c r="B10" s="23" t="s">
        <v>25</v>
      </c>
      <c r="C10" s="20" t="s">
        <v>26</v>
      </c>
      <c r="D10" s="20" t="s">
        <v>27</v>
      </c>
      <c r="E10" s="24">
        <v>45000</v>
      </c>
      <c r="F10" s="21">
        <v>975.33</v>
      </c>
      <c r="G10" s="21">
        <v>1.1399999999999999</v>
      </c>
      <c r="H10" s="21" t="s">
        <v>28</v>
      </c>
      <c r="I10" s="21"/>
      <c r="K10" s="22"/>
      <c r="L10" s="22"/>
      <c r="M10" s="18"/>
      <c r="N10" s="22"/>
    </row>
    <row r="11" spans="2:14" x14ac:dyDescent="0.2">
      <c r="B11" s="23" t="s">
        <v>29</v>
      </c>
      <c r="C11" s="20" t="s">
        <v>30</v>
      </c>
      <c r="D11" s="20" t="s">
        <v>31</v>
      </c>
      <c r="E11" s="24">
        <v>63311</v>
      </c>
      <c r="F11" s="21">
        <v>752.77</v>
      </c>
      <c r="G11" s="21">
        <v>0.88</v>
      </c>
      <c r="H11" s="21" t="s">
        <v>32</v>
      </c>
      <c r="I11" s="21"/>
      <c r="K11" s="22"/>
      <c r="L11" s="22"/>
      <c r="M11" s="18"/>
      <c r="N11" s="22"/>
    </row>
    <row r="12" spans="2:14" x14ac:dyDescent="0.2">
      <c r="B12" s="23" t="s">
        <v>33</v>
      </c>
      <c r="C12" s="20" t="s">
        <v>34</v>
      </c>
      <c r="D12" s="20" t="s">
        <v>35</v>
      </c>
      <c r="E12" s="24">
        <v>39728</v>
      </c>
      <c r="F12" s="21">
        <v>726.63</v>
      </c>
      <c r="G12" s="21">
        <v>0.85</v>
      </c>
      <c r="H12" s="21" t="s">
        <v>19</v>
      </c>
      <c r="I12" s="21"/>
      <c r="K12" s="25"/>
      <c r="L12" s="25"/>
      <c r="M12" s="18"/>
      <c r="N12" s="25"/>
    </row>
    <row r="13" spans="2:14" x14ac:dyDescent="0.2">
      <c r="B13" s="23" t="s">
        <v>36</v>
      </c>
      <c r="C13" s="20" t="s">
        <v>37</v>
      </c>
      <c r="D13" s="20" t="s">
        <v>38</v>
      </c>
      <c r="E13" s="24">
        <v>134500</v>
      </c>
      <c r="F13" s="21">
        <v>710.16</v>
      </c>
      <c r="G13" s="21">
        <v>0.83</v>
      </c>
      <c r="H13" s="21" t="s">
        <v>19</v>
      </c>
      <c r="I13" s="21"/>
      <c r="K13" s="26"/>
      <c r="L13" s="26" t="s">
        <v>39</v>
      </c>
      <c r="M13" s="26"/>
    </row>
    <row r="14" spans="2:14" x14ac:dyDescent="0.2">
      <c r="B14" s="23" t="s">
        <v>40</v>
      </c>
      <c r="C14" s="20" t="s">
        <v>41</v>
      </c>
      <c r="D14" s="20" t="s">
        <v>42</v>
      </c>
      <c r="E14" s="24">
        <v>17305</v>
      </c>
      <c r="F14" s="21">
        <v>705.44</v>
      </c>
      <c r="G14" s="21">
        <v>0.83</v>
      </c>
      <c r="H14" s="21" t="s">
        <v>19</v>
      </c>
      <c r="I14" s="21"/>
    </row>
    <row r="15" spans="2:14" x14ac:dyDescent="0.2">
      <c r="B15" s="23" t="s">
        <v>43</v>
      </c>
      <c r="C15" s="20" t="s">
        <v>44</v>
      </c>
      <c r="D15" s="20" t="s">
        <v>45</v>
      </c>
      <c r="E15" s="24">
        <v>261746</v>
      </c>
      <c r="F15" s="21">
        <v>655.88</v>
      </c>
      <c r="G15" s="21">
        <v>0.77</v>
      </c>
      <c r="H15" s="21" t="s">
        <v>19</v>
      </c>
      <c r="I15" s="21"/>
    </row>
    <row r="16" spans="2:14" x14ac:dyDescent="0.2">
      <c r="B16" s="23" t="s">
        <v>46</v>
      </c>
      <c r="C16" s="20" t="s">
        <v>47</v>
      </c>
      <c r="D16" s="20" t="s">
        <v>18</v>
      </c>
      <c r="E16" s="24">
        <v>49970</v>
      </c>
      <c r="F16" s="21">
        <v>642.91</v>
      </c>
      <c r="G16" s="21">
        <v>0.75</v>
      </c>
      <c r="H16" s="21" t="s">
        <v>19</v>
      </c>
      <c r="I16" s="21"/>
    </row>
    <row r="17" spans="2:9" x14ac:dyDescent="0.2">
      <c r="B17" s="23" t="s">
        <v>48</v>
      </c>
      <c r="C17" s="20" t="s">
        <v>49</v>
      </c>
      <c r="D17" s="20" t="s">
        <v>50</v>
      </c>
      <c r="E17" s="24">
        <v>12000</v>
      </c>
      <c r="F17" s="21">
        <v>624.54</v>
      </c>
      <c r="G17" s="21">
        <v>0.73</v>
      </c>
      <c r="H17" s="21" t="s">
        <v>19</v>
      </c>
      <c r="I17" s="21"/>
    </row>
    <row r="18" spans="2:9" x14ac:dyDescent="0.2">
      <c r="B18" s="23" t="s">
        <v>51</v>
      </c>
      <c r="C18" s="20" t="s">
        <v>52</v>
      </c>
      <c r="D18" s="20" t="s">
        <v>53</v>
      </c>
      <c r="E18" s="24">
        <v>77007</v>
      </c>
      <c r="F18" s="21">
        <v>604.20000000000005</v>
      </c>
      <c r="G18" s="21">
        <v>0.71</v>
      </c>
      <c r="H18" s="21" t="s">
        <v>28</v>
      </c>
      <c r="I18" s="21"/>
    </row>
    <row r="19" spans="2:9" x14ac:dyDescent="0.2">
      <c r="B19" s="23" t="s">
        <v>54</v>
      </c>
      <c r="C19" s="20" t="s">
        <v>55</v>
      </c>
      <c r="D19" s="20" t="s">
        <v>31</v>
      </c>
      <c r="E19" s="24">
        <v>37384</v>
      </c>
      <c r="F19" s="21">
        <v>600.91</v>
      </c>
      <c r="G19" s="21">
        <v>0.7</v>
      </c>
      <c r="H19" s="21" t="s">
        <v>28</v>
      </c>
      <c r="I19" s="21"/>
    </row>
    <row r="20" spans="2:9" x14ac:dyDescent="0.2">
      <c r="B20" s="23" t="s">
        <v>56</v>
      </c>
      <c r="C20" s="20" t="s">
        <v>57</v>
      </c>
      <c r="D20" s="20" t="s">
        <v>58</v>
      </c>
      <c r="E20" s="24">
        <v>13502</v>
      </c>
      <c r="F20" s="21">
        <v>594.76</v>
      </c>
      <c r="G20" s="21">
        <v>0.7</v>
      </c>
      <c r="H20" s="21" t="s">
        <v>19</v>
      </c>
      <c r="I20" s="21"/>
    </row>
    <row r="21" spans="2:9" x14ac:dyDescent="0.2">
      <c r="B21" s="23" t="s">
        <v>59</v>
      </c>
      <c r="C21" s="20" t="s">
        <v>60</v>
      </c>
      <c r="D21" s="20" t="s">
        <v>24</v>
      </c>
      <c r="E21" s="24">
        <v>38000</v>
      </c>
      <c r="F21" s="21">
        <v>584.33000000000004</v>
      </c>
      <c r="G21" s="21">
        <v>0.68</v>
      </c>
      <c r="H21" s="21" t="s">
        <v>19</v>
      </c>
      <c r="I21" s="21"/>
    </row>
    <row r="22" spans="2:9" x14ac:dyDescent="0.2">
      <c r="B22" s="23" t="s">
        <v>61</v>
      </c>
      <c r="C22" s="20" t="s">
        <v>62</v>
      </c>
      <c r="D22" s="20" t="s">
        <v>24</v>
      </c>
      <c r="E22" s="24">
        <v>51370</v>
      </c>
      <c r="F22" s="21">
        <v>547.19000000000005</v>
      </c>
      <c r="G22" s="21">
        <v>0.64</v>
      </c>
      <c r="H22" s="21" t="s">
        <v>28</v>
      </c>
      <c r="I22" s="21"/>
    </row>
    <row r="23" spans="2:9" x14ac:dyDescent="0.2">
      <c r="B23" s="23" t="s">
        <v>63</v>
      </c>
      <c r="C23" s="20" t="s">
        <v>64</v>
      </c>
      <c r="D23" s="20" t="s">
        <v>31</v>
      </c>
      <c r="E23" s="24">
        <v>54500</v>
      </c>
      <c r="F23" s="21">
        <v>525.98</v>
      </c>
      <c r="G23" s="21">
        <v>0.62</v>
      </c>
      <c r="H23" s="21" t="s">
        <v>19</v>
      </c>
      <c r="I23" s="21"/>
    </row>
    <row r="24" spans="2:9" x14ac:dyDescent="0.2">
      <c r="B24" s="23" t="s">
        <v>65</v>
      </c>
      <c r="C24" s="20" t="s">
        <v>66</v>
      </c>
      <c r="D24" s="20" t="s">
        <v>45</v>
      </c>
      <c r="E24" s="24">
        <v>12400</v>
      </c>
      <c r="F24" s="21">
        <v>523.78</v>
      </c>
      <c r="G24" s="21">
        <v>0.61</v>
      </c>
      <c r="H24" s="21" t="s">
        <v>19</v>
      </c>
      <c r="I24" s="21"/>
    </row>
    <row r="25" spans="2:9" x14ac:dyDescent="0.2">
      <c r="B25" s="23" t="s">
        <v>67</v>
      </c>
      <c r="C25" s="20" t="s">
        <v>68</v>
      </c>
      <c r="D25" s="20" t="s">
        <v>69</v>
      </c>
      <c r="E25" s="24">
        <v>66117</v>
      </c>
      <c r="F25" s="21">
        <v>523.32000000000005</v>
      </c>
      <c r="G25" s="21">
        <v>0.61</v>
      </c>
      <c r="H25" s="21" t="s">
        <v>28</v>
      </c>
      <c r="I25" s="21"/>
    </row>
    <row r="26" spans="2:9" x14ac:dyDescent="0.2">
      <c r="B26" s="23" t="s">
        <v>70</v>
      </c>
      <c r="C26" s="20" t="s">
        <v>71</v>
      </c>
      <c r="D26" s="20" t="s">
        <v>72</v>
      </c>
      <c r="E26" s="24">
        <v>4100</v>
      </c>
      <c r="F26" s="21">
        <v>470.76</v>
      </c>
      <c r="G26" s="21">
        <v>0.55000000000000004</v>
      </c>
      <c r="H26" s="21" t="s">
        <v>19</v>
      </c>
      <c r="I26" s="21"/>
    </row>
    <row r="27" spans="2:9" x14ac:dyDescent="0.2">
      <c r="B27" s="23" t="s">
        <v>73</v>
      </c>
      <c r="C27" s="20" t="s">
        <v>74</v>
      </c>
      <c r="D27" s="20" t="s">
        <v>50</v>
      </c>
      <c r="E27" s="24">
        <v>266605</v>
      </c>
      <c r="F27" s="21">
        <v>457.79</v>
      </c>
      <c r="G27" s="21">
        <v>0.54</v>
      </c>
      <c r="H27" s="21" t="s">
        <v>28</v>
      </c>
      <c r="I27" s="21"/>
    </row>
    <row r="28" spans="2:9" x14ac:dyDescent="0.2">
      <c r="B28" s="23" t="s">
        <v>75</v>
      </c>
      <c r="C28" s="20" t="s">
        <v>76</v>
      </c>
      <c r="D28" s="20" t="s">
        <v>77</v>
      </c>
      <c r="E28" s="24">
        <v>29200</v>
      </c>
      <c r="F28" s="21">
        <v>433.3</v>
      </c>
      <c r="G28" s="21">
        <v>0.51</v>
      </c>
      <c r="H28" s="21" t="s">
        <v>19</v>
      </c>
      <c r="I28" s="21"/>
    </row>
    <row r="29" spans="2:9" x14ac:dyDescent="0.2">
      <c r="B29" s="23" t="s">
        <v>78</v>
      </c>
      <c r="C29" s="20" t="s">
        <v>79</v>
      </c>
      <c r="D29" s="20" t="s">
        <v>18</v>
      </c>
      <c r="E29" s="24">
        <v>110800</v>
      </c>
      <c r="F29" s="21">
        <v>425.69</v>
      </c>
      <c r="G29" s="21">
        <v>0.5</v>
      </c>
      <c r="H29" s="21" t="s">
        <v>19</v>
      </c>
      <c r="I29" s="21"/>
    </row>
    <row r="30" spans="2:9" x14ac:dyDescent="0.2">
      <c r="B30" s="23" t="s">
        <v>80</v>
      </c>
      <c r="C30" s="20" t="s">
        <v>81</v>
      </c>
      <c r="D30" s="20" t="s">
        <v>24</v>
      </c>
      <c r="E30" s="24">
        <v>130900</v>
      </c>
      <c r="F30" s="21">
        <v>400.42</v>
      </c>
      <c r="G30" s="21">
        <v>0.47</v>
      </c>
      <c r="H30" s="21" t="s">
        <v>19</v>
      </c>
      <c r="I30" s="21"/>
    </row>
    <row r="31" spans="2:9" x14ac:dyDescent="0.2">
      <c r="B31" s="23" t="s">
        <v>82</v>
      </c>
      <c r="C31" s="20" t="s">
        <v>83</v>
      </c>
      <c r="D31" s="20" t="s">
        <v>84</v>
      </c>
      <c r="E31" s="24">
        <v>964575</v>
      </c>
      <c r="F31" s="21">
        <v>375.89</v>
      </c>
      <c r="G31" s="21">
        <v>0.44</v>
      </c>
      <c r="H31" s="21" t="s">
        <v>28</v>
      </c>
      <c r="I31" s="21"/>
    </row>
    <row r="32" spans="2:9" x14ac:dyDescent="0.2">
      <c r="B32" s="23" t="s">
        <v>85</v>
      </c>
      <c r="C32" s="20" t="s">
        <v>86</v>
      </c>
      <c r="D32" s="20" t="s">
        <v>87</v>
      </c>
      <c r="E32" s="24">
        <v>6140</v>
      </c>
      <c r="F32" s="21">
        <v>341.66</v>
      </c>
      <c r="G32" s="21">
        <v>0.4</v>
      </c>
      <c r="H32" s="21" t="s">
        <v>28</v>
      </c>
      <c r="I32" s="21"/>
    </row>
    <row r="33" spans="2:9" x14ac:dyDescent="0.2">
      <c r="B33" s="23" t="s">
        <v>88</v>
      </c>
      <c r="C33" s="20" t="s">
        <v>89</v>
      </c>
      <c r="D33" s="20" t="s">
        <v>90</v>
      </c>
      <c r="E33" s="24">
        <v>23100</v>
      </c>
      <c r="F33" s="21">
        <v>305.2</v>
      </c>
      <c r="G33" s="21">
        <v>0.36</v>
      </c>
      <c r="H33" s="21" t="s">
        <v>19</v>
      </c>
      <c r="I33" s="21"/>
    </row>
    <row r="34" spans="2:9" x14ac:dyDescent="0.2">
      <c r="B34" s="23" t="s">
        <v>91</v>
      </c>
      <c r="C34" s="20" t="s">
        <v>92</v>
      </c>
      <c r="D34" s="20" t="s">
        <v>93</v>
      </c>
      <c r="E34" s="24">
        <v>23800</v>
      </c>
      <c r="F34" s="21">
        <v>296.02</v>
      </c>
      <c r="G34" s="21">
        <v>0.35</v>
      </c>
      <c r="H34" s="21" t="s">
        <v>28</v>
      </c>
      <c r="I34" s="21"/>
    </row>
    <row r="35" spans="2:9" x14ac:dyDescent="0.2">
      <c r="B35" s="23" t="s">
        <v>94</v>
      </c>
      <c r="C35" s="20" t="s">
        <v>95</v>
      </c>
      <c r="D35" s="20" t="s">
        <v>24</v>
      </c>
      <c r="E35" s="24">
        <v>30500</v>
      </c>
      <c r="F35" s="21">
        <v>288.88</v>
      </c>
      <c r="G35" s="21">
        <v>0.34</v>
      </c>
      <c r="H35" s="21" t="s">
        <v>19</v>
      </c>
      <c r="I35" s="21"/>
    </row>
    <row r="36" spans="2:9" x14ac:dyDescent="0.2">
      <c r="B36" s="23" t="s">
        <v>96</v>
      </c>
      <c r="C36" s="20" t="s">
        <v>97</v>
      </c>
      <c r="D36" s="20" t="s">
        <v>98</v>
      </c>
      <c r="E36" s="24">
        <v>95000</v>
      </c>
      <c r="F36" s="21">
        <v>282.58</v>
      </c>
      <c r="G36" s="21">
        <v>0.33</v>
      </c>
      <c r="H36" s="21" t="s">
        <v>28</v>
      </c>
      <c r="I36" s="21"/>
    </row>
    <row r="37" spans="2:9" x14ac:dyDescent="0.2">
      <c r="B37" s="23" t="s">
        <v>99</v>
      </c>
      <c r="C37" s="20" t="s">
        <v>100</v>
      </c>
      <c r="D37" s="20" t="s">
        <v>101</v>
      </c>
      <c r="E37" s="24">
        <v>2700</v>
      </c>
      <c r="F37" s="21">
        <v>282.42</v>
      </c>
      <c r="G37" s="21">
        <v>0.33</v>
      </c>
      <c r="H37" s="21" t="s">
        <v>19</v>
      </c>
      <c r="I37" s="21"/>
    </row>
    <row r="38" spans="2:9" x14ac:dyDescent="0.2">
      <c r="B38" s="23" t="s">
        <v>102</v>
      </c>
      <c r="C38" s="20" t="s">
        <v>103</v>
      </c>
      <c r="D38" s="20" t="s">
        <v>77</v>
      </c>
      <c r="E38" s="24">
        <v>5500</v>
      </c>
      <c r="F38" s="21">
        <v>223.39</v>
      </c>
      <c r="G38" s="21">
        <v>0.26</v>
      </c>
      <c r="H38" s="21" t="s">
        <v>19</v>
      </c>
      <c r="I38" s="21"/>
    </row>
    <row r="39" spans="2:9" x14ac:dyDescent="0.2">
      <c r="B39" s="23" t="s">
        <v>104</v>
      </c>
      <c r="C39" s="20" t="s">
        <v>105</v>
      </c>
      <c r="D39" s="20" t="s">
        <v>38</v>
      </c>
      <c r="E39" s="24">
        <v>6250</v>
      </c>
      <c r="F39" s="21">
        <v>219.91</v>
      </c>
      <c r="G39" s="21">
        <v>0.26</v>
      </c>
      <c r="H39" s="21" t="s">
        <v>32</v>
      </c>
      <c r="I39" s="21"/>
    </row>
    <row r="40" spans="2:9" x14ac:dyDescent="0.2">
      <c r="B40" s="23" t="s">
        <v>106</v>
      </c>
      <c r="C40" s="20" t="s">
        <v>107</v>
      </c>
      <c r="D40" s="20" t="s">
        <v>53</v>
      </c>
      <c r="E40" s="24">
        <v>35516</v>
      </c>
      <c r="F40" s="21">
        <v>151.83000000000001</v>
      </c>
      <c r="G40" s="21">
        <v>0.18</v>
      </c>
      <c r="H40" s="21" t="s">
        <v>32</v>
      </c>
      <c r="I40" s="21"/>
    </row>
    <row r="41" spans="2:9" x14ac:dyDescent="0.2">
      <c r="B41" s="23" t="s">
        <v>108</v>
      </c>
      <c r="C41" s="20" t="s">
        <v>109</v>
      </c>
      <c r="D41" s="20" t="s">
        <v>27</v>
      </c>
      <c r="E41" s="24">
        <v>17736</v>
      </c>
      <c r="F41" s="21">
        <v>150.83000000000001</v>
      </c>
      <c r="G41" s="21">
        <v>0.18</v>
      </c>
      <c r="H41" s="21" t="s">
        <v>28</v>
      </c>
      <c r="I41" s="21"/>
    </row>
    <row r="42" spans="2:9" x14ac:dyDescent="0.2">
      <c r="B42" s="23" t="s">
        <v>110</v>
      </c>
      <c r="C42" s="20" t="s">
        <v>111</v>
      </c>
      <c r="D42" s="20" t="s">
        <v>112</v>
      </c>
      <c r="E42" s="24">
        <v>34529</v>
      </c>
      <c r="F42" s="21">
        <v>141.83000000000001</v>
      </c>
      <c r="G42" s="21">
        <v>0.17</v>
      </c>
      <c r="H42" s="21" t="s">
        <v>19</v>
      </c>
      <c r="I42" s="21"/>
    </row>
    <row r="43" spans="2:9" x14ac:dyDescent="0.2">
      <c r="B43" s="23" t="s">
        <v>113</v>
      </c>
      <c r="C43" s="20" t="s">
        <v>114</v>
      </c>
      <c r="D43" s="20" t="s">
        <v>45</v>
      </c>
      <c r="E43" s="24">
        <v>14000</v>
      </c>
      <c r="F43" s="21">
        <v>139.30000000000001</v>
      </c>
      <c r="G43" s="21">
        <v>0.16</v>
      </c>
      <c r="H43" s="21" t="s">
        <v>32</v>
      </c>
      <c r="I43" s="21"/>
    </row>
    <row r="44" spans="2:9" x14ac:dyDescent="0.2">
      <c r="B44" s="23" t="s">
        <v>115</v>
      </c>
      <c r="C44" s="20" t="s">
        <v>116</v>
      </c>
      <c r="D44" s="20" t="s">
        <v>117</v>
      </c>
      <c r="E44" s="24">
        <v>16300</v>
      </c>
      <c r="F44" s="21">
        <v>134.66</v>
      </c>
      <c r="G44" s="21">
        <v>0.16</v>
      </c>
      <c r="H44" s="21" t="s">
        <v>28</v>
      </c>
      <c r="I44" s="21"/>
    </row>
    <row r="45" spans="2:9" x14ac:dyDescent="0.2">
      <c r="B45" s="23" t="s">
        <v>118</v>
      </c>
      <c r="C45" s="20" t="s">
        <v>119</v>
      </c>
      <c r="D45" s="20" t="s">
        <v>120</v>
      </c>
      <c r="E45" s="24">
        <v>33450</v>
      </c>
      <c r="F45" s="21">
        <v>134.18</v>
      </c>
      <c r="G45" s="21">
        <v>0.16</v>
      </c>
      <c r="H45" s="21" t="s">
        <v>28</v>
      </c>
      <c r="I45" s="21"/>
    </row>
    <row r="46" spans="2:9" x14ac:dyDescent="0.2">
      <c r="B46" s="23" t="s">
        <v>121</v>
      </c>
      <c r="C46" s="20" t="s">
        <v>122</v>
      </c>
      <c r="D46" s="20" t="s">
        <v>87</v>
      </c>
      <c r="E46" s="24">
        <v>10000</v>
      </c>
      <c r="F46" s="21">
        <v>117.68</v>
      </c>
      <c r="G46" s="21">
        <v>0.14000000000000001</v>
      </c>
      <c r="H46" s="21" t="s">
        <v>32</v>
      </c>
      <c r="I46" s="21"/>
    </row>
    <row r="47" spans="2:9" x14ac:dyDescent="0.2">
      <c r="B47" s="23" t="s">
        <v>123</v>
      </c>
      <c r="C47" s="20" t="s">
        <v>124</v>
      </c>
      <c r="D47" s="20" t="s">
        <v>31</v>
      </c>
      <c r="E47" s="24">
        <v>15900</v>
      </c>
      <c r="F47" s="21">
        <v>76.97</v>
      </c>
      <c r="G47" s="21">
        <v>0.09</v>
      </c>
      <c r="H47" s="21" t="s">
        <v>28</v>
      </c>
      <c r="I47" s="21"/>
    </row>
    <row r="48" spans="2:9" x14ac:dyDescent="0.2">
      <c r="B48" s="23" t="s">
        <v>125</v>
      </c>
      <c r="C48" s="20" t="s">
        <v>126</v>
      </c>
      <c r="D48" s="20" t="s">
        <v>45</v>
      </c>
      <c r="E48" s="24">
        <v>28100</v>
      </c>
      <c r="F48" s="21">
        <v>73.709999999999994</v>
      </c>
      <c r="G48" s="21">
        <v>0.09</v>
      </c>
      <c r="H48" s="21" t="s">
        <v>32</v>
      </c>
      <c r="I48" s="21"/>
    </row>
    <row r="49" spans="2:10" x14ac:dyDescent="0.2">
      <c r="B49" s="23" t="s">
        <v>127</v>
      </c>
      <c r="C49" s="20" t="s">
        <v>128</v>
      </c>
      <c r="D49" s="20" t="s">
        <v>45</v>
      </c>
      <c r="E49" s="24">
        <v>36000</v>
      </c>
      <c r="F49" s="21">
        <v>43.84</v>
      </c>
      <c r="G49" s="21">
        <v>0.05</v>
      </c>
      <c r="H49" s="21" t="s">
        <v>32</v>
      </c>
      <c r="I49" s="21"/>
    </row>
    <row r="50" spans="2:10" x14ac:dyDescent="0.2">
      <c r="B50" s="27" t="s">
        <v>129</v>
      </c>
      <c r="C50" s="28"/>
      <c r="D50" s="28"/>
      <c r="E50" s="28"/>
      <c r="F50" s="29">
        <f>SUM(F7:F49)</f>
        <v>20288.260000000006</v>
      </c>
      <c r="G50" s="29">
        <f>SUM(G7:G49)</f>
        <v>23.790000000000003</v>
      </c>
      <c r="H50" s="29"/>
      <c r="I50" s="29"/>
      <c r="J50" s="30"/>
    </row>
    <row r="51" spans="2:10" x14ac:dyDescent="0.2">
      <c r="B51" s="31" t="s">
        <v>130</v>
      </c>
      <c r="C51" s="31"/>
      <c r="D51" s="31"/>
      <c r="E51" s="31"/>
      <c r="F51" s="32">
        <f>F50</f>
        <v>20288.260000000006</v>
      </c>
      <c r="G51" s="32">
        <f>G50</f>
        <v>23.790000000000003</v>
      </c>
      <c r="H51" s="33"/>
      <c r="I51" s="33"/>
      <c r="J51" s="30"/>
    </row>
    <row r="52" spans="2:10" x14ac:dyDescent="0.2">
      <c r="B52" s="34" t="s">
        <v>131</v>
      </c>
      <c r="C52" s="35"/>
      <c r="D52" s="35"/>
      <c r="E52" s="35"/>
      <c r="F52" s="36"/>
      <c r="G52" s="36"/>
      <c r="H52" s="36"/>
      <c r="I52" s="36"/>
    </row>
    <row r="53" spans="2:10" x14ac:dyDescent="0.2">
      <c r="B53" s="37" t="s">
        <v>15</v>
      </c>
      <c r="C53" s="20"/>
      <c r="D53" s="20"/>
      <c r="E53" s="20"/>
      <c r="F53" s="21"/>
      <c r="G53" s="21"/>
      <c r="H53" s="21"/>
      <c r="I53" s="21"/>
    </row>
    <row r="54" spans="2:10" x14ac:dyDescent="0.2">
      <c r="B54" s="20" t="s">
        <v>132</v>
      </c>
      <c r="C54" s="20" t="s">
        <v>133</v>
      </c>
      <c r="D54" s="20" t="s">
        <v>134</v>
      </c>
      <c r="E54" s="24">
        <v>3500</v>
      </c>
      <c r="F54" s="21">
        <v>3496.69</v>
      </c>
      <c r="G54" s="21">
        <v>4.0999999999999996</v>
      </c>
      <c r="H54" s="21"/>
      <c r="I54" s="21">
        <v>7.61</v>
      </c>
    </row>
    <row r="55" spans="2:10" x14ac:dyDescent="0.2">
      <c r="B55" s="20" t="s">
        <v>135</v>
      </c>
      <c r="C55" s="20" t="s">
        <v>136</v>
      </c>
      <c r="D55" s="20" t="s">
        <v>134</v>
      </c>
      <c r="E55" s="24">
        <v>3000</v>
      </c>
      <c r="F55" s="21">
        <v>2946.27</v>
      </c>
      <c r="G55" s="21">
        <v>3.45</v>
      </c>
      <c r="H55" s="21"/>
      <c r="I55" s="21">
        <v>8.0299999999999994</v>
      </c>
    </row>
    <row r="56" spans="2:10" x14ac:dyDescent="0.2">
      <c r="B56" s="20" t="s">
        <v>137</v>
      </c>
      <c r="C56" s="20" t="s">
        <v>138</v>
      </c>
      <c r="D56" s="20" t="s">
        <v>134</v>
      </c>
      <c r="E56" s="24">
        <v>250</v>
      </c>
      <c r="F56" s="21">
        <v>2558.04</v>
      </c>
      <c r="G56" s="21">
        <v>3</v>
      </c>
      <c r="H56" s="21"/>
      <c r="I56" s="21">
        <v>7.9</v>
      </c>
    </row>
    <row r="57" spans="2:10" x14ac:dyDescent="0.2">
      <c r="B57" s="20" t="s">
        <v>139</v>
      </c>
      <c r="C57" s="20" t="s">
        <v>140</v>
      </c>
      <c r="D57" s="20" t="s">
        <v>134</v>
      </c>
      <c r="E57" s="24">
        <v>2500</v>
      </c>
      <c r="F57" s="21">
        <v>2501.94</v>
      </c>
      <c r="G57" s="21">
        <v>2.93</v>
      </c>
      <c r="H57" s="21"/>
      <c r="I57" s="21">
        <v>8</v>
      </c>
    </row>
    <row r="58" spans="2:10" x14ac:dyDescent="0.2">
      <c r="B58" s="20" t="s">
        <v>141</v>
      </c>
      <c r="C58" s="20" t="s">
        <v>142</v>
      </c>
      <c r="D58" s="20" t="s">
        <v>134</v>
      </c>
      <c r="E58" s="24">
        <v>2500</v>
      </c>
      <c r="F58" s="21">
        <v>2497.02</v>
      </c>
      <c r="G58" s="21">
        <v>2.93</v>
      </c>
      <c r="H58" s="21"/>
      <c r="I58" s="21">
        <v>8.1199999999999992</v>
      </c>
    </row>
    <row r="59" spans="2:10" x14ac:dyDescent="0.2">
      <c r="B59" s="20" t="s">
        <v>143</v>
      </c>
      <c r="C59" s="20" t="s">
        <v>144</v>
      </c>
      <c r="D59" s="20" t="s">
        <v>134</v>
      </c>
      <c r="E59" s="24">
        <v>2500</v>
      </c>
      <c r="F59" s="21">
        <v>2496.29</v>
      </c>
      <c r="G59" s="21">
        <v>2.92</v>
      </c>
      <c r="H59" s="21"/>
      <c r="I59" s="21">
        <v>7.95</v>
      </c>
    </row>
    <row r="60" spans="2:10" x14ac:dyDescent="0.2">
      <c r="B60" s="20" t="s">
        <v>145</v>
      </c>
      <c r="C60" s="20" t="s">
        <v>146</v>
      </c>
      <c r="D60" s="20" t="s">
        <v>134</v>
      </c>
      <c r="E60" s="24">
        <v>2500</v>
      </c>
      <c r="F60" s="21">
        <v>2485.4899999999998</v>
      </c>
      <c r="G60" s="21">
        <v>2.91</v>
      </c>
      <c r="H60" s="21"/>
      <c r="I60" s="21">
        <v>7.75</v>
      </c>
    </row>
    <row r="61" spans="2:10" x14ac:dyDescent="0.2">
      <c r="B61" s="20" t="s">
        <v>147</v>
      </c>
      <c r="C61" s="20" t="s">
        <v>148</v>
      </c>
      <c r="D61" s="20" t="s">
        <v>134</v>
      </c>
      <c r="E61" s="24">
        <v>2500</v>
      </c>
      <c r="F61" s="21">
        <v>2483.56</v>
      </c>
      <c r="G61" s="21">
        <v>2.91</v>
      </c>
      <c r="H61" s="21"/>
      <c r="I61" s="21">
        <v>7.97</v>
      </c>
    </row>
    <row r="62" spans="2:10" x14ac:dyDescent="0.2">
      <c r="B62" s="20" t="s">
        <v>149</v>
      </c>
      <c r="C62" s="20" t="s">
        <v>150</v>
      </c>
      <c r="D62" s="20" t="s">
        <v>134</v>
      </c>
      <c r="E62" s="24">
        <v>2500</v>
      </c>
      <c r="F62" s="21">
        <v>2464.67</v>
      </c>
      <c r="G62" s="21">
        <v>2.89</v>
      </c>
      <c r="H62" s="21"/>
      <c r="I62" s="21">
        <v>7.93</v>
      </c>
    </row>
    <row r="63" spans="2:10" x14ac:dyDescent="0.2">
      <c r="B63" s="20" t="s">
        <v>151</v>
      </c>
      <c r="C63" s="20" t="s">
        <v>152</v>
      </c>
      <c r="D63" s="20" t="s">
        <v>134</v>
      </c>
      <c r="E63" s="24">
        <v>200</v>
      </c>
      <c r="F63" s="21">
        <v>1975.94</v>
      </c>
      <c r="G63" s="21">
        <v>2.3199999999999998</v>
      </c>
      <c r="H63" s="21"/>
      <c r="I63" s="21">
        <v>7.78</v>
      </c>
    </row>
    <row r="64" spans="2:10" x14ac:dyDescent="0.2">
      <c r="B64" s="20" t="s">
        <v>153</v>
      </c>
      <c r="C64" s="20" t="s">
        <v>154</v>
      </c>
      <c r="D64" s="20" t="s">
        <v>134</v>
      </c>
      <c r="E64" s="24">
        <v>150</v>
      </c>
      <c r="F64" s="21">
        <v>1522.54</v>
      </c>
      <c r="G64" s="21">
        <v>1.78</v>
      </c>
      <c r="H64" s="21"/>
      <c r="I64" s="21">
        <v>7.92</v>
      </c>
    </row>
    <row r="65" spans="2:10" x14ac:dyDescent="0.2">
      <c r="B65" s="20" t="s">
        <v>155</v>
      </c>
      <c r="C65" s="20" t="s">
        <v>156</v>
      </c>
      <c r="D65" s="20" t="s">
        <v>134</v>
      </c>
      <c r="E65" s="24">
        <v>150</v>
      </c>
      <c r="F65" s="21">
        <v>1497.19</v>
      </c>
      <c r="G65" s="21">
        <v>1.75</v>
      </c>
      <c r="H65" s="21"/>
      <c r="I65" s="21">
        <v>7.72</v>
      </c>
    </row>
    <row r="66" spans="2:10" x14ac:dyDescent="0.2">
      <c r="B66" s="20" t="s">
        <v>157</v>
      </c>
      <c r="C66" s="20" t="s">
        <v>158</v>
      </c>
      <c r="D66" s="20" t="s">
        <v>134</v>
      </c>
      <c r="E66" s="24">
        <v>1500</v>
      </c>
      <c r="F66" s="21">
        <v>1494.45</v>
      </c>
      <c r="G66" s="21">
        <v>1.75</v>
      </c>
      <c r="H66" s="21"/>
      <c r="I66" s="21">
        <v>7.81</v>
      </c>
    </row>
    <row r="67" spans="2:10" x14ac:dyDescent="0.2">
      <c r="B67" s="20" t="s">
        <v>159</v>
      </c>
      <c r="C67" s="20" t="s">
        <v>160</v>
      </c>
      <c r="D67" s="20" t="s">
        <v>134</v>
      </c>
      <c r="E67" s="24">
        <v>50</v>
      </c>
      <c r="F67" s="21">
        <v>502.48</v>
      </c>
      <c r="G67" s="21">
        <v>0.59</v>
      </c>
      <c r="H67" s="21"/>
      <c r="I67" s="21">
        <v>7.85</v>
      </c>
    </row>
    <row r="68" spans="2:10" x14ac:dyDescent="0.2">
      <c r="B68" s="20" t="s">
        <v>161</v>
      </c>
      <c r="C68" s="20" t="s">
        <v>162</v>
      </c>
      <c r="D68" s="20" t="s">
        <v>134</v>
      </c>
      <c r="E68" s="24">
        <v>25</v>
      </c>
      <c r="F68" s="21">
        <v>253.89</v>
      </c>
      <c r="G68" s="21">
        <v>0.3</v>
      </c>
      <c r="H68" s="21"/>
      <c r="I68" s="21">
        <v>7.73</v>
      </c>
    </row>
    <row r="69" spans="2:10" x14ac:dyDescent="0.2">
      <c r="B69" s="28" t="s">
        <v>129</v>
      </c>
      <c r="C69" s="28"/>
      <c r="D69" s="28"/>
      <c r="E69" s="28"/>
      <c r="F69" s="29">
        <f>SUM(F53:F68)</f>
        <v>31176.46</v>
      </c>
      <c r="G69" s="29">
        <f>SUM(G53:G68)</f>
        <v>36.53</v>
      </c>
      <c r="H69" s="38"/>
      <c r="I69" s="38"/>
      <c r="J69" s="30"/>
    </row>
    <row r="70" spans="2:10" x14ac:dyDescent="0.2">
      <c r="B70" s="39" t="s">
        <v>130</v>
      </c>
      <c r="C70" s="39"/>
      <c r="D70" s="39"/>
      <c r="E70" s="39"/>
      <c r="F70" s="40">
        <f>F69</f>
        <v>31176.46</v>
      </c>
      <c r="G70" s="40">
        <f>G69</f>
        <v>36.53</v>
      </c>
      <c r="H70" s="40"/>
      <c r="I70" s="40"/>
      <c r="J70" s="30"/>
    </row>
    <row r="71" spans="2:10" x14ac:dyDescent="0.2">
      <c r="B71" s="37" t="s">
        <v>163</v>
      </c>
      <c r="C71" s="20"/>
      <c r="D71" s="20"/>
      <c r="E71" s="20"/>
      <c r="F71" s="21"/>
      <c r="G71" s="21"/>
      <c r="H71" s="21"/>
      <c r="I71" s="21"/>
    </row>
    <row r="72" spans="2:10" x14ac:dyDescent="0.2">
      <c r="B72" s="37" t="s">
        <v>164</v>
      </c>
      <c r="C72" s="20"/>
      <c r="D72" s="20"/>
      <c r="E72" s="20"/>
      <c r="F72" s="21"/>
      <c r="G72" s="21"/>
      <c r="H72" s="21"/>
      <c r="I72" s="21"/>
    </row>
    <row r="73" spans="2:10" x14ac:dyDescent="0.2">
      <c r="B73" s="20" t="s">
        <v>165</v>
      </c>
      <c r="C73" s="20" t="s">
        <v>166</v>
      </c>
      <c r="D73" s="20" t="s">
        <v>167</v>
      </c>
      <c r="E73" s="24">
        <v>500</v>
      </c>
      <c r="F73" s="21">
        <v>2446.88</v>
      </c>
      <c r="G73" s="21">
        <v>2.87</v>
      </c>
      <c r="H73" s="21"/>
      <c r="I73" s="21">
        <v>7.48</v>
      </c>
    </row>
    <row r="74" spans="2:10" x14ac:dyDescent="0.2">
      <c r="B74" s="20" t="s">
        <v>168</v>
      </c>
      <c r="C74" s="20" t="s">
        <v>169</v>
      </c>
      <c r="D74" s="20" t="s">
        <v>170</v>
      </c>
      <c r="E74" s="24">
        <v>500</v>
      </c>
      <c r="F74" s="21">
        <v>2379.73</v>
      </c>
      <c r="G74" s="21">
        <v>2.79</v>
      </c>
      <c r="H74" s="21"/>
      <c r="I74" s="21">
        <v>7.85</v>
      </c>
    </row>
    <row r="75" spans="2:10" x14ac:dyDescent="0.2">
      <c r="B75" s="20" t="s">
        <v>171</v>
      </c>
      <c r="C75" s="20" t="s">
        <v>172</v>
      </c>
      <c r="D75" s="20" t="s">
        <v>173</v>
      </c>
      <c r="E75" s="24">
        <v>500</v>
      </c>
      <c r="F75" s="21">
        <v>2373.9</v>
      </c>
      <c r="G75" s="21">
        <v>2.78</v>
      </c>
      <c r="H75" s="21"/>
      <c r="I75" s="21">
        <v>7.85</v>
      </c>
    </row>
    <row r="76" spans="2:10" x14ac:dyDescent="0.2">
      <c r="B76" s="37" t="s">
        <v>129</v>
      </c>
      <c r="C76" s="37"/>
      <c r="D76" s="37"/>
      <c r="E76" s="37"/>
      <c r="F76" s="41">
        <f>SUM(F72:F75)</f>
        <v>7200.51</v>
      </c>
      <c r="G76" s="41">
        <f>SUM(G72:G75)</f>
        <v>8.44</v>
      </c>
      <c r="H76" s="42"/>
      <c r="I76" s="42"/>
      <c r="J76" s="30"/>
    </row>
    <row r="77" spans="2:10" x14ac:dyDescent="0.2">
      <c r="B77" s="37" t="s">
        <v>174</v>
      </c>
      <c r="C77" s="20"/>
      <c r="D77" s="20"/>
      <c r="E77" s="20"/>
      <c r="F77" s="21"/>
      <c r="G77" s="21"/>
      <c r="H77" s="21"/>
      <c r="I77" s="21"/>
    </row>
    <row r="78" spans="2:10" x14ac:dyDescent="0.2">
      <c r="B78" s="20" t="s">
        <v>175</v>
      </c>
      <c r="C78" s="20" t="s">
        <v>176</v>
      </c>
      <c r="D78" s="20" t="s">
        <v>177</v>
      </c>
      <c r="E78" s="24">
        <v>500000</v>
      </c>
      <c r="F78" s="21">
        <v>492.43</v>
      </c>
      <c r="G78" s="21">
        <v>0.57999999999999996</v>
      </c>
      <c r="H78" s="21"/>
      <c r="I78" s="21">
        <v>5.56</v>
      </c>
    </row>
    <row r="79" spans="2:10" x14ac:dyDescent="0.2">
      <c r="B79" s="28" t="s">
        <v>129</v>
      </c>
      <c r="C79" s="28"/>
      <c r="D79" s="28"/>
      <c r="E79" s="28"/>
      <c r="F79" s="29">
        <f>SUM(F77:F78)</f>
        <v>492.43</v>
      </c>
      <c r="G79" s="29">
        <f>SUM(G77:G78)</f>
        <v>0.57999999999999996</v>
      </c>
      <c r="H79" s="38"/>
      <c r="I79" s="38"/>
      <c r="J79" s="30"/>
    </row>
    <row r="80" spans="2:10" x14ac:dyDescent="0.2">
      <c r="B80" s="39" t="s">
        <v>130</v>
      </c>
      <c r="C80" s="39"/>
      <c r="D80" s="39"/>
      <c r="E80" s="39"/>
      <c r="F80" s="40">
        <f>F76+F79</f>
        <v>7692.9400000000005</v>
      </c>
      <c r="G80" s="40">
        <f>G76+G79</f>
        <v>9.02</v>
      </c>
      <c r="H80" s="40"/>
      <c r="I80" s="40"/>
      <c r="J80" s="30"/>
    </row>
    <row r="81" spans="2:9" x14ac:dyDescent="0.2">
      <c r="B81" s="37" t="s">
        <v>178</v>
      </c>
      <c r="C81" s="20"/>
      <c r="D81" s="20"/>
      <c r="E81" s="20"/>
      <c r="F81" s="21"/>
      <c r="G81" s="21"/>
      <c r="H81" s="21"/>
      <c r="I81" s="21"/>
    </row>
    <row r="82" spans="2:9" x14ac:dyDescent="0.2">
      <c r="B82" s="20" t="s">
        <v>179</v>
      </c>
      <c r="C82" s="20" t="s">
        <v>180</v>
      </c>
      <c r="D82" s="20" t="s">
        <v>181</v>
      </c>
      <c r="E82" s="24">
        <v>3500000</v>
      </c>
      <c r="F82" s="21">
        <v>3636.5</v>
      </c>
      <c r="G82" s="21">
        <v>4.26</v>
      </c>
      <c r="H82" s="21"/>
      <c r="I82" s="21">
        <v>6.08</v>
      </c>
    </row>
    <row r="83" spans="2:9" x14ac:dyDescent="0.2">
      <c r="B83" s="20" t="s">
        <v>182</v>
      </c>
      <c r="C83" s="20" t="s">
        <v>183</v>
      </c>
      <c r="D83" s="20" t="s">
        <v>181</v>
      </c>
      <c r="E83" s="24">
        <v>3500000</v>
      </c>
      <c r="F83" s="21">
        <v>3595.2</v>
      </c>
      <c r="G83" s="21">
        <v>4.21</v>
      </c>
      <c r="H83" s="21"/>
      <c r="I83" s="21">
        <v>6.03</v>
      </c>
    </row>
    <row r="84" spans="2:9" x14ac:dyDescent="0.2">
      <c r="B84" s="20" t="s">
        <v>184</v>
      </c>
      <c r="C84" s="20" t="s">
        <v>185</v>
      </c>
      <c r="D84" s="20" t="s">
        <v>181</v>
      </c>
      <c r="E84" s="24">
        <v>2500000</v>
      </c>
      <c r="F84" s="21">
        <v>2492</v>
      </c>
      <c r="G84" s="21">
        <v>2.92</v>
      </c>
      <c r="H84" s="21"/>
      <c r="I84" s="21">
        <v>7.43</v>
      </c>
    </row>
    <row r="85" spans="2:9" x14ac:dyDescent="0.2">
      <c r="B85" s="20" t="s">
        <v>186</v>
      </c>
      <c r="C85" s="20" t="s">
        <v>187</v>
      </c>
      <c r="D85" s="20" t="s">
        <v>181</v>
      </c>
      <c r="E85" s="24">
        <v>1500000</v>
      </c>
      <c r="F85" s="21">
        <v>1530.14</v>
      </c>
      <c r="G85" s="21">
        <v>1.79</v>
      </c>
      <c r="H85" s="21"/>
      <c r="I85" s="21">
        <v>7.49</v>
      </c>
    </row>
    <row r="86" spans="2:9" x14ac:dyDescent="0.2">
      <c r="B86" s="20" t="s">
        <v>188</v>
      </c>
      <c r="C86" s="20" t="s">
        <v>189</v>
      </c>
      <c r="D86" s="20" t="s">
        <v>181</v>
      </c>
      <c r="E86" s="24">
        <v>1250000</v>
      </c>
      <c r="F86" s="21">
        <v>1229.6300000000001</v>
      </c>
      <c r="G86" s="21">
        <v>1.44</v>
      </c>
      <c r="H86" s="21"/>
      <c r="I86" s="21">
        <v>7.11</v>
      </c>
    </row>
    <row r="87" spans="2:9" x14ac:dyDescent="0.2">
      <c r="B87" s="20" t="s">
        <v>190</v>
      </c>
      <c r="C87" s="20" t="s">
        <v>191</v>
      </c>
      <c r="D87" s="20" t="s">
        <v>181</v>
      </c>
      <c r="E87" s="24">
        <v>1048600</v>
      </c>
      <c r="F87" s="21">
        <v>1016.04</v>
      </c>
      <c r="G87" s="21">
        <v>1.19</v>
      </c>
      <c r="H87" s="21"/>
      <c r="I87" s="21">
        <v>7.03</v>
      </c>
    </row>
    <row r="88" spans="2:9" x14ac:dyDescent="0.2">
      <c r="B88" s="20" t="s">
        <v>192</v>
      </c>
      <c r="C88" s="20" t="s">
        <v>193</v>
      </c>
      <c r="D88" s="20" t="s">
        <v>181</v>
      </c>
      <c r="E88" s="24">
        <v>1000000</v>
      </c>
      <c r="F88" s="21">
        <v>1006.46</v>
      </c>
      <c r="G88" s="21">
        <v>1.18</v>
      </c>
      <c r="H88" s="21"/>
      <c r="I88" s="21">
        <v>7.48</v>
      </c>
    </row>
    <row r="89" spans="2:9" x14ac:dyDescent="0.2">
      <c r="B89" s="20" t="s">
        <v>194</v>
      </c>
      <c r="C89" s="20" t="s">
        <v>195</v>
      </c>
      <c r="D89" s="20" t="s">
        <v>181</v>
      </c>
      <c r="E89" s="24">
        <v>1000000</v>
      </c>
      <c r="F89" s="21">
        <v>997.4</v>
      </c>
      <c r="G89" s="21">
        <v>1.17</v>
      </c>
      <c r="H89" s="21"/>
      <c r="I89" s="21">
        <v>7.1</v>
      </c>
    </row>
    <row r="90" spans="2:9" x14ac:dyDescent="0.2">
      <c r="B90" s="20" t="s">
        <v>196</v>
      </c>
      <c r="C90" s="20" t="s">
        <v>197</v>
      </c>
      <c r="D90" s="20" t="s">
        <v>181</v>
      </c>
      <c r="E90" s="24">
        <v>1000000</v>
      </c>
      <c r="F90" s="21">
        <v>993.5</v>
      </c>
      <c r="G90" s="21">
        <v>1.1599999999999999</v>
      </c>
      <c r="H90" s="21"/>
      <c r="I90" s="21">
        <v>7.47</v>
      </c>
    </row>
    <row r="91" spans="2:9" x14ac:dyDescent="0.2">
      <c r="B91" s="20" t="s">
        <v>198</v>
      </c>
      <c r="C91" s="20" t="s">
        <v>199</v>
      </c>
      <c r="D91" s="20" t="s">
        <v>181</v>
      </c>
      <c r="E91" s="24">
        <v>1000000</v>
      </c>
      <c r="F91" s="21">
        <v>981.97</v>
      </c>
      <c r="G91" s="21">
        <v>1.1499999999999999</v>
      </c>
      <c r="H91" s="21"/>
      <c r="I91" s="21">
        <v>7.42</v>
      </c>
    </row>
    <row r="92" spans="2:9" x14ac:dyDescent="0.2">
      <c r="B92" s="20" t="s">
        <v>200</v>
      </c>
      <c r="C92" s="20" t="s">
        <v>201</v>
      </c>
      <c r="D92" s="20" t="s">
        <v>181</v>
      </c>
      <c r="E92" s="24">
        <v>800000</v>
      </c>
      <c r="F92" s="21">
        <v>786.81</v>
      </c>
      <c r="G92" s="21">
        <v>0.92</v>
      </c>
      <c r="H92" s="21"/>
      <c r="I92" s="21">
        <v>7.89</v>
      </c>
    </row>
    <row r="93" spans="2:9" x14ac:dyDescent="0.2">
      <c r="B93" s="20" t="s">
        <v>202</v>
      </c>
      <c r="C93" s="20" t="s">
        <v>203</v>
      </c>
      <c r="D93" s="20" t="s">
        <v>181</v>
      </c>
      <c r="E93" s="24">
        <v>500000</v>
      </c>
      <c r="F93" s="21">
        <v>514.19000000000005</v>
      </c>
      <c r="G93" s="21">
        <v>0.6</v>
      </c>
      <c r="H93" s="21"/>
      <c r="I93" s="21">
        <v>7.38</v>
      </c>
    </row>
    <row r="94" spans="2:9" x14ac:dyDescent="0.2">
      <c r="B94" s="20" t="s">
        <v>204</v>
      </c>
      <c r="C94" s="20" t="s">
        <v>205</v>
      </c>
      <c r="D94" s="20" t="s">
        <v>181</v>
      </c>
      <c r="E94" s="24">
        <v>500000</v>
      </c>
      <c r="F94" s="21">
        <v>512.37</v>
      </c>
      <c r="G94" s="21">
        <v>0.6</v>
      </c>
      <c r="H94" s="21"/>
      <c r="I94" s="21">
        <v>7.43</v>
      </c>
    </row>
    <row r="95" spans="2:9" x14ac:dyDescent="0.2">
      <c r="B95" s="20" t="s">
        <v>206</v>
      </c>
      <c r="C95" s="20" t="s">
        <v>207</v>
      </c>
      <c r="D95" s="20" t="s">
        <v>181</v>
      </c>
      <c r="E95" s="24">
        <v>500000</v>
      </c>
      <c r="F95" s="21">
        <v>494.57</v>
      </c>
      <c r="G95" s="21">
        <v>0.57999999999999996</v>
      </c>
      <c r="H95" s="21"/>
      <c r="I95" s="21">
        <v>7.85</v>
      </c>
    </row>
    <row r="96" spans="2:9" x14ac:dyDescent="0.2">
      <c r="B96" s="20" t="s">
        <v>208</v>
      </c>
      <c r="C96" s="20" t="s">
        <v>209</v>
      </c>
      <c r="D96" s="20" t="s">
        <v>181</v>
      </c>
      <c r="E96" s="24">
        <v>500000</v>
      </c>
      <c r="F96" s="21">
        <v>494.34</v>
      </c>
      <c r="G96" s="21">
        <v>0.57999999999999996</v>
      </c>
      <c r="H96" s="21"/>
      <c r="I96" s="21">
        <v>7.3</v>
      </c>
    </row>
    <row r="97" spans="2:10" x14ac:dyDescent="0.2">
      <c r="B97" s="43" t="s">
        <v>210</v>
      </c>
      <c r="C97" s="43" t="s">
        <v>211</v>
      </c>
      <c r="D97" s="43" t="s">
        <v>181</v>
      </c>
      <c r="E97" s="44">
        <v>800</v>
      </c>
      <c r="F97" s="45">
        <v>0.8</v>
      </c>
      <c r="G97" s="45">
        <v>0</v>
      </c>
      <c r="H97" s="45"/>
      <c r="I97" s="45">
        <v>7.82</v>
      </c>
    </row>
    <row r="98" spans="2:10" x14ac:dyDescent="0.2">
      <c r="B98" s="46" t="s">
        <v>130</v>
      </c>
      <c r="C98" s="46"/>
      <c r="D98" s="46"/>
      <c r="E98" s="46"/>
      <c r="F98" s="41">
        <f>SUM(F82:F97)</f>
        <v>20281.920000000002</v>
      </c>
      <c r="G98" s="41">
        <f>SUM(G82:G97)</f>
        <v>23.749999999999996</v>
      </c>
      <c r="H98" s="41"/>
      <c r="I98" s="41"/>
      <c r="J98" s="30"/>
    </row>
    <row r="99" spans="2:10" x14ac:dyDescent="0.2">
      <c r="B99" s="37" t="s">
        <v>212</v>
      </c>
      <c r="C99" s="20"/>
      <c r="D99" s="20"/>
      <c r="E99" s="20"/>
      <c r="F99" s="21"/>
      <c r="G99" s="21"/>
      <c r="H99" s="21"/>
      <c r="I99" s="21"/>
    </row>
    <row r="100" spans="2:10" x14ac:dyDescent="0.2">
      <c r="B100" s="43" t="s">
        <v>213</v>
      </c>
      <c r="C100" s="43" t="s">
        <v>214</v>
      </c>
      <c r="D100" s="43" t="s">
        <v>212</v>
      </c>
      <c r="E100" s="44">
        <v>2753.8620000000001</v>
      </c>
      <c r="F100" s="45">
        <v>324.64999999999998</v>
      </c>
      <c r="G100" s="45">
        <v>0.38</v>
      </c>
      <c r="H100" s="45"/>
      <c r="I100" s="45">
        <v>5.8</v>
      </c>
    </row>
    <row r="101" spans="2:10" x14ac:dyDescent="0.2">
      <c r="B101" s="46" t="s">
        <v>130</v>
      </c>
      <c r="C101" s="46"/>
      <c r="D101" s="46"/>
      <c r="E101" s="46"/>
      <c r="F101" s="41">
        <f>SUM(F100:F100)</f>
        <v>324.64999999999998</v>
      </c>
      <c r="G101" s="41">
        <f>SUM(G100:G100)</f>
        <v>0.38</v>
      </c>
      <c r="H101" s="41"/>
      <c r="I101" s="41"/>
      <c r="J101" s="30"/>
    </row>
    <row r="102" spans="2:10" x14ac:dyDescent="0.2">
      <c r="B102" s="37" t="s">
        <v>215</v>
      </c>
      <c r="C102" s="20"/>
      <c r="D102" s="20"/>
      <c r="E102" s="20"/>
      <c r="F102" s="21"/>
      <c r="G102" s="21"/>
      <c r="H102" s="21"/>
      <c r="I102" s="21"/>
    </row>
    <row r="103" spans="2:10" x14ac:dyDescent="0.2">
      <c r="B103" s="20" t="s">
        <v>215</v>
      </c>
      <c r="C103" s="20"/>
      <c r="D103" s="20"/>
      <c r="E103" s="20"/>
      <c r="F103" s="21">
        <v>4916.1899999999996</v>
      </c>
      <c r="G103" s="21">
        <v>5.76</v>
      </c>
      <c r="H103" s="21"/>
      <c r="I103" s="21"/>
    </row>
    <row r="104" spans="2:10" x14ac:dyDescent="0.2">
      <c r="B104" s="28" t="s">
        <v>129</v>
      </c>
      <c r="C104" s="28"/>
      <c r="D104" s="28"/>
      <c r="E104" s="28"/>
      <c r="F104" s="29">
        <f>SUM(F102:F103)</f>
        <v>4916.1899999999996</v>
      </c>
      <c r="G104" s="29">
        <f>SUM(G102:G103)</f>
        <v>5.76</v>
      </c>
      <c r="H104" s="38"/>
      <c r="I104" s="38"/>
      <c r="J104" s="30"/>
    </row>
    <row r="105" spans="2:10" x14ac:dyDescent="0.2">
      <c r="B105" s="47" t="s">
        <v>130</v>
      </c>
      <c r="C105" s="47"/>
      <c r="D105" s="47"/>
      <c r="E105" s="47"/>
      <c r="F105" s="48">
        <f>F104</f>
        <v>4916.1899999999996</v>
      </c>
      <c r="G105" s="48">
        <f>G104</f>
        <v>5.76</v>
      </c>
      <c r="H105" s="48"/>
      <c r="I105" s="48"/>
      <c r="J105" s="30"/>
    </row>
    <row r="106" spans="2:10" x14ac:dyDescent="0.2">
      <c r="B106" s="49" t="s">
        <v>216</v>
      </c>
      <c r="C106" s="49"/>
      <c r="D106" s="49"/>
      <c r="E106" s="49"/>
      <c r="F106" s="50">
        <f>F107-(+F51+F70+F80+F98+F101+F105)</f>
        <v>672.25999999999476</v>
      </c>
      <c r="G106" s="50">
        <f>G107-(+G51+G70+G80+G98+G101+G105)</f>
        <v>0.76999999999999602</v>
      </c>
      <c r="H106" s="50"/>
      <c r="I106" s="50"/>
      <c r="J106" s="30"/>
    </row>
    <row r="107" spans="2:10" x14ac:dyDescent="0.2">
      <c r="B107" s="49" t="s">
        <v>217</v>
      </c>
      <c r="C107" s="49"/>
      <c r="D107" s="49"/>
      <c r="E107" s="49"/>
      <c r="F107" s="50">
        <v>85352.68</v>
      </c>
      <c r="G107" s="50">
        <v>100</v>
      </c>
      <c r="H107" s="50"/>
      <c r="I107" s="50"/>
      <c r="J107" s="30"/>
    </row>
    <row r="109" spans="2:10" x14ac:dyDescent="0.2">
      <c r="B109" s="30" t="s">
        <v>218</v>
      </c>
    </row>
    <row r="110" spans="2:10" x14ac:dyDescent="0.2">
      <c r="B110" s="30" t="s">
        <v>219</v>
      </c>
    </row>
    <row r="111" spans="2:10" x14ac:dyDescent="0.2">
      <c r="B111" s="30"/>
    </row>
    <row r="112" spans="2:10" ht="51.95" customHeight="1" x14ac:dyDescent="0.2">
      <c r="B112" s="51" t="s">
        <v>220</v>
      </c>
      <c r="C112" s="51"/>
      <c r="D112" s="51"/>
      <c r="E112" s="51"/>
      <c r="F112" s="51"/>
      <c r="G112" s="51"/>
      <c r="H112" s="51"/>
      <c r="I112" s="51"/>
    </row>
    <row r="113" spans="2:4" ht="12.75" thickBot="1" x14ac:dyDescent="0.25"/>
    <row r="114" spans="2:4" ht="13.5" thickTop="1" thickBot="1" x14ac:dyDescent="0.25">
      <c r="B114" s="52" t="s">
        <v>221</v>
      </c>
      <c r="C114" s="53">
        <v>1.6911</v>
      </c>
    </row>
    <row r="115" spans="2:4" ht="13.5" thickTop="1" thickBot="1" x14ac:dyDescent="0.25"/>
    <row r="116" spans="2:4" ht="13.5" thickTop="1" thickBot="1" x14ac:dyDescent="0.25">
      <c r="B116" s="52" t="s">
        <v>222</v>
      </c>
      <c r="C116" s="54">
        <v>7.3499999999999996E-2</v>
      </c>
    </row>
    <row r="117" spans="2:4" ht="13.5" thickTop="1" thickBot="1" x14ac:dyDescent="0.25"/>
    <row r="118" spans="2:4" ht="13.5" thickTop="1" thickBot="1" x14ac:dyDescent="0.25">
      <c r="B118" s="52" t="s">
        <v>223</v>
      </c>
      <c r="C118" s="53">
        <v>1.7896000000000001</v>
      </c>
    </row>
    <row r="119" spans="2:4" ht="13.5" thickTop="1" thickBot="1" x14ac:dyDescent="0.25"/>
    <row r="120" spans="2:4" ht="13.5" thickTop="1" thickBot="1" x14ac:dyDescent="0.25">
      <c r="B120" s="52" t="s">
        <v>224</v>
      </c>
      <c r="C120" s="53">
        <v>2.9091</v>
      </c>
    </row>
    <row r="121" spans="2:4" ht="12.75" thickTop="1" x14ac:dyDescent="0.2"/>
    <row r="122" spans="2:4" x14ac:dyDescent="0.2">
      <c r="B122" s="30" t="s">
        <v>225</v>
      </c>
    </row>
    <row r="123" spans="2:4" x14ac:dyDescent="0.2">
      <c r="B123" s="3" t="s">
        <v>226</v>
      </c>
    </row>
    <row r="124" spans="2:4" x14ac:dyDescent="0.2">
      <c r="B124" s="3" t="s">
        <v>227</v>
      </c>
      <c r="C124" s="8">
        <v>7.2943777000000001</v>
      </c>
      <c r="D124" s="55">
        <f>C124/$F$107</f>
        <v>8.5461612921820394E-5</v>
      </c>
    </row>
    <row r="125" spans="2:4" x14ac:dyDescent="0.2">
      <c r="B125" s="3" t="s">
        <v>228</v>
      </c>
      <c r="C125" s="8">
        <v>7.2943777000000001</v>
      </c>
      <c r="D125" s="55">
        <f>C125/$F$107</f>
        <v>8.5461612921820394E-5</v>
      </c>
    </row>
    <row r="126" spans="2:4" x14ac:dyDescent="0.2">
      <c r="C126" s="8"/>
      <c r="D126" s="55"/>
    </row>
    <row r="127" spans="2:4" x14ac:dyDescent="0.2">
      <c r="B127" s="3" t="s">
        <v>229</v>
      </c>
    </row>
    <row r="128" spans="2:4" x14ac:dyDescent="0.2">
      <c r="B128" s="3" t="s">
        <v>230</v>
      </c>
    </row>
    <row r="129" spans="2:5" x14ac:dyDescent="0.2">
      <c r="B129" s="30" t="s">
        <v>231</v>
      </c>
      <c r="C129" s="30"/>
      <c r="D129" s="30" t="s">
        <v>232</v>
      </c>
      <c r="E129" s="30" t="s">
        <v>233</v>
      </c>
    </row>
    <row r="130" spans="2:5" x14ac:dyDescent="0.2">
      <c r="B130" s="3" t="s">
        <v>234</v>
      </c>
      <c r="D130" s="3">
        <v>96.760499999999993</v>
      </c>
      <c r="E130" s="3">
        <v>96.575299999999999</v>
      </c>
    </row>
    <row r="131" spans="2:5" x14ac:dyDescent="0.2">
      <c r="B131" s="3" t="s">
        <v>235</v>
      </c>
      <c r="D131" s="3">
        <v>12.2654</v>
      </c>
      <c r="E131" s="3">
        <v>12.242000000000001</v>
      </c>
    </row>
    <row r="132" spans="2:5" x14ac:dyDescent="0.2">
      <c r="B132" s="3" t="s">
        <v>236</v>
      </c>
      <c r="D132" s="3">
        <v>13.337300000000001</v>
      </c>
      <c r="E132" s="3">
        <v>13.3118</v>
      </c>
    </row>
    <row r="133" spans="2:5" x14ac:dyDescent="0.2">
      <c r="B133" s="3" t="s">
        <v>237</v>
      </c>
      <c r="D133" s="3">
        <v>112.0406</v>
      </c>
      <c r="E133" s="3">
        <v>111.9272</v>
      </c>
    </row>
    <row r="134" spans="2:5" x14ac:dyDescent="0.2">
      <c r="B134" s="3" t="s">
        <v>238</v>
      </c>
      <c r="D134" s="3">
        <v>15.839499999999999</v>
      </c>
      <c r="E134" s="3">
        <v>15.823499999999999</v>
      </c>
    </row>
    <row r="135" spans="2:5" x14ac:dyDescent="0.2">
      <c r="B135" s="3" t="s">
        <v>239</v>
      </c>
      <c r="D135" s="3">
        <v>15.9674</v>
      </c>
      <c r="E135" s="3">
        <v>15.9513</v>
      </c>
    </row>
    <row r="137" spans="2:5" x14ac:dyDescent="0.2">
      <c r="B137" s="3" t="s">
        <v>240</v>
      </c>
      <c r="D137" s="30" t="s">
        <v>241</v>
      </c>
      <c r="E137" s="30" t="s">
        <v>242</v>
      </c>
    </row>
    <row r="138" spans="2:5" x14ac:dyDescent="0.2">
      <c r="B138" s="3" t="s">
        <v>235</v>
      </c>
      <c r="D138" s="3">
        <v>0.1</v>
      </c>
      <c r="E138" s="3">
        <v>0.1</v>
      </c>
    </row>
    <row r="139" spans="2:5" x14ac:dyDescent="0.2">
      <c r="B139" s="3" t="s">
        <v>238</v>
      </c>
      <c r="D139" s="3">
        <v>0.1</v>
      </c>
      <c r="E139" s="3">
        <v>0.1</v>
      </c>
    </row>
    <row r="141" spans="2:5" x14ac:dyDescent="0.2">
      <c r="B141" s="3" t="s">
        <v>243</v>
      </c>
    </row>
    <row r="142" spans="2:5" x14ac:dyDescent="0.2">
      <c r="B142" s="3" t="s">
        <v>244</v>
      </c>
    </row>
    <row r="143" spans="2:5" x14ac:dyDescent="0.2">
      <c r="B143" s="3" t="s">
        <v>245</v>
      </c>
    </row>
    <row r="144" spans="2:5" x14ac:dyDescent="0.2">
      <c r="B144" s="3" t="s">
        <v>246</v>
      </c>
    </row>
    <row r="145" spans="2:5" x14ac:dyDescent="0.2">
      <c r="B145" s="30"/>
      <c r="C145" s="30"/>
      <c r="D145" s="30"/>
      <c r="E145" s="30"/>
    </row>
    <row r="146" spans="2:5" x14ac:dyDescent="0.2">
      <c r="B146" s="30" t="s">
        <v>247</v>
      </c>
    </row>
    <row r="148" spans="2:5" ht="15" x14ac:dyDescent="0.2">
      <c r="B148" s="56" t="s">
        <v>248</v>
      </c>
    </row>
  </sheetData>
  <mergeCells count="6">
    <mergeCell ref="B1:I1"/>
    <mergeCell ref="K5:K12"/>
    <mergeCell ref="L5:L12"/>
    <mergeCell ref="M5:M12"/>
    <mergeCell ref="N5:N12"/>
    <mergeCell ref="B112:I112"/>
  </mergeCells>
  <hyperlinks>
    <hyperlink ref="B148" r:id="rId1" display="https://apc01.safelinks.protection.outlook.com/?url=https%3A%2F%2Fwww.canararobeco.com%2Fdocs%2Fdefault-source%2Fdefault-document-library%2FScheme_Performance_May_26.pdf&amp;data=05%7C02%7C%7Cc0ab9c6aede14e1996ad08dec0969d52%7C6fa82c0314f040c8895a63736b6313f0%7C0%7C0%7C639159950311520253%7CUnknown%7CTWFpbGZsb3d8eyJFbXB0eU1hcGkiOnRydWUsIlYiOiIwLjAuMDAwMCIsIlAiOiJXaW4zMiIsIkFOIjoiTWFpbCIsIldUIjoyfQ%3D%3D%7C0%7C%7C%7C&amp;sdata=v%2BErOW%2BYSawSTCOvNYDXkfmrsprcuXh1UKkFJO3SePg%3D&amp;reserved=0" xr:uid="{445197C4-6C42-4E54-A53A-8286E97047F7}"/>
  </hyperlinks>
  <pageMargins left="0.7" right="0.7" top="0.75" bottom="0.75" header="0.3" footer="0.3"/>
  <pageSetup paperSize="9" orientation="portrait" r:id="rId2"/>
  <headerFooter>
    <oddHeader>&amp;L&amp;"Calibri"&amp;11&amp;K008000 MIS Internal</oddHeader>
    <oddFooter>&amp;L&amp;"Calibri"&amp;11&amp;K008000 MIS Internal</oddFooter>
    <evenFooter>&amp;LPUBLIC</evenFooter>
    <firstFooter>&amp;LPUBLIC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2026-06-08 17:43:29</KDate>
  <Classification>MIS INTERNAL</Classification>
  <Subclassification/>
  <HostName>MUMCMP01323</HostName>
  <Domain_User>CANARAROBECOMF/628</Domain_User>
  <IPAdd>192.9.198.196</IPAdd>
  <FilePath>Book17</FilePath>
  <KID>109819A0F0A5639165374090491565</KID>
  <UniqueName/>
  <Suggested/>
  <Justification/>
  <KlassifyGUID/>
</Klassify>
</file>

<file path=customXml/itemProps1.xml><?xml version="1.0" encoding="utf-8"?>
<ds:datastoreItem xmlns:ds="http://schemas.openxmlformats.org/officeDocument/2006/customXml" ds:itemID="{947AAA89-05C4-4584-9349-12DE72381E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Ruchi Kanabar</dc:creator>
  <cp:keywords>MIS Internal</cp:keywords>
  <cp:lastModifiedBy>Ruchi Kanabar</cp:lastModifiedBy>
  <dcterms:created xsi:type="dcterms:W3CDTF">2026-06-08T12:13:27Z</dcterms:created>
  <dcterms:modified xsi:type="dcterms:W3CDTF">2026-06-08T12:13:29Z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MIS Internal</vt:lpwstr>
  </property>
  <property fmtid="{D5CDD505-2E9C-101B-9397-08002B2CF9AE}" pid="3" name="KID">
    <vt:lpwstr>109819A0F0A5639165374090491565</vt:lpwstr>
  </property>
</Properties>
</file>