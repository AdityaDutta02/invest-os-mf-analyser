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4" i="1" l="1"/>
  <c r="F64" i="1"/>
  <c r="G63" i="1"/>
  <c r="F63" i="1"/>
  <c r="G60" i="1"/>
  <c r="F60" i="1"/>
  <c r="G44" i="1"/>
  <c r="F44" i="1"/>
  <c r="G41" i="1"/>
  <c r="G45" i="1" s="1"/>
  <c r="F41" i="1"/>
  <c r="F45" i="1" s="1"/>
  <c r="G35" i="1"/>
  <c r="G36" i="1" s="1"/>
  <c r="G65" i="1" s="1"/>
  <c r="F35" i="1"/>
  <c r="F36" i="1" s="1"/>
  <c r="F65" i="1" s="1"/>
</calcChain>
</file>

<file path=xl/sharedStrings.xml><?xml version="1.0" encoding="utf-8"?>
<sst xmlns="http://schemas.openxmlformats.org/spreadsheetml/2006/main" count="175" uniqueCount="131">
  <si>
    <t>CANARA ROBECO SHORT DURATION FUND</t>
  </si>
  <si>
    <t>Monthly Portfolio Statement as on January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</si>
  <si>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</si>
  <si>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</si>
  <si>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</si>
  <si>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</si>
  <si>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</si>
  <si>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</si>
  <si>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</si>
  <si>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Debt Instruments</t>
  </si>
  <si>
    <t>Scheme Risk-o-meter Level- Jan'22</t>
  </si>
  <si>
    <t>Benchmark Risk-o-meter Level- Jan'22</t>
  </si>
  <si>
    <t>Previous Scheme Risk-o-meter Level- Dec'21</t>
  </si>
  <si>
    <t>Potential Risk Class (PRC) Matrix</t>
  </si>
  <si>
    <t>(a) Listed / awaiting listing on Stock Exchanges</t>
  </si>
  <si>
    <t>Credit Risk →</t>
  </si>
  <si>
    <t>Relatively Low (Class A)</t>
  </si>
  <si>
    <t>Moderate (Class B)</t>
  </si>
  <si>
    <t>Relatively High (Class C)</t>
  </si>
  <si>
    <t>7.09% REC Ltd (13/12/2022)</t>
  </si>
  <si>
    <t>INE020B08CD3</t>
  </si>
  <si>
    <t>CRISIL AAA</t>
  </si>
  <si>
    <t>Interest Rate Risk ↓</t>
  </si>
  <si>
    <t>5.05% Indian Oil Corporation Ltd (25/11/2022) **</t>
  </si>
  <si>
    <t>INE242A08460</t>
  </si>
  <si>
    <t>Relatively Low (Class I)</t>
  </si>
  <si>
    <t>6.59% Indian Railway Finance Corporation Ltd (14/04/2023) **</t>
  </si>
  <si>
    <t>INE053F07BZ2</t>
  </si>
  <si>
    <t>CARE AAA</t>
  </si>
  <si>
    <t>7.20% Housing Development Finance Corporation Ltd (13/04/2023) **</t>
  </si>
  <si>
    <t>INE001A07SJ0</t>
  </si>
  <si>
    <t>Moderate 
(Class II)</t>
  </si>
  <si>
    <t>B-II</t>
  </si>
  <si>
    <t>7.4450% LIC HOUSING FINANCE LTD13-JAN-23 **</t>
  </si>
  <si>
    <t>INE115A07OJ7</t>
  </si>
  <si>
    <t>7.17% Reliance Industries Ltd (08/11/2022) **</t>
  </si>
  <si>
    <t>INE002A08500</t>
  </si>
  <si>
    <t>Relatively High (Class III)</t>
  </si>
  <si>
    <t>6.70% National Bank For Agriculture &amp; Rural Development (11/11/2022) **</t>
  </si>
  <si>
    <t>INE261F08BQ8</t>
  </si>
  <si>
    <t>6.98% National Bank For Agriculture &amp; Rural Development (19/09/2022) **</t>
  </si>
  <si>
    <t>INE261F08BO3</t>
  </si>
  <si>
    <t>Benchmark: CRISIL Short Term Bond Fund Index</t>
  </si>
  <si>
    <t>6.50% Power Finance Corporation Ltd (17/09/2025) **</t>
  </si>
  <si>
    <t>INE134E08LD7</t>
  </si>
  <si>
    <t>7.00% Reliance Industries Ltd (31/08/2022) **</t>
  </si>
  <si>
    <t>INE002A08476</t>
  </si>
  <si>
    <t>5.32% National Housing Bank (01/09/2023) **</t>
  </si>
  <si>
    <t>INE557F08FK3</t>
  </si>
  <si>
    <t>5.40% Housing Development Finance Corporation Ltd (11/08/2023) **</t>
  </si>
  <si>
    <t>INE001A07SP7</t>
  </si>
  <si>
    <t>7.16% Power Finance Corporation Ltd (24/04/2025) **</t>
  </si>
  <si>
    <t>INE134E08KP3</t>
  </si>
  <si>
    <t>4.58% Small Industries Development Bank Of India (18/12/2023) **</t>
  </si>
  <si>
    <t>INE556F08JR2</t>
  </si>
  <si>
    <t>ICRA AAA</t>
  </si>
  <si>
    <t>7.79% LIC Housing Finance Ltd (18/10/2024) **</t>
  </si>
  <si>
    <t>INE115A07OM1</t>
  </si>
  <si>
    <t>7.40% LIC Housing Finance Ltd (06/09/2024) **</t>
  </si>
  <si>
    <t>INE115A07ML7</t>
  </si>
  <si>
    <t>6.80% Small Industries Development Bank Of India (29/09/2022) **</t>
  </si>
  <si>
    <t>INE556F08JO9</t>
  </si>
  <si>
    <t>7.87% Larsen &amp; Toubro Ltd (18/04/2022) **</t>
  </si>
  <si>
    <t>INE018A08AR3</t>
  </si>
  <si>
    <t>7.05% National Housing Bank (18/12/2024)</t>
  </si>
  <si>
    <t>INE557F08FG1</t>
  </si>
  <si>
    <t>7.24% REC Ltd (31/12/2022) **</t>
  </si>
  <si>
    <t>INE020B08CG6</t>
  </si>
  <si>
    <t>6.99% Small Industries Development Bank Of India (08/08/2022) **</t>
  </si>
  <si>
    <t>INE556F08JN1</t>
  </si>
  <si>
    <t>8.02% Larsen &amp; Toubro Ltd (22/05/2022) **</t>
  </si>
  <si>
    <t>INE018A08AS1</t>
  </si>
  <si>
    <t>8.40% Power Grid Corporation of India Ltd (27/05/2026) **</t>
  </si>
  <si>
    <t>INE752E07MS4</t>
  </si>
  <si>
    <t>8.40% Power Grid Corporation of India Ltd (27/05/2027) **</t>
  </si>
  <si>
    <t>INE752E07MT2</t>
  </si>
  <si>
    <t>7.99% Housing Development Finance Corporation Ltd (11/07/2024) **</t>
  </si>
  <si>
    <t>INE001A07RV7</t>
  </si>
  <si>
    <t>8.50% National Bank For Agriculture &amp; Rural Development (31/01/2023) **</t>
  </si>
  <si>
    <t>INE261F08AT4</t>
  </si>
  <si>
    <t>7.49% Power Grid Corporation of India Ltd (25/10/2024) **</t>
  </si>
  <si>
    <t>INE752E08593</t>
  </si>
  <si>
    <t>8.58% Housing Development Finance Corporation Ltd (18/03/2022) **</t>
  </si>
  <si>
    <t>INE001A07RS3</t>
  </si>
  <si>
    <t>Sub Total</t>
  </si>
  <si>
    <t>Total</t>
  </si>
  <si>
    <t>Money Market Instruments</t>
  </si>
  <si>
    <t>Certificate of Deposit</t>
  </si>
  <si>
    <t>HDFC Bank Ltd (17/08/2022) ** #</t>
  </si>
  <si>
    <t>INE040A16CI5</t>
  </si>
  <si>
    <t>CARE A1+</t>
  </si>
  <si>
    <t>Axis Bank Ltd (19/09/2022) ** #</t>
  </si>
  <si>
    <t>INE238A160X0</t>
  </si>
  <si>
    <t>CRISIL A1+</t>
  </si>
  <si>
    <t>Treasury Bill</t>
  </si>
  <si>
    <t>364 DAYS TREASURY BILLS 12-JAN-23</t>
  </si>
  <si>
    <t>IN002021Z434</t>
  </si>
  <si>
    <t xml:space="preserve"> Sovereign</t>
  </si>
  <si>
    <t>Government Bonds</t>
  </si>
  <si>
    <t>4.48% GOI (02/11/2023)</t>
  </si>
  <si>
    <t>IN0020200211</t>
  </si>
  <si>
    <t>Sovereign</t>
  </si>
  <si>
    <t>6.54% GOI 17-JAN-32</t>
  </si>
  <si>
    <t>IN0020210244</t>
  </si>
  <si>
    <t>5.74% GOI (15/11/2026)</t>
  </si>
  <si>
    <t>IN0020210186</t>
  </si>
  <si>
    <t>3.96% GOI (09/11/2022)</t>
  </si>
  <si>
    <t>IN0020200260</t>
  </si>
  <si>
    <t>8.20% GOI (15/02/2022)</t>
  </si>
  <si>
    <t>IN0020060037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</si>
  <si>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</si>
  <si>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</si>
  <si>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</si>
  <si>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</si>
  <si>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</si>
  <si>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</si>
  <si>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</si>
  <si>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</si>
  <si>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8.49% Punjab SDL Uday 31-Mar-22</t>
  </si>
  <si>
    <t>IN2820150273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</si>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</sst>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Taz Semi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9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8" fillId="4" borderId="1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4" fontId="8" fillId="3" borderId="14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0" xfId="0" applyNumberFormat="1" applyFont="1" applyFill="1" applyBorder="1"/>
    <xf numFmtId="4" fontId="8" fillId="3" borderId="17" xfId="0" applyNumberFormat="1" applyFont="1" applyFill="1" applyBorder="1"/>
    <xf numFmtId="4" fontId="8" fillId="3" borderId="10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8" fillId="3" borderId="17" xfId="0" applyFont="1" applyFill="1" applyBorder="1"/>
    <xf numFmtId="0" fontId="8" fillId="3" borderId="17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6" xfId="0" applyFont="1" applyFill="1" applyBorder="1"/>
    <xf numFmtId="0" fontId="8" fillId="3" borderId="6" xfId="0" applyNumberFormat="1" applyFont="1" applyFill="1" applyBorder="1"/>
    <xf numFmtId="4" fontId="8" fillId="3" borderId="6" xfId="0" applyNumberFormat="1" applyFont="1" applyFill="1" applyBorder="1"/>
    <xf numFmtId="0" fontId="8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114299</xdr:colOff>
      <xdr:row>5</xdr:row>
      <xdr:rowOff>114299</xdr:rowOff>
    </xdr:from>
    <xdr:to>
      <xdr:col>11</xdr:col>
      <xdr:colOff>1838324</xdr:colOff>
      <xdr:row>11</xdr:row>
      <xdr:rowOff>128840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0E682C7-FA94-48AB-B809-8BBB41AC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4" y="1419224"/>
          <a:ext cx="1724025" cy="10813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104775</xdr:colOff>
      <xdr:row>6</xdr:row>
      <xdr:rowOff>47626</xdr:rowOff>
    </xdr:from>
    <xdr:to>
      <xdr:col>12</xdr:col>
      <xdr:colOff>1790700</xdr:colOff>
      <xdr:row>12</xdr:row>
      <xdr:rowOff>10024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F31429D0-3063-4DB8-AC68-14F4FB3B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3925" y="1504951"/>
          <a:ext cx="1685925" cy="1029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6</xdr:row>
      <xdr:rowOff>19050</xdr:rowOff>
    </xdr:from>
    <xdr:to>
      <xdr:col>13</xdr:col>
      <xdr:colOff>1786567</xdr:colOff>
      <xdr:row>12</xdr:row>
      <xdr:rowOff>19050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D0E682C7-FA94-48AB-B809-8BBB41AC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0350" y="1476375"/>
          <a:ext cx="1700842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9"/>
  <sheetViews>
    <sheetView tabSelected="1" workbookViewId="0">
      <selection activeCell="M19" sqref="M19"/>
    </sheetView>
  </sheetViews>
  <sheetFormatPr defaultRowHeight="12"/>
  <cols>
    <col min="1" max="1" width="9.140625" style="4"/>
    <col min="2" max="2" width="60.28515625" style="4" bestFit="1" customWidth="1"/>
    <col min="3" max="3" width="13.7109375" style="4" bestFit="1" customWidth="1"/>
    <col min="4" max="4" width="14.140625" style="4" bestFit="1" customWidth="1"/>
    <col min="5" max="5" width="8.85546875" style="6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4.7109375" style="3" bestFit="1" customWidth="1"/>
    <col min="11" max="11" width="5.5703125" style="3" bestFit="1" customWidth="1"/>
    <col min="12" max="12" width="29" style="3" customWidth="1"/>
    <col min="13" max="13" width="28.42578125" style="4" customWidth="1"/>
    <col min="14" max="14" width="27.140625" style="4" customWidth="1"/>
    <col min="15" max="15" width="9.140625" style="4"/>
    <col min="16" max="16" width="13" style="4" customWidth="1"/>
    <col min="17" max="16384" width="9.140625" style="4"/>
  </cols>
  <sheetData>
    <row r="1" spans="2:19" ht="20.25">
      <c r="B1" s="1" t="s">
        <v>0</v>
      </c>
      <c r="C1" s="2"/>
      <c r="D1" s="2"/>
      <c r="E1" s="2"/>
      <c r="F1" s="2"/>
      <c r="G1" s="2"/>
      <c r="H1" s="2"/>
    </row>
    <row r="3" spans="2:19" ht="16.5" thickBot="1">
      <c r="B3" s="5" t="s">
        <v>1</v>
      </c>
      <c r="C3" s="6"/>
      <c r="D3" s="7"/>
      <c r="E3" s="8"/>
      <c r="F3" s="9"/>
      <c r="G3" s="9"/>
    </row>
    <row r="4" spans="2:19" ht="24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M4" s="3"/>
    </row>
    <row r="5" spans="2:19" ht="30">
      <c r="B5" s="16" t="s">
        <v>9</v>
      </c>
      <c r="C5" s="17"/>
      <c r="D5" s="17"/>
      <c r="E5" s="18"/>
      <c r="F5" s="19"/>
      <c r="G5" s="19"/>
      <c r="H5" s="19"/>
      <c r="L5" s="20" t="s">
        <v>10</v>
      </c>
      <c r="M5" s="20" t="s">
        <v>11</v>
      </c>
      <c r="N5" s="20" t="s">
        <v>12</v>
      </c>
      <c r="P5" s="21" t="s">
        <v>13</v>
      </c>
      <c r="Q5" s="22"/>
      <c r="R5" s="22"/>
      <c r="S5" s="23"/>
    </row>
    <row r="6" spans="2:19">
      <c r="B6" s="24" t="s">
        <v>14</v>
      </c>
      <c r="C6" s="25"/>
      <c r="D6" s="25"/>
      <c r="E6" s="26"/>
      <c r="F6" s="27"/>
      <c r="G6" s="27"/>
      <c r="H6" s="27"/>
      <c r="L6" s="28"/>
      <c r="M6" s="28"/>
      <c r="N6" s="28"/>
      <c r="P6" s="29" t="s">
        <v>15</v>
      </c>
      <c r="Q6" s="30" t="s">
        <v>16</v>
      </c>
      <c r="R6" s="30" t="s">
        <v>17</v>
      </c>
      <c r="S6" s="30" t="s">
        <v>18</v>
      </c>
    </row>
    <row r="7" spans="2:19" ht="24">
      <c r="B7" s="25" t="s">
        <v>19</v>
      </c>
      <c r="C7" s="25" t="s">
        <v>20</v>
      </c>
      <c r="D7" s="25" t="s">
        <v>21</v>
      </c>
      <c r="E7" s="31">
        <v>450</v>
      </c>
      <c r="F7" s="27">
        <v>4584.96</v>
      </c>
      <c r="G7" s="27">
        <v>5.71</v>
      </c>
      <c r="H7" s="27">
        <v>4.7699999999999996</v>
      </c>
      <c r="L7" s="32"/>
      <c r="M7" s="32"/>
      <c r="N7" s="32"/>
      <c r="P7" s="33" t="s">
        <v>22</v>
      </c>
      <c r="Q7" s="30"/>
      <c r="R7" s="30"/>
      <c r="S7" s="30"/>
    </row>
    <row r="8" spans="2:19">
      <c r="B8" s="25" t="s">
        <v>23</v>
      </c>
      <c r="C8" s="25" t="s">
        <v>24</v>
      </c>
      <c r="D8" s="25" t="s">
        <v>21</v>
      </c>
      <c r="E8" s="31">
        <v>400</v>
      </c>
      <c r="F8" s="27">
        <v>4011.67</v>
      </c>
      <c r="G8" s="27">
        <v>5</v>
      </c>
      <c r="H8" s="27">
        <v>4.5199999999999996</v>
      </c>
      <c r="L8" s="32"/>
      <c r="M8" s="32"/>
      <c r="N8" s="32"/>
      <c r="P8" s="34" t="s">
        <v>25</v>
      </c>
      <c r="Q8" s="35"/>
      <c r="R8" s="35"/>
      <c r="S8" s="35"/>
    </row>
    <row r="9" spans="2:19">
      <c r="B9" s="25" t="s">
        <v>26</v>
      </c>
      <c r="C9" s="25" t="s">
        <v>27</v>
      </c>
      <c r="D9" s="25" t="s">
        <v>28</v>
      </c>
      <c r="E9" s="31">
        <v>350</v>
      </c>
      <c r="F9" s="27">
        <v>3567.35</v>
      </c>
      <c r="G9" s="27">
        <v>4.4400000000000004</v>
      </c>
      <c r="H9" s="27">
        <v>4.9000000000000004</v>
      </c>
      <c r="L9" s="32"/>
      <c r="M9" s="32"/>
      <c r="N9" s="32"/>
      <c r="P9" s="34"/>
      <c r="Q9" s="36"/>
      <c r="R9" s="36"/>
      <c r="S9" s="36"/>
    </row>
    <row r="10" spans="2:19">
      <c r="B10" s="25" t="s">
        <v>29</v>
      </c>
      <c r="C10" s="25" t="s">
        <v>30</v>
      </c>
      <c r="D10" s="25" t="s">
        <v>21</v>
      </c>
      <c r="E10" s="31">
        <v>250</v>
      </c>
      <c r="F10" s="27">
        <v>2553.75</v>
      </c>
      <c r="G10" s="27">
        <v>3.18</v>
      </c>
      <c r="H10" s="27">
        <v>5.27</v>
      </c>
      <c r="L10" s="32"/>
      <c r="M10" s="32"/>
      <c r="N10" s="32"/>
      <c r="P10" s="34" t="s">
        <v>31</v>
      </c>
      <c r="Q10" s="35"/>
      <c r="R10" s="37" t="s">
        <v>32</v>
      </c>
      <c r="S10" s="35"/>
    </row>
    <row r="11" spans="2:19">
      <c r="B11" s="25" t="s">
        <v>33</v>
      </c>
      <c r="C11" s="25" t="s">
        <v>34</v>
      </c>
      <c r="D11" s="25" t="s">
        <v>21</v>
      </c>
      <c r="E11" s="31">
        <v>250</v>
      </c>
      <c r="F11" s="27">
        <v>2550.83</v>
      </c>
      <c r="G11" s="27">
        <v>3.18</v>
      </c>
      <c r="H11" s="27">
        <v>5.19</v>
      </c>
      <c r="L11" s="32"/>
      <c r="M11" s="32"/>
      <c r="N11" s="32"/>
      <c r="P11" s="34"/>
      <c r="Q11" s="36"/>
      <c r="R11" s="38"/>
      <c r="S11" s="36"/>
    </row>
    <row r="12" spans="2:19">
      <c r="B12" s="25" t="s">
        <v>35</v>
      </c>
      <c r="C12" s="25" t="s">
        <v>36</v>
      </c>
      <c r="D12" s="25" t="s">
        <v>21</v>
      </c>
      <c r="E12" s="31">
        <v>250</v>
      </c>
      <c r="F12" s="27">
        <v>2544.27</v>
      </c>
      <c r="G12" s="27">
        <v>3.17</v>
      </c>
      <c r="H12" s="27">
        <v>4.71</v>
      </c>
      <c r="L12" s="32"/>
      <c r="M12" s="32"/>
      <c r="N12" s="32"/>
      <c r="P12" s="34" t="s">
        <v>37</v>
      </c>
      <c r="Q12" s="35"/>
      <c r="R12" s="35"/>
      <c r="S12" s="35"/>
    </row>
    <row r="13" spans="2:19">
      <c r="B13" s="25" t="s">
        <v>38</v>
      </c>
      <c r="C13" s="25" t="s">
        <v>39</v>
      </c>
      <c r="D13" s="25" t="s">
        <v>21</v>
      </c>
      <c r="E13" s="31">
        <v>250</v>
      </c>
      <c r="F13" s="27">
        <v>2537.5300000000002</v>
      </c>
      <c r="G13" s="27">
        <v>3.16</v>
      </c>
      <c r="H13" s="27">
        <v>4.63</v>
      </c>
      <c r="L13" s="39"/>
      <c r="M13" s="39"/>
      <c r="N13" s="39"/>
      <c r="P13" s="34"/>
      <c r="Q13" s="36"/>
      <c r="R13" s="36"/>
      <c r="S13" s="36"/>
    </row>
    <row r="14" spans="2:19">
      <c r="B14" s="25" t="s">
        <v>40</v>
      </c>
      <c r="C14" s="25" t="s">
        <v>41</v>
      </c>
      <c r="D14" s="25" t="s">
        <v>21</v>
      </c>
      <c r="E14" s="31">
        <v>250</v>
      </c>
      <c r="F14" s="27">
        <v>2537.0100000000002</v>
      </c>
      <c r="G14" s="27">
        <v>3.16</v>
      </c>
      <c r="H14" s="27">
        <v>4.46</v>
      </c>
      <c r="M14" s="3" t="s">
        <v>42</v>
      </c>
    </row>
    <row r="15" spans="2:19">
      <c r="B15" s="25" t="s">
        <v>43</v>
      </c>
      <c r="C15" s="25" t="s">
        <v>44</v>
      </c>
      <c r="D15" s="25" t="s">
        <v>21</v>
      </c>
      <c r="E15" s="31">
        <v>250</v>
      </c>
      <c r="F15" s="27">
        <v>2534.9499999999998</v>
      </c>
      <c r="G15" s="27">
        <v>3.16</v>
      </c>
      <c r="H15" s="27">
        <v>6.05</v>
      </c>
    </row>
    <row r="16" spans="2:19">
      <c r="B16" s="25" t="s">
        <v>45</v>
      </c>
      <c r="C16" s="25" t="s">
        <v>46</v>
      </c>
      <c r="D16" s="25" t="s">
        <v>21</v>
      </c>
      <c r="E16" s="31">
        <v>250</v>
      </c>
      <c r="F16" s="27">
        <v>2534.67</v>
      </c>
      <c r="G16" s="27">
        <v>3.16</v>
      </c>
      <c r="H16" s="27">
        <v>4.42</v>
      </c>
    </row>
    <row r="17" spans="2:8">
      <c r="B17" s="25" t="s">
        <v>47</v>
      </c>
      <c r="C17" s="25" t="s">
        <v>48</v>
      </c>
      <c r="D17" s="25" t="s">
        <v>21</v>
      </c>
      <c r="E17" s="31">
        <v>250</v>
      </c>
      <c r="F17" s="27">
        <v>2509.12</v>
      </c>
      <c r="G17" s="27">
        <v>3.12</v>
      </c>
      <c r="H17" s="27">
        <v>5.07</v>
      </c>
    </row>
    <row r="18" spans="2:8">
      <c r="B18" s="25" t="s">
        <v>49</v>
      </c>
      <c r="C18" s="25" t="s">
        <v>50</v>
      </c>
      <c r="D18" s="25" t="s">
        <v>21</v>
      </c>
      <c r="E18" s="31">
        <v>250</v>
      </c>
      <c r="F18" s="27">
        <v>2499.4699999999998</v>
      </c>
      <c r="G18" s="27">
        <v>3.11</v>
      </c>
      <c r="H18" s="27">
        <v>5.39</v>
      </c>
    </row>
    <row r="19" spans="2:8">
      <c r="B19" s="25" t="s">
        <v>51</v>
      </c>
      <c r="C19" s="25" t="s">
        <v>52</v>
      </c>
      <c r="D19" s="25" t="s">
        <v>21</v>
      </c>
      <c r="E19" s="31">
        <v>200</v>
      </c>
      <c r="F19" s="27">
        <v>2069.61</v>
      </c>
      <c r="G19" s="27">
        <v>2.58</v>
      </c>
      <c r="H19" s="27">
        <v>5.93</v>
      </c>
    </row>
    <row r="20" spans="2:8">
      <c r="B20" s="25" t="s">
        <v>53</v>
      </c>
      <c r="C20" s="25" t="s">
        <v>54</v>
      </c>
      <c r="D20" s="25" t="s">
        <v>55</v>
      </c>
      <c r="E20" s="31">
        <v>200</v>
      </c>
      <c r="F20" s="27">
        <v>1979.5</v>
      </c>
      <c r="G20" s="27">
        <v>2.4700000000000002</v>
      </c>
      <c r="H20" s="27">
        <v>5.16</v>
      </c>
    </row>
    <row r="21" spans="2:8">
      <c r="B21" s="25" t="s">
        <v>56</v>
      </c>
      <c r="C21" s="25" t="s">
        <v>57</v>
      </c>
      <c r="D21" s="25" t="s">
        <v>21</v>
      </c>
      <c r="E21" s="31">
        <v>150</v>
      </c>
      <c r="F21" s="27">
        <v>1564.16</v>
      </c>
      <c r="G21" s="27">
        <v>1.95</v>
      </c>
      <c r="H21" s="27">
        <v>6.01</v>
      </c>
    </row>
    <row r="22" spans="2:8">
      <c r="B22" s="25" t="s">
        <v>58</v>
      </c>
      <c r="C22" s="25" t="s">
        <v>59</v>
      </c>
      <c r="D22" s="25" t="s">
        <v>21</v>
      </c>
      <c r="E22" s="31">
        <v>150</v>
      </c>
      <c r="F22" s="27">
        <v>1549.12</v>
      </c>
      <c r="G22" s="27">
        <v>1.93</v>
      </c>
      <c r="H22" s="27">
        <v>5.98</v>
      </c>
    </row>
    <row r="23" spans="2:8">
      <c r="B23" s="25" t="s">
        <v>60</v>
      </c>
      <c r="C23" s="25" t="s">
        <v>61</v>
      </c>
      <c r="D23" s="25" t="s">
        <v>28</v>
      </c>
      <c r="E23" s="31">
        <v>150</v>
      </c>
      <c r="F23" s="27">
        <v>1522.67</v>
      </c>
      <c r="G23" s="27">
        <v>1.9</v>
      </c>
      <c r="H23" s="27">
        <v>4.34</v>
      </c>
    </row>
    <row r="24" spans="2:8">
      <c r="B24" s="25" t="s">
        <v>62</v>
      </c>
      <c r="C24" s="25" t="s">
        <v>63</v>
      </c>
      <c r="D24" s="25" t="s">
        <v>21</v>
      </c>
      <c r="E24" s="31">
        <v>150</v>
      </c>
      <c r="F24" s="27">
        <v>1511.22</v>
      </c>
      <c r="G24" s="27">
        <v>1.88</v>
      </c>
      <c r="H24" s="27">
        <v>4.04</v>
      </c>
    </row>
    <row r="25" spans="2:8">
      <c r="B25" s="25" t="s">
        <v>64</v>
      </c>
      <c r="C25" s="25" t="s">
        <v>65</v>
      </c>
      <c r="D25" s="25" t="s">
        <v>21</v>
      </c>
      <c r="E25" s="31">
        <v>100</v>
      </c>
      <c r="F25" s="27">
        <v>1041.3599999999999</v>
      </c>
      <c r="G25" s="27">
        <v>1.3</v>
      </c>
      <c r="H25" s="27">
        <v>5.45</v>
      </c>
    </row>
    <row r="26" spans="2:8">
      <c r="B26" s="25" t="s">
        <v>66</v>
      </c>
      <c r="C26" s="25" t="s">
        <v>67</v>
      </c>
      <c r="D26" s="25" t="s">
        <v>21</v>
      </c>
      <c r="E26" s="31">
        <v>100</v>
      </c>
      <c r="F26" s="27">
        <v>1021.35</v>
      </c>
      <c r="G26" s="27">
        <v>1.27</v>
      </c>
      <c r="H26" s="27">
        <v>4.78</v>
      </c>
    </row>
    <row r="27" spans="2:8">
      <c r="B27" s="25" t="s">
        <v>68</v>
      </c>
      <c r="C27" s="25" t="s">
        <v>69</v>
      </c>
      <c r="D27" s="25" t="s">
        <v>28</v>
      </c>
      <c r="E27" s="31">
        <v>100</v>
      </c>
      <c r="F27" s="27">
        <v>1012.64</v>
      </c>
      <c r="G27" s="27">
        <v>1.26</v>
      </c>
      <c r="H27" s="27">
        <v>4.3499999999999996</v>
      </c>
    </row>
    <row r="28" spans="2:8">
      <c r="B28" s="25" t="s">
        <v>70</v>
      </c>
      <c r="C28" s="25" t="s">
        <v>71</v>
      </c>
      <c r="D28" s="25" t="s">
        <v>21</v>
      </c>
      <c r="E28" s="31">
        <v>100</v>
      </c>
      <c r="F28" s="27">
        <v>1010.83</v>
      </c>
      <c r="G28" s="27">
        <v>1.26</v>
      </c>
      <c r="H28" s="27">
        <v>4.18</v>
      </c>
    </row>
    <row r="29" spans="2:8">
      <c r="B29" s="25" t="s">
        <v>72</v>
      </c>
      <c r="C29" s="25" t="s">
        <v>73</v>
      </c>
      <c r="D29" s="25" t="s">
        <v>21</v>
      </c>
      <c r="E29" s="31">
        <v>50</v>
      </c>
      <c r="F29" s="27">
        <v>542.83000000000004</v>
      </c>
      <c r="G29" s="27">
        <v>0.68</v>
      </c>
      <c r="H29" s="27">
        <v>6.07</v>
      </c>
    </row>
    <row r="30" spans="2:8">
      <c r="B30" s="25" t="s">
        <v>74</v>
      </c>
      <c r="C30" s="25" t="s">
        <v>75</v>
      </c>
      <c r="D30" s="25" t="s">
        <v>21</v>
      </c>
      <c r="E30" s="31">
        <v>50</v>
      </c>
      <c r="F30" s="27">
        <v>542.45000000000005</v>
      </c>
      <c r="G30" s="27">
        <v>0.68</v>
      </c>
      <c r="H30" s="27">
        <v>6.45</v>
      </c>
    </row>
    <row r="31" spans="2:8">
      <c r="B31" s="25" t="s">
        <v>76</v>
      </c>
      <c r="C31" s="25" t="s">
        <v>77</v>
      </c>
      <c r="D31" s="25" t="s">
        <v>21</v>
      </c>
      <c r="E31" s="31">
        <v>50</v>
      </c>
      <c r="F31" s="27">
        <v>522.88</v>
      </c>
      <c r="G31" s="27">
        <v>0.65</v>
      </c>
      <c r="H31" s="27">
        <v>5.9</v>
      </c>
    </row>
    <row r="32" spans="2:8">
      <c r="B32" s="25" t="s">
        <v>78</v>
      </c>
      <c r="C32" s="25" t="s">
        <v>79</v>
      </c>
      <c r="D32" s="25" t="s">
        <v>21</v>
      </c>
      <c r="E32" s="31">
        <v>50</v>
      </c>
      <c r="F32" s="27">
        <v>517.5</v>
      </c>
      <c r="G32" s="27">
        <v>0.64</v>
      </c>
      <c r="H32" s="27">
        <v>4.83</v>
      </c>
    </row>
    <row r="33" spans="2:8">
      <c r="B33" s="25" t="s">
        <v>80</v>
      </c>
      <c r="C33" s="25" t="s">
        <v>81</v>
      </c>
      <c r="D33" s="25" t="s">
        <v>21</v>
      </c>
      <c r="E33" s="31">
        <v>100</v>
      </c>
      <c r="F33" s="27">
        <v>314.68</v>
      </c>
      <c r="G33" s="27">
        <v>0.39</v>
      </c>
      <c r="H33" s="27">
        <v>5.49</v>
      </c>
    </row>
    <row r="34" spans="2:8">
      <c r="B34" s="25" t="s">
        <v>82</v>
      </c>
      <c r="C34" s="25" t="s">
        <v>83</v>
      </c>
      <c r="D34" s="25" t="s">
        <v>21</v>
      </c>
      <c r="E34" s="31">
        <v>10</v>
      </c>
      <c r="F34" s="27">
        <v>100.55</v>
      </c>
      <c r="G34" s="27">
        <v>0.13</v>
      </c>
      <c r="H34" s="27">
        <v>3.92</v>
      </c>
    </row>
    <row r="35" spans="2:8">
      <c r="B35" s="40" t="s">
        <v>84</v>
      </c>
      <c r="C35" s="40"/>
      <c r="D35" s="40"/>
      <c r="E35" s="41"/>
      <c r="F35" s="42">
        <f>SUM(F6:F34)</f>
        <v>51788.930000000008</v>
      </c>
      <c r="G35" s="42">
        <f>SUM(G6:G34)</f>
        <v>64.519999999999982</v>
      </c>
      <c r="H35" s="43"/>
    </row>
    <row r="36" spans="2:8">
      <c r="B36" s="44" t="s">
        <v>85</v>
      </c>
      <c r="C36" s="44"/>
      <c r="D36" s="44"/>
      <c r="E36" s="45"/>
      <c r="F36" s="46">
        <f>F35</f>
        <v>51788.930000000008</v>
      </c>
      <c r="G36" s="46">
        <f>G35</f>
        <v>64.519999999999982</v>
      </c>
      <c r="H36" s="46"/>
    </row>
    <row r="37" spans="2:8">
      <c r="B37" s="24" t="s">
        <v>86</v>
      </c>
      <c r="C37" s="25"/>
      <c r="D37" s="25"/>
      <c r="E37" s="26"/>
      <c r="F37" s="27"/>
      <c r="G37" s="27"/>
      <c r="H37" s="27"/>
    </row>
    <row r="38" spans="2:8">
      <c r="B38" s="24" t="s">
        <v>87</v>
      </c>
      <c r="C38" s="25"/>
      <c r="D38" s="25"/>
      <c r="E38" s="26"/>
      <c r="F38" s="27"/>
      <c r="G38" s="27"/>
      <c r="H38" s="27"/>
    </row>
    <row r="39" spans="2:8">
      <c r="B39" s="25" t="s">
        <v>88</v>
      </c>
      <c r="C39" s="25" t="s">
        <v>89</v>
      </c>
      <c r="D39" s="25" t="s">
        <v>90</v>
      </c>
      <c r="E39" s="31">
        <v>600</v>
      </c>
      <c r="F39" s="27">
        <v>2931.95</v>
      </c>
      <c r="G39" s="27">
        <v>3.65</v>
      </c>
      <c r="H39" s="27">
        <v>4.3</v>
      </c>
    </row>
    <row r="40" spans="2:8">
      <c r="B40" s="25" t="s">
        <v>91</v>
      </c>
      <c r="C40" s="25" t="s">
        <v>92</v>
      </c>
      <c r="D40" s="25" t="s">
        <v>93</v>
      </c>
      <c r="E40" s="31">
        <v>500</v>
      </c>
      <c r="F40" s="27">
        <v>2433.3000000000002</v>
      </c>
      <c r="G40" s="27">
        <v>3.03</v>
      </c>
      <c r="H40" s="27">
        <v>4.3499999999999996</v>
      </c>
    </row>
    <row r="41" spans="2:8">
      <c r="B41" s="24" t="s">
        <v>84</v>
      </c>
      <c r="C41" s="24"/>
      <c r="D41" s="24"/>
      <c r="E41" s="47"/>
      <c r="F41" s="48">
        <f>SUM(F38:F40)</f>
        <v>5365.25</v>
      </c>
      <c r="G41" s="48">
        <f>SUM(G38:G40)</f>
        <v>6.68</v>
      </c>
      <c r="H41" s="49"/>
    </row>
    <row r="42" spans="2:8">
      <c r="B42" s="24" t="s">
        <v>94</v>
      </c>
      <c r="C42" s="25"/>
      <c r="D42" s="25"/>
      <c r="E42" s="26"/>
      <c r="F42" s="27"/>
      <c r="G42" s="27"/>
      <c r="H42" s="27"/>
    </row>
    <row r="43" spans="2:8">
      <c r="B43" s="25" t="s">
        <v>95</v>
      </c>
      <c r="C43" s="25" t="s">
        <v>96</v>
      </c>
      <c r="D43" s="25" t="s">
        <v>97</v>
      </c>
      <c r="E43" s="31">
        <v>2500000</v>
      </c>
      <c r="F43" s="27">
        <v>2398.33</v>
      </c>
      <c r="G43" s="27">
        <v>2.99</v>
      </c>
      <c r="H43" s="27">
        <v>4.49</v>
      </c>
    </row>
    <row r="44" spans="2:8">
      <c r="B44" s="40" t="s">
        <v>84</v>
      </c>
      <c r="C44" s="40"/>
      <c r="D44" s="40"/>
      <c r="E44" s="41"/>
      <c r="F44" s="42">
        <f>SUM(F42:F43)</f>
        <v>2398.33</v>
      </c>
      <c r="G44" s="42">
        <f>SUM(G42:G43)</f>
        <v>2.99</v>
      </c>
      <c r="H44" s="43"/>
    </row>
    <row r="45" spans="2:8">
      <c r="B45" s="44" t="s">
        <v>85</v>
      </c>
      <c r="C45" s="44"/>
      <c r="D45" s="44"/>
      <c r="E45" s="45"/>
      <c r="F45" s="46">
        <f>F41+F44</f>
        <v>7763.58</v>
      </c>
      <c r="G45" s="46">
        <f>G41+G44</f>
        <v>9.67</v>
      </c>
      <c r="H45" s="46"/>
    </row>
    <row r="46" spans="2:8">
      <c r="B46" s="24" t="s">
        <v>98</v>
      </c>
      <c r="C46" s="25"/>
      <c r="D46" s="25"/>
      <c r="E46" s="26"/>
      <c r="F46" s="27"/>
      <c r="G46" s="27"/>
      <c r="H46" s="27"/>
    </row>
    <row r="47" spans="2:8">
      <c r="B47" s="25" t="s">
        <v>99</v>
      </c>
      <c r="C47" s="25" t="s">
        <v>100</v>
      </c>
      <c r="D47" s="25" t="s">
        <v>101</v>
      </c>
      <c r="E47" s="31">
        <v>4500000</v>
      </c>
      <c r="F47" s="27">
        <v>4478.4799999999996</v>
      </c>
      <c r="G47" s="27">
        <v>5.58</v>
      </c>
      <c r="H47" s="27">
        <v>4.76</v>
      </c>
    </row>
    <row r="48" spans="2:8">
      <c r="B48" s="25" t="s">
        <v>102</v>
      </c>
      <c r="C48" s="25" t="s">
        <v>103</v>
      </c>
      <c r="D48" s="25" t="s">
        <v>101</v>
      </c>
      <c r="E48" s="31">
        <v>2500000</v>
      </c>
      <c r="F48" s="27">
        <v>2472.0300000000002</v>
      </c>
      <c r="G48" s="27">
        <v>3.08</v>
      </c>
      <c r="H48" s="27">
        <v>6.7</v>
      </c>
    </row>
    <row r="49" spans="2:8">
      <c r="B49" s="25" t="s">
        <v>104</v>
      </c>
      <c r="C49" s="25" t="s">
        <v>105</v>
      </c>
      <c r="D49" s="25" t="s">
        <v>101</v>
      </c>
      <c r="E49" s="31">
        <v>2500000</v>
      </c>
      <c r="F49" s="27">
        <v>2470.12</v>
      </c>
      <c r="G49" s="27">
        <v>3.08</v>
      </c>
      <c r="H49" s="27">
        <v>6.03</v>
      </c>
    </row>
    <row r="50" spans="2:8">
      <c r="B50" s="25" t="s">
        <v>106</v>
      </c>
      <c r="C50" s="25" t="s">
        <v>107</v>
      </c>
      <c r="D50" s="25" t="s">
        <v>101</v>
      </c>
      <c r="E50" s="31">
        <v>1500000</v>
      </c>
      <c r="F50" s="27">
        <v>1494.81</v>
      </c>
      <c r="G50" s="27">
        <v>1.86</v>
      </c>
      <c r="H50" s="27">
        <v>4.41</v>
      </c>
    </row>
    <row r="51" spans="2:8">
      <c r="B51" s="25" t="s">
        <v>108</v>
      </c>
      <c r="C51" s="25" t="s">
        <v>109</v>
      </c>
      <c r="D51" s="25" t="s">
        <v>101</v>
      </c>
      <c r="E51" s="31">
        <v>1100000</v>
      </c>
      <c r="F51" s="27">
        <v>1101.92</v>
      </c>
      <c r="G51" s="27">
        <v>1.37</v>
      </c>
      <c r="H51" s="27">
        <v>3.77</v>
      </c>
    </row>
    <row r="52" spans="2:8">
      <c r="B52" s="25" t="s">
        <v>110</v>
      </c>
      <c r="C52" s="25" t="s">
        <v>111</v>
      </c>
      <c r="D52" s="25" t="s">
        <v>101</v>
      </c>
      <c r="E52" s="31">
        <v>1000000</v>
      </c>
      <c r="F52" s="27">
        <v>1039.9000000000001</v>
      </c>
      <c r="G52" s="27">
        <v>1.3</v>
      </c>
      <c r="H52" s="27">
        <v>4.82</v>
      </c>
    </row>
    <row r="53" spans="2:8">
      <c r="B53" s="25" t="s">
        <v>112</v>
      </c>
      <c r="C53" s="25" t="s">
        <v>113</v>
      </c>
      <c r="D53" s="25" t="s">
        <v>101</v>
      </c>
      <c r="E53" s="31">
        <v>500000</v>
      </c>
      <c r="F53" s="27">
        <v>510.03</v>
      </c>
      <c r="G53" s="27">
        <v>0.64</v>
      </c>
      <c r="H53" s="27">
        <v>4.42</v>
      </c>
    </row>
    <row r="54" spans="2:8">
      <c r="B54" s="25" t="s">
        <v>114</v>
      </c>
      <c r="C54" s="25" t="s">
        <v>115</v>
      </c>
      <c r="D54" s="25" t="s">
        <v>101</v>
      </c>
      <c r="E54" s="31">
        <v>500000</v>
      </c>
      <c r="F54" s="27">
        <v>509.97</v>
      </c>
      <c r="G54" s="27">
        <v>0.64</v>
      </c>
      <c r="H54" s="27">
        <v>4.4400000000000004</v>
      </c>
    </row>
    <row r="55" spans="2:8">
      <c r="B55" s="25" t="s">
        <v>116</v>
      </c>
      <c r="C55" s="25" t="s">
        <v>117</v>
      </c>
      <c r="D55" s="25" t="s">
        <v>101</v>
      </c>
      <c r="E55" s="31">
        <v>500000</v>
      </c>
      <c r="F55" s="27">
        <v>507.53</v>
      </c>
      <c r="G55" s="27">
        <v>0.63</v>
      </c>
      <c r="H55" s="27">
        <v>4.33</v>
      </c>
    </row>
    <row r="56" spans="2:8">
      <c r="B56" s="25" t="s">
        <v>118</v>
      </c>
      <c r="C56" s="25" t="s">
        <v>119</v>
      </c>
      <c r="D56" s="25" t="s">
        <v>101</v>
      </c>
      <c r="E56" s="31">
        <v>500000</v>
      </c>
      <c r="F56" s="27">
        <v>503.67</v>
      </c>
      <c r="G56" s="27">
        <v>0.63</v>
      </c>
      <c r="H56" s="27">
        <v>3.82</v>
      </c>
    </row>
    <row r="57" spans="2:8">
      <c r="B57" s="25" t="s">
        <v>120</v>
      </c>
      <c r="C57" s="25" t="s">
        <v>121</v>
      </c>
      <c r="D57" s="25" t="s">
        <v>101</v>
      </c>
      <c r="E57" s="31">
        <v>500000</v>
      </c>
      <c r="F57" s="27">
        <v>503.47</v>
      </c>
      <c r="G57" s="27">
        <v>0.63</v>
      </c>
      <c r="H57" s="27">
        <v>3.79</v>
      </c>
    </row>
    <row r="58" spans="2:8">
      <c r="B58" s="25" t="s">
        <v>122</v>
      </c>
      <c r="C58" s="25" t="s">
        <v>123</v>
      </c>
      <c r="D58" s="25" t="s">
        <v>101</v>
      </c>
      <c r="E58" s="31">
        <v>400000</v>
      </c>
      <c r="F58" s="27">
        <v>406.45</v>
      </c>
      <c r="G58" s="27">
        <v>0.51</v>
      </c>
      <c r="H58" s="27">
        <v>4.0999999999999996</v>
      </c>
    </row>
    <row r="59" spans="2:8">
      <c r="B59" s="50" t="s">
        <v>124</v>
      </c>
      <c r="C59" s="50" t="s">
        <v>125</v>
      </c>
      <c r="D59" s="50" t="s">
        <v>101</v>
      </c>
      <c r="E59" s="51">
        <v>28300</v>
      </c>
      <c r="F59" s="52">
        <v>29.96</v>
      </c>
      <c r="G59" s="52">
        <v>0.04</v>
      </c>
      <c r="H59" s="52">
        <v>6.49</v>
      </c>
    </row>
    <row r="60" spans="2:8">
      <c r="B60" s="53" t="s">
        <v>85</v>
      </c>
      <c r="C60" s="53"/>
      <c r="D60" s="53"/>
      <c r="E60" s="54"/>
      <c r="F60" s="48">
        <f>SUM(F47:F59)</f>
        <v>16028.34</v>
      </c>
      <c r="G60" s="48">
        <f>SUM(G47:G59)</f>
        <v>19.989999999999998</v>
      </c>
      <c r="H60" s="48"/>
    </row>
    <row r="61" spans="2:8">
      <c r="B61" s="24" t="s">
        <v>126</v>
      </c>
      <c r="C61" s="25"/>
      <c r="D61" s="25"/>
      <c r="E61" s="26"/>
      <c r="F61" s="27"/>
      <c r="G61" s="27"/>
      <c r="H61" s="27"/>
    </row>
    <row r="62" spans="2:8">
      <c r="B62" s="25" t="s">
        <v>126</v>
      </c>
      <c r="C62" s="25"/>
      <c r="D62" s="25"/>
      <c r="E62" s="26"/>
      <c r="F62" s="27">
        <v>3245.38</v>
      </c>
      <c r="G62" s="27">
        <v>4.04</v>
      </c>
      <c r="H62" s="27"/>
    </row>
    <row r="63" spans="2:8">
      <c r="B63" s="40" t="s">
        <v>84</v>
      </c>
      <c r="C63" s="40"/>
      <c r="D63" s="40"/>
      <c r="E63" s="41"/>
      <c r="F63" s="42">
        <f>SUM(F61:F62)</f>
        <v>3245.38</v>
      </c>
      <c r="G63" s="42">
        <f>SUM(G61:G62)</f>
        <v>4.04</v>
      </c>
      <c r="H63" s="43"/>
    </row>
    <row r="64" spans="2:8">
      <c r="B64" s="55" t="s">
        <v>85</v>
      </c>
      <c r="C64" s="55"/>
      <c r="D64" s="55"/>
      <c r="E64" s="56"/>
      <c r="F64" s="57">
        <f>F63</f>
        <v>3245.38</v>
      </c>
      <c r="G64" s="57">
        <f>G63</f>
        <v>4.04</v>
      </c>
      <c r="H64" s="57"/>
    </row>
    <row r="65" spans="2:8">
      <c r="B65" s="58" t="s">
        <v>127</v>
      </c>
      <c r="C65" s="58"/>
      <c r="D65" s="58"/>
      <c r="E65" s="59"/>
      <c r="F65" s="60">
        <f>F66-(+F36+F45+F60+F64)</f>
        <v>1467.8999999999942</v>
      </c>
      <c r="G65" s="60">
        <f>G66-(+G36+G45+G60+G64)</f>
        <v>1.7800000000000153</v>
      </c>
      <c r="H65" s="60"/>
    </row>
    <row r="66" spans="2:8">
      <c r="B66" s="58" t="s">
        <v>128</v>
      </c>
      <c r="C66" s="58"/>
      <c r="D66" s="58"/>
      <c r="E66" s="59"/>
      <c r="F66" s="60">
        <v>80294.13</v>
      </c>
      <c r="G66" s="60">
        <v>100</v>
      </c>
      <c r="H66" s="60"/>
    </row>
    <row r="68" spans="2:8">
      <c r="B68" s="61" t="s">
        <v>129</v>
      </c>
    </row>
    <row r="69" spans="2:8">
      <c r="B69" s="61" t="s">
        <v>130</v>
      </c>
    </row>
  </sheetData>
  <mergeCells count="20">
    <mergeCell ref="P12:P13"/>
    <mergeCell ref="Q12:Q13"/>
    <mergeCell ref="R12:R13"/>
    <mergeCell ref="S12:S13"/>
    <mergeCell ref="R8:R9"/>
    <mergeCell ref="S8:S9"/>
    <mergeCell ref="P10:P11"/>
    <mergeCell ref="Q10:Q11"/>
    <mergeCell ref="R10:R11"/>
    <mergeCell ref="S10:S11"/>
    <mergeCell ref="B1:H1"/>
    <mergeCell ref="P5:S5"/>
    <mergeCell ref="L6:L13"/>
    <mergeCell ref="M6:M13"/>
    <mergeCell ref="N6:N13"/>
    <mergeCell ref="Q6:Q7"/>
    <mergeCell ref="R6:R7"/>
    <mergeCell ref="S6:S7"/>
    <mergeCell ref="P8:P9"/>
    <mergeCell ref="Q8:Q9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2022-02-08T11:12:27Z</dcterms:created>
  <dcterms:modified xsi:type="dcterms:W3CDTF">2022-02-08T11:12:30Z</dcterms:modified>
</cp:coreProperties>
</file>