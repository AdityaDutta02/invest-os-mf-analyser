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September 2023\"/>
    </mc:Choice>
  </mc:AlternateContent>
  <bookViews>
    <workbookView xWindow="0" yWindow="0" windowWidth="20490" windowHeight="7620"/>
  </bookViews>
  <sheets>
    <sheet name="MI" sheetId="1" r:id="rId1"/>
  </sheets>
  <calcPr calcId="162913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3" i="1" l="1"/>
  <c r="F93" i="1"/>
  <c r="G92" i="1"/>
  <c r="F92" i="1"/>
  <c r="G91" i="1"/>
  <c r="F91" i="1"/>
  <c r="G88" i="1"/>
  <c r="F88" i="1"/>
  <c r="G77" i="1"/>
  <c r="F77" i="1"/>
  <c r="G76" i="1"/>
  <c r="F76" i="1"/>
  <c r="G71" i="1"/>
  <c r="F71" i="1"/>
  <c r="G70" i="1"/>
  <c r="F70" i="1"/>
  <c r="G49" i="1"/>
  <c r="F49" i="1"/>
  <c r="G48" i="1"/>
  <c r="F48" i="1"/>
</calcChain>
</file>

<file path=xl/sharedStrings.xml><?xml version="1.0" encoding="utf-8"?>
<sst xmlns="http://schemas.openxmlformats.org/spreadsheetml/2006/main" count="289" uniqueCount="201">
  <si>
    <t>CANARA ROBECO CONSERVATIVE HYBRID FUND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</si>
  <si>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</si>
  <si>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</si>
  <si>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</si>
  <si>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</si>
  <si>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</si>
  <si>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</si>
  <si>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</si>
  <si>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</si>
  <si>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</si>
  <si>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Level- Sep'23</t>
  </si>
  <si>
    <t>Benchmark Risk-o-meter Level- Sep'23</t>
  </si>
  <si>
    <t>Scheme Risk-o-meter Level- Aug'23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</si>
  <si>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</si>
  <si>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</si>
  <si>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</si>
  <si>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</si>
  <si>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</si>
  <si>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</si>
  <si>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</si>
  <si>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</si>
  <si>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Bajaj Finance Ltd</t>
  </si>
  <si>
    <t>INE296A01024</t>
  </si>
  <si>
    <t>Finance</t>
  </si>
  <si>
    <t>Reliance Industries Ltd</t>
  </si>
  <si>
    <t>INE002A01018</t>
  </si>
  <si>
    <t>Petroleum Products</t>
  </si>
  <si>
    <t>NTPC Ltd</t>
  </si>
  <si>
    <t>INE733E01010</t>
  </si>
  <si>
    <t>Power</t>
  </si>
  <si>
    <t>Larsen &amp; Toubro Ltd</t>
  </si>
  <si>
    <t>INE018A01030</t>
  </si>
  <si>
    <t>Construction</t>
  </si>
  <si>
    <t>ITC Ltd</t>
  </si>
  <si>
    <t>INE154A01025</t>
  </si>
  <si>
    <t>Diversified Fmcg</t>
  </si>
  <si>
    <t>Benchmark: CRISIL Hybrid 85+15 - Conservative Index</t>
  </si>
  <si>
    <t>Infosys Ltd</t>
  </si>
  <si>
    <t>INE009A01021</t>
  </si>
  <si>
    <t>IT - Software</t>
  </si>
  <si>
    <t>J.B. Chemicals &amp; Pharmaceuticals Ltd</t>
  </si>
  <si>
    <t>INE572A01036</t>
  </si>
  <si>
    <t>Pharmaceuticals &amp; Biotechnology</t>
  </si>
  <si>
    <t>Small Cap</t>
  </si>
  <si>
    <t>State Bank of India</t>
  </si>
  <si>
    <t>INE062A01020</t>
  </si>
  <si>
    <t>Maruti Suzuki India Ltd</t>
  </si>
  <si>
    <t>INE585B01010</t>
  </si>
  <si>
    <t>Automobiles</t>
  </si>
  <si>
    <t>Bharti Airtel Ltd</t>
  </si>
  <si>
    <t>INE397D01024</t>
  </si>
  <si>
    <t>Telecom - Services</t>
  </si>
  <si>
    <t>Ashok Leyland Ltd</t>
  </si>
  <si>
    <t>INE208A01029</t>
  </si>
  <si>
    <t>Agricultural, Commercial &amp; Construction Vehicles</t>
  </si>
  <si>
    <t>Mid Cap</t>
  </si>
  <si>
    <t>Axis Bank Ltd</t>
  </si>
  <si>
    <t>INE238A01034</t>
  </si>
  <si>
    <t>REC Ltd</t>
  </si>
  <si>
    <t>INE020B01018</t>
  </si>
  <si>
    <t>Dabur India Ltd</t>
  </si>
  <si>
    <t>INE016A01026</t>
  </si>
  <si>
    <t>Personal Products</t>
  </si>
  <si>
    <t>Westlife Foodworld Ltd</t>
  </si>
  <si>
    <t>INE274F01020</t>
  </si>
  <si>
    <t>Leisure Services</t>
  </si>
  <si>
    <t>Uno Minda Ltd</t>
  </si>
  <si>
    <t>INE405E01023</t>
  </si>
  <si>
    <t>Auto Components</t>
  </si>
  <si>
    <t>Multi Commodity Exchange Of India Ltd</t>
  </si>
  <si>
    <t>INE745G01035</t>
  </si>
  <si>
    <t>Capital Markets</t>
  </si>
  <si>
    <t>United Spirits Ltd</t>
  </si>
  <si>
    <t>INE854D01024</t>
  </si>
  <si>
    <t>Beverages</t>
  </si>
  <si>
    <t>GMM Pfaudler Ltd</t>
  </si>
  <si>
    <t>INE541A01023</t>
  </si>
  <si>
    <t>Industrial Manufacturing</t>
  </si>
  <si>
    <t>SBI Life Insurance Co Ltd</t>
  </si>
  <si>
    <t>INE123W01016</t>
  </si>
  <si>
    <t>Insurance</t>
  </si>
  <si>
    <t>Ltimindtree Ltd</t>
  </si>
  <si>
    <t>INE214T01019</t>
  </si>
  <si>
    <t>Tata Consultancy Services Ltd</t>
  </si>
  <si>
    <t>INE467B01029</t>
  </si>
  <si>
    <t>Sona Blw Precision Forgings Ltd</t>
  </si>
  <si>
    <t>INE073K01018</t>
  </si>
  <si>
    <t>Schaeffler India Ltd</t>
  </si>
  <si>
    <t>INE513A01022</t>
  </si>
  <si>
    <t>Brigade Enterprises Ltd</t>
  </si>
  <si>
    <t>INE791I01019</t>
  </si>
  <si>
    <t>Realty</t>
  </si>
  <si>
    <t>Max Healthcare Institute Ltd</t>
  </si>
  <si>
    <t>INE027H01010</t>
  </si>
  <si>
    <t>Healthcare Services</t>
  </si>
  <si>
    <t>Vinati Organics Ltd</t>
  </si>
  <si>
    <t>INE410B01037</t>
  </si>
  <si>
    <t>Chemicals &amp; Petrochemicals</t>
  </si>
  <si>
    <t>TCI Express Ltd</t>
  </si>
  <si>
    <t>INE586V01016</t>
  </si>
  <si>
    <t>Transport Services</t>
  </si>
  <si>
    <t>Vijaya Diagnostic Centre Ltd</t>
  </si>
  <si>
    <t>INE043W01024</t>
  </si>
  <si>
    <t>Procter &amp; Gamble Hygiene and Health Care Ltd</t>
  </si>
  <si>
    <t>INE179A01014</t>
  </si>
  <si>
    <t>Max Financial Services Ltd</t>
  </si>
  <si>
    <t>INE180A01020</t>
  </si>
  <si>
    <t>Apollo Hospitals Enterprise Ltd</t>
  </si>
  <si>
    <t>INE437A01024</t>
  </si>
  <si>
    <t>Ajanta Pharma Ltd</t>
  </si>
  <si>
    <t>INE031B01049</t>
  </si>
  <si>
    <t>Deepak Nitrite Ltd</t>
  </si>
  <si>
    <t>INE288B01029</t>
  </si>
  <si>
    <t>KEC International Ltd</t>
  </si>
  <si>
    <t>INE389H01022</t>
  </si>
  <si>
    <t>Electrical Equipment</t>
  </si>
  <si>
    <t>Prudent Corporate Advisory Services Ltd</t>
  </si>
  <si>
    <t>INE00F201020</t>
  </si>
  <si>
    <t>Navin Fluorine International Ltd</t>
  </si>
  <si>
    <t>INE048G01026</t>
  </si>
  <si>
    <t>KSB Ltd</t>
  </si>
  <si>
    <t>INE999A01015</t>
  </si>
  <si>
    <t>Industrial Products</t>
  </si>
  <si>
    <t>Titagarh Railsystems Ltd</t>
  </si>
  <si>
    <t>INE615H01020</t>
  </si>
  <si>
    <t>Sub Total</t>
  </si>
  <si>
    <t>Total</t>
  </si>
  <si>
    <t>Debt Instruments</t>
  </si>
  <si>
    <t>7.69% National Bank For Agriculture &amp; Rural Development (29/05/2024) **</t>
  </si>
  <si>
    <t>INE261F08BK1</t>
  </si>
  <si>
    <t>CRISIL AAA</t>
  </si>
  <si>
    <t>8.45% Indian Railway Finance Corporation Ltd (04/12/2028) **</t>
  </si>
  <si>
    <t>INE053F07AY7</t>
  </si>
  <si>
    <t>8.25% Kotak Mahindra Prime Ltd (20/06/2025) **</t>
  </si>
  <si>
    <t>INE916DA7SG3</t>
  </si>
  <si>
    <t>7.725% LARSEN &amp; TOUBRO LTD 28-APR-28 **</t>
  </si>
  <si>
    <t>INE018A08BE9</t>
  </si>
  <si>
    <t>7.63% Grasim industries Ltd (01/12/2027) **</t>
  </si>
  <si>
    <t>INE047A08208</t>
  </si>
  <si>
    <t>7.59% Small Industries Development Bank Of India (10/02/2026) **</t>
  </si>
  <si>
    <t>INE556F08KG3</t>
  </si>
  <si>
    <t>7.28% HDFC Bank Ltd (01/03/2024) **</t>
  </si>
  <si>
    <t>INE040A08898</t>
  </si>
  <si>
    <t>7.62% National Bank For Agriculture &amp; Rural Development (31/01/2028)</t>
  </si>
  <si>
    <t>INE261F08DV4</t>
  </si>
  <si>
    <t>7.57% National Bank For Agriculture &amp; Rural Development (19/03/2026)</t>
  </si>
  <si>
    <t>INE261F08DW2</t>
  </si>
  <si>
    <t>7.61% LIC Housing Finance Ltd (30/07/2025) **</t>
  </si>
  <si>
    <t>INE115A07PW7</t>
  </si>
  <si>
    <t>5.32% LIC Housing Finance Ltd (30/11/2023) **</t>
  </si>
  <si>
    <t>INE115A07PO4</t>
  </si>
  <si>
    <t>CARE AAA</t>
  </si>
  <si>
    <t>7.70% HDB Financial Services Ltd (11/08/2025) **</t>
  </si>
  <si>
    <t>INE756I07EG8</t>
  </si>
  <si>
    <t>7.50% HDFC Bank Ltd (08/01/2025) **</t>
  </si>
  <si>
    <t>INE040A08906</t>
  </si>
  <si>
    <t>5.39% Sundaram Finance Ltd (21/06/2024) **</t>
  </si>
  <si>
    <t>INE660A07QX8</t>
  </si>
  <si>
    <t>ICRA AAA</t>
  </si>
  <si>
    <t>6.30% HDB Financial Services Ltd (17/03/2025) **</t>
  </si>
  <si>
    <t>INE756I07ED5</t>
  </si>
  <si>
    <t>7.99% HDFC Bank Ltd (11/07/2024) **</t>
  </si>
  <si>
    <t>INE040A08609</t>
  </si>
  <si>
    <t>5.23% National Bank For Agriculture &amp; Rural Development (31/01/2025)</t>
  </si>
  <si>
    <t>INE261F08DI1</t>
  </si>
  <si>
    <t>7.51% REC Ltd (31/07/2026) **</t>
  </si>
  <si>
    <t>INE020B08EI8</t>
  </si>
  <si>
    <t>Money Market Instruments</t>
  </si>
  <si>
    <t>Treasury Bill</t>
  </si>
  <si>
    <t>91 DTB (19-OCT-2023)</t>
  </si>
  <si>
    <t>IN002023X161</t>
  </si>
  <si>
    <t xml:space="preserve"> Sovereign</t>
  </si>
  <si>
    <t>364 DAYS TREASURY BILLS 01-FEB-24</t>
  </si>
  <si>
    <t>IN002022Z440</t>
  </si>
  <si>
    <t>Government Bonds</t>
  </si>
  <si>
    <t>7.17% GOI 2030 (17-APR-2030)</t>
  </si>
  <si>
    <t>IN0020230036</t>
  </si>
  <si>
    <t>Sovereign</t>
  </si>
  <si>
    <t>7.06% GOI 2028 (10-APR-2028)</t>
  </si>
  <si>
    <t>IN0020230010</t>
  </si>
  <si>
    <t>7.18% GOI 2037 (14-AUG-2033)</t>
  </si>
  <si>
    <t>IN0020230085</t>
  </si>
  <si>
    <t>7.18% GOI 2037 (24-JUL-2037)</t>
  </si>
  <si>
    <t>IN0020230077</t>
  </si>
  <si>
    <t>7.10% GOI 18-APR-29</t>
  </si>
  <si>
    <t>IN0020220011</t>
  </si>
  <si>
    <t>7.38% GOI 20-JUN-27</t>
  </si>
  <si>
    <t>IN0020220037</t>
  </si>
  <si>
    <t>7.73% UTTAR PRADESH SDL 15-MAR-33</t>
  </si>
  <si>
    <t>IN3320220145</t>
  </si>
  <si>
    <t>9.25% MAHARASHTRA SDL 09-OCT-23</t>
  </si>
  <si>
    <t>IN2220130099</t>
  </si>
  <si>
    <t>7.72% INDIA GOVERNMENT 26-OCT-55</t>
  </si>
  <si>
    <t>IN0020150077</t>
  </si>
  <si>
    <t>TREPS</t>
  </si>
  <si>
    <t>Net Receivables / (Payables)</t>
  </si>
  <si>
    <t>Grand Total</t>
  </si>
  <si>
    <t>**  Non Traded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</si>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</sst>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" fontId="3" fillId="3" borderId="8" xfId="0" applyNumberFormat="1" applyFont="1" applyFill="1" applyBorder="1"/>
    <xf numFmtId="43" fontId="3" fillId="3" borderId="5" xfId="1" applyFont="1" applyFill="1" applyBorder="1" applyAlignment="1">
      <alignment horizontal="center"/>
    </xf>
    <xf numFmtId="43" fontId="3" fillId="3" borderId="9" xfId="1" applyFont="1" applyFill="1" applyBorder="1" applyAlignment="1">
      <alignment horizontal="center"/>
    </xf>
    <xf numFmtId="0" fontId="9" fillId="3" borderId="10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4" fontId="3" fillId="3" borderId="12" xfId="0" applyNumberFormat="1" applyFont="1" applyFill="1" applyBorder="1"/>
    <xf numFmtId="43" fontId="3" fillId="3" borderId="13" xfId="1" applyFont="1" applyFill="1" applyBorder="1" applyAlignment="1">
      <alignment horizontal="center"/>
    </xf>
    <xf numFmtId="0" fontId="3" fillId="3" borderId="10" xfId="0" applyFont="1" applyFill="1" applyBorder="1"/>
    <xf numFmtId="3" fontId="3" fillId="3" borderId="11" xfId="0" applyNumberFormat="1" applyFont="1" applyFill="1" applyBorder="1"/>
    <xf numFmtId="43" fontId="3" fillId="3" borderId="0" xfId="1" applyFont="1" applyFill="1"/>
    <xf numFmtId="43" fontId="3" fillId="3" borderId="14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5" xfId="0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7" xfId="0" applyNumberFormat="1" applyFont="1" applyFill="1" applyBorder="1"/>
    <xf numFmtId="4" fontId="9" fillId="3" borderId="18" xfId="0" applyNumberFormat="1" applyFont="1" applyFill="1" applyBorder="1"/>
    <xf numFmtId="4" fontId="9" fillId="3" borderId="19" xfId="0" applyNumberFormat="1" applyFont="1" applyFill="1" applyBorder="1"/>
    <xf numFmtId="0" fontId="9" fillId="3" borderId="20" xfId="0" applyFont="1" applyFill="1" applyBorder="1"/>
    <xf numFmtId="0" fontId="9" fillId="3" borderId="20" xfId="0" applyNumberFormat="1" applyFont="1" applyFill="1" applyBorder="1"/>
    <xf numFmtId="4" fontId="9" fillId="3" borderId="20" xfId="0" applyNumberFormat="1" applyFont="1" applyFill="1" applyBorder="1"/>
    <xf numFmtId="4" fontId="9" fillId="3" borderId="0" xfId="0" applyNumberFormat="1" applyFont="1" applyFill="1" applyBorder="1"/>
    <xf numFmtId="4" fontId="9" fillId="3" borderId="0" xfId="0" applyNumberFormat="1" applyFont="1" applyFill="1"/>
    <xf numFmtId="0" fontId="9" fillId="3" borderId="21" xfId="0" applyFont="1" applyFill="1" applyBorder="1"/>
    <xf numFmtId="0" fontId="3" fillId="3" borderId="21" xfId="0" applyFont="1" applyFill="1" applyBorder="1"/>
    <xf numFmtId="0" fontId="3" fillId="3" borderId="21" xfId="0" applyNumberFormat="1" applyFont="1" applyFill="1" applyBorder="1"/>
    <xf numFmtId="4" fontId="3" fillId="3" borderId="21" xfId="0" applyNumberFormat="1" applyFont="1" applyFill="1" applyBorder="1"/>
    <xf numFmtId="0" fontId="9" fillId="3" borderId="11" xfId="0" applyFont="1" applyFill="1" applyBorder="1"/>
    <xf numFmtId="4" fontId="9" fillId="3" borderId="16" xfId="0" applyNumberFormat="1" applyFont="1" applyFill="1" applyBorder="1"/>
    <xf numFmtId="0" fontId="9" fillId="3" borderId="22" xfId="0" applyFont="1" applyFill="1" applyBorder="1"/>
    <xf numFmtId="0" fontId="9" fillId="3" borderId="22" xfId="0" applyNumberFormat="1" applyFont="1" applyFill="1" applyBorder="1"/>
    <xf numFmtId="4" fontId="9" fillId="3" borderId="22" xfId="0" applyNumberFormat="1" applyFont="1" applyFill="1" applyBorder="1"/>
    <xf numFmtId="0" fontId="3" fillId="3" borderId="23" xfId="0" applyFont="1" applyFill="1" applyBorder="1"/>
    <xf numFmtId="3" fontId="3" fillId="3" borderId="23" xfId="0" applyNumberFormat="1" applyFont="1" applyFill="1" applyBorder="1"/>
    <xf numFmtId="4" fontId="3" fillId="3" borderId="23" xfId="0" applyNumberFormat="1" applyFont="1" applyFill="1" applyBorder="1"/>
    <xf numFmtId="0" fontId="9" fillId="3" borderId="24" xfId="0" applyFont="1" applyFill="1" applyBorder="1"/>
    <xf numFmtId="0" fontId="9" fillId="3" borderId="24" xfId="0" applyNumberFormat="1" applyFont="1" applyFill="1" applyBorder="1"/>
    <xf numFmtId="4" fontId="9" fillId="3" borderId="24" xfId="0" applyNumberFormat="1" applyFont="1" applyFill="1" applyBorder="1"/>
    <xf numFmtId="0" fontId="9" fillId="3" borderId="25" xfId="0" applyFont="1" applyFill="1" applyBorder="1"/>
    <xf numFmtId="0" fontId="9" fillId="3" borderId="25" xfId="0" applyNumberFormat="1" applyFont="1" applyFill="1" applyBorder="1"/>
    <xf numFmtId="4" fontId="9" fillId="3" borderId="25" xfId="0" applyNumberFormat="1" applyFont="1" applyFill="1" applyBorder="1"/>
    <xf numFmtId="0" fontId="9" fillId="3" borderId="9" xfId="0" applyFont="1" applyFill="1" applyBorder="1"/>
    <xf numFmtId="0" fontId="9" fillId="3" borderId="9" xfId="0" applyNumberFormat="1" applyFont="1" applyFill="1" applyBorder="1"/>
    <xf numFmtId="4" fontId="9" fillId="3" borderId="9" xfId="0" applyNumberFormat="1" applyFont="1" applyFill="1" applyBorder="1"/>
    <xf numFmtId="0" fontId="3" fillId="3" borderId="0" xfId="0" applyNumberFormat="1" applyFont="1" applyFill="1"/>
    <xf numFmtId="0" fontId="9" fillId="3" borderId="0" xfId="0" applyFont="1" applyFill="1"/>
    <xf numFmtId="0" fontId="10" fillId="4" borderId="26" xfId="0" applyFont="1" applyFill="1" applyBorder="1"/>
    <xf numFmtId="2" fontId="9" fillId="3" borderId="27" xfId="0" applyNumberFormat="1" applyFont="1" applyFill="1" applyBorder="1"/>
    <xf numFmtId="10" fontId="9" fillId="3" borderId="27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161925</xdr:colOff>
      <xdr:row>4</xdr:row>
      <xdr:rowOff>28575</xdr:rowOff>
    </xdr:from>
    <xdr:ext cx="1743075" cy="11811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5650" y="1019175"/>
          <a:ext cx="1743075" cy="1181100"/>
        </a:xfrm>
        <a:prstGeom prst="rect">
          <a:avLst/>
        </a:prstGeom>
      </xdr:spPr>
    </xdr:pic>
    <xdr:clientData/>
  </xdr:oneCellAnchor>
  <xdr:twoCellAnchor>
    <xdr:from>
      <xdr:col>10</xdr:col>
      <xdr:colOff>228600</xdr:colOff>
      <xdr:row>4</xdr:row>
      <xdr:rowOff>28575</xdr:rowOff>
    </xdr:from>
    <xdr:to>
      <xdr:col>10</xdr:col>
      <xdr:colOff>1933576</xdr:colOff>
      <xdr:row>11</xdr:row>
      <xdr:rowOff>123825</xdr:rowOff>
    </xdr:to>
    <xdr:pic>
      <xdr:nvPicPr>
        <xdr:cNvPr id="3" name="Picture 47" descr="image001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19175"/>
          <a:ext cx="1704976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54909</xdr:colOff>
      <xdr:row>4</xdr:row>
      <xdr:rowOff>37540</xdr:rowOff>
    </xdr:from>
    <xdr:to>
      <xdr:col>12</xdr:col>
      <xdr:colOff>1946463</xdr:colOff>
      <xdr:row>11</xdr:row>
      <xdr:rowOff>137272</xdr:rowOff>
    </xdr:to>
    <xdr:pic>
      <xdr:nvPicPr>
        <xdr:cNvPr id="4" name="Picture 47" descr="image001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47484" y="1028140"/>
          <a:ext cx="1891554" cy="11665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35"/>
  <sheetViews>
    <sheetView tabSelected="1" topLeftCell="E1" workbookViewId="0">
      <selection activeCell="B1" sqref="B1:I1"/>
    </sheetView>
  </sheetViews>
  <sheetFormatPr defaultRowHeight="12" x14ac:dyDescent="0.2"/>
  <cols>
    <col min="1" max="1" width="9.140625" style="3"/>
    <col min="2" max="2" width="61.5703125" style="3" bestFit="1" customWidth="1"/>
    <col min="3" max="3" width="13.85546875" style="3" bestFit="1" customWidth="1"/>
    <col min="4" max="4" width="40.42578125" style="3" bestFit="1" customWidth="1"/>
    <col min="5" max="5" width="9.85546875" style="66" bestFit="1" customWidth="1"/>
    <col min="6" max="6" width="15.28515625" style="9" bestFit="1" customWidth="1"/>
    <col min="7" max="7" width="7.42578125" style="9" bestFit="1" customWidth="1"/>
    <col min="8" max="8" width="13.5703125" style="9" customWidth="1"/>
    <col min="9" max="9" width="6.5703125" style="9" bestFit="1" customWidth="1"/>
    <col min="10" max="10" width="9.140625" style="3"/>
    <col min="11" max="11" width="31.5703125" style="3" customWidth="1"/>
    <col min="12" max="12" width="33.42578125" style="3" customWidth="1"/>
    <col min="13" max="13" width="31.42578125" style="3" customWidth="1"/>
    <col min="14" max="14" width="4.7109375" style="3" customWidth="1"/>
    <col min="15" max="16384" width="9.140625" style="3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  <c r="H1" s="2"/>
      <c r="I1" s="2"/>
    </row>
    <row r="3" spans="2:14" ht="16.5" thickBot="1" x14ac:dyDescent="0.25">
      <c r="B3" s="4" t="s">
        <v>1</v>
      </c>
      <c r="C3" s="5"/>
      <c r="D3" s="6"/>
      <c r="E3" s="7"/>
      <c r="F3" s="8"/>
      <c r="G3" s="8"/>
      <c r="H3" s="8"/>
    </row>
    <row r="4" spans="2:14" ht="28.5" x14ac:dyDescent="0.2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I4" s="14" t="s">
        <v>9</v>
      </c>
      <c r="K4" s="15" t="s">
        <v>10</v>
      </c>
      <c r="L4" s="15" t="s">
        <v>11</v>
      </c>
      <c r="M4" s="15" t="s">
        <v>12</v>
      </c>
    </row>
    <row r="5" spans="2:14" x14ac:dyDescent="0.2">
      <c r="B5" s="16" t="s">
        <v>13</v>
      </c>
      <c r="C5" s="17"/>
      <c r="D5" s="17"/>
      <c r="E5" s="18"/>
      <c r="F5" s="19"/>
      <c r="G5" s="19"/>
      <c r="H5" s="19"/>
      <c r="I5" s="20"/>
      <c r="K5" s="21"/>
      <c r="L5" s="21"/>
      <c r="M5" s="22"/>
    </row>
    <row r="6" spans="2:14" x14ac:dyDescent="0.2">
      <c r="B6" s="23" t="s">
        <v>14</v>
      </c>
      <c r="C6" s="24"/>
      <c r="D6" s="24"/>
      <c r="E6" s="25"/>
      <c r="F6" s="26"/>
      <c r="G6" s="26"/>
      <c r="H6" s="26"/>
      <c r="I6" s="27"/>
      <c r="K6" s="28"/>
      <c r="L6" s="28"/>
      <c r="M6" s="22"/>
    </row>
    <row r="7" spans="2:14" x14ac:dyDescent="0.2">
      <c r="B7" s="29" t="s">
        <v>15</v>
      </c>
      <c r="C7" s="24" t="s">
        <v>16</v>
      </c>
      <c r="D7" s="24" t="s">
        <v>17</v>
      </c>
      <c r="E7" s="30">
        <v>162032</v>
      </c>
      <c r="F7" s="26">
        <v>2473.09</v>
      </c>
      <c r="G7" s="26">
        <v>2.38</v>
      </c>
      <c r="H7" s="26" t="s">
        <v>18</v>
      </c>
      <c r="I7" s="27"/>
      <c r="K7" s="28"/>
      <c r="L7" s="28"/>
      <c r="M7" s="22"/>
      <c r="N7" s="31"/>
    </row>
    <row r="8" spans="2:14" x14ac:dyDescent="0.2">
      <c r="B8" s="29" t="s">
        <v>19</v>
      </c>
      <c r="C8" s="24" t="s">
        <v>20</v>
      </c>
      <c r="D8" s="24" t="s">
        <v>17</v>
      </c>
      <c r="E8" s="30">
        <v>177914</v>
      </c>
      <c r="F8" s="26">
        <v>1693.56</v>
      </c>
      <c r="G8" s="26">
        <v>1.63</v>
      </c>
      <c r="H8" s="26" t="s">
        <v>18</v>
      </c>
      <c r="I8" s="27"/>
      <c r="K8" s="28"/>
      <c r="L8" s="28"/>
      <c r="M8" s="22"/>
      <c r="N8" s="31"/>
    </row>
    <row r="9" spans="2:14" x14ac:dyDescent="0.2">
      <c r="B9" s="29" t="s">
        <v>21</v>
      </c>
      <c r="C9" s="24" t="s">
        <v>22</v>
      </c>
      <c r="D9" s="24" t="s">
        <v>23</v>
      </c>
      <c r="E9" s="30">
        <v>16500</v>
      </c>
      <c r="F9" s="26">
        <v>1288.77</v>
      </c>
      <c r="G9" s="26">
        <v>1.24</v>
      </c>
      <c r="H9" s="26" t="s">
        <v>18</v>
      </c>
      <c r="I9" s="27"/>
      <c r="K9" s="28"/>
      <c r="L9" s="28"/>
      <c r="M9" s="22"/>
      <c r="N9" s="31"/>
    </row>
    <row r="10" spans="2:14" x14ac:dyDescent="0.2">
      <c r="B10" s="29" t="s">
        <v>24</v>
      </c>
      <c r="C10" s="24" t="s">
        <v>25</v>
      </c>
      <c r="D10" s="24" t="s">
        <v>26</v>
      </c>
      <c r="E10" s="30">
        <v>51154</v>
      </c>
      <c r="F10" s="26">
        <v>1199.56</v>
      </c>
      <c r="G10" s="26">
        <v>1.1599999999999999</v>
      </c>
      <c r="H10" s="26" t="s">
        <v>18</v>
      </c>
      <c r="I10" s="27"/>
      <c r="K10" s="28"/>
      <c r="L10" s="28"/>
      <c r="M10" s="22"/>
      <c r="N10" s="31"/>
    </row>
    <row r="11" spans="2:14" x14ac:dyDescent="0.2">
      <c r="B11" s="29" t="s">
        <v>27</v>
      </c>
      <c r="C11" s="24" t="s">
        <v>28</v>
      </c>
      <c r="D11" s="24" t="s">
        <v>29</v>
      </c>
      <c r="E11" s="30">
        <v>450000</v>
      </c>
      <c r="F11" s="26">
        <v>1104.98</v>
      </c>
      <c r="G11" s="26">
        <v>1.06</v>
      </c>
      <c r="H11" s="26" t="s">
        <v>18</v>
      </c>
      <c r="I11" s="27"/>
      <c r="K11" s="28"/>
      <c r="L11" s="28"/>
      <c r="M11" s="22"/>
      <c r="N11" s="31"/>
    </row>
    <row r="12" spans="2:14" x14ac:dyDescent="0.2">
      <c r="B12" s="29" t="s">
        <v>30</v>
      </c>
      <c r="C12" s="24" t="s">
        <v>31</v>
      </c>
      <c r="D12" s="24" t="s">
        <v>32</v>
      </c>
      <c r="E12" s="30">
        <v>34330</v>
      </c>
      <c r="F12" s="26">
        <v>1037.98</v>
      </c>
      <c r="G12" s="26">
        <v>1</v>
      </c>
      <c r="H12" s="26" t="s">
        <v>18</v>
      </c>
      <c r="I12" s="27"/>
      <c r="K12" s="32"/>
      <c r="L12" s="32"/>
      <c r="M12" s="22"/>
      <c r="N12" s="31"/>
    </row>
    <row r="13" spans="2:14" x14ac:dyDescent="0.2">
      <c r="B13" s="29" t="s">
        <v>33</v>
      </c>
      <c r="C13" s="24" t="s">
        <v>34</v>
      </c>
      <c r="D13" s="24" t="s">
        <v>35</v>
      </c>
      <c r="E13" s="30">
        <v>225000</v>
      </c>
      <c r="F13" s="26">
        <v>999.9</v>
      </c>
      <c r="G13" s="26">
        <v>0.96</v>
      </c>
      <c r="H13" s="26" t="s">
        <v>18</v>
      </c>
      <c r="I13" s="27"/>
      <c r="K13" s="33"/>
      <c r="L13" s="33" t="s">
        <v>36</v>
      </c>
      <c r="M13" s="33"/>
      <c r="N13" s="31"/>
    </row>
    <row r="14" spans="2:14" x14ac:dyDescent="0.2">
      <c r="B14" s="29" t="s">
        <v>37</v>
      </c>
      <c r="C14" s="24" t="s">
        <v>38</v>
      </c>
      <c r="D14" s="24" t="s">
        <v>39</v>
      </c>
      <c r="E14" s="30">
        <v>69420</v>
      </c>
      <c r="F14" s="26">
        <v>996.49</v>
      </c>
      <c r="G14" s="26">
        <v>0.96</v>
      </c>
      <c r="H14" s="26" t="s">
        <v>18</v>
      </c>
      <c r="I14" s="27"/>
      <c r="K14" s="31"/>
      <c r="L14" s="31"/>
      <c r="M14" s="31"/>
      <c r="N14" s="31"/>
    </row>
    <row r="15" spans="2:14" x14ac:dyDescent="0.2">
      <c r="B15" s="29" t="s">
        <v>40</v>
      </c>
      <c r="C15" s="24" t="s">
        <v>41</v>
      </c>
      <c r="D15" s="24" t="s">
        <v>42</v>
      </c>
      <c r="E15" s="30">
        <v>66000</v>
      </c>
      <c r="F15" s="26">
        <v>978.19</v>
      </c>
      <c r="G15" s="26">
        <v>0.94</v>
      </c>
      <c r="H15" s="26" t="s">
        <v>43</v>
      </c>
      <c r="I15" s="27"/>
      <c r="K15" s="31"/>
      <c r="L15" s="31"/>
      <c r="M15" s="31"/>
      <c r="N15" s="31"/>
    </row>
    <row r="16" spans="2:14" x14ac:dyDescent="0.2">
      <c r="B16" s="29" t="s">
        <v>44</v>
      </c>
      <c r="C16" s="24" t="s">
        <v>45</v>
      </c>
      <c r="D16" s="24" t="s">
        <v>17</v>
      </c>
      <c r="E16" s="30">
        <v>150000</v>
      </c>
      <c r="F16" s="26">
        <v>897.83</v>
      </c>
      <c r="G16" s="26">
        <v>0.87</v>
      </c>
      <c r="H16" s="26" t="s">
        <v>18</v>
      </c>
      <c r="I16" s="27"/>
      <c r="K16" s="31"/>
      <c r="L16" s="31"/>
      <c r="M16" s="31"/>
      <c r="N16" s="31"/>
    </row>
    <row r="17" spans="2:14" x14ac:dyDescent="0.2">
      <c r="B17" s="29" t="s">
        <v>46</v>
      </c>
      <c r="C17" s="24" t="s">
        <v>47</v>
      </c>
      <c r="D17" s="24" t="s">
        <v>48</v>
      </c>
      <c r="E17" s="30">
        <v>7000</v>
      </c>
      <c r="F17" s="26">
        <v>742.74</v>
      </c>
      <c r="G17" s="26">
        <v>0.72</v>
      </c>
      <c r="H17" s="26" t="s">
        <v>18</v>
      </c>
      <c r="I17" s="27"/>
      <c r="K17" s="31"/>
      <c r="L17" s="31"/>
      <c r="M17" s="31"/>
      <c r="N17" s="31"/>
    </row>
    <row r="18" spans="2:14" x14ac:dyDescent="0.2">
      <c r="B18" s="29" t="s">
        <v>49</v>
      </c>
      <c r="C18" s="24" t="s">
        <v>50</v>
      </c>
      <c r="D18" s="24" t="s">
        <v>51</v>
      </c>
      <c r="E18" s="30">
        <v>80000</v>
      </c>
      <c r="F18" s="26">
        <v>741.12</v>
      </c>
      <c r="G18" s="26">
        <v>0.71</v>
      </c>
      <c r="H18" s="26" t="s">
        <v>18</v>
      </c>
      <c r="I18" s="27"/>
      <c r="K18" s="31"/>
      <c r="L18" s="31"/>
      <c r="M18" s="31"/>
      <c r="N18" s="31"/>
    </row>
    <row r="19" spans="2:14" x14ac:dyDescent="0.2">
      <c r="B19" s="29" t="s">
        <v>52</v>
      </c>
      <c r="C19" s="24" t="s">
        <v>53</v>
      </c>
      <c r="D19" s="24" t="s">
        <v>54</v>
      </c>
      <c r="E19" s="30">
        <v>400000</v>
      </c>
      <c r="F19" s="26">
        <v>708</v>
      </c>
      <c r="G19" s="26">
        <v>0.68</v>
      </c>
      <c r="H19" s="26" t="s">
        <v>55</v>
      </c>
      <c r="I19" s="27"/>
      <c r="K19" s="31"/>
      <c r="L19" s="31"/>
      <c r="M19" s="31"/>
      <c r="N19" s="31"/>
    </row>
    <row r="20" spans="2:14" x14ac:dyDescent="0.2">
      <c r="B20" s="29" t="s">
        <v>56</v>
      </c>
      <c r="C20" s="24" t="s">
        <v>57</v>
      </c>
      <c r="D20" s="24" t="s">
        <v>17</v>
      </c>
      <c r="E20" s="30">
        <v>61062</v>
      </c>
      <c r="F20" s="26">
        <v>633.03</v>
      </c>
      <c r="G20" s="26">
        <v>0.61</v>
      </c>
      <c r="H20" s="26" t="s">
        <v>18</v>
      </c>
      <c r="I20" s="27"/>
      <c r="K20" s="31"/>
      <c r="L20" s="31"/>
      <c r="M20" s="31"/>
      <c r="N20" s="31"/>
    </row>
    <row r="21" spans="2:14" x14ac:dyDescent="0.2">
      <c r="B21" s="29" t="s">
        <v>58</v>
      </c>
      <c r="C21" s="24" t="s">
        <v>59</v>
      </c>
      <c r="D21" s="24" t="s">
        <v>23</v>
      </c>
      <c r="E21" s="30">
        <v>200000</v>
      </c>
      <c r="F21" s="26">
        <v>574.79999999999995</v>
      </c>
      <c r="G21" s="26">
        <v>0.55000000000000004</v>
      </c>
      <c r="H21" s="26" t="s">
        <v>55</v>
      </c>
      <c r="I21" s="27"/>
      <c r="K21" s="31"/>
      <c r="L21" s="31"/>
      <c r="M21" s="31"/>
      <c r="N21" s="31"/>
    </row>
    <row r="22" spans="2:14" x14ac:dyDescent="0.2">
      <c r="B22" s="29" t="s">
        <v>60</v>
      </c>
      <c r="C22" s="24" t="s">
        <v>61</v>
      </c>
      <c r="D22" s="24" t="s">
        <v>62</v>
      </c>
      <c r="E22" s="30">
        <v>100000</v>
      </c>
      <c r="F22" s="26">
        <v>551.6</v>
      </c>
      <c r="G22" s="26">
        <v>0.53</v>
      </c>
      <c r="H22" s="26" t="s">
        <v>18</v>
      </c>
      <c r="I22" s="27"/>
      <c r="K22" s="31"/>
      <c r="L22" s="31"/>
      <c r="M22" s="31"/>
      <c r="N22" s="31"/>
    </row>
    <row r="23" spans="2:14" x14ac:dyDescent="0.2">
      <c r="B23" s="29" t="s">
        <v>63</v>
      </c>
      <c r="C23" s="24" t="s">
        <v>64</v>
      </c>
      <c r="D23" s="24" t="s">
        <v>65</v>
      </c>
      <c r="E23" s="30">
        <v>58802</v>
      </c>
      <c r="F23" s="26">
        <v>549.71</v>
      </c>
      <c r="G23" s="26">
        <v>0.53</v>
      </c>
      <c r="H23" s="26" t="s">
        <v>43</v>
      </c>
      <c r="I23" s="27"/>
      <c r="K23" s="31"/>
      <c r="L23" s="31"/>
      <c r="M23" s="31"/>
      <c r="N23" s="31"/>
    </row>
    <row r="24" spans="2:14" x14ac:dyDescent="0.2">
      <c r="B24" s="29" t="s">
        <v>66</v>
      </c>
      <c r="C24" s="24" t="s">
        <v>67</v>
      </c>
      <c r="D24" s="24" t="s">
        <v>68</v>
      </c>
      <c r="E24" s="30">
        <v>89000</v>
      </c>
      <c r="F24" s="26">
        <v>533.51</v>
      </c>
      <c r="G24" s="26">
        <v>0.51</v>
      </c>
      <c r="H24" s="26" t="s">
        <v>55</v>
      </c>
      <c r="I24" s="27"/>
      <c r="K24" s="31"/>
      <c r="L24" s="31"/>
      <c r="M24" s="31"/>
      <c r="N24" s="31"/>
    </row>
    <row r="25" spans="2:14" x14ac:dyDescent="0.2">
      <c r="B25" s="29" t="s">
        <v>69</v>
      </c>
      <c r="C25" s="24" t="s">
        <v>70</v>
      </c>
      <c r="D25" s="24" t="s">
        <v>71</v>
      </c>
      <c r="E25" s="30">
        <v>25000</v>
      </c>
      <c r="F25" s="26">
        <v>512.42999999999995</v>
      </c>
      <c r="G25" s="26">
        <v>0.49</v>
      </c>
      <c r="H25" s="26" t="s">
        <v>43</v>
      </c>
      <c r="I25" s="27"/>
      <c r="K25" s="31"/>
      <c r="L25" s="31"/>
      <c r="M25" s="31"/>
      <c r="N25" s="31"/>
    </row>
    <row r="26" spans="2:14" x14ac:dyDescent="0.2">
      <c r="B26" s="29" t="s">
        <v>72</v>
      </c>
      <c r="C26" s="24" t="s">
        <v>73</v>
      </c>
      <c r="D26" s="24" t="s">
        <v>74</v>
      </c>
      <c r="E26" s="30">
        <v>50000</v>
      </c>
      <c r="F26" s="26">
        <v>503.63</v>
      </c>
      <c r="G26" s="26">
        <v>0.49</v>
      </c>
      <c r="H26" s="26" t="s">
        <v>18</v>
      </c>
      <c r="I26" s="27"/>
      <c r="K26" s="31"/>
      <c r="L26" s="31"/>
      <c r="M26" s="31"/>
      <c r="N26" s="31"/>
    </row>
    <row r="27" spans="2:14" x14ac:dyDescent="0.2">
      <c r="B27" s="29" t="s">
        <v>75</v>
      </c>
      <c r="C27" s="24" t="s">
        <v>76</v>
      </c>
      <c r="D27" s="24" t="s">
        <v>77</v>
      </c>
      <c r="E27" s="30">
        <v>25000</v>
      </c>
      <c r="F27" s="26">
        <v>465.85</v>
      </c>
      <c r="G27" s="26">
        <v>0.45</v>
      </c>
      <c r="H27" s="26" t="s">
        <v>43</v>
      </c>
      <c r="I27" s="27"/>
      <c r="K27" s="31"/>
      <c r="L27" s="31"/>
      <c r="M27" s="31"/>
      <c r="N27" s="31"/>
    </row>
    <row r="28" spans="2:14" x14ac:dyDescent="0.2">
      <c r="B28" s="29" t="s">
        <v>78</v>
      </c>
      <c r="C28" s="24" t="s">
        <v>79</v>
      </c>
      <c r="D28" s="24" t="s">
        <v>80</v>
      </c>
      <c r="E28" s="30">
        <v>33000</v>
      </c>
      <c r="F28" s="26">
        <v>430.78</v>
      </c>
      <c r="G28" s="26">
        <v>0.42</v>
      </c>
      <c r="H28" s="26" t="s">
        <v>18</v>
      </c>
      <c r="I28" s="27"/>
      <c r="K28" s="31"/>
      <c r="L28" s="31"/>
      <c r="M28" s="31"/>
      <c r="N28" s="31"/>
    </row>
    <row r="29" spans="2:14" x14ac:dyDescent="0.2">
      <c r="B29" s="29" t="s">
        <v>81</v>
      </c>
      <c r="C29" s="24" t="s">
        <v>82</v>
      </c>
      <c r="D29" s="24" t="s">
        <v>39</v>
      </c>
      <c r="E29" s="30">
        <v>7500</v>
      </c>
      <c r="F29" s="26">
        <v>390.74</v>
      </c>
      <c r="G29" s="26">
        <v>0.38</v>
      </c>
      <c r="H29" s="26" t="s">
        <v>18</v>
      </c>
      <c r="I29" s="27"/>
      <c r="K29" s="31"/>
      <c r="L29" s="31"/>
      <c r="M29" s="31"/>
      <c r="N29" s="31"/>
    </row>
    <row r="30" spans="2:14" x14ac:dyDescent="0.2">
      <c r="B30" s="29" t="s">
        <v>83</v>
      </c>
      <c r="C30" s="24" t="s">
        <v>84</v>
      </c>
      <c r="D30" s="24" t="s">
        <v>39</v>
      </c>
      <c r="E30" s="30">
        <v>11019</v>
      </c>
      <c r="F30" s="26">
        <v>388.82</v>
      </c>
      <c r="G30" s="26">
        <v>0.37</v>
      </c>
      <c r="H30" s="26" t="s">
        <v>18</v>
      </c>
      <c r="I30" s="27"/>
      <c r="K30" s="31"/>
      <c r="L30" s="31"/>
      <c r="M30" s="31"/>
      <c r="N30" s="31"/>
    </row>
    <row r="31" spans="2:14" x14ac:dyDescent="0.2">
      <c r="B31" s="29" t="s">
        <v>85</v>
      </c>
      <c r="C31" s="24" t="s">
        <v>86</v>
      </c>
      <c r="D31" s="24" t="s">
        <v>68</v>
      </c>
      <c r="E31" s="30">
        <v>65588</v>
      </c>
      <c r="F31" s="26">
        <v>382.64</v>
      </c>
      <c r="G31" s="26">
        <v>0.37</v>
      </c>
      <c r="H31" s="26" t="s">
        <v>55</v>
      </c>
      <c r="I31" s="27"/>
      <c r="K31" s="31"/>
      <c r="L31" s="31"/>
      <c r="M31" s="31"/>
      <c r="N31" s="31"/>
    </row>
    <row r="32" spans="2:14" x14ac:dyDescent="0.2">
      <c r="B32" s="29" t="s">
        <v>87</v>
      </c>
      <c r="C32" s="24" t="s">
        <v>88</v>
      </c>
      <c r="D32" s="24" t="s">
        <v>68</v>
      </c>
      <c r="E32" s="30">
        <v>9500</v>
      </c>
      <c r="F32" s="26">
        <v>314.92</v>
      </c>
      <c r="G32" s="26">
        <v>0.3</v>
      </c>
      <c r="H32" s="26" t="s">
        <v>55</v>
      </c>
      <c r="I32" s="27"/>
      <c r="K32" s="31"/>
      <c r="L32" s="31"/>
      <c r="M32" s="31"/>
      <c r="N32" s="31"/>
    </row>
    <row r="33" spans="2:14" x14ac:dyDescent="0.2">
      <c r="B33" s="29" t="s">
        <v>89</v>
      </c>
      <c r="C33" s="24" t="s">
        <v>90</v>
      </c>
      <c r="D33" s="24" t="s">
        <v>91</v>
      </c>
      <c r="E33" s="30">
        <v>53500</v>
      </c>
      <c r="F33" s="26">
        <v>303.8</v>
      </c>
      <c r="G33" s="26">
        <v>0.28999999999999998</v>
      </c>
      <c r="H33" s="26" t="s">
        <v>43</v>
      </c>
      <c r="I33" s="27"/>
      <c r="K33" s="31"/>
      <c r="L33" s="31"/>
      <c r="M33" s="31"/>
      <c r="N33" s="31"/>
    </row>
    <row r="34" spans="2:14" x14ac:dyDescent="0.2">
      <c r="B34" s="29" t="s">
        <v>92</v>
      </c>
      <c r="C34" s="24" t="s">
        <v>93</v>
      </c>
      <c r="D34" s="24" t="s">
        <v>94</v>
      </c>
      <c r="E34" s="30">
        <v>50000</v>
      </c>
      <c r="F34" s="26">
        <v>283.7</v>
      </c>
      <c r="G34" s="26">
        <v>0.27</v>
      </c>
      <c r="H34" s="26" t="s">
        <v>55</v>
      </c>
      <c r="I34" s="27"/>
      <c r="K34" s="31"/>
      <c r="L34" s="31"/>
      <c r="M34" s="31"/>
      <c r="N34" s="31"/>
    </row>
    <row r="35" spans="2:14" x14ac:dyDescent="0.2">
      <c r="B35" s="29" t="s">
        <v>95</v>
      </c>
      <c r="C35" s="24" t="s">
        <v>96</v>
      </c>
      <c r="D35" s="24" t="s">
        <v>97</v>
      </c>
      <c r="E35" s="30">
        <v>15000</v>
      </c>
      <c r="F35" s="26">
        <v>276.97000000000003</v>
      </c>
      <c r="G35" s="26">
        <v>0.27</v>
      </c>
      <c r="H35" s="26" t="s">
        <v>55</v>
      </c>
      <c r="I35" s="27"/>
      <c r="K35" s="31"/>
      <c r="L35" s="31"/>
      <c r="M35" s="31"/>
      <c r="N35" s="31"/>
    </row>
    <row r="36" spans="2:14" x14ac:dyDescent="0.2">
      <c r="B36" s="29" t="s">
        <v>98</v>
      </c>
      <c r="C36" s="24" t="s">
        <v>99</v>
      </c>
      <c r="D36" s="24" t="s">
        <v>100</v>
      </c>
      <c r="E36" s="30">
        <v>17966</v>
      </c>
      <c r="F36" s="26">
        <v>260.32</v>
      </c>
      <c r="G36" s="26">
        <v>0.25</v>
      </c>
      <c r="H36" s="26" t="s">
        <v>43</v>
      </c>
      <c r="I36" s="27"/>
      <c r="K36" s="31"/>
      <c r="L36" s="31"/>
      <c r="M36" s="31"/>
      <c r="N36" s="31"/>
    </row>
    <row r="37" spans="2:14" x14ac:dyDescent="0.2">
      <c r="B37" s="29" t="s">
        <v>101</v>
      </c>
      <c r="C37" s="24" t="s">
        <v>102</v>
      </c>
      <c r="D37" s="24" t="s">
        <v>94</v>
      </c>
      <c r="E37" s="30">
        <v>51000</v>
      </c>
      <c r="F37" s="26">
        <v>254.59</v>
      </c>
      <c r="G37" s="26">
        <v>0.25</v>
      </c>
      <c r="H37" s="26" t="s">
        <v>43</v>
      </c>
      <c r="I37" s="27"/>
      <c r="K37" s="31"/>
      <c r="L37" s="31"/>
      <c r="M37" s="31"/>
      <c r="N37" s="31"/>
    </row>
    <row r="38" spans="2:14" x14ac:dyDescent="0.2">
      <c r="B38" s="29" t="s">
        <v>103</v>
      </c>
      <c r="C38" s="24" t="s">
        <v>104</v>
      </c>
      <c r="D38" s="24" t="s">
        <v>62</v>
      </c>
      <c r="E38" s="30">
        <v>1400</v>
      </c>
      <c r="F38" s="26">
        <v>251.33</v>
      </c>
      <c r="G38" s="26">
        <v>0.24</v>
      </c>
      <c r="H38" s="26" t="s">
        <v>55</v>
      </c>
      <c r="I38" s="27"/>
      <c r="K38" s="31"/>
      <c r="L38" s="31"/>
      <c r="M38" s="31"/>
      <c r="N38" s="31"/>
    </row>
    <row r="39" spans="2:14" x14ac:dyDescent="0.2">
      <c r="B39" s="29" t="s">
        <v>105</v>
      </c>
      <c r="C39" s="24" t="s">
        <v>106</v>
      </c>
      <c r="D39" s="24" t="s">
        <v>80</v>
      </c>
      <c r="E39" s="30">
        <v>26000</v>
      </c>
      <c r="F39" s="26">
        <v>236.54</v>
      </c>
      <c r="G39" s="26">
        <v>0.23</v>
      </c>
      <c r="H39" s="26" t="s">
        <v>55</v>
      </c>
      <c r="I39" s="27"/>
      <c r="K39" s="31"/>
      <c r="L39" s="31"/>
      <c r="M39" s="31"/>
      <c r="N39" s="31"/>
    </row>
    <row r="40" spans="2:14" x14ac:dyDescent="0.2">
      <c r="B40" s="29" t="s">
        <v>107</v>
      </c>
      <c r="C40" s="24" t="s">
        <v>108</v>
      </c>
      <c r="D40" s="24" t="s">
        <v>94</v>
      </c>
      <c r="E40" s="30">
        <v>4500</v>
      </c>
      <c r="F40" s="26">
        <v>231.2</v>
      </c>
      <c r="G40" s="26">
        <v>0.22</v>
      </c>
      <c r="H40" s="26" t="s">
        <v>18</v>
      </c>
      <c r="I40" s="27"/>
      <c r="K40" s="31"/>
      <c r="L40" s="31"/>
      <c r="M40" s="31"/>
      <c r="N40" s="31"/>
    </row>
    <row r="41" spans="2:14" x14ac:dyDescent="0.2">
      <c r="B41" s="29" t="s">
        <v>109</v>
      </c>
      <c r="C41" s="24" t="s">
        <v>110</v>
      </c>
      <c r="D41" s="24" t="s">
        <v>42</v>
      </c>
      <c r="E41" s="30">
        <v>12000</v>
      </c>
      <c r="F41" s="26">
        <v>215.99</v>
      </c>
      <c r="G41" s="26">
        <v>0.21</v>
      </c>
      <c r="H41" s="26" t="s">
        <v>43</v>
      </c>
      <c r="I41" s="27"/>
      <c r="K41" s="31"/>
      <c r="L41" s="31"/>
      <c r="M41" s="31"/>
      <c r="N41" s="31"/>
    </row>
    <row r="42" spans="2:14" x14ac:dyDescent="0.2">
      <c r="B42" s="29" t="s">
        <v>111</v>
      </c>
      <c r="C42" s="24" t="s">
        <v>112</v>
      </c>
      <c r="D42" s="24" t="s">
        <v>97</v>
      </c>
      <c r="E42" s="30">
        <v>10000</v>
      </c>
      <c r="F42" s="26">
        <v>212.05</v>
      </c>
      <c r="G42" s="26">
        <v>0.2</v>
      </c>
      <c r="H42" s="26" t="s">
        <v>55</v>
      </c>
      <c r="I42" s="27"/>
      <c r="K42" s="31"/>
      <c r="L42" s="31"/>
      <c r="M42" s="31"/>
      <c r="N42" s="31"/>
    </row>
    <row r="43" spans="2:14" x14ac:dyDescent="0.2">
      <c r="B43" s="29" t="s">
        <v>113</v>
      </c>
      <c r="C43" s="24" t="s">
        <v>114</v>
      </c>
      <c r="D43" s="24" t="s">
        <v>115</v>
      </c>
      <c r="E43" s="30">
        <v>30000</v>
      </c>
      <c r="F43" s="26">
        <v>198.75</v>
      </c>
      <c r="G43" s="26">
        <v>0.19</v>
      </c>
      <c r="H43" s="26" t="s">
        <v>43</v>
      </c>
      <c r="I43" s="27"/>
      <c r="K43" s="31"/>
      <c r="L43" s="31"/>
      <c r="M43" s="31"/>
      <c r="N43" s="31"/>
    </row>
    <row r="44" spans="2:14" x14ac:dyDescent="0.2">
      <c r="B44" s="29" t="s">
        <v>116</v>
      </c>
      <c r="C44" s="24" t="s">
        <v>117</v>
      </c>
      <c r="D44" s="24" t="s">
        <v>71</v>
      </c>
      <c r="E44" s="30">
        <v>16976</v>
      </c>
      <c r="F44" s="26">
        <v>189.32</v>
      </c>
      <c r="G44" s="26">
        <v>0.18</v>
      </c>
      <c r="H44" s="26" t="s">
        <v>43</v>
      </c>
      <c r="I44" s="27"/>
      <c r="K44" s="31"/>
      <c r="L44" s="31"/>
      <c r="M44" s="31"/>
      <c r="N44" s="31"/>
    </row>
    <row r="45" spans="2:14" x14ac:dyDescent="0.2">
      <c r="B45" s="29" t="s">
        <v>118</v>
      </c>
      <c r="C45" s="24" t="s">
        <v>119</v>
      </c>
      <c r="D45" s="24" t="s">
        <v>97</v>
      </c>
      <c r="E45" s="30">
        <v>5000</v>
      </c>
      <c r="F45" s="26">
        <v>188.34</v>
      </c>
      <c r="G45" s="26">
        <v>0.18</v>
      </c>
      <c r="H45" s="26" t="s">
        <v>55</v>
      </c>
      <c r="I45" s="27"/>
      <c r="K45" s="31"/>
      <c r="L45" s="31"/>
      <c r="M45" s="31"/>
      <c r="N45" s="31"/>
    </row>
    <row r="46" spans="2:14" x14ac:dyDescent="0.2">
      <c r="B46" s="29" t="s">
        <v>120</v>
      </c>
      <c r="C46" s="24" t="s">
        <v>121</v>
      </c>
      <c r="D46" s="24" t="s">
        <v>122</v>
      </c>
      <c r="E46" s="30">
        <v>4217</v>
      </c>
      <c r="F46" s="26">
        <v>126.07</v>
      </c>
      <c r="G46" s="26">
        <v>0.12</v>
      </c>
      <c r="H46" s="26" t="s">
        <v>43</v>
      </c>
      <c r="I46" s="27"/>
      <c r="K46" s="31"/>
      <c r="L46" s="31"/>
      <c r="M46" s="31"/>
      <c r="N46" s="31"/>
    </row>
    <row r="47" spans="2:14" x14ac:dyDescent="0.2">
      <c r="B47" s="29" t="s">
        <v>123</v>
      </c>
      <c r="C47" s="24" t="s">
        <v>124</v>
      </c>
      <c r="D47" s="24" t="s">
        <v>77</v>
      </c>
      <c r="E47" s="30">
        <v>11300</v>
      </c>
      <c r="F47" s="26">
        <v>88.09</v>
      </c>
      <c r="G47" s="26">
        <v>0.08</v>
      </c>
      <c r="H47" s="26" t="s">
        <v>43</v>
      </c>
      <c r="I47" s="27"/>
      <c r="K47" s="31"/>
      <c r="L47" s="31"/>
      <c r="M47" s="31"/>
      <c r="N47" s="31"/>
    </row>
    <row r="48" spans="2:14" x14ac:dyDescent="0.2">
      <c r="B48" s="34" t="s">
        <v>125</v>
      </c>
      <c r="C48" s="35"/>
      <c r="D48" s="35"/>
      <c r="E48" s="36"/>
      <c r="F48" s="37">
        <f ca="1">SUM(F7:F47)</f>
        <v>24411.73</v>
      </c>
      <c r="G48" s="37">
        <f ca="1">SUM(G7:G47)</f>
        <v>23.489999999999995</v>
      </c>
      <c r="H48" s="38"/>
      <c r="I48" s="39"/>
      <c r="K48" s="31"/>
      <c r="L48" s="31"/>
      <c r="M48" s="31"/>
      <c r="N48" s="31"/>
    </row>
    <row r="49" spans="2:14" x14ac:dyDescent="0.2">
      <c r="B49" s="40" t="s">
        <v>126</v>
      </c>
      <c r="C49" s="40"/>
      <c r="D49" s="40"/>
      <c r="E49" s="41"/>
      <c r="F49" s="42">
        <f ca="1">F48</f>
        <v>24411.73</v>
      </c>
      <c r="G49" s="42">
        <f ca="1">G48</f>
        <v>23.489999999999995</v>
      </c>
      <c r="H49" s="43"/>
      <c r="I49" s="44"/>
      <c r="K49" s="31"/>
      <c r="L49" s="31"/>
      <c r="M49" s="31"/>
      <c r="N49" s="31"/>
    </row>
    <row r="50" spans="2:14" x14ac:dyDescent="0.2">
      <c r="B50" s="45" t="s">
        <v>127</v>
      </c>
      <c r="C50" s="46"/>
      <c r="D50" s="46"/>
      <c r="E50" s="47"/>
      <c r="F50" s="48"/>
      <c r="G50" s="48"/>
      <c r="H50" s="48"/>
      <c r="I50" s="48"/>
      <c r="K50" s="31"/>
      <c r="L50" s="31"/>
      <c r="M50" s="31"/>
      <c r="N50" s="31"/>
    </row>
    <row r="51" spans="2:14" x14ac:dyDescent="0.2">
      <c r="B51" s="49" t="s">
        <v>14</v>
      </c>
      <c r="C51" s="24"/>
      <c r="D51" s="24"/>
      <c r="E51" s="25"/>
      <c r="F51" s="26"/>
      <c r="G51" s="26"/>
      <c r="H51" s="26"/>
      <c r="I51" s="26"/>
      <c r="K51" s="31"/>
      <c r="L51" s="31"/>
      <c r="M51" s="31"/>
      <c r="N51" s="31"/>
    </row>
    <row r="52" spans="2:14" x14ac:dyDescent="0.2">
      <c r="B52" s="24" t="s">
        <v>128</v>
      </c>
      <c r="C52" s="24" t="s">
        <v>129</v>
      </c>
      <c r="D52" s="24" t="s">
        <v>130</v>
      </c>
      <c r="E52" s="30">
        <v>300</v>
      </c>
      <c r="F52" s="26">
        <v>3000.35</v>
      </c>
      <c r="G52" s="26">
        <v>2.89</v>
      </c>
      <c r="H52" s="26"/>
      <c r="I52" s="26">
        <v>7.48</v>
      </c>
      <c r="K52" s="31"/>
      <c r="L52" s="31"/>
      <c r="M52" s="31"/>
      <c r="N52" s="31"/>
    </row>
    <row r="53" spans="2:14" x14ac:dyDescent="0.2">
      <c r="B53" s="24" t="s">
        <v>131</v>
      </c>
      <c r="C53" s="24" t="s">
        <v>132</v>
      </c>
      <c r="D53" s="24" t="s">
        <v>130</v>
      </c>
      <c r="E53" s="30">
        <v>250</v>
      </c>
      <c r="F53" s="26">
        <v>2595.4699999999998</v>
      </c>
      <c r="G53" s="26">
        <v>2.5</v>
      </c>
      <c r="H53" s="26"/>
      <c r="I53" s="26">
        <v>7.54</v>
      </c>
      <c r="K53" s="31"/>
      <c r="L53" s="31"/>
      <c r="M53" s="31"/>
      <c r="N53" s="31"/>
    </row>
    <row r="54" spans="2:14" x14ac:dyDescent="0.2">
      <c r="B54" s="24" t="s">
        <v>133</v>
      </c>
      <c r="C54" s="24" t="s">
        <v>134</v>
      </c>
      <c r="D54" s="24" t="s">
        <v>130</v>
      </c>
      <c r="E54" s="30">
        <v>2500</v>
      </c>
      <c r="F54" s="26">
        <v>2512.9699999999998</v>
      </c>
      <c r="G54" s="26">
        <v>2.42</v>
      </c>
      <c r="H54" s="26"/>
      <c r="I54" s="26">
        <v>7.88</v>
      </c>
      <c r="K54" s="31"/>
      <c r="L54" s="31"/>
      <c r="M54" s="31"/>
      <c r="N54" s="31"/>
    </row>
    <row r="55" spans="2:14" x14ac:dyDescent="0.2">
      <c r="B55" s="24" t="s">
        <v>135</v>
      </c>
      <c r="C55" s="24" t="s">
        <v>136</v>
      </c>
      <c r="D55" s="24" t="s">
        <v>130</v>
      </c>
      <c r="E55" s="30">
        <v>2500</v>
      </c>
      <c r="F55" s="26">
        <v>2512.85</v>
      </c>
      <c r="G55" s="26">
        <v>2.42</v>
      </c>
      <c r="H55" s="26"/>
      <c r="I55" s="26">
        <v>7.57</v>
      </c>
      <c r="K55" s="31"/>
      <c r="L55" s="31"/>
      <c r="M55" s="31"/>
      <c r="N55" s="31"/>
    </row>
    <row r="56" spans="2:14" x14ac:dyDescent="0.2">
      <c r="B56" s="24" t="s">
        <v>137</v>
      </c>
      <c r="C56" s="24" t="s">
        <v>138</v>
      </c>
      <c r="D56" s="24" t="s">
        <v>130</v>
      </c>
      <c r="E56" s="30">
        <v>250</v>
      </c>
      <c r="F56" s="26">
        <v>2498.6</v>
      </c>
      <c r="G56" s="26">
        <v>2.41</v>
      </c>
      <c r="H56" s="26"/>
      <c r="I56" s="26">
        <v>7.63</v>
      </c>
      <c r="K56" s="31"/>
      <c r="L56" s="31"/>
      <c r="M56" s="31"/>
      <c r="N56" s="31"/>
    </row>
    <row r="57" spans="2:14" x14ac:dyDescent="0.2">
      <c r="B57" s="24" t="s">
        <v>139</v>
      </c>
      <c r="C57" s="24" t="s">
        <v>140</v>
      </c>
      <c r="D57" s="24" t="s">
        <v>130</v>
      </c>
      <c r="E57" s="30">
        <v>2500</v>
      </c>
      <c r="F57" s="26">
        <v>2494.17</v>
      </c>
      <c r="G57" s="26">
        <v>2.4</v>
      </c>
      <c r="H57" s="26"/>
      <c r="I57" s="26">
        <v>7.68</v>
      </c>
      <c r="K57" s="31"/>
      <c r="L57" s="31"/>
      <c r="M57" s="31"/>
      <c r="N57" s="31"/>
    </row>
    <row r="58" spans="2:14" x14ac:dyDescent="0.2">
      <c r="B58" s="24" t="s">
        <v>141</v>
      </c>
      <c r="C58" s="24" t="s">
        <v>142</v>
      </c>
      <c r="D58" s="24" t="s">
        <v>130</v>
      </c>
      <c r="E58" s="30">
        <v>250</v>
      </c>
      <c r="F58" s="26">
        <v>2492.48</v>
      </c>
      <c r="G58" s="26">
        <v>2.4</v>
      </c>
      <c r="H58" s="26"/>
      <c r="I58" s="26">
        <v>7.7</v>
      </c>
      <c r="K58" s="31"/>
      <c r="L58" s="31"/>
      <c r="M58" s="31"/>
      <c r="N58" s="31"/>
    </row>
    <row r="59" spans="2:14" x14ac:dyDescent="0.2">
      <c r="B59" s="24" t="s">
        <v>143</v>
      </c>
      <c r="C59" s="24" t="s">
        <v>144</v>
      </c>
      <c r="D59" s="24" t="s">
        <v>130</v>
      </c>
      <c r="E59" s="30">
        <v>2500</v>
      </c>
      <c r="F59" s="26">
        <v>2492.4299999999998</v>
      </c>
      <c r="G59" s="26">
        <v>2.4</v>
      </c>
      <c r="H59" s="26"/>
      <c r="I59" s="26">
        <v>7.69</v>
      </c>
      <c r="K59" s="31"/>
      <c r="L59" s="31"/>
      <c r="M59" s="31"/>
      <c r="N59" s="31"/>
    </row>
    <row r="60" spans="2:14" x14ac:dyDescent="0.2">
      <c r="B60" s="24" t="s">
        <v>145</v>
      </c>
      <c r="C60" s="24" t="s">
        <v>146</v>
      </c>
      <c r="D60" s="24" t="s">
        <v>130</v>
      </c>
      <c r="E60" s="30">
        <v>2500</v>
      </c>
      <c r="F60" s="26">
        <v>2492.29</v>
      </c>
      <c r="G60" s="26">
        <v>2.4</v>
      </c>
      <c r="H60" s="26"/>
      <c r="I60" s="26">
        <v>7.68</v>
      </c>
      <c r="K60" s="31"/>
      <c r="L60" s="31"/>
      <c r="M60" s="31"/>
      <c r="N60" s="31"/>
    </row>
    <row r="61" spans="2:14" x14ac:dyDescent="0.2">
      <c r="B61" s="24" t="s">
        <v>147</v>
      </c>
      <c r="C61" s="24" t="s">
        <v>148</v>
      </c>
      <c r="D61" s="24" t="s">
        <v>130</v>
      </c>
      <c r="E61" s="30">
        <v>250</v>
      </c>
      <c r="F61" s="26">
        <v>2491.39</v>
      </c>
      <c r="G61" s="26">
        <v>2.4</v>
      </c>
      <c r="H61" s="26"/>
      <c r="I61" s="26">
        <v>7.8</v>
      </c>
      <c r="K61" s="31"/>
      <c r="L61" s="31"/>
      <c r="M61" s="31"/>
      <c r="N61" s="31"/>
    </row>
    <row r="62" spans="2:14" x14ac:dyDescent="0.2">
      <c r="B62" s="24" t="s">
        <v>149</v>
      </c>
      <c r="C62" s="24" t="s">
        <v>150</v>
      </c>
      <c r="D62" s="24" t="s">
        <v>151</v>
      </c>
      <c r="E62" s="30">
        <v>250</v>
      </c>
      <c r="F62" s="26">
        <v>2491.3200000000002</v>
      </c>
      <c r="G62" s="26">
        <v>2.4</v>
      </c>
      <c r="H62" s="26"/>
      <c r="I62" s="26">
        <v>7.14</v>
      </c>
      <c r="K62" s="31"/>
      <c r="L62" s="31"/>
      <c r="M62" s="31"/>
      <c r="N62" s="31"/>
    </row>
    <row r="63" spans="2:14" x14ac:dyDescent="0.2">
      <c r="B63" s="24" t="s">
        <v>152</v>
      </c>
      <c r="C63" s="24" t="s">
        <v>153</v>
      </c>
      <c r="D63" s="24" t="s">
        <v>130</v>
      </c>
      <c r="E63" s="30">
        <v>250</v>
      </c>
      <c r="F63" s="26">
        <v>2487.2399999999998</v>
      </c>
      <c r="G63" s="26">
        <v>2.4</v>
      </c>
      <c r="H63" s="26"/>
      <c r="I63" s="26">
        <v>7.99</v>
      </c>
      <c r="K63" s="31"/>
      <c r="L63" s="31"/>
      <c r="M63" s="31"/>
      <c r="N63" s="31"/>
    </row>
    <row r="64" spans="2:14" x14ac:dyDescent="0.2">
      <c r="B64" s="24" t="s">
        <v>154</v>
      </c>
      <c r="C64" s="24" t="s">
        <v>155</v>
      </c>
      <c r="D64" s="24" t="s">
        <v>130</v>
      </c>
      <c r="E64" s="30">
        <v>250</v>
      </c>
      <c r="F64" s="26">
        <v>2486.9899999999998</v>
      </c>
      <c r="G64" s="26">
        <v>2.4</v>
      </c>
      <c r="H64" s="26"/>
      <c r="I64" s="26">
        <v>7.9</v>
      </c>
      <c r="K64" s="31"/>
      <c r="L64" s="31"/>
      <c r="M64" s="31"/>
      <c r="N64" s="31"/>
    </row>
    <row r="65" spans="2:14" x14ac:dyDescent="0.2">
      <c r="B65" s="24" t="s">
        <v>156</v>
      </c>
      <c r="C65" s="24" t="s">
        <v>157</v>
      </c>
      <c r="D65" s="24" t="s">
        <v>158</v>
      </c>
      <c r="E65" s="30">
        <v>250</v>
      </c>
      <c r="F65" s="26">
        <v>2457.39</v>
      </c>
      <c r="G65" s="26">
        <v>2.37</v>
      </c>
      <c r="H65" s="26"/>
      <c r="I65" s="26">
        <v>7.77</v>
      </c>
      <c r="K65" s="31"/>
      <c r="L65" s="31"/>
      <c r="M65" s="31"/>
      <c r="N65" s="31"/>
    </row>
    <row r="66" spans="2:14" x14ac:dyDescent="0.2">
      <c r="B66" s="24" t="s">
        <v>159</v>
      </c>
      <c r="C66" s="24" t="s">
        <v>160</v>
      </c>
      <c r="D66" s="24" t="s">
        <v>130</v>
      </c>
      <c r="E66" s="30">
        <v>250</v>
      </c>
      <c r="F66" s="26">
        <v>2442.7199999999998</v>
      </c>
      <c r="G66" s="26">
        <v>2.35</v>
      </c>
      <c r="H66" s="26"/>
      <c r="I66" s="26">
        <v>7.98</v>
      </c>
      <c r="K66" s="31"/>
      <c r="L66" s="31"/>
      <c r="M66" s="31"/>
      <c r="N66" s="31"/>
    </row>
    <row r="67" spans="2:14" x14ac:dyDescent="0.2">
      <c r="B67" s="24" t="s">
        <v>161</v>
      </c>
      <c r="C67" s="24" t="s">
        <v>162</v>
      </c>
      <c r="D67" s="24" t="s">
        <v>130</v>
      </c>
      <c r="E67" s="30">
        <v>200</v>
      </c>
      <c r="F67" s="26">
        <v>2001.78</v>
      </c>
      <c r="G67" s="26">
        <v>1.93</v>
      </c>
      <c r="H67" s="26"/>
      <c r="I67" s="26">
        <v>7.73</v>
      </c>
      <c r="K67" s="31"/>
      <c r="L67" s="31"/>
      <c r="M67" s="31"/>
      <c r="N67" s="31"/>
    </row>
    <row r="68" spans="2:14" x14ac:dyDescent="0.2">
      <c r="B68" s="24" t="s">
        <v>163</v>
      </c>
      <c r="C68" s="24" t="s">
        <v>164</v>
      </c>
      <c r="D68" s="24" t="s">
        <v>130</v>
      </c>
      <c r="E68" s="30">
        <v>150</v>
      </c>
      <c r="F68" s="26">
        <v>1455.68</v>
      </c>
      <c r="G68" s="26">
        <v>1.4</v>
      </c>
      <c r="H68" s="26"/>
      <c r="I68" s="26">
        <v>7.61</v>
      </c>
      <c r="K68" s="31"/>
      <c r="L68" s="31"/>
      <c r="M68" s="31"/>
      <c r="N68" s="31"/>
    </row>
    <row r="69" spans="2:14" x14ac:dyDescent="0.2">
      <c r="B69" s="24" t="s">
        <v>165</v>
      </c>
      <c r="C69" s="24" t="s">
        <v>166</v>
      </c>
      <c r="D69" s="24" t="s">
        <v>130</v>
      </c>
      <c r="E69" s="30">
        <v>1000</v>
      </c>
      <c r="F69" s="26">
        <v>995.8</v>
      </c>
      <c r="G69" s="26">
        <v>0.96</v>
      </c>
      <c r="H69" s="26"/>
      <c r="I69" s="26">
        <v>7.67</v>
      </c>
      <c r="K69" s="31"/>
      <c r="L69" s="31"/>
      <c r="M69" s="31"/>
      <c r="N69" s="31"/>
    </row>
    <row r="70" spans="2:14" x14ac:dyDescent="0.2">
      <c r="B70" s="35" t="s">
        <v>125</v>
      </c>
      <c r="C70" s="35"/>
      <c r="D70" s="35"/>
      <c r="E70" s="36"/>
      <c r="F70" s="37">
        <f ca="1">SUM(F51:F69)</f>
        <v>42401.919999999998</v>
      </c>
      <c r="G70" s="37">
        <f ca="1">SUM(G51:G69)</f>
        <v>40.849999999999994</v>
      </c>
      <c r="H70" s="50"/>
      <c r="I70" s="50"/>
      <c r="K70" s="31"/>
      <c r="L70" s="31"/>
      <c r="M70" s="31"/>
      <c r="N70" s="31"/>
    </row>
    <row r="71" spans="2:14" x14ac:dyDescent="0.2">
      <c r="B71" s="51" t="s">
        <v>126</v>
      </c>
      <c r="C71" s="51"/>
      <c r="D71" s="51"/>
      <c r="E71" s="52"/>
      <c r="F71" s="53">
        <f ca="1">F70</f>
        <v>42401.919999999998</v>
      </c>
      <c r="G71" s="53">
        <f ca="1">G70</f>
        <v>40.849999999999994</v>
      </c>
      <c r="H71" s="53"/>
      <c r="I71" s="53"/>
      <c r="K71" s="31"/>
      <c r="L71" s="31"/>
      <c r="M71" s="31"/>
      <c r="N71" s="31"/>
    </row>
    <row r="72" spans="2:14" x14ac:dyDescent="0.2">
      <c r="B72" s="49" t="s">
        <v>167</v>
      </c>
      <c r="C72" s="24"/>
      <c r="D72" s="24"/>
      <c r="E72" s="25"/>
      <c r="F72" s="26"/>
      <c r="G72" s="26"/>
      <c r="H72" s="26"/>
      <c r="I72" s="26"/>
      <c r="K72" s="31"/>
      <c r="L72" s="31"/>
      <c r="M72" s="31"/>
      <c r="N72" s="31"/>
    </row>
    <row r="73" spans="2:14" x14ac:dyDescent="0.2">
      <c r="B73" s="49" t="s">
        <v>168</v>
      </c>
      <c r="C73" s="24"/>
      <c r="D73" s="24"/>
      <c r="E73" s="25"/>
      <c r="F73" s="26"/>
      <c r="G73" s="26"/>
      <c r="H73" s="26"/>
      <c r="I73" s="26"/>
      <c r="K73" s="31"/>
      <c r="L73" s="31"/>
      <c r="M73" s="31"/>
      <c r="N73" s="31"/>
    </row>
    <row r="74" spans="2:14" x14ac:dyDescent="0.2">
      <c r="B74" s="24" t="s">
        <v>169</v>
      </c>
      <c r="C74" s="24" t="s">
        <v>170</v>
      </c>
      <c r="D74" s="24" t="s">
        <v>171</v>
      </c>
      <c r="E74" s="30">
        <v>1500000</v>
      </c>
      <c r="F74" s="26">
        <v>1495.06</v>
      </c>
      <c r="G74" s="26">
        <v>1.44</v>
      </c>
      <c r="H74" s="26"/>
      <c r="I74" s="26">
        <v>6.7</v>
      </c>
      <c r="K74" s="31"/>
      <c r="L74" s="31"/>
      <c r="M74" s="31"/>
      <c r="N74" s="31"/>
    </row>
    <row r="75" spans="2:14" x14ac:dyDescent="0.2">
      <c r="B75" s="24" t="s">
        <v>172</v>
      </c>
      <c r="C75" s="24" t="s">
        <v>173</v>
      </c>
      <c r="D75" s="24" t="s">
        <v>171</v>
      </c>
      <c r="E75" s="30">
        <v>500000</v>
      </c>
      <c r="F75" s="26">
        <v>488.56</v>
      </c>
      <c r="G75" s="26">
        <v>0.47</v>
      </c>
      <c r="H75" s="26"/>
      <c r="I75" s="26">
        <v>6.95</v>
      </c>
      <c r="K75" s="31"/>
      <c r="L75" s="31"/>
      <c r="M75" s="31"/>
      <c r="N75" s="31"/>
    </row>
    <row r="76" spans="2:14" x14ac:dyDescent="0.2">
      <c r="B76" s="35" t="s">
        <v>125</v>
      </c>
      <c r="C76" s="35"/>
      <c r="D76" s="35"/>
      <c r="E76" s="36"/>
      <c r="F76" s="37">
        <f ca="1">SUM(F73:F75)</f>
        <v>1983.62</v>
      </c>
      <c r="G76" s="37">
        <f ca="1">SUM(G73:G75)</f>
        <v>1.91</v>
      </c>
      <c r="H76" s="50"/>
      <c r="I76" s="50"/>
      <c r="K76" s="31"/>
      <c r="L76" s="31"/>
      <c r="M76" s="31"/>
      <c r="N76" s="31"/>
    </row>
    <row r="77" spans="2:14" x14ac:dyDescent="0.2">
      <c r="B77" s="51" t="s">
        <v>126</v>
      </c>
      <c r="C77" s="51"/>
      <c r="D77" s="51"/>
      <c r="E77" s="52"/>
      <c r="F77" s="53">
        <f ca="1">+F76</f>
        <v>1983.62</v>
      </c>
      <c r="G77" s="53">
        <f ca="1">+G76</f>
        <v>1.91</v>
      </c>
      <c r="H77" s="53"/>
      <c r="I77" s="53"/>
      <c r="K77" s="31"/>
      <c r="L77" s="31"/>
      <c r="M77" s="31"/>
      <c r="N77" s="31"/>
    </row>
    <row r="78" spans="2:14" x14ac:dyDescent="0.2">
      <c r="B78" s="49" t="s">
        <v>174</v>
      </c>
      <c r="C78" s="24"/>
      <c r="D78" s="24"/>
      <c r="E78" s="25"/>
      <c r="F78" s="26"/>
      <c r="G78" s="26"/>
      <c r="H78" s="26"/>
      <c r="I78" s="26"/>
      <c r="K78" s="31"/>
      <c r="L78" s="31"/>
      <c r="M78" s="31"/>
      <c r="N78" s="31"/>
    </row>
    <row r="79" spans="2:14" x14ac:dyDescent="0.2">
      <c r="B79" s="24" t="s">
        <v>175</v>
      </c>
      <c r="C79" s="24" t="s">
        <v>176</v>
      </c>
      <c r="D79" s="24" t="s">
        <v>177</v>
      </c>
      <c r="E79" s="30">
        <v>10000000</v>
      </c>
      <c r="F79" s="26">
        <v>9960.1200000000008</v>
      </c>
      <c r="G79" s="26">
        <v>9.6</v>
      </c>
      <c r="H79" s="26"/>
      <c r="I79" s="26">
        <v>7.38</v>
      </c>
      <c r="K79" s="31"/>
      <c r="L79" s="31"/>
      <c r="M79" s="31"/>
      <c r="N79" s="31"/>
    </row>
    <row r="80" spans="2:14" x14ac:dyDescent="0.2">
      <c r="B80" s="24" t="s">
        <v>178</v>
      </c>
      <c r="C80" s="24" t="s">
        <v>179</v>
      </c>
      <c r="D80" s="24" t="s">
        <v>177</v>
      </c>
      <c r="E80" s="30">
        <v>7500000</v>
      </c>
      <c r="F80" s="26">
        <v>7450.37</v>
      </c>
      <c r="G80" s="26">
        <v>7.18</v>
      </c>
      <c r="H80" s="26"/>
      <c r="I80" s="26">
        <v>7.36</v>
      </c>
      <c r="K80" s="31"/>
      <c r="L80" s="31"/>
      <c r="M80" s="31"/>
      <c r="N80" s="31"/>
    </row>
    <row r="81" spans="2:14" x14ac:dyDescent="0.2">
      <c r="B81" s="24" t="s">
        <v>180</v>
      </c>
      <c r="C81" s="24" t="s">
        <v>181</v>
      </c>
      <c r="D81" s="24" t="s">
        <v>177</v>
      </c>
      <c r="E81" s="30">
        <v>3500000</v>
      </c>
      <c r="F81" s="26">
        <v>3492.37</v>
      </c>
      <c r="G81" s="26">
        <v>3.37</v>
      </c>
      <c r="H81" s="26"/>
      <c r="I81" s="26">
        <v>7.34</v>
      </c>
      <c r="K81" s="31"/>
      <c r="L81" s="31"/>
      <c r="M81" s="31"/>
      <c r="N81" s="31"/>
    </row>
    <row r="82" spans="2:14" x14ac:dyDescent="0.2">
      <c r="B82" s="24" t="s">
        <v>182</v>
      </c>
      <c r="C82" s="24" t="s">
        <v>183</v>
      </c>
      <c r="D82" s="24" t="s">
        <v>177</v>
      </c>
      <c r="E82" s="30">
        <v>3500000</v>
      </c>
      <c r="F82" s="26">
        <v>3454.76</v>
      </c>
      <c r="G82" s="26">
        <v>3.33</v>
      </c>
      <c r="H82" s="26"/>
      <c r="I82" s="26">
        <v>7.46</v>
      </c>
      <c r="K82" s="31"/>
      <c r="L82" s="31"/>
      <c r="M82" s="31"/>
      <c r="N82" s="31"/>
    </row>
    <row r="83" spans="2:14" x14ac:dyDescent="0.2">
      <c r="B83" s="24" t="s">
        <v>184</v>
      </c>
      <c r="C83" s="24" t="s">
        <v>185</v>
      </c>
      <c r="D83" s="24" t="s">
        <v>177</v>
      </c>
      <c r="E83" s="30">
        <v>2500000</v>
      </c>
      <c r="F83" s="26">
        <v>2483.11</v>
      </c>
      <c r="G83" s="26">
        <v>2.39</v>
      </c>
      <c r="H83" s="26"/>
      <c r="I83" s="26">
        <v>7.38</v>
      </c>
      <c r="K83" s="31"/>
      <c r="L83" s="31"/>
      <c r="M83" s="31"/>
      <c r="N83" s="31"/>
    </row>
    <row r="84" spans="2:14" x14ac:dyDescent="0.2">
      <c r="B84" s="24" t="s">
        <v>186</v>
      </c>
      <c r="C84" s="24" t="s">
        <v>187</v>
      </c>
      <c r="D84" s="24" t="s">
        <v>177</v>
      </c>
      <c r="E84" s="30">
        <v>2000000</v>
      </c>
      <c r="F84" s="26">
        <v>2008.54</v>
      </c>
      <c r="G84" s="26">
        <v>1.94</v>
      </c>
      <c r="H84" s="26"/>
      <c r="I84" s="26">
        <v>7.37</v>
      </c>
      <c r="K84" s="31"/>
      <c r="L84" s="31"/>
      <c r="M84" s="31"/>
      <c r="N84" s="31"/>
    </row>
    <row r="85" spans="2:14" x14ac:dyDescent="0.2">
      <c r="B85" s="24" t="s">
        <v>188</v>
      </c>
      <c r="C85" s="24" t="s">
        <v>189</v>
      </c>
      <c r="D85" s="24" t="s">
        <v>177</v>
      </c>
      <c r="E85" s="30">
        <v>1000000</v>
      </c>
      <c r="F85" s="26">
        <v>1017.48</v>
      </c>
      <c r="G85" s="26">
        <v>0.98</v>
      </c>
      <c r="H85" s="26"/>
      <c r="I85" s="26">
        <v>7.61</v>
      </c>
      <c r="K85" s="31"/>
      <c r="L85" s="31"/>
      <c r="M85" s="31"/>
      <c r="N85" s="31"/>
    </row>
    <row r="86" spans="2:14" x14ac:dyDescent="0.2">
      <c r="B86" s="24" t="s">
        <v>190</v>
      </c>
      <c r="C86" s="24" t="s">
        <v>191</v>
      </c>
      <c r="D86" s="24" t="s">
        <v>177</v>
      </c>
      <c r="E86" s="30">
        <v>500000</v>
      </c>
      <c r="F86" s="26">
        <v>500.24</v>
      </c>
      <c r="G86" s="26">
        <v>0.48</v>
      </c>
      <c r="H86" s="26"/>
      <c r="I86" s="26">
        <v>6.86</v>
      </c>
      <c r="K86" s="31"/>
      <c r="L86" s="31"/>
      <c r="M86" s="31"/>
      <c r="N86" s="31"/>
    </row>
    <row r="87" spans="2:14" x14ac:dyDescent="0.2">
      <c r="B87" s="54" t="s">
        <v>192</v>
      </c>
      <c r="C87" s="54" t="s">
        <v>193</v>
      </c>
      <c r="D87" s="54" t="s">
        <v>177</v>
      </c>
      <c r="E87" s="55">
        <v>800</v>
      </c>
      <c r="F87" s="56">
        <v>0.83</v>
      </c>
      <c r="G87" s="56">
        <v>0</v>
      </c>
      <c r="H87" s="56"/>
      <c r="I87" s="56">
        <v>7.52</v>
      </c>
      <c r="K87" s="31"/>
      <c r="L87" s="31"/>
      <c r="M87" s="31"/>
      <c r="N87" s="31"/>
    </row>
    <row r="88" spans="2:14" x14ac:dyDescent="0.2">
      <c r="B88" s="57" t="s">
        <v>126</v>
      </c>
      <c r="C88" s="57"/>
      <c r="D88" s="57"/>
      <c r="E88" s="58"/>
      <c r="F88" s="59">
        <f ca="1">SUM(F79:F87)</f>
        <v>30367.820000000007</v>
      </c>
      <c r="G88" s="59">
        <f ca="1">SUM(G79:G87)</f>
        <v>29.270000000000007</v>
      </c>
      <c r="H88" s="59"/>
      <c r="I88" s="59"/>
      <c r="K88" s="31"/>
      <c r="L88" s="31"/>
      <c r="M88" s="31"/>
      <c r="N88" s="31"/>
    </row>
    <row r="89" spans="2:14" x14ac:dyDescent="0.2">
      <c r="B89" s="49" t="s">
        <v>194</v>
      </c>
      <c r="C89" s="24"/>
      <c r="D89" s="24"/>
      <c r="E89" s="25"/>
      <c r="F89" s="26"/>
      <c r="G89" s="26"/>
      <c r="H89" s="26"/>
      <c r="I89" s="26"/>
      <c r="K89" s="31"/>
      <c r="L89" s="31"/>
      <c r="M89" s="31"/>
      <c r="N89" s="31"/>
    </row>
    <row r="90" spans="2:14" x14ac:dyDescent="0.2">
      <c r="B90" s="24" t="s">
        <v>194</v>
      </c>
      <c r="C90" s="24"/>
      <c r="D90" s="24"/>
      <c r="E90" s="25"/>
      <c r="F90" s="26">
        <v>2577.8000000000002</v>
      </c>
      <c r="G90" s="26">
        <v>2.48</v>
      </c>
      <c r="H90" s="26"/>
      <c r="I90" s="26"/>
      <c r="K90" s="31"/>
      <c r="L90" s="31"/>
      <c r="M90" s="31"/>
      <c r="N90" s="31"/>
    </row>
    <row r="91" spans="2:14" x14ac:dyDescent="0.2">
      <c r="B91" s="35" t="s">
        <v>125</v>
      </c>
      <c r="C91" s="35"/>
      <c r="D91" s="35"/>
      <c r="E91" s="36"/>
      <c r="F91" s="37">
        <f ca="1">SUM(F89:F90)</f>
        <v>2577.8000000000002</v>
      </c>
      <c r="G91" s="37">
        <f ca="1">SUM(G89:G90)</f>
        <v>2.48</v>
      </c>
      <c r="H91" s="50"/>
      <c r="I91" s="50"/>
      <c r="K91" s="31"/>
      <c r="L91" s="31"/>
      <c r="M91" s="31"/>
      <c r="N91" s="31"/>
    </row>
    <row r="92" spans="2:14" x14ac:dyDescent="0.2">
      <c r="B92" s="60" t="s">
        <v>126</v>
      </c>
      <c r="C92" s="60"/>
      <c r="D92" s="60"/>
      <c r="E92" s="61"/>
      <c r="F92" s="62">
        <f ca="1">F91</f>
        <v>2577.8000000000002</v>
      </c>
      <c r="G92" s="62">
        <f ca="1">G91</f>
        <v>2.48</v>
      </c>
      <c r="H92" s="62"/>
      <c r="I92" s="62"/>
      <c r="K92" s="31"/>
      <c r="L92" s="31"/>
      <c r="M92" s="31"/>
      <c r="N92" s="31"/>
    </row>
    <row r="93" spans="2:14" x14ac:dyDescent="0.2">
      <c r="B93" s="63" t="s">
        <v>195</v>
      </c>
      <c r="C93" s="63"/>
      <c r="D93" s="63"/>
      <c r="E93" s="64"/>
      <c r="F93" s="65">
        <f ca="1">F94-(+F49+F71+F77+F88+F92)</f>
        <v>2031.8099999999977</v>
      </c>
      <c r="G93" s="65">
        <f ca="1">G94-(+G49+G71+G77+G88+G92)</f>
        <v>2</v>
      </c>
      <c r="H93" s="65"/>
      <c r="I93" s="65"/>
      <c r="K93" s="31"/>
      <c r="L93" s="31"/>
      <c r="M93" s="31"/>
      <c r="N93" s="31"/>
    </row>
    <row r="94" spans="2:14" x14ac:dyDescent="0.2">
      <c r="B94" s="63" t="s">
        <v>196</v>
      </c>
      <c r="C94" s="63"/>
      <c r="D94" s="63"/>
      <c r="E94" s="64"/>
      <c r="F94" s="65">
        <v>103774.7</v>
      </c>
      <c r="G94" s="65">
        <v>100</v>
      </c>
      <c r="H94" s="65"/>
      <c r="I94" s="65"/>
      <c r="K94" s="31"/>
      <c r="L94" s="31"/>
      <c r="M94" s="31"/>
      <c r="N94" s="31"/>
    </row>
    <row r="95" spans="2:14" x14ac:dyDescent="0.2">
      <c r="K95" s="31"/>
    </row>
    <row r="96" spans="2:14" x14ac:dyDescent="0.2">
      <c r="B96" s="67" t="s">
        <v>197</v>
      </c>
      <c r="K96" s="31"/>
    </row>
    <row r="97" spans="2:11" ht="12.75" thickBot="1" x14ac:dyDescent="0.25">
      <c r="K97" s="31"/>
    </row>
    <row r="98" spans="2:11" ht="13.5" thickTop="1" thickBot="1" x14ac:dyDescent="0.25">
      <c r="B98" s="68" t="s">
        <v>198</v>
      </c>
      <c r="C98" s="69">
        <v>2.9047999999999998</v>
      </c>
      <c r="K98" s="31"/>
    </row>
    <row r="99" spans="2:11" ht="13.5" thickTop="1" thickBot="1" x14ac:dyDescent="0.25">
      <c r="K99" s="31"/>
    </row>
    <row r="100" spans="2:11" ht="13.5" thickTop="1" thickBot="1" x14ac:dyDescent="0.25">
      <c r="B100" s="68" t="s">
        <v>199</v>
      </c>
      <c r="C100" s="70">
        <v>7.4999999999999997E-2</v>
      </c>
      <c r="K100" s="31"/>
    </row>
    <row r="101" spans="2:11" ht="13.5" thickTop="1" thickBot="1" x14ac:dyDescent="0.25">
      <c r="K101" s="31"/>
    </row>
    <row r="102" spans="2:11" ht="13.5" thickTop="1" thickBot="1" x14ac:dyDescent="0.25">
      <c r="B102" s="68" t="s">
        <v>200</v>
      </c>
      <c r="C102" s="69">
        <v>3.1070000000000002</v>
      </c>
      <c r="K102" s="31"/>
    </row>
    <row r="103" spans="2:11" ht="12.75" thickTop="1" x14ac:dyDescent="0.2">
      <c r="K103" s="31"/>
    </row>
    <row r="104" spans="2:11" x14ac:dyDescent="0.2">
      <c r="K104" s="31"/>
    </row>
    <row r="105" spans="2:11" x14ac:dyDescent="0.2">
      <c r="K105" s="31"/>
    </row>
    <row r="106" spans="2:11" x14ac:dyDescent="0.2">
      <c r="K106" s="31"/>
    </row>
    <row r="107" spans="2:11" x14ac:dyDescent="0.2">
      <c r="K107" s="31"/>
    </row>
    <row r="108" spans="2:11" x14ac:dyDescent="0.2">
      <c r="K108" s="31"/>
    </row>
    <row r="109" spans="2:11" x14ac:dyDescent="0.2">
      <c r="K109" s="31"/>
    </row>
    <row r="110" spans="2:11" x14ac:dyDescent="0.2">
      <c r="K110" s="31"/>
    </row>
    <row r="111" spans="2:11" x14ac:dyDescent="0.2">
      <c r="K111" s="31"/>
    </row>
    <row r="112" spans="2:11" x14ac:dyDescent="0.2">
      <c r="K112" s="31"/>
    </row>
    <row r="113" spans="11:11" x14ac:dyDescent="0.2">
      <c r="K113" s="31"/>
    </row>
    <row r="114" spans="11:11" x14ac:dyDescent="0.2">
      <c r="K114" s="31"/>
    </row>
    <row r="115" spans="11:11" x14ac:dyDescent="0.2">
      <c r="K115" s="31"/>
    </row>
    <row r="116" spans="11:11" x14ac:dyDescent="0.2">
      <c r="K116" s="31"/>
    </row>
    <row r="117" spans="11:11" x14ac:dyDescent="0.2">
      <c r="K117" s="31"/>
    </row>
    <row r="118" spans="11:11" x14ac:dyDescent="0.2">
      <c r="K118" s="31"/>
    </row>
    <row r="119" spans="11:11" x14ac:dyDescent="0.2">
      <c r="K119" s="31"/>
    </row>
    <row r="120" spans="11:11" x14ac:dyDescent="0.2">
      <c r="K120" s="31"/>
    </row>
    <row r="121" spans="11:11" x14ac:dyDescent="0.2">
      <c r="K121" s="31"/>
    </row>
    <row r="122" spans="11:11" x14ac:dyDescent="0.2">
      <c r="K122" s="31"/>
    </row>
    <row r="123" spans="11:11" x14ac:dyDescent="0.2">
      <c r="K123" s="31"/>
    </row>
    <row r="124" spans="11:11" x14ac:dyDescent="0.2">
      <c r="K124" s="31"/>
    </row>
    <row r="125" spans="11:11" x14ac:dyDescent="0.2">
      <c r="K125" s="31"/>
    </row>
    <row r="126" spans="11:11" x14ac:dyDescent="0.2">
      <c r="K126" s="31"/>
    </row>
    <row r="127" spans="11:11" x14ac:dyDescent="0.2">
      <c r="K127" s="31"/>
    </row>
    <row r="128" spans="11:11" x14ac:dyDescent="0.2">
      <c r="K128" s="31"/>
    </row>
    <row r="129" spans="11:11" x14ac:dyDescent="0.2">
      <c r="K129" s="31"/>
    </row>
    <row r="130" spans="11:11" x14ac:dyDescent="0.2">
      <c r="K130" s="31"/>
    </row>
    <row r="131" spans="11:11" x14ac:dyDescent="0.2">
      <c r="K131" s="31"/>
    </row>
    <row r="132" spans="11:11" x14ac:dyDescent="0.2">
      <c r="K132" s="31"/>
    </row>
    <row r="133" spans="11:11" x14ac:dyDescent="0.2">
      <c r="K133" s="31"/>
    </row>
    <row r="134" spans="11:11" x14ac:dyDescent="0.2">
      <c r="K134" s="31"/>
    </row>
    <row r="135" spans="11:11" x14ac:dyDescent="0.2">
      <c r="K135" s="31"/>
    </row>
    <row r="136" spans="11:11" x14ac:dyDescent="0.2">
      <c r="K136" s="31"/>
    </row>
    <row r="137" spans="11:11" x14ac:dyDescent="0.2">
      <c r="K137" s="31"/>
    </row>
    <row r="138" spans="11:11" x14ac:dyDescent="0.2">
      <c r="K138" s="31"/>
    </row>
    <row r="139" spans="11:11" x14ac:dyDescent="0.2">
      <c r="K139" s="31"/>
    </row>
    <row r="140" spans="11:11" x14ac:dyDescent="0.2">
      <c r="K140" s="31"/>
    </row>
    <row r="141" spans="11:11" x14ac:dyDescent="0.2">
      <c r="K141" s="31"/>
    </row>
    <row r="142" spans="11:11" x14ac:dyDescent="0.2">
      <c r="K142" s="31"/>
    </row>
    <row r="143" spans="11:11" x14ac:dyDescent="0.2">
      <c r="K143" s="31"/>
    </row>
    <row r="144" spans="11:11" x14ac:dyDescent="0.2">
      <c r="K144" s="31"/>
    </row>
    <row r="145" spans="11:11" x14ac:dyDescent="0.2">
      <c r="K145" s="31"/>
    </row>
    <row r="146" spans="11:11" x14ac:dyDescent="0.2">
      <c r="K146" s="31"/>
    </row>
    <row r="147" spans="11:11" x14ac:dyDescent="0.2">
      <c r="K147" s="31"/>
    </row>
    <row r="148" spans="11:11" x14ac:dyDescent="0.2">
      <c r="K148" s="31"/>
    </row>
    <row r="149" spans="11:11" x14ac:dyDescent="0.2">
      <c r="K149" s="31"/>
    </row>
    <row r="150" spans="11:11" x14ac:dyDescent="0.2">
      <c r="K150" s="31"/>
    </row>
    <row r="151" spans="11:11" x14ac:dyDescent="0.2">
      <c r="K151" s="31"/>
    </row>
    <row r="152" spans="11:11" x14ac:dyDescent="0.2">
      <c r="K152" s="31"/>
    </row>
    <row r="153" spans="11:11" x14ac:dyDescent="0.2">
      <c r="K153" s="31"/>
    </row>
    <row r="154" spans="11:11" x14ac:dyDescent="0.2">
      <c r="K154" s="31"/>
    </row>
    <row r="155" spans="11:11" x14ac:dyDescent="0.2">
      <c r="K155" s="31"/>
    </row>
    <row r="156" spans="11:11" x14ac:dyDescent="0.2">
      <c r="K156" s="31"/>
    </row>
    <row r="157" spans="11:11" x14ac:dyDescent="0.2">
      <c r="K157" s="31"/>
    </row>
    <row r="158" spans="11:11" x14ac:dyDescent="0.2">
      <c r="K158" s="31"/>
    </row>
    <row r="159" spans="11:11" x14ac:dyDescent="0.2">
      <c r="K159" s="31"/>
    </row>
    <row r="160" spans="11:11" x14ac:dyDescent="0.2">
      <c r="K160" s="31"/>
    </row>
    <row r="161" spans="11:11" x14ac:dyDescent="0.2">
      <c r="K161" s="31"/>
    </row>
    <row r="162" spans="11:11" x14ac:dyDescent="0.2">
      <c r="K162" s="31"/>
    </row>
    <row r="163" spans="11:11" x14ac:dyDescent="0.2">
      <c r="K163" s="31"/>
    </row>
    <row r="164" spans="11:11" x14ac:dyDescent="0.2">
      <c r="K164" s="31"/>
    </row>
    <row r="165" spans="11:11" x14ac:dyDescent="0.2">
      <c r="K165" s="31"/>
    </row>
    <row r="166" spans="11:11" x14ac:dyDescent="0.2">
      <c r="K166" s="31"/>
    </row>
    <row r="167" spans="11:11" x14ac:dyDescent="0.2">
      <c r="K167" s="31"/>
    </row>
    <row r="168" spans="11:11" x14ac:dyDescent="0.2">
      <c r="K168" s="31"/>
    </row>
    <row r="169" spans="11:11" x14ac:dyDescent="0.2">
      <c r="K169" s="31"/>
    </row>
    <row r="170" spans="11:11" x14ac:dyDescent="0.2">
      <c r="K170" s="31"/>
    </row>
    <row r="171" spans="11:11" x14ac:dyDescent="0.2">
      <c r="K171" s="31"/>
    </row>
    <row r="172" spans="11:11" x14ac:dyDescent="0.2">
      <c r="K172" s="31"/>
    </row>
    <row r="173" spans="11:11" x14ac:dyDescent="0.2">
      <c r="K173" s="31"/>
    </row>
    <row r="174" spans="11:11" x14ac:dyDescent="0.2">
      <c r="K174" s="31"/>
    </row>
    <row r="175" spans="11:11" x14ac:dyDescent="0.2">
      <c r="K175" s="31"/>
    </row>
    <row r="176" spans="11:11" x14ac:dyDescent="0.2">
      <c r="K176" s="31"/>
    </row>
    <row r="177" spans="11:11" x14ac:dyDescent="0.2">
      <c r="K177" s="31"/>
    </row>
    <row r="178" spans="11:11" x14ac:dyDescent="0.2">
      <c r="K178" s="31"/>
    </row>
    <row r="179" spans="11:11" x14ac:dyDescent="0.2">
      <c r="K179" s="31"/>
    </row>
    <row r="180" spans="11:11" x14ac:dyDescent="0.2">
      <c r="K180" s="31"/>
    </row>
    <row r="181" spans="11:11" x14ac:dyDescent="0.2">
      <c r="K181" s="31"/>
    </row>
    <row r="182" spans="11:11" x14ac:dyDescent="0.2">
      <c r="K182" s="31"/>
    </row>
    <row r="183" spans="11:11" x14ac:dyDescent="0.2">
      <c r="K183" s="31"/>
    </row>
    <row r="184" spans="11:11" x14ac:dyDescent="0.2">
      <c r="K184" s="31"/>
    </row>
    <row r="185" spans="11:11" x14ac:dyDescent="0.2">
      <c r="K185" s="31"/>
    </row>
    <row r="186" spans="11:11" x14ac:dyDescent="0.2">
      <c r="K186" s="31"/>
    </row>
    <row r="187" spans="11:11" x14ac:dyDescent="0.2">
      <c r="K187" s="31"/>
    </row>
    <row r="188" spans="11:11" x14ac:dyDescent="0.2">
      <c r="K188" s="31"/>
    </row>
    <row r="189" spans="11:11" x14ac:dyDescent="0.2">
      <c r="K189" s="31"/>
    </row>
    <row r="190" spans="11:11" x14ac:dyDescent="0.2">
      <c r="K190" s="31"/>
    </row>
    <row r="191" spans="11:11" x14ac:dyDescent="0.2">
      <c r="K191" s="31"/>
    </row>
    <row r="192" spans="11:11" x14ac:dyDescent="0.2">
      <c r="K192" s="31"/>
    </row>
    <row r="193" spans="11:11" x14ac:dyDescent="0.2">
      <c r="K193" s="31"/>
    </row>
    <row r="194" spans="11:11" x14ac:dyDescent="0.2">
      <c r="K194" s="31"/>
    </row>
    <row r="195" spans="11:11" x14ac:dyDescent="0.2">
      <c r="K195" s="31"/>
    </row>
    <row r="196" spans="11:11" x14ac:dyDescent="0.2">
      <c r="K196" s="31"/>
    </row>
    <row r="197" spans="11:11" x14ac:dyDescent="0.2">
      <c r="K197" s="31"/>
    </row>
    <row r="198" spans="11:11" x14ac:dyDescent="0.2">
      <c r="K198" s="31"/>
    </row>
    <row r="199" spans="11:11" x14ac:dyDescent="0.2">
      <c r="K199" s="31"/>
    </row>
    <row r="200" spans="11:11" x14ac:dyDescent="0.2">
      <c r="K200" s="31"/>
    </row>
    <row r="201" spans="11:11" x14ac:dyDescent="0.2">
      <c r="K201" s="31"/>
    </row>
    <row r="202" spans="11:11" x14ac:dyDescent="0.2">
      <c r="K202" s="31"/>
    </row>
    <row r="203" spans="11:11" x14ac:dyDescent="0.2">
      <c r="K203" s="31"/>
    </row>
    <row r="204" spans="11:11" x14ac:dyDescent="0.2">
      <c r="K204" s="31"/>
    </row>
    <row r="205" spans="11:11" x14ac:dyDescent="0.2">
      <c r="K205" s="31"/>
    </row>
    <row r="206" spans="11:11" x14ac:dyDescent="0.2">
      <c r="K206" s="31"/>
    </row>
    <row r="207" spans="11:11" x14ac:dyDescent="0.2">
      <c r="K207" s="31"/>
    </row>
    <row r="208" spans="11:11" x14ac:dyDescent="0.2">
      <c r="K208" s="31"/>
    </row>
    <row r="209" spans="11:11" x14ac:dyDescent="0.2">
      <c r="K209" s="31"/>
    </row>
    <row r="210" spans="11:11" x14ac:dyDescent="0.2">
      <c r="K210" s="31"/>
    </row>
    <row r="211" spans="11:11" x14ac:dyDescent="0.2">
      <c r="K211" s="31"/>
    </row>
    <row r="212" spans="11:11" x14ac:dyDescent="0.2">
      <c r="K212" s="31"/>
    </row>
    <row r="213" spans="11:11" x14ac:dyDescent="0.2">
      <c r="K213" s="31"/>
    </row>
    <row r="214" spans="11:11" x14ac:dyDescent="0.2">
      <c r="K214" s="31"/>
    </row>
    <row r="215" spans="11:11" x14ac:dyDescent="0.2">
      <c r="K215" s="31"/>
    </row>
    <row r="216" spans="11:11" x14ac:dyDescent="0.2">
      <c r="K216" s="31"/>
    </row>
    <row r="217" spans="11:11" x14ac:dyDescent="0.2">
      <c r="K217" s="31"/>
    </row>
    <row r="218" spans="11:11" x14ac:dyDescent="0.2">
      <c r="K218" s="31"/>
    </row>
    <row r="219" spans="11:11" x14ac:dyDescent="0.2">
      <c r="K219" s="31"/>
    </row>
    <row r="220" spans="11:11" x14ac:dyDescent="0.2">
      <c r="K220" s="31"/>
    </row>
    <row r="221" spans="11:11" x14ac:dyDescent="0.2">
      <c r="K221" s="31"/>
    </row>
    <row r="222" spans="11:11" x14ac:dyDescent="0.2">
      <c r="K222" s="31"/>
    </row>
    <row r="223" spans="11:11" x14ac:dyDescent="0.2">
      <c r="K223" s="31"/>
    </row>
    <row r="224" spans="11:11" x14ac:dyDescent="0.2">
      <c r="K224" s="31"/>
    </row>
    <row r="225" spans="11:11" x14ac:dyDescent="0.2">
      <c r="K225" s="31"/>
    </row>
    <row r="226" spans="11:11" x14ac:dyDescent="0.2">
      <c r="K226" s="31"/>
    </row>
    <row r="227" spans="11:11" x14ac:dyDescent="0.2">
      <c r="K227" s="31"/>
    </row>
    <row r="228" spans="11:11" x14ac:dyDescent="0.2">
      <c r="K228" s="31"/>
    </row>
    <row r="229" spans="11:11" x14ac:dyDescent="0.2">
      <c r="K229" s="31"/>
    </row>
    <row r="230" spans="11:11" x14ac:dyDescent="0.2">
      <c r="K230" s="31"/>
    </row>
    <row r="231" spans="11:11" x14ac:dyDescent="0.2">
      <c r="K231" s="31"/>
    </row>
    <row r="232" spans="11:11" x14ac:dyDescent="0.2">
      <c r="K232" s="31"/>
    </row>
    <row r="233" spans="11:11" x14ac:dyDescent="0.2">
      <c r="K233" s="31"/>
    </row>
    <row r="234" spans="11:11" x14ac:dyDescent="0.2">
      <c r="K234" s="31"/>
    </row>
    <row r="235" spans="11:11" x14ac:dyDescent="0.2">
      <c r="K235" s="31"/>
    </row>
  </sheetData>
  <mergeCells count="4">
    <mergeCell ref="B1:I1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2023-10-05 15:26:43</KDate>
  <Classification>Public</Classification>
  <Subclassification/>
  <HostName>MUMCMP00935</HostName>
  <Domain_User>CANARAROBECOMF/628</Domain_User>
  <IPAdd>192.9.198.194</IPAdd>
  <FilePath>Book17</FilePath>
  <KID>C025A5607E97638321164034996491</KID>
  <UniqueName/>
  <Suggested/>
  <Justification/>
</Klassify>
</file>

<file path=customXml/itemProps1.xml><?xml version="1.0" encoding="utf-8"?>
<ds:datastoreItem xmlns:ds="http://schemas.openxmlformats.org/officeDocument/2006/customXml" ds:itemID="{399894BC-D072-4707-AC03-933B2A95AE8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2023-10-05T09:56:37Z</dcterms:created>
  <dcterms:modified xsi:type="dcterms:W3CDTF">2023-10-05T09:56:43Z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C025A5607E97638321164034996491</vt:lpwstr>
  </property>
</Properties>
</file>