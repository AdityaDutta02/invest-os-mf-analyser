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January 2023\"/>
    </mc:Choice>
  </mc:AlternateContent>
  <bookViews>
    <workbookView xWindow="0" yWindow="0" windowWidth="20490" windowHeight="7620"/>
  </bookViews>
  <sheets>
    <sheet name="GI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1" l="1"/>
  <c r="F13" i="1"/>
  <c r="G12" i="1"/>
  <c r="F12" i="1"/>
  <c r="G9" i="1"/>
  <c r="G14" i="1" s="1"/>
  <c r="F9" i="1"/>
  <c r="F14" i="1" s="1"/>
</calcChain>
</file>

<file path=xl/sharedStrings.xml><?xml version="1.0" encoding="utf-8"?>
<sst xmlns="http://schemas.openxmlformats.org/spreadsheetml/2006/main" count="29" uniqueCount="25">
  <si>
    <t>CANARA ROBECO GILT 1988</t>
  </si>
  <si>
    <t>Monthly Portfolio Statement as on January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</si>
  <si>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</si>
  <si>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</si>
  <si>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</si>
  <si>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</si>
  <si>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</si>
  <si>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</si>
  <si>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</si>
  <si>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Government Bonds</t>
  </si>
  <si>
    <t>6.79% INDIA GOVERNMENT 15-MAY-27</t>
  </si>
  <si>
    <t>IN0020170026</t>
  </si>
  <si>
    <t>Sovereign</t>
  </si>
  <si>
    <t>7.59% INDIA GOVERNMENT 11-JAN-26</t>
  </si>
  <si>
    <t>IN0020150093</t>
  </si>
  <si>
    <t>7.54% GOI 23-MAY-36</t>
  </si>
  <si>
    <t>IN0020220029</t>
  </si>
  <si>
    <t>Total</t>
  </si>
  <si>
    <t>TREPS</t>
  </si>
  <si>
    <t>Sub Total</t>
  </si>
  <si>
    <t>Net Receivables / (Payables)</t>
  </si>
  <si>
    <t>Grand Total</t>
  </si>
  <si>
    <t>Residual Maturity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</si>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</sst>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9"/>
      <color theme="1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3" borderId="5" xfId="0" applyFont="1" applyFill="1" applyBorder="1"/>
    <xf numFmtId="0" fontId="3" fillId="3" borderId="5" xfId="0" applyFont="1" applyFill="1" applyBorder="1"/>
    <xf numFmtId="4" fontId="3" fillId="3" borderId="5" xfId="0" applyNumberFormat="1" applyFont="1" applyFill="1" applyBorder="1"/>
    <xf numFmtId="0" fontId="3" fillId="3" borderId="6" xfId="0" applyFont="1" applyFill="1" applyBorder="1"/>
    <xf numFmtId="3" fontId="3" fillId="3" borderId="6" xfId="0" applyNumberFormat="1" applyFont="1" applyFill="1" applyBorder="1"/>
    <xf numFmtId="4" fontId="3" fillId="3" borderId="6" xfId="0" applyNumberFormat="1" applyFont="1" applyFill="1" applyBorder="1"/>
    <xf numFmtId="0" fontId="3" fillId="3" borderId="7" xfId="0" applyFont="1" applyFill="1" applyBorder="1"/>
    <xf numFmtId="3" fontId="3" fillId="3" borderId="7" xfId="0" applyNumberFormat="1" applyFont="1" applyFill="1" applyBorder="1"/>
    <xf numFmtId="4" fontId="3" fillId="3" borderId="7" xfId="0" applyNumberFormat="1" applyFont="1" applyFill="1" applyBorder="1"/>
    <xf numFmtId="0" fontId="8" fillId="3" borderId="8" xfId="0" applyFont="1" applyFill="1" applyBorder="1"/>
    <xf numFmtId="4" fontId="8" fillId="3" borderId="8" xfId="0" applyNumberFormat="1" applyFont="1" applyFill="1" applyBorder="1"/>
    <xf numFmtId="0" fontId="8" fillId="3" borderId="0" xfId="0" applyFont="1" applyFill="1"/>
    <xf numFmtId="0" fontId="8" fillId="3" borderId="6" xfId="0" applyFont="1" applyFill="1" applyBorder="1"/>
    <xf numFmtId="0" fontId="8" fillId="3" borderId="9" xfId="0" applyFont="1" applyFill="1" applyBorder="1"/>
    <xf numFmtId="4" fontId="8" fillId="3" borderId="10" xfId="0" applyNumberFormat="1" applyFont="1" applyFill="1" applyBorder="1"/>
    <xf numFmtId="4" fontId="8" fillId="3" borderId="9" xfId="0" applyNumberFormat="1" applyFont="1" applyFill="1" applyBorder="1"/>
    <xf numFmtId="0" fontId="8" fillId="3" borderId="11" xfId="0" applyFont="1" applyFill="1" applyBorder="1"/>
    <xf numFmtId="4" fontId="8" fillId="3" borderId="11" xfId="0" applyNumberFormat="1" applyFont="1" applyFill="1" applyBorder="1"/>
    <xf numFmtId="0" fontId="8" fillId="3" borderId="12" xfId="0" applyFont="1" applyFill="1" applyBorder="1"/>
    <xf numFmtId="4" fontId="8" fillId="3" borderId="12" xfId="0" applyNumberFormat="1" applyFont="1" applyFill="1" applyBorder="1"/>
    <xf numFmtId="49" fontId="9" fillId="4" borderId="13" xfId="0" applyNumberFormat="1" applyFont="1" applyFill="1" applyBorder="1"/>
    <xf numFmtId="2" fontId="9" fillId="0" borderId="14" xfId="0" applyNumberFormat="1" applyFont="1" applyBorder="1" applyAlignment="1">
      <alignment horizontal="right"/>
    </xf>
    <xf numFmtId="0" fontId="6" fillId="3" borderId="0" xfId="0" applyFont="1" applyFill="1"/>
    <xf numFmtId="10" fontId="9" fillId="0" borderId="14" xfId="2" applyNumberFormat="1" applyFont="1" applyBorder="1" applyAlignment="1">
      <alignment horizontal="right"/>
    </xf>
    <xf numFmtId="2" fontId="9" fillId="0" borderId="14" xfId="0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5"/>
  <sheetViews>
    <sheetView tabSelected="1" workbookViewId="0">
      <selection activeCell="A2" sqref="A2"/>
    </sheetView>
  </sheetViews>
  <sheetFormatPr defaultColWidth="13.7109375" defaultRowHeight="12" x14ac:dyDescent="0.2"/>
  <cols>
    <col min="1" max="1" width="13.7109375" style="3" customWidth="1"/>
    <col min="2" max="2" width="58.42578125" style="3" bestFit="1" customWidth="1"/>
    <col min="3" max="3" width="12.7109375" style="3" bestFit="1" customWidth="1"/>
    <col min="4" max="5" width="8.85546875" style="3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13.7109375" style="3" customWidth="1"/>
    <col min="10" max="10" width="9" style="4" bestFit="1" customWidth="1"/>
    <col min="11" max="11" width="6.140625" style="4" bestFit="1" customWidth="1"/>
    <col min="12" max="12" width="6.5703125" style="4" bestFit="1" customWidth="1"/>
    <col min="13" max="13" width="4.7109375" style="4" bestFit="1" customWidth="1"/>
    <col min="14" max="16384" width="13.7109375" style="3"/>
  </cols>
  <sheetData>
    <row r="1" spans="2:9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9" ht="16.5" thickBot="1" x14ac:dyDescent="0.25">
      <c r="B3" s="5" t="s">
        <v>1</v>
      </c>
      <c r="C3" s="6"/>
      <c r="D3" s="7"/>
      <c r="E3" s="7"/>
      <c r="F3" s="8"/>
      <c r="G3" s="8"/>
    </row>
    <row r="4" spans="2:9" ht="24" x14ac:dyDescent="0.2">
      <c r="B4" s="10" t="s">
        <v>2</v>
      </c>
      <c r="C4" s="11" t="s">
        <v>3</v>
      </c>
      <c r="D4" s="11" t="s">
        <v>4</v>
      </c>
      <c r="E4" s="11" t="s">
        <v>5</v>
      </c>
      <c r="F4" s="12" t="s">
        <v>6</v>
      </c>
      <c r="G4" s="13" t="s">
        <v>7</v>
      </c>
      <c r="H4" s="13" t="s">
        <v>8</v>
      </c>
    </row>
    <row r="5" spans="2:9" x14ac:dyDescent="0.2">
      <c r="B5" s="14" t="s">
        <v>9</v>
      </c>
      <c r="C5" s="15"/>
      <c r="D5" s="15"/>
      <c r="E5" s="15"/>
      <c r="F5" s="16"/>
      <c r="G5" s="16"/>
      <c r="H5" s="16"/>
    </row>
    <row r="6" spans="2:9" x14ac:dyDescent="0.2">
      <c r="B6" s="17" t="s">
        <v>10</v>
      </c>
      <c r="C6" s="17" t="s">
        <v>11</v>
      </c>
      <c r="D6" s="17" t="s">
        <v>12</v>
      </c>
      <c r="E6" s="18">
        <v>1500000</v>
      </c>
      <c r="F6" s="19">
        <v>1473.91</v>
      </c>
      <c r="G6" s="19">
        <v>44.5</v>
      </c>
      <c r="H6" s="19">
        <v>7.4</v>
      </c>
    </row>
    <row r="7" spans="2:9" x14ac:dyDescent="0.2">
      <c r="B7" s="17" t="s">
        <v>13</v>
      </c>
      <c r="C7" s="17" t="s">
        <v>14</v>
      </c>
      <c r="D7" s="17" t="s">
        <v>12</v>
      </c>
      <c r="E7" s="18">
        <v>1000000</v>
      </c>
      <c r="F7" s="19">
        <v>1012.07</v>
      </c>
      <c r="G7" s="19">
        <v>30.56</v>
      </c>
      <c r="H7" s="19">
        <v>7.25</v>
      </c>
    </row>
    <row r="8" spans="2:9" x14ac:dyDescent="0.2">
      <c r="B8" s="20" t="s">
        <v>15</v>
      </c>
      <c r="C8" s="20" t="s">
        <v>16</v>
      </c>
      <c r="D8" s="20" t="s">
        <v>12</v>
      </c>
      <c r="E8" s="21">
        <v>500000</v>
      </c>
      <c r="F8" s="22">
        <v>503.78</v>
      </c>
      <c r="G8" s="22">
        <v>15.21</v>
      </c>
      <c r="H8" s="22">
        <v>7.59</v>
      </c>
    </row>
    <row r="9" spans="2:9" x14ac:dyDescent="0.2">
      <c r="B9" s="23" t="s">
        <v>17</v>
      </c>
      <c r="C9" s="23"/>
      <c r="D9" s="23"/>
      <c r="E9" s="23"/>
      <c r="F9" s="24">
        <f>SUM(F6:F8)</f>
        <v>2989.76</v>
      </c>
      <c r="G9" s="24">
        <f>SUM(G6:G8)</f>
        <v>90.27000000000001</v>
      </c>
      <c r="H9" s="24"/>
      <c r="I9" s="25"/>
    </row>
    <row r="10" spans="2:9" x14ac:dyDescent="0.2">
      <c r="B10" s="26" t="s">
        <v>18</v>
      </c>
      <c r="C10" s="17"/>
      <c r="D10" s="17"/>
      <c r="E10" s="17"/>
      <c r="F10" s="19"/>
      <c r="G10" s="19"/>
      <c r="H10" s="19"/>
    </row>
    <row r="11" spans="2:9" x14ac:dyDescent="0.2">
      <c r="B11" s="17" t="s">
        <v>18</v>
      </c>
      <c r="C11" s="17"/>
      <c r="D11" s="17"/>
      <c r="E11" s="17"/>
      <c r="F11" s="19">
        <v>276.69</v>
      </c>
      <c r="G11" s="19">
        <v>8.35</v>
      </c>
      <c r="H11" s="19"/>
    </row>
    <row r="12" spans="2:9" x14ac:dyDescent="0.2">
      <c r="B12" s="27" t="s">
        <v>19</v>
      </c>
      <c r="C12" s="27"/>
      <c r="D12" s="27"/>
      <c r="E12" s="27"/>
      <c r="F12" s="28">
        <f>SUM(F10:F11)</f>
        <v>276.69</v>
      </c>
      <c r="G12" s="28">
        <f>SUM(G10:G11)</f>
        <v>8.35</v>
      </c>
      <c r="H12" s="29"/>
      <c r="I12" s="25"/>
    </row>
    <row r="13" spans="2:9" x14ac:dyDescent="0.2">
      <c r="B13" s="30" t="s">
        <v>17</v>
      </c>
      <c r="C13" s="30"/>
      <c r="D13" s="30"/>
      <c r="E13" s="30"/>
      <c r="F13" s="31">
        <f>F12</f>
        <v>276.69</v>
      </c>
      <c r="G13" s="31">
        <f>G12</f>
        <v>8.35</v>
      </c>
      <c r="H13" s="31"/>
      <c r="I13" s="25"/>
    </row>
    <row r="14" spans="2:9" x14ac:dyDescent="0.2">
      <c r="B14" s="32" t="s">
        <v>20</v>
      </c>
      <c r="C14" s="32"/>
      <c r="D14" s="32"/>
      <c r="E14" s="32"/>
      <c r="F14" s="33">
        <f>F15-(+F9+F13)</f>
        <v>45.749999999999545</v>
      </c>
      <c r="G14" s="33">
        <f>G15-(+G9+G13)</f>
        <v>1.3799999999999955</v>
      </c>
      <c r="H14" s="33"/>
      <c r="I14" s="25"/>
    </row>
    <row r="15" spans="2:9" x14ac:dyDescent="0.2">
      <c r="B15" s="32" t="s">
        <v>21</v>
      </c>
      <c r="C15" s="32"/>
      <c r="D15" s="32"/>
      <c r="E15" s="32"/>
      <c r="F15" s="33">
        <v>3312.2</v>
      </c>
      <c r="G15" s="33">
        <v>100</v>
      </c>
      <c r="H15" s="33"/>
      <c r="I15" s="25"/>
    </row>
    <row r="17" spans="2:3" ht="12.75" thickBot="1" x14ac:dyDescent="0.25">
      <c r="B17" s="25"/>
    </row>
    <row r="18" spans="2:3" ht="13.5" thickTop="1" thickBot="1" x14ac:dyDescent="0.25">
      <c r="B18" s="34" t="s">
        <v>22</v>
      </c>
      <c r="C18" s="35">
        <v>4.8346214706626389</v>
      </c>
    </row>
    <row r="19" spans="2:3" ht="12.75" thickTop="1" x14ac:dyDescent="0.2">
      <c r="B19" s="36"/>
    </row>
    <row r="20" spans="2:3" ht="12.75" thickBot="1" x14ac:dyDescent="0.25">
      <c r="B20" s="36"/>
    </row>
    <row r="21" spans="2:3" ht="13.5" thickTop="1" thickBot="1" x14ac:dyDescent="0.25">
      <c r="B21" s="34" t="s">
        <v>23</v>
      </c>
      <c r="C21" s="37">
        <v>7.2869318880742662E-2</v>
      </c>
    </row>
    <row r="22" spans="2:3" ht="12.75" thickTop="1" x14ac:dyDescent="0.2">
      <c r="B22" s="36"/>
    </row>
    <row r="23" spans="2:3" ht="12.75" thickBot="1" x14ac:dyDescent="0.25">
      <c r="B23" s="36"/>
    </row>
    <row r="24" spans="2:3" ht="13.5" thickTop="1" thickBot="1" x14ac:dyDescent="0.25">
      <c r="B24" s="34" t="s">
        <v>24</v>
      </c>
      <c r="C24" s="38">
        <v>3.8405470417693119</v>
      </c>
    </row>
    <row r="25" spans="2:3" ht="12.75" thickTop="1" x14ac:dyDescent="0.2"/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2023-02-03 17:12:31</KDate>
  <Classification>Public</Classification>
  <Subclassification/>
  <HostName>MUMCMP00935</HostName>
  <Domain_User>CANARAROBECOMF/628</Domain_User>
  <IPAdd>192.9.198.194</IPAdd>
  <FilePath>Book17</FilePath>
  <KID>C025A5607E97638110411517732402</KID>
  <UniqueName/>
  <Suggested/>
  <Justification/>
</Klassify>
</file>

<file path=customXml/itemProps1.xml><?xml version="1.0" encoding="utf-8"?>
<ds:datastoreItem xmlns:ds="http://schemas.openxmlformats.org/officeDocument/2006/customXml" ds:itemID="{F8B818B6-8334-4668-8A11-3873DB0AEC1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2023-02-03T11:42:27Z</dcterms:created>
  <dcterms:modified xsi:type="dcterms:W3CDTF">2023-02-03T11:42:31Z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C025A5607E97638110411517732402</vt:lpwstr>
  </property>
</Properties>
</file>