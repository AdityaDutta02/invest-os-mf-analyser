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C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2" i="1" s="1"/>
  <c r="F21" i="1"/>
  <c r="F22" i="1" s="1"/>
  <c r="G18" i="1"/>
  <c r="F18" i="1"/>
  <c r="F13" i="1"/>
  <c r="F23" i="1" s="1"/>
  <c r="G12" i="1"/>
  <c r="G13" i="1" s="1"/>
  <c r="G23" i="1" s="1"/>
  <c r="F12" i="1"/>
</calcChain>
</file>

<file path=xl/sharedStrings.xml><?xml version="1.0" encoding="utf-8"?>
<sst xmlns="http://schemas.openxmlformats.org/spreadsheetml/2006/main" count="50" uniqueCount="40">
  <si>
    <t>CANARA  ROBECO  CAPITAL  PROTECTION  ORIENTED FUND– SERIES 10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</si>
  <si>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</si>
  <si>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</si>
  <si>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</si>
  <si>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</si>
  <si>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</si>
  <si>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</si>
  <si>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</si>
  <si>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</si>
  <si>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Feb'22</t>
  </si>
  <si>
    <t>Benchmark Risk-o-meter Level- Feb'22</t>
  </si>
  <si>
    <t>Previous Scheme Risk-o-meter Level- Jan'22</t>
  </si>
  <si>
    <t>Debt Instruments</t>
  </si>
  <si>
    <t>(a) Listed / awaiting listing on Stock Exchanges</t>
  </si>
  <si>
    <t>8.58% Housing Development Finance Corporation Ltd (18/03/2022)</t>
  </si>
  <si>
    <t>INE001A07RS3</t>
  </si>
  <si>
    <t>CRISIL AAA</t>
  </si>
  <si>
    <t>7.95% LIC Housing Finance Ltd (24/03/2022) **</t>
  </si>
  <si>
    <t>INE115A07LM7</t>
  </si>
  <si>
    <t>8.18% Power Finance Corporation Ltd (19/03/2022) **</t>
  </si>
  <si>
    <t>INE134E08JW1</t>
  </si>
  <si>
    <t>8.30% Reliance Industries Ltd (08/03/2022) **</t>
  </si>
  <si>
    <t>INE002A08575</t>
  </si>
  <si>
    <t>6.60% REC Ltd (21/03/2022)</t>
  </si>
  <si>
    <t>INE020B08CV5</t>
  </si>
  <si>
    <t>Sub Total</t>
  </si>
  <si>
    <t>Total</t>
  </si>
  <si>
    <t>Benchmark: CRISIL Hybrid 85+15 - Conservative Index</t>
  </si>
  <si>
    <t>Government Bonds</t>
  </si>
  <si>
    <t>8.21% Haryana SDL Uday 31-Mar-22</t>
  </si>
  <si>
    <t>IN1620150145</t>
  </si>
  <si>
    <t>Sovereign</t>
  </si>
  <si>
    <t>8.49% Punjab SDL Uday 31-Mar-22</t>
  </si>
  <si>
    <t>IN2820150273</t>
  </si>
  <si>
    <t>8.99% GUJARAT SDL 14-MAR-22</t>
  </si>
  <si>
    <t>IN1520110132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</si>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</sst>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9" fillId="3" borderId="8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3" fontId="3" fillId="3" borderId="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1" xfId="0" applyNumberFormat="1" applyFont="1" applyFill="1" applyBorder="1"/>
    <xf numFmtId="4" fontId="9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51088</xdr:colOff>
      <xdr:row>4</xdr:row>
      <xdr:rowOff>99580</xdr:rowOff>
    </xdr:from>
    <xdr:ext cx="1652154" cy="974147"/>
    <xdr:pic>
      <xdr:nvPicPr>
        <xdr:cNvPr id="2" name="Picture 1">
          <a:extLst>
            <a:ext uri="{FF2B5EF4-FFF2-40B4-BE49-F238E27FC236}">
              <a16:creationId xmlns:a16="http://schemas.microsoft.com/office/drawing/2014/main" id="{47A8A5AF-0006-40B0-AB12-82ACF02A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0388" y="1109230"/>
          <a:ext cx="1652154" cy="974147"/>
        </a:xfrm>
        <a:prstGeom prst="rect">
          <a:avLst/>
        </a:prstGeom>
      </xdr:spPr>
    </xdr:pic>
    <xdr:clientData/>
  </xdr:oneCellAnchor>
  <xdr:oneCellAnchor>
    <xdr:from>
      <xdr:col>10</xdr:col>
      <xdr:colOff>125557</xdr:colOff>
      <xdr:row>4</xdr:row>
      <xdr:rowOff>57150</xdr:rowOff>
    </xdr:from>
    <xdr:ext cx="1734275" cy="1033895"/>
    <xdr:pic>
      <xdr:nvPicPr>
        <xdr:cNvPr id="3" name="Picture 2">
          <a:extLst>
            <a:ext uri="{FF2B5EF4-FFF2-40B4-BE49-F238E27FC236}">
              <a16:creationId xmlns:a16="http://schemas.microsoft.com/office/drawing/2014/main" id="{9EB2D739-543B-4AC0-AC23-29AD4334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4607" y="1066800"/>
          <a:ext cx="1734275" cy="1033895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4</xdr:row>
      <xdr:rowOff>71003</xdr:rowOff>
    </xdr:from>
    <xdr:ext cx="1641877" cy="968088"/>
    <xdr:pic>
      <xdr:nvPicPr>
        <xdr:cNvPr id="4" name="Picture 3">
          <a:extLst>
            <a:ext uri="{FF2B5EF4-FFF2-40B4-BE49-F238E27FC236}">
              <a16:creationId xmlns:a16="http://schemas.microsoft.com/office/drawing/2014/main" id="{47A8A5AF-0006-40B0-AB12-82ACF02A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2175" y="1080653"/>
          <a:ext cx="1641877" cy="9680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tabSelected="1" topLeftCell="G1" zoomScaleNormal="100" workbookViewId="0">
      <selection activeCell="B3" sqref="B3"/>
    </sheetView>
  </sheetViews>
  <sheetFormatPr defaultRowHeight="12"/>
  <cols>
    <col min="1" max="1" width="9.140625" style="4"/>
    <col min="2" max="2" width="59.5703125" style="4" bestFit="1" customWidth="1"/>
    <col min="3" max="3" width="13.5703125" style="4" bestFit="1" customWidth="1"/>
    <col min="4" max="4" width="14.140625" style="4" bestFit="1" customWidth="1"/>
    <col min="5" max="5" width="8.85546875" style="50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7.140625" style="3" customWidth="1"/>
    <col min="11" max="11" width="30.5703125" style="3" customWidth="1"/>
    <col min="12" max="12" width="29.42578125" style="3" customWidth="1"/>
    <col min="13" max="16384" width="9.140625" style="4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.5" thickBot="1">
      <c r="B3" s="5" t="s">
        <v>1</v>
      </c>
      <c r="C3" s="6"/>
      <c r="D3" s="7"/>
      <c r="E3" s="8"/>
      <c r="F3" s="9"/>
      <c r="G3" s="9"/>
    </row>
    <row r="4" spans="2:19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9">
      <c r="B5" s="17" t="s">
        <v>12</v>
      </c>
      <c r="C5" s="18"/>
      <c r="D5" s="18"/>
      <c r="E5" s="19"/>
      <c r="F5" s="20"/>
      <c r="G5" s="20"/>
      <c r="H5" s="20"/>
      <c r="J5" s="21"/>
      <c r="K5" s="21"/>
      <c r="L5" s="22"/>
    </row>
    <row r="6" spans="2:19">
      <c r="B6" s="23" t="s">
        <v>13</v>
      </c>
      <c r="C6" s="24"/>
      <c r="D6" s="24"/>
      <c r="E6" s="25"/>
      <c r="F6" s="26"/>
      <c r="G6" s="26"/>
      <c r="H6" s="26"/>
      <c r="J6" s="21"/>
      <c r="K6" s="21"/>
      <c r="L6" s="27"/>
    </row>
    <row r="7" spans="2:19">
      <c r="B7" s="24" t="s">
        <v>14</v>
      </c>
      <c r="C7" s="24" t="s">
        <v>15</v>
      </c>
      <c r="D7" s="24" t="s">
        <v>16</v>
      </c>
      <c r="E7" s="28">
        <v>200</v>
      </c>
      <c r="F7" s="26">
        <v>2004.24</v>
      </c>
      <c r="G7" s="26">
        <v>9.1</v>
      </c>
      <c r="H7" s="26">
        <v>3.95</v>
      </c>
      <c r="J7" s="21"/>
      <c r="K7" s="21"/>
      <c r="L7" s="27"/>
    </row>
    <row r="8" spans="2:19">
      <c r="B8" s="24" t="s">
        <v>17</v>
      </c>
      <c r="C8" s="24" t="s">
        <v>18</v>
      </c>
      <c r="D8" s="24" t="s">
        <v>16</v>
      </c>
      <c r="E8" s="28">
        <v>150</v>
      </c>
      <c r="F8" s="26">
        <v>1503.71</v>
      </c>
      <c r="G8" s="26">
        <v>6.83</v>
      </c>
      <c r="H8" s="26">
        <v>3.89</v>
      </c>
      <c r="J8" s="21"/>
      <c r="K8" s="21"/>
      <c r="L8" s="27"/>
    </row>
    <row r="9" spans="2:19">
      <c r="B9" s="24" t="s">
        <v>19</v>
      </c>
      <c r="C9" s="24" t="s">
        <v>20</v>
      </c>
      <c r="D9" s="24" t="s">
        <v>16</v>
      </c>
      <c r="E9" s="28">
        <v>150</v>
      </c>
      <c r="F9" s="26">
        <v>1503.11</v>
      </c>
      <c r="G9" s="26">
        <v>6.83</v>
      </c>
      <c r="H9" s="26">
        <v>3.89</v>
      </c>
      <c r="J9" s="21"/>
      <c r="K9" s="21"/>
      <c r="L9" s="27"/>
    </row>
    <row r="10" spans="2:19">
      <c r="B10" s="24" t="s">
        <v>21</v>
      </c>
      <c r="C10" s="24" t="s">
        <v>22</v>
      </c>
      <c r="D10" s="24" t="s">
        <v>16</v>
      </c>
      <c r="E10" s="28">
        <v>150</v>
      </c>
      <c r="F10" s="26">
        <v>1501.25</v>
      </c>
      <c r="G10" s="26">
        <v>6.82</v>
      </c>
      <c r="H10" s="26">
        <v>4.17</v>
      </c>
      <c r="J10" s="21"/>
      <c r="K10" s="21"/>
      <c r="L10" s="27"/>
    </row>
    <row r="11" spans="2:19">
      <c r="B11" s="24" t="s">
        <v>23</v>
      </c>
      <c r="C11" s="24" t="s">
        <v>24</v>
      </c>
      <c r="D11" s="24" t="s">
        <v>16</v>
      </c>
      <c r="E11" s="28">
        <v>100</v>
      </c>
      <c r="F11" s="26">
        <v>1001.47</v>
      </c>
      <c r="G11" s="26">
        <v>4.55</v>
      </c>
      <c r="H11" s="26">
        <v>3.8</v>
      </c>
      <c r="J11" s="21"/>
      <c r="K11" s="21"/>
      <c r="L11" s="27"/>
    </row>
    <row r="12" spans="2:19">
      <c r="B12" s="29" t="s">
        <v>25</v>
      </c>
      <c r="C12" s="29"/>
      <c r="D12" s="29"/>
      <c r="E12" s="30"/>
      <c r="F12" s="31">
        <f>SUM(F6:F11)</f>
        <v>7513.78</v>
      </c>
      <c r="G12" s="31">
        <f>SUM(G6:G11)</f>
        <v>34.129999999999995</v>
      </c>
      <c r="H12" s="32"/>
      <c r="J12" s="21"/>
      <c r="K12" s="21"/>
      <c r="L12" s="33"/>
    </row>
    <row r="13" spans="2:19">
      <c r="B13" s="34" t="s">
        <v>26</v>
      </c>
      <c r="C13" s="34"/>
      <c r="D13" s="34"/>
      <c r="E13" s="35"/>
      <c r="F13" s="36">
        <f>F12</f>
        <v>7513.78</v>
      </c>
      <c r="G13" s="36">
        <f>G12</f>
        <v>34.129999999999995</v>
      </c>
      <c r="H13" s="36"/>
      <c r="K13" s="4" t="s">
        <v>27</v>
      </c>
      <c r="O13" s="3"/>
      <c r="S13" s="3"/>
    </row>
    <row r="14" spans="2:19">
      <c r="B14" s="23" t="s">
        <v>28</v>
      </c>
      <c r="C14" s="24"/>
      <c r="D14" s="24"/>
      <c r="E14" s="25"/>
      <c r="F14" s="26"/>
      <c r="G14" s="26"/>
      <c r="H14" s="26"/>
    </row>
    <row r="15" spans="2:19">
      <c r="B15" s="24" t="s">
        <v>29</v>
      </c>
      <c r="C15" s="24" t="s">
        <v>30</v>
      </c>
      <c r="D15" s="24" t="s">
        <v>31</v>
      </c>
      <c r="E15" s="28">
        <v>4200000</v>
      </c>
      <c r="F15" s="26">
        <v>4214.1000000000004</v>
      </c>
      <c r="G15" s="26">
        <v>19.14</v>
      </c>
      <c r="H15" s="26">
        <v>4.12</v>
      </c>
    </row>
    <row r="16" spans="2:19">
      <c r="B16" s="24" t="s">
        <v>32</v>
      </c>
      <c r="C16" s="24" t="s">
        <v>33</v>
      </c>
      <c r="D16" s="24" t="s">
        <v>31</v>
      </c>
      <c r="E16" s="28">
        <v>2200000</v>
      </c>
      <c r="F16" s="26">
        <v>2207.81</v>
      </c>
      <c r="G16" s="26">
        <v>10.029999999999999</v>
      </c>
      <c r="H16" s="26">
        <v>4.16</v>
      </c>
    </row>
    <row r="17" spans="2:8">
      <c r="B17" s="37" t="s">
        <v>34</v>
      </c>
      <c r="C17" s="37" t="s">
        <v>35</v>
      </c>
      <c r="D17" s="37" t="s">
        <v>31</v>
      </c>
      <c r="E17" s="38">
        <v>220000</v>
      </c>
      <c r="F17" s="39">
        <v>220.42</v>
      </c>
      <c r="G17" s="39">
        <v>1</v>
      </c>
      <c r="H17" s="39">
        <v>3.9</v>
      </c>
    </row>
    <row r="18" spans="2:8">
      <c r="B18" s="40" t="s">
        <v>26</v>
      </c>
      <c r="C18" s="40"/>
      <c r="D18" s="40"/>
      <c r="E18" s="41"/>
      <c r="F18" s="42">
        <f>SUM(F15:F17)</f>
        <v>6642.33</v>
      </c>
      <c r="G18" s="42">
        <f>SUM(G15:G17)</f>
        <v>30.17</v>
      </c>
      <c r="H18" s="42"/>
    </row>
    <row r="19" spans="2:8">
      <c r="B19" s="23" t="s">
        <v>36</v>
      </c>
      <c r="C19" s="24"/>
      <c r="D19" s="24"/>
      <c r="E19" s="25"/>
      <c r="F19" s="26"/>
      <c r="G19" s="26"/>
      <c r="H19" s="26"/>
    </row>
    <row r="20" spans="2:8">
      <c r="B20" s="24" t="s">
        <v>36</v>
      </c>
      <c r="C20" s="24"/>
      <c r="D20" s="24"/>
      <c r="E20" s="25"/>
      <c r="F20" s="26">
        <v>7047.07</v>
      </c>
      <c r="G20" s="26">
        <v>32.01</v>
      </c>
      <c r="H20" s="26"/>
    </row>
    <row r="21" spans="2:8">
      <c r="B21" s="29" t="s">
        <v>25</v>
      </c>
      <c r="C21" s="29"/>
      <c r="D21" s="29"/>
      <c r="E21" s="30"/>
      <c r="F21" s="31">
        <f>SUM(F19:F20)</f>
        <v>7047.07</v>
      </c>
      <c r="G21" s="31">
        <f>SUM(G19:G20)</f>
        <v>32.01</v>
      </c>
      <c r="H21" s="32"/>
    </row>
    <row r="22" spans="2:8">
      <c r="B22" s="43" t="s">
        <v>26</v>
      </c>
      <c r="C22" s="43"/>
      <c r="D22" s="43"/>
      <c r="E22" s="44"/>
      <c r="F22" s="45">
        <f>F21</f>
        <v>7047.07</v>
      </c>
      <c r="G22" s="45">
        <f>G21</f>
        <v>32.01</v>
      </c>
      <c r="H22" s="45"/>
    </row>
    <row r="23" spans="2:8">
      <c r="B23" s="46" t="s">
        <v>37</v>
      </c>
      <c r="C23" s="46"/>
      <c r="D23" s="46"/>
      <c r="E23" s="47"/>
      <c r="F23" s="48">
        <f>F24-(+F13+F18+F22)</f>
        <v>815.06000000000131</v>
      </c>
      <c r="G23" s="48">
        <f>G24-(+G13+G18+G22)</f>
        <v>3.6899999999999977</v>
      </c>
      <c r="H23" s="48"/>
    </row>
    <row r="24" spans="2:8">
      <c r="B24" s="46" t="s">
        <v>38</v>
      </c>
      <c r="C24" s="46"/>
      <c r="D24" s="46"/>
      <c r="E24" s="47"/>
      <c r="F24" s="48">
        <v>22018.240000000002</v>
      </c>
      <c r="G24" s="48">
        <v>100</v>
      </c>
      <c r="H24" s="48"/>
    </row>
    <row r="26" spans="2:8">
      <c r="B26" s="49" t="s">
        <v>39</v>
      </c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2022-03-07T09:32:29Z</dcterms:created>
  <dcterms:modified xsi:type="dcterms:W3CDTF">2022-03-07T09:32:32Z</dcterms:modified>
</cp:coreProperties>
</file>