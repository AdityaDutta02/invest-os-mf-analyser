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6-27\APRIL'26\Monthly Portfolio Apr 26\Verified by Certitude\"/>
    </mc:Choice>
  </mc:AlternateContent>
  <xr:revisionPtr revIDLastSave="0" documentId="8_{BC7952FC-8C13-4A6E-B636-BCC11981020E}" xr6:coauthVersionLast="47" xr6:coauthVersionMax="47" xr10:uidLastSave="{00000000-0000-0000-0000-000000000000}"/>
  <bookViews>
    <workbookView xWindow="-110" yWindow="-110" windowWidth="19420" windowHeight="10300" xr2:uid="{39CFA7F6-647A-4D3E-84BF-17AAC1ECF5CF}"/>
  </bookViews>
  <sheets>
    <sheet name="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8" i="1" l="1"/>
  <c r="G99" i="1" s="1"/>
  <c r="F98" i="1"/>
  <c r="F99" i="1" s="1"/>
  <c r="G95" i="1"/>
  <c r="G100" i="1" s="1"/>
  <c r="F95" i="1"/>
  <c r="F100" i="1" s="1"/>
  <c r="G94" i="1"/>
  <c r="F9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<sst xmlns="http://schemas.openxmlformats.org/spreadsheetml/2006/main" count="404" uniqueCount="256">
  <si>
    <t>CANARA ROBECO SMALL CAP FUND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</si>
  <si>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</si>
  <si>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</si>
  <si>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</si>
  <si>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</si>
  <si>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</si>
  <si>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</si>
  <si>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</si>
  <si>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</si>
  <si>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</si>
  <si>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 - April'26</t>
  </si>
  <si>
    <t>Benchmark Risk-O-Meter Level - April'26</t>
  </si>
  <si>
    <t>Scheme Risk-O-Meter Level - March'26</t>
  </si>
  <si>
    <t>Benchmark Risk-O-Meter Level - March'26</t>
  </si>
  <si>
    <t>Equity &amp; Equity related</t>
  </si>
  <si>
    <t>(a) Listed / awaiting listing on Stock Exchanges</t>
  </si>
  <si>
    <t>Multi Commodity Exchange Of India Ltd</t>
  </si>
  <si>
    <t>INE745G01043</t>
  </si>
  <si>
    <t>Capital Markets</t>
  </si>
  <si>
    <t>Mid Cap</t>
  </si>
  <si>
    <t>KEI Industries Ltd</t>
  </si>
  <si>
    <t>INE878B01027</t>
  </si>
  <si>
    <t>Industrial Products</t>
  </si>
  <si>
    <t>Amber Enterprises India Ltd</t>
  </si>
  <si>
    <t>INE371P01015</t>
  </si>
  <si>
    <t>Consumer Durables</t>
  </si>
  <si>
    <t>Small Cap</t>
  </si>
  <si>
    <t>Ge Vernova T&amp;D India Ltd</t>
  </si>
  <si>
    <t>INE200A01026</t>
  </si>
  <si>
    <t>Electrical Equipment</t>
  </si>
  <si>
    <t>PNB Housing Finance Ltd</t>
  </si>
  <si>
    <t>INE572E01012</t>
  </si>
  <si>
    <t>Finance</t>
  </si>
  <si>
    <t>J.B. Chemicals &amp; Pharmaceuticals Ltd</t>
  </si>
  <si>
    <t>INE572A01036</t>
  </si>
  <si>
    <t>Pharmaceuticals &amp; Biotechnology</t>
  </si>
  <si>
    <t>Karur Vysya Bank Ltd</t>
  </si>
  <si>
    <t>INE036D01028</t>
  </si>
  <si>
    <t>Banks</t>
  </si>
  <si>
    <t>Benchmark: Nifty Smallcap 250 Index TRI</t>
  </si>
  <si>
    <t>City Union Bank Ltd</t>
  </si>
  <si>
    <t>INE491A01021</t>
  </si>
  <si>
    <t>TBO Tek Ltd</t>
  </si>
  <si>
    <t>INE673O01025</t>
  </si>
  <si>
    <t>Leisure Services</t>
  </si>
  <si>
    <t>Affle 3i Ltd</t>
  </si>
  <si>
    <t>INE00WC01027</t>
  </si>
  <si>
    <t>IT - Services</t>
  </si>
  <si>
    <t>Eternal Ltd</t>
  </si>
  <si>
    <t>INE758T01015</t>
  </si>
  <si>
    <t>Retailing</t>
  </si>
  <si>
    <t>Large Cap</t>
  </si>
  <si>
    <t>Anand Rathi Wealth Ltd</t>
  </si>
  <si>
    <t>INE463V01026</t>
  </si>
  <si>
    <t>Blue Star Ltd</t>
  </si>
  <si>
    <t>INE472A01039</t>
  </si>
  <si>
    <t>Sagility Ltd</t>
  </si>
  <si>
    <t>INE0W2G01015</t>
  </si>
  <si>
    <t>Ajanta Pharma Ltd</t>
  </si>
  <si>
    <t>INE031B01049</t>
  </si>
  <si>
    <t>RBL Bank Ltd</t>
  </si>
  <si>
    <t>INE976G01028</t>
  </si>
  <si>
    <t>Radico Khaitan Ltd</t>
  </si>
  <si>
    <t>INE944F01028</t>
  </si>
  <si>
    <t>Beverages</t>
  </si>
  <si>
    <t>Aditya Birla Real Estate Ltd</t>
  </si>
  <si>
    <t>INE055A01016</t>
  </si>
  <si>
    <t>Realty</t>
  </si>
  <si>
    <t>Indian Bank</t>
  </si>
  <si>
    <t>INE562A01011</t>
  </si>
  <si>
    <t>Equitas Small Finance Bank Ltd</t>
  </si>
  <si>
    <t>INE063P01018</t>
  </si>
  <si>
    <t>Tech Mahindra Ltd</t>
  </si>
  <si>
    <t>INE669C01036</t>
  </si>
  <si>
    <t>IT - Software</t>
  </si>
  <si>
    <t>Computer Age Management Services Ltd</t>
  </si>
  <si>
    <t>INE596I01020</t>
  </si>
  <si>
    <t>Delhivery Ltd</t>
  </si>
  <si>
    <t>INE148O01028</t>
  </si>
  <si>
    <t>Transport Services</t>
  </si>
  <si>
    <t>Global Health Ltd</t>
  </si>
  <si>
    <t>INE474Q01031</t>
  </si>
  <si>
    <t>Healthcare Services</t>
  </si>
  <si>
    <t>V-Guard Industries Ltd</t>
  </si>
  <si>
    <t>INE951I01027</t>
  </si>
  <si>
    <t>Indian Hotels Co Ltd</t>
  </si>
  <si>
    <t>INE053A01029</t>
  </si>
  <si>
    <t>Cholamandalam Financial Holdings Ltd</t>
  </si>
  <si>
    <t>INE149A01033</t>
  </si>
  <si>
    <t>CESC Ltd</t>
  </si>
  <si>
    <t>INE486A01021</t>
  </si>
  <si>
    <t>Power</t>
  </si>
  <si>
    <t>EID Parry India Ltd</t>
  </si>
  <si>
    <t>INE126A01031</t>
  </si>
  <si>
    <t>Food Products</t>
  </si>
  <si>
    <t>Ujjivan Small Finance Bank Ltd</t>
  </si>
  <si>
    <t>INE551W01018</t>
  </si>
  <si>
    <t>Cera Sanitaryware Ltd</t>
  </si>
  <si>
    <t>INE739E01017</t>
  </si>
  <si>
    <t>Sobha Ltd</t>
  </si>
  <si>
    <t>INE671H01015</t>
  </si>
  <si>
    <t>Creditaccess Grameen Ltd</t>
  </si>
  <si>
    <t>INE741K01010</t>
  </si>
  <si>
    <t>Triveni Turbine Ltd</t>
  </si>
  <si>
    <t>INE152M01016</t>
  </si>
  <si>
    <t>Can Fin Homes Ltd</t>
  </si>
  <si>
    <t>INE477A01020</t>
  </si>
  <si>
    <t>Apar Industries Ltd</t>
  </si>
  <si>
    <t>INE372A01015</t>
  </si>
  <si>
    <t>Metropolis Healthcare Ltd</t>
  </si>
  <si>
    <t>INE112L01020</t>
  </si>
  <si>
    <t>Gland Pharma Ltd</t>
  </si>
  <si>
    <t>INE068V01023</t>
  </si>
  <si>
    <t>Home First Finance Co India Ltd</t>
  </si>
  <si>
    <t>INE481N01025</t>
  </si>
  <si>
    <t>EPL Ltd</t>
  </si>
  <si>
    <t>INE255A01020</t>
  </si>
  <si>
    <t>Navin Fluorine International Ltd</t>
  </si>
  <si>
    <t>INE048G01026</t>
  </si>
  <si>
    <t>Chemicals &amp; Petrochemicals</t>
  </si>
  <si>
    <t>Bajaj Finance Ltd</t>
  </si>
  <si>
    <t>INE296A01032</t>
  </si>
  <si>
    <t>Bikaji Foods International Ltd</t>
  </si>
  <si>
    <t>INE00E101023</t>
  </si>
  <si>
    <t>Thangamayil Jewellery Ltd</t>
  </si>
  <si>
    <t>INE085J01014</t>
  </si>
  <si>
    <t>Birlasoft Ltd</t>
  </si>
  <si>
    <t>INE836A01035</t>
  </si>
  <si>
    <t>Interglobe Aviation Ltd</t>
  </si>
  <si>
    <t>INE646L01027</t>
  </si>
  <si>
    <t>JK Lakshmi Cement Ltd</t>
  </si>
  <si>
    <t>INE786A01032</t>
  </si>
  <si>
    <t>Cement &amp; Cement Products</t>
  </si>
  <si>
    <t>Ratnamani Metals &amp; Tubes Ltd</t>
  </si>
  <si>
    <t>INE703B01027</t>
  </si>
  <si>
    <t>Innova Captab Ltd</t>
  </si>
  <si>
    <t>INE0DUT01020</t>
  </si>
  <si>
    <t>KEC International Ltd</t>
  </si>
  <si>
    <t>INE389H01022</t>
  </si>
  <si>
    <t>Construction</t>
  </si>
  <si>
    <t>Bharat Electronics Ltd</t>
  </si>
  <si>
    <t>INE263A01024</t>
  </si>
  <si>
    <t>Aerospace &amp; Defense</t>
  </si>
  <si>
    <t>ICRA Ltd</t>
  </si>
  <si>
    <t>INE725G01011</t>
  </si>
  <si>
    <t>Exide Industries Ltd</t>
  </si>
  <si>
    <t>INE302A01020</t>
  </si>
  <si>
    <t>Auto Components</t>
  </si>
  <si>
    <t>Max Healthcare Institute Ltd</t>
  </si>
  <si>
    <t>INE027H01010</t>
  </si>
  <si>
    <t>UTI Asset Management Co Ltd</t>
  </si>
  <si>
    <t>INE094J01016</t>
  </si>
  <si>
    <t>The Ramco Cements Ltd</t>
  </si>
  <si>
    <t>INE331A01037</t>
  </si>
  <si>
    <t>Schaeffler India Ltd</t>
  </si>
  <si>
    <t>INE513A01022</t>
  </si>
  <si>
    <t>Motherson Sumi Wiring India Ltd</t>
  </si>
  <si>
    <t>INE0FS801015</t>
  </si>
  <si>
    <t>Ask Automotive Ltd</t>
  </si>
  <si>
    <t>INE491J01022</t>
  </si>
  <si>
    <t>Piramal Pharma Ltd</t>
  </si>
  <si>
    <t>INE0DK501011</t>
  </si>
  <si>
    <t>V-Mart Retail Ltd</t>
  </si>
  <si>
    <t>INE665J01013</t>
  </si>
  <si>
    <t>Cohance Lifesciences Ltd</t>
  </si>
  <si>
    <t>INE03QK01018</t>
  </si>
  <si>
    <t>Mrs Bectors Food Specialities Ltd</t>
  </si>
  <si>
    <t>INE495P01020</t>
  </si>
  <si>
    <t>Safari Industries (India) Ltd</t>
  </si>
  <si>
    <t>INE429E01023</t>
  </si>
  <si>
    <t>Westlife Foodworld Ltd</t>
  </si>
  <si>
    <t>INE274F01020</t>
  </si>
  <si>
    <t>Awfis Space Solutions Ltd</t>
  </si>
  <si>
    <t>INE108V01019</t>
  </si>
  <si>
    <t>Commercial Services &amp; Supplies</t>
  </si>
  <si>
    <t>CIE Automotive India Ltd</t>
  </si>
  <si>
    <t>INE536H01010</t>
  </si>
  <si>
    <t>Jyothy Labs Ltd</t>
  </si>
  <si>
    <t>INE668F01031</t>
  </si>
  <si>
    <t>Household Products</t>
  </si>
  <si>
    <t>Jyoti CNC Automation Ltd</t>
  </si>
  <si>
    <t>INE980O01024</t>
  </si>
  <si>
    <t>Industrial Manufacturing</t>
  </si>
  <si>
    <t>Sumitomo Chemical India Ltd</t>
  </si>
  <si>
    <t>INE258G01013</t>
  </si>
  <si>
    <t>Fertilizers &amp; Agrochemicals</t>
  </si>
  <si>
    <t>Timken India Ltd</t>
  </si>
  <si>
    <t>INE325A01013</t>
  </si>
  <si>
    <t>Greenply Industries Ltd</t>
  </si>
  <si>
    <t>INE461C01038</t>
  </si>
  <si>
    <t>Subros Ltd</t>
  </si>
  <si>
    <t>INE287B01021</t>
  </si>
  <si>
    <t>National Aluminium Co Ltd</t>
  </si>
  <si>
    <t>INE139A01034</t>
  </si>
  <si>
    <t>Non - Ferrous Metals</t>
  </si>
  <si>
    <t>Cyient Ltd</t>
  </si>
  <si>
    <t>INE136B01020</t>
  </si>
  <si>
    <t>Ahluwalia Contracts (India) Ltd</t>
  </si>
  <si>
    <t>INE758C01029</t>
  </si>
  <si>
    <t>Firstsource Solutions Ltd</t>
  </si>
  <si>
    <t>INE684F01012</t>
  </si>
  <si>
    <t>VRL Logistics Ltd</t>
  </si>
  <si>
    <t>INE366I01010</t>
  </si>
  <si>
    <t>Doms Industries Ltd</t>
  </si>
  <si>
    <t>INE321T01012</t>
  </si>
  <si>
    <t>Mold Tek Packaging Ltd</t>
  </si>
  <si>
    <t>INE893J01029</t>
  </si>
  <si>
    <t>Rolex Rings Ltd</t>
  </si>
  <si>
    <t>INE645S01024</t>
  </si>
  <si>
    <t>Rhi Magnesita India Ltd</t>
  </si>
  <si>
    <t>INE743M01012</t>
  </si>
  <si>
    <t>Rossari Biotech Ltd</t>
  </si>
  <si>
    <t>INE02A801020</t>
  </si>
  <si>
    <t>Great Eastern Shipping Co Ltd</t>
  </si>
  <si>
    <t>INE017A01032</t>
  </si>
  <si>
    <t>Tata Elxsi Ltd</t>
  </si>
  <si>
    <t>INE670A01012</t>
  </si>
  <si>
    <t>Carborundum Universal Ltd</t>
  </si>
  <si>
    <t>INE120A01034</t>
  </si>
  <si>
    <t>Vedant Fashions Ltd</t>
  </si>
  <si>
    <t>INE825V01034</t>
  </si>
  <si>
    <t>Sub Total</t>
  </si>
  <si>
    <t>Total</t>
  </si>
  <si>
    <t>TREPS</t>
  </si>
  <si>
    <t>Net Receivables / (Payables)</t>
  </si>
  <si>
    <t>Grand Total</t>
  </si>
  <si>
    <t>Residual Maturity</t>
  </si>
  <si>
    <t>0.0110 Years</t>
  </si>
  <si>
    <t>Notes</t>
  </si>
  <si>
    <t>(1) The provision made for Securities classified as below investment grade or default as of April,30 2026 is Rs Nil and its percentage to Net Asset Value is Nil.</t>
  </si>
  <si>
    <t>(2)  Aggregate value of illiquid shares of the fund amounts to Rs. Nil and their percentage to Net Asset value is Nil.</t>
  </si>
  <si>
    <t>(3)  Plan/option wise per unit Net Asset Value are as follows:</t>
  </si>
  <si>
    <t xml:space="preserve">      Plan/Option</t>
  </si>
  <si>
    <t>As on March,31 2026</t>
  </si>
  <si>
    <t>As on April,30 2026</t>
  </si>
  <si>
    <t xml:space="preserve">      REGULAR PLAN - GROWTH OPTION</t>
  </si>
  <si>
    <t xml:space="preserve">      REGULAR PLAN - IDCW (Payout/Reinvestment)</t>
  </si>
  <si>
    <t xml:space="preserve">      DIRECT PLAN - GROWTH OPTION</t>
  </si>
  <si>
    <t xml:space="preserve">      DIRECT PLAN - IDCW (Payout/Reinvestment)</t>
  </si>
  <si>
    <t>(4) No Dividend declared during the month ended April,30 2026</t>
  </si>
  <si>
    <t>(5) Total outstanding exposure in derivative instruments as on April,30 2026 as follows:</t>
  </si>
  <si>
    <t xml:space="preserve"> a) Hedging Positions through Futures as on April 30, 2026: Nil</t>
  </si>
  <si>
    <t xml:space="preserve"> b) Total outstanding position in Derivative Instruments (Gross Notional) as at April 30, 2026 is Nil. </t>
  </si>
  <si>
    <t xml:space="preserve"> c) Total percentage of existing assets hedged through futures is Nil.</t>
  </si>
  <si>
    <t xml:space="preserve"> d) For the Month ended April 30, 2026 following were the hedging transactions through futures which have been squared off/expired:</t>
  </si>
  <si>
    <t>Number of contracts bought</t>
  </si>
  <si>
    <t>Number of contracts Sold</t>
  </si>
  <si>
    <t>Gross Notional Value of contracts where futures were bought  in Rs. Lakhs</t>
  </si>
  <si>
    <t>Gross Notional Value of contracts where futures were  sold in Rs. Lakhs</t>
  </si>
  <si>
    <t>Net Profit/Loss value on all contracts in Rs. Lakhs</t>
  </si>
  <si>
    <t>Nil</t>
  </si>
  <si>
    <t>(6) Total Market value of investments in Foreign Securities/American Depositary Receipts/Global Depositary Receipts as at April,30 2026 is Rs. Nil .</t>
  </si>
  <si>
    <t>(7)  During the period, the portfolio turnover ratio is 0.3 times.</t>
  </si>
  <si>
    <t>(8)  Details of repo transaction in corporate debt securities for the month ended April,30 2026 is Nil.</t>
  </si>
  <si>
    <t>Please refer the below link for the performance of the Schemes managed by Canara Robeco Mutual Fund</t>
  </si>
  <si>
    <t>https://www.canararobeco.com/docs/default-source/default-document-library/Scheme%20Performance%20April%2026.pdf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</si>
</sst>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4" fontId="10" fillId="3" borderId="13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1" fillId="4" borderId="20" xfId="0" applyFont="1" applyFill="1" applyBorder="1"/>
    <xf numFmtId="164" fontId="10" fillId="3" borderId="21" xfId="0" applyNumberFormat="1" applyFont="1" applyFill="1" applyBorder="1"/>
    <xf numFmtId="0" fontId="7" fillId="5" borderId="0" xfId="0" applyFont="1" applyFill="1"/>
    <xf numFmtId="4" fontId="7" fillId="5" borderId="0" xfId="0" applyNumberFormat="1" applyFont="1" applyFill="1"/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left" vertical="top"/>
    </xf>
    <xf numFmtId="43" fontId="7" fillId="5" borderId="0" xfId="1" applyFont="1" applyFill="1" applyAlignment="1">
      <alignment horizontal="justify" vertical="center"/>
    </xf>
    <xf numFmtId="2" fontId="7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justify" vertical="center"/>
    </xf>
    <xf numFmtId="0" fontId="6" fillId="5" borderId="5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/>
    </xf>
    <xf numFmtId="4" fontId="7" fillId="5" borderId="11" xfId="1" applyNumberFormat="1" applyFont="1" applyFill="1" applyBorder="1" applyAlignment="1">
      <alignment vertical="center"/>
    </xf>
    <xf numFmtId="43" fontId="7" fillId="5" borderId="11" xfId="0" applyNumberFormat="1" applyFont="1" applyFill="1" applyBorder="1" applyAlignment="1">
      <alignment vertical="center"/>
    </xf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%20Performance%20April%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6EB45-1418-4F56-B758-10299EBE339F}">
  <dimension ref="B1:N136"/>
  <sheetViews>
    <sheetView tabSelected="1" topLeftCell="A113" workbookViewId="0">
      <selection activeCell="B124" sqref="B124"/>
    </sheetView>
  </sheetViews>
  <sheetFormatPr defaultColWidth="9.1796875" defaultRowHeight="11.5"/>
  <cols>
    <col min="1" max="1" width="9.1796875" style="3"/>
    <col min="2" max="2" width="54.453125" style="3" bestFit="1" customWidth="1"/>
    <col min="3" max="3" width="13.81640625" style="3" bestFit="1" customWidth="1"/>
    <col min="4" max="4" width="27.81640625" style="3" bestFit="1" customWidth="1"/>
    <col min="5" max="5" width="9.81640625" style="3" bestFit="1" customWidth="1"/>
    <col min="6" max="6" width="15.26953125" style="8" bestFit="1" customWidth="1"/>
    <col min="7" max="7" width="7.453125" style="8" bestFit="1" customWidth="1"/>
    <col min="8" max="8" width="13.54296875" style="8" customWidth="1"/>
    <col min="9" max="9" width="6.54296875" style="8" bestFit="1" customWidth="1"/>
    <col min="10" max="10" width="9.1796875" style="3"/>
    <col min="11" max="11" width="31.54296875" style="3" customWidth="1"/>
    <col min="12" max="12" width="35.54296875" style="3" customWidth="1"/>
    <col min="13" max="13" width="31.453125" style="3" customWidth="1"/>
    <col min="14" max="14" width="35.54296875" style="3" customWidth="1"/>
    <col min="15" max="16384" width="9.1796875" style="3"/>
  </cols>
  <sheetData>
    <row r="1" spans="2:14" ht="21" customHeight="1">
      <c r="B1" s="1" t="s">
        <v>0</v>
      </c>
      <c r="C1" s="2"/>
      <c r="D1" s="2"/>
      <c r="E1" s="2"/>
      <c r="F1" s="2"/>
      <c r="G1" s="2"/>
      <c r="H1" s="2"/>
      <c r="I1" s="2"/>
    </row>
    <row r="3" spans="2:14" ht="16" thickBot="1">
      <c r="B3" s="4" t="s">
        <v>1</v>
      </c>
      <c r="C3" s="5"/>
      <c r="D3" s="6"/>
      <c r="E3" s="6"/>
      <c r="F3" s="7"/>
      <c r="G3" s="7"/>
      <c r="H3" s="7"/>
    </row>
    <row r="4" spans="2:14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>
      <c r="B7" s="22" t="s">
        <v>16</v>
      </c>
      <c r="C7" s="19" t="s">
        <v>17</v>
      </c>
      <c r="D7" s="19" t="s">
        <v>18</v>
      </c>
      <c r="E7" s="23">
        <v>1669533</v>
      </c>
      <c r="F7" s="20">
        <v>49610.17</v>
      </c>
      <c r="G7" s="20">
        <v>3.74</v>
      </c>
      <c r="H7" s="20" t="s">
        <v>19</v>
      </c>
      <c r="I7" s="20"/>
      <c r="K7" s="21"/>
      <c r="L7" s="21"/>
      <c r="M7" s="21"/>
      <c r="N7" s="21"/>
    </row>
    <row r="8" spans="2:14">
      <c r="B8" s="22" t="s">
        <v>20</v>
      </c>
      <c r="C8" s="19" t="s">
        <v>21</v>
      </c>
      <c r="D8" s="19" t="s">
        <v>22</v>
      </c>
      <c r="E8" s="23">
        <v>809226</v>
      </c>
      <c r="F8" s="20">
        <v>39308.15</v>
      </c>
      <c r="G8" s="20">
        <v>2.96</v>
      </c>
      <c r="H8" s="20" t="s">
        <v>19</v>
      </c>
      <c r="I8" s="20"/>
      <c r="K8" s="21"/>
      <c r="L8" s="21"/>
      <c r="M8" s="21"/>
      <c r="N8" s="21"/>
    </row>
    <row r="9" spans="2:14">
      <c r="B9" s="22" t="s">
        <v>23</v>
      </c>
      <c r="C9" s="19" t="s">
        <v>24</v>
      </c>
      <c r="D9" s="19" t="s">
        <v>25</v>
      </c>
      <c r="E9" s="23">
        <v>476339</v>
      </c>
      <c r="F9" s="20">
        <v>38221.440000000002</v>
      </c>
      <c r="G9" s="20">
        <v>2.88</v>
      </c>
      <c r="H9" s="20" t="s">
        <v>26</v>
      </c>
      <c r="I9" s="20"/>
      <c r="K9" s="21"/>
      <c r="L9" s="21"/>
      <c r="M9" s="21"/>
      <c r="N9" s="21"/>
    </row>
    <row r="10" spans="2:14">
      <c r="B10" s="22" t="s">
        <v>27</v>
      </c>
      <c r="C10" s="19" t="s">
        <v>28</v>
      </c>
      <c r="D10" s="19" t="s">
        <v>29</v>
      </c>
      <c r="E10" s="23">
        <v>722697</v>
      </c>
      <c r="F10" s="20">
        <v>32277.09</v>
      </c>
      <c r="G10" s="20">
        <v>2.4300000000000002</v>
      </c>
      <c r="H10" s="20" t="s">
        <v>19</v>
      </c>
      <c r="I10" s="20"/>
      <c r="K10" s="21"/>
      <c r="L10" s="21"/>
      <c r="M10" s="21"/>
      <c r="N10" s="21"/>
    </row>
    <row r="11" spans="2:14">
      <c r="B11" s="22" t="s">
        <v>30</v>
      </c>
      <c r="C11" s="19" t="s">
        <v>31</v>
      </c>
      <c r="D11" s="19" t="s">
        <v>32</v>
      </c>
      <c r="E11" s="23">
        <v>2946393</v>
      </c>
      <c r="F11" s="20">
        <v>30808.959999999999</v>
      </c>
      <c r="G11" s="20">
        <v>2.3199999999999998</v>
      </c>
      <c r="H11" s="20" t="s">
        <v>26</v>
      </c>
      <c r="I11" s="20"/>
      <c r="K11" s="21"/>
      <c r="L11" s="21"/>
      <c r="M11" s="21"/>
      <c r="N11" s="21"/>
    </row>
    <row r="12" spans="2:14">
      <c r="B12" s="22" t="s">
        <v>33</v>
      </c>
      <c r="C12" s="19" t="s">
        <v>34</v>
      </c>
      <c r="D12" s="19" t="s">
        <v>35</v>
      </c>
      <c r="E12" s="23">
        <v>1353805</v>
      </c>
      <c r="F12" s="20">
        <v>27663.65</v>
      </c>
      <c r="G12" s="20">
        <v>2.08</v>
      </c>
      <c r="H12" s="20" t="s">
        <v>26</v>
      </c>
      <c r="I12" s="20"/>
      <c r="K12" s="24"/>
      <c r="L12" s="24"/>
      <c r="M12" s="24"/>
      <c r="N12" s="24"/>
    </row>
    <row r="13" spans="2:14">
      <c r="B13" s="22" t="s">
        <v>36</v>
      </c>
      <c r="C13" s="19" t="s">
        <v>37</v>
      </c>
      <c r="D13" s="19" t="s">
        <v>38</v>
      </c>
      <c r="E13" s="23">
        <v>9374707</v>
      </c>
      <c r="F13" s="20">
        <v>27514.77</v>
      </c>
      <c r="G13" s="20">
        <v>2.0699999999999998</v>
      </c>
      <c r="H13" s="20" t="s">
        <v>26</v>
      </c>
      <c r="I13" s="20"/>
      <c r="L13" s="25" t="s">
        <v>39</v>
      </c>
    </row>
    <row r="14" spans="2:14">
      <c r="B14" s="22" t="s">
        <v>40</v>
      </c>
      <c r="C14" s="19" t="s">
        <v>41</v>
      </c>
      <c r="D14" s="19" t="s">
        <v>38</v>
      </c>
      <c r="E14" s="23">
        <v>9703358</v>
      </c>
      <c r="F14" s="20">
        <v>26207.8</v>
      </c>
      <c r="G14" s="20">
        <v>1.97</v>
      </c>
      <c r="H14" s="20" t="s">
        <v>26</v>
      </c>
      <c r="I14" s="20"/>
    </row>
    <row r="15" spans="2:14">
      <c r="B15" s="22" t="s">
        <v>42</v>
      </c>
      <c r="C15" s="19" t="s">
        <v>43</v>
      </c>
      <c r="D15" s="19" t="s">
        <v>44</v>
      </c>
      <c r="E15" s="23">
        <v>1953849</v>
      </c>
      <c r="F15" s="20">
        <v>24528.62</v>
      </c>
      <c r="G15" s="20">
        <v>1.85</v>
      </c>
      <c r="H15" s="20" t="s">
        <v>26</v>
      </c>
      <c r="I15" s="20"/>
    </row>
    <row r="16" spans="2:14">
      <c r="B16" s="22" t="s">
        <v>45</v>
      </c>
      <c r="C16" s="19" t="s">
        <v>46</v>
      </c>
      <c r="D16" s="19" t="s">
        <v>47</v>
      </c>
      <c r="E16" s="23">
        <v>1658751</v>
      </c>
      <c r="F16" s="20">
        <v>23582.46</v>
      </c>
      <c r="G16" s="20">
        <v>1.78</v>
      </c>
      <c r="H16" s="20" t="s">
        <v>26</v>
      </c>
      <c r="I16" s="20"/>
    </row>
    <row r="17" spans="2:9">
      <c r="B17" s="22" t="s">
        <v>48</v>
      </c>
      <c r="C17" s="19" t="s">
        <v>49</v>
      </c>
      <c r="D17" s="19" t="s">
        <v>50</v>
      </c>
      <c r="E17" s="23">
        <v>9316027</v>
      </c>
      <c r="F17" s="20">
        <v>23013.38</v>
      </c>
      <c r="G17" s="20">
        <v>1.73</v>
      </c>
      <c r="H17" s="20" t="s">
        <v>51</v>
      </c>
      <c r="I17" s="20"/>
    </row>
    <row r="18" spans="2:9">
      <c r="B18" s="22" t="s">
        <v>52</v>
      </c>
      <c r="C18" s="19" t="s">
        <v>53</v>
      </c>
      <c r="D18" s="19" t="s">
        <v>18</v>
      </c>
      <c r="E18" s="23">
        <v>638582</v>
      </c>
      <c r="F18" s="20">
        <v>22999.17</v>
      </c>
      <c r="G18" s="20">
        <v>1.73</v>
      </c>
      <c r="H18" s="20" t="s">
        <v>26</v>
      </c>
      <c r="I18" s="20"/>
    </row>
    <row r="19" spans="2:9">
      <c r="B19" s="22" t="s">
        <v>54</v>
      </c>
      <c r="C19" s="19" t="s">
        <v>55</v>
      </c>
      <c r="D19" s="19" t="s">
        <v>25</v>
      </c>
      <c r="E19" s="23">
        <v>1274202</v>
      </c>
      <c r="F19" s="20">
        <v>22693.54</v>
      </c>
      <c r="G19" s="20">
        <v>1.71</v>
      </c>
      <c r="H19" s="20" t="s">
        <v>19</v>
      </c>
      <c r="I19" s="20"/>
    </row>
    <row r="20" spans="2:9">
      <c r="B20" s="22" t="s">
        <v>56</v>
      </c>
      <c r="C20" s="19" t="s">
        <v>57</v>
      </c>
      <c r="D20" s="19" t="s">
        <v>47</v>
      </c>
      <c r="E20" s="23">
        <v>51616986</v>
      </c>
      <c r="F20" s="20">
        <v>21544.93</v>
      </c>
      <c r="G20" s="20">
        <v>1.62</v>
      </c>
      <c r="H20" s="20" t="s">
        <v>26</v>
      </c>
      <c r="I20" s="20"/>
    </row>
    <row r="21" spans="2:9">
      <c r="B21" s="22" t="s">
        <v>58</v>
      </c>
      <c r="C21" s="19" t="s">
        <v>59</v>
      </c>
      <c r="D21" s="19" t="s">
        <v>35</v>
      </c>
      <c r="E21" s="23">
        <v>747040</v>
      </c>
      <c r="F21" s="20">
        <v>21086.7</v>
      </c>
      <c r="G21" s="20">
        <v>1.59</v>
      </c>
      <c r="H21" s="20" t="s">
        <v>26</v>
      </c>
      <c r="I21" s="20"/>
    </row>
    <row r="22" spans="2:9">
      <c r="B22" s="22" t="s">
        <v>60</v>
      </c>
      <c r="C22" s="19" t="s">
        <v>61</v>
      </c>
      <c r="D22" s="19" t="s">
        <v>38</v>
      </c>
      <c r="E22" s="23">
        <v>6104948</v>
      </c>
      <c r="F22" s="20">
        <v>20546.2</v>
      </c>
      <c r="G22" s="20">
        <v>1.55</v>
      </c>
      <c r="H22" s="20" t="s">
        <v>26</v>
      </c>
      <c r="I22" s="20"/>
    </row>
    <row r="23" spans="2:9">
      <c r="B23" s="22" t="s">
        <v>62</v>
      </c>
      <c r="C23" s="19" t="s">
        <v>63</v>
      </c>
      <c r="D23" s="19" t="s">
        <v>64</v>
      </c>
      <c r="E23" s="23">
        <v>585346</v>
      </c>
      <c r="F23" s="20">
        <v>20036.98</v>
      </c>
      <c r="G23" s="20">
        <v>1.51</v>
      </c>
      <c r="H23" s="20" t="s">
        <v>19</v>
      </c>
      <c r="I23" s="20"/>
    </row>
    <row r="24" spans="2:9">
      <c r="B24" s="22" t="s">
        <v>65</v>
      </c>
      <c r="C24" s="19" t="s">
        <v>66</v>
      </c>
      <c r="D24" s="19" t="s">
        <v>67</v>
      </c>
      <c r="E24" s="23">
        <v>1338657</v>
      </c>
      <c r="F24" s="20">
        <v>19895.12</v>
      </c>
      <c r="G24" s="20">
        <v>1.5</v>
      </c>
      <c r="H24" s="20" t="s">
        <v>26</v>
      </c>
      <c r="I24" s="20"/>
    </row>
    <row r="25" spans="2:9">
      <c r="B25" s="22" t="s">
        <v>68</v>
      </c>
      <c r="C25" s="19" t="s">
        <v>69</v>
      </c>
      <c r="D25" s="19" t="s">
        <v>38</v>
      </c>
      <c r="E25" s="23">
        <v>2274740</v>
      </c>
      <c r="F25" s="20">
        <v>19377.37</v>
      </c>
      <c r="G25" s="20">
        <v>1.46</v>
      </c>
      <c r="H25" s="20" t="s">
        <v>19</v>
      </c>
      <c r="I25" s="20"/>
    </row>
    <row r="26" spans="2:9">
      <c r="B26" s="22" t="s">
        <v>70</v>
      </c>
      <c r="C26" s="19" t="s">
        <v>71</v>
      </c>
      <c r="D26" s="19" t="s">
        <v>38</v>
      </c>
      <c r="E26" s="23">
        <v>28810442</v>
      </c>
      <c r="F26" s="20">
        <v>19259.78</v>
      </c>
      <c r="G26" s="20">
        <v>1.45</v>
      </c>
      <c r="H26" s="20" t="s">
        <v>26</v>
      </c>
      <c r="I26" s="20"/>
    </row>
    <row r="27" spans="2:9">
      <c r="B27" s="22" t="s">
        <v>72</v>
      </c>
      <c r="C27" s="19" t="s">
        <v>73</v>
      </c>
      <c r="D27" s="19" t="s">
        <v>74</v>
      </c>
      <c r="E27" s="23">
        <v>1290205</v>
      </c>
      <c r="F27" s="20">
        <v>19011.169999999998</v>
      </c>
      <c r="G27" s="20">
        <v>1.43</v>
      </c>
      <c r="H27" s="20" t="s">
        <v>51</v>
      </c>
      <c r="I27" s="20"/>
    </row>
    <row r="28" spans="2:9">
      <c r="B28" s="22" t="s">
        <v>75</v>
      </c>
      <c r="C28" s="19" t="s">
        <v>76</v>
      </c>
      <c r="D28" s="19" t="s">
        <v>18</v>
      </c>
      <c r="E28" s="23">
        <v>2515080</v>
      </c>
      <c r="F28" s="20">
        <v>18576.38</v>
      </c>
      <c r="G28" s="20">
        <v>1.4</v>
      </c>
      <c r="H28" s="20" t="s">
        <v>26</v>
      </c>
      <c r="I28" s="20"/>
    </row>
    <row r="29" spans="2:9">
      <c r="B29" s="22" t="s">
        <v>77</v>
      </c>
      <c r="C29" s="19" t="s">
        <v>78</v>
      </c>
      <c r="D29" s="19" t="s">
        <v>79</v>
      </c>
      <c r="E29" s="23">
        <v>3966689</v>
      </c>
      <c r="F29" s="20">
        <v>18526.419999999998</v>
      </c>
      <c r="G29" s="20">
        <v>1.4</v>
      </c>
      <c r="H29" s="20" t="s">
        <v>26</v>
      </c>
      <c r="I29" s="20"/>
    </row>
    <row r="30" spans="2:9">
      <c r="B30" s="22" t="s">
        <v>80</v>
      </c>
      <c r="C30" s="19" t="s">
        <v>81</v>
      </c>
      <c r="D30" s="19" t="s">
        <v>82</v>
      </c>
      <c r="E30" s="23">
        <v>1601592</v>
      </c>
      <c r="F30" s="20">
        <v>17893.79</v>
      </c>
      <c r="G30" s="20">
        <v>1.35</v>
      </c>
      <c r="H30" s="20" t="s">
        <v>19</v>
      </c>
      <c r="I30" s="20"/>
    </row>
    <row r="31" spans="2:9">
      <c r="B31" s="22" t="s">
        <v>83</v>
      </c>
      <c r="C31" s="19" t="s">
        <v>84</v>
      </c>
      <c r="D31" s="19" t="s">
        <v>25</v>
      </c>
      <c r="E31" s="23">
        <v>5320202</v>
      </c>
      <c r="F31" s="20">
        <v>17567.310000000001</v>
      </c>
      <c r="G31" s="20">
        <v>1.32</v>
      </c>
      <c r="H31" s="20" t="s">
        <v>26</v>
      </c>
      <c r="I31" s="20"/>
    </row>
    <row r="32" spans="2:9">
      <c r="B32" s="22" t="s">
        <v>85</v>
      </c>
      <c r="C32" s="19" t="s">
        <v>86</v>
      </c>
      <c r="D32" s="19" t="s">
        <v>44</v>
      </c>
      <c r="E32" s="23">
        <v>2716942</v>
      </c>
      <c r="F32" s="20">
        <v>17275.68</v>
      </c>
      <c r="G32" s="20">
        <v>1.3</v>
      </c>
      <c r="H32" s="20" t="s">
        <v>51</v>
      </c>
      <c r="I32" s="20"/>
    </row>
    <row r="33" spans="2:9">
      <c r="B33" s="22" t="s">
        <v>87</v>
      </c>
      <c r="C33" s="19" t="s">
        <v>88</v>
      </c>
      <c r="D33" s="19" t="s">
        <v>32</v>
      </c>
      <c r="E33" s="23">
        <v>1092524</v>
      </c>
      <c r="F33" s="20">
        <v>17000.77</v>
      </c>
      <c r="G33" s="20">
        <v>1.28</v>
      </c>
      <c r="H33" s="20" t="s">
        <v>19</v>
      </c>
      <c r="I33" s="20"/>
    </row>
    <row r="34" spans="2:9">
      <c r="B34" s="22" t="s">
        <v>89</v>
      </c>
      <c r="C34" s="19" t="s">
        <v>90</v>
      </c>
      <c r="D34" s="19" t="s">
        <v>91</v>
      </c>
      <c r="E34" s="23">
        <v>8694821</v>
      </c>
      <c r="F34" s="20">
        <v>16305.4</v>
      </c>
      <c r="G34" s="20">
        <v>1.23</v>
      </c>
      <c r="H34" s="20" t="s">
        <v>26</v>
      </c>
      <c r="I34" s="20"/>
    </row>
    <row r="35" spans="2:9">
      <c r="B35" s="22" t="s">
        <v>92</v>
      </c>
      <c r="C35" s="19" t="s">
        <v>93</v>
      </c>
      <c r="D35" s="19" t="s">
        <v>94</v>
      </c>
      <c r="E35" s="23">
        <v>1910926</v>
      </c>
      <c r="F35" s="20">
        <v>16128.22</v>
      </c>
      <c r="G35" s="20">
        <v>1.21</v>
      </c>
      <c r="H35" s="20" t="s">
        <v>26</v>
      </c>
      <c r="I35" s="20"/>
    </row>
    <row r="36" spans="2:9">
      <c r="B36" s="22" t="s">
        <v>95</v>
      </c>
      <c r="C36" s="19" t="s">
        <v>96</v>
      </c>
      <c r="D36" s="19" t="s">
        <v>38</v>
      </c>
      <c r="E36" s="23">
        <v>28163189</v>
      </c>
      <c r="F36" s="20">
        <v>16019.22</v>
      </c>
      <c r="G36" s="20">
        <v>1.21</v>
      </c>
      <c r="H36" s="20" t="s">
        <v>26</v>
      </c>
      <c r="I36" s="20"/>
    </row>
    <row r="37" spans="2:9">
      <c r="B37" s="22" t="s">
        <v>97</v>
      </c>
      <c r="C37" s="19" t="s">
        <v>98</v>
      </c>
      <c r="D37" s="19" t="s">
        <v>25</v>
      </c>
      <c r="E37" s="23">
        <v>304497</v>
      </c>
      <c r="F37" s="20">
        <v>15994.01</v>
      </c>
      <c r="G37" s="20">
        <v>1.2</v>
      </c>
      <c r="H37" s="20" t="s">
        <v>26</v>
      </c>
      <c r="I37" s="20"/>
    </row>
    <row r="38" spans="2:9">
      <c r="B38" s="22" t="s">
        <v>99</v>
      </c>
      <c r="C38" s="19" t="s">
        <v>100</v>
      </c>
      <c r="D38" s="19" t="s">
        <v>67</v>
      </c>
      <c r="E38" s="23">
        <v>1105214</v>
      </c>
      <c r="F38" s="20">
        <v>15842.14</v>
      </c>
      <c r="G38" s="20">
        <v>1.19</v>
      </c>
      <c r="H38" s="20" t="s">
        <v>26</v>
      </c>
      <c r="I38" s="20"/>
    </row>
    <row r="39" spans="2:9">
      <c r="B39" s="22" t="s">
        <v>101</v>
      </c>
      <c r="C39" s="19" t="s">
        <v>102</v>
      </c>
      <c r="D39" s="19" t="s">
        <v>32</v>
      </c>
      <c r="E39" s="23">
        <v>1198495</v>
      </c>
      <c r="F39" s="20">
        <v>15581.63</v>
      </c>
      <c r="G39" s="20">
        <v>1.17</v>
      </c>
      <c r="H39" s="20" t="s">
        <v>26</v>
      </c>
      <c r="I39" s="20"/>
    </row>
    <row r="40" spans="2:9">
      <c r="B40" s="22" t="s">
        <v>103</v>
      </c>
      <c r="C40" s="19" t="s">
        <v>104</v>
      </c>
      <c r="D40" s="19" t="s">
        <v>29</v>
      </c>
      <c r="E40" s="23">
        <v>2643247</v>
      </c>
      <c r="F40" s="20">
        <v>15152.41</v>
      </c>
      <c r="G40" s="20">
        <v>1.1399999999999999</v>
      </c>
      <c r="H40" s="20" t="s">
        <v>26</v>
      </c>
      <c r="I40" s="20"/>
    </row>
    <row r="41" spans="2:9">
      <c r="B41" s="22" t="s">
        <v>105</v>
      </c>
      <c r="C41" s="19" t="s">
        <v>106</v>
      </c>
      <c r="D41" s="19" t="s">
        <v>32</v>
      </c>
      <c r="E41" s="23">
        <v>1717975</v>
      </c>
      <c r="F41" s="20">
        <v>14864.78</v>
      </c>
      <c r="G41" s="20">
        <v>1.1200000000000001</v>
      </c>
      <c r="H41" s="20" t="s">
        <v>26</v>
      </c>
      <c r="I41" s="20"/>
    </row>
    <row r="42" spans="2:9">
      <c r="B42" s="22" t="s">
        <v>107</v>
      </c>
      <c r="C42" s="19" t="s">
        <v>108</v>
      </c>
      <c r="D42" s="19" t="s">
        <v>29</v>
      </c>
      <c r="E42" s="23">
        <v>117851</v>
      </c>
      <c r="F42" s="20">
        <v>14532.21</v>
      </c>
      <c r="G42" s="20">
        <v>1.0900000000000001</v>
      </c>
      <c r="H42" s="20" t="s">
        <v>19</v>
      </c>
      <c r="I42" s="20"/>
    </row>
    <row r="43" spans="2:9">
      <c r="B43" s="22" t="s">
        <v>109</v>
      </c>
      <c r="C43" s="19" t="s">
        <v>110</v>
      </c>
      <c r="D43" s="19" t="s">
        <v>82</v>
      </c>
      <c r="E43" s="23">
        <v>3011297</v>
      </c>
      <c r="F43" s="20">
        <v>14348.83</v>
      </c>
      <c r="G43" s="20">
        <v>1.08</v>
      </c>
      <c r="H43" s="20" t="s">
        <v>26</v>
      </c>
      <c r="I43" s="20"/>
    </row>
    <row r="44" spans="2:9">
      <c r="B44" s="22" t="s">
        <v>111</v>
      </c>
      <c r="C44" s="19" t="s">
        <v>112</v>
      </c>
      <c r="D44" s="19" t="s">
        <v>35</v>
      </c>
      <c r="E44" s="23">
        <v>817455</v>
      </c>
      <c r="F44" s="20">
        <v>14312</v>
      </c>
      <c r="G44" s="20">
        <v>1.08</v>
      </c>
      <c r="H44" s="20" t="s">
        <v>26</v>
      </c>
      <c r="I44" s="20"/>
    </row>
    <row r="45" spans="2:9">
      <c r="B45" s="22" t="s">
        <v>113</v>
      </c>
      <c r="C45" s="19" t="s">
        <v>114</v>
      </c>
      <c r="D45" s="19" t="s">
        <v>32</v>
      </c>
      <c r="E45" s="23">
        <v>1221249</v>
      </c>
      <c r="F45" s="20">
        <v>14187.25</v>
      </c>
      <c r="G45" s="20">
        <v>1.07</v>
      </c>
      <c r="H45" s="20" t="s">
        <v>26</v>
      </c>
      <c r="I45" s="20"/>
    </row>
    <row r="46" spans="2:9">
      <c r="B46" s="22" t="s">
        <v>115</v>
      </c>
      <c r="C46" s="19" t="s">
        <v>116</v>
      </c>
      <c r="D46" s="19" t="s">
        <v>22</v>
      </c>
      <c r="E46" s="23">
        <v>6249380</v>
      </c>
      <c r="F46" s="20">
        <v>14131.72</v>
      </c>
      <c r="G46" s="20">
        <v>1.06</v>
      </c>
      <c r="H46" s="20" t="s">
        <v>26</v>
      </c>
      <c r="I46" s="20"/>
    </row>
    <row r="47" spans="2:9">
      <c r="B47" s="22" t="s">
        <v>117</v>
      </c>
      <c r="C47" s="19" t="s">
        <v>118</v>
      </c>
      <c r="D47" s="19" t="s">
        <v>119</v>
      </c>
      <c r="E47" s="23">
        <v>205485</v>
      </c>
      <c r="F47" s="20">
        <v>14016.13</v>
      </c>
      <c r="G47" s="20">
        <v>1.06</v>
      </c>
      <c r="H47" s="20" t="s">
        <v>26</v>
      </c>
      <c r="I47" s="20"/>
    </row>
    <row r="48" spans="2:9">
      <c r="B48" s="22" t="s">
        <v>120</v>
      </c>
      <c r="C48" s="19" t="s">
        <v>121</v>
      </c>
      <c r="D48" s="19" t="s">
        <v>32</v>
      </c>
      <c r="E48" s="23">
        <v>1495000</v>
      </c>
      <c r="F48" s="20">
        <v>14008.15</v>
      </c>
      <c r="G48" s="20">
        <v>1.06</v>
      </c>
      <c r="H48" s="20" t="s">
        <v>51</v>
      </c>
      <c r="I48" s="20"/>
    </row>
    <row r="49" spans="2:9">
      <c r="B49" s="22" t="s">
        <v>122</v>
      </c>
      <c r="C49" s="19" t="s">
        <v>123</v>
      </c>
      <c r="D49" s="19" t="s">
        <v>94</v>
      </c>
      <c r="E49" s="23">
        <v>2066242</v>
      </c>
      <c r="F49" s="20">
        <v>13981.23</v>
      </c>
      <c r="G49" s="20">
        <v>1.05</v>
      </c>
      <c r="H49" s="20" t="s">
        <v>26</v>
      </c>
      <c r="I49" s="20"/>
    </row>
    <row r="50" spans="2:9">
      <c r="B50" s="22" t="s">
        <v>124</v>
      </c>
      <c r="C50" s="19" t="s">
        <v>125</v>
      </c>
      <c r="D50" s="19" t="s">
        <v>25</v>
      </c>
      <c r="E50" s="23">
        <v>347502</v>
      </c>
      <c r="F50" s="20">
        <v>13746.48</v>
      </c>
      <c r="G50" s="20">
        <v>1.04</v>
      </c>
      <c r="H50" s="20" t="s">
        <v>26</v>
      </c>
      <c r="I50" s="20"/>
    </row>
    <row r="51" spans="2:9">
      <c r="B51" s="22" t="s">
        <v>126</v>
      </c>
      <c r="C51" s="19" t="s">
        <v>127</v>
      </c>
      <c r="D51" s="19" t="s">
        <v>74</v>
      </c>
      <c r="E51" s="23">
        <v>3516063</v>
      </c>
      <c r="F51" s="20">
        <v>12990.09</v>
      </c>
      <c r="G51" s="20">
        <v>0.98</v>
      </c>
      <c r="H51" s="20" t="s">
        <v>26</v>
      </c>
      <c r="I51" s="20"/>
    </row>
    <row r="52" spans="2:9">
      <c r="B52" s="22" t="s">
        <v>128</v>
      </c>
      <c r="C52" s="19" t="s">
        <v>129</v>
      </c>
      <c r="D52" s="19" t="s">
        <v>79</v>
      </c>
      <c r="E52" s="23">
        <v>296081</v>
      </c>
      <c r="F52" s="20">
        <v>12717.57</v>
      </c>
      <c r="G52" s="20">
        <v>0.96</v>
      </c>
      <c r="H52" s="20" t="s">
        <v>51</v>
      </c>
      <c r="I52" s="20"/>
    </row>
    <row r="53" spans="2:9">
      <c r="B53" s="22" t="s">
        <v>130</v>
      </c>
      <c r="C53" s="19" t="s">
        <v>131</v>
      </c>
      <c r="D53" s="19" t="s">
        <v>132</v>
      </c>
      <c r="E53" s="23">
        <v>1927364</v>
      </c>
      <c r="F53" s="20">
        <v>12433.43</v>
      </c>
      <c r="G53" s="20">
        <v>0.94</v>
      </c>
      <c r="H53" s="20" t="s">
        <v>26</v>
      </c>
      <c r="I53" s="20"/>
    </row>
    <row r="54" spans="2:9">
      <c r="B54" s="22" t="s">
        <v>133</v>
      </c>
      <c r="C54" s="19" t="s">
        <v>134</v>
      </c>
      <c r="D54" s="19" t="s">
        <v>22</v>
      </c>
      <c r="E54" s="23">
        <v>468655</v>
      </c>
      <c r="F54" s="20">
        <v>12395.92</v>
      </c>
      <c r="G54" s="20">
        <v>0.93</v>
      </c>
      <c r="H54" s="20" t="s">
        <v>26</v>
      </c>
      <c r="I54" s="20"/>
    </row>
    <row r="55" spans="2:9">
      <c r="B55" s="22" t="s">
        <v>135</v>
      </c>
      <c r="C55" s="19" t="s">
        <v>136</v>
      </c>
      <c r="D55" s="19" t="s">
        <v>35</v>
      </c>
      <c r="E55" s="23">
        <v>1629936</v>
      </c>
      <c r="F55" s="20">
        <v>12257.93</v>
      </c>
      <c r="G55" s="20">
        <v>0.92</v>
      </c>
      <c r="H55" s="20" t="s">
        <v>26</v>
      </c>
      <c r="I55" s="20"/>
    </row>
    <row r="56" spans="2:9">
      <c r="B56" s="22" t="s">
        <v>137</v>
      </c>
      <c r="C56" s="19" t="s">
        <v>138</v>
      </c>
      <c r="D56" s="19" t="s">
        <v>139</v>
      </c>
      <c r="E56" s="23">
        <v>2177472</v>
      </c>
      <c r="F56" s="20">
        <v>12209.09</v>
      </c>
      <c r="G56" s="20">
        <v>0.92</v>
      </c>
      <c r="H56" s="20" t="s">
        <v>26</v>
      </c>
      <c r="I56" s="20"/>
    </row>
    <row r="57" spans="2:9">
      <c r="B57" s="22" t="s">
        <v>140</v>
      </c>
      <c r="C57" s="19" t="s">
        <v>141</v>
      </c>
      <c r="D57" s="19" t="s">
        <v>142</v>
      </c>
      <c r="E57" s="23">
        <v>2778890</v>
      </c>
      <c r="F57" s="20">
        <v>11985.35</v>
      </c>
      <c r="G57" s="20">
        <v>0.9</v>
      </c>
      <c r="H57" s="20" t="s">
        <v>51</v>
      </c>
      <c r="I57" s="20"/>
    </row>
    <row r="58" spans="2:9">
      <c r="B58" s="22" t="s">
        <v>143</v>
      </c>
      <c r="C58" s="19" t="s">
        <v>144</v>
      </c>
      <c r="D58" s="19" t="s">
        <v>18</v>
      </c>
      <c r="E58" s="23">
        <v>217766</v>
      </c>
      <c r="F58" s="20">
        <v>11807.27</v>
      </c>
      <c r="G58" s="20">
        <v>0.89</v>
      </c>
      <c r="H58" s="20" t="s">
        <v>26</v>
      </c>
      <c r="I58" s="20"/>
    </row>
    <row r="59" spans="2:9">
      <c r="B59" s="22" t="s">
        <v>145</v>
      </c>
      <c r="C59" s="19" t="s">
        <v>146</v>
      </c>
      <c r="D59" s="19" t="s">
        <v>147</v>
      </c>
      <c r="E59" s="23">
        <v>3258298</v>
      </c>
      <c r="F59" s="20">
        <v>11747.79</v>
      </c>
      <c r="G59" s="20">
        <v>0.88</v>
      </c>
      <c r="H59" s="20" t="s">
        <v>26</v>
      </c>
      <c r="I59" s="20"/>
    </row>
    <row r="60" spans="2:9">
      <c r="B60" s="22" t="s">
        <v>148</v>
      </c>
      <c r="C60" s="19" t="s">
        <v>149</v>
      </c>
      <c r="D60" s="19" t="s">
        <v>82</v>
      </c>
      <c r="E60" s="23">
        <v>1179607</v>
      </c>
      <c r="F60" s="20">
        <v>11714.09</v>
      </c>
      <c r="G60" s="20">
        <v>0.88</v>
      </c>
      <c r="H60" s="20" t="s">
        <v>51</v>
      </c>
      <c r="I60" s="20"/>
    </row>
    <row r="61" spans="2:9">
      <c r="B61" s="22" t="s">
        <v>150</v>
      </c>
      <c r="C61" s="19" t="s">
        <v>151</v>
      </c>
      <c r="D61" s="19" t="s">
        <v>18</v>
      </c>
      <c r="E61" s="23">
        <v>1209314</v>
      </c>
      <c r="F61" s="20">
        <v>11488.48</v>
      </c>
      <c r="G61" s="20">
        <v>0.87</v>
      </c>
      <c r="H61" s="20" t="s">
        <v>26</v>
      </c>
      <c r="I61" s="20"/>
    </row>
    <row r="62" spans="2:9">
      <c r="B62" s="22" t="s">
        <v>152</v>
      </c>
      <c r="C62" s="19" t="s">
        <v>153</v>
      </c>
      <c r="D62" s="19" t="s">
        <v>132</v>
      </c>
      <c r="E62" s="23">
        <v>1156767</v>
      </c>
      <c r="F62" s="20">
        <v>10816.93</v>
      </c>
      <c r="G62" s="20">
        <v>0.81</v>
      </c>
      <c r="H62" s="20" t="s">
        <v>26</v>
      </c>
      <c r="I62" s="20"/>
    </row>
    <row r="63" spans="2:9">
      <c r="B63" s="22" t="s">
        <v>154</v>
      </c>
      <c r="C63" s="19" t="s">
        <v>155</v>
      </c>
      <c r="D63" s="19" t="s">
        <v>147</v>
      </c>
      <c r="E63" s="23">
        <v>251586</v>
      </c>
      <c r="F63" s="20">
        <v>10377.42</v>
      </c>
      <c r="G63" s="20">
        <v>0.78</v>
      </c>
      <c r="H63" s="20" t="s">
        <v>19</v>
      </c>
      <c r="I63" s="20"/>
    </row>
    <row r="64" spans="2:9">
      <c r="B64" s="22" t="s">
        <v>156</v>
      </c>
      <c r="C64" s="19" t="s">
        <v>157</v>
      </c>
      <c r="D64" s="19" t="s">
        <v>147</v>
      </c>
      <c r="E64" s="23">
        <v>24628100</v>
      </c>
      <c r="F64" s="20">
        <v>9984.23</v>
      </c>
      <c r="G64" s="20">
        <v>0.75</v>
      </c>
      <c r="H64" s="20" t="s">
        <v>26</v>
      </c>
      <c r="I64" s="20"/>
    </row>
    <row r="65" spans="2:9">
      <c r="B65" s="22" t="s">
        <v>158</v>
      </c>
      <c r="C65" s="19" t="s">
        <v>159</v>
      </c>
      <c r="D65" s="19" t="s">
        <v>147</v>
      </c>
      <c r="E65" s="23">
        <v>2268113</v>
      </c>
      <c r="F65" s="20">
        <v>9978.56</v>
      </c>
      <c r="G65" s="20">
        <v>0.75</v>
      </c>
      <c r="H65" s="20" t="s">
        <v>26</v>
      </c>
      <c r="I65" s="20"/>
    </row>
    <row r="66" spans="2:9">
      <c r="B66" s="22" t="s">
        <v>160</v>
      </c>
      <c r="C66" s="19" t="s">
        <v>161</v>
      </c>
      <c r="D66" s="19" t="s">
        <v>35</v>
      </c>
      <c r="E66" s="23">
        <v>6112333</v>
      </c>
      <c r="F66" s="20">
        <v>9894.0300000000007</v>
      </c>
      <c r="G66" s="20">
        <v>0.75</v>
      </c>
      <c r="H66" s="20" t="s">
        <v>26</v>
      </c>
      <c r="I66" s="20"/>
    </row>
    <row r="67" spans="2:9">
      <c r="B67" s="22" t="s">
        <v>162</v>
      </c>
      <c r="C67" s="19" t="s">
        <v>163</v>
      </c>
      <c r="D67" s="19" t="s">
        <v>50</v>
      </c>
      <c r="E67" s="23">
        <v>1592820</v>
      </c>
      <c r="F67" s="20">
        <v>9818.94</v>
      </c>
      <c r="G67" s="20">
        <v>0.74</v>
      </c>
      <c r="H67" s="20" t="s">
        <v>26</v>
      </c>
      <c r="I67" s="20"/>
    </row>
    <row r="68" spans="2:9">
      <c r="B68" s="22" t="s">
        <v>164</v>
      </c>
      <c r="C68" s="19" t="s">
        <v>165</v>
      </c>
      <c r="D68" s="19" t="s">
        <v>35</v>
      </c>
      <c r="E68" s="23">
        <v>1978043</v>
      </c>
      <c r="F68" s="20">
        <v>9558.89</v>
      </c>
      <c r="G68" s="20">
        <v>0.72</v>
      </c>
      <c r="H68" s="20" t="s">
        <v>26</v>
      </c>
      <c r="I68" s="20"/>
    </row>
    <row r="69" spans="2:9">
      <c r="B69" s="22" t="s">
        <v>166</v>
      </c>
      <c r="C69" s="19" t="s">
        <v>167</v>
      </c>
      <c r="D69" s="19" t="s">
        <v>94</v>
      </c>
      <c r="E69" s="23">
        <v>4768878</v>
      </c>
      <c r="F69" s="20">
        <v>9357.02</v>
      </c>
      <c r="G69" s="20">
        <v>0.7</v>
      </c>
      <c r="H69" s="20" t="s">
        <v>26</v>
      </c>
      <c r="I69" s="20"/>
    </row>
    <row r="70" spans="2:9">
      <c r="B70" s="22" t="s">
        <v>168</v>
      </c>
      <c r="C70" s="19" t="s">
        <v>169</v>
      </c>
      <c r="D70" s="19" t="s">
        <v>25</v>
      </c>
      <c r="E70" s="23">
        <v>661830</v>
      </c>
      <c r="F70" s="20">
        <v>9348.35</v>
      </c>
      <c r="G70" s="20">
        <v>0.7</v>
      </c>
      <c r="H70" s="20" t="s">
        <v>26</v>
      </c>
      <c r="I70" s="20"/>
    </row>
    <row r="71" spans="2:9">
      <c r="B71" s="22" t="s">
        <v>170</v>
      </c>
      <c r="C71" s="19" t="s">
        <v>171</v>
      </c>
      <c r="D71" s="19" t="s">
        <v>44</v>
      </c>
      <c r="E71" s="23">
        <v>1905045</v>
      </c>
      <c r="F71" s="20">
        <v>9065.16</v>
      </c>
      <c r="G71" s="20">
        <v>0.68</v>
      </c>
      <c r="H71" s="20" t="s">
        <v>26</v>
      </c>
      <c r="I71" s="20"/>
    </row>
    <row r="72" spans="2:9">
      <c r="B72" s="22" t="s">
        <v>172</v>
      </c>
      <c r="C72" s="19" t="s">
        <v>173</v>
      </c>
      <c r="D72" s="19" t="s">
        <v>174</v>
      </c>
      <c r="E72" s="23">
        <v>2562532</v>
      </c>
      <c r="F72" s="20">
        <v>9005.25</v>
      </c>
      <c r="G72" s="20">
        <v>0.68</v>
      </c>
      <c r="H72" s="20" t="s">
        <v>26</v>
      </c>
      <c r="I72" s="20"/>
    </row>
    <row r="73" spans="2:9">
      <c r="B73" s="22" t="s">
        <v>175</v>
      </c>
      <c r="C73" s="19" t="s">
        <v>176</v>
      </c>
      <c r="D73" s="19" t="s">
        <v>147</v>
      </c>
      <c r="E73" s="23">
        <v>1892685</v>
      </c>
      <c r="F73" s="20">
        <v>8966.6</v>
      </c>
      <c r="G73" s="20">
        <v>0.68</v>
      </c>
      <c r="H73" s="20" t="s">
        <v>26</v>
      </c>
      <c r="I73" s="20"/>
    </row>
    <row r="74" spans="2:9">
      <c r="B74" s="22" t="s">
        <v>177</v>
      </c>
      <c r="C74" s="19" t="s">
        <v>178</v>
      </c>
      <c r="D74" s="19" t="s">
        <v>179</v>
      </c>
      <c r="E74" s="23">
        <v>3373867</v>
      </c>
      <c r="F74" s="20">
        <v>8962.34</v>
      </c>
      <c r="G74" s="20">
        <v>0.68</v>
      </c>
      <c r="H74" s="20" t="s">
        <v>26</v>
      </c>
      <c r="I74" s="20"/>
    </row>
    <row r="75" spans="2:9">
      <c r="B75" s="22" t="s">
        <v>180</v>
      </c>
      <c r="C75" s="19" t="s">
        <v>181</v>
      </c>
      <c r="D75" s="19" t="s">
        <v>182</v>
      </c>
      <c r="E75" s="23">
        <v>1176675</v>
      </c>
      <c r="F75" s="20">
        <v>8824.4699999999993</v>
      </c>
      <c r="G75" s="20">
        <v>0.66</v>
      </c>
      <c r="H75" s="20" t="s">
        <v>26</v>
      </c>
      <c r="I75" s="20"/>
    </row>
    <row r="76" spans="2:9">
      <c r="B76" s="22" t="s">
        <v>183</v>
      </c>
      <c r="C76" s="19" t="s">
        <v>184</v>
      </c>
      <c r="D76" s="19" t="s">
        <v>185</v>
      </c>
      <c r="E76" s="23">
        <v>2046726</v>
      </c>
      <c r="F76" s="20">
        <v>8578.85</v>
      </c>
      <c r="G76" s="20">
        <v>0.65</v>
      </c>
      <c r="H76" s="20" t="s">
        <v>26</v>
      </c>
      <c r="I76" s="20"/>
    </row>
    <row r="77" spans="2:9">
      <c r="B77" s="22" t="s">
        <v>186</v>
      </c>
      <c r="C77" s="19" t="s">
        <v>187</v>
      </c>
      <c r="D77" s="19" t="s">
        <v>22</v>
      </c>
      <c r="E77" s="23">
        <v>244148</v>
      </c>
      <c r="F77" s="20">
        <v>8371.35</v>
      </c>
      <c r="G77" s="20">
        <v>0.63</v>
      </c>
      <c r="H77" s="20" t="s">
        <v>26</v>
      </c>
      <c r="I77" s="20"/>
    </row>
    <row r="78" spans="2:9">
      <c r="B78" s="22" t="s">
        <v>188</v>
      </c>
      <c r="C78" s="19" t="s">
        <v>189</v>
      </c>
      <c r="D78" s="19" t="s">
        <v>25</v>
      </c>
      <c r="E78" s="23">
        <v>3073613</v>
      </c>
      <c r="F78" s="20">
        <v>8217.2999999999993</v>
      </c>
      <c r="G78" s="20">
        <v>0.62</v>
      </c>
      <c r="H78" s="20" t="s">
        <v>26</v>
      </c>
      <c r="I78" s="20"/>
    </row>
    <row r="79" spans="2:9">
      <c r="B79" s="22" t="s">
        <v>190</v>
      </c>
      <c r="C79" s="19" t="s">
        <v>191</v>
      </c>
      <c r="D79" s="19" t="s">
        <v>22</v>
      </c>
      <c r="E79" s="23">
        <v>1027133</v>
      </c>
      <c r="F79" s="20">
        <v>7996.74</v>
      </c>
      <c r="G79" s="20">
        <v>0.6</v>
      </c>
      <c r="H79" s="20" t="s">
        <v>26</v>
      </c>
      <c r="I79" s="20"/>
    </row>
    <row r="80" spans="2:9">
      <c r="B80" s="22" t="s">
        <v>192</v>
      </c>
      <c r="C80" s="19" t="s">
        <v>193</v>
      </c>
      <c r="D80" s="19" t="s">
        <v>194</v>
      </c>
      <c r="E80" s="23">
        <v>2000000</v>
      </c>
      <c r="F80" s="20">
        <v>7986</v>
      </c>
      <c r="G80" s="20">
        <v>0.6</v>
      </c>
      <c r="H80" s="20" t="s">
        <v>19</v>
      </c>
      <c r="I80" s="20"/>
    </row>
    <row r="81" spans="2:10">
      <c r="B81" s="22" t="s">
        <v>195</v>
      </c>
      <c r="C81" s="19" t="s">
        <v>196</v>
      </c>
      <c r="D81" s="19" t="s">
        <v>47</v>
      </c>
      <c r="E81" s="23">
        <v>906438</v>
      </c>
      <c r="F81" s="20">
        <v>7901.87</v>
      </c>
      <c r="G81" s="20">
        <v>0.6</v>
      </c>
      <c r="H81" s="20" t="s">
        <v>26</v>
      </c>
      <c r="I81" s="20"/>
    </row>
    <row r="82" spans="2:10">
      <c r="B82" s="22" t="s">
        <v>197</v>
      </c>
      <c r="C82" s="19" t="s">
        <v>198</v>
      </c>
      <c r="D82" s="19" t="s">
        <v>139</v>
      </c>
      <c r="E82" s="23">
        <v>863656</v>
      </c>
      <c r="F82" s="20">
        <v>7695.17</v>
      </c>
      <c r="G82" s="20">
        <v>0.57999999999999996</v>
      </c>
      <c r="H82" s="20" t="s">
        <v>26</v>
      </c>
      <c r="I82" s="20"/>
    </row>
    <row r="83" spans="2:10">
      <c r="B83" s="22" t="s">
        <v>199</v>
      </c>
      <c r="C83" s="19" t="s">
        <v>200</v>
      </c>
      <c r="D83" s="19" t="s">
        <v>174</v>
      </c>
      <c r="E83" s="23">
        <v>3544014</v>
      </c>
      <c r="F83" s="20">
        <v>7582.06</v>
      </c>
      <c r="G83" s="20">
        <v>0.56999999999999995</v>
      </c>
      <c r="H83" s="20" t="s">
        <v>26</v>
      </c>
      <c r="I83" s="20"/>
    </row>
    <row r="84" spans="2:10">
      <c r="B84" s="22" t="s">
        <v>201</v>
      </c>
      <c r="C84" s="19" t="s">
        <v>202</v>
      </c>
      <c r="D84" s="19" t="s">
        <v>79</v>
      </c>
      <c r="E84" s="23">
        <v>2764662</v>
      </c>
      <c r="F84" s="20">
        <v>6999.29</v>
      </c>
      <c r="G84" s="20">
        <v>0.53</v>
      </c>
      <c r="H84" s="20" t="s">
        <v>26</v>
      </c>
      <c r="I84" s="20"/>
    </row>
    <row r="85" spans="2:10">
      <c r="B85" s="22" t="s">
        <v>203</v>
      </c>
      <c r="C85" s="19" t="s">
        <v>204</v>
      </c>
      <c r="D85" s="19" t="s">
        <v>179</v>
      </c>
      <c r="E85" s="23">
        <v>302794</v>
      </c>
      <c r="F85" s="20">
        <v>6937.62</v>
      </c>
      <c r="G85" s="20">
        <v>0.52</v>
      </c>
      <c r="H85" s="20" t="s">
        <v>26</v>
      </c>
      <c r="I85" s="20"/>
    </row>
    <row r="86" spans="2:10">
      <c r="B86" s="22" t="s">
        <v>205</v>
      </c>
      <c r="C86" s="19" t="s">
        <v>206</v>
      </c>
      <c r="D86" s="19" t="s">
        <v>22</v>
      </c>
      <c r="E86" s="23">
        <v>1125901</v>
      </c>
      <c r="F86" s="20">
        <v>6403.56</v>
      </c>
      <c r="G86" s="20">
        <v>0.48</v>
      </c>
      <c r="H86" s="20" t="s">
        <v>26</v>
      </c>
      <c r="I86" s="20"/>
    </row>
    <row r="87" spans="2:10">
      <c r="B87" s="22" t="s">
        <v>207</v>
      </c>
      <c r="C87" s="19" t="s">
        <v>208</v>
      </c>
      <c r="D87" s="19" t="s">
        <v>147</v>
      </c>
      <c r="E87" s="23">
        <v>4244280</v>
      </c>
      <c r="F87" s="20">
        <v>6189.01</v>
      </c>
      <c r="G87" s="20">
        <v>0.47</v>
      </c>
      <c r="H87" s="20" t="s">
        <v>26</v>
      </c>
      <c r="I87" s="20"/>
    </row>
    <row r="88" spans="2:10">
      <c r="B88" s="22" t="s">
        <v>209</v>
      </c>
      <c r="C88" s="19" t="s">
        <v>210</v>
      </c>
      <c r="D88" s="19" t="s">
        <v>22</v>
      </c>
      <c r="E88" s="23">
        <v>1376829</v>
      </c>
      <c r="F88" s="20">
        <v>5561.01</v>
      </c>
      <c r="G88" s="20">
        <v>0.42</v>
      </c>
      <c r="H88" s="20" t="s">
        <v>26</v>
      </c>
      <c r="I88" s="20"/>
    </row>
    <row r="89" spans="2:10">
      <c r="B89" s="22" t="s">
        <v>211</v>
      </c>
      <c r="C89" s="19" t="s">
        <v>212</v>
      </c>
      <c r="D89" s="19" t="s">
        <v>119</v>
      </c>
      <c r="E89" s="23">
        <v>1064252</v>
      </c>
      <c r="F89" s="20">
        <v>5097.2299999999996</v>
      </c>
      <c r="G89" s="20">
        <v>0.38</v>
      </c>
      <c r="H89" s="20" t="s">
        <v>26</v>
      </c>
      <c r="I89" s="20"/>
    </row>
    <row r="90" spans="2:10">
      <c r="B90" s="22" t="s">
        <v>213</v>
      </c>
      <c r="C90" s="19" t="s">
        <v>214</v>
      </c>
      <c r="D90" s="19" t="s">
        <v>79</v>
      </c>
      <c r="E90" s="23">
        <v>318259</v>
      </c>
      <c r="F90" s="20">
        <v>5018.3100000000004</v>
      </c>
      <c r="G90" s="20">
        <v>0.38</v>
      </c>
      <c r="H90" s="20" t="s">
        <v>26</v>
      </c>
      <c r="I90" s="20"/>
    </row>
    <row r="91" spans="2:10">
      <c r="B91" s="22" t="s">
        <v>215</v>
      </c>
      <c r="C91" s="19" t="s">
        <v>216</v>
      </c>
      <c r="D91" s="19" t="s">
        <v>74</v>
      </c>
      <c r="E91" s="23">
        <v>93166</v>
      </c>
      <c r="F91" s="20">
        <v>3847.66</v>
      </c>
      <c r="G91" s="20">
        <v>0.28999999999999998</v>
      </c>
      <c r="H91" s="20" t="s">
        <v>26</v>
      </c>
      <c r="I91" s="20"/>
    </row>
    <row r="92" spans="2:10">
      <c r="B92" s="22" t="s">
        <v>217</v>
      </c>
      <c r="C92" s="19" t="s">
        <v>218</v>
      </c>
      <c r="D92" s="19" t="s">
        <v>22</v>
      </c>
      <c r="E92" s="23">
        <v>118836</v>
      </c>
      <c r="F92" s="20">
        <v>1131.02</v>
      </c>
      <c r="G92" s="20">
        <v>0.09</v>
      </c>
      <c r="H92" s="20" t="s">
        <v>26</v>
      </c>
      <c r="I92" s="20"/>
    </row>
    <row r="93" spans="2:10">
      <c r="B93" s="22" t="s">
        <v>219</v>
      </c>
      <c r="C93" s="19" t="s">
        <v>220</v>
      </c>
      <c r="D93" s="19" t="s">
        <v>50</v>
      </c>
      <c r="E93" s="23">
        <v>79673</v>
      </c>
      <c r="F93" s="20">
        <v>340.16</v>
      </c>
      <c r="G93" s="20">
        <v>0.03</v>
      </c>
      <c r="H93" s="20" t="s">
        <v>26</v>
      </c>
      <c r="I93" s="20"/>
    </row>
    <row r="94" spans="2:10">
      <c r="B94" s="26" t="s">
        <v>221</v>
      </c>
      <c r="C94" s="27"/>
      <c r="D94" s="27"/>
      <c r="E94" s="27"/>
      <c r="F94" s="28">
        <f>SUM(F7:F93)</f>
        <v>1288739.0200000005</v>
      </c>
      <c r="G94" s="28">
        <f>SUM(G7:G93)</f>
        <v>97.060000000000031</v>
      </c>
      <c r="H94" s="28"/>
      <c r="I94" s="28"/>
      <c r="J94" s="29"/>
    </row>
    <row r="95" spans="2:10">
      <c r="B95" s="30" t="s">
        <v>222</v>
      </c>
      <c r="C95" s="30"/>
      <c r="D95" s="30"/>
      <c r="E95" s="30"/>
      <c r="F95" s="31">
        <f>F94</f>
        <v>1288739.0200000005</v>
      </c>
      <c r="G95" s="31">
        <f>G94</f>
        <v>97.060000000000031</v>
      </c>
      <c r="H95" s="32"/>
      <c r="I95" s="32"/>
      <c r="J95" s="29"/>
    </row>
    <row r="96" spans="2:10">
      <c r="B96" s="33" t="s">
        <v>223</v>
      </c>
      <c r="C96" s="34"/>
      <c r="D96" s="34"/>
      <c r="E96" s="34"/>
      <c r="F96" s="35"/>
      <c r="G96" s="35"/>
      <c r="H96" s="35"/>
      <c r="I96" s="35"/>
    </row>
    <row r="97" spans="2:10">
      <c r="B97" s="22" t="s">
        <v>223</v>
      </c>
      <c r="C97" s="19"/>
      <c r="D97" s="19"/>
      <c r="E97" s="19"/>
      <c r="F97" s="20">
        <v>38311.22</v>
      </c>
      <c r="G97" s="20">
        <v>2.89</v>
      </c>
      <c r="H97" s="20"/>
      <c r="I97" s="20"/>
    </row>
    <row r="98" spans="2:10">
      <c r="B98" s="26" t="s">
        <v>221</v>
      </c>
      <c r="C98" s="27"/>
      <c r="D98" s="27"/>
      <c r="E98" s="27"/>
      <c r="F98" s="28">
        <f>SUM(F96:F97)</f>
        <v>38311.22</v>
      </c>
      <c r="G98" s="28">
        <f>SUM(G96:G97)</f>
        <v>2.89</v>
      </c>
      <c r="H98" s="36"/>
      <c r="I98" s="36"/>
      <c r="J98" s="29"/>
    </row>
    <row r="99" spans="2:10">
      <c r="B99" s="37" t="s">
        <v>222</v>
      </c>
      <c r="C99" s="37"/>
      <c r="D99" s="37"/>
      <c r="E99" s="37"/>
      <c r="F99" s="38">
        <f>F98</f>
        <v>38311.22</v>
      </c>
      <c r="G99" s="38">
        <f>G98</f>
        <v>2.89</v>
      </c>
      <c r="H99" s="38"/>
      <c r="I99" s="38"/>
      <c r="J99" s="29"/>
    </row>
    <row r="100" spans="2:10">
      <c r="B100" s="39" t="s">
        <v>224</v>
      </c>
      <c r="C100" s="39"/>
      <c r="D100" s="39"/>
      <c r="E100" s="39"/>
      <c r="F100" s="40">
        <f>F101-(+F95+F99)</f>
        <v>549.38999999943189</v>
      </c>
      <c r="G100" s="40">
        <f>G101-(+G95+G99)</f>
        <v>4.9999999999968736E-2</v>
      </c>
      <c r="H100" s="40"/>
      <c r="I100" s="40"/>
      <c r="J100" s="29"/>
    </row>
    <row r="101" spans="2:10">
      <c r="B101" s="39" t="s">
        <v>225</v>
      </c>
      <c r="C101" s="39"/>
      <c r="D101" s="39"/>
      <c r="E101" s="39"/>
      <c r="F101" s="40">
        <v>1327599.6299999999</v>
      </c>
      <c r="G101" s="40">
        <v>100</v>
      </c>
      <c r="H101" s="40"/>
      <c r="I101" s="40"/>
      <c r="J101" s="29"/>
    </row>
    <row r="103" spans="2:10" ht="12" thickBot="1">
      <c r="B103" s="29"/>
    </row>
    <row r="104" spans="2:10" ht="12.5" thickTop="1" thickBot="1">
      <c r="B104" s="41" t="s">
        <v>226</v>
      </c>
      <c r="C104" s="42" t="s">
        <v>227</v>
      </c>
    </row>
    <row r="105" spans="2:10" ht="12" thickTop="1"/>
    <row r="107" spans="2:10">
      <c r="B107" s="29" t="s">
        <v>228</v>
      </c>
    </row>
    <row r="108" spans="2:10">
      <c r="B108" s="3" t="s">
        <v>229</v>
      </c>
    </row>
    <row r="109" spans="2:10">
      <c r="B109" s="3" t="s">
        <v>230</v>
      </c>
    </row>
    <row r="110" spans="2:10">
      <c r="B110" s="3" t="s">
        <v>231</v>
      </c>
    </row>
    <row r="111" spans="2:10">
      <c r="B111" s="29" t="s">
        <v>232</v>
      </c>
      <c r="C111" s="29"/>
      <c r="D111" s="29" t="s">
        <v>233</v>
      </c>
      <c r="E111" s="29" t="s">
        <v>234</v>
      </c>
    </row>
    <row r="112" spans="2:10">
      <c r="B112" s="3" t="s">
        <v>235</v>
      </c>
      <c r="D112" s="3">
        <v>33.549999999999997</v>
      </c>
      <c r="E112" s="3">
        <v>38.11</v>
      </c>
    </row>
    <row r="113" spans="2:8">
      <c r="B113" s="3" t="s">
        <v>236</v>
      </c>
      <c r="D113" s="3">
        <v>28.72</v>
      </c>
      <c r="E113" s="3">
        <v>32.630000000000003</v>
      </c>
    </row>
    <row r="114" spans="2:8">
      <c r="B114" s="3" t="s">
        <v>237</v>
      </c>
      <c r="D114" s="3">
        <v>37.369999999999997</v>
      </c>
      <c r="E114" s="3">
        <v>42.5</v>
      </c>
    </row>
    <row r="115" spans="2:8">
      <c r="B115" s="3" t="s">
        <v>238</v>
      </c>
      <c r="D115" s="3">
        <v>32.369999999999997</v>
      </c>
      <c r="E115" s="3">
        <v>36.81</v>
      </c>
    </row>
    <row r="117" spans="2:8">
      <c r="B117" s="43" t="s">
        <v>239</v>
      </c>
      <c r="C117" s="43"/>
      <c r="D117" s="43"/>
      <c r="E117" s="43"/>
      <c r="F117" s="44"/>
      <c r="G117" s="44"/>
      <c r="H117" s="44"/>
    </row>
    <row r="118" spans="2:8">
      <c r="B118" s="43" t="s">
        <v>240</v>
      </c>
      <c r="C118" s="43"/>
      <c r="D118" s="43"/>
      <c r="E118" s="43"/>
      <c r="F118" s="44"/>
      <c r="G118" s="44"/>
      <c r="H118" s="44"/>
    </row>
    <row r="119" spans="2:8">
      <c r="B119" s="43"/>
      <c r="C119" s="43"/>
      <c r="D119" s="43"/>
      <c r="E119" s="43"/>
      <c r="F119" s="43"/>
      <c r="G119" s="44"/>
      <c r="H119" s="44"/>
    </row>
    <row r="120" spans="2:8">
      <c r="B120" s="45" t="s">
        <v>241</v>
      </c>
      <c r="C120" s="45"/>
      <c r="D120" s="45"/>
      <c r="E120" s="45"/>
      <c r="F120" s="45"/>
      <c r="G120" s="44"/>
      <c r="H120" s="44"/>
    </row>
    <row r="121" spans="2:8">
      <c r="B121" s="46" t="s">
        <v>242</v>
      </c>
      <c r="C121" s="47"/>
      <c r="D121" s="48"/>
      <c r="E121" s="49"/>
      <c r="F121" s="50"/>
      <c r="G121" s="44"/>
      <c r="H121" s="44"/>
    </row>
    <row r="122" spans="2:8">
      <c r="B122" s="46" t="s">
        <v>243</v>
      </c>
      <c r="C122" s="47"/>
      <c r="D122" s="48"/>
      <c r="E122" s="49"/>
      <c r="F122" s="50"/>
      <c r="G122" s="44"/>
      <c r="H122" s="44"/>
    </row>
    <row r="123" spans="2:8">
      <c r="B123" s="43" t="s">
        <v>244</v>
      </c>
      <c r="C123" s="47"/>
      <c r="D123" s="48"/>
      <c r="E123" s="49"/>
      <c r="F123" s="50"/>
      <c r="G123" s="44"/>
      <c r="H123" s="44"/>
    </row>
    <row r="124" spans="2:8">
      <c r="B124" s="43"/>
      <c r="C124" s="47"/>
      <c r="D124" s="48"/>
      <c r="E124" s="49"/>
      <c r="F124" s="50"/>
      <c r="G124" s="44"/>
      <c r="H124" s="44"/>
    </row>
    <row r="125" spans="2:8">
      <c r="B125" s="51" t="s">
        <v>245</v>
      </c>
      <c r="C125" s="51" t="s">
        <v>246</v>
      </c>
      <c r="D125" s="51" t="s">
        <v>247</v>
      </c>
      <c r="E125" s="51" t="s">
        <v>248</v>
      </c>
      <c r="F125" s="51" t="s">
        <v>249</v>
      </c>
      <c r="G125" s="44"/>
      <c r="H125" s="44"/>
    </row>
    <row r="126" spans="2:8">
      <c r="B126" s="52"/>
      <c r="C126" s="52"/>
      <c r="D126" s="52"/>
      <c r="E126" s="52"/>
      <c r="F126" s="52"/>
      <c r="G126" s="44"/>
      <c r="H126" s="44"/>
    </row>
    <row r="127" spans="2:8">
      <c r="B127" s="53" t="s">
        <v>250</v>
      </c>
      <c r="C127" s="54">
        <v>555</v>
      </c>
      <c r="D127" s="53" t="s">
        <v>250</v>
      </c>
      <c r="E127" s="54">
        <v>2618.2218847999998</v>
      </c>
      <c r="F127" s="55">
        <v>-1.2256012000000001</v>
      </c>
      <c r="G127" s="44"/>
      <c r="H127" s="44"/>
    </row>
    <row r="128" spans="2:8">
      <c r="B128" s="43"/>
      <c r="C128" s="43"/>
      <c r="D128" s="43"/>
      <c r="E128" s="43"/>
      <c r="F128" s="44"/>
      <c r="G128" s="44"/>
      <c r="H128" s="44"/>
    </row>
    <row r="129" spans="2:8">
      <c r="B129" s="43" t="s">
        <v>251</v>
      </c>
      <c r="C129" s="43"/>
      <c r="D129" s="43"/>
      <c r="E129" s="43"/>
      <c r="F129" s="44"/>
      <c r="G129" s="44"/>
      <c r="H129" s="44"/>
    </row>
    <row r="130" spans="2:8">
      <c r="B130" s="43" t="s">
        <v>252</v>
      </c>
      <c r="C130" s="43"/>
      <c r="D130" s="43"/>
      <c r="E130" s="43"/>
      <c r="F130" s="44"/>
      <c r="G130" s="44"/>
      <c r="H130" s="44"/>
    </row>
    <row r="131" spans="2:8">
      <c r="B131" s="43" t="s">
        <v>253</v>
      </c>
      <c r="C131" s="43"/>
      <c r="D131" s="43"/>
      <c r="E131" s="43"/>
      <c r="F131" s="44"/>
      <c r="G131" s="44"/>
      <c r="H131" s="44"/>
    </row>
    <row r="132" spans="2:8">
      <c r="B132" s="43"/>
      <c r="C132" s="43"/>
      <c r="D132" s="43"/>
      <c r="E132" s="43"/>
      <c r="F132" s="44"/>
      <c r="G132" s="44"/>
      <c r="H132" s="44"/>
    </row>
    <row r="134" spans="2:8">
      <c r="B134" s="29" t="s">
        <v>254</v>
      </c>
    </row>
    <row r="136" spans="2:8" ht="14.5">
      <c r="B136" s="56" t="s">
        <v>255</v>
      </c>
    </row>
  </sheetData>
  <mergeCells count="10">
    <mergeCell ref="B1:I1"/>
    <mergeCell ref="K5:K12"/>
    <mergeCell ref="L5:L12"/>
    <mergeCell ref="M5:M12"/>
    <mergeCell ref="N5:N12"/>
    <mergeCell ref="B125:B126"/>
    <mergeCell ref="C125:C126"/>
    <mergeCell ref="D125:D126"/>
    <mergeCell ref="E125:E126"/>
    <mergeCell ref="F125:F126"/>
  </mergeCells>
  <hyperlinks>
    <hyperlink ref="B136" r:id="rId1" tooltip="https://www.canararobeco.com/docs/default-source/default-document-library/Scheme%20Performance%20April%2026.pdf" display="https://www.canararobeco.com/docs/default-source/default-document-library/Scheme Performance April 26.pdf" xr:uid="{4EAE0790-C8C8-4220-9FFF-EAD48C0908E3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2026-05-08 18:11:10</KDate>
  <Classification>PUBLIC</Classification>
  <Subclassification/>
  <HostName>MUMCMP01346</HostName>
  <Domain_User>CANARAROBECOMF/396</Domain_User>
  <IPAdd>192.9.198.198</IPAdd>
  <FilePath>Book7</FilePath>
  <KID>1098191A8D7D639138606704380217</KID>
  <UniqueName/>
  <Suggested/>
  <Justification/>
  <KlassifyGUID/>
</Klassify>
</file>

<file path=customXml/itemProps1.xml><?xml version="1.0" encoding="utf-8"?>
<ds:datastoreItem xmlns:ds="http://schemas.openxmlformats.org/officeDocument/2006/customXml" ds:itemID="{19780C25-1658-4178-B2B1-7F92838845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2026-05-08T12:41:06Z</dcterms:created>
  <dcterms:modified xsi:type="dcterms:W3CDTF">2026-05-08T12:41:10Z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KID">
    <vt:lpwstr>1098191A8D7D639138606704380217</vt:lpwstr>
  </property>
</Properties>
</file>