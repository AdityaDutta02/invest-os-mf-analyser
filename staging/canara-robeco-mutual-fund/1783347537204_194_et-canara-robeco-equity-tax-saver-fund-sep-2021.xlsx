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2" i="1"/>
  <c r="G63" i="1" s="1"/>
  <c r="F62" i="1"/>
  <c r="F63" i="1" s="1"/>
  <c r="F68" i="1" s="1"/>
  <c r="G68" i="1" l="1"/>
</calcChain>
</file>

<file path=xl/sharedStrings.xml><?xml version="1.0" encoding="utf-8"?>
<sst xmlns="http://schemas.openxmlformats.org/spreadsheetml/2006/main" count="187" uniqueCount="154">
  <si>
    <t>CANARA ROBECO EQUITY TAX SAVER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</si>
  <si>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</si>
  <si>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</si>
  <si>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</si>
  <si>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</si>
  <si>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</si>
  <si>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</si>
  <si>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</si>
  <si>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</si>
  <si>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</si>
  <si>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</si>
  <si>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</si>
  <si>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</si>
  <si>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</si>
  <si>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</si>
  <si>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</si>
  <si>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</si>
  <si>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</si>
  <si>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</si>
  <si>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</si>
  <si>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</si>
  <si>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Larsen &amp; Toubro Ltd</t>
  </si>
  <si>
    <t>INE018A01030</t>
  </si>
  <si>
    <t>Construction Project</t>
  </si>
  <si>
    <t>Housing Development Finance Corporation Ltd</t>
  </si>
  <si>
    <t>INE001A01036</t>
  </si>
  <si>
    <t>Finance</t>
  </si>
  <si>
    <t>Reliance Industries Ltd</t>
  </si>
  <si>
    <t>INE002A01018</t>
  </si>
  <si>
    <t>Petroleum Products</t>
  </si>
  <si>
    <t>Bajaj Finance Ltd</t>
  </si>
  <si>
    <t>INE296A01024</t>
  </si>
  <si>
    <t>Benchmark: S&amp;P BSE 100 TRI</t>
  </si>
  <si>
    <t>State Bank of India</t>
  </si>
  <si>
    <t>INE062A01020</t>
  </si>
  <si>
    <t>Tata Consultancy Services Ltd</t>
  </si>
  <si>
    <t>INE467B01029</t>
  </si>
  <si>
    <t>Axis Bank Ltd</t>
  </si>
  <si>
    <t>INE238A01034</t>
  </si>
  <si>
    <t>Divi's Laboratories Ltd</t>
  </si>
  <si>
    <t>INE361B01024</t>
  </si>
  <si>
    <t>Pharmaceuticals</t>
  </si>
  <si>
    <t>Tata Motors Ltd</t>
  </si>
  <si>
    <t>INE155A01022</t>
  </si>
  <si>
    <t>Auto</t>
  </si>
  <si>
    <t>Godrej Consumer Products Ltd</t>
  </si>
  <si>
    <t>INE102D01028</t>
  </si>
  <si>
    <t>Consumer Non Durables</t>
  </si>
  <si>
    <t>Minda Industries Ltd</t>
  </si>
  <si>
    <t>INE405E01023</t>
  </si>
  <si>
    <t>Auto Ancillaries</t>
  </si>
  <si>
    <t>Persistent Systems Ltd</t>
  </si>
  <si>
    <t>INE262H01013</t>
  </si>
  <si>
    <t>Kotak Mahindra Bank Ltd</t>
  </si>
  <si>
    <t>INE237A01028</t>
  </si>
  <si>
    <t>Jubilant Foodworks Ltd</t>
  </si>
  <si>
    <t>INE797F01012</t>
  </si>
  <si>
    <t>Leisure Services</t>
  </si>
  <si>
    <t>Hindustan Unilever Ltd</t>
  </si>
  <si>
    <t>INE030A01027</t>
  </si>
  <si>
    <t>Cholamandalam Investment and Finance Co Ltd</t>
  </si>
  <si>
    <t>INE121A01024</t>
  </si>
  <si>
    <t>Honeywell Automation India Ltd</t>
  </si>
  <si>
    <t>INE671A01010</t>
  </si>
  <si>
    <t>Industrial Capital Goods</t>
  </si>
  <si>
    <t>Max Healthcare Institute Ltd</t>
  </si>
  <si>
    <t>INE027H01010</t>
  </si>
  <si>
    <t>Healthcare Services</t>
  </si>
  <si>
    <t>Asian Paints Ltd</t>
  </si>
  <si>
    <t>INE021A01026</t>
  </si>
  <si>
    <t>Cipla Ltd</t>
  </si>
  <si>
    <t>INE059A01026</t>
  </si>
  <si>
    <t>Polycab India Ltd</t>
  </si>
  <si>
    <t>INE455K01017</t>
  </si>
  <si>
    <t>Industrial Products</t>
  </si>
  <si>
    <t>ABB India Ltd</t>
  </si>
  <si>
    <t>INE117A01022</t>
  </si>
  <si>
    <t>Titan Co Ltd</t>
  </si>
  <si>
    <t>INE280A01028</t>
  </si>
  <si>
    <t>Consumer Durables</t>
  </si>
  <si>
    <t>Mphasis Ltd</t>
  </si>
  <si>
    <t>INE356A01018</t>
  </si>
  <si>
    <t>PVR Ltd</t>
  </si>
  <si>
    <t>INE191H01014</t>
  </si>
  <si>
    <t>Entertainment</t>
  </si>
  <si>
    <t>SBI Cards and Payment Services Ltd</t>
  </si>
  <si>
    <t>INE018E01016</t>
  </si>
  <si>
    <t>Hindalco Industries Ltd</t>
  </si>
  <si>
    <t>INE038A01020</t>
  </si>
  <si>
    <t>Non - Ferrous Metals</t>
  </si>
  <si>
    <t>Havells India Ltd</t>
  </si>
  <si>
    <t>INE176B01034</t>
  </si>
  <si>
    <t>Ashok Leyland Ltd</t>
  </si>
  <si>
    <t>INE208A01029</t>
  </si>
  <si>
    <t>Gland Pharma Ltd</t>
  </si>
  <si>
    <t>INE068V01023</t>
  </si>
  <si>
    <t>SBI Life Insurance Co Ltd</t>
  </si>
  <si>
    <t>INE123W01016</t>
  </si>
  <si>
    <t>Insurance</t>
  </si>
  <si>
    <t>Tata Consumer Products Ltd</t>
  </si>
  <si>
    <t>INE192A01025</t>
  </si>
  <si>
    <t>PI Industries Ltd</t>
  </si>
  <si>
    <t>INE603J01030</t>
  </si>
  <si>
    <t>Pesticides</t>
  </si>
  <si>
    <t>Avenue Supermarts Ltd</t>
  </si>
  <si>
    <t>INE192R01011</t>
  </si>
  <si>
    <t>Retailing</t>
  </si>
  <si>
    <t>WABCO India Ltd</t>
  </si>
  <si>
    <t>INE342J01019</t>
  </si>
  <si>
    <t>Voltas Ltd</t>
  </si>
  <si>
    <t>INE226A01021</t>
  </si>
  <si>
    <t>Bata India Ltd</t>
  </si>
  <si>
    <t>INE176A01028</t>
  </si>
  <si>
    <t>TCI Express Ltd</t>
  </si>
  <si>
    <t>INE586V01016</t>
  </si>
  <si>
    <t>Transportation</t>
  </si>
  <si>
    <t>Indraprastha Gas Ltd</t>
  </si>
  <si>
    <t>INE203G01027</t>
  </si>
  <si>
    <t>Gas</t>
  </si>
  <si>
    <t>Dalmia Bharat Ltd</t>
  </si>
  <si>
    <t>INE00R701025</t>
  </si>
  <si>
    <t>Cement &amp; Cement Products</t>
  </si>
  <si>
    <t>Siemens Ltd</t>
  </si>
  <si>
    <t>INE003A01024</t>
  </si>
  <si>
    <t>Oberoi Realty Ltd</t>
  </si>
  <si>
    <t>INE093I01010</t>
  </si>
  <si>
    <t>Construction</t>
  </si>
  <si>
    <t>Max Financial Services Ltd</t>
  </si>
  <si>
    <t>INE180A01020</t>
  </si>
  <si>
    <t>Ultratech Cement Ltd</t>
  </si>
  <si>
    <t>INE481G01011</t>
  </si>
  <si>
    <t>TVS Motor Co Ltd</t>
  </si>
  <si>
    <t>INE494B01023</t>
  </si>
  <si>
    <t>Dr. Reddy's Laboratories Ltd</t>
  </si>
  <si>
    <t>INE089A01023</t>
  </si>
  <si>
    <t>Zomato Ltd</t>
  </si>
  <si>
    <t>INE758T01015</t>
  </si>
  <si>
    <t>Gujarat Gas Ltd</t>
  </si>
  <si>
    <t>INE844O01030</t>
  </si>
  <si>
    <t>Dixon Technologies (India) Ltd</t>
  </si>
  <si>
    <t>INE935N01020</t>
  </si>
  <si>
    <t>Navin Fluorine International Ltd</t>
  </si>
  <si>
    <t>INE048G01026</t>
  </si>
  <si>
    <t>Chemicals</t>
  </si>
  <si>
    <t>Tata Steel Ltd</t>
  </si>
  <si>
    <t>INE081A01012</t>
  </si>
  <si>
    <t>Ferrous Metals</t>
  </si>
  <si>
    <t>Abbott India Ltd</t>
  </si>
  <si>
    <t>INE358A01014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</si>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</sst>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0" xfId="0" applyFont="1" applyFill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</xdr:row>
      <xdr:rowOff>38100</xdr:rowOff>
    </xdr:from>
    <xdr:to>
      <xdr:col>8</xdr:col>
      <xdr:colOff>1676400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2DB2A-DB3C-4081-9653-65289820E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1047750"/>
          <a:ext cx="16383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4</xdr:row>
      <xdr:rowOff>57150</xdr:rowOff>
    </xdr:from>
    <xdr:to>
      <xdr:col>10</xdr:col>
      <xdr:colOff>1657350</xdr:colOff>
      <xdr:row>11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B278BD-6872-42BD-8215-1479AC707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0300" y="1066800"/>
          <a:ext cx="16383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47625</xdr:rowOff>
    </xdr:from>
    <xdr:to>
      <xdr:col>9</xdr:col>
      <xdr:colOff>1647825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3FE632-F0C6-4E43-8EF1-BFD503CC4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1057275"/>
          <a:ext cx="16383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1"/>
  <sheetViews>
    <sheetView tabSelected="1" topLeftCell="A55" workbookViewId="0">
      <selection activeCell="B1" sqref="B1:G1"/>
    </sheetView>
  </sheetViews>
  <sheetFormatPr defaultRowHeight="12"/>
  <cols>
    <col min="1" max="1" width="9.140625" style="3"/>
    <col min="2" max="2" width="61.5703125" style="3" bestFit="1" customWidth="1"/>
    <col min="3" max="3" width="13.5703125" style="3" bestFit="1" customWidth="1"/>
    <col min="4" max="4" width="18.28515625" style="3" customWidth="1"/>
    <col min="5" max="5" width="22.2851562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42578125" style="3" customWidth="1"/>
    <col min="10" max="10" width="25" style="3" customWidth="1"/>
    <col min="11" max="11" width="25.42578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1281310</v>
      </c>
      <c r="F7" s="23">
        <v>21464.51</v>
      </c>
      <c r="G7" s="23">
        <v>7.74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18</v>
      </c>
      <c r="E8" s="26">
        <v>1322184</v>
      </c>
      <c r="F8" s="23">
        <v>21088.17</v>
      </c>
      <c r="G8" s="23">
        <v>7.61</v>
      </c>
      <c r="I8" s="24"/>
      <c r="J8" s="24"/>
      <c r="K8" s="24"/>
    </row>
    <row r="9" spans="2:11">
      <c r="B9" s="25" t="s">
        <v>19</v>
      </c>
      <c r="C9" s="21" t="s">
        <v>20</v>
      </c>
      <c r="D9" s="21" t="s">
        <v>18</v>
      </c>
      <c r="E9" s="26">
        <v>2706000</v>
      </c>
      <c r="F9" s="23">
        <v>18965</v>
      </c>
      <c r="G9" s="23">
        <v>6.84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680000</v>
      </c>
      <c r="F10" s="23">
        <v>11580.06</v>
      </c>
      <c r="G10" s="23">
        <v>4.18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377500</v>
      </c>
      <c r="F11" s="23">
        <v>10397.48</v>
      </c>
      <c r="G11" s="23">
        <v>3.75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29</v>
      </c>
      <c r="E12" s="26">
        <v>405500</v>
      </c>
      <c r="F12" s="23">
        <v>10215.56</v>
      </c>
      <c r="G12" s="23">
        <v>3.69</v>
      </c>
      <c r="I12" s="27"/>
      <c r="J12" s="27"/>
      <c r="K12" s="27"/>
    </row>
    <row r="13" spans="2:11">
      <c r="B13" s="25" t="s">
        <v>30</v>
      </c>
      <c r="C13" s="21" t="s">
        <v>31</v>
      </c>
      <c r="D13" s="21" t="s">
        <v>26</v>
      </c>
      <c r="E13" s="26">
        <v>132450</v>
      </c>
      <c r="F13" s="23">
        <v>10156.4</v>
      </c>
      <c r="G13" s="23">
        <v>3.66</v>
      </c>
      <c r="K13" s="3" t="s">
        <v>32</v>
      </c>
    </row>
    <row r="14" spans="2:11">
      <c r="B14" s="25" t="s">
        <v>33</v>
      </c>
      <c r="C14" s="21" t="s">
        <v>34</v>
      </c>
      <c r="D14" s="21" t="s">
        <v>18</v>
      </c>
      <c r="E14" s="26">
        <v>1875000</v>
      </c>
      <c r="F14" s="23">
        <v>8493.75</v>
      </c>
      <c r="G14" s="23">
        <v>3.06</v>
      </c>
    </row>
    <row r="15" spans="2:11">
      <c r="B15" s="25" t="s">
        <v>35</v>
      </c>
      <c r="C15" s="21" t="s">
        <v>36</v>
      </c>
      <c r="D15" s="21" t="s">
        <v>15</v>
      </c>
      <c r="E15" s="26">
        <v>218815</v>
      </c>
      <c r="F15" s="23">
        <v>8261.4699999999993</v>
      </c>
      <c r="G15" s="23">
        <v>2.98</v>
      </c>
    </row>
    <row r="16" spans="2:11">
      <c r="B16" s="25" t="s">
        <v>37</v>
      </c>
      <c r="C16" s="21" t="s">
        <v>38</v>
      </c>
      <c r="D16" s="21" t="s">
        <v>18</v>
      </c>
      <c r="E16" s="26">
        <v>1053000</v>
      </c>
      <c r="F16" s="23">
        <v>8071.77</v>
      </c>
      <c r="G16" s="23">
        <v>2.91</v>
      </c>
    </row>
    <row r="17" spans="2:7">
      <c r="B17" s="25" t="s">
        <v>39</v>
      </c>
      <c r="C17" s="21" t="s">
        <v>40</v>
      </c>
      <c r="D17" s="21" t="s">
        <v>41</v>
      </c>
      <c r="E17" s="26">
        <v>101500</v>
      </c>
      <c r="F17" s="23">
        <v>4870.68</v>
      </c>
      <c r="G17" s="23">
        <v>1.76</v>
      </c>
    </row>
    <row r="18" spans="2:7">
      <c r="B18" s="25" t="s">
        <v>42</v>
      </c>
      <c r="C18" s="21" t="s">
        <v>43</v>
      </c>
      <c r="D18" s="21" t="s">
        <v>44</v>
      </c>
      <c r="E18" s="26">
        <v>1455000</v>
      </c>
      <c r="F18" s="23">
        <v>4850.24</v>
      </c>
      <c r="G18" s="23">
        <v>1.75</v>
      </c>
    </row>
    <row r="19" spans="2:7">
      <c r="B19" s="25" t="s">
        <v>45</v>
      </c>
      <c r="C19" s="21" t="s">
        <v>46</v>
      </c>
      <c r="D19" s="21" t="s">
        <v>47</v>
      </c>
      <c r="E19" s="26">
        <v>465000</v>
      </c>
      <c r="F19" s="23">
        <v>4789.04</v>
      </c>
      <c r="G19" s="23">
        <v>1.73</v>
      </c>
    </row>
    <row r="20" spans="2:7">
      <c r="B20" s="25" t="s">
        <v>48</v>
      </c>
      <c r="C20" s="21" t="s">
        <v>49</v>
      </c>
      <c r="D20" s="21" t="s">
        <v>50</v>
      </c>
      <c r="E20" s="26">
        <v>612358</v>
      </c>
      <c r="F20" s="23">
        <v>4523.49</v>
      </c>
      <c r="G20" s="23">
        <v>1.63</v>
      </c>
    </row>
    <row r="21" spans="2:7">
      <c r="B21" s="25" t="s">
        <v>51</v>
      </c>
      <c r="C21" s="21" t="s">
        <v>52</v>
      </c>
      <c r="D21" s="21" t="s">
        <v>15</v>
      </c>
      <c r="E21" s="26">
        <v>120500</v>
      </c>
      <c r="F21" s="23">
        <v>4478.1400000000003</v>
      </c>
      <c r="G21" s="23">
        <v>1.62</v>
      </c>
    </row>
    <row r="22" spans="2:7">
      <c r="B22" s="25" t="s">
        <v>53</v>
      </c>
      <c r="C22" s="21" t="s">
        <v>54</v>
      </c>
      <c r="D22" s="21" t="s">
        <v>18</v>
      </c>
      <c r="E22" s="26">
        <v>222500</v>
      </c>
      <c r="F22" s="23">
        <v>4462.24</v>
      </c>
      <c r="G22" s="23">
        <v>1.61</v>
      </c>
    </row>
    <row r="23" spans="2:7">
      <c r="B23" s="25" t="s">
        <v>55</v>
      </c>
      <c r="C23" s="21" t="s">
        <v>56</v>
      </c>
      <c r="D23" s="21" t="s">
        <v>57</v>
      </c>
      <c r="E23" s="26">
        <v>103558</v>
      </c>
      <c r="F23" s="23">
        <v>4184.68</v>
      </c>
      <c r="G23" s="23">
        <v>1.51</v>
      </c>
    </row>
    <row r="24" spans="2:7">
      <c r="B24" s="25" t="s">
        <v>58</v>
      </c>
      <c r="C24" s="21" t="s">
        <v>59</v>
      </c>
      <c r="D24" s="21" t="s">
        <v>47</v>
      </c>
      <c r="E24" s="26">
        <v>154690</v>
      </c>
      <c r="F24" s="23">
        <v>4179.41</v>
      </c>
      <c r="G24" s="23">
        <v>1.51</v>
      </c>
    </row>
    <row r="25" spans="2:7">
      <c r="B25" s="25" t="s">
        <v>60</v>
      </c>
      <c r="C25" s="21" t="s">
        <v>61</v>
      </c>
      <c r="D25" s="21" t="s">
        <v>26</v>
      </c>
      <c r="E25" s="26">
        <v>670000</v>
      </c>
      <c r="F25" s="23">
        <v>3780.48</v>
      </c>
      <c r="G25" s="23">
        <v>1.36</v>
      </c>
    </row>
    <row r="26" spans="2:7">
      <c r="B26" s="25" t="s">
        <v>62</v>
      </c>
      <c r="C26" s="21" t="s">
        <v>63</v>
      </c>
      <c r="D26" s="21" t="s">
        <v>64</v>
      </c>
      <c r="E26" s="26">
        <v>8266</v>
      </c>
      <c r="F26" s="23">
        <v>3778.76</v>
      </c>
      <c r="G26" s="23">
        <v>1.36</v>
      </c>
    </row>
    <row r="27" spans="2:7">
      <c r="B27" s="25" t="s">
        <v>65</v>
      </c>
      <c r="C27" s="21" t="s">
        <v>66</v>
      </c>
      <c r="D27" s="21" t="s">
        <v>67</v>
      </c>
      <c r="E27" s="26">
        <v>1000000</v>
      </c>
      <c r="F27" s="23">
        <v>3595.5</v>
      </c>
      <c r="G27" s="23">
        <v>1.3</v>
      </c>
    </row>
    <row r="28" spans="2:7">
      <c r="B28" s="25" t="s">
        <v>68</v>
      </c>
      <c r="C28" s="21" t="s">
        <v>69</v>
      </c>
      <c r="D28" s="21" t="s">
        <v>47</v>
      </c>
      <c r="E28" s="26">
        <v>110700</v>
      </c>
      <c r="F28" s="23">
        <v>3591.83</v>
      </c>
      <c r="G28" s="23">
        <v>1.3</v>
      </c>
    </row>
    <row r="29" spans="2:7">
      <c r="B29" s="25" t="s">
        <v>70</v>
      </c>
      <c r="C29" s="21" t="s">
        <v>71</v>
      </c>
      <c r="D29" s="21" t="s">
        <v>41</v>
      </c>
      <c r="E29" s="26">
        <v>335000</v>
      </c>
      <c r="F29" s="23">
        <v>3294.89</v>
      </c>
      <c r="G29" s="23">
        <v>1.19</v>
      </c>
    </row>
    <row r="30" spans="2:7">
      <c r="B30" s="25" t="s">
        <v>72</v>
      </c>
      <c r="C30" s="21" t="s">
        <v>73</v>
      </c>
      <c r="D30" s="21" t="s">
        <v>74</v>
      </c>
      <c r="E30" s="26">
        <v>135000</v>
      </c>
      <c r="F30" s="23">
        <v>3225.15</v>
      </c>
      <c r="G30" s="23">
        <v>1.1599999999999999</v>
      </c>
    </row>
    <row r="31" spans="2:7">
      <c r="B31" s="25" t="s">
        <v>75</v>
      </c>
      <c r="C31" s="21" t="s">
        <v>76</v>
      </c>
      <c r="D31" s="21" t="s">
        <v>64</v>
      </c>
      <c r="E31" s="26">
        <v>167500</v>
      </c>
      <c r="F31" s="23">
        <v>3133.26</v>
      </c>
      <c r="G31" s="23">
        <v>1.1299999999999999</v>
      </c>
    </row>
    <row r="32" spans="2:7">
      <c r="B32" s="25" t="s">
        <v>77</v>
      </c>
      <c r="C32" s="21" t="s">
        <v>78</v>
      </c>
      <c r="D32" s="21" t="s">
        <v>79</v>
      </c>
      <c r="E32" s="26">
        <v>142500</v>
      </c>
      <c r="F32" s="23">
        <v>3080.64</v>
      </c>
      <c r="G32" s="23">
        <v>1.1100000000000001</v>
      </c>
    </row>
    <row r="33" spans="2:7">
      <c r="B33" s="25" t="s">
        <v>80</v>
      </c>
      <c r="C33" s="21" t="s">
        <v>81</v>
      </c>
      <c r="D33" s="21" t="s">
        <v>15</v>
      </c>
      <c r="E33" s="26">
        <v>96000</v>
      </c>
      <c r="F33" s="23">
        <v>2980.22</v>
      </c>
      <c r="G33" s="23">
        <v>1.08</v>
      </c>
    </row>
    <row r="34" spans="2:7">
      <c r="B34" s="25" t="s">
        <v>82</v>
      </c>
      <c r="C34" s="21" t="s">
        <v>83</v>
      </c>
      <c r="D34" s="21" t="s">
        <v>84</v>
      </c>
      <c r="E34" s="26">
        <v>185000</v>
      </c>
      <c r="F34" s="23">
        <v>2958.8</v>
      </c>
      <c r="G34" s="23">
        <v>1.07</v>
      </c>
    </row>
    <row r="35" spans="2:7">
      <c r="B35" s="25" t="s">
        <v>85</v>
      </c>
      <c r="C35" s="21" t="s">
        <v>86</v>
      </c>
      <c r="D35" s="21" t="s">
        <v>26</v>
      </c>
      <c r="E35" s="26">
        <v>286000</v>
      </c>
      <c r="F35" s="23">
        <v>2944.66</v>
      </c>
      <c r="G35" s="23">
        <v>1.06</v>
      </c>
    </row>
    <row r="36" spans="2:7">
      <c r="B36" s="25" t="s">
        <v>87</v>
      </c>
      <c r="C36" s="21" t="s">
        <v>88</v>
      </c>
      <c r="D36" s="21" t="s">
        <v>89</v>
      </c>
      <c r="E36" s="26">
        <v>593000</v>
      </c>
      <c r="F36" s="23">
        <v>2893.54</v>
      </c>
      <c r="G36" s="23">
        <v>1.04</v>
      </c>
    </row>
    <row r="37" spans="2:7">
      <c r="B37" s="25" t="s">
        <v>90</v>
      </c>
      <c r="C37" s="21" t="s">
        <v>91</v>
      </c>
      <c r="D37" s="21" t="s">
        <v>79</v>
      </c>
      <c r="E37" s="26">
        <v>210000</v>
      </c>
      <c r="F37" s="23">
        <v>2883.51</v>
      </c>
      <c r="G37" s="23">
        <v>1.04</v>
      </c>
    </row>
    <row r="38" spans="2:7">
      <c r="B38" s="25" t="s">
        <v>92</v>
      </c>
      <c r="C38" s="21" t="s">
        <v>93</v>
      </c>
      <c r="D38" s="21" t="s">
        <v>44</v>
      </c>
      <c r="E38" s="26">
        <v>2155000</v>
      </c>
      <c r="F38" s="23">
        <v>2883.39</v>
      </c>
      <c r="G38" s="23">
        <v>1.04</v>
      </c>
    </row>
    <row r="39" spans="2:7">
      <c r="B39" s="25" t="s">
        <v>94</v>
      </c>
      <c r="C39" s="21" t="s">
        <v>95</v>
      </c>
      <c r="D39" s="21" t="s">
        <v>41</v>
      </c>
      <c r="E39" s="26">
        <v>75000</v>
      </c>
      <c r="F39" s="23">
        <v>2789.93</v>
      </c>
      <c r="G39" s="23">
        <v>1.01</v>
      </c>
    </row>
    <row r="40" spans="2:7">
      <c r="B40" s="25" t="s">
        <v>96</v>
      </c>
      <c r="C40" s="21" t="s">
        <v>97</v>
      </c>
      <c r="D40" s="21" t="s">
        <v>98</v>
      </c>
      <c r="E40" s="26">
        <v>225000</v>
      </c>
      <c r="F40" s="23">
        <v>2733.98</v>
      </c>
      <c r="G40" s="23">
        <v>0.99</v>
      </c>
    </row>
    <row r="41" spans="2:7">
      <c r="B41" s="25" t="s">
        <v>99</v>
      </c>
      <c r="C41" s="21" t="s">
        <v>100</v>
      </c>
      <c r="D41" s="21" t="s">
        <v>47</v>
      </c>
      <c r="E41" s="26">
        <v>334352</v>
      </c>
      <c r="F41" s="23">
        <v>2720.29</v>
      </c>
      <c r="G41" s="23">
        <v>0.98</v>
      </c>
    </row>
    <row r="42" spans="2:7">
      <c r="B42" s="25" t="s">
        <v>101</v>
      </c>
      <c r="C42" s="21" t="s">
        <v>102</v>
      </c>
      <c r="D42" s="21" t="s">
        <v>103</v>
      </c>
      <c r="E42" s="26">
        <v>85500</v>
      </c>
      <c r="F42" s="23">
        <v>2717.49</v>
      </c>
      <c r="G42" s="23">
        <v>0.98</v>
      </c>
    </row>
    <row r="43" spans="2:7">
      <c r="B43" s="25" t="s">
        <v>104</v>
      </c>
      <c r="C43" s="21" t="s">
        <v>105</v>
      </c>
      <c r="D43" s="21" t="s">
        <v>106</v>
      </c>
      <c r="E43" s="26">
        <v>63655</v>
      </c>
      <c r="F43" s="23">
        <v>2705.46</v>
      </c>
      <c r="G43" s="23">
        <v>0.98</v>
      </c>
    </row>
    <row r="44" spans="2:7">
      <c r="B44" s="25" t="s">
        <v>107</v>
      </c>
      <c r="C44" s="21" t="s">
        <v>108</v>
      </c>
      <c r="D44" s="21" t="s">
        <v>50</v>
      </c>
      <c r="E44" s="26">
        <v>37000</v>
      </c>
      <c r="F44" s="23">
        <v>2694.21</v>
      </c>
      <c r="G44" s="23">
        <v>0.97</v>
      </c>
    </row>
    <row r="45" spans="2:7">
      <c r="B45" s="25" t="s">
        <v>109</v>
      </c>
      <c r="C45" s="21" t="s">
        <v>110</v>
      </c>
      <c r="D45" s="21" t="s">
        <v>79</v>
      </c>
      <c r="E45" s="26">
        <v>220000</v>
      </c>
      <c r="F45" s="23">
        <v>2679.71</v>
      </c>
      <c r="G45" s="23">
        <v>0.97</v>
      </c>
    </row>
    <row r="46" spans="2:7">
      <c r="B46" s="25" t="s">
        <v>111</v>
      </c>
      <c r="C46" s="21" t="s">
        <v>112</v>
      </c>
      <c r="D46" s="21" t="s">
        <v>79</v>
      </c>
      <c r="E46" s="26">
        <v>150000</v>
      </c>
      <c r="F46" s="23">
        <v>2667.23</v>
      </c>
      <c r="G46" s="23">
        <v>0.96</v>
      </c>
    </row>
    <row r="47" spans="2:7">
      <c r="B47" s="25" t="s">
        <v>113</v>
      </c>
      <c r="C47" s="21" t="s">
        <v>114</v>
      </c>
      <c r="D47" s="21" t="s">
        <v>115</v>
      </c>
      <c r="E47" s="26">
        <v>171575</v>
      </c>
      <c r="F47" s="23">
        <v>2648.09</v>
      </c>
      <c r="G47" s="23">
        <v>0.96</v>
      </c>
    </row>
    <row r="48" spans="2:7">
      <c r="B48" s="25" t="s">
        <v>116</v>
      </c>
      <c r="C48" s="21" t="s">
        <v>117</v>
      </c>
      <c r="D48" s="21" t="s">
        <v>118</v>
      </c>
      <c r="E48" s="26">
        <v>485000</v>
      </c>
      <c r="F48" s="23">
        <v>2585.54</v>
      </c>
      <c r="G48" s="23">
        <v>0.93</v>
      </c>
    </row>
    <row r="49" spans="2:9">
      <c r="B49" s="25" t="s">
        <v>119</v>
      </c>
      <c r="C49" s="21" t="s">
        <v>120</v>
      </c>
      <c r="D49" s="21" t="s">
        <v>121</v>
      </c>
      <c r="E49" s="26">
        <v>120000</v>
      </c>
      <c r="F49" s="23">
        <v>2526.9</v>
      </c>
      <c r="G49" s="23">
        <v>0.91</v>
      </c>
    </row>
    <row r="50" spans="2:9">
      <c r="B50" s="25" t="s">
        <v>122</v>
      </c>
      <c r="C50" s="21" t="s">
        <v>123</v>
      </c>
      <c r="D50" s="21" t="s">
        <v>64</v>
      </c>
      <c r="E50" s="26">
        <v>117500</v>
      </c>
      <c r="F50" s="23">
        <v>2502.0500000000002</v>
      </c>
      <c r="G50" s="23">
        <v>0.9</v>
      </c>
    </row>
    <row r="51" spans="2:9">
      <c r="B51" s="25" t="s">
        <v>124</v>
      </c>
      <c r="C51" s="21" t="s">
        <v>125</v>
      </c>
      <c r="D51" s="21" t="s">
        <v>126</v>
      </c>
      <c r="E51" s="26">
        <v>250000</v>
      </c>
      <c r="F51" s="23">
        <v>2410.5</v>
      </c>
      <c r="G51" s="23">
        <v>0.87</v>
      </c>
    </row>
    <row r="52" spans="2:9">
      <c r="B52" s="25" t="s">
        <v>127</v>
      </c>
      <c r="C52" s="21" t="s">
        <v>128</v>
      </c>
      <c r="D52" s="21" t="s">
        <v>98</v>
      </c>
      <c r="E52" s="26">
        <v>235000</v>
      </c>
      <c r="F52" s="23">
        <v>2383.61</v>
      </c>
      <c r="G52" s="23">
        <v>0.86</v>
      </c>
    </row>
    <row r="53" spans="2:9">
      <c r="B53" s="25" t="s">
        <v>129</v>
      </c>
      <c r="C53" s="21" t="s">
        <v>130</v>
      </c>
      <c r="D53" s="21" t="s">
        <v>121</v>
      </c>
      <c r="E53" s="26">
        <v>31000</v>
      </c>
      <c r="F53" s="23">
        <v>2292.79</v>
      </c>
      <c r="G53" s="23">
        <v>0.83</v>
      </c>
    </row>
    <row r="54" spans="2:9">
      <c r="B54" s="25" t="s">
        <v>131</v>
      </c>
      <c r="C54" s="21" t="s">
        <v>132</v>
      </c>
      <c r="D54" s="21" t="s">
        <v>44</v>
      </c>
      <c r="E54" s="26">
        <v>375000</v>
      </c>
      <c r="F54" s="23">
        <v>2060.44</v>
      </c>
      <c r="G54" s="23">
        <v>0.74</v>
      </c>
    </row>
    <row r="55" spans="2:9">
      <c r="B55" s="25" t="s">
        <v>133</v>
      </c>
      <c r="C55" s="21" t="s">
        <v>134</v>
      </c>
      <c r="D55" s="21" t="s">
        <v>41</v>
      </c>
      <c r="E55" s="26">
        <v>42000</v>
      </c>
      <c r="F55" s="23">
        <v>2049.89</v>
      </c>
      <c r="G55" s="23">
        <v>0.74</v>
      </c>
    </row>
    <row r="56" spans="2:9">
      <c r="B56" s="25" t="s">
        <v>135</v>
      </c>
      <c r="C56" s="21" t="s">
        <v>136</v>
      </c>
      <c r="D56" s="21" t="s">
        <v>106</v>
      </c>
      <c r="E56" s="26">
        <v>1500000</v>
      </c>
      <c r="F56" s="23">
        <v>2049</v>
      </c>
      <c r="G56" s="23">
        <v>0.74</v>
      </c>
    </row>
    <row r="57" spans="2:9">
      <c r="B57" s="25" t="s">
        <v>137</v>
      </c>
      <c r="C57" s="21" t="s">
        <v>138</v>
      </c>
      <c r="D57" s="21" t="s">
        <v>118</v>
      </c>
      <c r="E57" s="26">
        <v>315000</v>
      </c>
      <c r="F57" s="23">
        <v>2007.97</v>
      </c>
      <c r="G57" s="23">
        <v>0.72</v>
      </c>
    </row>
    <row r="58" spans="2:9">
      <c r="B58" s="25" t="s">
        <v>139</v>
      </c>
      <c r="C58" s="21" t="s">
        <v>140</v>
      </c>
      <c r="D58" s="21" t="s">
        <v>79</v>
      </c>
      <c r="E58" s="26">
        <v>39820</v>
      </c>
      <c r="F58" s="23">
        <v>1836.46</v>
      </c>
      <c r="G58" s="23">
        <v>0.66</v>
      </c>
    </row>
    <row r="59" spans="2:9">
      <c r="B59" s="25" t="s">
        <v>141</v>
      </c>
      <c r="C59" s="21" t="s">
        <v>142</v>
      </c>
      <c r="D59" s="21" t="s">
        <v>143</v>
      </c>
      <c r="E59" s="26">
        <v>47849</v>
      </c>
      <c r="F59" s="23">
        <v>1763.12</v>
      </c>
      <c r="G59" s="23">
        <v>0.64</v>
      </c>
    </row>
    <row r="60" spans="2:9">
      <c r="B60" s="25" t="s">
        <v>144</v>
      </c>
      <c r="C60" s="21" t="s">
        <v>145</v>
      </c>
      <c r="D60" s="21" t="s">
        <v>146</v>
      </c>
      <c r="E60" s="26">
        <v>121500</v>
      </c>
      <c r="F60" s="23">
        <v>1566.01</v>
      </c>
      <c r="G60" s="23">
        <v>0.56000000000000005</v>
      </c>
    </row>
    <row r="61" spans="2:9">
      <c r="B61" s="25" t="s">
        <v>147</v>
      </c>
      <c r="C61" s="21" t="s">
        <v>148</v>
      </c>
      <c r="D61" s="21" t="s">
        <v>41</v>
      </c>
      <c r="E61" s="26">
        <v>7000</v>
      </c>
      <c r="F61" s="23">
        <v>1436.25</v>
      </c>
      <c r="G61" s="23">
        <v>0.52</v>
      </c>
    </row>
    <row r="62" spans="2:9">
      <c r="B62" s="28" t="s">
        <v>149</v>
      </c>
      <c r="C62" s="29"/>
      <c r="D62" s="29"/>
      <c r="E62" s="30"/>
      <c r="F62" s="31">
        <f>SUM(F7:F61)</f>
        <v>263883.64</v>
      </c>
      <c r="G62" s="31">
        <f>SUM(G7:G61)</f>
        <v>95.199999999999974</v>
      </c>
      <c r="H62" s="32"/>
      <c r="I62" s="32"/>
    </row>
    <row r="63" spans="2:9">
      <c r="B63" s="33" t="s">
        <v>150</v>
      </c>
      <c r="C63" s="33"/>
      <c r="D63" s="33"/>
      <c r="E63" s="34"/>
      <c r="F63" s="35">
        <f>F62</f>
        <v>263883.64</v>
      </c>
      <c r="G63" s="35">
        <f>G62</f>
        <v>95.199999999999974</v>
      </c>
      <c r="H63" s="32"/>
      <c r="I63" s="32"/>
    </row>
    <row r="64" spans="2:9">
      <c r="B64" s="36" t="s">
        <v>151</v>
      </c>
      <c r="C64" s="37"/>
      <c r="D64" s="37"/>
      <c r="E64" s="38"/>
      <c r="F64" s="39"/>
      <c r="G64" s="39"/>
    </row>
    <row r="65" spans="2:9">
      <c r="B65" s="25" t="s">
        <v>151</v>
      </c>
      <c r="C65" s="21"/>
      <c r="D65" s="21"/>
      <c r="E65" s="22"/>
      <c r="F65" s="23">
        <v>15112.4</v>
      </c>
      <c r="G65" s="23">
        <v>5.45</v>
      </c>
    </row>
    <row r="66" spans="2:9">
      <c r="B66" s="28" t="s">
        <v>149</v>
      </c>
      <c r="C66" s="29"/>
      <c r="D66" s="29"/>
      <c r="E66" s="30"/>
      <c r="F66" s="31">
        <f>SUM(F64:F65)</f>
        <v>15112.4</v>
      </c>
      <c r="G66" s="31">
        <f>SUM(G64:G65)</f>
        <v>5.45</v>
      </c>
      <c r="H66" s="32"/>
      <c r="I66" s="32"/>
    </row>
    <row r="67" spans="2:9">
      <c r="B67" s="40" t="s">
        <v>150</v>
      </c>
      <c r="C67" s="40"/>
      <c r="D67" s="40"/>
      <c r="E67" s="41"/>
      <c r="F67" s="42">
        <f>F66</f>
        <v>15112.4</v>
      </c>
      <c r="G67" s="42">
        <f>G66</f>
        <v>5.45</v>
      </c>
      <c r="H67" s="32"/>
      <c r="I67" s="32"/>
    </row>
    <row r="68" spans="2:9">
      <c r="B68" s="43" t="s">
        <v>152</v>
      </c>
      <c r="C68" s="43"/>
      <c r="D68" s="43"/>
      <c r="E68" s="44"/>
      <c r="F68" s="45">
        <f>F69-(+F63+F67)</f>
        <v>-1817.3800000000629</v>
      </c>
      <c r="G68" s="45">
        <f>G69-(+G63+G67)</f>
        <v>-0.64999999999997726</v>
      </c>
      <c r="H68" s="32"/>
      <c r="I68" s="32"/>
    </row>
    <row r="69" spans="2:9">
      <c r="B69" s="43" t="s">
        <v>153</v>
      </c>
      <c r="C69" s="43"/>
      <c r="D69" s="43"/>
      <c r="E69" s="44"/>
      <c r="F69" s="45">
        <v>277178.65999999997</v>
      </c>
      <c r="G69" s="45">
        <v>100</v>
      </c>
      <c r="H69" s="32"/>
      <c r="I69" s="32"/>
    </row>
    <row r="71" spans="2:9">
      <c r="B71" s="3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2021-10-08T11:17:48Z</dcterms:created>
  <dcterms:modified xsi:type="dcterms:W3CDTF">2021-10-08T11:17:50Z</dcterms:modified>
</cp:coreProperties>
</file>