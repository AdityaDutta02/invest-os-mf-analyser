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60822FB1-31ED-43D9-9384-B5DCEAF5620C}" xr6:coauthVersionLast="47" xr6:coauthVersionMax="47" xr10:uidLastSave="{00000000-0000-0000-0000-000000000000}"/>
  <bookViews>
    <workbookView xWindow="-110" yWindow="-110" windowWidth="19420" windowHeight="10300" xr2:uid="{679733E8-B382-4AB9-A2B5-E1CA854FD78A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/>
  <c r="G71" i="1" s="1"/>
  <c r="F70" i="1"/>
  <c r="F71" i="1" s="1"/>
  <c r="G66" i="1"/>
  <c r="G67" i="1" s="1"/>
  <c r="G72" i="1" s="1"/>
  <c r="F66" i="1"/>
  <c r="F67" i="1" s="1"/>
  <c r="F7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<sst xmlns="http://schemas.openxmlformats.org/spreadsheetml/2006/main" count="265" uniqueCount="175">
  <si>
    <t>CANARA ROBECO MID CAP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</si>
  <si>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</si>
  <si>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</si>
  <si>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</si>
  <si>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</si>
  <si>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</si>
  <si>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</si>
  <si>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</si>
  <si>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</si>
  <si>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</si>
  <si>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</si>
  <si>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</si>
  <si>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</si>
  <si>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</si>
  <si>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</si>
  <si>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</si>
  <si>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</si>
  <si>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</si>
  <si>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</si>
  <si>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Mid Cap</t>
  </si>
  <si>
    <t>Persistent Systems Ltd</t>
  </si>
  <si>
    <t>INE262H01021</t>
  </si>
  <si>
    <t>IT - Software</t>
  </si>
  <si>
    <t>Indian Bank</t>
  </si>
  <si>
    <t>INE562A01011</t>
  </si>
  <si>
    <t>Banks</t>
  </si>
  <si>
    <t>Federal Bank Ltd</t>
  </si>
  <si>
    <t>INE171A01029</t>
  </si>
  <si>
    <t>ICICI Prudential Asset Management Co Ltd</t>
  </si>
  <si>
    <t>INE346A01027</t>
  </si>
  <si>
    <t>Large Cap</t>
  </si>
  <si>
    <t>Bharat Heavy Electricals Ltd</t>
  </si>
  <si>
    <t>INE257A01026</t>
  </si>
  <si>
    <t>Electrical Equipment</t>
  </si>
  <si>
    <t>Max Financial Services Ltd</t>
  </si>
  <si>
    <t>INE180A01020</t>
  </si>
  <si>
    <t>Insurance</t>
  </si>
  <si>
    <t>Benchmark: BSE 150 Mid Cap Index TRI</t>
  </si>
  <si>
    <t>One 97 Communications Ltd</t>
  </si>
  <si>
    <t>INE982J01020</t>
  </si>
  <si>
    <t>Financial Technology (Fintech)</t>
  </si>
  <si>
    <t>Bank Of Maharashtra</t>
  </si>
  <si>
    <t>INE457A01014</t>
  </si>
  <si>
    <t>J.K. Cement Ltd</t>
  </si>
  <si>
    <t>INE823G01014</t>
  </si>
  <si>
    <t>Cement &amp; Cement Products</t>
  </si>
  <si>
    <t>Phoenix Mills Ltd</t>
  </si>
  <si>
    <t>INE211B01039</t>
  </si>
  <si>
    <t>Realty</t>
  </si>
  <si>
    <t>Mahindra &amp; Mahindra Ltd</t>
  </si>
  <si>
    <t>INE101A01026</t>
  </si>
  <si>
    <t>Automobiles</t>
  </si>
  <si>
    <t>Prestige Estates Projects Ltd</t>
  </si>
  <si>
    <t>INE811K01011</t>
  </si>
  <si>
    <t>Eternal Ltd</t>
  </si>
  <si>
    <t>INE758T01015</t>
  </si>
  <si>
    <t>Retailing</t>
  </si>
  <si>
    <t>Solar Industries India Ltd</t>
  </si>
  <si>
    <t>INE343H01029</t>
  </si>
  <si>
    <t>Chemicals &amp; Petrochemicals</t>
  </si>
  <si>
    <t>Coforge Ltd</t>
  </si>
  <si>
    <t>INE591G01025</t>
  </si>
  <si>
    <t>Global Health Ltd</t>
  </si>
  <si>
    <t>INE474Q01031</t>
  </si>
  <si>
    <t>Healthcare Services</t>
  </si>
  <si>
    <t>HDFC Asset Management Co Ltd</t>
  </si>
  <si>
    <t>INE127D01025</t>
  </si>
  <si>
    <t>Chalet Hotels Ltd</t>
  </si>
  <si>
    <t>INE427F01016</t>
  </si>
  <si>
    <t>Leisure Services</t>
  </si>
  <si>
    <t>Small Cap</t>
  </si>
  <si>
    <t>Bharat Electronics Ltd</t>
  </si>
  <si>
    <t>INE263A01024</t>
  </si>
  <si>
    <t>Aerospace &amp; Defense</t>
  </si>
  <si>
    <t>Ge Vernova T&amp;D India Ltd</t>
  </si>
  <si>
    <t>INE200A01026</t>
  </si>
  <si>
    <t>Jubilant Foodworks Ltd</t>
  </si>
  <si>
    <t>INE797F01020</t>
  </si>
  <si>
    <t>Torrent Power Ltd</t>
  </si>
  <si>
    <t>INE813H01021</t>
  </si>
  <si>
    <t>Power</t>
  </si>
  <si>
    <t>PB Fintech Ltd</t>
  </si>
  <si>
    <t>INE417T01026</t>
  </si>
  <si>
    <t>Swiggy Ltd</t>
  </si>
  <si>
    <t>INE00H001014</t>
  </si>
  <si>
    <t>Ajanta Pharma Ltd</t>
  </si>
  <si>
    <t>INE031B01049</t>
  </si>
  <si>
    <t>Pharmaceuticals &amp; Biotechnology</t>
  </si>
  <si>
    <t>Interglobe Aviation Ltd</t>
  </si>
  <si>
    <t>INE646L01027</t>
  </si>
  <si>
    <t>Transport Services</t>
  </si>
  <si>
    <t>Blue Star Ltd</t>
  </si>
  <si>
    <t>INE472A01039</t>
  </si>
  <si>
    <t>Consumer Durables</t>
  </si>
  <si>
    <t>PI Industries Ltd</t>
  </si>
  <si>
    <t>INE603J01030</t>
  </si>
  <si>
    <t>Fertilizers &amp; Agrochemicals</t>
  </si>
  <si>
    <t>Info Edge (India) Ltd</t>
  </si>
  <si>
    <t>INE663F01032</t>
  </si>
  <si>
    <t>L&amp;T Technology Services Ltd</t>
  </si>
  <si>
    <t>INE010V01017</t>
  </si>
  <si>
    <t>IT - Services</t>
  </si>
  <si>
    <t>AU Small Finance Bank Ltd</t>
  </si>
  <si>
    <t>INE949L01017</t>
  </si>
  <si>
    <t>L&amp;T Finance Ltd</t>
  </si>
  <si>
    <t>INE498L01015</t>
  </si>
  <si>
    <t>Finance</t>
  </si>
  <si>
    <t>Max Healthcare Institute Ltd</t>
  </si>
  <si>
    <t>INE027H01010</t>
  </si>
  <si>
    <t>Dixon Technologies (India) Ltd</t>
  </si>
  <si>
    <t>INE935N01020</t>
  </si>
  <si>
    <t>Uno Minda Ltd</t>
  </si>
  <si>
    <t>INE405E01023</t>
  </si>
  <si>
    <t>Auto Components</t>
  </si>
  <si>
    <t>Cummins India Ltd</t>
  </si>
  <si>
    <t>INE298A01020</t>
  </si>
  <si>
    <t>Industrial Products</t>
  </si>
  <si>
    <t>Balkrishna Industries Ltd</t>
  </si>
  <si>
    <t>INE787D01026</t>
  </si>
  <si>
    <t>National Aluminium Co Ltd</t>
  </si>
  <si>
    <t>INE139A01034</t>
  </si>
  <si>
    <t>Non - Ferrous Metals</t>
  </si>
  <si>
    <t>Oil India Ltd</t>
  </si>
  <si>
    <t>INE274J01014</t>
  </si>
  <si>
    <t>Oil</t>
  </si>
  <si>
    <t>Hindustan Aeronautics Ltd</t>
  </si>
  <si>
    <t>INE066F01020</t>
  </si>
  <si>
    <t>NHPC Ltd</t>
  </si>
  <si>
    <t>INE848E01016</t>
  </si>
  <si>
    <t>Apar Industries Ltd</t>
  </si>
  <si>
    <t>INE372A01015</t>
  </si>
  <si>
    <t>Delhivery Ltd</t>
  </si>
  <si>
    <t>INE148O01028</t>
  </si>
  <si>
    <t>Physicswallah Ltd</t>
  </si>
  <si>
    <t>INE0LP301011</t>
  </si>
  <si>
    <t>Other Consumer Services</t>
  </si>
  <si>
    <t>Vishal Mega Mart Ltd</t>
  </si>
  <si>
    <t>INE01EA01019</t>
  </si>
  <si>
    <t>Linde India Ltd</t>
  </si>
  <si>
    <t>INE473A01011</t>
  </si>
  <si>
    <t>KPIT Technologies Ltd</t>
  </si>
  <si>
    <t>INE04I401011</t>
  </si>
  <si>
    <t>Supreme Industries Ltd</t>
  </si>
  <si>
    <t>INE195A01028</t>
  </si>
  <si>
    <t>KEI Industries Ltd</t>
  </si>
  <si>
    <t>INE878B01027</t>
  </si>
  <si>
    <t>Trent Ltd</t>
  </si>
  <si>
    <t>INE849A01020</t>
  </si>
  <si>
    <t>Titan Co Ltd</t>
  </si>
  <si>
    <t>INE280A01028</t>
  </si>
  <si>
    <t>CRISIL Ltd</t>
  </si>
  <si>
    <t>INE007A01025</t>
  </si>
  <si>
    <t>Escorts Kubota Ltd</t>
  </si>
  <si>
    <t>INE042A01014</t>
  </si>
  <si>
    <t>Agricultural, Commercial &amp; Construction Vehicles</t>
  </si>
  <si>
    <t>Metro Brands Ltd</t>
  </si>
  <si>
    <t>INE317I01021</t>
  </si>
  <si>
    <t>Dalmia Bharat Ltd</t>
  </si>
  <si>
    <t>INE00R701025</t>
  </si>
  <si>
    <t>Schaeffler India Ltd</t>
  </si>
  <si>
    <t>INE513A01022</t>
  </si>
  <si>
    <t>Bharti Hexacom Ltd</t>
  </si>
  <si>
    <t>INE343G01021</t>
  </si>
  <si>
    <t>Telecom - Services</t>
  </si>
  <si>
    <t>Abbott India Ltd</t>
  </si>
  <si>
    <t>INE358A01014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</si>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</sst>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216B-E84E-478B-A08A-981993329672}">
  <dimension ref="B1:N80"/>
  <sheetViews>
    <sheetView tabSelected="1" topLeftCell="H1" workbookViewId="0">
      <selection activeCell="B78" sqref="B78:B80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26953125" style="3" bestFit="1" customWidth="1"/>
    <col min="4" max="4" width="40.4531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3" t="s">
        <v>9</v>
      </c>
      <c r="K4" s="14" t="s">
        <v>10</v>
      </c>
      <c r="L4" s="14" t="s">
        <v>11</v>
      </c>
      <c r="M4" s="14" t="s">
        <v>12</v>
      </c>
      <c r="N4" s="14" t="s">
        <v>13</v>
      </c>
    </row>
    <row r="5" spans="2:14" x14ac:dyDescent="0.25">
      <c r="B5" s="15" t="s">
        <v>14</v>
      </c>
      <c r="C5" s="16"/>
      <c r="D5" s="16"/>
      <c r="E5" s="16"/>
      <c r="F5" s="17"/>
      <c r="G5" s="17"/>
      <c r="H5" s="17"/>
      <c r="I5" s="17"/>
      <c r="K5" s="18" t="e" vm="1">
        <v>#VALUE!</v>
      </c>
      <c r="L5" s="18" t="e" vm="2">
        <v>#VALUE!</v>
      </c>
      <c r="M5" s="18" t="e" vm="1">
        <v>#VALUE!</v>
      </c>
      <c r="N5" s="18" t="e" vm="2">
        <v>#VALUE!</v>
      </c>
    </row>
    <row r="6" spans="2:14" x14ac:dyDescent="0.25">
      <c r="B6" s="19" t="s">
        <v>15</v>
      </c>
      <c r="C6" s="20"/>
      <c r="D6" s="20"/>
      <c r="E6" s="20"/>
      <c r="F6" s="21"/>
      <c r="G6" s="21"/>
      <c r="H6" s="21"/>
      <c r="I6" s="21"/>
      <c r="K6" s="22"/>
      <c r="L6" s="22"/>
      <c r="M6" s="22"/>
      <c r="N6" s="22"/>
    </row>
    <row r="7" spans="2:14" x14ac:dyDescent="0.25">
      <c r="B7" s="23" t="s">
        <v>16</v>
      </c>
      <c r="C7" s="20" t="s">
        <v>17</v>
      </c>
      <c r="D7" s="20" t="s">
        <v>18</v>
      </c>
      <c r="E7" s="24">
        <v>557047</v>
      </c>
      <c r="F7" s="21">
        <v>14082.15</v>
      </c>
      <c r="G7" s="21">
        <v>3.47</v>
      </c>
      <c r="H7" s="21" t="s">
        <v>19</v>
      </c>
      <c r="I7" s="21"/>
      <c r="K7" s="22"/>
      <c r="L7" s="22"/>
      <c r="M7" s="22"/>
      <c r="N7" s="22"/>
    </row>
    <row r="8" spans="2:14" x14ac:dyDescent="0.25">
      <c r="B8" s="23" t="s">
        <v>20</v>
      </c>
      <c r="C8" s="20" t="s">
        <v>21</v>
      </c>
      <c r="D8" s="20" t="s">
        <v>22</v>
      </c>
      <c r="E8" s="24">
        <v>189344</v>
      </c>
      <c r="F8" s="21">
        <v>11426.91</v>
      </c>
      <c r="G8" s="21">
        <v>2.81</v>
      </c>
      <c r="H8" s="21" t="s">
        <v>19</v>
      </c>
      <c r="I8" s="21"/>
      <c r="K8" s="22"/>
      <c r="L8" s="22"/>
      <c r="M8" s="22"/>
      <c r="N8" s="22"/>
    </row>
    <row r="9" spans="2:14" x14ac:dyDescent="0.25">
      <c r="B9" s="23" t="s">
        <v>23</v>
      </c>
      <c r="C9" s="20" t="s">
        <v>24</v>
      </c>
      <c r="D9" s="20" t="s">
        <v>25</v>
      </c>
      <c r="E9" s="24">
        <v>1224468</v>
      </c>
      <c r="F9" s="21">
        <v>11163.47</v>
      </c>
      <c r="G9" s="21">
        <v>2.75</v>
      </c>
      <c r="H9" s="21" t="s">
        <v>19</v>
      </c>
      <c r="I9" s="21"/>
      <c r="K9" s="22"/>
      <c r="L9" s="22"/>
      <c r="M9" s="22"/>
      <c r="N9" s="22"/>
    </row>
    <row r="10" spans="2:14" x14ac:dyDescent="0.25">
      <c r="B10" s="23" t="s">
        <v>26</v>
      </c>
      <c r="C10" s="20" t="s">
        <v>27</v>
      </c>
      <c r="D10" s="20" t="s">
        <v>25</v>
      </c>
      <c r="E10" s="24">
        <v>3786188</v>
      </c>
      <c r="F10" s="21">
        <v>10894.76</v>
      </c>
      <c r="G10" s="21">
        <v>2.68</v>
      </c>
      <c r="H10" s="21" t="s">
        <v>19</v>
      </c>
      <c r="I10" s="21"/>
      <c r="K10" s="22"/>
      <c r="L10" s="22"/>
      <c r="M10" s="22"/>
      <c r="N10" s="22"/>
    </row>
    <row r="11" spans="2:14" x14ac:dyDescent="0.25">
      <c r="B11" s="23" t="s">
        <v>28</v>
      </c>
      <c r="C11" s="20" t="s">
        <v>29</v>
      </c>
      <c r="D11" s="20" t="s">
        <v>18</v>
      </c>
      <c r="E11" s="24">
        <v>338158</v>
      </c>
      <c r="F11" s="21">
        <v>10052.08</v>
      </c>
      <c r="G11" s="21">
        <v>2.48</v>
      </c>
      <c r="H11" s="21" t="s">
        <v>30</v>
      </c>
      <c r="I11" s="21"/>
      <c r="K11" s="22"/>
      <c r="L11" s="22"/>
      <c r="M11" s="22"/>
      <c r="N11" s="22"/>
    </row>
    <row r="12" spans="2:14" x14ac:dyDescent="0.25">
      <c r="B12" s="23" t="s">
        <v>31</v>
      </c>
      <c r="C12" s="20" t="s">
        <v>32</v>
      </c>
      <c r="D12" s="20" t="s">
        <v>33</v>
      </c>
      <c r="E12" s="24">
        <v>3780195</v>
      </c>
      <c r="F12" s="21">
        <v>9930.57</v>
      </c>
      <c r="G12" s="21">
        <v>2.4500000000000002</v>
      </c>
      <c r="H12" s="21" t="s">
        <v>19</v>
      </c>
      <c r="I12" s="21"/>
      <c r="K12" s="25"/>
      <c r="L12" s="25"/>
      <c r="M12" s="25"/>
      <c r="N12" s="25"/>
    </row>
    <row r="13" spans="2:14" x14ac:dyDescent="0.25">
      <c r="B13" s="23" t="s">
        <v>34</v>
      </c>
      <c r="C13" s="20" t="s">
        <v>35</v>
      </c>
      <c r="D13" s="20" t="s">
        <v>36</v>
      </c>
      <c r="E13" s="24">
        <v>604633</v>
      </c>
      <c r="F13" s="21">
        <v>9756.36</v>
      </c>
      <c r="G13" s="21">
        <v>2.4</v>
      </c>
      <c r="H13" s="21" t="s">
        <v>19</v>
      </c>
      <c r="I13" s="21"/>
      <c r="L13" s="3" t="s">
        <v>37</v>
      </c>
    </row>
    <row r="14" spans="2:14" x14ac:dyDescent="0.25">
      <c r="B14" s="23" t="s">
        <v>38</v>
      </c>
      <c r="C14" s="20" t="s">
        <v>39</v>
      </c>
      <c r="D14" s="20" t="s">
        <v>40</v>
      </c>
      <c r="E14" s="24">
        <v>848478</v>
      </c>
      <c r="F14" s="21">
        <v>9651.44</v>
      </c>
      <c r="G14" s="21">
        <v>2.38</v>
      </c>
      <c r="H14" s="21" t="s">
        <v>19</v>
      </c>
      <c r="I14" s="21"/>
    </row>
    <row r="15" spans="2:14" x14ac:dyDescent="0.25">
      <c r="B15" s="23" t="s">
        <v>41</v>
      </c>
      <c r="C15" s="20" t="s">
        <v>42</v>
      </c>
      <c r="D15" s="20" t="s">
        <v>25</v>
      </c>
      <c r="E15" s="24">
        <v>14182185</v>
      </c>
      <c r="F15" s="21">
        <v>9256.7099999999991</v>
      </c>
      <c r="G15" s="21">
        <v>2.2799999999999998</v>
      </c>
      <c r="H15" s="21" t="s">
        <v>19</v>
      </c>
      <c r="I15" s="21"/>
    </row>
    <row r="16" spans="2:14" x14ac:dyDescent="0.25">
      <c r="B16" s="23" t="s">
        <v>43</v>
      </c>
      <c r="C16" s="20" t="s">
        <v>44</v>
      </c>
      <c r="D16" s="20" t="s">
        <v>45</v>
      </c>
      <c r="E16" s="24">
        <v>161716</v>
      </c>
      <c r="F16" s="21">
        <v>8932.3799999999992</v>
      </c>
      <c r="G16" s="21">
        <v>2.2000000000000002</v>
      </c>
      <c r="H16" s="21" t="s">
        <v>19</v>
      </c>
      <c r="I16" s="21"/>
    </row>
    <row r="17" spans="2:9" x14ac:dyDescent="0.25">
      <c r="B17" s="23" t="s">
        <v>46</v>
      </c>
      <c r="C17" s="20" t="s">
        <v>47</v>
      </c>
      <c r="D17" s="20" t="s">
        <v>48</v>
      </c>
      <c r="E17" s="24">
        <v>531133</v>
      </c>
      <c r="F17" s="21">
        <v>8873.64</v>
      </c>
      <c r="G17" s="21">
        <v>2.19</v>
      </c>
      <c r="H17" s="21" t="s">
        <v>19</v>
      </c>
      <c r="I17" s="21"/>
    </row>
    <row r="18" spans="2:9" x14ac:dyDescent="0.25">
      <c r="B18" s="23" t="s">
        <v>49</v>
      </c>
      <c r="C18" s="20" t="s">
        <v>50</v>
      </c>
      <c r="D18" s="20" t="s">
        <v>51</v>
      </c>
      <c r="E18" s="24">
        <v>237119</v>
      </c>
      <c r="F18" s="21">
        <v>8137.45</v>
      </c>
      <c r="G18" s="21">
        <v>2</v>
      </c>
      <c r="H18" s="21" t="s">
        <v>30</v>
      </c>
      <c r="I18" s="21"/>
    </row>
    <row r="19" spans="2:9" x14ac:dyDescent="0.25">
      <c r="B19" s="23" t="s">
        <v>52</v>
      </c>
      <c r="C19" s="20" t="s">
        <v>53</v>
      </c>
      <c r="D19" s="20" t="s">
        <v>48</v>
      </c>
      <c r="E19" s="24">
        <v>554737</v>
      </c>
      <c r="F19" s="21">
        <v>8107.48</v>
      </c>
      <c r="G19" s="21">
        <v>2</v>
      </c>
      <c r="H19" s="21" t="s">
        <v>19</v>
      </c>
      <c r="I19" s="21"/>
    </row>
    <row r="20" spans="2:9" x14ac:dyDescent="0.25">
      <c r="B20" s="23" t="s">
        <v>54</v>
      </c>
      <c r="C20" s="20" t="s">
        <v>55</v>
      </c>
      <c r="D20" s="20" t="s">
        <v>56</v>
      </c>
      <c r="E20" s="24">
        <v>2880823</v>
      </c>
      <c r="F20" s="21">
        <v>7881.93</v>
      </c>
      <c r="G20" s="21">
        <v>1.94</v>
      </c>
      <c r="H20" s="21" t="s">
        <v>30</v>
      </c>
      <c r="I20" s="21"/>
    </row>
    <row r="21" spans="2:9" x14ac:dyDescent="0.25">
      <c r="B21" s="23" t="s">
        <v>57</v>
      </c>
      <c r="C21" s="20" t="s">
        <v>58</v>
      </c>
      <c r="D21" s="20" t="s">
        <v>59</v>
      </c>
      <c r="E21" s="24">
        <v>57931</v>
      </c>
      <c r="F21" s="21">
        <v>7809.1</v>
      </c>
      <c r="G21" s="21">
        <v>1.92</v>
      </c>
      <c r="H21" s="21" t="s">
        <v>30</v>
      </c>
      <c r="I21" s="21"/>
    </row>
    <row r="22" spans="2:9" x14ac:dyDescent="0.25">
      <c r="B22" s="23" t="s">
        <v>60</v>
      </c>
      <c r="C22" s="20" t="s">
        <v>61</v>
      </c>
      <c r="D22" s="20" t="s">
        <v>22</v>
      </c>
      <c r="E22" s="24">
        <v>467924</v>
      </c>
      <c r="F22" s="21">
        <v>7738.53</v>
      </c>
      <c r="G22" s="21">
        <v>1.91</v>
      </c>
      <c r="H22" s="21" t="s">
        <v>19</v>
      </c>
      <c r="I22" s="21"/>
    </row>
    <row r="23" spans="2:9" x14ac:dyDescent="0.25">
      <c r="B23" s="23" t="s">
        <v>62</v>
      </c>
      <c r="C23" s="20" t="s">
        <v>63</v>
      </c>
      <c r="D23" s="20" t="s">
        <v>64</v>
      </c>
      <c r="E23" s="24">
        <v>722585</v>
      </c>
      <c r="F23" s="21">
        <v>7614.6</v>
      </c>
      <c r="G23" s="21">
        <v>1.88</v>
      </c>
      <c r="H23" s="21" t="s">
        <v>19</v>
      </c>
      <c r="I23" s="21"/>
    </row>
    <row r="24" spans="2:9" x14ac:dyDescent="0.25">
      <c r="B24" s="23" t="s">
        <v>65</v>
      </c>
      <c r="C24" s="20" t="s">
        <v>66</v>
      </c>
      <c r="D24" s="20" t="s">
        <v>18</v>
      </c>
      <c r="E24" s="24">
        <v>296474</v>
      </c>
      <c r="F24" s="21">
        <v>7458.4</v>
      </c>
      <c r="G24" s="21">
        <v>1.84</v>
      </c>
      <c r="H24" s="21" t="s">
        <v>30</v>
      </c>
      <c r="I24" s="21"/>
    </row>
    <row r="25" spans="2:9" x14ac:dyDescent="0.25">
      <c r="B25" s="23" t="s">
        <v>67</v>
      </c>
      <c r="C25" s="20" t="s">
        <v>68</v>
      </c>
      <c r="D25" s="20" t="s">
        <v>69</v>
      </c>
      <c r="E25" s="24">
        <v>839093</v>
      </c>
      <c r="F25" s="21">
        <v>7310.18</v>
      </c>
      <c r="G25" s="21">
        <v>1.8</v>
      </c>
      <c r="H25" s="21" t="s">
        <v>70</v>
      </c>
      <c r="I25" s="21"/>
    </row>
    <row r="26" spans="2:9" x14ac:dyDescent="0.25">
      <c r="B26" s="23" t="s">
        <v>71</v>
      </c>
      <c r="C26" s="20" t="s">
        <v>72</v>
      </c>
      <c r="D26" s="20" t="s">
        <v>73</v>
      </c>
      <c r="E26" s="24">
        <v>1576707</v>
      </c>
      <c r="F26" s="21">
        <v>7079.41</v>
      </c>
      <c r="G26" s="21">
        <v>1.74</v>
      </c>
      <c r="H26" s="21" t="s">
        <v>30</v>
      </c>
      <c r="I26" s="21"/>
    </row>
    <row r="27" spans="2:9" x14ac:dyDescent="0.25">
      <c r="B27" s="23" t="s">
        <v>74</v>
      </c>
      <c r="C27" s="20" t="s">
        <v>75</v>
      </c>
      <c r="D27" s="20" t="s">
        <v>33</v>
      </c>
      <c r="E27" s="24">
        <v>218552</v>
      </c>
      <c r="F27" s="21">
        <v>7059.89</v>
      </c>
      <c r="G27" s="21">
        <v>1.74</v>
      </c>
      <c r="H27" s="21" t="s">
        <v>19</v>
      </c>
      <c r="I27" s="21"/>
    </row>
    <row r="28" spans="2:9" x14ac:dyDescent="0.25">
      <c r="B28" s="23" t="s">
        <v>76</v>
      </c>
      <c r="C28" s="20" t="s">
        <v>77</v>
      </c>
      <c r="D28" s="20" t="s">
        <v>69</v>
      </c>
      <c r="E28" s="24">
        <v>1365478</v>
      </c>
      <c r="F28" s="21">
        <v>6787.11</v>
      </c>
      <c r="G28" s="21">
        <v>1.67</v>
      </c>
      <c r="H28" s="21" t="s">
        <v>19</v>
      </c>
      <c r="I28" s="21"/>
    </row>
    <row r="29" spans="2:9" x14ac:dyDescent="0.25">
      <c r="B29" s="23" t="s">
        <v>78</v>
      </c>
      <c r="C29" s="20" t="s">
        <v>79</v>
      </c>
      <c r="D29" s="20" t="s">
        <v>80</v>
      </c>
      <c r="E29" s="24">
        <v>476764</v>
      </c>
      <c r="F29" s="21">
        <v>6615.58</v>
      </c>
      <c r="G29" s="21">
        <v>1.63</v>
      </c>
      <c r="H29" s="21" t="s">
        <v>19</v>
      </c>
      <c r="I29" s="21"/>
    </row>
    <row r="30" spans="2:9" x14ac:dyDescent="0.25">
      <c r="B30" s="23" t="s">
        <v>81</v>
      </c>
      <c r="C30" s="20" t="s">
        <v>82</v>
      </c>
      <c r="D30" s="20" t="s">
        <v>40</v>
      </c>
      <c r="E30" s="24">
        <v>390745</v>
      </c>
      <c r="F30" s="21">
        <v>6464.88</v>
      </c>
      <c r="G30" s="21">
        <v>1.59</v>
      </c>
      <c r="H30" s="21" t="s">
        <v>19</v>
      </c>
      <c r="I30" s="21"/>
    </row>
    <row r="31" spans="2:9" x14ac:dyDescent="0.25">
      <c r="B31" s="23" t="s">
        <v>83</v>
      </c>
      <c r="C31" s="20" t="s">
        <v>84</v>
      </c>
      <c r="D31" s="20" t="s">
        <v>56</v>
      </c>
      <c r="E31" s="24">
        <v>2051215</v>
      </c>
      <c r="F31" s="21">
        <v>6353.64</v>
      </c>
      <c r="G31" s="21">
        <v>1.56</v>
      </c>
      <c r="H31" s="21" t="s">
        <v>19</v>
      </c>
      <c r="I31" s="21"/>
    </row>
    <row r="32" spans="2:9" x14ac:dyDescent="0.25">
      <c r="B32" s="23" t="s">
        <v>85</v>
      </c>
      <c r="C32" s="20" t="s">
        <v>86</v>
      </c>
      <c r="D32" s="20" t="s">
        <v>87</v>
      </c>
      <c r="E32" s="24">
        <v>226163</v>
      </c>
      <c r="F32" s="21">
        <v>6291.63</v>
      </c>
      <c r="G32" s="21">
        <v>1.55</v>
      </c>
      <c r="H32" s="21" t="s">
        <v>70</v>
      </c>
      <c r="I32" s="21"/>
    </row>
    <row r="33" spans="2:9" x14ac:dyDescent="0.25">
      <c r="B33" s="23" t="s">
        <v>88</v>
      </c>
      <c r="C33" s="20" t="s">
        <v>89</v>
      </c>
      <c r="D33" s="20" t="s">
        <v>90</v>
      </c>
      <c r="E33" s="24">
        <v>136494</v>
      </c>
      <c r="F33" s="21">
        <v>6273.95</v>
      </c>
      <c r="G33" s="21">
        <v>1.55</v>
      </c>
      <c r="H33" s="21" t="s">
        <v>30</v>
      </c>
      <c r="I33" s="21"/>
    </row>
    <row r="34" spans="2:9" x14ac:dyDescent="0.25">
      <c r="B34" s="23" t="s">
        <v>91</v>
      </c>
      <c r="C34" s="20" t="s">
        <v>92</v>
      </c>
      <c r="D34" s="20" t="s">
        <v>93</v>
      </c>
      <c r="E34" s="24">
        <v>344791</v>
      </c>
      <c r="F34" s="21">
        <v>6264.51</v>
      </c>
      <c r="G34" s="21">
        <v>1.54</v>
      </c>
      <c r="H34" s="21" t="s">
        <v>19</v>
      </c>
      <c r="I34" s="21"/>
    </row>
    <row r="35" spans="2:9" x14ac:dyDescent="0.25">
      <c r="B35" s="23" t="s">
        <v>94</v>
      </c>
      <c r="C35" s="20" t="s">
        <v>95</v>
      </c>
      <c r="D35" s="20" t="s">
        <v>96</v>
      </c>
      <c r="E35" s="24">
        <v>195930</v>
      </c>
      <c r="F35" s="21">
        <v>6260.75</v>
      </c>
      <c r="G35" s="21">
        <v>1.54</v>
      </c>
      <c r="H35" s="21" t="s">
        <v>19</v>
      </c>
      <c r="I35" s="21"/>
    </row>
    <row r="36" spans="2:9" x14ac:dyDescent="0.25">
      <c r="B36" s="23" t="s">
        <v>97</v>
      </c>
      <c r="C36" s="20" t="s">
        <v>98</v>
      </c>
      <c r="D36" s="20" t="s">
        <v>56</v>
      </c>
      <c r="E36" s="24">
        <v>499565</v>
      </c>
      <c r="F36" s="21">
        <v>6241.57</v>
      </c>
      <c r="G36" s="21">
        <v>1.54</v>
      </c>
      <c r="H36" s="21" t="s">
        <v>19</v>
      </c>
      <c r="I36" s="21"/>
    </row>
    <row r="37" spans="2:9" x14ac:dyDescent="0.25">
      <c r="B37" s="23" t="s">
        <v>99</v>
      </c>
      <c r="C37" s="20" t="s">
        <v>100</v>
      </c>
      <c r="D37" s="20" t="s">
        <v>101</v>
      </c>
      <c r="E37" s="24">
        <v>167267</v>
      </c>
      <c r="F37" s="21">
        <v>6227.02</v>
      </c>
      <c r="G37" s="21">
        <v>1.53</v>
      </c>
      <c r="H37" s="21" t="s">
        <v>19</v>
      </c>
      <c r="I37" s="21"/>
    </row>
    <row r="38" spans="2:9" x14ac:dyDescent="0.25">
      <c r="B38" s="23" t="s">
        <v>102</v>
      </c>
      <c r="C38" s="20" t="s">
        <v>103</v>
      </c>
      <c r="D38" s="20" t="s">
        <v>25</v>
      </c>
      <c r="E38" s="24">
        <v>621430</v>
      </c>
      <c r="F38" s="21">
        <v>6104.62</v>
      </c>
      <c r="G38" s="21">
        <v>1.5</v>
      </c>
      <c r="H38" s="21" t="s">
        <v>19</v>
      </c>
      <c r="I38" s="21"/>
    </row>
    <row r="39" spans="2:9" x14ac:dyDescent="0.25">
      <c r="B39" s="23" t="s">
        <v>104</v>
      </c>
      <c r="C39" s="20" t="s">
        <v>105</v>
      </c>
      <c r="D39" s="20" t="s">
        <v>106</v>
      </c>
      <c r="E39" s="24">
        <v>2108275</v>
      </c>
      <c r="F39" s="21">
        <v>6037.05</v>
      </c>
      <c r="G39" s="21">
        <v>1.49</v>
      </c>
      <c r="H39" s="21" t="s">
        <v>19</v>
      </c>
      <c r="I39" s="21"/>
    </row>
    <row r="40" spans="2:9" x14ac:dyDescent="0.25">
      <c r="B40" s="23" t="s">
        <v>107</v>
      </c>
      <c r="C40" s="20" t="s">
        <v>108</v>
      </c>
      <c r="D40" s="20" t="s">
        <v>64</v>
      </c>
      <c r="E40" s="24">
        <v>630741</v>
      </c>
      <c r="F40" s="21">
        <v>6034.93</v>
      </c>
      <c r="G40" s="21">
        <v>1.49</v>
      </c>
      <c r="H40" s="21" t="s">
        <v>30</v>
      </c>
      <c r="I40" s="21"/>
    </row>
    <row r="41" spans="2:9" x14ac:dyDescent="0.25">
      <c r="B41" s="23" t="s">
        <v>109</v>
      </c>
      <c r="C41" s="20" t="s">
        <v>110</v>
      </c>
      <c r="D41" s="20" t="s">
        <v>93</v>
      </c>
      <c r="E41" s="24">
        <v>57511</v>
      </c>
      <c r="F41" s="21">
        <v>6007.6</v>
      </c>
      <c r="G41" s="21">
        <v>1.48</v>
      </c>
      <c r="H41" s="21" t="s">
        <v>19</v>
      </c>
      <c r="I41" s="21"/>
    </row>
    <row r="42" spans="2:9" x14ac:dyDescent="0.25">
      <c r="B42" s="23" t="s">
        <v>111</v>
      </c>
      <c r="C42" s="20" t="s">
        <v>112</v>
      </c>
      <c r="D42" s="20" t="s">
        <v>113</v>
      </c>
      <c r="E42" s="24">
        <v>505065</v>
      </c>
      <c r="F42" s="21">
        <v>5971.38</v>
      </c>
      <c r="G42" s="21">
        <v>1.47</v>
      </c>
      <c r="H42" s="21" t="s">
        <v>19</v>
      </c>
      <c r="I42" s="21"/>
    </row>
    <row r="43" spans="2:9" x14ac:dyDescent="0.25">
      <c r="B43" s="23" t="s">
        <v>114</v>
      </c>
      <c r="C43" s="20" t="s">
        <v>115</v>
      </c>
      <c r="D43" s="20" t="s">
        <v>116</v>
      </c>
      <c r="E43" s="24">
        <v>144184</v>
      </c>
      <c r="F43" s="21">
        <v>5929.57</v>
      </c>
      <c r="G43" s="21">
        <v>1.46</v>
      </c>
      <c r="H43" s="21" t="s">
        <v>30</v>
      </c>
      <c r="I43" s="21"/>
    </row>
    <row r="44" spans="2:9" x14ac:dyDescent="0.25">
      <c r="B44" s="23" t="s">
        <v>117</v>
      </c>
      <c r="C44" s="20" t="s">
        <v>118</v>
      </c>
      <c r="D44" s="20" t="s">
        <v>113</v>
      </c>
      <c r="E44" s="24">
        <v>256939</v>
      </c>
      <c r="F44" s="21">
        <v>5924.5</v>
      </c>
      <c r="G44" s="21">
        <v>1.46</v>
      </c>
      <c r="H44" s="21" t="s">
        <v>19</v>
      </c>
      <c r="I44" s="21"/>
    </row>
    <row r="45" spans="2:9" x14ac:dyDescent="0.25">
      <c r="B45" s="23" t="s">
        <v>119</v>
      </c>
      <c r="C45" s="20" t="s">
        <v>120</v>
      </c>
      <c r="D45" s="20" t="s">
        <v>121</v>
      </c>
      <c r="E45" s="24">
        <v>1533048</v>
      </c>
      <c r="F45" s="21">
        <v>5909.13</v>
      </c>
      <c r="G45" s="21">
        <v>1.46</v>
      </c>
      <c r="H45" s="21" t="s">
        <v>19</v>
      </c>
      <c r="I45" s="21"/>
    </row>
    <row r="46" spans="2:9" x14ac:dyDescent="0.25">
      <c r="B46" s="23" t="s">
        <v>122</v>
      </c>
      <c r="C46" s="20" t="s">
        <v>123</v>
      </c>
      <c r="D46" s="20" t="s">
        <v>124</v>
      </c>
      <c r="E46" s="24">
        <v>1073832</v>
      </c>
      <c r="F46" s="21">
        <v>5477.08</v>
      </c>
      <c r="G46" s="21">
        <v>1.35</v>
      </c>
      <c r="H46" s="21" t="s">
        <v>19</v>
      </c>
      <c r="I46" s="21"/>
    </row>
    <row r="47" spans="2:9" x14ac:dyDescent="0.25">
      <c r="B47" s="23" t="s">
        <v>125</v>
      </c>
      <c r="C47" s="20" t="s">
        <v>126</v>
      </c>
      <c r="D47" s="20" t="s">
        <v>73</v>
      </c>
      <c r="E47" s="24">
        <v>118181</v>
      </c>
      <c r="F47" s="21">
        <v>5459.25</v>
      </c>
      <c r="G47" s="21">
        <v>1.34</v>
      </c>
      <c r="H47" s="21" t="s">
        <v>30</v>
      </c>
      <c r="I47" s="21"/>
    </row>
    <row r="48" spans="2:9" x14ac:dyDescent="0.25">
      <c r="B48" s="23" t="s">
        <v>127</v>
      </c>
      <c r="C48" s="20" t="s">
        <v>128</v>
      </c>
      <c r="D48" s="20" t="s">
        <v>80</v>
      </c>
      <c r="E48" s="24">
        <v>6914359</v>
      </c>
      <c r="F48" s="21">
        <v>5407.03</v>
      </c>
      <c r="G48" s="21">
        <v>1.33</v>
      </c>
      <c r="H48" s="21" t="s">
        <v>19</v>
      </c>
      <c r="I48" s="21"/>
    </row>
    <row r="49" spans="2:9" x14ac:dyDescent="0.25">
      <c r="B49" s="23" t="s">
        <v>129</v>
      </c>
      <c r="C49" s="20" t="s">
        <v>130</v>
      </c>
      <c r="D49" s="20" t="s">
        <v>33</v>
      </c>
      <c r="E49" s="24">
        <v>66991</v>
      </c>
      <c r="F49" s="21">
        <v>5355.26</v>
      </c>
      <c r="G49" s="21">
        <v>1.32</v>
      </c>
      <c r="H49" s="21" t="s">
        <v>19</v>
      </c>
      <c r="I49" s="21"/>
    </row>
    <row r="50" spans="2:9" x14ac:dyDescent="0.25">
      <c r="B50" s="23" t="s">
        <v>131</v>
      </c>
      <c r="C50" s="20" t="s">
        <v>132</v>
      </c>
      <c r="D50" s="20" t="s">
        <v>90</v>
      </c>
      <c r="E50" s="24">
        <v>1243793</v>
      </c>
      <c r="F50" s="21">
        <v>5260.62</v>
      </c>
      <c r="G50" s="21">
        <v>1.3</v>
      </c>
      <c r="H50" s="21" t="s">
        <v>70</v>
      </c>
      <c r="I50" s="21"/>
    </row>
    <row r="51" spans="2:9" x14ac:dyDescent="0.25">
      <c r="B51" s="23" t="s">
        <v>133</v>
      </c>
      <c r="C51" s="20" t="s">
        <v>134</v>
      </c>
      <c r="D51" s="20" t="s">
        <v>135</v>
      </c>
      <c r="E51" s="24">
        <v>4367728</v>
      </c>
      <c r="F51" s="21">
        <v>5217.25</v>
      </c>
      <c r="G51" s="21">
        <v>1.28</v>
      </c>
      <c r="H51" s="21" t="s">
        <v>19</v>
      </c>
      <c r="I51" s="21"/>
    </row>
    <row r="52" spans="2:9" x14ac:dyDescent="0.25">
      <c r="B52" s="23" t="s">
        <v>136</v>
      </c>
      <c r="C52" s="20" t="s">
        <v>137</v>
      </c>
      <c r="D52" s="20" t="s">
        <v>56</v>
      </c>
      <c r="E52" s="24">
        <v>4023753</v>
      </c>
      <c r="F52" s="21">
        <v>5067.92</v>
      </c>
      <c r="G52" s="21">
        <v>1.25</v>
      </c>
      <c r="H52" s="21" t="s">
        <v>19</v>
      </c>
      <c r="I52" s="21"/>
    </row>
    <row r="53" spans="2:9" x14ac:dyDescent="0.25">
      <c r="B53" s="23" t="s">
        <v>138</v>
      </c>
      <c r="C53" s="20" t="s">
        <v>139</v>
      </c>
      <c r="D53" s="20" t="s">
        <v>59</v>
      </c>
      <c r="E53" s="24">
        <v>83816</v>
      </c>
      <c r="F53" s="21">
        <v>5034.83</v>
      </c>
      <c r="G53" s="21">
        <v>1.24</v>
      </c>
      <c r="H53" s="21" t="s">
        <v>19</v>
      </c>
      <c r="I53" s="21"/>
    </row>
    <row r="54" spans="2:9" x14ac:dyDescent="0.25">
      <c r="B54" s="23" t="s">
        <v>140</v>
      </c>
      <c r="C54" s="20" t="s">
        <v>141</v>
      </c>
      <c r="D54" s="20" t="s">
        <v>22</v>
      </c>
      <c r="E54" s="24">
        <v>470991</v>
      </c>
      <c r="F54" s="21">
        <v>4907.26</v>
      </c>
      <c r="G54" s="21">
        <v>1.21</v>
      </c>
      <c r="H54" s="21" t="s">
        <v>70</v>
      </c>
      <c r="I54" s="21"/>
    </row>
    <row r="55" spans="2:9" x14ac:dyDescent="0.25">
      <c r="B55" s="23" t="s">
        <v>142</v>
      </c>
      <c r="C55" s="20" t="s">
        <v>143</v>
      </c>
      <c r="D55" s="20" t="s">
        <v>116</v>
      </c>
      <c r="E55" s="24">
        <v>139444</v>
      </c>
      <c r="F55" s="21">
        <v>4899.3599999999997</v>
      </c>
      <c r="G55" s="21">
        <v>1.21</v>
      </c>
      <c r="H55" s="21" t="s">
        <v>19</v>
      </c>
      <c r="I55" s="21"/>
    </row>
    <row r="56" spans="2:9" x14ac:dyDescent="0.25">
      <c r="B56" s="23" t="s">
        <v>144</v>
      </c>
      <c r="C56" s="20" t="s">
        <v>145</v>
      </c>
      <c r="D56" s="20" t="s">
        <v>116</v>
      </c>
      <c r="E56" s="24">
        <v>121026</v>
      </c>
      <c r="F56" s="21">
        <v>4866.58</v>
      </c>
      <c r="G56" s="21">
        <v>1.2</v>
      </c>
      <c r="H56" s="21" t="s">
        <v>19</v>
      </c>
      <c r="I56" s="21"/>
    </row>
    <row r="57" spans="2:9" x14ac:dyDescent="0.25">
      <c r="B57" s="23" t="s">
        <v>146</v>
      </c>
      <c r="C57" s="20" t="s">
        <v>147</v>
      </c>
      <c r="D57" s="20" t="s">
        <v>56</v>
      </c>
      <c r="E57" s="24">
        <v>118113</v>
      </c>
      <c r="F57" s="21">
        <v>4471.17</v>
      </c>
      <c r="G57" s="21">
        <v>1.1000000000000001</v>
      </c>
      <c r="H57" s="21" t="s">
        <v>30</v>
      </c>
      <c r="I57" s="21"/>
    </row>
    <row r="58" spans="2:9" x14ac:dyDescent="0.25">
      <c r="B58" s="23" t="s">
        <v>148</v>
      </c>
      <c r="C58" s="20" t="s">
        <v>149</v>
      </c>
      <c r="D58" s="20" t="s">
        <v>93</v>
      </c>
      <c r="E58" s="24">
        <v>111467</v>
      </c>
      <c r="F58" s="21">
        <v>4433.49</v>
      </c>
      <c r="G58" s="21">
        <v>1.0900000000000001</v>
      </c>
      <c r="H58" s="21" t="s">
        <v>30</v>
      </c>
      <c r="I58" s="21"/>
    </row>
    <row r="59" spans="2:9" x14ac:dyDescent="0.25">
      <c r="B59" s="23" t="s">
        <v>150</v>
      </c>
      <c r="C59" s="20" t="s">
        <v>151</v>
      </c>
      <c r="D59" s="20" t="s">
        <v>106</v>
      </c>
      <c r="E59" s="24">
        <v>86728</v>
      </c>
      <c r="F59" s="21">
        <v>4045.08</v>
      </c>
      <c r="G59" s="21">
        <v>1</v>
      </c>
      <c r="H59" s="21" t="s">
        <v>19</v>
      </c>
      <c r="I59" s="21"/>
    </row>
    <row r="60" spans="2:9" x14ac:dyDescent="0.25">
      <c r="B60" s="23" t="s">
        <v>152</v>
      </c>
      <c r="C60" s="20" t="s">
        <v>153</v>
      </c>
      <c r="D60" s="20" t="s">
        <v>154</v>
      </c>
      <c r="E60" s="24">
        <v>119578</v>
      </c>
      <c r="F60" s="21">
        <v>4042.69</v>
      </c>
      <c r="G60" s="21">
        <v>1</v>
      </c>
      <c r="H60" s="21" t="s">
        <v>19</v>
      </c>
      <c r="I60" s="21"/>
    </row>
    <row r="61" spans="2:9" x14ac:dyDescent="0.25">
      <c r="B61" s="23" t="s">
        <v>155</v>
      </c>
      <c r="C61" s="20" t="s">
        <v>156</v>
      </c>
      <c r="D61" s="20" t="s">
        <v>93</v>
      </c>
      <c r="E61" s="24">
        <v>360543</v>
      </c>
      <c r="F61" s="21">
        <v>3787.5</v>
      </c>
      <c r="G61" s="21">
        <v>0.93</v>
      </c>
      <c r="H61" s="21" t="s">
        <v>70</v>
      </c>
      <c r="I61" s="21"/>
    </row>
    <row r="62" spans="2:9" x14ac:dyDescent="0.25">
      <c r="B62" s="23" t="s">
        <v>157</v>
      </c>
      <c r="C62" s="20" t="s">
        <v>158</v>
      </c>
      <c r="D62" s="20" t="s">
        <v>45</v>
      </c>
      <c r="E62" s="24">
        <v>181819</v>
      </c>
      <c r="F62" s="21">
        <v>3755.47</v>
      </c>
      <c r="G62" s="21">
        <v>0.92</v>
      </c>
      <c r="H62" s="21" t="s">
        <v>19</v>
      </c>
      <c r="I62" s="21"/>
    </row>
    <row r="63" spans="2:9" x14ac:dyDescent="0.25">
      <c r="B63" s="23" t="s">
        <v>159</v>
      </c>
      <c r="C63" s="20" t="s">
        <v>160</v>
      </c>
      <c r="D63" s="20" t="s">
        <v>113</v>
      </c>
      <c r="E63" s="24">
        <v>100785</v>
      </c>
      <c r="F63" s="21">
        <v>3650.53</v>
      </c>
      <c r="G63" s="21">
        <v>0.9</v>
      </c>
      <c r="H63" s="21" t="s">
        <v>19</v>
      </c>
      <c r="I63" s="21"/>
    </row>
    <row r="64" spans="2:9" x14ac:dyDescent="0.25">
      <c r="B64" s="23" t="s">
        <v>161</v>
      </c>
      <c r="C64" s="20" t="s">
        <v>162</v>
      </c>
      <c r="D64" s="20" t="s">
        <v>163</v>
      </c>
      <c r="E64" s="24">
        <v>212867</v>
      </c>
      <c r="F64" s="21">
        <v>3288.37</v>
      </c>
      <c r="G64" s="21">
        <v>0.81</v>
      </c>
      <c r="H64" s="21" t="s">
        <v>19</v>
      </c>
      <c r="I64" s="21"/>
    </row>
    <row r="65" spans="2:10" x14ac:dyDescent="0.25">
      <c r="B65" s="23" t="s">
        <v>164</v>
      </c>
      <c r="C65" s="20" t="s">
        <v>165</v>
      </c>
      <c r="D65" s="20" t="s">
        <v>87</v>
      </c>
      <c r="E65" s="24">
        <v>9217</v>
      </c>
      <c r="F65" s="21">
        <v>2540.67</v>
      </c>
      <c r="G65" s="21">
        <v>0.63</v>
      </c>
      <c r="H65" s="21" t="s">
        <v>19</v>
      </c>
      <c r="I65" s="21"/>
    </row>
    <row r="66" spans="2:10" x14ac:dyDescent="0.25">
      <c r="B66" s="26" t="s">
        <v>166</v>
      </c>
      <c r="C66" s="27"/>
      <c r="D66" s="27"/>
      <c r="E66" s="27"/>
      <c r="F66" s="28">
        <f>SUM(F7:F65)</f>
        <v>392884.27000000008</v>
      </c>
      <c r="G66" s="28">
        <f>SUM(G7:G65)</f>
        <v>96.779999999999959</v>
      </c>
      <c r="H66" s="28"/>
      <c r="I66" s="28"/>
      <c r="J66" s="29"/>
    </row>
    <row r="67" spans="2:10" x14ac:dyDescent="0.25">
      <c r="B67" s="30" t="s">
        <v>167</v>
      </c>
      <c r="C67" s="30"/>
      <c r="D67" s="30"/>
      <c r="E67" s="30"/>
      <c r="F67" s="31">
        <f>F66</f>
        <v>392884.27000000008</v>
      </c>
      <c r="G67" s="31">
        <f>G66</f>
        <v>96.779999999999959</v>
      </c>
      <c r="H67" s="32"/>
      <c r="I67" s="32"/>
      <c r="J67" s="29"/>
    </row>
    <row r="68" spans="2:10" x14ac:dyDescent="0.25">
      <c r="B68" s="33" t="s">
        <v>168</v>
      </c>
      <c r="C68" s="34"/>
      <c r="D68" s="34"/>
      <c r="E68" s="34"/>
      <c r="F68" s="35"/>
      <c r="G68" s="35"/>
      <c r="H68" s="35"/>
      <c r="I68" s="35"/>
    </row>
    <row r="69" spans="2:10" x14ac:dyDescent="0.25">
      <c r="B69" s="23" t="s">
        <v>168</v>
      </c>
      <c r="C69" s="20"/>
      <c r="D69" s="20"/>
      <c r="E69" s="20"/>
      <c r="F69" s="21">
        <v>13562.94</v>
      </c>
      <c r="G69" s="21">
        <v>3.34</v>
      </c>
      <c r="H69" s="21"/>
      <c r="I69" s="21"/>
    </row>
    <row r="70" spans="2:10" x14ac:dyDescent="0.25">
      <c r="B70" s="26" t="s">
        <v>166</v>
      </c>
      <c r="C70" s="27"/>
      <c r="D70" s="27"/>
      <c r="E70" s="27"/>
      <c r="F70" s="28">
        <f>SUM(F68:F69)</f>
        <v>13562.94</v>
      </c>
      <c r="G70" s="28">
        <f>SUM(G68:G69)</f>
        <v>3.34</v>
      </c>
      <c r="H70" s="36"/>
      <c r="I70" s="36"/>
      <c r="J70" s="29"/>
    </row>
    <row r="71" spans="2:10" x14ac:dyDescent="0.25">
      <c r="B71" s="37" t="s">
        <v>167</v>
      </c>
      <c r="C71" s="37"/>
      <c r="D71" s="37"/>
      <c r="E71" s="37"/>
      <c r="F71" s="38">
        <f>F70</f>
        <v>13562.94</v>
      </c>
      <c r="G71" s="38">
        <f>G70</f>
        <v>3.34</v>
      </c>
      <c r="H71" s="38"/>
      <c r="I71" s="38"/>
      <c r="J71" s="29"/>
    </row>
    <row r="72" spans="2:10" x14ac:dyDescent="0.25">
      <c r="B72" s="39" t="s">
        <v>169</v>
      </c>
      <c r="C72" s="39"/>
      <c r="D72" s="39"/>
      <c r="E72" s="39"/>
      <c r="F72" s="40">
        <f>F73-(+F67+F71)</f>
        <v>-379.67000000010012</v>
      </c>
      <c r="G72" s="40">
        <f>G73-(+G67+G71)</f>
        <v>-0.11999999999996191</v>
      </c>
      <c r="H72" s="40"/>
      <c r="I72" s="40"/>
      <c r="J72" s="29"/>
    </row>
    <row r="73" spans="2:10" x14ac:dyDescent="0.25">
      <c r="B73" s="39" t="s">
        <v>170</v>
      </c>
      <c r="C73" s="39"/>
      <c r="D73" s="39"/>
      <c r="E73" s="39"/>
      <c r="F73" s="40">
        <v>406067.54</v>
      </c>
      <c r="G73" s="40">
        <v>100</v>
      </c>
      <c r="H73" s="40"/>
      <c r="I73" s="40"/>
      <c r="J73" s="29"/>
    </row>
    <row r="75" spans="2:10" ht="12" thickBot="1" x14ac:dyDescent="0.3">
      <c r="B75" s="29"/>
    </row>
    <row r="76" spans="2:10" ht="12.5" thickTop="1" thickBot="1" x14ac:dyDescent="0.3">
      <c r="B76" s="41" t="s">
        <v>171</v>
      </c>
      <c r="C76" s="42" t="s">
        <v>172</v>
      </c>
    </row>
    <row r="77" spans="2:10" ht="12" thickTop="1" x14ac:dyDescent="0.25"/>
    <row r="78" spans="2:10" x14ac:dyDescent="0.25">
      <c r="B78" s="29" t="s">
        <v>173</v>
      </c>
    </row>
    <row r="80" spans="2:10" ht="14.5" x14ac:dyDescent="0.35">
      <c r="B80" s="43" t="s">
        <v>174</v>
      </c>
    </row>
  </sheetData>
  <mergeCells count="5">
    <mergeCell ref="B1:I1"/>
    <mergeCell ref="K5:K12"/>
    <mergeCell ref="L5:L12"/>
    <mergeCell ref="M5:M12"/>
    <mergeCell ref="N5:N12"/>
  </mergeCells>
  <hyperlinks>
    <hyperlink ref="B80" r:id="rId1" tooltip="Original URL: https://www.canararobeco.com/docs/default-source/default-document-library/Scheme_Performance_January_26.pdf. Click or tap if you trust this link." xr:uid="{F61B3567-78DD-4B07-87C9-12A37C8FB979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09:29:39</KDate>
  <Classification>MIS INTERNAL</Classification>
  <Subclassification/>
  <HostName>MUMCMP01395</HostName>
  <Domain_User>CANARAROBECOMF/844</Domain_User>
  <IPAdd>192.9.198.93</IPAdd>
  <FilePath>Book10</FilePath>
  <KID>2800AFD739B7639062261791821276</KID>
  <UniqueName/>
  <Suggested/>
  <Justification/>
  <KlassifyGUID/>
</Klassify>
</file>

<file path=customXml/itemProps1.xml><?xml version="1.0" encoding="utf-8"?>
<ds:datastoreItem xmlns:ds="http://schemas.openxmlformats.org/officeDocument/2006/customXml" ds:itemID="{C79C3ECF-A4BD-4337-B299-30ACBEA2DF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2026-02-09T03:59:36Z</dcterms:created>
  <dcterms:modified xsi:type="dcterms:W3CDTF">2026-02-09T03:59:39Z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2800AFD739B7639062261791821276</vt:lpwstr>
  </property>
</Properties>
</file>