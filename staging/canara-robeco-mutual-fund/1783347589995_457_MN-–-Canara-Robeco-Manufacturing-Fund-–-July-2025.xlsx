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l 25\"/>
    </mc:Choice>
  </mc:AlternateContent>
  <xr:revisionPtr revIDLastSave="0" documentId="8_{16B780BA-A971-47FC-A79A-373E572AE482}" xr6:coauthVersionLast="47" xr6:coauthVersionMax="47" xr10:uidLastSave="{00000000-0000-0000-0000-000000000000}"/>
  <bookViews>
    <workbookView xWindow="-120" yWindow="-120" windowWidth="20730" windowHeight="11040" xr2:uid="{5AF13222-5E9C-4579-8690-52CEF3780A1C}"/>
  </bookViews>
  <sheets>
    <sheet name="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" l="1"/>
  <c r="G70" i="1" s="1"/>
  <c r="F69" i="1"/>
  <c r="F70" i="1" s="1"/>
  <c r="G66" i="1"/>
  <c r="G71" i="1" s="1"/>
  <c r="F66" i="1"/>
  <c r="F71" i="1" s="1"/>
  <c r="G65" i="1"/>
  <c r="F6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<sst xmlns="http://schemas.openxmlformats.org/spreadsheetml/2006/main" count="258" uniqueCount="164">
  <si>
    <t>CANARA ROBECO MANUFACTURING FUND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</si>
  <si>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</si>
  <si>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</si>
  <si>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</si>
  <si>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</si>
  <si>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</si>
  <si>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</si>
  <si>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</si>
  <si>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</si>
  <si>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July'25</t>
  </si>
  <si>
    <t>Benchmark Risk-O-Meter Level- July'25</t>
  </si>
  <si>
    <t>Scheme Risk-O-Meter Level- June'25</t>
  </si>
  <si>
    <t>Benchmark Risk-O-Meter Level- June'25</t>
  </si>
  <si>
    <t>Equity &amp; Equity related</t>
  </si>
  <si>
    <t>(a) Listed / awaiting listing on Stock Exchanges</t>
  </si>
  <si>
    <t>Mahindra &amp; Mahindra Ltd</t>
  </si>
  <si>
    <t>INE101A01026</t>
  </si>
  <si>
    <t>Automobiles</t>
  </si>
  <si>
    <t>Large Cap</t>
  </si>
  <si>
    <t>Bharat Electronics Ltd</t>
  </si>
  <si>
    <t>INE263A01024</t>
  </si>
  <si>
    <t>Aerospace &amp; Defense</t>
  </si>
  <si>
    <t>Maruti Suzuki India Ltd</t>
  </si>
  <si>
    <t>INE585B01010</t>
  </si>
  <si>
    <t>Reliance Industries Ltd</t>
  </si>
  <si>
    <t>INE002A01018</t>
  </si>
  <si>
    <t>Petroleum Products</t>
  </si>
  <si>
    <t>Ge Vernova T&amp;D India Ltd</t>
  </si>
  <si>
    <t>INE200A01026</t>
  </si>
  <si>
    <t>Electrical Equipment</t>
  </si>
  <si>
    <t>Mid Cap</t>
  </si>
  <si>
    <t>Solar Industries India Ltd</t>
  </si>
  <si>
    <t>INE343H01029</t>
  </si>
  <si>
    <t>Chemicals &amp; Petrochemicals</t>
  </si>
  <si>
    <t>Tata Steel Ltd</t>
  </si>
  <si>
    <t>INE081A01020</t>
  </si>
  <si>
    <t>Ferrous Metals</t>
  </si>
  <si>
    <t>Benchmark: Nifty India Manufacturing TRI</t>
  </si>
  <si>
    <t>Dixon Technologies (India) Ltd</t>
  </si>
  <si>
    <t>INE935N01020</t>
  </si>
  <si>
    <t>Consumer Durables</t>
  </si>
  <si>
    <t>Suzlon Energy Ltd</t>
  </si>
  <si>
    <t>INE040H01021</t>
  </si>
  <si>
    <t>Bajaj Auto Ltd</t>
  </si>
  <si>
    <t>INE917I01010</t>
  </si>
  <si>
    <t>Hindalco Industries Ltd</t>
  </si>
  <si>
    <t>INE038A01020</t>
  </si>
  <si>
    <t>Non - Ferrous Metals</t>
  </si>
  <si>
    <t>Cummins India Ltd</t>
  </si>
  <si>
    <t>INE298A01020</t>
  </si>
  <si>
    <t>Industrial Products</t>
  </si>
  <si>
    <t>Larsen &amp; Toubro Ltd</t>
  </si>
  <si>
    <t>INE018A01030</t>
  </si>
  <si>
    <t>Construction</t>
  </si>
  <si>
    <t>Varun Beverages Ltd</t>
  </si>
  <si>
    <t>INE200M01039</t>
  </si>
  <si>
    <t>Beverages</t>
  </si>
  <si>
    <t>J.K. Cement Ltd</t>
  </si>
  <si>
    <t>INE823G01014</t>
  </si>
  <si>
    <t>Cement &amp; Cement Products</t>
  </si>
  <si>
    <t>Exide Industries Ltd</t>
  </si>
  <si>
    <t>INE302A01020</t>
  </si>
  <si>
    <t>Auto Components</t>
  </si>
  <si>
    <t>Polycab India Ltd</t>
  </si>
  <si>
    <t>INE455K01017</t>
  </si>
  <si>
    <t>Mrs Bectors Food Specialities Ltd</t>
  </si>
  <si>
    <t>INE495P01012</t>
  </si>
  <si>
    <t>Food Products</t>
  </si>
  <si>
    <t>Small Cap</t>
  </si>
  <si>
    <t>Oil &amp; Natural Gas Corporation Ltd</t>
  </si>
  <si>
    <t>INE213A01029</t>
  </si>
  <si>
    <t>Oil</t>
  </si>
  <si>
    <t>The Ramco Cements Ltd</t>
  </si>
  <si>
    <t>INE331A01037</t>
  </si>
  <si>
    <t>Hitachi Energy India Ltd</t>
  </si>
  <si>
    <t>INE07Y701011</t>
  </si>
  <si>
    <t>Waaree Energies Ltd</t>
  </si>
  <si>
    <t>INE377N01017</t>
  </si>
  <si>
    <t>Apar Industries Ltd</t>
  </si>
  <si>
    <t>INE372A01015</t>
  </si>
  <si>
    <t>Innova Captab Ltd</t>
  </si>
  <si>
    <t>INE0DUT01020</t>
  </si>
  <si>
    <t>Pharmaceuticals &amp; Biotechnology</t>
  </si>
  <si>
    <t>Kaynes Technology India Ltd</t>
  </si>
  <si>
    <t>INE918Z01012</t>
  </si>
  <si>
    <t>Industrial Manufacturing</t>
  </si>
  <si>
    <t>Aditya Birla Real Estate Ltd</t>
  </si>
  <si>
    <t>INE055A01016</t>
  </si>
  <si>
    <t>Paper, Forest &amp; Jute Products</t>
  </si>
  <si>
    <t>Ultratech Cement Ltd</t>
  </si>
  <si>
    <t>INE481G01011</t>
  </si>
  <si>
    <t>Grasim Industries Ltd</t>
  </si>
  <si>
    <t>INE047A01021</t>
  </si>
  <si>
    <t>J.B. Chemicals &amp; Pharmaceuticals Ltd</t>
  </si>
  <si>
    <t>INE572A01036</t>
  </si>
  <si>
    <t>K.P.R. Mill Ltd</t>
  </si>
  <si>
    <t>INE930H01031</t>
  </si>
  <si>
    <t>Textiles &amp; Apparels</t>
  </si>
  <si>
    <t>CG Power and Industrial Solutions Ltd</t>
  </si>
  <si>
    <t>INE067A01029</t>
  </si>
  <si>
    <t>Voltas Ltd</t>
  </si>
  <si>
    <t>INE226A01021</t>
  </si>
  <si>
    <t>Syrma SGS Technology Ltd</t>
  </si>
  <si>
    <t>INE0DYJ01015</t>
  </si>
  <si>
    <t>Divi's Laboratories Ltd</t>
  </si>
  <si>
    <t>INE361B01024</t>
  </si>
  <si>
    <t>Pidilite Industries Ltd</t>
  </si>
  <si>
    <t>INE318A01026</t>
  </si>
  <si>
    <t>Balrampur Chini Mills Ltd</t>
  </si>
  <si>
    <t>INE119A01028</t>
  </si>
  <si>
    <t>Agricultural Food &amp; Other Products</t>
  </si>
  <si>
    <t>Navin Fluorine International Ltd</t>
  </si>
  <si>
    <t>INE048G01026</t>
  </si>
  <si>
    <t>Bikaji Foods International Ltd</t>
  </si>
  <si>
    <t>INE00E101023</t>
  </si>
  <si>
    <t>NOCIL Ltd</t>
  </si>
  <si>
    <t>INE163A01018</t>
  </si>
  <si>
    <t>Siemens Energy India ltd</t>
  </si>
  <si>
    <t>INE1NPP01017</t>
  </si>
  <si>
    <t>Timken India Ltd</t>
  </si>
  <si>
    <t>INE325A01013</t>
  </si>
  <si>
    <t>Triveni Turbine Ltd</t>
  </si>
  <si>
    <t>INE152M01016</t>
  </si>
  <si>
    <t>KEI Industries Ltd</t>
  </si>
  <si>
    <t>INE878B01027</t>
  </si>
  <si>
    <t>Safari Industries (India) Ltd</t>
  </si>
  <si>
    <t>INE429E01023</t>
  </si>
  <si>
    <t>Engineers India Ltd</t>
  </si>
  <si>
    <t>INE510A01028</t>
  </si>
  <si>
    <t>Kansai Nerolac Paints Ltd</t>
  </si>
  <si>
    <t>INE531A01024</t>
  </si>
  <si>
    <t>V-Guard Industries Ltd</t>
  </si>
  <si>
    <t>INE951I01027</t>
  </si>
  <si>
    <t>MOIL Ltd</t>
  </si>
  <si>
    <t>INE490G01020</t>
  </si>
  <si>
    <t>Minerals &amp; Mining</t>
  </si>
  <si>
    <t>Doms Industries Ltd</t>
  </si>
  <si>
    <t>INE321T01012</t>
  </si>
  <si>
    <t>Household Products</t>
  </si>
  <si>
    <t>Havells India Ltd</t>
  </si>
  <si>
    <t>INE176B01034</t>
  </si>
  <si>
    <t>Concord Biotech Ltd</t>
  </si>
  <si>
    <t>INE338H01029</t>
  </si>
  <si>
    <t>Praj Industries Ltd</t>
  </si>
  <si>
    <t>INE074A01025</t>
  </si>
  <si>
    <t>Craftsman Automation Ltd</t>
  </si>
  <si>
    <t>INE00LO01017</t>
  </si>
  <si>
    <t>KSB Ltd</t>
  </si>
  <si>
    <t>INE999A01023</t>
  </si>
  <si>
    <t>Schaeffler India Ltd</t>
  </si>
  <si>
    <t>INE513A01022</t>
  </si>
  <si>
    <t>Amber Enterprises India Ltd</t>
  </si>
  <si>
    <t>INE371P01015</t>
  </si>
  <si>
    <t>Cello World Ltd</t>
  </si>
  <si>
    <t>INE0LMW01024</t>
  </si>
  <si>
    <t>Greenlam Industries Ltd</t>
  </si>
  <si>
    <t>INE544R01021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</si>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</sst>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4607-2CB2-4694-8A8A-2853526183A3}">
  <dimension ref="B1:M77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" style="3" bestFit="1" customWidth="1"/>
    <col min="3" max="3" width="13.85546875" style="3" bestFit="1" customWidth="1"/>
    <col min="4" max="4" width="28.4257812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291821</v>
      </c>
      <c r="F7" s="19">
        <v>9347.32</v>
      </c>
      <c r="G7" s="19">
        <v>5.69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2141178</v>
      </c>
      <c r="F8" s="19">
        <v>8202.85</v>
      </c>
      <c r="G8" s="19">
        <v>4.99</v>
      </c>
      <c r="H8" s="19" t="s">
        <v>18</v>
      </c>
      <c r="J8" s="20"/>
      <c r="K8" s="20"/>
      <c r="L8" s="20"/>
      <c r="M8" s="20"/>
    </row>
    <row r="9" spans="2:13" x14ac:dyDescent="0.2">
      <c r="B9" s="21" t="s">
        <v>22</v>
      </c>
      <c r="C9" s="18" t="s">
        <v>23</v>
      </c>
      <c r="D9" s="18" t="s">
        <v>17</v>
      </c>
      <c r="E9" s="22">
        <v>56322</v>
      </c>
      <c r="F9" s="19">
        <v>7101.08</v>
      </c>
      <c r="G9" s="19">
        <v>4.32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491299</v>
      </c>
      <c r="F10" s="19">
        <v>6830.04</v>
      </c>
      <c r="G10" s="19">
        <v>4.1500000000000004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224433</v>
      </c>
      <c r="F11" s="19">
        <v>6119.84</v>
      </c>
      <c r="G11" s="19">
        <v>3.72</v>
      </c>
      <c r="H11" s="19" t="s">
        <v>30</v>
      </c>
      <c r="J11" s="20"/>
      <c r="K11" s="20"/>
      <c r="L11" s="20"/>
      <c r="M11" s="20"/>
    </row>
    <row r="12" spans="2:13" x14ac:dyDescent="0.2">
      <c r="B12" s="21" t="s">
        <v>31</v>
      </c>
      <c r="C12" s="18" t="s">
        <v>32</v>
      </c>
      <c r="D12" s="18" t="s">
        <v>33</v>
      </c>
      <c r="E12" s="22">
        <v>31853</v>
      </c>
      <c r="F12" s="19">
        <v>4529.5</v>
      </c>
      <c r="G12" s="19">
        <v>2.76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34</v>
      </c>
      <c r="C13" s="18" t="s">
        <v>35</v>
      </c>
      <c r="D13" s="18" t="s">
        <v>36</v>
      </c>
      <c r="E13" s="22">
        <v>2830661</v>
      </c>
      <c r="F13" s="19">
        <v>4470.75</v>
      </c>
      <c r="G13" s="19">
        <v>2.72</v>
      </c>
      <c r="H13" s="19" t="s">
        <v>18</v>
      </c>
      <c r="K13" s="24" t="s">
        <v>37</v>
      </c>
    </row>
    <row r="14" spans="2:13" x14ac:dyDescent="0.2">
      <c r="B14" s="21" t="s">
        <v>38</v>
      </c>
      <c r="C14" s="18" t="s">
        <v>39</v>
      </c>
      <c r="D14" s="18" t="s">
        <v>40</v>
      </c>
      <c r="E14" s="22">
        <v>25980</v>
      </c>
      <c r="F14" s="19">
        <v>4375.29</v>
      </c>
      <c r="G14" s="19">
        <v>2.66</v>
      </c>
      <c r="H14" s="19" t="s">
        <v>30</v>
      </c>
    </row>
    <row r="15" spans="2:13" x14ac:dyDescent="0.2">
      <c r="B15" s="21" t="s">
        <v>41</v>
      </c>
      <c r="C15" s="18" t="s">
        <v>42</v>
      </c>
      <c r="D15" s="18" t="s">
        <v>29</v>
      </c>
      <c r="E15" s="22">
        <v>6970798</v>
      </c>
      <c r="F15" s="19">
        <v>4294.01</v>
      </c>
      <c r="G15" s="19">
        <v>2.61</v>
      </c>
      <c r="H15" s="19" t="s">
        <v>30</v>
      </c>
    </row>
    <row r="16" spans="2:13" x14ac:dyDescent="0.2">
      <c r="B16" s="21" t="s">
        <v>43</v>
      </c>
      <c r="C16" s="18" t="s">
        <v>44</v>
      </c>
      <c r="D16" s="18" t="s">
        <v>17</v>
      </c>
      <c r="E16" s="22">
        <v>51226</v>
      </c>
      <c r="F16" s="19">
        <v>4102.18</v>
      </c>
      <c r="G16" s="19">
        <v>2.5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588403</v>
      </c>
      <c r="F17" s="19">
        <v>4019.09</v>
      </c>
      <c r="G17" s="19">
        <v>2.44</v>
      </c>
      <c r="H17" s="19" t="s">
        <v>18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94648</v>
      </c>
      <c r="F18" s="19">
        <v>3365.21</v>
      </c>
      <c r="G18" s="19">
        <v>2.0499999999999998</v>
      </c>
      <c r="H18" s="19" t="s">
        <v>30</v>
      </c>
    </row>
    <row r="19" spans="2:8" x14ac:dyDescent="0.2">
      <c r="B19" s="21" t="s">
        <v>51</v>
      </c>
      <c r="C19" s="18" t="s">
        <v>52</v>
      </c>
      <c r="D19" s="18" t="s">
        <v>53</v>
      </c>
      <c r="E19" s="22">
        <v>92109</v>
      </c>
      <c r="F19" s="19">
        <v>3349.54</v>
      </c>
      <c r="G19" s="19">
        <v>2.04</v>
      </c>
      <c r="H19" s="19" t="s">
        <v>18</v>
      </c>
    </row>
    <row r="20" spans="2:8" x14ac:dyDescent="0.2">
      <c r="B20" s="21" t="s">
        <v>54</v>
      </c>
      <c r="C20" s="18" t="s">
        <v>55</v>
      </c>
      <c r="D20" s="18" t="s">
        <v>56</v>
      </c>
      <c r="E20" s="22">
        <v>619768</v>
      </c>
      <c r="F20" s="19">
        <v>3238.91</v>
      </c>
      <c r="G20" s="19">
        <v>1.97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48249</v>
      </c>
      <c r="F21" s="19">
        <v>3212.9</v>
      </c>
      <c r="G21" s="19">
        <v>1.95</v>
      </c>
      <c r="H21" s="19" t="s">
        <v>30</v>
      </c>
    </row>
    <row r="22" spans="2:8" x14ac:dyDescent="0.2">
      <c r="B22" s="21" t="s">
        <v>60</v>
      </c>
      <c r="C22" s="18" t="s">
        <v>61</v>
      </c>
      <c r="D22" s="18" t="s">
        <v>62</v>
      </c>
      <c r="E22" s="22">
        <v>766079</v>
      </c>
      <c r="F22" s="19">
        <v>2944.04</v>
      </c>
      <c r="G22" s="19">
        <v>1.79</v>
      </c>
      <c r="H22" s="19" t="s">
        <v>30</v>
      </c>
    </row>
    <row r="23" spans="2:8" x14ac:dyDescent="0.2">
      <c r="B23" s="21" t="s">
        <v>63</v>
      </c>
      <c r="C23" s="18" t="s">
        <v>64</v>
      </c>
      <c r="D23" s="18" t="s">
        <v>50</v>
      </c>
      <c r="E23" s="22">
        <v>42224</v>
      </c>
      <c r="F23" s="19">
        <v>2880.1</v>
      </c>
      <c r="G23" s="19">
        <v>1.75</v>
      </c>
      <c r="H23" s="19" t="s">
        <v>30</v>
      </c>
    </row>
    <row r="24" spans="2:8" x14ac:dyDescent="0.2">
      <c r="B24" s="21" t="s">
        <v>65</v>
      </c>
      <c r="C24" s="18" t="s">
        <v>66</v>
      </c>
      <c r="D24" s="18" t="s">
        <v>67</v>
      </c>
      <c r="E24" s="22">
        <v>186790</v>
      </c>
      <c r="F24" s="19">
        <v>2822.96</v>
      </c>
      <c r="G24" s="19">
        <v>1.72</v>
      </c>
      <c r="H24" s="19" t="s">
        <v>68</v>
      </c>
    </row>
    <row r="25" spans="2:8" x14ac:dyDescent="0.2">
      <c r="B25" s="21" t="s">
        <v>69</v>
      </c>
      <c r="C25" s="18" t="s">
        <v>70</v>
      </c>
      <c r="D25" s="18" t="s">
        <v>71</v>
      </c>
      <c r="E25" s="22">
        <v>1170070</v>
      </c>
      <c r="F25" s="19">
        <v>2819.87</v>
      </c>
      <c r="G25" s="19">
        <v>1.72</v>
      </c>
      <c r="H25" s="19" t="s">
        <v>18</v>
      </c>
    </row>
    <row r="26" spans="2:8" x14ac:dyDescent="0.2">
      <c r="B26" s="21" t="s">
        <v>72</v>
      </c>
      <c r="C26" s="18" t="s">
        <v>73</v>
      </c>
      <c r="D26" s="18" t="s">
        <v>59</v>
      </c>
      <c r="E26" s="22">
        <v>226835</v>
      </c>
      <c r="F26" s="19">
        <v>2670.3</v>
      </c>
      <c r="G26" s="19">
        <v>1.62</v>
      </c>
      <c r="H26" s="19" t="s">
        <v>68</v>
      </c>
    </row>
    <row r="27" spans="2:8" x14ac:dyDescent="0.2">
      <c r="B27" s="21" t="s">
        <v>74</v>
      </c>
      <c r="C27" s="18" t="s">
        <v>75</v>
      </c>
      <c r="D27" s="18" t="s">
        <v>29</v>
      </c>
      <c r="E27" s="22">
        <v>13228</v>
      </c>
      <c r="F27" s="19">
        <v>2658.17</v>
      </c>
      <c r="G27" s="19">
        <v>1.62</v>
      </c>
      <c r="H27" s="19" t="s">
        <v>30</v>
      </c>
    </row>
    <row r="28" spans="2:8" x14ac:dyDescent="0.2">
      <c r="B28" s="21" t="s">
        <v>76</v>
      </c>
      <c r="C28" s="18" t="s">
        <v>77</v>
      </c>
      <c r="D28" s="18" t="s">
        <v>29</v>
      </c>
      <c r="E28" s="22">
        <v>86928</v>
      </c>
      <c r="F28" s="19">
        <v>2601.23</v>
      </c>
      <c r="G28" s="19">
        <v>1.58</v>
      </c>
      <c r="H28" s="19" t="s">
        <v>30</v>
      </c>
    </row>
    <row r="29" spans="2:8" x14ac:dyDescent="0.2">
      <c r="B29" s="21" t="s">
        <v>78</v>
      </c>
      <c r="C29" s="18" t="s">
        <v>79</v>
      </c>
      <c r="D29" s="18" t="s">
        <v>29</v>
      </c>
      <c r="E29" s="22">
        <v>28635</v>
      </c>
      <c r="F29" s="19">
        <v>2550.66</v>
      </c>
      <c r="G29" s="19">
        <v>1.55</v>
      </c>
      <c r="H29" s="19" t="s">
        <v>68</v>
      </c>
    </row>
    <row r="30" spans="2:8" x14ac:dyDescent="0.2">
      <c r="B30" s="21" t="s">
        <v>80</v>
      </c>
      <c r="C30" s="18" t="s">
        <v>81</v>
      </c>
      <c r="D30" s="18" t="s">
        <v>82</v>
      </c>
      <c r="E30" s="22">
        <v>272265</v>
      </c>
      <c r="F30" s="19">
        <v>2475.84</v>
      </c>
      <c r="G30" s="19">
        <v>1.51</v>
      </c>
      <c r="H30" s="19" t="s">
        <v>68</v>
      </c>
    </row>
    <row r="31" spans="2:8" x14ac:dyDescent="0.2">
      <c r="B31" s="21" t="s">
        <v>83</v>
      </c>
      <c r="C31" s="18" t="s">
        <v>84</v>
      </c>
      <c r="D31" s="18" t="s">
        <v>85</v>
      </c>
      <c r="E31" s="22">
        <v>39791</v>
      </c>
      <c r="F31" s="19">
        <v>2455.9</v>
      </c>
      <c r="G31" s="19">
        <v>1.49</v>
      </c>
      <c r="H31" s="19" t="s">
        <v>30</v>
      </c>
    </row>
    <row r="32" spans="2:8" x14ac:dyDescent="0.2">
      <c r="B32" s="21" t="s">
        <v>86</v>
      </c>
      <c r="C32" s="18" t="s">
        <v>87</v>
      </c>
      <c r="D32" s="18" t="s">
        <v>88</v>
      </c>
      <c r="E32" s="22">
        <v>127518</v>
      </c>
      <c r="F32" s="19">
        <v>2403.33</v>
      </c>
      <c r="G32" s="19">
        <v>1.46</v>
      </c>
      <c r="H32" s="19" t="s">
        <v>68</v>
      </c>
    </row>
    <row r="33" spans="2:8" x14ac:dyDescent="0.2">
      <c r="B33" s="21" t="s">
        <v>89</v>
      </c>
      <c r="C33" s="18" t="s">
        <v>90</v>
      </c>
      <c r="D33" s="18" t="s">
        <v>59</v>
      </c>
      <c r="E33" s="22">
        <v>19085</v>
      </c>
      <c r="F33" s="19">
        <v>2337.7199999999998</v>
      </c>
      <c r="G33" s="19">
        <v>1.42</v>
      </c>
      <c r="H33" s="19" t="s">
        <v>18</v>
      </c>
    </row>
    <row r="34" spans="2:8" x14ac:dyDescent="0.2">
      <c r="B34" s="21" t="s">
        <v>91</v>
      </c>
      <c r="C34" s="18" t="s">
        <v>92</v>
      </c>
      <c r="D34" s="18" t="s">
        <v>59</v>
      </c>
      <c r="E34" s="22">
        <v>83029</v>
      </c>
      <c r="F34" s="19">
        <v>2280.31</v>
      </c>
      <c r="G34" s="19">
        <v>1.39</v>
      </c>
      <c r="H34" s="19" t="s">
        <v>18</v>
      </c>
    </row>
    <row r="35" spans="2:8" x14ac:dyDescent="0.2">
      <c r="B35" s="21" t="s">
        <v>93</v>
      </c>
      <c r="C35" s="18" t="s">
        <v>94</v>
      </c>
      <c r="D35" s="18" t="s">
        <v>82</v>
      </c>
      <c r="E35" s="22">
        <v>127229</v>
      </c>
      <c r="F35" s="19">
        <v>2251.06</v>
      </c>
      <c r="G35" s="19">
        <v>1.37</v>
      </c>
      <c r="H35" s="19" t="s">
        <v>68</v>
      </c>
    </row>
    <row r="36" spans="2:8" x14ac:dyDescent="0.2">
      <c r="B36" s="21" t="s">
        <v>95</v>
      </c>
      <c r="C36" s="18" t="s">
        <v>96</v>
      </c>
      <c r="D36" s="18" t="s">
        <v>97</v>
      </c>
      <c r="E36" s="22">
        <v>192259</v>
      </c>
      <c r="F36" s="19">
        <v>2191.75</v>
      </c>
      <c r="G36" s="19">
        <v>1.33</v>
      </c>
      <c r="H36" s="19" t="s">
        <v>30</v>
      </c>
    </row>
    <row r="37" spans="2:8" x14ac:dyDescent="0.2">
      <c r="B37" s="21" t="s">
        <v>98</v>
      </c>
      <c r="C37" s="18" t="s">
        <v>99</v>
      </c>
      <c r="D37" s="18" t="s">
        <v>29</v>
      </c>
      <c r="E37" s="22">
        <v>322724</v>
      </c>
      <c r="F37" s="19">
        <v>2135.46</v>
      </c>
      <c r="G37" s="19">
        <v>1.3</v>
      </c>
      <c r="H37" s="19" t="s">
        <v>18</v>
      </c>
    </row>
    <row r="38" spans="2:8" x14ac:dyDescent="0.2">
      <c r="B38" s="21" t="s">
        <v>100</v>
      </c>
      <c r="C38" s="18" t="s">
        <v>101</v>
      </c>
      <c r="D38" s="18" t="s">
        <v>40</v>
      </c>
      <c r="E38" s="22">
        <v>151555</v>
      </c>
      <c r="F38" s="19">
        <v>2012.2</v>
      </c>
      <c r="G38" s="19">
        <v>1.22</v>
      </c>
      <c r="H38" s="19" t="s">
        <v>30</v>
      </c>
    </row>
    <row r="39" spans="2:8" x14ac:dyDescent="0.2">
      <c r="B39" s="21" t="s">
        <v>102</v>
      </c>
      <c r="C39" s="18" t="s">
        <v>103</v>
      </c>
      <c r="D39" s="18" t="s">
        <v>85</v>
      </c>
      <c r="E39" s="22">
        <v>255519</v>
      </c>
      <c r="F39" s="19">
        <v>1931.72</v>
      </c>
      <c r="G39" s="19">
        <v>1.18</v>
      </c>
      <c r="H39" s="19" t="s">
        <v>68</v>
      </c>
    </row>
    <row r="40" spans="2:8" x14ac:dyDescent="0.2">
      <c r="B40" s="21" t="s">
        <v>104</v>
      </c>
      <c r="C40" s="18" t="s">
        <v>105</v>
      </c>
      <c r="D40" s="18" t="s">
        <v>82</v>
      </c>
      <c r="E40" s="22">
        <v>28840</v>
      </c>
      <c r="F40" s="19">
        <v>1902.14</v>
      </c>
      <c r="G40" s="19">
        <v>1.1599999999999999</v>
      </c>
      <c r="H40" s="19" t="s">
        <v>18</v>
      </c>
    </row>
    <row r="41" spans="2:8" x14ac:dyDescent="0.2">
      <c r="B41" s="21" t="s">
        <v>106</v>
      </c>
      <c r="C41" s="18" t="s">
        <v>107</v>
      </c>
      <c r="D41" s="18" t="s">
        <v>33</v>
      </c>
      <c r="E41" s="22">
        <v>65951</v>
      </c>
      <c r="F41" s="19">
        <v>1892.66</v>
      </c>
      <c r="G41" s="19">
        <v>1.1499999999999999</v>
      </c>
      <c r="H41" s="19" t="s">
        <v>18</v>
      </c>
    </row>
    <row r="42" spans="2:8" x14ac:dyDescent="0.2">
      <c r="B42" s="21" t="s">
        <v>108</v>
      </c>
      <c r="C42" s="18" t="s">
        <v>109</v>
      </c>
      <c r="D42" s="18" t="s">
        <v>110</v>
      </c>
      <c r="E42" s="22">
        <v>319050</v>
      </c>
      <c r="F42" s="19">
        <v>1872.98</v>
      </c>
      <c r="G42" s="19">
        <v>1.1399999999999999</v>
      </c>
      <c r="H42" s="19" t="s">
        <v>68</v>
      </c>
    </row>
    <row r="43" spans="2:8" x14ac:dyDescent="0.2">
      <c r="B43" s="21" t="s">
        <v>111</v>
      </c>
      <c r="C43" s="18" t="s">
        <v>112</v>
      </c>
      <c r="D43" s="18" t="s">
        <v>33</v>
      </c>
      <c r="E43" s="22">
        <v>36410</v>
      </c>
      <c r="F43" s="19">
        <v>1837.9</v>
      </c>
      <c r="G43" s="19">
        <v>1.1200000000000001</v>
      </c>
      <c r="H43" s="19" t="s">
        <v>68</v>
      </c>
    </row>
    <row r="44" spans="2:8" x14ac:dyDescent="0.2">
      <c r="B44" s="21" t="s">
        <v>113</v>
      </c>
      <c r="C44" s="18" t="s">
        <v>114</v>
      </c>
      <c r="D44" s="18" t="s">
        <v>67</v>
      </c>
      <c r="E44" s="22">
        <v>243113</v>
      </c>
      <c r="F44" s="19">
        <v>1823.35</v>
      </c>
      <c r="G44" s="19">
        <v>1.1100000000000001</v>
      </c>
      <c r="H44" s="19" t="s">
        <v>68</v>
      </c>
    </row>
    <row r="45" spans="2:8" x14ac:dyDescent="0.2">
      <c r="B45" s="21" t="s">
        <v>115</v>
      </c>
      <c r="C45" s="18" t="s">
        <v>116</v>
      </c>
      <c r="D45" s="18" t="s">
        <v>33</v>
      </c>
      <c r="E45" s="22">
        <v>948605</v>
      </c>
      <c r="F45" s="19">
        <v>1760.9</v>
      </c>
      <c r="G45" s="19">
        <v>1.07</v>
      </c>
      <c r="H45" s="19" t="s">
        <v>68</v>
      </c>
    </row>
    <row r="46" spans="2:8" x14ac:dyDescent="0.2">
      <c r="B46" s="21" t="s">
        <v>117</v>
      </c>
      <c r="C46" s="18" t="s">
        <v>118</v>
      </c>
      <c r="D46" s="18" t="s">
        <v>29</v>
      </c>
      <c r="E46" s="22">
        <v>54354</v>
      </c>
      <c r="F46" s="19">
        <v>1759.93</v>
      </c>
      <c r="G46" s="19">
        <v>1.07</v>
      </c>
      <c r="H46" s="19" t="s">
        <v>18</v>
      </c>
    </row>
    <row r="47" spans="2:8" x14ac:dyDescent="0.2">
      <c r="B47" s="21" t="s">
        <v>119</v>
      </c>
      <c r="C47" s="18" t="s">
        <v>120</v>
      </c>
      <c r="D47" s="18" t="s">
        <v>50</v>
      </c>
      <c r="E47" s="22">
        <v>51388</v>
      </c>
      <c r="F47" s="19">
        <v>1705.52</v>
      </c>
      <c r="G47" s="19">
        <v>1.04</v>
      </c>
      <c r="H47" s="19" t="s">
        <v>68</v>
      </c>
    </row>
    <row r="48" spans="2:8" x14ac:dyDescent="0.2">
      <c r="B48" s="21" t="s">
        <v>121</v>
      </c>
      <c r="C48" s="18" t="s">
        <v>122</v>
      </c>
      <c r="D48" s="18" t="s">
        <v>29</v>
      </c>
      <c r="E48" s="22">
        <v>280121</v>
      </c>
      <c r="F48" s="19">
        <v>1678.77</v>
      </c>
      <c r="G48" s="19">
        <v>1.02</v>
      </c>
      <c r="H48" s="19" t="s">
        <v>68</v>
      </c>
    </row>
    <row r="49" spans="2:8" x14ac:dyDescent="0.2">
      <c r="B49" s="21" t="s">
        <v>123</v>
      </c>
      <c r="C49" s="18" t="s">
        <v>124</v>
      </c>
      <c r="D49" s="18" t="s">
        <v>50</v>
      </c>
      <c r="E49" s="22">
        <v>41937</v>
      </c>
      <c r="F49" s="19">
        <v>1612.14</v>
      </c>
      <c r="G49" s="19">
        <v>0.98</v>
      </c>
      <c r="H49" s="19" t="s">
        <v>30</v>
      </c>
    </row>
    <row r="50" spans="2:8" x14ac:dyDescent="0.2">
      <c r="B50" s="21" t="s">
        <v>125</v>
      </c>
      <c r="C50" s="18" t="s">
        <v>126</v>
      </c>
      <c r="D50" s="18" t="s">
        <v>40</v>
      </c>
      <c r="E50" s="22">
        <v>74921</v>
      </c>
      <c r="F50" s="19">
        <v>1571.99</v>
      </c>
      <c r="G50" s="19">
        <v>0.96</v>
      </c>
      <c r="H50" s="19" t="s">
        <v>68</v>
      </c>
    </row>
    <row r="51" spans="2:8" x14ac:dyDescent="0.2">
      <c r="B51" s="21" t="s">
        <v>127</v>
      </c>
      <c r="C51" s="18" t="s">
        <v>128</v>
      </c>
      <c r="D51" s="18" t="s">
        <v>53</v>
      </c>
      <c r="E51" s="22">
        <v>714231</v>
      </c>
      <c r="F51" s="19">
        <v>1526.95</v>
      </c>
      <c r="G51" s="19">
        <v>0.93</v>
      </c>
      <c r="H51" s="19" t="s">
        <v>68</v>
      </c>
    </row>
    <row r="52" spans="2:8" x14ac:dyDescent="0.2">
      <c r="B52" s="21" t="s">
        <v>129</v>
      </c>
      <c r="C52" s="18" t="s">
        <v>130</v>
      </c>
      <c r="D52" s="18" t="s">
        <v>40</v>
      </c>
      <c r="E52" s="22">
        <v>567325</v>
      </c>
      <c r="F52" s="19">
        <v>1389.38</v>
      </c>
      <c r="G52" s="19">
        <v>0.85</v>
      </c>
      <c r="H52" s="19" t="s">
        <v>68</v>
      </c>
    </row>
    <row r="53" spans="2:8" x14ac:dyDescent="0.2">
      <c r="B53" s="21" t="s">
        <v>131</v>
      </c>
      <c r="C53" s="18" t="s">
        <v>132</v>
      </c>
      <c r="D53" s="18" t="s">
        <v>40</v>
      </c>
      <c r="E53" s="22">
        <v>360952</v>
      </c>
      <c r="F53" s="19">
        <v>1379.02</v>
      </c>
      <c r="G53" s="19">
        <v>0.84</v>
      </c>
      <c r="H53" s="19" t="s">
        <v>68</v>
      </c>
    </row>
    <row r="54" spans="2:8" x14ac:dyDescent="0.2">
      <c r="B54" s="21" t="s">
        <v>133</v>
      </c>
      <c r="C54" s="18" t="s">
        <v>134</v>
      </c>
      <c r="D54" s="18" t="s">
        <v>135</v>
      </c>
      <c r="E54" s="22">
        <v>350708</v>
      </c>
      <c r="F54" s="19">
        <v>1202.05</v>
      </c>
      <c r="G54" s="19">
        <v>0.73</v>
      </c>
      <c r="H54" s="19" t="s">
        <v>68</v>
      </c>
    </row>
    <row r="55" spans="2:8" x14ac:dyDescent="0.2">
      <c r="B55" s="21" t="s">
        <v>136</v>
      </c>
      <c r="C55" s="18" t="s">
        <v>137</v>
      </c>
      <c r="D55" s="18" t="s">
        <v>138</v>
      </c>
      <c r="E55" s="22">
        <v>51309</v>
      </c>
      <c r="F55" s="19">
        <v>1201.96</v>
      </c>
      <c r="G55" s="19">
        <v>0.73</v>
      </c>
      <c r="H55" s="19" t="s">
        <v>68</v>
      </c>
    </row>
    <row r="56" spans="2:8" x14ac:dyDescent="0.2">
      <c r="B56" s="21" t="s">
        <v>139</v>
      </c>
      <c r="C56" s="18" t="s">
        <v>140</v>
      </c>
      <c r="D56" s="18" t="s">
        <v>40</v>
      </c>
      <c r="E56" s="22">
        <v>77985</v>
      </c>
      <c r="F56" s="19">
        <v>1170.24</v>
      </c>
      <c r="G56" s="19">
        <v>0.71</v>
      </c>
      <c r="H56" s="19" t="s">
        <v>18</v>
      </c>
    </row>
    <row r="57" spans="2:8" x14ac:dyDescent="0.2">
      <c r="B57" s="21" t="s">
        <v>141</v>
      </c>
      <c r="C57" s="18" t="s">
        <v>142</v>
      </c>
      <c r="D57" s="18" t="s">
        <v>82</v>
      </c>
      <c r="E57" s="22">
        <v>65725</v>
      </c>
      <c r="F57" s="19">
        <v>1161.56</v>
      </c>
      <c r="G57" s="19">
        <v>0.71</v>
      </c>
      <c r="H57" s="19" t="s">
        <v>68</v>
      </c>
    </row>
    <row r="58" spans="2:8" x14ac:dyDescent="0.2">
      <c r="B58" s="21" t="s">
        <v>143</v>
      </c>
      <c r="C58" s="18" t="s">
        <v>144</v>
      </c>
      <c r="D58" s="18" t="s">
        <v>85</v>
      </c>
      <c r="E58" s="22">
        <v>240630</v>
      </c>
      <c r="F58" s="19">
        <v>1123.8599999999999</v>
      </c>
      <c r="G58" s="19">
        <v>0.68</v>
      </c>
      <c r="H58" s="19" t="s">
        <v>68</v>
      </c>
    </row>
    <row r="59" spans="2:8" x14ac:dyDescent="0.2">
      <c r="B59" s="21" t="s">
        <v>145</v>
      </c>
      <c r="C59" s="18" t="s">
        <v>146</v>
      </c>
      <c r="D59" s="18" t="s">
        <v>62</v>
      </c>
      <c r="E59" s="22">
        <v>16361</v>
      </c>
      <c r="F59" s="19">
        <v>1104.69</v>
      </c>
      <c r="G59" s="19">
        <v>0.67</v>
      </c>
      <c r="H59" s="19" t="s">
        <v>68</v>
      </c>
    </row>
    <row r="60" spans="2:8" x14ac:dyDescent="0.2">
      <c r="B60" s="21" t="s">
        <v>147</v>
      </c>
      <c r="C60" s="18" t="s">
        <v>148</v>
      </c>
      <c r="D60" s="18" t="s">
        <v>50</v>
      </c>
      <c r="E60" s="22">
        <v>131195</v>
      </c>
      <c r="F60" s="19">
        <v>1100.2</v>
      </c>
      <c r="G60" s="19">
        <v>0.67</v>
      </c>
      <c r="H60" s="19" t="s">
        <v>68</v>
      </c>
    </row>
    <row r="61" spans="2:8" x14ac:dyDescent="0.2">
      <c r="B61" s="21" t="s">
        <v>149</v>
      </c>
      <c r="C61" s="18" t="s">
        <v>150</v>
      </c>
      <c r="D61" s="18" t="s">
        <v>62</v>
      </c>
      <c r="E61" s="22">
        <v>25737</v>
      </c>
      <c r="F61" s="19">
        <v>1060.8</v>
      </c>
      <c r="G61" s="19">
        <v>0.65</v>
      </c>
      <c r="H61" s="19" t="s">
        <v>30</v>
      </c>
    </row>
    <row r="62" spans="2:8" x14ac:dyDescent="0.2">
      <c r="B62" s="21" t="s">
        <v>151</v>
      </c>
      <c r="C62" s="18" t="s">
        <v>152</v>
      </c>
      <c r="D62" s="18" t="s">
        <v>40</v>
      </c>
      <c r="E62" s="22">
        <v>10155</v>
      </c>
      <c r="F62" s="19">
        <v>808.69</v>
      </c>
      <c r="G62" s="19">
        <v>0.49</v>
      </c>
      <c r="H62" s="19" t="s">
        <v>68</v>
      </c>
    </row>
    <row r="63" spans="2:8" x14ac:dyDescent="0.2">
      <c r="B63" s="21" t="s">
        <v>153</v>
      </c>
      <c r="C63" s="18" t="s">
        <v>154</v>
      </c>
      <c r="D63" s="18" t="s">
        <v>40</v>
      </c>
      <c r="E63" s="22">
        <v>131343</v>
      </c>
      <c r="F63" s="19">
        <v>781.29</v>
      </c>
      <c r="G63" s="19">
        <v>0.48</v>
      </c>
      <c r="H63" s="19" t="s">
        <v>68</v>
      </c>
    </row>
    <row r="64" spans="2:8" x14ac:dyDescent="0.2">
      <c r="B64" s="21" t="s">
        <v>155</v>
      </c>
      <c r="C64" s="18" t="s">
        <v>156</v>
      </c>
      <c r="D64" s="18" t="s">
        <v>40</v>
      </c>
      <c r="E64" s="22">
        <v>184232</v>
      </c>
      <c r="F64" s="19">
        <v>432.25</v>
      </c>
      <c r="G64" s="19">
        <v>0.26</v>
      </c>
      <c r="H64" s="19" t="s">
        <v>68</v>
      </c>
    </row>
    <row r="65" spans="2:8" x14ac:dyDescent="0.2">
      <c r="B65" s="25" t="s">
        <v>157</v>
      </c>
      <c r="C65" s="26"/>
      <c r="D65" s="26"/>
      <c r="E65" s="26"/>
      <c r="F65" s="27">
        <f>SUM(F7:F64)</f>
        <v>155842.34999999995</v>
      </c>
      <c r="G65" s="27">
        <f>SUM(G7:G64)</f>
        <v>94.81</v>
      </c>
      <c r="H65" s="27"/>
    </row>
    <row r="66" spans="2:8" x14ac:dyDescent="0.2">
      <c r="B66" s="28" t="s">
        <v>158</v>
      </c>
      <c r="C66" s="28"/>
      <c r="D66" s="28"/>
      <c r="E66" s="28"/>
      <c r="F66" s="29">
        <f>F65</f>
        <v>155842.34999999995</v>
      </c>
      <c r="G66" s="29">
        <f>G65</f>
        <v>94.81</v>
      </c>
      <c r="H66" s="29"/>
    </row>
    <row r="67" spans="2:8" x14ac:dyDescent="0.2">
      <c r="B67" s="30" t="s">
        <v>159</v>
      </c>
      <c r="C67" s="31"/>
      <c r="D67" s="31"/>
      <c r="E67" s="31"/>
      <c r="F67" s="32"/>
      <c r="G67" s="32"/>
      <c r="H67" s="32"/>
    </row>
    <row r="68" spans="2:8" x14ac:dyDescent="0.2">
      <c r="B68" s="21" t="s">
        <v>159</v>
      </c>
      <c r="C68" s="18"/>
      <c r="D68" s="18"/>
      <c r="E68" s="18"/>
      <c r="F68" s="19">
        <v>8450.52</v>
      </c>
      <c r="G68" s="19">
        <v>5.14</v>
      </c>
      <c r="H68" s="19"/>
    </row>
    <row r="69" spans="2:8" x14ac:dyDescent="0.2">
      <c r="B69" s="25" t="s">
        <v>157</v>
      </c>
      <c r="C69" s="26"/>
      <c r="D69" s="26"/>
      <c r="E69" s="26"/>
      <c r="F69" s="27">
        <f>SUM(F67:F68)</f>
        <v>8450.52</v>
      </c>
      <c r="G69" s="27">
        <f>SUM(G67:G68)</f>
        <v>5.14</v>
      </c>
      <c r="H69" s="27"/>
    </row>
    <row r="70" spans="2:8" x14ac:dyDescent="0.2">
      <c r="B70" s="33" t="s">
        <v>158</v>
      </c>
      <c r="C70" s="33"/>
      <c r="D70" s="33"/>
      <c r="E70" s="33"/>
      <c r="F70" s="34">
        <f>F69</f>
        <v>8450.52</v>
      </c>
      <c r="G70" s="34">
        <f>G69</f>
        <v>5.14</v>
      </c>
      <c r="H70" s="34"/>
    </row>
    <row r="71" spans="2:8" x14ac:dyDescent="0.2">
      <c r="B71" s="35" t="s">
        <v>160</v>
      </c>
      <c r="C71" s="35"/>
      <c r="D71" s="35"/>
      <c r="E71" s="35"/>
      <c r="F71" s="36">
        <f>F72-(+F66+F70)</f>
        <v>95.020000000076834</v>
      </c>
      <c r="G71" s="36">
        <f>G72-(+G66+G70)</f>
        <v>4.9999999999997158E-2</v>
      </c>
      <c r="H71" s="36"/>
    </row>
    <row r="72" spans="2:8" x14ac:dyDescent="0.2">
      <c r="B72" s="35" t="s">
        <v>161</v>
      </c>
      <c r="C72" s="35"/>
      <c r="D72" s="35"/>
      <c r="E72" s="35"/>
      <c r="F72" s="36">
        <v>164387.89000000001</v>
      </c>
      <c r="G72" s="36">
        <v>100</v>
      </c>
      <c r="H72" s="36"/>
    </row>
    <row r="74" spans="2:8" x14ac:dyDescent="0.2">
      <c r="B74" s="37"/>
    </row>
    <row r="75" spans="2:8" ht="12.75" thickBot="1" x14ac:dyDescent="0.25"/>
    <row r="76" spans="2:8" ht="13.5" thickTop="1" thickBot="1" x14ac:dyDescent="0.25">
      <c r="B76" s="39" t="s">
        <v>162</v>
      </c>
      <c r="C76" s="40" t="s">
        <v>163</v>
      </c>
    </row>
    <row r="77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2025-08-06 15:48:33</KDate>
  <Classification>MIS Internal</Classification>
  <Subclassification/>
  <HostName>MUMCMP01323</HostName>
  <Domain_User>CANARAROBECOMF/628</Domain_User>
  <IPAdd>192.9.198.196</IPAdd>
  <FilePath>Book12</FilePath>
  <KID>109819A0F0A5638900921138959099</KID>
  <UniqueName/>
  <Suggested/>
  <Justification/>
</Klassify>
</file>

<file path=customXml/itemProps1.xml><?xml version="1.0" encoding="utf-8"?>
<ds:datastoreItem xmlns:ds="http://schemas.openxmlformats.org/officeDocument/2006/customXml" ds:itemID="{4E9302CF-C172-4F20-BE38-7FDF60DD1F8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2025-08-06T10:18:31Z</dcterms:created>
  <dcterms:modified xsi:type="dcterms:W3CDTF">2025-08-06T10:18:34Z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109819A0F0A5638900921138959099</vt:lpwstr>
  </property>
</Properties>
</file>