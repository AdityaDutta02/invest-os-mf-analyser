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September 2023\"/>
    </mc:Choice>
  </mc:AlternateContent>
  <bookViews>
    <workbookView xWindow="0" yWindow="0" windowWidth="20490" windowHeight="7620"/>
  </bookViews>
  <sheets>
    <sheet name="CY" sheetId="1" r:id="rId1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F42" i="1"/>
  <c r="G41" i="1"/>
  <c r="F41" i="1"/>
  <c r="G40" i="1"/>
  <c r="F40" i="1"/>
  <c r="G37" i="1"/>
  <c r="F37" i="1"/>
  <c r="G28" i="1"/>
  <c r="F28" i="1"/>
  <c r="G27" i="1"/>
  <c r="F27" i="1"/>
  <c r="G24" i="1"/>
  <c r="F24" i="1"/>
  <c r="G20" i="1"/>
  <c r="F20" i="1"/>
  <c r="G19" i="1"/>
  <c r="F19" i="1"/>
</calcChain>
</file>

<file path=xl/sharedStrings.xml><?xml version="1.0" encoding="utf-8"?>
<sst xmlns="http://schemas.openxmlformats.org/spreadsheetml/2006/main" count="109" uniqueCount="86">
  <si>
    <t>CANARA ROBECO SHORT DURATION FUND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</si>
  <si>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</si>
  <si>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</si>
  <si>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</si>
  <si>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</si>
  <si>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</si>
  <si>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</si>
  <si>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</si>
  <si>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</si>
  <si>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Sep'23</t>
  </si>
  <si>
    <t>Benchmark Risk-o-meter Level- Sep'23</t>
  </si>
  <si>
    <t>Scheme Risk-o-meter Level- Aug'23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</si>
  <si>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</si>
  <si>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</si>
  <si>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</si>
  <si>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</si>
  <si>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</si>
  <si>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</si>
  <si>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</si>
  <si>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</si>
  <si>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8.23% REC Ltd (23/01/2025) **</t>
  </si>
  <si>
    <t>INE020B08898</t>
  </si>
  <si>
    <t>CRISIL AAA</t>
  </si>
  <si>
    <t>Relatively Low (Class I)</t>
  </si>
  <si>
    <t>8.40% Power Grid Corporation of India Ltd (27/05/2024) **</t>
  </si>
  <si>
    <t>INE752E07MQ8</t>
  </si>
  <si>
    <t>7.75% Small Industries Development Bank Of India (27/10/2025) **</t>
  </si>
  <si>
    <t>INE556F08KD0</t>
  </si>
  <si>
    <t>CARE AAA</t>
  </si>
  <si>
    <t>Moderate 
(Class II)</t>
  </si>
  <si>
    <t>B-II</t>
  </si>
  <si>
    <t>7.57% National Bank For Agriculture &amp; Rural Development (19/03/2026)</t>
  </si>
  <si>
    <t>INE261F08DW2</t>
  </si>
  <si>
    <t>7.50% Grasim industries Ltd (10/06/2027) **</t>
  </si>
  <si>
    <t>INE047A08190</t>
  </si>
  <si>
    <t>Relatively High (Class III)</t>
  </si>
  <si>
    <t>7.70% HDB Financial Services Ltd (11/08/2025) **</t>
  </si>
  <si>
    <t>INE756I07EG8</t>
  </si>
  <si>
    <t>7.38% LIC Housing Finance Ltd (18/08/2025) **</t>
  </si>
  <si>
    <t>INE115A07PZ0</t>
  </si>
  <si>
    <t>Benchmark: CRISIL Short Duration Debt B-II Index</t>
  </si>
  <si>
    <t>5.84% Bajaj Housing Finance Ltd (21/02/2024) **</t>
  </si>
  <si>
    <t>INE377Y07292</t>
  </si>
  <si>
    <t>6.00% Bajaj Finance Ltd (10/09/2024) **</t>
  </si>
  <si>
    <t>INE296A07RK6</t>
  </si>
  <si>
    <t>7.16% Power Finance Corporation Ltd (24/04/2025) **</t>
  </si>
  <si>
    <t>INE134E08KP3</t>
  </si>
  <si>
    <t>5.70% National Bank For Agriculture &amp; Rural Development (31/07/2025) **</t>
  </si>
  <si>
    <t>INE261F08DK7</t>
  </si>
  <si>
    <t>7.42% Power Finance Corporation Ltd (19/11/2024)</t>
  </si>
  <si>
    <t>INE134E08KH0</t>
  </si>
  <si>
    <t>Sub Total</t>
  </si>
  <si>
    <t>Total</t>
  </si>
  <si>
    <t>Money Market Instruments</t>
  </si>
  <si>
    <t>Certificate of Deposit</t>
  </si>
  <si>
    <t>Axis Bank Ltd (14/02/2024) ** #</t>
  </si>
  <si>
    <t>INE238AD6348</t>
  </si>
  <si>
    <t>CRISIL A1+</t>
  </si>
  <si>
    <t>Treasury Bill</t>
  </si>
  <si>
    <t>364 DAYS TREASURY BILLS 01-FEB-24</t>
  </si>
  <si>
    <t>IN002022Z440</t>
  </si>
  <si>
    <t xml:space="preserve"> Sovereign</t>
  </si>
  <si>
    <t>Government Bonds</t>
  </si>
  <si>
    <t>7.26% GOI 06-FEB-33</t>
  </si>
  <si>
    <t>IN0020220151</t>
  </si>
  <si>
    <t>Sovereign</t>
  </si>
  <si>
    <t>7.38% GOI 20-JUN-27</t>
  </si>
  <si>
    <t>IN0020220037</t>
  </si>
  <si>
    <t>7.06% GOI 2028 (10-APR-2028)</t>
  </si>
  <si>
    <t>IN0020230010</t>
  </si>
  <si>
    <t>5.63% INDIA GOVERNMENT 12-APR-26</t>
  </si>
  <si>
    <t>IN0020210012</t>
  </si>
  <si>
    <t>7.89% MAHARASHTRA SDL 08-JUN-32</t>
  </si>
  <si>
    <t>IN2220220098</t>
  </si>
  <si>
    <t>7.58% TAMIL NADU SDL 24-AUG-26</t>
  </si>
  <si>
    <t>IN3120160095</t>
  </si>
  <si>
    <t>7.86% Karnataka SDL 15-Mar-27</t>
  </si>
  <si>
    <t>IN1920160117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</si>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</sst>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1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57151</xdr:colOff>
      <xdr:row>4</xdr:row>
      <xdr:rowOff>119898</xdr:rowOff>
    </xdr:from>
    <xdr:to>
      <xdr:col>10</xdr:col>
      <xdr:colOff>2135189</xdr:colOff>
      <xdr:row>10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96726" y="1110498"/>
          <a:ext cx="2078038" cy="1299327"/>
        </a:xfrm>
        <a:prstGeom prst="rect">
          <a:avLst/>
        </a:prstGeom>
      </xdr:spPr>
    </xdr:pic>
    <xdr:clientData/>
  </xdr:twoCellAnchor>
  <xdr:oneCellAnchor>
    <xdr:from>
      <xdr:col>9</xdr:col>
      <xdr:colOff>66675</xdr:colOff>
      <xdr:row>4</xdr:row>
      <xdr:rowOff>180975</xdr:rowOff>
    </xdr:from>
    <xdr:ext cx="1981200" cy="121919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1225" y="1171575"/>
          <a:ext cx="1981200" cy="1219199"/>
        </a:xfrm>
        <a:prstGeom prst="rect">
          <a:avLst/>
        </a:prstGeom>
      </xdr:spPr>
    </xdr:pic>
    <xdr:clientData/>
  </xdr:oneCellAnchor>
  <xdr:oneCellAnchor>
    <xdr:from>
      <xdr:col>11</xdr:col>
      <xdr:colOff>66675</xdr:colOff>
      <xdr:row>4</xdr:row>
      <xdr:rowOff>180975</xdr:rowOff>
    </xdr:from>
    <xdr:ext cx="1981200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35100" y="1171575"/>
          <a:ext cx="1981200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35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85546875" style="3" bestFit="1" customWidth="1"/>
    <col min="4" max="4" width="14.140625" style="3" bestFit="1" customWidth="1"/>
    <col min="5" max="5" width="8.85546875" style="62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7"/>
      <c r="D6" s="27"/>
      <c r="E6" s="28"/>
      <c r="F6" s="29"/>
      <c r="G6" s="29"/>
      <c r="H6" s="29"/>
      <c r="J6" s="30"/>
      <c r="K6" s="30"/>
      <c r="L6" s="30"/>
      <c r="N6" s="31" t="s">
        <v>19</v>
      </c>
      <c r="O6" s="25"/>
      <c r="P6" s="25"/>
      <c r="Q6" s="25"/>
    </row>
    <row r="7" spans="2:17" x14ac:dyDescent="0.2">
      <c r="B7" s="27" t="s">
        <v>20</v>
      </c>
      <c r="C7" s="27" t="s">
        <v>21</v>
      </c>
      <c r="D7" s="27" t="s">
        <v>22</v>
      </c>
      <c r="E7" s="32">
        <v>250</v>
      </c>
      <c r="F7" s="29">
        <v>2518.85</v>
      </c>
      <c r="G7" s="29">
        <v>5.66</v>
      </c>
      <c r="H7" s="29">
        <v>7.6</v>
      </c>
      <c r="J7" s="30"/>
      <c r="K7" s="30"/>
      <c r="L7" s="30"/>
      <c r="M7" s="33"/>
      <c r="N7" s="34" t="s">
        <v>23</v>
      </c>
      <c r="O7" s="35"/>
      <c r="P7" s="35"/>
      <c r="Q7" s="35"/>
    </row>
    <row r="8" spans="2:17" x14ac:dyDescent="0.2">
      <c r="B8" s="27" t="s">
        <v>24</v>
      </c>
      <c r="C8" s="27" t="s">
        <v>25</v>
      </c>
      <c r="D8" s="27" t="s">
        <v>22</v>
      </c>
      <c r="E8" s="32">
        <v>250</v>
      </c>
      <c r="F8" s="29">
        <v>2512.62</v>
      </c>
      <c r="G8" s="29">
        <v>5.65</v>
      </c>
      <c r="H8" s="29">
        <v>7.38</v>
      </c>
      <c r="J8" s="30"/>
      <c r="K8" s="30"/>
      <c r="L8" s="30"/>
      <c r="M8" s="33"/>
      <c r="N8" s="34"/>
      <c r="O8" s="36"/>
      <c r="P8" s="36"/>
      <c r="Q8" s="36"/>
    </row>
    <row r="9" spans="2:17" x14ac:dyDescent="0.2">
      <c r="B9" s="27" t="s">
        <v>26</v>
      </c>
      <c r="C9" s="27" t="s">
        <v>27</v>
      </c>
      <c r="D9" s="27" t="s">
        <v>28</v>
      </c>
      <c r="E9" s="32">
        <v>250</v>
      </c>
      <c r="F9" s="29">
        <v>2501.98</v>
      </c>
      <c r="G9" s="29">
        <v>5.63</v>
      </c>
      <c r="H9" s="29">
        <v>7.71</v>
      </c>
      <c r="J9" s="30"/>
      <c r="K9" s="30"/>
      <c r="L9" s="30"/>
      <c r="M9" s="33"/>
      <c r="N9" s="34" t="s">
        <v>29</v>
      </c>
      <c r="O9" s="35"/>
      <c r="P9" s="37" t="s">
        <v>30</v>
      </c>
      <c r="Q9" s="35"/>
    </row>
    <row r="10" spans="2:17" x14ac:dyDescent="0.2">
      <c r="B10" s="27" t="s">
        <v>31</v>
      </c>
      <c r="C10" s="27" t="s">
        <v>32</v>
      </c>
      <c r="D10" s="27" t="s">
        <v>22</v>
      </c>
      <c r="E10" s="32">
        <v>2500</v>
      </c>
      <c r="F10" s="29">
        <v>2492.29</v>
      </c>
      <c r="G10" s="29">
        <v>5.6</v>
      </c>
      <c r="H10" s="29">
        <v>7.68</v>
      </c>
      <c r="J10" s="30"/>
      <c r="K10" s="30"/>
      <c r="L10" s="30"/>
      <c r="M10" s="33"/>
      <c r="N10" s="34"/>
      <c r="O10" s="36"/>
      <c r="P10" s="38"/>
      <c r="Q10" s="36"/>
    </row>
    <row r="11" spans="2:17" x14ac:dyDescent="0.2">
      <c r="B11" s="27" t="s">
        <v>33</v>
      </c>
      <c r="C11" s="27" t="s">
        <v>34</v>
      </c>
      <c r="D11" s="27" t="s">
        <v>22</v>
      </c>
      <c r="E11" s="32">
        <v>250</v>
      </c>
      <c r="F11" s="29">
        <v>2488.0300000000002</v>
      </c>
      <c r="G11" s="29">
        <v>5.59</v>
      </c>
      <c r="H11" s="29">
        <v>7.63</v>
      </c>
      <c r="J11" s="30"/>
      <c r="K11" s="30"/>
      <c r="L11" s="30"/>
      <c r="M11" s="33"/>
      <c r="N11" s="34" t="s">
        <v>35</v>
      </c>
      <c r="O11" s="35"/>
      <c r="P11" s="35"/>
      <c r="Q11" s="35"/>
    </row>
    <row r="12" spans="2:17" x14ac:dyDescent="0.2">
      <c r="B12" s="27" t="s">
        <v>36</v>
      </c>
      <c r="C12" s="27" t="s">
        <v>37</v>
      </c>
      <c r="D12" s="27" t="s">
        <v>22</v>
      </c>
      <c r="E12" s="32">
        <v>250</v>
      </c>
      <c r="F12" s="29">
        <v>2487.2399999999998</v>
      </c>
      <c r="G12" s="29">
        <v>5.59</v>
      </c>
      <c r="H12" s="29">
        <v>7.99</v>
      </c>
      <c r="J12" s="39"/>
      <c r="K12" s="39"/>
      <c r="L12" s="39"/>
      <c r="M12" s="33"/>
      <c r="N12" s="34"/>
      <c r="O12" s="36"/>
      <c r="P12" s="36"/>
      <c r="Q12" s="36"/>
    </row>
    <row r="13" spans="2:17" x14ac:dyDescent="0.2">
      <c r="B13" s="27" t="s">
        <v>38</v>
      </c>
      <c r="C13" s="27" t="s">
        <v>39</v>
      </c>
      <c r="D13" s="27" t="s">
        <v>22</v>
      </c>
      <c r="E13" s="32">
        <v>250</v>
      </c>
      <c r="F13" s="29">
        <v>2481.7600000000002</v>
      </c>
      <c r="G13" s="29">
        <v>5.58</v>
      </c>
      <c r="H13" s="29">
        <v>7.8</v>
      </c>
      <c r="J13" s="40"/>
      <c r="K13" s="40" t="s">
        <v>40</v>
      </c>
      <c r="L13" s="33"/>
      <c r="M13" s="33"/>
    </row>
    <row r="14" spans="2:17" x14ac:dyDescent="0.2">
      <c r="B14" s="27" t="s">
        <v>41</v>
      </c>
      <c r="C14" s="27" t="s">
        <v>42</v>
      </c>
      <c r="D14" s="27" t="s">
        <v>22</v>
      </c>
      <c r="E14" s="32">
        <v>250</v>
      </c>
      <c r="F14" s="29">
        <v>2481.67</v>
      </c>
      <c r="G14" s="29">
        <v>5.58</v>
      </c>
      <c r="H14" s="29">
        <v>7.5</v>
      </c>
      <c r="J14" s="33"/>
      <c r="K14" s="33"/>
      <c r="L14" s="33"/>
      <c r="M14" s="33"/>
    </row>
    <row r="15" spans="2:17" x14ac:dyDescent="0.2">
      <c r="B15" s="27" t="s">
        <v>43</v>
      </c>
      <c r="C15" s="27" t="s">
        <v>44</v>
      </c>
      <c r="D15" s="27" t="s">
        <v>22</v>
      </c>
      <c r="E15" s="32">
        <v>250</v>
      </c>
      <c r="F15" s="29">
        <v>2459.79</v>
      </c>
      <c r="G15" s="29">
        <v>5.53</v>
      </c>
      <c r="H15" s="29">
        <v>7.81</v>
      </c>
      <c r="J15" s="33"/>
      <c r="K15" s="33"/>
      <c r="L15" s="33"/>
      <c r="M15" s="33"/>
    </row>
    <row r="16" spans="2:17" x14ac:dyDescent="0.2">
      <c r="B16" s="27" t="s">
        <v>45</v>
      </c>
      <c r="C16" s="27" t="s">
        <v>46</v>
      </c>
      <c r="D16" s="27" t="s">
        <v>22</v>
      </c>
      <c r="E16" s="32">
        <v>200</v>
      </c>
      <c r="F16" s="29">
        <v>1985.19</v>
      </c>
      <c r="G16" s="29">
        <v>4.46</v>
      </c>
      <c r="H16" s="29">
        <v>7.64</v>
      </c>
      <c r="J16" s="33"/>
      <c r="K16" s="33"/>
      <c r="L16" s="33"/>
      <c r="M16" s="33"/>
    </row>
    <row r="17" spans="2:13" x14ac:dyDescent="0.2">
      <c r="B17" s="27" t="s">
        <v>47</v>
      </c>
      <c r="C17" s="27" t="s">
        <v>48</v>
      </c>
      <c r="D17" s="27" t="s">
        <v>22</v>
      </c>
      <c r="E17" s="32">
        <v>150</v>
      </c>
      <c r="F17" s="29">
        <v>1450.69</v>
      </c>
      <c r="G17" s="29">
        <v>3.26</v>
      </c>
      <c r="H17" s="29">
        <v>7.68</v>
      </c>
      <c r="J17" s="33"/>
      <c r="K17" s="33"/>
      <c r="L17" s="33"/>
      <c r="M17" s="33"/>
    </row>
    <row r="18" spans="2:13" x14ac:dyDescent="0.2">
      <c r="B18" s="27" t="s">
        <v>49</v>
      </c>
      <c r="C18" s="27" t="s">
        <v>50</v>
      </c>
      <c r="D18" s="27" t="s">
        <v>22</v>
      </c>
      <c r="E18" s="32">
        <v>100</v>
      </c>
      <c r="F18" s="29">
        <v>997.88</v>
      </c>
      <c r="G18" s="29">
        <v>2.2400000000000002</v>
      </c>
      <c r="H18" s="29">
        <v>7.59</v>
      </c>
      <c r="J18" s="33"/>
      <c r="K18" s="33"/>
      <c r="L18" s="33"/>
      <c r="M18" s="33"/>
    </row>
    <row r="19" spans="2:13" x14ac:dyDescent="0.2">
      <c r="B19" s="41" t="s">
        <v>51</v>
      </c>
      <c r="C19" s="41"/>
      <c r="D19" s="41"/>
      <c r="E19" s="42"/>
      <c r="F19" s="43">
        <f ca="1">SUM(F6:F18)</f>
        <v>26857.989999999994</v>
      </c>
      <c r="G19" s="43">
        <f ca="1">SUM(G6:G18)</f>
        <v>60.37</v>
      </c>
      <c r="H19" s="44"/>
      <c r="J19" s="33"/>
      <c r="K19" s="33"/>
      <c r="L19" s="33"/>
      <c r="M19" s="33"/>
    </row>
    <row r="20" spans="2:13" x14ac:dyDescent="0.2">
      <c r="B20" s="45" t="s">
        <v>52</v>
      </c>
      <c r="C20" s="45"/>
      <c r="D20" s="45"/>
      <c r="E20" s="46"/>
      <c r="F20" s="47">
        <f ca="1">F19</f>
        <v>26857.989999999994</v>
      </c>
      <c r="G20" s="47">
        <f ca="1">G19</f>
        <v>60.37</v>
      </c>
      <c r="H20" s="47"/>
      <c r="J20" s="33"/>
      <c r="K20" s="33"/>
      <c r="L20" s="33"/>
      <c r="M20" s="33"/>
    </row>
    <row r="21" spans="2:13" x14ac:dyDescent="0.2">
      <c r="B21" s="26" t="s">
        <v>53</v>
      </c>
      <c r="C21" s="27"/>
      <c r="D21" s="27"/>
      <c r="E21" s="28"/>
      <c r="F21" s="29"/>
      <c r="G21" s="29"/>
      <c r="H21" s="29"/>
      <c r="J21" s="33"/>
      <c r="K21" s="33"/>
      <c r="L21" s="33"/>
      <c r="M21" s="33"/>
    </row>
    <row r="22" spans="2:13" x14ac:dyDescent="0.2">
      <c r="B22" s="26" t="s">
        <v>54</v>
      </c>
      <c r="C22" s="27"/>
      <c r="D22" s="27"/>
      <c r="E22" s="28"/>
      <c r="F22" s="29"/>
      <c r="G22" s="29"/>
      <c r="H22" s="29"/>
      <c r="J22" s="33"/>
      <c r="K22" s="33"/>
      <c r="L22" s="33"/>
      <c r="M22" s="33"/>
    </row>
    <row r="23" spans="2:13" x14ac:dyDescent="0.2">
      <c r="B23" s="27" t="s">
        <v>55</v>
      </c>
      <c r="C23" s="27" t="s">
        <v>56</v>
      </c>
      <c r="D23" s="27" t="s">
        <v>57</v>
      </c>
      <c r="E23" s="32">
        <v>500</v>
      </c>
      <c r="F23" s="29">
        <v>2434.46</v>
      </c>
      <c r="G23" s="29">
        <v>5.47</v>
      </c>
      <c r="H23" s="29">
        <v>7.23</v>
      </c>
      <c r="J23" s="33"/>
      <c r="K23" s="33"/>
      <c r="L23" s="33"/>
      <c r="M23" s="33"/>
    </row>
    <row r="24" spans="2:13" x14ac:dyDescent="0.2">
      <c r="B24" s="26" t="s">
        <v>51</v>
      </c>
      <c r="C24" s="26"/>
      <c r="D24" s="26"/>
      <c r="E24" s="48"/>
      <c r="F24" s="49">
        <f ca="1">SUM(F22:F23)</f>
        <v>2434.46</v>
      </c>
      <c r="G24" s="49">
        <f ca="1">SUM(G22:G23)</f>
        <v>5.47</v>
      </c>
      <c r="H24" s="50"/>
      <c r="J24" s="33"/>
      <c r="K24" s="33"/>
      <c r="L24" s="33"/>
      <c r="M24" s="33"/>
    </row>
    <row r="25" spans="2:13" x14ac:dyDescent="0.2">
      <c r="B25" s="26" t="s">
        <v>58</v>
      </c>
      <c r="C25" s="27"/>
      <c r="D25" s="27"/>
      <c r="E25" s="28"/>
      <c r="F25" s="29"/>
      <c r="G25" s="29"/>
      <c r="H25" s="29"/>
      <c r="J25" s="33"/>
      <c r="K25" s="33"/>
      <c r="L25" s="33"/>
      <c r="M25" s="33"/>
    </row>
    <row r="26" spans="2:13" x14ac:dyDescent="0.2">
      <c r="B26" s="27" t="s">
        <v>59</v>
      </c>
      <c r="C26" s="27" t="s">
        <v>60</v>
      </c>
      <c r="D26" s="27" t="s">
        <v>61</v>
      </c>
      <c r="E26" s="32">
        <v>250000</v>
      </c>
      <c r="F26" s="29">
        <v>244.28</v>
      </c>
      <c r="G26" s="29">
        <v>0.55000000000000004</v>
      </c>
      <c r="H26" s="29">
        <v>6.95</v>
      </c>
      <c r="J26" s="33"/>
      <c r="K26" s="33"/>
      <c r="L26" s="33"/>
      <c r="M26" s="33"/>
    </row>
    <row r="27" spans="2:13" x14ac:dyDescent="0.2">
      <c r="B27" s="41" t="s">
        <v>51</v>
      </c>
      <c r="C27" s="41"/>
      <c r="D27" s="41"/>
      <c r="E27" s="42"/>
      <c r="F27" s="43">
        <f ca="1">SUM(F25:F26)</f>
        <v>244.28</v>
      </c>
      <c r="G27" s="43">
        <f ca="1">SUM(G25:G26)</f>
        <v>0.55000000000000004</v>
      </c>
      <c r="H27" s="44"/>
      <c r="J27" s="33"/>
      <c r="K27" s="33"/>
      <c r="L27" s="33"/>
      <c r="M27" s="33"/>
    </row>
    <row r="28" spans="2:13" x14ac:dyDescent="0.2">
      <c r="B28" s="45" t="s">
        <v>52</v>
      </c>
      <c r="C28" s="45"/>
      <c r="D28" s="45"/>
      <c r="E28" s="46"/>
      <c r="F28" s="47">
        <f ca="1">F24+F27</f>
        <v>2678.7400000000002</v>
      </c>
      <c r="G28" s="47">
        <f ca="1">G24+G27</f>
        <v>6.02</v>
      </c>
      <c r="H28" s="47"/>
      <c r="J28" s="33"/>
      <c r="K28" s="33"/>
      <c r="L28" s="33"/>
      <c r="M28" s="33"/>
    </row>
    <row r="29" spans="2:13" x14ac:dyDescent="0.2">
      <c r="B29" s="26" t="s">
        <v>62</v>
      </c>
      <c r="C29" s="27"/>
      <c r="D29" s="27"/>
      <c r="E29" s="28"/>
      <c r="F29" s="29"/>
      <c r="G29" s="29"/>
      <c r="H29" s="29"/>
      <c r="J29" s="33"/>
      <c r="K29" s="33"/>
      <c r="L29" s="33"/>
      <c r="M29" s="33"/>
    </row>
    <row r="30" spans="2:13" x14ac:dyDescent="0.2">
      <c r="B30" s="27" t="s">
        <v>63</v>
      </c>
      <c r="C30" s="27" t="s">
        <v>64</v>
      </c>
      <c r="D30" s="27" t="s">
        <v>65</v>
      </c>
      <c r="E30" s="32">
        <v>3000000</v>
      </c>
      <c r="F30" s="29">
        <v>3002.33</v>
      </c>
      <c r="G30" s="29">
        <v>6.75</v>
      </c>
      <c r="H30" s="29">
        <v>7.38</v>
      </c>
      <c r="J30" s="33"/>
      <c r="K30" s="33"/>
      <c r="L30" s="33"/>
      <c r="M30" s="33"/>
    </row>
    <row r="31" spans="2:13" x14ac:dyDescent="0.2">
      <c r="B31" s="27" t="s">
        <v>66</v>
      </c>
      <c r="C31" s="27" t="s">
        <v>67</v>
      </c>
      <c r="D31" s="27" t="s">
        <v>65</v>
      </c>
      <c r="E31" s="32">
        <v>2500000</v>
      </c>
      <c r="F31" s="29">
        <v>2510.6799999999998</v>
      </c>
      <c r="G31" s="29">
        <v>5.65</v>
      </c>
      <c r="H31" s="29">
        <v>7.37</v>
      </c>
      <c r="J31" s="33"/>
      <c r="K31" s="33"/>
      <c r="L31" s="33"/>
      <c r="M31" s="33"/>
    </row>
    <row r="32" spans="2:13" x14ac:dyDescent="0.2">
      <c r="B32" s="27" t="s">
        <v>68</v>
      </c>
      <c r="C32" s="27" t="s">
        <v>69</v>
      </c>
      <c r="D32" s="27" t="s">
        <v>65</v>
      </c>
      <c r="E32" s="32">
        <v>2500000</v>
      </c>
      <c r="F32" s="29">
        <v>2483.46</v>
      </c>
      <c r="G32" s="29">
        <v>5.58</v>
      </c>
      <c r="H32" s="29">
        <v>7.36</v>
      </c>
      <c r="J32" s="33"/>
      <c r="K32" s="33"/>
      <c r="L32" s="33"/>
      <c r="M32" s="33"/>
    </row>
    <row r="33" spans="2:13" x14ac:dyDescent="0.2">
      <c r="B33" s="27" t="s">
        <v>70</v>
      </c>
      <c r="C33" s="27" t="s">
        <v>71</v>
      </c>
      <c r="D33" s="27" t="s">
        <v>65</v>
      </c>
      <c r="E33" s="32">
        <v>1500000</v>
      </c>
      <c r="F33" s="29">
        <v>1444.49</v>
      </c>
      <c r="G33" s="29">
        <v>3.25</v>
      </c>
      <c r="H33" s="29">
        <v>7.39</v>
      </c>
      <c r="J33" s="33"/>
      <c r="K33" s="33"/>
      <c r="L33" s="33"/>
      <c r="M33" s="33"/>
    </row>
    <row r="34" spans="2:13" x14ac:dyDescent="0.2">
      <c r="B34" s="27" t="s">
        <v>72</v>
      </c>
      <c r="C34" s="27" t="s">
        <v>73</v>
      </c>
      <c r="D34" s="27" t="s">
        <v>65</v>
      </c>
      <c r="E34" s="32">
        <v>1000000</v>
      </c>
      <c r="F34" s="29">
        <v>1028.04</v>
      </c>
      <c r="G34" s="29">
        <v>2.31</v>
      </c>
      <c r="H34" s="29">
        <v>7.58</v>
      </c>
      <c r="J34" s="33"/>
      <c r="K34" s="33"/>
      <c r="L34" s="33"/>
      <c r="M34" s="33"/>
    </row>
    <row r="35" spans="2:13" x14ac:dyDescent="0.2">
      <c r="B35" s="27" t="s">
        <v>74</v>
      </c>
      <c r="C35" s="27" t="s">
        <v>75</v>
      </c>
      <c r="D35" s="27" t="s">
        <v>65</v>
      </c>
      <c r="E35" s="32">
        <v>500000</v>
      </c>
      <c r="F35" s="29">
        <v>501.75</v>
      </c>
      <c r="G35" s="29">
        <v>1.1299999999999999</v>
      </c>
      <c r="H35" s="29">
        <v>7.58</v>
      </c>
      <c r="J35" s="33"/>
      <c r="K35" s="33"/>
      <c r="L35" s="33"/>
      <c r="M35" s="33"/>
    </row>
    <row r="36" spans="2:13" x14ac:dyDescent="0.2">
      <c r="B36" s="51" t="s">
        <v>76</v>
      </c>
      <c r="C36" s="51" t="s">
        <v>77</v>
      </c>
      <c r="D36" s="51" t="s">
        <v>65</v>
      </c>
      <c r="E36" s="52">
        <v>28300</v>
      </c>
      <c r="F36" s="53">
        <v>28.64</v>
      </c>
      <c r="G36" s="53">
        <v>0.06</v>
      </c>
      <c r="H36" s="53">
        <v>7.59</v>
      </c>
      <c r="J36" s="33"/>
      <c r="K36" s="33"/>
      <c r="L36" s="33"/>
      <c r="M36" s="33"/>
    </row>
    <row r="37" spans="2:13" x14ac:dyDescent="0.2">
      <c r="B37" s="54" t="s">
        <v>52</v>
      </c>
      <c r="C37" s="54"/>
      <c r="D37" s="54"/>
      <c r="E37" s="55"/>
      <c r="F37" s="49">
        <f ca="1">SUM(F30:F36)</f>
        <v>10999.39</v>
      </c>
      <c r="G37" s="49">
        <f ca="1">SUM(G30:G36)</f>
        <v>24.729999999999997</v>
      </c>
      <c r="H37" s="49"/>
      <c r="J37" s="33"/>
      <c r="K37" s="33"/>
      <c r="L37" s="33"/>
      <c r="M37" s="33"/>
    </row>
    <row r="38" spans="2:13" x14ac:dyDescent="0.2">
      <c r="B38" s="26" t="s">
        <v>78</v>
      </c>
      <c r="C38" s="27"/>
      <c r="D38" s="27"/>
      <c r="E38" s="28"/>
      <c r="F38" s="29"/>
      <c r="G38" s="29"/>
      <c r="H38" s="29"/>
      <c r="J38" s="33"/>
      <c r="K38" s="33"/>
      <c r="L38" s="33"/>
      <c r="M38" s="33"/>
    </row>
    <row r="39" spans="2:13" x14ac:dyDescent="0.2">
      <c r="B39" s="27" t="s">
        <v>78</v>
      </c>
      <c r="C39" s="27"/>
      <c r="D39" s="27"/>
      <c r="E39" s="28"/>
      <c r="F39" s="29">
        <v>2905.08</v>
      </c>
      <c r="G39" s="29">
        <v>6.53</v>
      </c>
      <c r="H39" s="29"/>
      <c r="J39" s="33"/>
      <c r="K39" s="33"/>
      <c r="L39" s="33"/>
      <c r="M39" s="33"/>
    </row>
    <row r="40" spans="2:13" x14ac:dyDescent="0.2">
      <c r="B40" s="41" t="s">
        <v>51</v>
      </c>
      <c r="C40" s="41"/>
      <c r="D40" s="41"/>
      <c r="E40" s="42"/>
      <c r="F40" s="43">
        <f ca="1">SUM(F38:F39)</f>
        <v>2905.08</v>
      </c>
      <c r="G40" s="43">
        <f ca="1">SUM(G38:G39)</f>
        <v>6.53</v>
      </c>
      <c r="H40" s="44"/>
      <c r="J40" s="33"/>
      <c r="K40" s="33"/>
      <c r="L40" s="33"/>
      <c r="M40" s="33"/>
    </row>
    <row r="41" spans="2:13" x14ac:dyDescent="0.2">
      <c r="B41" s="56" t="s">
        <v>52</v>
      </c>
      <c r="C41" s="56"/>
      <c r="D41" s="56"/>
      <c r="E41" s="57"/>
      <c r="F41" s="58">
        <f ca="1">F40</f>
        <v>2905.08</v>
      </c>
      <c r="G41" s="58">
        <f ca="1">G40</f>
        <v>6.53</v>
      </c>
      <c r="H41" s="58"/>
      <c r="J41" s="33"/>
      <c r="K41" s="33"/>
      <c r="L41" s="33"/>
      <c r="M41" s="33"/>
    </row>
    <row r="42" spans="2:13" x14ac:dyDescent="0.2">
      <c r="B42" s="59" t="s">
        <v>79</v>
      </c>
      <c r="C42" s="59"/>
      <c r="D42" s="59"/>
      <c r="E42" s="60"/>
      <c r="F42" s="61">
        <f ca="1">F43-(+F20+F28+F37+F41)</f>
        <v>1033.9200000000055</v>
      </c>
      <c r="G42" s="61">
        <f ca="1">G43-(+G20+G28+G37+G41)</f>
        <v>2.3499999999999943</v>
      </c>
      <c r="H42" s="61"/>
      <c r="J42" s="33"/>
      <c r="K42" s="33"/>
      <c r="L42" s="33"/>
      <c r="M42" s="33"/>
    </row>
    <row r="43" spans="2:13" x14ac:dyDescent="0.2">
      <c r="B43" s="59" t="s">
        <v>80</v>
      </c>
      <c r="C43" s="59"/>
      <c r="D43" s="59"/>
      <c r="E43" s="60"/>
      <c r="F43" s="61">
        <v>44475.12</v>
      </c>
      <c r="G43" s="61">
        <v>100</v>
      </c>
      <c r="H43" s="61"/>
      <c r="J43" s="33"/>
      <c r="K43" s="33"/>
      <c r="L43" s="33"/>
      <c r="M43" s="33"/>
    </row>
    <row r="44" spans="2:13" x14ac:dyDescent="0.2">
      <c r="J44" s="33"/>
      <c r="K44" s="33"/>
      <c r="L44" s="33"/>
      <c r="M44" s="33"/>
    </row>
    <row r="45" spans="2:13" x14ac:dyDescent="0.2">
      <c r="B45" s="63" t="s">
        <v>81</v>
      </c>
      <c r="J45" s="33"/>
      <c r="K45" s="33"/>
      <c r="L45" s="33"/>
      <c r="M45" s="33"/>
    </row>
    <row r="46" spans="2:13" x14ac:dyDescent="0.2">
      <c r="B46" s="63" t="s">
        <v>82</v>
      </c>
      <c r="J46" s="33"/>
      <c r="K46" s="33"/>
      <c r="L46" s="33"/>
      <c r="M46" s="33"/>
    </row>
    <row r="47" spans="2:13" ht="12.75" thickBot="1" x14ac:dyDescent="0.25">
      <c r="J47" s="33"/>
      <c r="K47" s="33"/>
      <c r="L47" s="33"/>
      <c r="M47" s="33"/>
    </row>
    <row r="48" spans="2:13" ht="13.5" thickTop="1" thickBot="1" x14ac:dyDescent="0.25">
      <c r="B48" s="64" t="s">
        <v>83</v>
      </c>
      <c r="C48" s="65">
        <v>1.9757</v>
      </c>
      <c r="J48" s="33"/>
      <c r="K48" s="33"/>
      <c r="L48" s="33"/>
      <c r="M48" s="33"/>
    </row>
    <row r="49" spans="2:13" ht="13.5" thickTop="1" thickBot="1" x14ac:dyDescent="0.25">
      <c r="J49" s="33"/>
      <c r="K49" s="33"/>
      <c r="L49" s="33"/>
      <c r="M49" s="33"/>
    </row>
    <row r="50" spans="2:13" ht="13.5" thickTop="1" thickBot="1" x14ac:dyDescent="0.25">
      <c r="B50" s="64" t="s">
        <v>84</v>
      </c>
      <c r="C50" s="66">
        <v>7.4999999999999997E-2</v>
      </c>
      <c r="J50" s="33"/>
      <c r="K50" s="33"/>
      <c r="L50" s="33"/>
      <c r="M50" s="33"/>
    </row>
    <row r="51" spans="2:13" ht="13.5" thickTop="1" thickBot="1" x14ac:dyDescent="0.25">
      <c r="J51" s="33"/>
      <c r="K51" s="33"/>
      <c r="L51" s="33"/>
      <c r="M51" s="33"/>
    </row>
    <row r="52" spans="2:13" ht="13.5" thickTop="1" thickBot="1" x14ac:dyDescent="0.25">
      <c r="B52" s="64" t="s">
        <v>85</v>
      </c>
      <c r="C52" s="65">
        <v>2.1349999999999998</v>
      </c>
      <c r="J52" s="33"/>
      <c r="K52" s="33"/>
      <c r="L52" s="33"/>
      <c r="M52" s="33"/>
    </row>
    <row r="53" spans="2:13" ht="12.75" thickTop="1" x14ac:dyDescent="0.2">
      <c r="J53" s="33"/>
      <c r="K53" s="33"/>
      <c r="L53" s="33"/>
      <c r="M53" s="33"/>
    </row>
    <row r="54" spans="2:13" x14ac:dyDescent="0.2">
      <c r="J54" s="33"/>
      <c r="K54" s="33"/>
      <c r="L54" s="33"/>
      <c r="M54" s="33"/>
    </row>
    <row r="55" spans="2:13" x14ac:dyDescent="0.2">
      <c r="J55" s="33"/>
      <c r="K55" s="33"/>
      <c r="L55" s="33"/>
      <c r="M55" s="33"/>
    </row>
    <row r="56" spans="2:13" x14ac:dyDescent="0.2">
      <c r="J56" s="33"/>
      <c r="K56" s="33"/>
      <c r="L56" s="33"/>
      <c r="M56" s="33"/>
    </row>
    <row r="57" spans="2:13" x14ac:dyDescent="0.2">
      <c r="J57" s="33"/>
      <c r="K57" s="33"/>
      <c r="L57" s="33"/>
      <c r="M57" s="33"/>
    </row>
    <row r="58" spans="2:13" x14ac:dyDescent="0.2">
      <c r="J58" s="33"/>
      <c r="K58" s="33"/>
      <c r="L58" s="33"/>
      <c r="M58" s="33"/>
    </row>
    <row r="59" spans="2:13" x14ac:dyDescent="0.2">
      <c r="J59" s="33"/>
      <c r="K59" s="33"/>
      <c r="L59" s="33"/>
      <c r="M59" s="33"/>
    </row>
    <row r="60" spans="2:13" x14ac:dyDescent="0.2">
      <c r="J60" s="33"/>
      <c r="K60" s="33"/>
      <c r="L60" s="33"/>
      <c r="M60" s="33"/>
    </row>
    <row r="61" spans="2:13" x14ac:dyDescent="0.2">
      <c r="J61" s="33"/>
      <c r="K61" s="33"/>
      <c r="L61" s="33"/>
      <c r="M61" s="33"/>
    </row>
    <row r="62" spans="2:13" x14ac:dyDescent="0.2">
      <c r="J62" s="33"/>
      <c r="K62" s="33"/>
      <c r="L62" s="33"/>
      <c r="M62" s="33"/>
    </row>
    <row r="63" spans="2:13" x14ac:dyDescent="0.2">
      <c r="J63" s="33"/>
      <c r="K63" s="33"/>
      <c r="L63" s="33"/>
      <c r="M63" s="33"/>
    </row>
    <row r="64" spans="2:13" x14ac:dyDescent="0.2">
      <c r="J64" s="33"/>
      <c r="K64" s="33"/>
      <c r="L64" s="33"/>
      <c r="M64" s="33"/>
    </row>
    <row r="65" spans="10:13" x14ac:dyDescent="0.2">
      <c r="J65" s="33"/>
      <c r="K65" s="33"/>
      <c r="L65" s="33"/>
      <c r="M65" s="33"/>
    </row>
    <row r="66" spans="10:13" x14ac:dyDescent="0.2">
      <c r="J66" s="33"/>
      <c r="K66" s="33"/>
      <c r="L66" s="33"/>
      <c r="M66" s="33"/>
    </row>
    <row r="67" spans="10:13" x14ac:dyDescent="0.2">
      <c r="J67" s="33"/>
      <c r="K67" s="33"/>
      <c r="L67" s="33"/>
      <c r="M67" s="33"/>
    </row>
    <row r="68" spans="10:13" x14ac:dyDescent="0.2">
      <c r="J68" s="33"/>
      <c r="K68" s="33"/>
      <c r="L68" s="33"/>
      <c r="M68" s="33"/>
    </row>
    <row r="69" spans="10:13" x14ac:dyDescent="0.2">
      <c r="J69" s="33"/>
      <c r="K69" s="33"/>
      <c r="L69" s="33"/>
      <c r="M69" s="33"/>
    </row>
    <row r="70" spans="10:13" x14ac:dyDescent="0.2">
      <c r="J70" s="33"/>
      <c r="K70" s="33"/>
      <c r="L70" s="33"/>
      <c r="M70" s="33"/>
    </row>
    <row r="71" spans="10:13" x14ac:dyDescent="0.2">
      <c r="J71" s="33"/>
      <c r="K71" s="33"/>
      <c r="L71" s="33"/>
      <c r="M71" s="33"/>
    </row>
    <row r="72" spans="10:13" x14ac:dyDescent="0.2">
      <c r="J72" s="33"/>
    </row>
    <row r="73" spans="10:13" x14ac:dyDescent="0.2">
      <c r="J73" s="33"/>
    </row>
    <row r="74" spans="10:13" x14ac:dyDescent="0.2">
      <c r="J74" s="33"/>
    </row>
    <row r="75" spans="10:13" x14ac:dyDescent="0.2">
      <c r="J75" s="33"/>
    </row>
    <row r="76" spans="10:13" x14ac:dyDescent="0.2">
      <c r="J76" s="33"/>
    </row>
    <row r="77" spans="10:13" x14ac:dyDescent="0.2">
      <c r="J77" s="33"/>
    </row>
    <row r="78" spans="10:13" x14ac:dyDescent="0.2">
      <c r="J78" s="33"/>
    </row>
    <row r="79" spans="10:13" x14ac:dyDescent="0.2">
      <c r="J79" s="33"/>
    </row>
    <row r="80" spans="10:13" x14ac:dyDescent="0.2">
      <c r="J80" s="33"/>
    </row>
    <row r="81" spans="10:10" x14ac:dyDescent="0.2">
      <c r="J81" s="33"/>
    </row>
    <row r="82" spans="10:10" x14ac:dyDescent="0.2">
      <c r="J82" s="33"/>
    </row>
    <row r="83" spans="10:10" x14ac:dyDescent="0.2">
      <c r="J83" s="33"/>
    </row>
    <row r="84" spans="10:10" x14ac:dyDescent="0.2">
      <c r="J84" s="33"/>
    </row>
    <row r="85" spans="10:10" x14ac:dyDescent="0.2">
      <c r="J85" s="33"/>
    </row>
    <row r="86" spans="10:10" x14ac:dyDescent="0.2">
      <c r="J86" s="33"/>
    </row>
    <row r="87" spans="10:10" x14ac:dyDescent="0.2">
      <c r="J87" s="33"/>
    </row>
    <row r="88" spans="10:10" x14ac:dyDescent="0.2">
      <c r="J88" s="33"/>
    </row>
    <row r="89" spans="10:10" x14ac:dyDescent="0.2">
      <c r="J89" s="33"/>
    </row>
    <row r="90" spans="10:10" x14ac:dyDescent="0.2">
      <c r="J90" s="33"/>
    </row>
    <row r="91" spans="10:10" x14ac:dyDescent="0.2">
      <c r="J91" s="33"/>
    </row>
    <row r="92" spans="10:10" x14ac:dyDescent="0.2">
      <c r="J92" s="33"/>
    </row>
    <row r="93" spans="10:10" x14ac:dyDescent="0.2">
      <c r="J93" s="33"/>
    </row>
    <row r="94" spans="10:10" x14ac:dyDescent="0.2">
      <c r="J94" s="33"/>
    </row>
    <row r="95" spans="10:10" x14ac:dyDescent="0.2">
      <c r="J95" s="33"/>
    </row>
    <row r="96" spans="10:10" x14ac:dyDescent="0.2">
      <c r="J96" s="33"/>
    </row>
    <row r="97" spans="10:10" x14ac:dyDescent="0.2">
      <c r="J97" s="33"/>
    </row>
    <row r="98" spans="10:10" x14ac:dyDescent="0.2">
      <c r="J98" s="33"/>
    </row>
    <row r="99" spans="10:10" x14ac:dyDescent="0.2">
      <c r="J99" s="33"/>
    </row>
    <row r="100" spans="10:10" x14ac:dyDescent="0.2">
      <c r="J100" s="33"/>
    </row>
    <row r="101" spans="10:10" x14ac:dyDescent="0.2">
      <c r="J101" s="33"/>
    </row>
    <row r="102" spans="10:10" x14ac:dyDescent="0.2">
      <c r="J102" s="33"/>
    </row>
    <row r="103" spans="10:10" x14ac:dyDescent="0.2">
      <c r="J103" s="33"/>
    </row>
    <row r="104" spans="10:10" x14ac:dyDescent="0.2">
      <c r="J104" s="33"/>
    </row>
    <row r="105" spans="10:10" x14ac:dyDescent="0.2">
      <c r="J105" s="33"/>
    </row>
    <row r="106" spans="10:10" x14ac:dyDescent="0.2">
      <c r="J106" s="33"/>
    </row>
    <row r="107" spans="10:10" x14ac:dyDescent="0.2">
      <c r="J107" s="33"/>
    </row>
    <row r="108" spans="10:10" x14ac:dyDescent="0.2">
      <c r="J108" s="33"/>
    </row>
    <row r="109" spans="10:10" x14ac:dyDescent="0.2">
      <c r="J109" s="33"/>
    </row>
    <row r="110" spans="10:10" x14ac:dyDescent="0.2">
      <c r="J110" s="33"/>
    </row>
    <row r="111" spans="10:10" x14ac:dyDescent="0.2">
      <c r="J111" s="33"/>
    </row>
    <row r="112" spans="10:10" x14ac:dyDescent="0.2">
      <c r="J112" s="33"/>
    </row>
    <row r="113" spans="10:10" x14ac:dyDescent="0.2">
      <c r="J113" s="33"/>
    </row>
    <row r="114" spans="10:10" x14ac:dyDescent="0.2">
      <c r="J114" s="33"/>
    </row>
    <row r="115" spans="10:10" x14ac:dyDescent="0.2">
      <c r="J115" s="33"/>
    </row>
    <row r="116" spans="10:10" x14ac:dyDescent="0.2">
      <c r="J116" s="33"/>
    </row>
    <row r="117" spans="10:10" x14ac:dyDescent="0.2">
      <c r="J117" s="33"/>
    </row>
    <row r="118" spans="10:10" x14ac:dyDescent="0.2">
      <c r="J118" s="33"/>
    </row>
    <row r="119" spans="10:10" x14ac:dyDescent="0.2">
      <c r="J119" s="33"/>
    </row>
    <row r="120" spans="10:10" x14ac:dyDescent="0.2">
      <c r="J120" s="33"/>
    </row>
    <row r="121" spans="10:10" x14ac:dyDescent="0.2">
      <c r="J121" s="33"/>
    </row>
    <row r="122" spans="10:10" x14ac:dyDescent="0.2">
      <c r="J122" s="33"/>
    </row>
    <row r="123" spans="10:10" x14ac:dyDescent="0.2">
      <c r="J123" s="33"/>
    </row>
    <row r="124" spans="10:10" x14ac:dyDescent="0.2">
      <c r="J124" s="33"/>
    </row>
    <row r="125" spans="10:10" x14ac:dyDescent="0.2">
      <c r="J125" s="33"/>
    </row>
    <row r="126" spans="10:10" x14ac:dyDescent="0.2">
      <c r="J126" s="33"/>
    </row>
    <row r="127" spans="10:10" x14ac:dyDescent="0.2">
      <c r="J127" s="33"/>
    </row>
    <row r="128" spans="10:10" x14ac:dyDescent="0.2">
      <c r="J128" s="33"/>
    </row>
    <row r="129" spans="10:10" x14ac:dyDescent="0.2">
      <c r="J129" s="33"/>
    </row>
    <row r="130" spans="10:10" x14ac:dyDescent="0.2">
      <c r="J130" s="33"/>
    </row>
    <row r="131" spans="10:10" x14ac:dyDescent="0.2">
      <c r="J131" s="33"/>
    </row>
    <row r="132" spans="10:10" x14ac:dyDescent="0.2">
      <c r="J132" s="33"/>
    </row>
    <row r="133" spans="10:10" x14ac:dyDescent="0.2">
      <c r="J133" s="33"/>
    </row>
    <row r="134" spans="10:10" x14ac:dyDescent="0.2">
      <c r="J134" s="33"/>
    </row>
    <row r="135" spans="10:10" x14ac:dyDescent="0.2">
      <c r="J135" s="33"/>
    </row>
    <row r="136" spans="10:10" x14ac:dyDescent="0.2">
      <c r="J136" s="33"/>
    </row>
    <row r="137" spans="10:10" x14ac:dyDescent="0.2">
      <c r="J137" s="33"/>
    </row>
    <row r="138" spans="10:10" x14ac:dyDescent="0.2">
      <c r="J138" s="33"/>
    </row>
    <row r="139" spans="10:10" x14ac:dyDescent="0.2">
      <c r="J139" s="33"/>
    </row>
    <row r="140" spans="10:10" x14ac:dyDescent="0.2">
      <c r="J140" s="33"/>
    </row>
    <row r="141" spans="10:10" x14ac:dyDescent="0.2">
      <c r="J141" s="33"/>
    </row>
    <row r="142" spans="10:10" x14ac:dyDescent="0.2">
      <c r="J142" s="33"/>
    </row>
    <row r="143" spans="10:10" x14ac:dyDescent="0.2">
      <c r="J143" s="33"/>
    </row>
    <row r="144" spans="10:10" x14ac:dyDescent="0.2">
      <c r="J144" s="33"/>
    </row>
    <row r="145" spans="10:10" x14ac:dyDescent="0.2">
      <c r="J145" s="33"/>
    </row>
    <row r="146" spans="10:10" x14ac:dyDescent="0.2">
      <c r="J146" s="33"/>
    </row>
    <row r="147" spans="10:10" x14ac:dyDescent="0.2">
      <c r="J147" s="33"/>
    </row>
    <row r="148" spans="10:10" x14ac:dyDescent="0.2">
      <c r="J148" s="33"/>
    </row>
    <row r="149" spans="10:10" x14ac:dyDescent="0.2">
      <c r="J149" s="33"/>
    </row>
    <row r="150" spans="10:10" x14ac:dyDescent="0.2">
      <c r="J150" s="33"/>
    </row>
    <row r="151" spans="10:10" x14ac:dyDescent="0.2">
      <c r="J151" s="33"/>
    </row>
    <row r="152" spans="10:10" x14ac:dyDescent="0.2">
      <c r="J152" s="33"/>
    </row>
    <row r="153" spans="10:10" x14ac:dyDescent="0.2">
      <c r="J153" s="33"/>
    </row>
    <row r="154" spans="10:10" x14ac:dyDescent="0.2">
      <c r="J154" s="33"/>
    </row>
    <row r="155" spans="10:10" x14ac:dyDescent="0.2">
      <c r="J155" s="33"/>
    </row>
    <row r="156" spans="10:10" x14ac:dyDescent="0.2">
      <c r="J156" s="33"/>
    </row>
    <row r="157" spans="10:10" x14ac:dyDescent="0.2">
      <c r="J157" s="33"/>
    </row>
    <row r="158" spans="10:10" x14ac:dyDescent="0.2">
      <c r="J158" s="33"/>
    </row>
    <row r="159" spans="10:10" x14ac:dyDescent="0.2">
      <c r="J159" s="33"/>
    </row>
    <row r="160" spans="10:10" x14ac:dyDescent="0.2">
      <c r="J160" s="33"/>
    </row>
    <row r="161" spans="10:10" x14ac:dyDescent="0.2">
      <c r="J161" s="33"/>
    </row>
    <row r="162" spans="10:10" x14ac:dyDescent="0.2">
      <c r="J162" s="33"/>
    </row>
    <row r="163" spans="10:10" x14ac:dyDescent="0.2">
      <c r="J163" s="33"/>
    </row>
    <row r="164" spans="10:10" x14ac:dyDescent="0.2">
      <c r="J164" s="33"/>
    </row>
    <row r="165" spans="10:10" x14ac:dyDescent="0.2">
      <c r="J165" s="33"/>
    </row>
    <row r="166" spans="10:10" x14ac:dyDescent="0.2">
      <c r="J166" s="33"/>
    </row>
    <row r="167" spans="10:10" x14ac:dyDescent="0.2">
      <c r="J167" s="33"/>
    </row>
    <row r="168" spans="10:10" x14ac:dyDescent="0.2">
      <c r="J168" s="33"/>
    </row>
    <row r="169" spans="10:10" x14ac:dyDescent="0.2">
      <c r="J169" s="33"/>
    </row>
    <row r="170" spans="10:10" x14ac:dyDescent="0.2">
      <c r="J170" s="33"/>
    </row>
    <row r="171" spans="10:10" x14ac:dyDescent="0.2">
      <c r="J171" s="33"/>
    </row>
    <row r="172" spans="10:10" x14ac:dyDescent="0.2">
      <c r="J172" s="33"/>
    </row>
    <row r="173" spans="10:10" x14ac:dyDescent="0.2">
      <c r="J173" s="33"/>
    </row>
    <row r="174" spans="10:10" x14ac:dyDescent="0.2">
      <c r="J174" s="33"/>
    </row>
    <row r="175" spans="10:10" x14ac:dyDescent="0.2">
      <c r="J175" s="33"/>
    </row>
    <row r="176" spans="10:10" x14ac:dyDescent="0.2">
      <c r="J176" s="33"/>
    </row>
    <row r="177" spans="10:10" x14ac:dyDescent="0.2">
      <c r="J177" s="33"/>
    </row>
    <row r="178" spans="10:10" x14ac:dyDescent="0.2">
      <c r="J178" s="33"/>
    </row>
    <row r="179" spans="10:10" x14ac:dyDescent="0.2">
      <c r="J179" s="33"/>
    </row>
    <row r="180" spans="10:10" x14ac:dyDescent="0.2">
      <c r="J180" s="33"/>
    </row>
    <row r="181" spans="10:10" x14ac:dyDescent="0.2">
      <c r="J181" s="33"/>
    </row>
    <row r="182" spans="10:10" x14ac:dyDescent="0.2">
      <c r="J182" s="33"/>
    </row>
    <row r="183" spans="10:10" x14ac:dyDescent="0.2">
      <c r="J183" s="33"/>
    </row>
    <row r="184" spans="10:10" x14ac:dyDescent="0.2">
      <c r="J184" s="33"/>
    </row>
    <row r="185" spans="10:10" x14ac:dyDescent="0.2">
      <c r="J185" s="33"/>
    </row>
    <row r="186" spans="10:10" x14ac:dyDescent="0.2">
      <c r="J186" s="33"/>
    </row>
    <row r="187" spans="10:10" x14ac:dyDescent="0.2">
      <c r="J187" s="33"/>
    </row>
    <row r="188" spans="10:10" x14ac:dyDescent="0.2">
      <c r="J188" s="33"/>
    </row>
    <row r="189" spans="10:10" x14ac:dyDescent="0.2">
      <c r="J189" s="33"/>
    </row>
    <row r="190" spans="10:10" x14ac:dyDescent="0.2">
      <c r="J190" s="33"/>
    </row>
    <row r="191" spans="10:10" x14ac:dyDescent="0.2">
      <c r="J191" s="33"/>
    </row>
    <row r="192" spans="10:10" x14ac:dyDescent="0.2">
      <c r="J192" s="33"/>
    </row>
    <row r="193" spans="10:10" x14ac:dyDescent="0.2">
      <c r="J193" s="33"/>
    </row>
    <row r="194" spans="10:10" x14ac:dyDescent="0.2">
      <c r="J194" s="33"/>
    </row>
    <row r="195" spans="10:10" x14ac:dyDescent="0.2">
      <c r="J195" s="33"/>
    </row>
    <row r="196" spans="10:10" x14ac:dyDescent="0.2">
      <c r="J196" s="33"/>
    </row>
    <row r="197" spans="10:10" x14ac:dyDescent="0.2">
      <c r="J197" s="33"/>
    </row>
    <row r="198" spans="10:10" x14ac:dyDescent="0.2">
      <c r="J198" s="33"/>
    </row>
    <row r="199" spans="10:10" x14ac:dyDescent="0.2">
      <c r="J199" s="33"/>
    </row>
    <row r="200" spans="10:10" x14ac:dyDescent="0.2">
      <c r="J200" s="33"/>
    </row>
    <row r="201" spans="10:10" x14ac:dyDescent="0.2">
      <c r="J201" s="33"/>
    </row>
    <row r="202" spans="10:10" x14ac:dyDescent="0.2">
      <c r="J202" s="33"/>
    </row>
    <row r="203" spans="10:10" x14ac:dyDescent="0.2">
      <c r="J203" s="33"/>
    </row>
    <row r="204" spans="10:10" x14ac:dyDescent="0.2">
      <c r="J204" s="33"/>
    </row>
    <row r="205" spans="10:10" x14ac:dyDescent="0.2">
      <c r="J205" s="33"/>
    </row>
    <row r="206" spans="10:10" x14ac:dyDescent="0.2">
      <c r="J206" s="33"/>
    </row>
    <row r="207" spans="10:10" x14ac:dyDescent="0.2">
      <c r="J207" s="33"/>
    </row>
    <row r="208" spans="10:10" x14ac:dyDescent="0.2">
      <c r="J208" s="33"/>
    </row>
    <row r="209" spans="10:10" x14ac:dyDescent="0.2">
      <c r="J209" s="33"/>
    </row>
    <row r="210" spans="10:10" x14ac:dyDescent="0.2">
      <c r="J210" s="33"/>
    </row>
    <row r="211" spans="10:10" x14ac:dyDescent="0.2">
      <c r="J211" s="33"/>
    </row>
    <row r="212" spans="10:10" x14ac:dyDescent="0.2">
      <c r="J212" s="33"/>
    </row>
    <row r="213" spans="10:10" x14ac:dyDescent="0.2">
      <c r="J213" s="33"/>
    </row>
    <row r="214" spans="10:10" x14ac:dyDescent="0.2">
      <c r="J214" s="33"/>
    </row>
    <row r="215" spans="10:10" x14ac:dyDescent="0.2">
      <c r="J215" s="33"/>
    </row>
    <row r="216" spans="10:10" x14ac:dyDescent="0.2">
      <c r="J216" s="33"/>
    </row>
    <row r="217" spans="10:10" x14ac:dyDescent="0.2">
      <c r="J217" s="33"/>
    </row>
    <row r="218" spans="10:10" x14ac:dyDescent="0.2">
      <c r="J218" s="33"/>
    </row>
    <row r="219" spans="10:10" x14ac:dyDescent="0.2">
      <c r="J219" s="33"/>
    </row>
    <row r="220" spans="10:10" x14ac:dyDescent="0.2">
      <c r="J220" s="33"/>
    </row>
    <row r="221" spans="10:10" x14ac:dyDescent="0.2">
      <c r="J221" s="33"/>
    </row>
    <row r="222" spans="10:10" x14ac:dyDescent="0.2">
      <c r="J222" s="33"/>
    </row>
    <row r="223" spans="10:10" x14ac:dyDescent="0.2">
      <c r="J223" s="33"/>
    </row>
    <row r="224" spans="10:10" x14ac:dyDescent="0.2">
      <c r="J224" s="33"/>
    </row>
    <row r="225" spans="10:10" x14ac:dyDescent="0.2">
      <c r="J225" s="33"/>
    </row>
    <row r="226" spans="10:10" x14ac:dyDescent="0.2">
      <c r="J226" s="33"/>
    </row>
    <row r="227" spans="10:10" x14ac:dyDescent="0.2">
      <c r="J227" s="33"/>
    </row>
    <row r="228" spans="10:10" x14ac:dyDescent="0.2">
      <c r="J228" s="33"/>
    </row>
    <row r="229" spans="10:10" x14ac:dyDescent="0.2">
      <c r="J229" s="33"/>
    </row>
    <row r="230" spans="10:10" x14ac:dyDescent="0.2">
      <c r="J230" s="33"/>
    </row>
    <row r="231" spans="10:10" x14ac:dyDescent="0.2">
      <c r="J231" s="33"/>
    </row>
    <row r="232" spans="10:10" x14ac:dyDescent="0.2">
      <c r="J232" s="33"/>
    </row>
    <row r="233" spans="10:10" x14ac:dyDescent="0.2">
      <c r="J233" s="33"/>
    </row>
    <row r="234" spans="10:10" x14ac:dyDescent="0.2">
      <c r="J234" s="33"/>
    </row>
    <row r="235" spans="10:10" x14ac:dyDescent="0.2">
      <c r="J235" s="33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2023-10-05 15:27:15</KDate>
  <Classification>Public</Classification>
  <Subclassification/>
  <HostName>MUMCMP00935</HostName>
  <Domain_User>CANARAROBECOMF/628</Domain_User>
  <IPAdd>192.9.198.194</IPAdd>
  <FilePath>Book21</FilePath>
  <KID>C025A5607E97638321164353541395</KID>
  <UniqueName/>
  <Suggested/>
  <Justification/>
</Klassify>
</file>

<file path=customXml/itemProps1.xml><?xml version="1.0" encoding="utf-8"?>
<ds:datastoreItem xmlns:ds="http://schemas.openxmlformats.org/officeDocument/2006/customXml" ds:itemID="{DDAB3147-7B65-408F-8277-8ED8ED33D3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2023-10-05T09:57:10Z</dcterms:created>
  <dcterms:modified xsi:type="dcterms:W3CDTF">2023-10-05T09:57:15Z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C025A5607E97638321164353541395</vt:lpwstr>
  </property>
</Properties>
</file>