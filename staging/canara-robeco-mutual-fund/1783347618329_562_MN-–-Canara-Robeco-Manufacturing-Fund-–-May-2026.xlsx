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P:\hemangi\data\monthly portfolios with ISIN\FY 2026-27\MAY'26\REVISED\"/>
    </mc:Choice>
  </mc:AlternateContent>
  <xr:revisionPtr revIDLastSave="0" documentId="8_{93652220-9DF0-426E-B4B8-4A2BAE1AC2B2}" xr6:coauthVersionLast="47" xr6:coauthVersionMax="47" xr10:uidLastSave="{00000000-0000-0000-0000-000000000000}"/>
  <bookViews>
    <workbookView xWindow="-120" yWindow="-120" windowWidth="20730" windowHeight="11040" xr2:uid="{7CBBA583-79ED-4EC3-9F29-A46478120502}"/>
  </bookViews>
  <sheets>
    <sheet name="M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G64" i="1" l="1"/>
  <c r="G65" i="1" s="1"/>
  <c r="F64" i="1"/>
  <c r="F65" i="1" s="1"/>
  <c r="G61" i="1"/>
  <c r="G66" i="1" s="1"/>
  <c r="G60" i="1"/>
  <c r="F60" i="1"/>
  <c r="F61" i="1" s="1"/>
  <c r="F66" i="1" s="1"/>
</calcChain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2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</futureMetadata>
  <valueMetadata count="2">
    <bk>
      <rc t="1" v="0"/>
    </bk>
    <bk>
      <rc t="1" v="1"/>
    </bk>
  </valueMetadata>
</metadata>
</file>

<file path=xl/sharedStrings.xml><?xml version="1.0" encoding="utf-8"?>
<sst xmlns="http://schemas.openxmlformats.org/spreadsheetml/2006/main" count="257" uniqueCount="170">
  <si>
    <t>CANARA ROBECO MANUFACTURING FUND</t>
  </si>
  <si>
    <t>Monthly Portfolio Statement as on May 31, 2026</t>
  </si>
  <si>
    <t>Name of the Instrument</t>
  </si>
  <si>
    <t>ISIN</t>
  </si>
  <si>
    <t>Industry / Rating</t>
  </si>
  <si>
    <t>Quantity</t>
  </si>
  <si>
    <t>Market/Fair Value
 (Rs. in Lacs)</t>
  </si>
  <si>
    <t>% to Net
 Assets</t>
  </si>
  <si>
    <t xml:space="preserve">Market Capitalization </t>
  </si>
  <si>
    <t>Scheme Risk-O-Meter Level - May'26</t>
  </si>
  <si>
    <t>Benchmark Risk-O-Meter Level - May'26</t>
  </si>
  <si>
    <t>Scheme Risk-O-Meter Level - April'26</t>
  </si>
  <si>
    <t>Benchmark Risk-O-Meter Level - April'26</t>
  </si>
  <si>
    <t>Equity &amp; Equity related</t>
  </si>
  <si>
    <t>(a) Listed / awaiting listing on Stock Exchanges</t>
  </si>
  <si>
    <t>Mahindra &amp; Mahindra Ltd</t>
  </si>
  <si>
    <t>INE101A01026</t>
  </si>
  <si>
    <t>Automobiles</t>
  </si>
  <si>
    <t>Large Cap</t>
  </si>
  <si>
    <t>Bharat Electronics Ltd</t>
  </si>
  <si>
    <t>INE263A01024</t>
  </si>
  <si>
    <t>Aerospace &amp; Defense</t>
  </si>
  <si>
    <t>Ge Vernova T&amp;D India Ltd</t>
  </si>
  <si>
    <t>INE200A01026</t>
  </si>
  <si>
    <t>Electrical Equipment</t>
  </si>
  <si>
    <t>Mid Cap</t>
  </si>
  <si>
    <t>Tata Steel Ltd</t>
  </si>
  <si>
    <t>INE081A01020</t>
  </si>
  <si>
    <t>Ferrous Metals</t>
  </si>
  <si>
    <t>Maruti Suzuki India Ltd</t>
  </si>
  <si>
    <t>INE585B01010</t>
  </si>
  <si>
    <t>Bharat Heavy Electricals Ltd</t>
  </si>
  <si>
    <t>INE257A01026</t>
  </si>
  <si>
    <t>Premier Energies Ltd</t>
  </si>
  <si>
    <t>INE0BS701011</t>
  </si>
  <si>
    <t>Benchmark: Nifty India Manufacturing TRI</t>
  </si>
  <si>
    <t>Bajaj Auto Ltd</t>
  </si>
  <si>
    <t>INE917I01010</t>
  </si>
  <si>
    <t>Polycab India Ltd</t>
  </si>
  <si>
    <t>INE455K01017</t>
  </si>
  <si>
    <t>Industrial Products</t>
  </si>
  <si>
    <t>Hindustan Aeronautics Ltd</t>
  </si>
  <si>
    <t>INE066F01020</t>
  </si>
  <si>
    <t>Syrma SGS Technology Ltd</t>
  </si>
  <si>
    <t>INE0DYJ01015</t>
  </si>
  <si>
    <t>Industrial Manufacturing</t>
  </si>
  <si>
    <t>Small Cap</t>
  </si>
  <si>
    <t>Apar Industries Ltd</t>
  </si>
  <si>
    <t>INE372A01015</t>
  </si>
  <si>
    <t>Larsen &amp; Toubro Ltd</t>
  </si>
  <si>
    <t>INE018A01030</t>
  </si>
  <si>
    <t>Construction</t>
  </si>
  <si>
    <t>Solar Industries India Ltd</t>
  </si>
  <si>
    <t>INE343H01029</t>
  </si>
  <si>
    <t>Chemicals &amp; Petrochemicals</t>
  </si>
  <si>
    <t>Rubicon Research Ltd</t>
  </si>
  <si>
    <t>INE506V01022</t>
  </si>
  <si>
    <t>Pharmaceuticals &amp; Biotechnology</t>
  </si>
  <si>
    <t>Cummins India Ltd</t>
  </si>
  <si>
    <t>INE298A01020</t>
  </si>
  <si>
    <t>Reliance Industries Ltd</t>
  </si>
  <si>
    <t>INE002A01018</t>
  </si>
  <si>
    <t>Petroleum Products</t>
  </si>
  <si>
    <t>Varun Beverages Ltd</t>
  </si>
  <si>
    <t>INE200M01039</t>
  </si>
  <si>
    <t>Beverages</t>
  </si>
  <si>
    <t>Amber Enterprises India Ltd</t>
  </si>
  <si>
    <t>INE371P01015</t>
  </si>
  <si>
    <t>Consumer Durables</t>
  </si>
  <si>
    <t>CG Power and Industrial Solutions Ltd</t>
  </si>
  <si>
    <t>INE067A01029</t>
  </si>
  <si>
    <t>J.K. Cement Ltd</t>
  </si>
  <si>
    <t>INE823G01014</t>
  </si>
  <si>
    <t>Cement &amp; Cement Products</t>
  </si>
  <si>
    <t>LG Electronics India Ltd</t>
  </si>
  <si>
    <t>INE324D01010</t>
  </si>
  <si>
    <t>J.B. Chemicals &amp; Pharmaceuticals Ltd</t>
  </si>
  <si>
    <t>INE572A01036</t>
  </si>
  <si>
    <t>Ultratech Cement Ltd</t>
  </si>
  <si>
    <t>INE481G01011</t>
  </si>
  <si>
    <t>KEI Industries Ltd</t>
  </si>
  <si>
    <t>INE878B01027</t>
  </si>
  <si>
    <t>Gland Pharma Ltd</t>
  </si>
  <si>
    <t>INE068V01023</t>
  </si>
  <si>
    <t>Innova Captab Ltd</t>
  </si>
  <si>
    <t>INE0DUT01020</t>
  </si>
  <si>
    <t>Voltas Ltd</t>
  </si>
  <si>
    <t>INE226A01021</t>
  </si>
  <si>
    <t>Balrampur Chini Mills Ltd</t>
  </si>
  <si>
    <t>INE119A01028</t>
  </si>
  <si>
    <t>Agricultural Food &amp; Other Products</t>
  </si>
  <si>
    <t>Hitachi Energy India Ltd</t>
  </si>
  <si>
    <t>INE07Y701011</t>
  </si>
  <si>
    <t>Exide Industries Ltd</t>
  </si>
  <si>
    <t>INE302A01020</t>
  </si>
  <si>
    <t>Auto Components</t>
  </si>
  <si>
    <t>Triveni Turbine Ltd</t>
  </si>
  <si>
    <t>INE152M01016</t>
  </si>
  <si>
    <t>Tenneco Clean Air India Ltd</t>
  </si>
  <si>
    <t>INE19RI01016</t>
  </si>
  <si>
    <t>The Ramco Cements Ltd</t>
  </si>
  <si>
    <t>INE331A01037</t>
  </si>
  <si>
    <t>SRF Ltd</t>
  </si>
  <si>
    <t>INE647A01010</t>
  </si>
  <si>
    <t>Divi's Laboratories Ltd</t>
  </si>
  <si>
    <t>INE361B01024</t>
  </si>
  <si>
    <t>Timken India Ltd</t>
  </si>
  <si>
    <t>INE325A01013</t>
  </si>
  <si>
    <t>Aditya Birla Real Estate Ltd</t>
  </si>
  <si>
    <t>INE055A01016</t>
  </si>
  <si>
    <t>Realty</t>
  </si>
  <si>
    <t>Doms Industries Ltd</t>
  </si>
  <si>
    <t>INE321T01012</t>
  </si>
  <si>
    <t>Household Products</t>
  </si>
  <si>
    <t>Mrs Bectors Food Specialities Ltd</t>
  </si>
  <si>
    <t>INE495P01020</t>
  </si>
  <si>
    <t>Food Products</t>
  </si>
  <si>
    <t>Engineers India Ltd</t>
  </si>
  <si>
    <t>INE510A01028</t>
  </si>
  <si>
    <t>NOCIL Ltd</t>
  </si>
  <si>
    <t>INE163A01018</t>
  </si>
  <si>
    <t>Bikaji Foods International Ltd</t>
  </si>
  <si>
    <t>INE00E101023</t>
  </si>
  <si>
    <t>Ask Automotive Ltd</t>
  </si>
  <si>
    <t>INE491J01022</t>
  </si>
  <si>
    <t>Mold Tek Packaging Ltd</t>
  </si>
  <si>
    <t>INE893J01029</t>
  </si>
  <si>
    <t>Supreme Industries Ltd</t>
  </si>
  <si>
    <t>INE195A01028</t>
  </si>
  <si>
    <t>Safari Industries (India) Ltd</t>
  </si>
  <si>
    <t>INE429E01023</t>
  </si>
  <si>
    <t>All Time Plastics Ltd</t>
  </si>
  <si>
    <t>INE0GV601021</t>
  </si>
  <si>
    <t>Kansai Nerolac Paints Ltd</t>
  </si>
  <si>
    <t>INE531A01024</t>
  </si>
  <si>
    <t>V-Guard Industries Ltd</t>
  </si>
  <si>
    <t>INE951I01027</t>
  </si>
  <si>
    <t>MOIL Ltd</t>
  </si>
  <si>
    <t>INE490G01020</t>
  </si>
  <si>
    <t>Minerals &amp; Mining</t>
  </si>
  <si>
    <t>KSB Ltd</t>
  </si>
  <si>
    <t>INE999A01023</t>
  </si>
  <si>
    <t>Concord Biotech Ltd</t>
  </si>
  <si>
    <t>INE338H01029</t>
  </si>
  <si>
    <t>Sub Total</t>
  </si>
  <si>
    <t>Total</t>
  </si>
  <si>
    <t>TREPS</t>
  </si>
  <si>
    <t>Net Receivables / (Payables)</t>
  </si>
  <si>
    <t>Grand Total</t>
  </si>
  <si>
    <t>Modified Duration (In Years)</t>
  </si>
  <si>
    <t>Annualised Portfolio YTM</t>
  </si>
  <si>
    <t>Macaulay Duration (In Years)</t>
  </si>
  <si>
    <t>Notes</t>
  </si>
  <si>
    <t>(1) The provision made for Securities classified as below investment grade or default as of May,31 2026 is Rs Nil and its percentage to Net Asset Value is Nil.</t>
  </si>
  <si>
    <t>(2)  Aggregate value of illiquid shares of the fund amounts to Rs. Nil and their percentage to Net Asset value is Nil.</t>
  </si>
  <si>
    <t>(3)  Plan/option wise per unit Net Asset Value are as follows:</t>
  </si>
  <si>
    <t xml:space="preserve">      Plan/Option</t>
  </si>
  <si>
    <t>As on April,30 2026</t>
  </si>
  <si>
    <t>As on May,29 2026</t>
  </si>
  <si>
    <t xml:space="preserve">      REGULAR PLAN - GROWTH OPTION</t>
  </si>
  <si>
    <t xml:space="preserve">      REGULAR PLAN - IDCW (Payout/Reinvestment)</t>
  </si>
  <si>
    <t xml:space="preserve">      DIRECT PLAN - GROWTH OPTION</t>
  </si>
  <si>
    <t xml:space="preserve">      DIRECT PLAN - IDCW (Payout/Reinvestment)</t>
  </si>
  <si>
    <t>(4) No Dividend declared during the month ended May,31 2026</t>
  </si>
  <si>
    <t>(5) Total outstanding exposure in derivative instruments as on May,31 2026 is Nil.</t>
  </si>
  <si>
    <t>(6) Total Market value of investments in Foreign Securities/American Depositary Receipts/Global Depositary Receipts as at May,31 2026 is Rs. Nil .</t>
  </si>
  <si>
    <t>(7)  During the period, the portfolio turnover ratio is 0.34 times.</t>
  </si>
  <si>
    <t>(8)  Details of repo transaction in corporate debt securities for the month ended May,31 2026 is Nil.</t>
  </si>
  <si>
    <t>Please refer the below link for the performance of the Schemes managed by Canara Robeco Mutual Fund</t>
  </si>
  <si>
    <t>https://www.canararobeco.com/docs/default-source/default-document-library/Scheme_Performance_May_26.pdf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</si>
</sst>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6"/>
      <color indexed="63"/>
      <name val="Arial"/>
      <family val="2"/>
    </font>
    <font>
      <sz val="9"/>
      <color theme="1"/>
      <name val="Arial"/>
      <family val="2"/>
    </font>
    <font>
      <b/>
      <sz val="12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b/>
      <sz val="9"/>
      <color indexed="72"/>
      <name val="Arial"/>
      <family val="2"/>
    </font>
    <font>
      <b/>
      <sz val="11"/>
      <color theme="1"/>
      <name val="Taz SemiLight"/>
      <family val="2"/>
    </font>
    <font>
      <b/>
      <sz val="9"/>
      <color theme="1"/>
      <name val="Arial"/>
      <family val="2"/>
    </font>
    <font>
      <b/>
      <sz val="9"/>
      <color rgb="FFFF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rgb="FFD3D3D3"/>
        <bgColor indexed="64"/>
      </patternFill>
    </fill>
  </fills>
  <borders count="22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0"/>
      </right>
      <top style="thin">
        <color indexed="64"/>
      </top>
      <bottom/>
      <diagonal/>
    </border>
    <border>
      <left style="thin">
        <color indexed="0"/>
      </left>
      <right style="thin">
        <color indexed="0"/>
      </right>
      <top style="thin">
        <color indexed="64"/>
      </top>
      <bottom/>
      <diagonal/>
    </border>
    <border>
      <left style="thin">
        <color indexed="64"/>
      </left>
      <right style="thin">
        <color indexed="0"/>
      </right>
      <top/>
      <bottom/>
      <diagonal/>
    </border>
    <border>
      <left style="thin">
        <color indexed="0"/>
      </left>
      <right style="thin">
        <color indexed="0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0"/>
      </right>
      <top/>
      <bottom style="thin">
        <color indexed="0"/>
      </bottom>
      <diagonal/>
    </border>
    <border>
      <left style="thin">
        <color indexed="0"/>
      </left>
      <right style="thin">
        <color indexed="0"/>
      </right>
      <top/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64"/>
      </top>
      <bottom style="thin">
        <color indexed="0"/>
      </bottom>
      <diagonal/>
    </border>
    <border>
      <left style="thin">
        <color indexed="64"/>
      </left>
      <right style="thin">
        <color indexed="64"/>
      </right>
      <top style="thin">
        <color indexed="0"/>
      </top>
      <bottom/>
      <diagonal/>
    </border>
    <border>
      <left style="thin">
        <color indexed="64"/>
      </left>
      <right style="thin">
        <color indexed="0"/>
      </right>
      <top style="thin">
        <color indexed="0"/>
      </top>
      <bottom/>
      <diagonal/>
    </border>
    <border>
      <left style="thin">
        <color indexed="0"/>
      </left>
      <right style="thin">
        <color indexed="0"/>
      </right>
      <top style="thin">
        <color indexed="0"/>
      </top>
      <bottom/>
      <diagonal/>
    </border>
    <border>
      <left style="thin">
        <color indexed="64"/>
      </left>
      <right style="thin">
        <color indexed="64"/>
      </right>
      <top style="thin">
        <color indexed="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2" fillId="0" borderId="0" applyNumberFormat="0" applyFill="0" applyBorder="0" applyAlignment="0" applyProtection="0"/>
  </cellStyleXfs>
  <cellXfs count="44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0" fontId="4" fillId="3" borderId="0" xfId="0" applyFont="1" applyFill="1"/>
    <xf numFmtId="0" fontId="5" fillId="3" borderId="0" xfId="0" applyFont="1" applyFill="1" applyAlignment="1">
      <alignment horizontal="left" vertical="top"/>
    </xf>
    <xf numFmtId="0" fontId="6" fillId="3" borderId="0" xfId="0" applyFont="1" applyFill="1" applyAlignment="1">
      <alignment horizontal="left" vertical="top" wrapText="1"/>
    </xf>
    <xf numFmtId="0" fontId="7" fillId="3" borderId="0" xfId="0" applyFont="1" applyFill="1" applyAlignment="1">
      <alignment horizontal="left" vertical="top" wrapText="1"/>
    </xf>
    <xf numFmtId="4" fontId="7" fillId="3" borderId="0" xfId="0" applyNumberFormat="1" applyFont="1" applyFill="1" applyAlignment="1">
      <alignment horizontal="left" vertical="top" wrapText="1"/>
    </xf>
    <xf numFmtId="0" fontId="8" fillId="3" borderId="2" xfId="0" applyFont="1" applyFill="1" applyBorder="1" applyAlignment="1">
      <alignment horizontal="left" vertical="center"/>
    </xf>
    <xf numFmtId="0" fontId="8" fillId="3" borderId="3" xfId="0" applyFont="1" applyFill="1" applyBorder="1" applyAlignment="1">
      <alignment horizontal="center" vertical="center" wrapText="1"/>
    </xf>
    <xf numFmtId="4" fontId="8" fillId="3" borderId="3" xfId="0" applyNumberFormat="1" applyFont="1" applyFill="1" applyBorder="1" applyAlignment="1">
      <alignment horizontal="center" vertical="center" wrapText="1"/>
    </xf>
    <xf numFmtId="4" fontId="8" fillId="3" borderId="4" xfId="0" applyNumberFormat="1" applyFont="1" applyFill="1" applyBorder="1" applyAlignment="1">
      <alignment horizontal="center" vertical="center" wrapText="1"/>
    </xf>
    <xf numFmtId="0" fontId="9" fillId="0" borderId="5" xfId="0" applyFont="1" applyBorder="1" applyAlignment="1">
      <alignment horizontal="center" vertical="center" wrapText="1"/>
    </xf>
    <xf numFmtId="0" fontId="10" fillId="3" borderId="6" xfId="0" applyFont="1" applyFill="1" applyBorder="1"/>
    <xf numFmtId="0" fontId="4" fillId="3" borderId="7" xfId="0" applyFont="1" applyFill="1" applyBorder="1"/>
    <xf numFmtId="4" fontId="4" fillId="3" borderId="7" xfId="0" applyNumberFormat="1" applyFont="1" applyFill="1" applyBorder="1"/>
    <xf numFmtId="43" fontId="4" fillId="3" borderId="5" xfId="1" applyFont="1" applyFill="1" applyBorder="1" applyAlignment="1">
      <alignment horizontal="center"/>
    </xf>
    <xf numFmtId="0" fontId="10" fillId="3" borderId="8" xfId="0" applyFont="1" applyFill="1" applyBorder="1"/>
    <xf numFmtId="0" fontId="4" fillId="3" borderId="9" xfId="0" applyFont="1" applyFill="1" applyBorder="1"/>
    <xf numFmtId="4" fontId="4" fillId="3" borderId="9" xfId="0" applyNumberFormat="1" applyFont="1" applyFill="1" applyBorder="1"/>
    <xf numFmtId="43" fontId="4" fillId="3" borderId="10" xfId="1" applyFont="1" applyFill="1" applyBorder="1" applyAlignment="1">
      <alignment horizontal="center"/>
    </xf>
    <xf numFmtId="0" fontId="4" fillId="3" borderId="8" xfId="0" applyFont="1" applyFill="1" applyBorder="1"/>
    <xf numFmtId="3" fontId="4" fillId="3" borderId="9" xfId="0" applyNumberFormat="1" applyFont="1" applyFill="1" applyBorder="1"/>
    <xf numFmtId="43" fontId="4" fillId="3" borderId="11" xfId="1" applyFont="1" applyFill="1" applyBorder="1" applyAlignment="1">
      <alignment horizontal="center"/>
    </xf>
    <xf numFmtId="0" fontId="4" fillId="3" borderId="0" xfId="0" applyFont="1" applyFill="1" applyAlignment="1">
      <alignment horizontal="left"/>
    </xf>
    <xf numFmtId="0" fontId="10" fillId="3" borderId="12" xfId="0" applyFont="1" applyFill="1" applyBorder="1"/>
    <xf numFmtId="0" fontId="10" fillId="3" borderId="13" xfId="0" applyFont="1" applyFill="1" applyBorder="1"/>
    <xf numFmtId="4" fontId="10" fillId="3" borderId="14" xfId="0" applyNumberFormat="1" applyFont="1" applyFill="1" applyBorder="1"/>
    <xf numFmtId="0" fontId="10" fillId="3" borderId="0" xfId="0" applyFont="1" applyFill="1"/>
    <xf numFmtId="0" fontId="10" fillId="3" borderId="15" xfId="0" applyFont="1" applyFill="1" applyBorder="1"/>
    <xf numFmtId="4" fontId="10" fillId="3" borderId="15" xfId="0" applyNumberFormat="1" applyFont="1" applyFill="1" applyBorder="1"/>
    <xf numFmtId="0" fontId="10" fillId="3" borderId="16" xfId="0" applyFont="1" applyFill="1" applyBorder="1"/>
    <xf numFmtId="0" fontId="4" fillId="3" borderId="17" xfId="0" applyFont="1" applyFill="1" applyBorder="1"/>
    <xf numFmtId="4" fontId="4" fillId="3" borderId="17" xfId="0" applyNumberFormat="1" applyFont="1" applyFill="1" applyBorder="1"/>
    <xf numFmtId="0" fontId="10" fillId="3" borderId="18" xfId="0" applyFont="1" applyFill="1" applyBorder="1"/>
    <xf numFmtId="4" fontId="10" fillId="3" borderId="18" xfId="0" applyNumberFormat="1" applyFont="1" applyFill="1" applyBorder="1"/>
    <xf numFmtId="0" fontId="10" fillId="3" borderId="19" xfId="0" applyFont="1" applyFill="1" applyBorder="1"/>
    <xf numFmtId="4" fontId="10" fillId="3" borderId="19" xfId="0" applyNumberFormat="1" applyFont="1" applyFill="1" applyBorder="1"/>
    <xf numFmtId="4" fontId="4" fillId="3" borderId="0" xfId="0" applyNumberFormat="1" applyFont="1" applyFill="1"/>
    <xf numFmtId="0" fontId="11" fillId="4" borderId="20" xfId="0" applyFont="1" applyFill="1" applyBorder="1"/>
    <xf numFmtId="2" fontId="10" fillId="3" borderId="21" xfId="0" applyNumberFormat="1" applyFont="1" applyFill="1" applyBorder="1"/>
    <xf numFmtId="10" fontId="10" fillId="3" borderId="21" xfId="0" applyNumberFormat="1" applyFont="1" applyFill="1" applyBorder="1"/>
    <xf numFmtId="0" fontId="2" fillId="0" borderId="0" xfId="2" applyAlignment="1">
      <alignment vertical="center"/>
    </xf>
  </cellXfs>
  <cellStyles count="3">
    <cellStyle name="Comma" xfId="1" builtinId="3"/>
    <cellStyle name="Hyperlink" xfId="2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11" Type="http://schemas.openxmlformats.org/officeDocument/2006/relationships/customXml" Target="../customXml/item1.xml"/><Relationship Id="rId5" Type="http://schemas.openxmlformats.org/officeDocument/2006/relationships/sheetMetadata" Target="metadata.xml"/><Relationship Id="rId10" Type="http://schemas.openxmlformats.org/officeDocument/2006/relationships/calcChain" Target="calcChain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richData/_rels/richValueRel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2">
  <rv s="0">
    <v>0</v>
    <v>5</v>
  </rv>
  <rv s="0">
    <v>1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</richValueRel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apc01.safelinks.protection.outlook.com/?url=https%3A%2F%2Fwww.canararobeco.com%2Fdocs%2Fdefault-source%2Fdefault-document-library%2FScheme_Performance_May_26.pdf&amp;data=05%7C02%7C%7Cc0ab9c6aede14e1996ad08dec0969d52%7C6fa82c0314f040c8895a63736b6313f0%7C0%7C0%7C639159950311520253%7CUnknown%7CTWFpbGZsb3d8eyJFbXB0eU1hcGkiOnRydWUsIlYiOiIwLjAuMDAwMCIsIlAiOiJXaW4zMiIsIkFOIjoiTWFpbCIsIldUIjoyfQ%3D%3D%7C0%7C%7C%7C&amp;sdata=v%2BErOW%2BYSawSTCOvNYDXkfmrsprcuXh1UKkFJO3SePg%3D&amp;reserved=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44FA3A-2A24-4F1B-B357-BEAE5B7BB95F}">
  <dimension ref="B1:N95"/>
  <sheetViews>
    <sheetView tabSelected="1" workbookViewId="0">
      <selection activeCell="B1" sqref="B1:G1"/>
    </sheetView>
  </sheetViews>
  <sheetFormatPr defaultRowHeight="12" x14ac:dyDescent="0.2"/>
  <cols>
    <col min="1" max="1" width="9.140625" style="4"/>
    <col min="2" max="2" width="53.85546875" style="4" bestFit="1" customWidth="1"/>
    <col min="3" max="3" width="13.5703125" style="4" bestFit="1" customWidth="1"/>
    <col min="4" max="4" width="28.42578125" style="4" bestFit="1" customWidth="1"/>
    <col min="5" max="5" width="8.85546875" style="4" bestFit="1" customWidth="1"/>
    <col min="6" max="6" width="15.28515625" style="39" bestFit="1" customWidth="1"/>
    <col min="7" max="7" width="7.42578125" style="39" bestFit="1" customWidth="1"/>
    <col min="8" max="8" width="13.5703125" style="39" customWidth="1"/>
    <col min="9" max="10" width="9.140625" style="4"/>
    <col min="11" max="11" width="31.5703125" style="4" customWidth="1"/>
    <col min="12" max="12" width="35.5703125" style="4" customWidth="1"/>
    <col min="13" max="13" width="31.42578125" style="4" customWidth="1"/>
    <col min="14" max="14" width="35.5703125" style="4" customWidth="1"/>
    <col min="15" max="16384" width="9.140625" style="4"/>
  </cols>
  <sheetData>
    <row r="1" spans="2:14" ht="21" customHeight="1" x14ac:dyDescent="0.2">
      <c r="B1" s="1" t="s">
        <v>0</v>
      </c>
      <c r="C1" s="2"/>
      <c r="D1" s="2"/>
      <c r="E1" s="2"/>
      <c r="F1" s="2"/>
      <c r="G1" s="2"/>
      <c r="H1" s="3"/>
    </row>
    <row r="3" spans="2:14" ht="16.5" thickBot="1" x14ac:dyDescent="0.25">
      <c r="B3" s="5" t="s">
        <v>1</v>
      </c>
      <c r="C3" s="6"/>
      <c r="D3" s="7"/>
      <c r="E3" s="7"/>
      <c r="F3" s="8"/>
      <c r="G3" s="8"/>
      <c r="H3" s="8"/>
    </row>
    <row r="4" spans="2:14" ht="28.5" x14ac:dyDescent="0.2">
      <c r="B4" s="9" t="s">
        <v>2</v>
      </c>
      <c r="C4" s="10" t="s">
        <v>3</v>
      </c>
      <c r="D4" s="10" t="s">
        <v>4</v>
      </c>
      <c r="E4" s="10" t="s">
        <v>5</v>
      </c>
      <c r="F4" s="11" t="s">
        <v>6</v>
      </c>
      <c r="G4" s="12" t="s">
        <v>7</v>
      </c>
      <c r="H4" s="12" t="s">
        <v>8</v>
      </c>
      <c r="K4" s="13" t="s">
        <v>9</v>
      </c>
      <c r="L4" s="13" t="s">
        <v>10</v>
      </c>
      <c r="M4" s="13" t="s">
        <v>11</v>
      </c>
      <c r="N4" s="13" t="s">
        <v>12</v>
      </c>
    </row>
    <row r="5" spans="2:14" x14ac:dyDescent="0.2">
      <c r="B5" s="14" t="s">
        <v>13</v>
      </c>
      <c r="C5" s="15"/>
      <c r="D5" s="15"/>
      <c r="E5" s="15"/>
      <c r="F5" s="16"/>
      <c r="G5" s="16"/>
      <c r="H5" s="16"/>
      <c r="K5" s="17" t="e" vm="1">
        <v>#VALUE!</v>
      </c>
      <c r="L5" s="17" t="e" vm="2">
        <v>#VALUE!</v>
      </c>
      <c r="M5" s="17" t="e" vm="1">
        <v>#VALUE!</v>
      </c>
      <c r="N5" s="17" t="e" vm="2">
        <v>#VALUE!</v>
      </c>
    </row>
    <row r="6" spans="2:14" x14ac:dyDescent="0.2">
      <c r="B6" s="18" t="s">
        <v>14</v>
      </c>
      <c r="C6" s="19"/>
      <c r="D6" s="19"/>
      <c r="E6" s="19"/>
      <c r="F6" s="20"/>
      <c r="G6" s="20"/>
      <c r="H6" s="20"/>
      <c r="K6" s="21"/>
      <c r="L6" s="21"/>
      <c r="M6" s="21"/>
      <c r="N6" s="21"/>
    </row>
    <row r="7" spans="2:14" x14ac:dyDescent="0.2">
      <c r="B7" s="22" t="s">
        <v>15</v>
      </c>
      <c r="C7" s="19" t="s">
        <v>16</v>
      </c>
      <c r="D7" s="19" t="s">
        <v>17</v>
      </c>
      <c r="E7" s="23">
        <v>291821</v>
      </c>
      <c r="F7" s="20">
        <v>8887.7000000000007</v>
      </c>
      <c r="G7" s="20">
        <v>5.41</v>
      </c>
      <c r="H7" s="20" t="s">
        <v>18</v>
      </c>
      <c r="K7" s="21"/>
      <c r="L7" s="21"/>
      <c r="M7" s="21"/>
      <c r="N7" s="21"/>
    </row>
    <row r="8" spans="2:14" x14ac:dyDescent="0.2">
      <c r="B8" s="22" t="s">
        <v>19</v>
      </c>
      <c r="C8" s="19" t="s">
        <v>20</v>
      </c>
      <c r="D8" s="19" t="s">
        <v>21</v>
      </c>
      <c r="E8" s="23">
        <v>1964154</v>
      </c>
      <c r="F8" s="20">
        <v>8067.76</v>
      </c>
      <c r="G8" s="20">
        <v>4.91</v>
      </c>
      <c r="H8" s="20" t="s">
        <v>18</v>
      </c>
      <c r="K8" s="21"/>
      <c r="L8" s="21"/>
      <c r="M8" s="21"/>
      <c r="N8" s="21"/>
    </row>
    <row r="9" spans="2:14" x14ac:dyDescent="0.2">
      <c r="B9" s="22" t="s">
        <v>22</v>
      </c>
      <c r="C9" s="19" t="s">
        <v>23</v>
      </c>
      <c r="D9" s="19" t="s">
        <v>24</v>
      </c>
      <c r="E9" s="23">
        <v>138542</v>
      </c>
      <c r="F9" s="20">
        <v>7132.97</v>
      </c>
      <c r="G9" s="20">
        <v>4.34</v>
      </c>
      <c r="H9" s="20" t="s">
        <v>25</v>
      </c>
      <c r="K9" s="21"/>
      <c r="L9" s="21"/>
      <c r="M9" s="21"/>
      <c r="N9" s="21"/>
    </row>
    <row r="10" spans="2:14" x14ac:dyDescent="0.2">
      <c r="B10" s="22" t="s">
        <v>26</v>
      </c>
      <c r="C10" s="19" t="s">
        <v>27</v>
      </c>
      <c r="D10" s="19" t="s">
        <v>28</v>
      </c>
      <c r="E10" s="23">
        <v>3218427</v>
      </c>
      <c r="F10" s="20">
        <v>6694.97</v>
      </c>
      <c r="G10" s="20">
        <v>4.08</v>
      </c>
      <c r="H10" s="20" t="s">
        <v>18</v>
      </c>
      <c r="K10" s="21"/>
      <c r="L10" s="21"/>
      <c r="M10" s="21"/>
      <c r="N10" s="21"/>
    </row>
    <row r="11" spans="2:14" x14ac:dyDescent="0.2">
      <c r="B11" s="22" t="s">
        <v>29</v>
      </c>
      <c r="C11" s="19" t="s">
        <v>30</v>
      </c>
      <c r="D11" s="19" t="s">
        <v>17</v>
      </c>
      <c r="E11" s="23">
        <v>47841</v>
      </c>
      <c r="F11" s="20">
        <v>6280.09</v>
      </c>
      <c r="G11" s="20">
        <v>3.82</v>
      </c>
      <c r="H11" s="20" t="s">
        <v>18</v>
      </c>
      <c r="K11" s="21"/>
      <c r="L11" s="21"/>
      <c r="M11" s="21"/>
      <c r="N11" s="21"/>
    </row>
    <row r="12" spans="2:14" x14ac:dyDescent="0.2">
      <c r="B12" s="22" t="s">
        <v>31</v>
      </c>
      <c r="C12" s="19" t="s">
        <v>32</v>
      </c>
      <c r="D12" s="19" t="s">
        <v>24</v>
      </c>
      <c r="E12" s="23">
        <v>1400802</v>
      </c>
      <c r="F12" s="20">
        <v>5837.84</v>
      </c>
      <c r="G12" s="20">
        <v>3.56</v>
      </c>
      <c r="H12" s="20" t="s">
        <v>25</v>
      </c>
      <c r="K12" s="24"/>
      <c r="L12" s="24"/>
      <c r="M12" s="24"/>
      <c r="N12" s="24"/>
    </row>
    <row r="13" spans="2:14" x14ac:dyDescent="0.2">
      <c r="B13" s="22" t="s">
        <v>33</v>
      </c>
      <c r="C13" s="19" t="s">
        <v>34</v>
      </c>
      <c r="D13" s="19" t="s">
        <v>24</v>
      </c>
      <c r="E13" s="23">
        <v>546313</v>
      </c>
      <c r="F13" s="20">
        <v>5796.38</v>
      </c>
      <c r="G13" s="20">
        <v>3.53</v>
      </c>
      <c r="H13" s="20" t="s">
        <v>25</v>
      </c>
      <c r="L13" s="25" t="s">
        <v>35</v>
      </c>
    </row>
    <row r="14" spans="2:14" x14ac:dyDescent="0.2">
      <c r="B14" s="22" t="s">
        <v>36</v>
      </c>
      <c r="C14" s="19" t="s">
        <v>37</v>
      </c>
      <c r="D14" s="19" t="s">
        <v>17</v>
      </c>
      <c r="E14" s="23">
        <v>51226</v>
      </c>
      <c r="F14" s="20">
        <v>5358.24</v>
      </c>
      <c r="G14" s="20">
        <v>3.26</v>
      </c>
      <c r="H14" s="20" t="s">
        <v>18</v>
      </c>
    </row>
    <row r="15" spans="2:14" x14ac:dyDescent="0.2">
      <c r="B15" s="22" t="s">
        <v>38</v>
      </c>
      <c r="C15" s="19" t="s">
        <v>39</v>
      </c>
      <c r="D15" s="19" t="s">
        <v>40</v>
      </c>
      <c r="E15" s="23">
        <v>55329</v>
      </c>
      <c r="F15" s="20">
        <v>5243.81</v>
      </c>
      <c r="G15" s="20">
        <v>3.19</v>
      </c>
      <c r="H15" s="20" t="s">
        <v>18</v>
      </c>
    </row>
    <row r="16" spans="2:14" x14ac:dyDescent="0.2">
      <c r="B16" s="22" t="s">
        <v>41</v>
      </c>
      <c r="C16" s="19" t="s">
        <v>42</v>
      </c>
      <c r="D16" s="19" t="s">
        <v>21</v>
      </c>
      <c r="E16" s="23">
        <v>115371</v>
      </c>
      <c r="F16" s="20">
        <v>4965.34</v>
      </c>
      <c r="G16" s="20">
        <v>3.02</v>
      </c>
      <c r="H16" s="20" t="s">
        <v>18</v>
      </c>
    </row>
    <row r="17" spans="2:8" x14ac:dyDescent="0.2">
      <c r="B17" s="22" t="s">
        <v>43</v>
      </c>
      <c r="C17" s="19" t="s">
        <v>44</v>
      </c>
      <c r="D17" s="19" t="s">
        <v>45</v>
      </c>
      <c r="E17" s="23">
        <v>442453</v>
      </c>
      <c r="F17" s="20">
        <v>4816.32</v>
      </c>
      <c r="G17" s="20">
        <v>2.93</v>
      </c>
      <c r="H17" s="20" t="s">
        <v>46</v>
      </c>
    </row>
    <row r="18" spans="2:8" x14ac:dyDescent="0.2">
      <c r="B18" s="22" t="s">
        <v>47</v>
      </c>
      <c r="C18" s="19" t="s">
        <v>48</v>
      </c>
      <c r="D18" s="19" t="s">
        <v>24</v>
      </c>
      <c r="E18" s="23">
        <v>28635</v>
      </c>
      <c r="F18" s="20">
        <v>3756.34</v>
      </c>
      <c r="G18" s="20">
        <v>2.29</v>
      </c>
      <c r="H18" s="20" t="s">
        <v>25</v>
      </c>
    </row>
    <row r="19" spans="2:8" x14ac:dyDescent="0.2">
      <c r="B19" s="22" t="s">
        <v>49</v>
      </c>
      <c r="C19" s="19" t="s">
        <v>50</v>
      </c>
      <c r="D19" s="19" t="s">
        <v>51</v>
      </c>
      <c r="E19" s="23">
        <v>92109</v>
      </c>
      <c r="F19" s="20">
        <v>3754.82</v>
      </c>
      <c r="G19" s="20">
        <v>2.29</v>
      </c>
      <c r="H19" s="20" t="s">
        <v>18</v>
      </c>
    </row>
    <row r="20" spans="2:8" x14ac:dyDescent="0.2">
      <c r="B20" s="22" t="s">
        <v>52</v>
      </c>
      <c r="C20" s="19" t="s">
        <v>53</v>
      </c>
      <c r="D20" s="19" t="s">
        <v>54</v>
      </c>
      <c r="E20" s="23">
        <v>20571</v>
      </c>
      <c r="F20" s="20">
        <v>3753.59</v>
      </c>
      <c r="G20" s="20">
        <v>2.29</v>
      </c>
      <c r="H20" s="20" t="s">
        <v>18</v>
      </c>
    </row>
    <row r="21" spans="2:8" x14ac:dyDescent="0.2">
      <c r="B21" s="22" t="s">
        <v>55</v>
      </c>
      <c r="C21" s="19" t="s">
        <v>56</v>
      </c>
      <c r="D21" s="19" t="s">
        <v>57</v>
      </c>
      <c r="E21" s="23">
        <v>372780</v>
      </c>
      <c r="F21" s="20">
        <v>3748.68</v>
      </c>
      <c r="G21" s="20">
        <v>2.2799999999999998</v>
      </c>
      <c r="H21" s="20" t="s">
        <v>46</v>
      </c>
    </row>
    <row r="22" spans="2:8" x14ac:dyDescent="0.2">
      <c r="B22" s="22" t="s">
        <v>58</v>
      </c>
      <c r="C22" s="19" t="s">
        <v>59</v>
      </c>
      <c r="D22" s="19" t="s">
        <v>40</v>
      </c>
      <c r="E22" s="23">
        <v>63473</v>
      </c>
      <c r="F22" s="20">
        <v>3732.85</v>
      </c>
      <c r="G22" s="20">
        <v>2.27</v>
      </c>
      <c r="H22" s="20" t="s">
        <v>18</v>
      </c>
    </row>
    <row r="23" spans="2:8" x14ac:dyDescent="0.2">
      <c r="B23" s="22" t="s">
        <v>60</v>
      </c>
      <c r="C23" s="19" t="s">
        <v>61</v>
      </c>
      <c r="D23" s="19" t="s">
        <v>62</v>
      </c>
      <c r="E23" s="23">
        <v>282200</v>
      </c>
      <c r="F23" s="20">
        <v>3728.43</v>
      </c>
      <c r="G23" s="20">
        <v>2.27</v>
      </c>
      <c r="H23" s="20" t="s">
        <v>18</v>
      </c>
    </row>
    <row r="24" spans="2:8" x14ac:dyDescent="0.2">
      <c r="B24" s="22" t="s">
        <v>63</v>
      </c>
      <c r="C24" s="19" t="s">
        <v>64</v>
      </c>
      <c r="D24" s="19" t="s">
        <v>65</v>
      </c>
      <c r="E24" s="23">
        <v>637423</v>
      </c>
      <c r="F24" s="20">
        <v>3365.59</v>
      </c>
      <c r="G24" s="20">
        <v>2.0499999999999998</v>
      </c>
      <c r="H24" s="20" t="s">
        <v>18</v>
      </c>
    </row>
    <row r="25" spans="2:8" x14ac:dyDescent="0.2">
      <c r="B25" s="22" t="s">
        <v>66</v>
      </c>
      <c r="C25" s="19" t="s">
        <v>67</v>
      </c>
      <c r="D25" s="19" t="s">
        <v>68</v>
      </c>
      <c r="E25" s="23">
        <v>41120</v>
      </c>
      <c r="F25" s="20">
        <v>3131.29</v>
      </c>
      <c r="G25" s="20">
        <v>1.91</v>
      </c>
      <c r="H25" s="20" t="s">
        <v>46</v>
      </c>
    </row>
    <row r="26" spans="2:8" x14ac:dyDescent="0.2">
      <c r="B26" s="22" t="s">
        <v>69</v>
      </c>
      <c r="C26" s="19" t="s">
        <v>70</v>
      </c>
      <c r="D26" s="19" t="s">
        <v>24</v>
      </c>
      <c r="E26" s="23">
        <v>322724</v>
      </c>
      <c r="F26" s="20">
        <v>2960.83</v>
      </c>
      <c r="G26" s="20">
        <v>1.8</v>
      </c>
      <c r="H26" s="20" t="s">
        <v>18</v>
      </c>
    </row>
    <row r="27" spans="2:8" x14ac:dyDescent="0.2">
      <c r="B27" s="22" t="s">
        <v>71</v>
      </c>
      <c r="C27" s="19" t="s">
        <v>72</v>
      </c>
      <c r="D27" s="19" t="s">
        <v>73</v>
      </c>
      <c r="E27" s="23">
        <v>54781</v>
      </c>
      <c r="F27" s="20">
        <v>2832.73</v>
      </c>
      <c r="G27" s="20">
        <v>1.73</v>
      </c>
      <c r="H27" s="20" t="s">
        <v>25</v>
      </c>
    </row>
    <row r="28" spans="2:8" x14ac:dyDescent="0.2">
      <c r="B28" s="22" t="s">
        <v>74</v>
      </c>
      <c r="C28" s="19" t="s">
        <v>75</v>
      </c>
      <c r="D28" s="19" t="s">
        <v>68</v>
      </c>
      <c r="E28" s="23">
        <v>185570</v>
      </c>
      <c r="F28" s="20">
        <v>2827.9</v>
      </c>
      <c r="G28" s="20">
        <v>1.72</v>
      </c>
      <c r="H28" s="20" t="s">
        <v>18</v>
      </c>
    </row>
    <row r="29" spans="2:8" x14ac:dyDescent="0.2">
      <c r="B29" s="22" t="s">
        <v>76</v>
      </c>
      <c r="C29" s="19" t="s">
        <v>77</v>
      </c>
      <c r="D29" s="19" t="s">
        <v>57</v>
      </c>
      <c r="E29" s="23">
        <v>127229</v>
      </c>
      <c r="F29" s="20">
        <v>2757.56</v>
      </c>
      <c r="G29" s="20">
        <v>1.68</v>
      </c>
      <c r="H29" s="20" t="s">
        <v>46</v>
      </c>
    </row>
    <row r="30" spans="2:8" x14ac:dyDescent="0.2">
      <c r="B30" s="22" t="s">
        <v>78</v>
      </c>
      <c r="C30" s="19" t="s">
        <v>79</v>
      </c>
      <c r="D30" s="19" t="s">
        <v>73</v>
      </c>
      <c r="E30" s="23">
        <v>23023</v>
      </c>
      <c r="F30" s="20">
        <v>2643.5</v>
      </c>
      <c r="G30" s="20">
        <v>1.61</v>
      </c>
      <c r="H30" s="20" t="s">
        <v>18</v>
      </c>
    </row>
    <row r="31" spans="2:8" x14ac:dyDescent="0.2">
      <c r="B31" s="22" t="s">
        <v>80</v>
      </c>
      <c r="C31" s="19" t="s">
        <v>81</v>
      </c>
      <c r="D31" s="19" t="s">
        <v>40</v>
      </c>
      <c r="E31" s="23">
        <v>47988</v>
      </c>
      <c r="F31" s="20">
        <v>2527.77</v>
      </c>
      <c r="G31" s="20">
        <v>1.54</v>
      </c>
      <c r="H31" s="20" t="s">
        <v>25</v>
      </c>
    </row>
    <row r="32" spans="2:8" x14ac:dyDescent="0.2">
      <c r="B32" s="22" t="s">
        <v>82</v>
      </c>
      <c r="C32" s="19" t="s">
        <v>83</v>
      </c>
      <c r="D32" s="19" t="s">
        <v>57</v>
      </c>
      <c r="E32" s="23">
        <v>111962</v>
      </c>
      <c r="F32" s="20">
        <v>2519.15</v>
      </c>
      <c r="G32" s="20">
        <v>1.53</v>
      </c>
      <c r="H32" s="20" t="s">
        <v>46</v>
      </c>
    </row>
    <row r="33" spans="2:8" x14ac:dyDescent="0.2">
      <c r="B33" s="22" t="s">
        <v>84</v>
      </c>
      <c r="C33" s="19" t="s">
        <v>85</v>
      </c>
      <c r="D33" s="19" t="s">
        <v>57</v>
      </c>
      <c r="E33" s="23">
        <v>272265</v>
      </c>
      <c r="F33" s="20">
        <v>2315.34</v>
      </c>
      <c r="G33" s="20">
        <v>1.41</v>
      </c>
      <c r="H33" s="20" t="s">
        <v>46</v>
      </c>
    </row>
    <row r="34" spans="2:8" x14ac:dyDescent="0.2">
      <c r="B34" s="22" t="s">
        <v>86</v>
      </c>
      <c r="C34" s="19" t="s">
        <v>87</v>
      </c>
      <c r="D34" s="19" t="s">
        <v>68</v>
      </c>
      <c r="E34" s="23">
        <v>180625</v>
      </c>
      <c r="F34" s="20">
        <v>2250.0500000000002</v>
      </c>
      <c r="G34" s="20">
        <v>1.37</v>
      </c>
      <c r="H34" s="20" t="s">
        <v>25</v>
      </c>
    </row>
    <row r="35" spans="2:8" x14ac:dyDescent="0.2">
      <c r="B35" s="22" t="s">
        <v>88</v>
      </c>
      <c r="C35" s="19" t="s">
        <v>89</v>
      </c>
      <c r="D35" s="19" t="s">
        <v>90</v>
      </c>
      <c r="E35" s="23">
        <v>433284</v>
      </c>
      <c r="F35" s="20">
        <v>2230.5500000000002</v>
      </c>
      <c r="G35" s="20">
        <v>1.36</v>
      </c>
      <c r="H35" s="20" t="s">
        <v>46</v>
      </c>
    </row>
    <row r="36" spans="2:8" x14ac:dyDescent="0.2">
      <c r="B36" s="22" t="s">
        <v>91</v>
      </c>
      <c r="C36" s="19" t="s">
        <v>92</v>
      </c>
      <c r="D36" s="19" t="s">
        <v>24</v>
      </c>
      <c r="E36" s="23">
        <v>5571</v>
      </c>
      <c r="F36" s="20">
        <v>2141.77</v>
      </c>
      <c r="G36" s="20">
        <v>1.3</v>
      </c>
      <c r="H36" s="20" t="s">
        <v>25</v>
      </c>
    </row>
    <row r="37" spans="2:8" x14ac:dyDescent="0.2">
      <c r="B37" s="22" t="s">
        <v>93</v>
      </c>
      <c r="C37" s="19" t="s">
        <v>94</v>
      </c>
      <c r="D37" s="19" t="s">
        <v>95</v>
      </c>
      <c r="E37" s="23">
        <v>543481</v>
      </c>
      <c r="F37" s="20">
        <v>2100.5500000000002</v>
      </c>
      <c r="G37" s="20">
        <v>1.28</v>
      </c>
      <c r="H37" s="20" t="s">
        <v>46</v>
      </c>
    </row>
    <row r="38" spans="2:8" x14ac:dyDescent="0.2">
      <c r="B38" s="22" t="s">
        <v>96</v>
      </c>
      <c r="C38" s="19" t="s">
        <v>97</v>
      </c>
      <c r="D38" s="19" t="s">
        <v>24</v>
      </c>
      <c r="E38" s="23">
        <v>280121</v>
      </c>
      <c r="F38" s="20">
        <v>2077.1</v>
      </c>
      <c r="G38" s="20">
        <v>1.26</v>
      </c>
      <c r="H38" s="20" t="s">
        <v>46</v>
      </c>
    </row>
    <row r="39" spans="2:8" x14ac:dyDescent="0.2">
      <c r="B39" s="22" t="s">
        <v>98</v>
      </c>
      <c r="C39" s="19" t="s">
        <v>99</v>
      </c>
      <c r="D39" s="19" t="s">
        <v>95</v>
      </c>
      <c r="E39" s="23">
        <v>351647</v>
      </c>
      <c r="F39" s="20">
        <v>2068.7399999999998</v>
      </c>
      <c r="G39" s="20">
        <v>1.26</v>
      </c>
      <c r="H39" s="20" t="s">
        <v>46</v>
      </c>
    </row>
    <row r="40" spans="2:8" x14ac:dyDescent="0.2">
      <c r="B40" s="22" t="s">
        <v>100</v>
      </c>
      <c r="C40" s="19" t="s">
        <v>101</v>
      </c>
      <c r="D40" s="19" t="s">
        <v>73</v>
      </c>
      <c r="E40" s="23">
        <v>226835</v>
      </c>
      <c r="F40" s="20">
        <v>1976.19</v>
      </c>
      <c r="G40" s="20">
        <v>1.2</v>
      </c>
      <c r="H40" s="20" t="s">
        <v>46</v>
      </c>
    </row>
    <row r="41" spans="2:8" x14ac:dyDescent="0.2">
      <c r="B41" s="22" t="s">
        <v>102</v>
      </c>
      <c r="C41" s="19" t="s">
        <v>103</v>
      </c>
      <c r="D41" s="19" t="s">
        <v>54</v>
      </c>
      <c r="E41" s="23">
        <v>72472</v>
      </c>
      <c r="F41" s="20">
        <v>1968.19</v>
      </c>
      <c r="G41" s="20">
        <v>1.2</v>
      </c>
      <c r="H41" s="20" t="s">
        <v>25</v>
      </c>
    </row>
    <row r="42" spans="2:8" x14ac:dyDescent="0.2">
      <c r="B42" s="22" t="s">
        <v>104</v>
      </c>
      <c r="C42" s="19" t="s">
        <v>105</v>
      </c>
      <c r="D42" s="19" t="s">
        <v>57</v>
      </c>
      <c r="E42" s="23">
        <v>28840</v>
      </c>
      <c r="F42" s="20">
        <v>1922.76</v>
      </c>
      <c r="G42" s="20">
        <v>1.17</v>
      </c>
      <c r="H42" s="20" t="s">
        <v>18</v>
      </c>
    </row>
    <row r="43" spans="2:8" x14ac:dyDescent="0.2">
      <c r="B43" s="22" t="s">
        <v>106</v>
      </c>
      <c r="C43" s="19" t="s">
        <v>107</v>
      </c>
      <c r="D43" s="19" t="s">
        <v>40</v>
      </c>
      <c r="E43" s="23">
        <v>51388</v>
      </c>
      <c r="F43" s="20">
        <v>1865.59</v>
      </c>
      <c r="G43" s="20">
        <v>1.1399999999999999</v>
      </c>
      <c r="H43" s="20" t="s">
        <v>46</v>
      </c>
    </row>
    <row r="44" spans="2:8" x14ac:dyDescent="0.2">
      <c r="B44" s="22" t="s">
        <v>108</v>
      </c>
      <c r="C44" s="19" t="s">
        <v>109</v>
      </c>
      <c r="D44" s="19" t="s">
        <v>110</v>
      </c>
      <c r="E44" s="23">
        <v>142495</v>
      </c>
      <c r="F44" s="20">
        <v>1772.35</v>
      </c>
      <c r="G44" s="20">
        <v>1.08</v>
      </c>
      <c r="H44" s="20" t="s">
        <v>46</v>
      </c>
    </row>
    <row r="45" spans="2:8" x14ac:dyDescent="0.2">
      <c r="B45" s="22" t="s">
        <v>111</v>
      </c>
      <c r="C45" s="19" t="s">
        <v>112</v>
      </c>
      <c r="D45" s="19" t="s">
        <v>113</v>
      </c>
      <c r="E45" s="23">
        <v>79697</v>
      </c>
      <c r="F45" s="20">
        <v>1741.46</v>
      </c>
      <c r="G45" s="20">
        <v>1.06</v>
      </c>
      <c r="H45" s="20" t="s">
        <v>46</v>
      </c>
    </row>
    <row r="46" spans="2:8" x14ac:dyDescent="0.2">
      <c r="B46" s="22" t="s">
        <v>114</v>
      </c>
      <c r="C46" s="19" t="s">
        <v>115</v>
      </c>
      <c r="D46" s="19" t="s">
        <v>116</v>
      </c>
      <c r="E46" s="23">
        <v>997075</v>
      </c>
      <c r="F46" s="20">
        <v>1712.08</v>
      </c>
      <c r="G46" s="20">
        <v>1.04</v>
      </c>
      <c r="H46" s="20" t="s">
        <v>46</v>
      </c>
    </row>
    <row r="47" spans="2:8" x14ac:dyDescent="0.2">
      <c r="B47" s="22" t="s">
        <v>117</v>
      </c>
      <c r="C47" s="19" t="s">
        <v>118</v>
      </c>
      <c r="D47" s="19" t="s">
        <v>51</v>
      </c>
      <c r="E47" s="23">
        <v>714231</v>
      </c>
      <c r="F47" s="20">
        <v>1654.87</v>
      </c>
      <c r="G47" s="20">
        <v>1.01</v>
      </c>
      <c r="H47" s="20" t="s">
        <v>46</v>
      </c>
    </row>
    <row r="48" spans="2:8" x14ac:dyDescent="0.2">
      <c r="B48" s="22" t="s">
        <v>119</v>
      </c>
      <c r="C48" s="19" t="s">
        <v>120</v>
      </c>
      <c r="D48" s="19" t="s">
        <v>54</v>
      </c>
      <c r="E48" s="23">
        <v>948605</v>
      </c>
      <c r="F48" s="20">
        <v>1594.89</v>
      </c>
      <c r="G48" s="20">
        <v>0.97</v>
      </c>
      <c r="H48" s="20" t="s">
        <v>46</v>
      </c>
    </row>
    <row r="49" spans="2:9" x14ac:dyDescent="0.2">
      <c r="B49" s="22" t="s">
        <v>121</v>
      </c>
      <c r="C49" s="19" t="s">
        <v>122</v>
      </c>
      <c r="D49" s="19" t="s">
        <v>116</v>
      </c>
      <c r="E49" s="23">
        <v>243113</v>
      </c>
      <c r="F49" s="20">
        <v>1580.36</v>
      </c>
      <c r="G49" s="20">
        <v>0.96</v>
      </c>
      <c r="H49" s="20" t="s">
        <v>46</v>
      </c>
    </row>
    <row r="50" spans="2:9" x14ac:dyDescent="0.2">
      <c r="B50" s="22" t="s">
        <v>123</v>
      </c>
      <c r="C50" s="19" t="s">
        <v>124</v>
      </c>
      <c r="D50" s="19" t="s">
        <v>95</v>
      </c>
      <c r="E50" s="23">
        <v>316339</v>
      </c>
      <c r="F50" s="20">
        <v>1442.35</v>
      </c>
      <c r="G50" s="20">
        <v>0.88</v>
      </c>
      <c r="H50" s="20" t="s">
        <v>46</v>
      </c>
    </row>
    <row r="51" spans="2:9" x14ac:dyDescent="0.2">
      <c r="B51" s="22" t="s">
        <v>125</v>
      </c>
      <c r="C51" s="19" t="s">
        <v>126</v>
      </c>
      <c r="D51" s="19" t="s">
        <v>40</v>
      </c>
      <c r="E51" s="23">
        <v>199927</v>
      </c>
      <c r="F51" s="20">
        <v>1404.69</v>
      </c>
      <c r="G51" s="20">
        <v>0.86</v>
      </c>
      <c r="H51" s="20" t="s">
        <v>46</v>
      </c>
    </row>
    <row r="52" spans="2:9" x14ac:dyDescent="0.2">
      <c r="B52" s="22" t="s">
        <v>127</v>
      </c>
      <c r="C52" s="19" t="s">
        <v>128</v>
      </c>
      <c r="D52" s="19" t="s">
        <v>40</v>
      </c>
      <c r="E52" s="23">
        <v>38135</v>
      </c>
      <c r="F52" s="20">
        <v>1353.41</v>
      </c>
      <c r="G52" s="20">
        <v>0.82</v>
      </c>
      <c r="H52" s="20" t="s">
        <v>25</v>
      </c>
    </row>
    <row r="53" spans="2:9" x14ac:dyDescent="0.2">
      <c r="B53" s="22" t="s">
        <v>129</v>
      </c>
      <c r="C53" s="19" t="s">
        <v>130</v>
      </c>
      <c r="D53" s="19" t="s">
        <v>68</v>
      </c>
      <c r="E53" s="23">
        <v>87135</v>
      </c>
      <c r="F53" s="20">
        <v>1310.25</v>
      </c>
      <c r="G53" s="20">
        <v>0.8</v>
      </c>
      <c r="H53" s="20" t="s">
        <v>46</v>
      </c>
    </row>
    <row r="54" spans="2:9" x14ac:dyDescent="0.2">
      <c r="B54" s="22" t="s">
        <v>131</v>
      </c>
      <c r="C54" s="19" t="s">
        <v>132</v>
      </c>
      <c r="D54" s="19" t="s">
        <v>68</v>
      </c>
      <c r="E54" s="23">
        <v>559640</v>
      </c>
      <c r="F54" s="20">
        <v>1239.0999999999999</v>
      </c>
      <c r="G54" s="20">
        <v>0.75</v>
      </c>
      <c r="H54" s="20" t="s">
        <v>46</v>
      </c>
    </row>
    <row r="55" spans="2:9" x14ac:dyDescent="0.2">
      <c r="B55" s="22" t="s">
        <v>133</v>
      </c>
      <c r="C55" s="19" t="s">
        <v>134</v>
      </c>
      <c r="D55" s="19" t="s">
        <v>68</v>
      </c>
      <c r="E55" s="23">
        <v>567325</v>
      </c>
      <c r="F55" s="20">
        <v>1237.1099999999999</v>
      </c>
      <c r="G55" s="20">
        <v>0.75</v>
      </c>
      <c r="H55" s="20" t="s">
        <v>46</v>
      </c>
    </row>
    <row r="56" spans="2:9" x14ac:dyDescent="0.2">
      <c r="B56" s="22" t="s">
        <v>135</v>
      </c>
      <c r="C56" s="19" t="s">
        <v>136</v>
      </c>
      <c r="D56" s="19" t="s">
        <v>68</v>
      </c>
      <c r="E56" s="23">
        <v>360952</v>
      </c>
      <c r="F56" s="20">
        <v>1107.22</v>
      </c>
      <c r="G56" s="20">
        <v>0.67</v>
      </c>
      <c r="H56" s="20" t="s">
        <v>46</v>
      </c>
    </row>
    <row r="57" spans="2:9" x14ac:dyDescent="0.2">
      <c r="B57" s="22" t="s">
        <v>137</v>
      </c>
      <c r="C57" s="19" t="s">
        <v>138</v>
      </c>
      <c r="D57" s="19" t="s">
        <v>139</v>
      </c>
      <c r="E57" s="23">
        <v>350708</v>
      </c>
      <c r="F57" s="20">
        <v>1043.18</v>
      </c>
      <c r="G57" s="20">
        <v>0.64</v>
      </c>
      <c r="H57" s="20" t="s">
        <v>46</v>
      </c>
    </row>
    <row r="58" spans="2:9" x14ac:dyDescent="0.2">
      <c r="B58" s="22" t="s">
        <v>140</v>
      </c>
      <c r="C58" s="19" t="s">
        <v>141</v>
      </c>
      <c r="D58" s="19" t="s">
        <v>40</v>
      </c>
      <c r="E58" s="23">
        <v>131195</v>
      </c>
      <c r="F58" s="20">
        <v>1036.31</v>
      </c>
      <c r="G58" s="20">
        <v>0.63</v>
      </c>
      <c r="H58" s="20" t="s">
        <v>46</v>
      </c>
    </row>
    <row r="59" spans="2:9" x14ac:dyDescent="0.2">
      <c r="B59" s="22" t="s">
        <v>142</v>
      </c>
      <c r="C59" s="19" t="s">
        <v>143</v>
      </c>
      <c r="D59" s="19" t="s">
        <v>57</v>
      </c>
      <c r="E59" s="23">
        <v>65725</v>
      </c>
      <c r="F59" s="20">
        <v>690.9</v>
      </c>
      <c r="G59" s="20">
        <v>0.42</v>
      </c>
      <c r="H59" s="20" t="s">
        <v>46</v>
      </c>
    </row>
    <row r="60" spans="2:9" x14ac:dyDescent="0.2">
      <c r="B60" s="26" t="s">
        <v>144</v>
      </c>
      <c r="C60" s="27"/>
      <c r="D60" s="27"/>
      <c r="E60" s="27"/>
      <c r="F60" s="28">
        <f>SUM(F7:F59)</f>
        <v>161959.80999999994</v>
      </c>
      <c r="G60" s="28">
        <f>SUM(G7:G59)</f>
        <v>98.600000000000023</v>
      </c>
      <c r="H60" s="28"/>
      <c r="I60" s="29"/>
    </row>
    <row r="61" spans="2:9" x14ac:dyDescent="0.2">
      <c r="B61" s="30" t="s">
        <v>145</v>
      </c>
      <c r="C61" s="30"/>
      <c r="D61" s="30"/>
      <c r="E61" s="30"/>
      <c r="F61" s="31">
        <f>F60</f>
        <v>161959.80999999994</v>
      </c>
      <c r="G61" s="31">
        <f>G60</f>
        <v>98.600000000000023</v>
      </c>
      <c r="H61" s="31"/>
      <c r="I61" s="29"/>
    </row>
    <row r="62" spans="2:9" x14ac:dyDescent="0.2">
      <c r="B62" s="32" t="s">
        <v>146</v>
      </c>
      <c r="C62" s="33"/>
      <c r="D62" s="33"/>
      <c r="E62" s="33"/>
      <c r="F62" s="34"/>
      <c r="G62" s="34"/>
      <c r="H62" s="34"/>
    </row>
    <row r="63" spans="2:9" x14ac:dyDescent="0.2">
      <c r="B63" s="22" t="s">
        <v>146</v>
      </c>
      <c r="C63" s="19"/>
      <c r="D63" s="19"/>
      <c r="E63" s="19"/>
      <c r="F63" s="20">
        <v>2386.23</v>
      </c>
      <c r="G63" s="20">
        <v>1.45</v>
      </c>
      <c r="H63" s="20"/>
    </row>
    <row r="64" spans="2:9" x14ac:dyDescent="0.2">
      <c r="B64" s="26" t="s">
        <v>144</v>
      </c>
      <c r="C64" s="27"/>
      <c r="D64" s="27"/>
      <c r="E64" s="27"/>
      <c r="F64" s="28">
        <f>SUM(F62:F63)</f>
        <v>2386.23</v>
      </c>
      <c r="G64" s="28">
        <f>SUM(G62:G63)</f>
        <v>1.45</v>
      </c>
      <c r="H64" s="28"/>
      <c r="I64" s="29"/>
    </row>
    <row r="65" spans="2:9" x14ac:dyDescent="0.2">
      <c r="B65" s="35" t="s">
        <v>145</v>
      </c>
      <c r="C65" s="35"/>
      <c r="D65" s="35"/>
      <c r="E65" s="35"/>
      <c r="F65" s="36">
        <f>F64</f>
        <v>2386.23</v>
      </c>
      <c r="G65" s="36">
        <f>G64</f>
        <v>1.45</v>
      </c>
      <c r="H65" s="36"/>
      <c r="I65" s="29"/>
    </row>
    <row r="66" spans="2:9" x14ac:dyDescent="0.2">
      <c r="B66" s="37" t="s">
        <v>147</v>
      </c>
      <c r="C66" s="37"/>
      <c r="D66" s="37"/>
      <c r="E66" s="37"/>
      <c r="F66" s="38">
        <f>F67-(+F61+F65)</f>
        <v>-136.87999999994645</v>
      </c>
      <c r="G66" s="38">
        <f>G67-(+G61+G65)</f>
        <v>-5.000000000002558E-2</v>
      </c>
      <c r="H66" s="38"/>
      <c r="I66" s="29"/>
    </row>
    <row r="67" spans="2:9" x14ac:dyDescent="0.2">
      <c r="B67" s="37" t="s">
        <v>148</v>
      </c>
      <c r="C67" s="37"/>
      <c r="D67" s="37"/>
      <c r="E67" s="37"/>
      <c r="F67" s="38">
        <v>164209.16</v>
      </c>
      <c r="G67" s="38">
        <v>100</v>
      </c>
      <c r="H67" s="38"/>
      <c r="I67" s="29"/>
    </row>
    <row r="69" spans="2:9" x14ac:dyDescent="0.2">
      <c r="B69" s="29"/>
    </row>
    <row r="70" spans="2:9" ht="12.75" thickBot="1" x14ac:dyDescent="0.25"/>
    <row r="71" spans="2:9" ht="13.5" thickTop="1" thickBot="1" x14ac:dyDescent="0.25">
      <c r="B71" s="40" t="s">
        <v>149</v>
      </c>
      <c r="C71" s="41">
        <v>0</v>
      </c>
    </row>
    <row r="72" spans="2:9" ht="13.5" thickTop="1" thickBot="1" x14ac:dyDescent="0.25"/>
    <row r="73" spans="2:9" ht="13.5" thickTop="1" thickBot="1" x14ac:dyDescent="0.25">
      <c r="B73" s="40" t="s">
        <v>150</v>
      </c>
      <c r="C73" s="42">
        <v>0</v>
      </c>
    </row>
    <row r="74" spans="2:9" ht="13.5" thickTop="1" thickBot="1" x14ac:dyDescent="0.25"/>
    <row r="75" spans="2:9" ht="13.5" thickTop="1" thickBot="1" x14ac:dyDescent="0.25">
      <c r="B75" s="40" t="s">
        <v>151</v>
      </c>
      <c r="C75" s="41">
        <v>0</v>
      </c>
    </row>
    <row r="76" spans="2:9" ht="12.75" thickTop="1" x14ac:dyDescent="0.2"/>
    <row r="77" spans="2:9" x14ac:dyDescent="0.2">
      <c r="B77" s="29" t="s">
        <v>152</v>
      </c>
    </row>
    <row r="78" spans="2:9" x14ac:dyDescent="0.2">
      <c r="B78" s="4" t="s">
        <v>153</v>
      </c>
    </row>
    <row r="79" spans="2:9" x14ac:dyDescent="0.2">
      <c r="B79" s="4" t="s">
        <v>154</v>
      </c>
    </row>
    <row r="80" spans="2:9" x14ac:dyDescent="0.2">
      <c r="B80" s="4" t="s">
        <v>155</v>
      </c>
    </row>
    <row r="81" spans="2:5" x14ac:dyDescent="0.2">
      <c r="B81" s="29" t="s">
        <v>156</v>
      </c>
      <c r="C81" s="29"/>
      <c r="D81" s="29" t="s">
        <v>157</v>
      </c>
      <c r="E81" s="29" t="s">
        <v>158</v>
      </c>
    </row>
    <row r="82" spans="2:5" x14ac:dyDescent="0.2">
      <c r="B82" s="4" t="s">
        <v>159</v>
      </c>
      <c r="D82" s="4">
        <v>13.01</v>
      </c>
      <c r="E82" s="4">
        <v>13.4</v>
      </c>
    </row>
    <row r="83" spans="2:5" x14ac:dyDescent="0.2">
      <c r="B83" s="4" t="s">
        <v>160</v>
      </c>
      <c r="D83" s="4">
        <v>13</v>
      </c>
      <c r="E83" s="4">
        <v>13.39</v>
      </c>
    </row>
    <row r="84" spans="2:5" x14ac:dyDescent="0.2">
      <c r="B84" s="4" t="s">
        <v>161</v>
      </c>
      <c r="D84" s="4">
        <v>13.4</v>
      </c>
      <c r="E84" s="4">
        <v>13.82</v>
      </c>
    </row>
    <row r="85" spans="2:5" x14ac:dyDescent="0.2">
      <c r="B85" s="4" t="s">
        <v>162</v>
      </c>
      <c r="D85" s="4">
        <v>13.4</v>
      </c>
      <c r="E85" s="4">
        <v>13.82</v>
      </c>
    </row>
    <row r="87" spans="2:5" x14ac:dyDescent="0.2">
      <c r="B87" s="4" t="s">
        <v>163</v>
      </c>
    </row>
    <row r="88" spans="2:5" x14ac:dyDescent="0.2">
      <c r="B88" s="4" t="s">
        <v>164</v>
      </c>
    </row>
    <row r="89" spans="2:5" x14ac:dyDescent="0.2">
      <c r="B89" s="4" t="s">
        <v>165</v>
      </c>
    </row>
    <row r="90" spans="2:5" x14ac:dyDescent="0.2">
      <c r="B90" s="4" t="s">
        <v>166</v>
      </c>
    </row>
    <row r="91" spans="2:5" x14ac:dyDescent="0.2">
      <c r="B91" s="4" t="s">
        <v>167</v>
      </c>
    </row>
    <row r="92" spans="2:5" x14ac:dyDescent="0.2">
      <c r="B92" s="29"/>
      <c r="C92" s="29"/>
      <c r="D92" s="29"/>
      <c r="E92" s="29"/>
    </row>
    <row r="93" spans="2:5" x14ac:dyDescent="0.2">
      <c r="B93" s="29" t="s">
        <v>168</v>
      </c>
    </row>
    <row r="95" spans="2:5" ht="15" x14ac:dyDescent="0.2">
      <c r="B95" s="43" t="s">
        <v>169</v>
      </c>
    </row>
  </sheetData>
  <mergeCells count="5">
    <mergeCell ref="B1:G1"/>
    <mergeCell ref="K5:K12"/>
    <mergeCell ref="L5:L12"/>
    <mergeCell ref="M5:M12"/>
    <mergeCell ref="N5:N12"/>
  </mergeCells>
  <hyperlinks>
    <hyperlink ref="B95" r:id="rId1" display="https://apc01.safelinks.protection.outlook.com/?url=https%3A%2F%2Fwww.canararobeco.com%2Fdocs%2Fdefault-source%2Fdefault-document-library%2FScheme_Performance_May_26.pdf&amp;data=05%7C02%7C%7Cc0ab9c6aede14e1996ad08dec0969d52%7C6fa82c0314f040c8895a63736b6313f0%7C0%7C0%7C639159950311520253%7CUnknown%7CTWFpbGZsb3d8eyJFbXB0eU1hcGkiOnRydWUsIlYiOiIwLjAuMDAwMCIsIlAiOiJXaW4zMiIsIkFOIjoiTWFpbCIsIldUIjoyfQ%3D%3D%7C0%7C%7C%7C&amp;sdata=v%2BErOW%2BYSawSTCOvNYDXkfmrsprcuXh1UKkFJO3SePg%3D&amp;reserved=0" xr:uid="{EADD10B0-4217-4875-AD11-31A38A3C1280}"/>
  </hyperlinks>
  <pageMargins left="0.7" right="0.7" top="0.75" bottom="0.75" header="0.3" footer="0.3"/>
  <pageSetup paperSize="9" orientation="portrait" r:id="rId2"/>
  <headerFooter>
    <oddHeader>&amp;L&amp;"Calibri"&amp;11&amp;K008000 MIS Internal</oddHeader>
    <oddFooter>&amp;L&amp;"Calibri"&amp;11&amp;K008000 MIS Internal</oddFooter>
    <evenFooter>&amp;LPUBLIC</evenFooter>
    <firstFooter>&amp;LPUBLIC</first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Klassify>
  <SNO>1</SNO>
  <KDate>2026-06-08 17:42:41</KDate>
  <Classification>MIS INTERNAL</Classification>
  <Subclassification/>
  <HostName>MUMCMP01323</HostName>
  <Domain_User>CANARAROBECOMF/628</Domain_User>
  <IPAdd>192.9.198.196</IPAdd>
  <FilePath>Book12</FilePath>
  <KID>109819A0F0A5639165373610990124</KID>
  <UniqueName/>
  <Suggested/>
  <Justification/>
  <KlassifyGUID/>
</Klassify>
</file>

<file path=customXml/itemProps1.xml><?xml version="1.0" encoding="utf-8"?>
<ds:datastoreItem xmlns:ds="http://schemas.openxmlformats.org/officeDocument/2006/customXml" ds:itemID="{907BC078-B0BD-45ED-8D20-1A6BFBB0CDE9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Ruchi Kanabar</dc:creator>
  <cp:keywords>MIS Internal</cp:keywords>
  <cp:lastModifiedBy>Ruchi Kanabar</cp:lastModifiedBy>
  <dcterms:created xsi:type="dcterms:W3CDTF">2026-06-08T12:12:23Z</dcterms:created>
  <dcterms:modified xsi:type="dcterms:W3CDTF">2026-06-08T12:12:41Z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lassification">
    <vt:lpwstr>MIS Internal</vt:lpwstr>
  </property>
  <property fmtid="{D5CDD505-2E9C-101B-9397-08002B2CF9AE}" pid="3" name="KID">
    <vt:lpwstr>109819A0F0A5639165373610990124</vt:lpwstr>
  </property>
</Properties>
</file>