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Sep 25\"/>
    </mc:Choice>
  </mc:AlternateContent>
  <xr:revisionPtr revIDLastSave="0" documentId="8_{1993D703-49CD-48BF-8042-FB4C372683DE}" xr6:coauthVersionLast="47" xr6:coauthVersionMax="47" xr10:uidLastSave="{00000000-0000-0000-0000-000000000000}"/>
  <bookViews>
    <workbookView xWindow="-120" yWindow="-120" windowWidth="20730" windowHeight="11040" xr2:uid="{9C372C12-E70E-4AEC-ADC7-94D31FBDDB49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2" i="1" s="1"/>
  <c r="F21" i="1"/>
  <c r="F22" i="1" s="1"/>
  <c r="F23" i="1" s="1"/>
  <c r="G18" i="1"/>
  <c r="G23" i="1" s="1"/>
  <c r="F18" i="1"/>
  <c r="G15" i="1"/>
  <c r="F1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<sst xmlns="http://schemas.openxmlformats.org/spreadsheetml/2006/main" count="69" uniqueCount="57">
  <si>
    <t>CANARA ROBECO DYNAMIC BOND FUND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</si>
  <si>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</si>
  <si>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</si>
  <si>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</si>
  <si>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</si>
  <si>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</si>
  <si>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</si>
  <si>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</si>
  <si>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</si>
  <si>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September'25</t>
  </si>
  <si>
    <t>Benchmark Risk-O-Meter Level- September'25</t>
  </si>
  <si>
    <t>Scheme Risk-O-Meter Level- August'25</t>
  </si>
  <si>
    <t>Benchmark Risk-O-Meter Level- August'25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</si>
  <si>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</si>
  <si>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</si>
  <si>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</si>
  <si>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</si>
  <si>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</si>
  <si>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</si>
  <si>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6.90% UTTAR PRADESH SDL 11-MAR-30</t>
  </si>
  <si>
    <t>IN3320190256</t>
  </si>
  <si>
    <t>Sovereign</t>
  </si>
  <si>
    <t>Interest Rate Risk ↓</t>
  </si>
  <si>
    <t>6.92% GOI 2039 (18-NOV-2039)</t>
  </si>
  <si>
    <t>IN0020240134</t>
  </si>
  <si>
    <t>Relatively Low (Class I)</t>
  </si>
  <si>
    <t>6.33% GOI 2035 (05-MAY-2035)</t>
  </si>
  <si>
    <t>IN0020250026</t>
  </si>
  <si>
    <t>7.34% GOI 2064 (22-APR-2064)</t>
  </si>
  <si>
    <t>IN0020240035</t>
  </si>
  <si>
    <t>Moderate 
(Class II)</t>
  </si>
  <si>
    <t>7.30% GOI 2053 (19-JUN-2053)</t>
  </si>
  <si>
    <t>IN0020230051</t>
  </si>
  <si>
    <t>7.07% KARNATAKA SDL 28-AUG-29</t>
  </si>
  <si>
    <t>IN1920190031</t>
  </si>
  <si>
    <t>Relatively High (Class III)</t>
  </si>
  <si>
    <t>B-III</t>
  </si>
  <si>
    <t>7.38% GOI 20-JUN-27</t>
  </si>
  <si>
    <t>IN0020220037</t>
  </si>
  <si>
    <t>7.17% GOI 2030 (17-APR-2030)</t>
  </si>
  <si>
    <t>IN0020230036</t>
  </si>
  <si>
    <t>Benchmark: CRISIL Dynamic Bond A-III Index</t>
  </si>
  <si>
    <t>6.68% INDIA GOVERNMENT 17-SEP-31</t>
  </si>
  <si>
    <t>IN0020170042</t>
  </si>
  <si>
    <t>Total</t>
  </si>
  <si>
    <t>Alternative Investment Fund</t>
  </si>
  <si>
    <t>CORPORATE DEBT MARKET DEVELOPMENT FUND CLASS A2</t>
  </si>
  <si>
    <t>INF0RQ622028</t>
  </si>
  <si>
    <t>TREPS</t>
  </si>
  <si>
    <t>Sub Total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</si>
  <si>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</si>
  <si>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</si>
  <si>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</si>
  <si>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</si>
  <si>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</si>
  <si>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</si>
  <si>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https://www.canararobeco.com/images/default-source/default-album/Scheme_Performance_September_25.pdf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</si>
</sst>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5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4" fillId="3" borderId="11" xfId="0" applyFont="1" applyFill="1" applyBorder="1"/>
    <xf numFmtId="3" fontId="4" fillId="3" borderId="11" xfId="0" applyNumberFormat="1" applyFont="1" applyFill="1" applyBorder="1"/>
    <xf numFmtId="4" fontId="4" fillId="3" borderId="11" xfId="0" applyNumberFormat="1" applyFont="1" applyFill="1" applyBorder="1"/>
    <xf numFmtId="164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wrapText="1"/>
    </xf>
    <xf numFmtId="0" fontId="10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10" fillId="0" borderId="13" xfId="0" applyFont="1" applyBorder="1" applyAlignment="1">
      <alignment horizontal="left" wrapText="1"/>
    </xf>
    <xf numFmtId="0" fontId="4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164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64" fontId="4" fillId="3" borderId="0" xfId="1" applyFont="1" applyFill="1"/>
    <xf numFmtId="164" fontId="4" fillId="3" borderId="0" xfId="1" applyFont="1" applyFill="1" applyAlignment="1"/>
    <xf numFmtId="0" fontId="4" fillId="3" borderId="14" xfId="0" applyFont="1" applyFill="1" applyBorder="1"/>
    <xf numFmtId="3" fontId="4" fillId="3" borderId="14" xfId="0" applyNumberFormat="1" applyFont="1" applyFill="1" applyBorder="1"/>
    <xf numFmtId="4" fontId="4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0" xfId="0" applyFont="1" applyFill="1"/>
    <xf numFmtId="0" fontId="10" fillId="3" borderId="11" xfId="0" applyFont="1" applyFill="1" applyBorder="1"/>
    <xf numFmtId="0" fontId="10" fillId="3" borderId="16" xfId="0" applyFont="1" applyFill="1" applyBorder="1"/>
    <xf numFmtId="4" fontId="10" fillId="3" borderId="17" xfId="0" applyNumberFormat="1" applyFont="1" applyFill="1" applyBorder="1"/>
    <xf numFmtId="4" fontId="10" fillId="3" borderId="16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9" xfId="0" applyFont="1" applyFill="1" applyBorder="1"/>
    <xf numFmtId="2" fontId="10" fillId="3" borderId="20" xfId="0" applyNumberFormat="1" applyFont="1" applyFill="1" applyBorder="1"/>
    <xf numFmtId="10" fontId="10" fillId="3" borderId="20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D15F-7FDE-40DA-B264-D66EE952D835}">
  <dimension ref="B1:S36"/>
  <sheetViews>
    <sheetView tabSelected="1" workbookViewId="0">
      <selection activeCell="B6" sqref="B6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3.4257812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9.140625" style="3"/>
    <col min="16" max="16" width="12.42578125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0" t="e" vm="2">
        <v>#VALUE!</v>
      </c>
      <c r="M5" s="20" t="e" vm="1">
        <v>#VALUE!</v>
      </c>
      <c r="N5" s="20" t="e" vm="2">
        <v>#VALUE!</v>
      </c>
      <c r="P5" s="21" t="s">
        <v>15</v>
      </c>
      <c r="Q5" s="22" t="s">
        <v>16</v>
      </c>
      <c r="R5" s="22" t="s">
        <v>17</v>
      </c>
      <c r="S5" s="22" t="s">
        <v>18</v>
      </c>
    </row>
    <row r="6" spans="2:19" ht="24" x14ac:dyDescent="0.2">
      <c r="B6" s="23" t="s">
        <v>19</v>
      </c>
      <c r="C6" s="23" t="s">
        <v>20</v>
      </c>
      <c r="D6" s="23" t="s">
        <v>21</v>
      </c>
      <c r="E6" s="24">
        <v>4000000</v>
      </c>
      <c r="F6" s="25">
        <v>4010.94</v>
      </c>
      <c r="G6" s="25">
        <v>36.85</v>
      </c>
      <c r="H6" s="25">
        <v>6.94</v>
      </c>
      <c r="K6" s="26"/>
      <c r="L6" s="26"/>
      <c r="M6" s="26"/>
      <c r="N6" s="26"/>
      <c r="P6" s="27" t="s">
        <v>22</v>
      </c>
      <c r="Q6" s="28"/>
      <c r="R6" s="28"/>
      <c r="S6" s="28"/>
    </row>
    <row r="7" spans="2:19" x14ac:dyDescent="0.2">
      <c r="B7" s="23" t="s">
        <v>23</v>
      </c>
      <c r="C7" s="23" t="s">
        <v>24</v>
      </c>
      <c r="D7" s="23" t="s">
        <v>21</v>
      </c>
      <c r="E7" s="24">
        <v>2250000</v>
      </c>
      <c r="F7" s="25">
        <v>2258.21</v>
      </c>
      <c r="G7" s="25">
        <v>20.75</v>
      </c>
      <c r="H7" s="25">
        <v>7</v>
      </c>
      <c r="K7" s="26"/>
      <c r="L7" s="26"/>
      <c r="M7" s="26"/>
      <c r="N7" s="26"/>
      <c r="P7" s="29" t="s">
        <v>25</v>
      </c>
      <c r="Q7" s="30"/>
      <c r="R7" s="30"/>
      <c r="S7" s="30"/>
    </row>
    <row r="8" spans="2:19" x14ac:dyDescent="0.2">
      <c r="B8" s="23" t="s">
        <v>26</v>
      </c>
      <c r="C8" s="23" t="s">
        <v>27</v>
      </c>
      <c r="D8" s="23" t="s">
        <v>21</v>
      </c>
      <c r="E8" s="24">
        <v>1500000</v>
      </c>
      <c r="F8" s="25">
        <v>1474.36</v>
      </c>
      <c r="G8" s="25">
        <v>13.55</v>
      </c>
      <c r="H8" s="25">
        <v>6.68</v>
      </c>
      <c r="K8" s="26"/>
      <c r="L8" s="26"/>
      <c r="M8" s="26"/>
      <c r="N8" s="26"/>
      <c r="P8" s="31"/>
      <c r="Q8" s="32"/>
      <c r="R8" s="32"/>
      <c r="S8" s="32"/>
    </row>
    <row r="9" spans="2:19" x14ac:dyDescent="0.2">
      <c r="B9" s="23" t="s">
        <v>28</v>
      </c>
      <c r="C9" s="23" t="s">
        <v>29</v>
      </c>
      <c r="D9" s="23" t="s">
        <v>21</v>
      </c>
      <c r="E9" s="24">
        <v>1250000</v>
      </c>
      <c r="F9" s="25">
        <v>1259.58</v>
      </c>
      <c r="G9" s="25">
        <v>11.57</v>
      </c>
      <c r="H9" s="25">
        <v>7.41</v>
      </c>
      <c r="K9" s="26"/>
      <c r="L9" s="26"/>
      <c r="M9" s="26"/>
      <c r="N9" s="26"/>
      <c r="P9" s="29" t="s">
        <v>30</v>
      </c>
      <c r="Q9" s="30"/>
      <c r="R9" s="30"/>
      <c r="S9" s="30"/>
    </row>
    <row r="10" spans="2:19" x14ac:dyDescent="0.2">
      <c r="B10" s="23" t="s">
        <v>31</v>
      </c>
      <c r="C10" s="23" t="s">
        <v>32</v>
      </c>
      <c r="D10" s="23" t="s">
        <v>21</v>
      </c>
      <c r="E10" s="24">
        <v>650000</v>
      </c>
      <c r="F10" s="25">
        <v>657.15</v>
      </c>
      <c r="G10" s="25">
        <v>6.04</v>
      </c>
      <c r="H10" s="25">
        <v>7.34</v>
      </c>
      <c r="K10" s="26"/>
      <c r="L10" s="26"/>
      <c r="M10" s="26"/>
      <c r="N10" s="26"/>
      <c r="P10" s="31"/>
      <c r="Q10" s="32"/>
      <c r="R10" s="32"/>
      <c r="S10" s="32"/>
    </row>
    <row r="11" spans="2:19" x14ac:dyDescent="0.2">
      <c r="B11" s="23" t="s">
        <v>33</v>
      </c>
      <c r="C11" s="23" t="s">
        <v>34</v>
      </c>
      <c r="D11" s="23" t="s">
        <v>21</v>
      </c>
      <c r="E11" s="24">
        <v>500000</v>
      </c>
      <c r="F11" s="25">
        <v>507.17</v>
      </c>
      <c r="G11" s="25">
        <v>4.66</v>
      </c>
      <c r="H11" s="25">
        <v>6.76</v>
      </c>
      <c r="K11" s="26"/>
      <c r="L11" s="26"/>
      <c r="M11" s="26"/>
      <c r="N11" s="26"/>
      <c r="P11" s="29" t="s">
        <v>35</v>
      </c>
      <c r="Q11" s="30"/>
      <c r="R11" s="33" t="s">
        <v>36</v>
      </c>
      <c r="S11" s="30"/>
    </row>
    <row r="12" spans="2:19" x14ac:dyDescent="0.2">
      <c r="B12" s="23" t="s">
        <v>37</v>
      </c>
      <c r="C12" s="23" t="s">
        <v>38</v>
      </c>
      <c r="D12" s="23" t="s">
        <v>21</v>
      </c>
      <c r="E12" s="24">
        <v>249900</v>
      </c>
      <c r="F12" s="25">
        <v>256.54000000000002</v>
      </c>
      <c r="G12" s="25">
        <v>2.36</v>
      </c>
      <c r="H12" s="25">
        <v>5.81</v>
      </c>
      <c r="K12" s="34"/>
      <c r="L12" s="34"/>
      <c r="M12" s="34"/>
      <c r="N12" s="34"/>
      <c r="P12" s="31"/>
      <c r="Q12" s="32"/>
      <c r="R12" s="35"/>
      <c r="S12" s="32"/>
    </row>
    <row r="13" spans="2:19" x14ac:dyDescent="0.2">
      <c r="B13" s="23" t="s">
        <v>39</v>
      </c>
      <c r="C13" s="23" t="s">
        <v>40</v>
      </c>
      <c r="D13" s="23" t="s">
        <v>21</v>
      </c>
      <c r="E13" s="24">
        <v>71500</v>
      </c>
      <c r="F13" s="25">
        <v>74.099999999999994</v>
      </c>
      <c r="G13" s="25">
        <v>0.68</v>
      </c>
      <c r="H13" s="25">
        <v>6.34</v>
      </c>
      <c r="K13" s="36"/>
      <c r="L13" s="37" t="s">
        <v>41</v>
      </c>
      <c r="M13" s="36"/>
      <c r="N13" s="36"/>
    </row>
    <row r="14" spans="2:19" x14ac:dyDescent="0.2">
      <c r="B14" s="38" t="s">
        <v>42</v>
      </c>
      <c r="C14" s="38" t="s">
        <v>43</v>
      </c>
      <c r="D14" s="38" t="s">
        <v>21</v>
      </c>
      <c r="E14" s="39">
        <v>23200</v>
      </c>
      <c r="F14" s="40">
        <v>23.51</v>
      </c>
      <c r="G14" s="40">
        <v>0.22</v>
      </c>
      <c r="H14" s="40">
        <v>6.51</v>
      </c>
    </row>
    <row r="15" spans="2:19" x14ac:dyDescent="0.2">
      <c r="B15" s="41" t="s">
        <v>44</v>
      </c>
      <c r="C15" s="41"/>
      <c r="D15" s="41"/>
      <c r="E15" s="41"/>
      <c r="F15" s="42">
        <f>SUM(F6:F14)</f>
        <v>10521.560000000001</v>
      </c>
      <c r="G15" s="42">
        <f>SUM(G6:G14)</f>
        <v>96.68</v>
      </c>
      <c r="H15" s="42"/>
      <c r="I15" s="43"/>
    </row>
    <row r="16" spans="2:19" x14ac:dyDescent="0.2">
      <c r="B16" s="44" t="s">
        <v>45</v>
      </c>
      <c r="C16" s="23"/>
      <c r="D16" s="23"/>
      <c r="E16" s="23"/>
      <c r="F16" s="25"/>
      <c r="G16" s="25"/>
      <c r="H16" s="25"/>
    </row>
    <row r="17" spans="2:9" x14ac:dyDescent="0.2">
      <c r="B17" s="38" t="s">
        <v>46</v>
      </c>
      <c r="C17" s="38" t="s">
        <v>47</v>
      </c>
      <c r="D17" s="38" t="s">
        <v>45</v>
      </c>
      <c r="E17" s="39">
        <v>311.14699999999999</v>
      </c>
      <c r="F17" s="40">
        <v>35.43</v>
      </c>
      <c r="G17" s="40">
        <v>0.33</v>
      </c>
      <c r="H17" s="40">
        <v>5.62</v>
      </c>
    </row>
    <row r="18" spans="2:9" x14ac:dyDescent="0.2">
      <c r="B18" s="41" t="s">
        <v>44</v>
      </c>
      <c r="C18" s="41"/>
      <c r="D18" s="41"/>
      <c r="E18" s="41"/>
      <c r="F18" s="42">
        <f>SUM(F17:F17)</f>
        <v>35.43</v>
      </c>
      <c r="G18" s="42">
        <f>SUM(G17:G17)</f>
        <v>0.33</v>
      </c>
      <c r="H18" s="42"/>
      <c r="I18" s="43"/>
    </row>
    <row r="19" spans="2:9" x14ac:dyDescent="0.2">
      <c r="B19" s="44" t="s">
        <v>48</v>
      </c>
      <c r="C19" s="23"/>
      <c r="D19" s="23"/>
      <c r="E19" s="23"/>
      <c r="F19" s="25"/>
      <c r="G19" s="25"/>
      <c r="H19" s="25"/>
    </row>
    <row r="20" spans="2:9" x14ac:dyDescent="0.2">
      <c r="B20" s="23" t="s">
        <v>48</v>
      </c>
      <c r="C20" s="23"/>
      <c r="D20" s="23"/>
      <c r="E20" s="23"/>
      <c r="F20" s="25">
        <v>110.08</v>
      </c>
      <c r="G20" s="25">
        <v>1.01</v>
      </c>
      <c r="H20" s="25"/>
    </row>
    <row r="21" spans="2:9" x14ac:dyDescent="0.2">
      <c r="B21" s="45" t="s">
        <v>49</v>
      </c>
      <c r="C21" s="45"/>
      <c r="D21" s="45"/>
      <c r="E21" s="45"/>
      <c r="F21" s="46">
        <f>SUM(F19:F20)</f>
        <v>110.08</v>
      </c>
      <c r="G21" s="46">
        <f>SUM(G19:G20)</f>
        <v>1.01</v>
      </c>
      <c r="H21" s="47"/>
      <c r="I21" s="43"/>
    </row>
    <row r="22" spans="2:9" x14ac:dyDescent="0.2">
      <c r="B22" s="48" t="s">
        <v>44</v>
      </c>
      <c r="C22" s="48"/>
      <c r="D22" s="48"/>
      <c r="E22" s="48"/>
      <c r="F22" s="49">
        <f>F21</f>
        <v>110.08</v>
      </c>
      <c r="G22" s="49">
        <f>G21</f>
        <v>1.01</v>
      </c>
      <c r="H22" s="49"/>
      <c r="I22" s="43"/>
    </row>
    <row r="23" spans="2:9" x14ac:dyDescent="0.2">
      <c r="B23" s="50" t="s">
        <v>50</v>
      </c>
      <c r="C23" s="50"/>
      <c r="D23" s="50"/>
      <c r="E23" s="50"/>
      <c r="F23" s="51">
        <f>F24-(+F15+F18+F22)</f>
        <v>217.59999999999854</v>
      </c>
      <c r="G23" s="51">
        <f>G24-(+G15+G18+G22)</f>
        <v>1.9799999999999898</v>
      </c>
      <c r="H23" s="51"/>
      <c r="I23" s="43"/>
    </row>
    <row r="24" spans="2:9" x14ac:dyDescent="0.2">
      <c r="B24" s="50" t="s">
        <v>51</v>
      </c>
      <c r="C24" s="50"/>
      <c r="D24" s="50"/>
      <c r="E24" s="50"/>
      <c r="F24" s="51">
        <v>10884.67</v>
      </c>
      <c r="G24" s="51">
        <v>100</v>
      </c>
      <c r="H24" s="51"/>
      <c r="I24" s="43"/>
    </row>
    <row r="26" spans="2:9" x14ac:dyDescent="0.2">
      <c r="B26" s="43"/>
    </row>
    <row r="27" spans="2:9" ht="12.75" thickBot="1" x14ac:dyDescent="0.25"/>
    <row r="28" spans="2:9" ht="13.5" thickTop="1" thickBot="1" x14ac:dyDescent="0.25">
      <c r="B28" s="52" t="s">
        <v>52</v>
      </c>
      <c r="C28" s="53">
        <v>6.6086</v>
      </c>
    </row>
    <row r="29" spans="2:9" ht="13.5" thickTop="1" thickBot="1" x14ac:dyDescent="0.25"/>
    <row r="30" spans="2:9" ht="13.5" thickTop="1" thickBot="1" x14ac:dyDescent="0.25">
      <c r="B30" s="52" t="s">
        <v>53</v>
      </c>
      <c r="C30" s="54">
        <v>6.9099999999999995E-2</v>
      </c>
    </row>
    <row r="31" spans="2:9" ht="13.5" thickTop="1" thickBot="1" x14ac:dyDescent="0.25"/>
    <row r="32" spans="2:9" ht="13.5" thickTop="1" thickBot="1" x14ac:dyDescent="0.25">
      <c r="B32" s="52" t="s">
        <v>54</v>
      </c>
      <c r="C32" s="53">
        <v>6.8731999999999998</v>
      </c>
    </row>
    <row r="33" spans="2:2" ht="12.75" thickTop="1" x14ac:dyDescent="0.2"/>
    <row r="34" spans="2:2" x14ac:dyDescent="0.2">
      <c r="B34" s="43" t="s">
        <v>55</v>
      </c>
    </row>
    <row r="36" spans="2:2" ht="15" x14ac:dyDescent="0.25">
      <c r="B36" s="55" t="s">
        <v>56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36" r:id="rId1" display="https://apc01.safelinks.protection.outlook.com/?url=https%3A%2F%2Fwww.canararobeco.com%2Fimages%2Fdefault-source%2Fdefault-album%2FScheme_Performance_September_25.pdf&amp;data=05%7C02%7C%7C4ae95413159841e822d808de0575e26b%7C6fa82c0314f040c8895a63736b6313f0%7C0%7C0%7C638954201079550129%7CUnknown%7CTWFpbGZsb3d8eyJFbXB0eU1hcGkiOnRydWUsIlYiOiIwLjAuMDAwMCIsIlAiOiJXaW4zMiIsIkFOIjoiTWFpbCIsIldUIjoyfQ%3D%3D%7C0%7C%7C%7C&amp;sdata=WB1qq6mgP3ljsqTDZLskoc3lQPLlpUZZn2LV9ydbelc%3D&amp;reserved=0" xr:uid="{234A8C81-BC06-46EC-8D02-4472E9FD2D02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2025-10-09 11:52:07</KDate>
  <Classification>MIS Internal</Classification>
  <Subclassification/>
  <HostName>MUMCMP01323</HostName>
  <Domain_User>CANARAROBECOMF/628</Domain_User>
  <IPAdd>192.9.198.196</IPAdd>
  <FilePath>Book16</FilePath>
  <KID>109819A0F0A5638956075270114320</KID>
  <UniqueName/>
  <Suggested/>
  <Justification/>
</Klassify>
</file>

<file path=customXml/itemProps1.xml><?xml version="1.0" encoding="utf-8"?>
<ds:datastoreItem xmlns:ds="http://schemas.openxmlformats.org/officeDocument/2006/customXml" ds:itemID="{C840F60E-9729-4051-B415-A3586CCFF6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2025-10-09T06:22:05Z</dcterms:created>
  <dcterms:modified xsi:type="dcterms:W3CDTF">2025-10-09T06:22:07Z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109819A0F0A5638956075270114320</vt:lpwstr>
  </property>
</Properties>
</file>