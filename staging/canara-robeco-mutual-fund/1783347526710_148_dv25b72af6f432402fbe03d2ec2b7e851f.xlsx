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0" i="1" l="1"/>
  <c r="G69" i="1"/>
  <c r="F69" i="1"/>
  <c r="F70" i="1" s="1"/>
  <c r="G66" i="1"/>
  <c r="G71" i="1" s="1"/>
  <c r="G65" i="1"/>
  <c r="F65" i="1"/>
  <c r="F66" i="1" s="1"/>
  <c r="F71" i="1" s="1"/>
</calcChain>
</file>

<file path=xl/sharedStrings.xml><?xml version="1.0" encoding="utf-8"?>
<sst xmlns="http://schemas.openxmlformats.org/spreadsheetml/2006/main" count="265" uniqueCount="172">
  <si>
    <t>CANARA ROBECO FLEXICAP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</si>
  <si>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</si>
  <si>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</si>
  <si>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</si>
  <si>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</si>
  <si>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</si>
  <si>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</si>
  <si>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</si>
  <si>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</si>
  <si>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Jan'23</t>
  </si>
  <si>
    <t>Benchmark Risk-o-meter Level- Jan'23</t>
  </si>
  <si>
    <t>Previous Scheme Risk-o-meter Level- Dec'22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</si>
  <si>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</si>
  <si>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</si>
  <si>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</si>
  <si>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</si>
  <si>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</si>
  <si>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</si>
  <si>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</si>
  <si>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</si>
  <si>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</si>
  <si>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</si>
  <si>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</si>
  <si>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</si>
  <si>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</si>
  <si>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</si>
  <si>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</si>
  <si>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</si>
  <si>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</si>
  <si>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</si>
  <si>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Hindustan Unilever Ltd</t>
  </si>
  <si>
    <t>INE030A01027</t>
  </si>
  <si>
    <t>Diversified Fmcg</t>
  </si>
  <si>
    <t>Benchmark: S&amp;P BSE 500 TRI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</si>
  <si>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</si>
  <si>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</si>
  <si>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</si>
  <si>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</si>
  <si>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</si>
  <si>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</si>
  <si>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Sun Pharmaceutical Industries Ltd</t>
  </si>
  <si>
    <t>INE044A01036</t>
  </si>
  <si>
    <t>Pharmaceuticals &amp; Biotechnology</t>
  </si>
  <si>
    <t>Bajaj Finance Ltd</t>
  </si>
  <si>
    <t>INE296A01024</t>
  </si>
  <si>
    <t>Finance</t>
  </si>
  <si>
    <t>Tata Consultancy Services Ltd</t>
  </si>
  <si>
    <t>INE467B01029</t>
  </si>
  <si>
    <t>Ultratech Cement Ltd</t>
  </si>
  <si>
    <t>INE481G01011</t>
  </si>
  <si>
    <t>Cement &amp; Cement Products</t>
  </si>
  <si>
    <t>Maruti Suzuki India Ltd</t>
  </si>
  <si>
    <t>INE585B01010</t>
  </si>
  <si>
    <t>Automobiles</t>
  </si>
  <si>
    <t>Kotak Mahindra Bank Ltd</t>
  </si>
  <si>
    <t>INE237A01028</t>
  </si>
  <si>
    <t>Max Healthcare Institute Ltd</t>
  </si>
  <si>
    <t>INE027H01010</t>
  </si>
  <si>
    <t>Healthcare Services</t>
  </si>
  <si>
    <t>Mid Cap</t>
  </si>
  <si>
    <t>Indian Hotels Co Ltd</t>
  </si>
  <si>
    <t>INE053A01029</t>
  </si>
  <si>
    <t>Leisure Services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</si>
  <si>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</si>
  <si>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</si>
  <si>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</si>
  <si>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</si>
  <si>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</si>
  <si>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</si>
  <si>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Mahindra &amp; Mahindra Ltd</t>
  </si>
  <si>
    <t>INE101A01026</t>
  </si>
  <si>
    <t>NTPC Ltd</t>
  </si>
  <si>
    <t>INE733E01010</t>
  </si>
  <si>
    <t>Power</t>
  </si>
  <si>
    <t>Cholamandalam Investment and Finance Co Ltd</t>
  </si>
  <si>
    <t>INE121A01024</t>
  </si>
  <si>
    <t>Titan Co Ltd</t>
  </si>
  <si>
    <t>INE280A01028</t>
  </si>
  <si>
    <t>Consumer Durables</t>
  </si>
  <si>
    <t>Atul Ltd</t>
  </si>
  <si>
    <t>INE100A01010</t>
  </si>
  <si>
    <t>Chemicals &amp; Petrochemicals</t>
  </si>
  <si>
    <t>Tata Motors Ltd</t>
  </si>
  <si>
    <t>INE155A01022</t>
  </si>
  <si>
    <t>KEI Industries Ltd</t>
  </si>
  <si>
    <t>INE878B01027</t>
  </si>
  <si>
    <t>Industrial Products</t>
  </si>
  <si>
    <t>Small Cap</t>
  </si>
  <si>
    <t>J.K. Cement Ltd</t>
  </si>
  <si>
    <t>INE823G01014</t>
  </si>
  <si>
    <t>Britannia Industries Ltd</t>
  </si>
  <si>
    <t>INE216A01030</t>
  </si>
  <si>
    <t>Food Products</t>
  </si>
  <si>
    <t>Navin Fluorine International Ltd</t>
  </si>
  <si>
    <t>INE048G01026</t>
  </si>
  <si>
    <t>ABB India Ltd</t>
  </si>
  <si>
    <t>INE117A01022</t>
  </si>
  <si>
    <t>Electrical Equipment</t>
  </si>
  <si>
    <t>IndusInd Bank Ltd</t>
  </si>
  <si>
    <t>INE095A01012</t>
  </si>
  <si>
    <t>PI Industries Ltd</t>
  </si>
  <si>
    <t>INE603J01030</t>
  </si>
  <si>
    <t>Fertilizers &amp; Agrochemicals</t>
  </si>
  <si>
    <t>Oberoi Realty Ltd</t>
  </si>
  <si>
    <t>INE093I01010</t>
  </si>
  <si>
    <t>Realty</t>
  </si>
  <si>
    <t>Mphasis Ltd</t>
  </si>
  <si>
    <t>INE356A01018</t>
  </si>
  <si>
    <t>Tata Consumer Products Ltd</t>
  </si>
  <si>
    <t>INE192A01025</t>
  </si>
  <si>
    <t>Agricultural Food &amp; Other Products</t>
  </si>
  <si>
    <t>Abbott India Ltd</t>
  </si>
  <si>
    <t>INE358A01014</t>
  </si>
  <si>
    <t>SBI Life Insurance Co Ltd</t>
  </si>
  <si>
    <t>INE123W01016</t>
  </si>
  <si>
    <t>Insurance</t>
  </si>
  <si>
    <t>Vinati Organics Ltd</t>
  </si>
  <si>
    <t>INE410B01037</t>
  </si>
  <si>
    <t>Avenue Supermarts Ltd</t>
  </si>
  <si>
    <t>INE192R01011</t>
  </si>
  <si>
    <t>Retailing</t>
  </si>
  <si>
    <t>Samvardhana Motherson International Ltd</t>
  </si>
  <si>
    <t>INE775A01035</t>
  </si>
  <si>
    <t>TCI Express Ltd</t>
  </si>
  <si>
    <t>INE586V01016</t>
  </si>
  <si>
    <t>Transport Services</t>
  </si>
  <si>
    <t>Polycab India Ltd</t>
  </si>
  <si>
    <t>INE455K01017</t>
  </si>
  <si>
    <t>SBI Cards and Payment Services Ltd</t>
  </si>
  <si>
    <t>INE018E01016</t>
  </si>
  <si>
    <t>Sona Blw Precision Forgings Ltd</t>
  </si>
  <si>
    <t>INE073K01018</t>
  </si>
  <si>
    <t>Gujarat Gas Ltd</t>
  </si>
  <si>
    <t>INE844O01030</t>
  </si>
  <si>
    <t>Gas</t>
  </si>
  <si>
    <t>Tata Steel Ltd</t>
  </si>
  <si>
    <t>INE081A01020</t>
  </si>
  <si>
    <t>Ferrous Metals</t>
  </si>
  <si>
    <t>Max Financial Services Ltd</t>
  </si>
  <si>
    <t>INE180A01020</t>
  </si>
  <si>
    <t>Hindalco Industries Ltd</t>
  </si>
  <si>
    <t>INE038A01020</t>
  </si>
  <si>
    <t>Non - Ferrous Metals</t>
  </si>
  <si>
    <t>Bata India Ltd</t>
  </si>
  <si>
    <t>INE176A01028</t>
  </si>
  <si>
    <t>IPCA Laboratories Ltd</t>
  </si>
  <si>
    <t>INE571A01038</t>
  </si>
  <si>
    <t>Honeywell Automation India Ltd</t>
  </si>
  <si>
    <t>INE671A01010</t>
  </si>
  <si>
    <t>Industrial Manufacturing</t>
  </si>
  <si>
    <t>HCL Technologies Ltd</t>
  </si>
  <si>
    <t>INE860A01027</t>
  </si>
  <si>
    <t>CG Power and Industrial Solutions Ltd</t>
  </si>
  <si>
    <t>INE067A01029</t>
  </si>
  <si>
    <t>ITC Ltd</t>
  </si>
  <si>
    <t>INE154A01025</t>
  </si>
  <si>
    <t>Global Health Ltd</t>
  </si>
  <si>
    <t>INE474Q01031</t>
  </si>
  <si>
    <t>Gland Pharma Ltd</t>
  </si>
  <si>
    <t>INE068V01023</t>
  </si>
  <si>
    <t>Vedant Fashions Ltd</t>
  </si>
  <si>
    <t>INE825V01034</t>
  </si>
  <si>
    <t>Asian Paints Ltd</t>
  </si>
  <si>
    <t>INE021A01026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</si>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</sst>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0" fontId="3" fillId="3" borderId="10" xfId="0" applyFont="1" applyFill="1" applyBorder="1"/>
    <xf numFmtId="43" fontId="3" fillId="3" borderId="11" xfId="1" applyFont="1" applyFill="1" applyBorder="1" applyAlignment="1">
      <alignment horizontal="center"/>
    </xf>
    <xf numFmtId="43" fontId="3" fillId="3" borderId="6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7" xfId="0" applyFont="1" applyFill="1" applyBorder="1"/>
    <xf numFmtId="3" fontId="3" fillId="3" borderId="8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0" fontId="3" fillId="3" borderId="21" xfId="0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4" fontId="3" fillId="3" borderId="26" xfId="0" applyNumberFormat="1" applyFont="1" applyFill="1" applyBorder="1"/>
    <xf numFmtId="0" fontId="9" fillId="3" borderId="27" xfId="0" applyFont="1" applyFill="1" applyBorder="1"/>
    <xf numFmtId="4" fontId="9" fillId="3" borderId="27" xfId="0" applyNumberFormat="1" applyFont="1" applyFill="1" applyBorder="1"/>
    <xf numFmtId="4" fontId="9" fillId="3" borderId="28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49" fontId="10" fillId="4" borderId="30" xfId="0" applyNumberFormat="1" applyFont="1" applyFill="1" applyBorder="1"/>
    <xf numFmtId="2" fontId="10" fillId="0" borderId="3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93458</xdr:colOff>
      <xdr:row>4</xdr:row>
      <xdr:rowOff>39311</xdr:rowOff>
    </xdr:from>
    <xdr:to>
      <xdr:col>10</xdr:col>
      <xdr:colOff>1990725</xdr:colOff>
      <xdr:row>11</xdr:row>
      <xdr:rowOff>90178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A21E3-768F-4A56-B6BC-CE0A65154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18958" y="1058486"/>
          <a:ext cx="1897267" cy="1117667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20723463-0E67-4377-A956-83ED6065F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50859" y="1069327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9</xdr:col>
      <xdr:colOff>222023</xdr:colOff>
      <xdr:row>4</xdr:row>
      <xdr:rowOff>51513</xdr:rowOff>
    </xdr:from>
    <xdr:to>
      <xdr:col>9</xdr:col>
      <xdr:colOff>1924050</xdr:colOff>
      <xdr:row>11</xdr:row>
      <xdr:rowOff>83979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46FD00-DA61-40AB-A891-D4E2D720B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5348" y="1070688"/>
          <a:ext cx="1702027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6"/>
  <sheetViews>
    <sheetView tabSelected="1" workbookViewId="0">
      <selection activeCell="A4" sqref="A4"/>
    </sheetView>
  </sheetViews>
  <sheetFormatPr defaultColWidth="13.7109375" defaultRowHeight="12"/>
  <cols>
    <col min="1" max="1" width="13.7109375" style="4" customWidth="1"/>
    <col min="2" max="2" width="58.42578125" style="4" bestFit="1" customWidth="1"/>
    <col min="3" max="3" width="13.5703125" style="4" bestFit="1" customWidth="1"/>
    <col min="4" max="4" width="28.42578125" style="4" bestFit="1" customWidth="1"/>
    <col min="5" max="5" width="9.85546875" style="4" bestFit="1" customWidth="1"/>
    <col min="6" max="6" width="15.28515625" style="50" bestFit="1" customWidth="1"/>
    <col min="7" max="7" width="7.42578125" style="50" bestFit="1" customWidth="1"/>
    <col min="8" max="8" width="13.7109375" style="4" customWidth="1"/>
    <col min="9" max="9" width="10" style="3" bestFit="1" customWidth="1"/>
    <col min="10" max="10" width="32.42578125" style="3" customWidth="1"/>
    <col min="11" max="11" width="31.42578125" style="3" customWidth="1"/>
    <col min="12" max="12" width="33.42578125" style="3" customWidth="1"/>
    <col min="13" max="16384" width="13.710937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.75" thickBot="1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6"/>
      <c r="F5" s="17"/>
      <c r="G5" s="18"/>
      <c r="H5" s="19"/>
      <c r="J5" s="20"/>
      <c r="K5" s="21"/>
      <c r="L5" s="22"/>
    </row>
    <row r="6" spans="2:12">
      <c r="B6" s="15" t="s">
        <v>13</v>
      </c>
      <c r="C6" s="16"/>
      <c r="D6" s="16"/>
      <c r="E6" s="16"/>
      <c r="F6" s="17"/>
      <c r="G6" s="18"/>
      <c r="H6" s="19"/>
      <c r="J6" s="23"/>
      <c r="K6" s="24"/>
      <c r="L6" s="25"/>
    </row>
    <row r="7" spans="2:12">
      <c r="B7" s="26" t="s">
        <v>14</v>
      </c>
      <c r="C7" s="16" t="s">
        <v>15</v>
      </c>
      <c r="D7" s="16" t="s">
        <v>16</v>
      </c>
      <c r="E7" s="27">
        <v>5082340</v>
      </c>
      <c r="F7" s="17">
        <v>81495.320000000007</v>
      </c>
      <c r="G7" s="18">
        <v>9.4700000000000006</v>
      </c>
      <c r="H7" s="19" t="s">
        <v>17</v>
      </c>
      <c r="J7" s="23"/>
      <c r="K7" s="24"/>
      <c r="L7" s="25"/>
    </row>
    <row r="8" spans="2:12">
      <c r="B8" s="26" t="s">
        <v>18</v>
      </c>
      <c r="C8" s="16" t="s">
        <v>19</v>
      </c>
      <c r="D8" s="16" t="s">
        <v>16</v>
      </c>
      <c r="E8" s="27">
        <v>7750550</v>
      </c>
      <c r="F8" s="17">
        <v>64476.83</v>
      </c>
      <c r="G8" s="18">
        <v>7.49</v>
      </c>
      <c r="H8" s="19" t="s">
        <v>17</v>
      </c>
      <c r="J8" s="23"/>
      <c r="K8" s="24"/>
      <c r="L8" s="25"/>
    </row>
    <row r="9" spans="2:12">
      <c r="B9" s="26" t="s">
        <v>20</v>
      </c>
      <c r="C9" s="16" t="s">
        <v>21</v>
      </c>
      <c r="D9" s="16" t="s">
        <v>22</v>
      </c>
      <c r="E9" s="27">
        <v>3559688</v>
      </c>
      <c r="F9" s="17">
        <v>54596.71</v>
      </c>
      <c r="G9" s="18">
        <v>6.34</v>
      </c>
      <c r="H9" s="19" t="s">
        <v>17</v>
      </c>
      <c r="J9" s="23"/>
      <c r="K9" s="24"/>
      <c r="L9" s="25"/>
    </row>
    <row r="10" spans="2:12">
      <c r="B10" s="26" t="s">
        <v>23</v>
      </c>
      <c r="C10" s="16" t="s">
        <v>24</v>
      </c>
      <c r="D10" s="16" t="s">
        <v>25</v>
      </c>
      <c r="E10" s="27">
        <v>1652400</v>
      </c>
      <c r="F10" s="17">
        <v>38895.019999999997</v>
      </c>
      <c r="G10" s="18">
        <v>4.5199999999999996</v>
      </c>
      <c r="H10" s="19" t="s">
        <v>17</v>
      </c>
      <c r="J10" s="23"/>
      <c r="K10" s="24"/>
      <c r="L10" s="25"/>
    </row>
    <row r="11" spans="2:12">
      <c r="B11" s="26" t="s">
        <v>26</v>
      </c>
      <c r="C11" s="16" t="s">
        <v>27</v>
      </c>
      <c r="D11" s="16" t="s">
        <v>16</v>
      </c>
      <c r="E11" s="27">
        <v>6097000</v>
      </c>
      <c r="F11" s="17">
        <v>33746.9</v>
      </c>
      <c r="G11" s="18">
        <v>3.92</v>
      </c>
      <c r="H11" s="19" t="s">
        <v>17</v>
      </c>
      <c r="J11" s="23"/>
      <c r="K11" s="24"/>
      <c r="L11" s="25"/>
    </row>
    <row r="12" spans="2:12">
      <c r="B12" s="26" t="s">
        <v>28</v>
      </c>
      <c r="C12" s="16" t="s">
        <v>29</v>
      </c>
      <c r="D12" s="16" t="s">
        <v>16</v>
      </c>
      <c r="E12" s="27">
        <v>3278600</v>
      </c>
      <c r="F12" s="17">
        <v>28576.28</v>
      </c>
      <c r="G12" s="18">
        <v>3.32</v>
      </c>
      <c r="H12" s="19" t="s">
        <v>17</v>
      </c>
      <c r="J12" s="28"/>
      <c r="K12" s="29"/>
      <c r="L12" s="30"/>
    </row>
    <row r="13" spans="2:12">
      <c r="B13" s="26" t="s">
        <v>30</v>
      </c>
      <c r="C13" s="16" t="s">
        <v>31</v>
      </c>
      <c r="D13" s="16" t="s">
        <v>32</v>
      </c>
      <c r="E13" s="27">
        <v>1057400</v>
      </c>
      <c r="F13" s="17">
        <v>27246.55</v>
      </c>
      <c r="G13" s="18">
        <v>3.16</v>
      </c>
      <c r="H13" s="19" t="s">
        <v>17</v>
      </c>
      <c r="K13" s="4" t="s">
        <v>33</v>
      </c>
    </row>
    <row r="14" spans="2:12">
      <c r="B14" s="26" t="s">
        <v>34</v>
      </c>
      <c r="C14" s="16" t="s">
        <v>35</v>
      </c>
      <c r="D14" s="16" t="s">
        <v>36</v>
      </c>
      <c r="E14" s="27">
        <v>1197157</v>
      </c>
      <c r="F14" s="17">
        <v>25432.400000000001</v>
      </c>
      <c r="G14" s="18">
        <v>2.95</v>
      </c>
      <c r="H14" s="19" t="s">
        <v>17</v>
      </c>
    </row>
    <row r="15" spans="2:12">
      <c r="B15" s="26" t="s">
        <v>37</v>
      </c>
      <c r="C15" s="16" t="s">
        <v>38</v>
      </c>
      <c r="D15" s="16" t="s">
        <v>39</v>
      </c>
      <c r="E15" s="27">
        <v>2737334</v>
      </c>
      <c r="F15" s="17">
        <v>21085.68</v>
      </c>
      <c r="G15" s="18">
        <v>2.4500000000000002</v>
      </c>
      <c r="H15" s="19" t="s">
        <v>17</v>
      </c>
    </row>
    <row r="16" spans="2:12">
      <c r="B16" s="26" t="s">
        <v>40</v>
      </c>
      <c r="C16" s="16" t="s">
        <v>41</v>
      </c>
      <c r="D16" s="16" t="s">
        <v>42</v>
      </c>
      <c r="E16" s="27">
        <v>1930000</v>
      </c>
      <c r="F16" s="17">
        <v>19965.849999999999</v>
      </c>
      <c r="G16" s="18">
        <v>2.3199999999999998</v>
      </c>
      <c r="H16" s="19" t="s">
        <v>17</v>
      </c>
    </row>
    <row r="17" spans="2:8">
      <c r="B17" s="26" t="s">
        <v>43</v>
      </c>
      <c r="C17" s="16" t="s">
        <v>44</v>
      </c>
      <c r="D17" s="16" t="s">
        <v>45</v>
      </c>
      <c r="E17" s="27">
        <v>326535</v>
      </c>
      <c r="F17" s="17">
        <v>19221.16</v>
      </c>
      <c r="G17" s="18">
        <v>2.23</v>
      </c>
      <c r="H17" s="19" t="s">
        <v>17</v>
      </c>
    </row>
    <row r="18" spans="2:8">
      <c r="B18" s="26" t="s">
        <v>46</v>
      </c>
      <c r="C18" s="16" t="s">
        <v>47</v>
      </c>
      <c r="D18" s="16" t="s">
        <v>22</v>
      </c>
      <c r="E18" s="27">
        <v>567813</v>
      </c>
      <c r="F18" s="17">
        <v>19071.14</v>
      </c>
      <c r="G18" s="18">
        <v>2.2200000000000002</v>
      </c>
      <c r="H18" s="19" t="s">
        <v>17</v>
      </c>
    </row>
    <row r="19" spans="2:8">
      <c r="B19" s="26" t="s">
        <v>48</v>
      </c>
      <c r="C19" s="16" t="s">
        <v>49</v>
      </c>
      <c r="D19" s="16" t="s">
        <v>50</v>
      </c>
      <c r="E19" s="27">
        <v>257471</v>
      </c>
      <c r="F19" s="17">
        <v>18243.240000000002</v>
      </c>
      <c r="G19" s="18">
        <v>2.12</v>
      </c>
      <c r="H19" s="19" t="s">
        <v>17</v>
      </c>
    </row>
    <row r="20" spans="2:8">
      <c r="B20" s="26" t="s">
        <v>51</v>
      </c>
      <c r="C20" s="16" t="s">
        <v>52</v>
      </c>
      <c r="D20" s="16" t="s">
        <v>53</v>
      </c>
      <c r="E20" s="27">
        <v>178826</v>
      </c>
      <c r="F20" s="17">
        <v>15907.11</v>
      </c>
      <c r="G20" s="18">
        <v>1.85</v>
      </c>
      <c r="H20" s="19" t="s">
        <v>17</v>
      </c>
    </row>
    <row r="21" spans="2:8">
      <c r="B21" s="26" t="s">
        <v>54</v>
      </c>
      <c r="C21" s="16" t="s">
        <v>55</v>
      </c>
      <c r="D21" s="16" t="s">
        <v>16</v>
      </c>
      <c r="E21" s="27">
        <v>851651</v>
      </c>
      <c r="F21" s="17">
        <v>14742.08</v>
      </c>
      <c r="G21" s="18">
        <v>1.71</v>
      </c>
      <c r="H21" s="19" t="s">
        <v>17</v>
      </c>
    </row>
    <row r="22" spans="2:8">
      <c r="B22" s="26" t="s">
        <v>56</v>
      </c>
      <c r="C22" s="16" t="s">
        <v>57</v>
      </c>
      <c r="D22" s="16" t="s">
        <v>58</v>
      </c>
      <c r="E22" s="27">
        <v>3065880</v>
      </c>
      <c r="F22" s="17">
        <v>13541.99</v>
      </c>
      <c r="G22" s="18">
        <v>1.57</v>
      </c>
      <c r="H22" s="19" t="s">
        <v>59</v>
      </c>
    </row>
    <row r="23" spans="2:8">
      <c r="B23" s="26" t="s">
        <v>60</v>
      </c>
      <c r="C23" s="16" t="s">
        <v>61</v>
      </c>
      <c r="D23" s="16" t="s">
        <v>62</v>
      </c>
      <c r="E23" s="27">
        <v>4310623</v>
      </c>
      <c r="F23" s="17">
        <v>12974.98</v>
      </c>
      <c r="G23" s="18">
        <v>1.51</v>
      </c>
      <c r="H23" s="19" t="s">
        <v>59</v>
      </c>
    </row>
    <row r="24" spans="2:8">
      <c r="B24" s="26" t="s">
        <v>63</v>
      </c>
      <c r="C24" s="16" t="s">
        <v>64</v>
      </c>
      <c r="D24" s="16" t="s">
        <v>65</v>
      </c>
      <c r="E24" s="27">
        <v>2658750</v>
      </c>
      <c r="F24" s="17">
        <v>12974.7</v>
      </c>
      <c r="G24" s="18">
        <v>1.51</v>
      </c>
      <c r="H24" s="19" t="s">
        <v>59</v>
      </c>
    </row>
    <row r="25" spans="2:8">
      <c r="B25" s="26" t="s">
        <v>66</v>
      </c>
      <c r="C25" s="16" t="s">
        <v>67</v>
      </c>
      <c r="D25" s="16" t="s">
        <v>68</v>
      </c>
      <c r="E25" s="27">
        <v>13550000</v>
      </c>
      <c r="F25" s="17">
        <v>12865.73</v>
      </c>
      <c r="G25" s="18">
        <v>1.49</v>
      </c>
      <c r="H25" s="19" t="s">
        <v>17</v>
      </c>
    </row>
    <row r="26" spans="2:8">
      <c r="B26" s="26" t="s">
        <v>69</v>
      </c>
      <c r="C26" s="16" t="s">
        <v>70</v>
      </c>
      <c r="D26" s="16" t="s">
        <v>53</v>
      </c>
      <c r="E26" s="27">
        <v>910000</v>
      </c>
      <c r="F26" s="17">
        <v>12546.63</v>
      </c>
      <c r="G26" s="18">
        <v>1.46</v>
      </c>
      <c r="H26" s="19" t="s">
        <v>17</v>
      </c>
    </row>
    <row r="27" spans="2:8">
      <c r="B27" s="26" t="s">
        <v>71</v>
      </c>
      <c r="C27" s="16" t="s">
        <v>72</v>
      </c>
      <c r="D27" s="16" t="s">
        <v>73</v>
      </c>
      <c r="E27" s="27">
        <v>6950000</v>
      </c>
      <c r="F27" s="17">
        <v>11894.93</v>
      </c>
      <c r="G27" s="18">
        <v>1.38</v>
      </c>
      <c r="H27" s="19" t="s">
        <v>17</v>
      </c>
    </row>
    <row r="28" spans="2:8">
      <c r="B28" s="26" t="s">
        <v>74</v>
      </c>
      <c r="C28" s="16" t="s">
        <v>75</v>
      </c>
      <c r="D28" s="16" t="s">
        <v>45</v>
      </c>
      <c r="E28" s="27">
        <v>1625000</v>
      </c>
      <c r="F28" s="17">
        <v>11487.94</v>
      </c>
      <c r="G28" s="18">
        <v>1.33</v>
      </c>
      <c r="H28" s="19" t="s">
        <v>17</v>
      </c>
    </row>
    <row r="29" spans="2:8">
      <c r="B29" s="26" t="s">
        <v>76</v>
      </c>
      <c r="C29" s="16" t="s">
        <v>77</v>
      </c>
      <c r="D29" s="16" t="s">
        <v>78</v>
      </c>
      <c r="E29" s="27">
        <v>476800</v>
      </c>
      <c r="F29" s="17">
        <v>11334.25</v>
      </c>
      <c r="G29" s="18">
        <v>1.32</v>
      </c>
      <c r="H29" s="19" t="s">
        <v>17</v>
      </c>
    </row>
    <row r="30" spans="2:8">
      <c r="B30" s="26" t="s">
        <v>79</v>
      </c>
      <c r="C30" s="16" t="s">
        <v>80</v>
      </c>
      <c r="D30" s="16" t="s">
        <v>81</v>
      </c>
      <c r="E30" s="27">
        <v>144552</v>
      </c>
      <c r="F30" s="17">
        <v>10313.129999999999</v>
      </c>
      <c r="G30" s="18">
        <v>1.2</v>
      </c>
      <c r="H30" s="19" t="s">
        <v>59</v>
      </c>
    </row>
    <row r="31" spans="2:8">
      <c r="B31" s="26" t="s">
        <v>82</v>
      </c>
      <c r="C31" s="16" t="s">
        <v>83</v>
      </c>
      <c r="D31" s="16" t="s">
        <v>53</v>
      </c>
      <c r="E31" s="27">
        <v>2217500</v>
      </c>
      <c r="F31" s="17">
        <v>10025.32</v>
      </c>
      <c r="G31" s="18">
        <v>1.1599999999999999</v>
      </c>
      <c r="H31" s="19" t="s">
        <v>17</v>
      </c>
    </row>
    <row r="32" spans="2:8">
      <c r="B32" s="26" t="s">
        <v>84</v>
      </c>
      <c r="C32" s="16" t="s">
        <v>85</v>
      </c>
      <c r="D32" s="16" t="s">
        <v>86</v>
      </c>
      <c r="E32" s="27">
        <v>604468</v>
      </c>
      <c r="F32" s="17">
        <v>9766.09</v>
      </c>
      <c r="G32" s="18">
        <v>1.1299999999999999</v>
      </c>
      <c r="H32" s="19" t="s">
        <v>87</v>
      </c>
    </row>
    <row r="33" spans="2:8">
      <c r="B33" s="26" t="s">
        <v>88</v>
      </c>
      <c r="C33" s="16" t="s">
        <v>89</v>
      </c>
      <c r="D33" s="16" t="s">
        <v>50</v>
      </c>
      <c r="E33" s="27">
        <v>359625</v>
      </c>
      <c r="F33" s="17">
        <v>9746.3799999999992</v>
      </c>
      <c r="G33" s="18">
        <v>1.1299999999999999</v>
      </c>
      <c r="H33" s="19" t="s">
        <v>59</v>
      </c>
    </row>
    <row r="34" spans="2:8">
      <c r="B34" s="26" t="s">
        <v>90</v>
      </c>
      <c r="C34" s="16" t="s">
        <v>91</v>
      </c>
      <c r="D34" s="16" t="s">
        <v>92</v>
      </c>
      <c r="E34" s="27">
        <v>220000</v>
      </c>
      <c r="F34" s="17">
        <v>9498.7199999999993</v>
      </c>
      <c r="G34" s="18">
        <v>1.1000000000000001</v>
      </c>
      <c r="H34" s="19" t="s">
        <v>17</v>
      </c>
    </row>
    <row r="35" spans="2:8">
      <c r="B35" s="26" t="s">
        <v>93</v>
      </c>
      <c r="C35" s="16" t="s">
        <v>94</v>
      </c>
      <c r="D35" s="16" t="s">
        <v>81</v>
      </c>
      <c r="E35" s="27">
        <v>237209</v>
      </c>
      <c r="F35" s="17">
        <v>9360.6200000000008</v>
      </c>
      <c r="G35" s="18">
        <v>1.0900000000000001</v>
      </c>
      <c r="H35" s="19" t="s">
        <v>59</v>
      </c>
    </row>
    <row r="36" spans="2:8">
      <c r="B36" s="26" t="s">
        <v>95</v>
      </c>
      <c r="C36" s="16" t="s">
        <v>96</v>
      </c>
      <c r="D36" s="16" t="s">
        <v>97</v>
      </c>
      <c r="E36" s="27">
        <v>321000</v>
      </c>
      <c r="F36" s="17">
        <v>9114.7999999999993</v>
      </c>
      <c r="G36" s="18">
        <v>1.06</v>
      </c>
      <c r="H36" s="19" t="s">
        <v>17</v>
      </c>
    </row>
    <row r="37" spans="2:8">
      <c r="B37" s="26" t="s">
        <v>98</v>
      </c>
      <c r="C37" s="16" t="s">
        <v>99</v>
      </c>
      <c r="D37" s="16" t="s">
        <v>16</v>
      </c>
      <c r="E37" s="27">
        <v>840000</v>
      </c>
      <c r="F37" s="17">
        <v>9096.7800000000007</v>
      </c>
      <c r="G37" s="18">
        <v>1.06</v>
      </c>
      <c r="H37" s="19" t="s">
        <v>17</v>
      </c>
    </row>
    <row r="38" spans="2:8">
      <c r="B38" s="26" t="s">
        <v>100</v>
      </c>
      <c r="C38" s="16" t="s">
        <v>101</v>
      </c>
      <c r="D38" s="16" t="s">
        <v>102</v>
      </c>
      <c r="E38" s="27">
        <v>296473</v>
      </c>
      <c r="F38" s="17">
        <v>8886.33</v>
      </c>
      <c r="G38" s="18">
        <v>1.03</v>
      </c>
      <c r="H38" s="19" t="s">
        <v>17</v>
      </c>
    </row>
    <row r="39" spans="2:8">
      <c r="B39" s="26" t="s">
        <v>103</v>
      </c>
      <c r="C39" s="16" t="s">
        <v>104</v>
      </c>
      <c r="D39" s="16" t="s">
        <v>105</v>
      </c>
      <c r="E39" s="27">
        <v>1080000</v>
      </c>
      <c r="F39" s="17">
        <v>8866.26</v>
      </c>
      <c r="G39" s="18">
        <v>1.03</v>
      </c>
      <c r="H39" s="19" t="s">
        <v>59</v>
      </c>
    </row>
    <row r="40" spans="2:8">
      <c r="B40" s="26" t="s">
        <v>106</v>
      </c>
      <c r="C40" s="16" t="s">
        <v>107</v>
      </c>
      <c r="D40" s="16" t="s">
        <v>22</v>
      </c>
      <c r="E40" s="27">
        <v>423215</v>
      </c>
      <c r="F40" s="17">
        <v>8772.4</v>
      </c>
      <c r="G40" s="18">
        <v>1.02</v>
      </c>
      <c r="H40" s="19" t="s">
        <v>59</v>
      </c>
    </row>
    <row r="41" spans="2:8">
      <c r="B41" s="26" t="s">
        <v>108</v>
      </c>
      <c r="C41" s="16" t="s">
        <v>109</v>
      </c>
      <c r="D41" s="16" t="s">
        <v>110</v>
      </c>
      <c r="E41" s="27">
        <v>1175000</v>
      </c>
      <c r="F41" s="17">
        <v>8571.6299999999992</v>
      </c>
      <c r="G41" s="18">
        <v>1</v>
      </c>
      <c r="H41" s="19" t="s">
        <v>17</v>
      </c>
    </row>
    <row r="42" spans="2:8">
      <c r="B42" s="26" t="s">
        <v>111</v>
      </c>
      <c r="C42" s="16" t="s">
        <v>112</v>
      </c>
      <c r="D42" s="16" t="s">
        <v>42</v>
      </c>
      <c r="E42" s="27">
        <v>41060</v>
      </c>
      <c r="F42" s="17">
        <v>8547.48</v>
      </c>
      <c r="G42" s="18">
        <v>0.99</v>
      </c>
      <c r="H42" s="19" t="s">
        <v>59</v>
      </c>
    </row>
    <row r="43" spans="2:8">
      <c r="B43" s="26" t="s">
        <v>113</v>
      </c>
      <c r="C43" s="16" t="s">
        <v>114</v>
      </c>
      <c r="D43" s="16" t="s">
        <v>115</v>
      </c>
      <c r="E43" s="27">
        <v>700000</v>
      </c>
      <c r="F43" s="17">
        <v>8536.85</v>
      </c>
      <c r="G43" s="18">
        <v>0.99</v>
      </c>
      <c r="H43" s="19" t="s">
        <v>17</v>
      </c>
    </row>
    <row r="44" spans="2:8">
      <c r="B44" s="26" t="s">
        <v>116</v>
      </c>
      <c r="C44" s="16" t="s">
        <v>117</v>
      </c>
      <c r="D44" s="16" t="s">
        <v>81</v>
      </c>
      <c r="E44" s="27">
        <v>438956</v>
      </c>
      <c r="F44" s="17">
        <v>8048.04</v>
      </c>
      <c r="G44" s="18">
        <v>0.93</v>
      </c>
      <c r="H44" s="19" t="s">
        <v>59</v>
      </c>
    </row>
    <row r="45" spans="2:8">
      <c r="B45" s="26" t="s">
        <v>118</v>
      </c>
      <c r="C45" s="16" t="s">
        <v>119</v>
      </c>
      <c r="D45" s="16" t="s">
        <v>120</v>
      </c>
      <c r="E45" s="27">
        <v>229000</v>
      </c>
      <c r="F45" s="17">
        <v>8020.27</v>
      </c>
      <c r="G45" s="18">
        <v>0.93</v>
      </c>
      <c r="H45" s="19" t="s">
        <v>17</v>
      </c>
    </row>
    <row r="46" spans="2:8">
      <c r="B46" s="26" t="s">
        <v>121</v>
      </c>
      <c r="C46" s="16" t="s">
        <v>122</v>
      </c>
      <c r="D46" s="16" t="s">
        <v>65</v>
      </c>
      <c r="E46" s="27">
        <v>10400000</v>
      </c>
      <c r="F46" s="17">
        <v>7852</v>
      </c>
      <c r="G46" s="18">
        <v>0.91</v>
      </c>
      <c r="H46" s="19" t="s">
        <v>17</v>
      </c>
    </row>
    <row r="47" spans="2:8">
      <c r="B47" s="26" t="s">
        <v>123</v>
      </c>
      <c r="C47" s="16" t="s">
        <v>124</v>
      </c>
      <c r="D47" s="16" t="s">
        <v>125</v>
      </c>
      <c r="E47" s="27">
        <v>456212</v>
      </c>
      <c r="F47" s="17">
        <v>7845.48</v>
      </c>
      <c r="G47" s="18">
        <v>0.91</v>
      </c>
      <c r="H47" s="19" t="s">
        <v>87</v>
      </c>
    </row>
    <row r="48" spans="2:8">
      <c r="B48" s="26" t="s">
        <v>126</v>
      </c>
      <c r="C48" s="16" t="s">
        <v>127</v>
      </c>
      <c r="D48" s="16" t="s">
        <v>86</v>
      </c>
      <c r="E48" s="27">
        <v>264927</v>
      </c>
      <c r="F48" s="17">
        <v>7739.18</v>
      </c>
      <c r="G48" s="18">
        <v>0.9</v>
      </c>
      <c r="H48" s="19" t="s">
        <v>59</v>
      </c>
    </row>
    <row r="49" spans="2:8">
      <c r="B49" s="26" t="s">
        <v>128</v>
      </c>
      <c r="C49" s="16" t="s">
        <v>129</v>
      </c>
      <c r="D49" s="16" t="s">
        <v>45</v>
      </c>
      <c r="E49" s="27">
        <v>1060000</v>
      </c>
      <c r="F49" s="17">
        <v>7662.21</v>
      </c>
      <c r="G49" s="18">
        <v>0.89</v>
      </c>
      <c r="H49" s="19" t="s">
        <v>17</v>
      </c>
    </row>
    <row r="50" spans="2:8">
      <c r="B50" s="26" t="s">
        <v>130</v>
      </c>
      <c r="C50" s="16" t="s">
        <v>131</v>
      </c>
      <c r="D50" s="16" t="s">
        <v>65</v>
      </c>
      <c r="E50" s="27">
        <v>1621430</v>
      </c>
      <c r="F50" s="17">
        <v>7296.44</v>
      </c>
      <c r="G50" s="18">
        <v>0.85</v>
      </c>
      <c r="H50" s="19" t="s">
        <v>59</v>
      </c>
    </row>
    <row r="51" spans="2:8">
      <c r="B51" s="26" t="s">
        <v>132</v>
      </c>
      <c r="C51" s="16" t="s">
        <v>133</v>
      </c>
      <c r="D51" s="16" t="s">
        <v>134</v>
      </c>
      <c r="E51" s="27">
        <v>1576413</v>
      </c>
      <c r="F51" s="17">
        <v>7203.42</v>
      </c>
      <c r="G51" s="18">
        <v>0.84</v>
      </c>
      <c r="H51" s="19" t="s">
        <v>59</v>
      </c>
    </row>
    <row r="52" spans="2:8">
      <c r="B52" s="26" t="s">
        <v>135</v>
      </c>
      <c r="C52" s="16" t="s">
        <v>136</v>
      </c>
      <c r="D52" s="16" t="s">
        <v>137</v>
      </c>
      <c r="E52" s="27">
        <v>6000000</v>
      </c>
      <c r="F52" s="17">
        <v>7182</v>
      </c>
      <c r="G52" s="18">
        <v>0.83</v>
      </c>
      <c r="H52" s="19" t="s">
        <v>17</v>
      </c>
    </row>
    <row r="53" spans="2:8">
      <c r="B53" s="26" t="s">
        <v>138</v>
      </c>
      <c r="C53" s="16" t="s">
        <v>139</v>
      </c>
      <c r="D53" s="16" t="s">
        <v>115</v>
      </c>
      <c r="E53" s="27">
        <v>840000</v>
      </c>
      <c r="F53" s="17">
        <v>7019.46</v>
      </c>
      <c r="G53" s="18">
        <v>0.82</v>
      </c>
      <c r="H53" s="19" t="s">
        <v>59</v>
      </c>
    </row>
    <row r="54" spans="2:8">
      <c r="B54" s="26" t="s">
        <v>140</v>
      </c>
      <c r="C54" s="16" t="s">
        <v>141</v>
      </c>
      <c r="D54" s="16" t="s">
        <v>142</v>
      </c>
      <c r="E54" s="27">
        <v>1370000</v>
      </c>
      <c r="F54" s="17">
        <v>6417.08</v>
      </c>
      <c r="G54" s="18">
        <v>0.75</v>
      </c>
      <c r="H54" s="19" t="s">
        <v>17</v>
      </c>
    </row>
    <row r="55" spans="2:8">
      <c r="B55" s="26" t="s">
        <v>143</v>
      </c>
      <c r="C55" s="16" t="s">
        <v>144</v>
      </c>
      <c r="D55" s="16" t="s">
        <v>78</v>
      </c>
      <c r="E55" s="27">
        <v>393000</v>
      </c>
      <c r="F55" s="17">
        <v>6010.35</v>
      </c>
      <c r="G55" s="18">
        <v>0.7</v>
      </c>
      <c r="H55" s="19" t="s">
        <v>59</v>
      </c>
    </row>
    <row r="56" spans="2:8">
      <c r="B56" s="26" t="s">
        <v>145</v>
      </c>
      <c r="C56" s="16" t="s">
        <v>146</v>
      </c>
      <c r="D56" s="16" t="s">
        <v>42</v>
      </c>
      <c r="E56" s="27">
        <v>601786</v>
      </c>
      <c r="F56" s="17">
        <v>5114.28</v>
      </c>
      <c r="G56" s="18">
        <v>0.59</v>
      </c>
      <c r="H56" s="19" t="s">
        <v>59</v>
      </c>
    </row>
    <row r="57" spans="2:8">
      <c r="B57" s="26" t="s">
        <v>147</v>
      </c>
      <c r="C57" s="16" t="s">
        <v>148</v>
      </c>
      <c r="D57" s="16" t="s">
        <v>149</v>
      </c>
      <c r="E57" s="27">
        <v>12347</v>
      </c>
      <c r="F57" s="17">
        <v>4842.8999999999996</v>
      </c>
      <c r="G57" s="18">
        <v>0.56000000000000005</v>
      </c>
      <c r="H57" s="19" t="s">
        <v>59</v>
      </c>
    </row>
    <row r="58" spans="2:8">
      <c r="B58" s="26" t="s">
        <v>150</v>
      </c>
      <c r="C58" s="16" t="s">
        <v>151</v>
      </c>
      <c r="D58" s="16" t="s">
        <v>22</v>
      </c>
      <c r="E58" s="27">
        <v>395000</v>
      </c>
      <c r="F58" s="17">
        <v>4432.6899999999996</v>
      </c>
      <c r="G58" s="18">
        <v>0.51</v>
      </c>
      <c r="H58" s="19" t="s">
        <v>17</v>
      </c>
    </row>
    <row r="59" spans="2:8">
      <c r="B59" s="26" t="s">
        <v>152</v>
      </c>
      <c r="C59" s="16" t="s">
        <v>153</v>
      </c>
      <c r="D59" s="16" t="s">
        <v>97</v>
      </c>
      <c r="E59" s="27">
        <v>1452000</v>
      </c>
      <c r="F59" s="17">
        <v>4391.57</v>
      </c>
      <c r="G59" s="18">
        <v>0.51</v>
      </c>
      <c r="H59" s="19" t="s">
        <v>59</v>
      </c>
    </row>
    <row r="60" spans="2:8">
      <c r="B60" s="26" t="s">
        <v>154</v>
      </c>
      <c r="C60" s="16" t="s">
        <v>155</v>
      </c>
      <c r="D60" s="16" t="s">
        <v>32</v>
      </c>
      <c r="E60" s="27">
        <v>1125000</v>
      </c>
      <c r="F60" s="17">
        <v>3963.94</v>
      </c>
      <c r="G60" s="18">
        <v>0.46</v>
      </c>
      <c r="H60" s="19" t="s">
        <v>17</v>
      </c>
    </row>
    <row r="61" spans="2:8">
      <c r="B61" s="26" t="s">
        <v>156</v>
      </c>
      <c r="C61" s="16" t="s">
        <v>157</v>
      </c>
      <c r="D61" s="16" t="s">
        <v>58</v>
      </c>
      <c r="E61" s="27">
        <v>822588</v>
      </c>
      <c r="F61" s="17">
        <v>3652.7</v>
      </c>
      <c r="G61" s="18">
        <v>0.42</v>
      </c>
      <c r="H61" s="19" t="s">
        <v>87</v>
      </c>
    </row>
    <row r="62" spans="2:8">
      <c r="B62" s="26" t="s">
        <v>158</v>
      </c>
      <c r="C62" s="16" t="s">
        <v>159</v>
      </c>
      <c r="D62" s="16" t="s">
        <v>42</v>
      </c>
      <c r="E62" s="27">
        <v>242434</v>
      </c>
      <c r="F62" s="17">
        <v>3154.07</v>
      </c>
      <c r="G62" s="18">
        <v>0.37</v>
      </c>
      <c r="H62" s="19" t="s">
        <v>59</v>
      </c>
    </row>
    <row r="63" spans="2:8">
      <c r="B63" s="26" t="s">
        <v>160</v>
      </c>
      <c r="C63" s="16" t="s">
        <v>161</v>
      </c>
      <c r="D63" s="16" t="s">
        <v>120</v>
      </c>
      <c r="E63" s="27">
        <v>250000</v>
      </c>
      <c r="F63" s="17">
        <v>2979</v>
      </c>
      <c r="G63" s="18">
        <v>0.35</v>
      </c>
      <c r="H63" s="19" t="s">
        <v>59</v>
      </c>
    </row>
    <row r="64" spans="2:8">
      <c r="B64" s="26" t="s">
        <v>162</v>
      </c>
      <c r="C64" s="16" t="s">
        <v>163</v>
      </c>
      <c r="D64" s="16" t="s">
        <v>78</v>
      </c>
      <c r="E64" s="27">
        <v>49500</v>
      </c>
      <c r="F64" s="17">
        <v>1349.3</v>
      </c>
      <c r="G64" s="18">
        <v>0.16</v>
      </c>
      <c r="H64" s="19" t="s">
        <v>17</v>
      </c>
    </row>
    <row r="65" spans="2:8">
      <c r="B65" s="31" t="s">
        <v>164</v>
      </c>
      <c r="C65" s="32"/>
      <c r="D65" s="32"/>
      <c r="E65" s="32"/>
      <c r="F65" s="33">
        <f>SUM(F7:F64)</f>
        <v>833602.58999999973</v>
      </c>
      <c r="G65" s="34">
        <f>SUM(G7:G64)</f>
        <v>96.819999999999979</v>
      </c>
      <c r="H65" s="35" t="s">
        <v>165</v>
      </c>
    </row>
    <row r="66" spans="2:8">
      <c r="B66" s="36" t="s">
        <v>166</v>
      </c>
      <c r="C66" s="36"/>
      <c r="D66" s="36"/>
      <c r="E66" s="36"/>
      <c r="F66" s="37">
        <f>F65</f>
        <v>833602.58999999973</v>
      </c>
      <c r="G66" s="38">
        <f>G65</f>
        <v>96.819999999999979</v>
      </c>
      <c r="H66" s="35" t="s">
        <v>165</v>
      </c>
    </row>
    <row r="67" spans="2:8">
      <c r="B67" s="39" t="s">
        <v>167</v>
      </c>
      <c r="C67" s="40"/>
      <c r="D67" s="40"/>
      <c r="E67" s="40"/>
      <c r="F67" s="41"/>
      <c r="G67" s="42"/>
      <c r="H67" s="19" t="s">
        <v>165</v>
      </c>
    </row>
    <row r="68" spans="2:8">
      <c r="B68" s="26" t="s">
        <v>167</v>
      </c>
      <c r="C68" s="26"/>
      <c r="D68" s="16"/>
      <c r="E68" s="16"/>
      <c r="F68" s="17">
        <v>27750.66</v>
      </c>
      <c r="G68" s="18">
        <v>3.22</v>
      </c>
      <c r="H68" s="19" t="s">
        <v>165</v>
      </c>
    </row>
    <row r="69" spans="2:8">
      <c r="B69" s="31" t="s">
        <v>164</v>
      </c>
      <c r="C69" s="32"/>
      <c r="D69" s="32"/>
      <c r="E69" s="32"/>
      <c r="F69" s="33">
        <f>SUM(F67:F68)</f>
        <v>27750.66</v>
      </c>
      <c r="G69" s="34">
        <f>SUM(G67:G68)</f>
        <v>3.22</v>
      </c>
      <c r="H69" s="35" t="s">
        <v>165</v>
      </c>
    </row>
    <row r="70" spans="2:8">
      <c r="B70" s="43" t="s">
        <v>166</v>
      </c>
      <c r="C70" s="43"/>
      <c r="D70" s="43"/>
      <c r="E70" s="43"/>
      <c r="F70" s="44">
        <f>F69</f>
        <v>27750.66</v>
      </c>
      <c r="G70" s="45">
        <f>G69</f>
        <v>3.22</v>
      </c>
      <c r="H70" s="35" t="s">
        <v>165</v>
      </c>
    </row>
    <row r="71" spans="2:8">
      <c r="B71" s="46" t="s">
        <v>168</v>
      </c>
      <c r="C71" s="46"/>
      <c r="D71" s="46"/>
      <c r="E71" s="46"/>
      <c r="F71" s="47">
        <f>F72-(+F66+F70)</f>
        <v>-473.47999999974854</v>
      </c>
      <c r="G71" s="48">
        <f>G72-(+G66+G70)</f>
        <v>-3.9999999999977831E-2</v>
      </c>
      <c r="H71" s="35" t="s">
        <v>165</v>
      </c>
    </row>
    <row r="72" spans="2:8">
      <c r="B72" s="46" t="s">
        <v>169</v>
      </c>
      <c r="C72" s="46"/>
      <c r="D72" s="46"/>
      <c r="E72" s="46"/>
      <c r="F72" s="47">
        <v>860879.77</v>
      </c>
      <c r="G72" s="48">
        <v>100</v>
      </c>
      <c r="H72" s="35" t="s">
        <v>165</v>
      </c>
    </row>
    <row r="74" spans="2:8" ht="12.75" thickBot="1">
      <c r="B74" s="49"/>
    </row>
    <row r="75" spans="2:8" ht="13.5" thickTop="1" thickBot="1">
      <c r="B75" s="51" t="s">
        <v>170</v>
      </c>
      <c r="C75" s="52" t="s">
        <v>171</v>
      </c>
    </row>
    <row r="76" spans="2:8" ht="12.75" thickTop="1"/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17:10:32</KDate>
  <Classification>Public</Classification>
  <Subclassification/>
  <HostName>MUMCMP00935</HostName>
  <Domain_User>CANARAROBECOMF/628</Domain_User>
  <IPAdd>192.9.198.194</IPAdd>
  <FilePath>Book2</FilePath>
  <KID>C025A5607E97638110410324793505</KID>
  <UniqueName/>
  <Suggested/>
  <Justification/>
</Klassify>
</file>

<file path=customXml/itemProps1.xml><?xml version="1.0" encoding="utf-8"?>
<ds:datastoreItem xmlns:ds="http://schemas.openxmlformats.org/officeDocument/2006/customXml" ds:itemID="{6F1E34B7-F2E4-4CDD-B9FC-6C42D860E9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2023-02-03T11:40:28Z</dcterms:created>
  <dcterms:modified xsi:type="dcterms:W3CDTF">2023-02-03T11:40:32Z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C025A5607E97638110410324793505</vt:lpwstr>
  </property>
</Properties>
</file>