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60" windowHeight="7365"/>
  </bookViews>
  <sheets>
    <sheet name="CRI" sheetId="1" r:id="rId1"/>
    <sheet name="CREDF" sheetId="2" r:id="rId2"/>
    <sheet name="CRETSF" sheetId="3" r:id="rId3"/>
    <sheet name="CREE" sheetId="4" r:id="rId4"/>
    <sheet name="CRCTF" sheetId="5" r:id="rId5"/>
    <sheet name="CRBCEF" sheetId="6" r:id="rId6"/>
    <sheet name="CRSCF" sheetId="7" r:id="rId7"/>
    <sheet name="CREHF" sheetId="8" r:id="rId8"/>
    <sheet name="CRDBF" sheetId="9" r:id="rId9"/>
    <sheet name="CRGILT" sheetId="10" r:id="rId10"/>
    <sheet name="CRINC" sheetId="11" r:id="rId11"/>
    <sheet name="CRSF" sheetId="12" r:id="rId12"/>
    <sheet name="CRCHF" sheetId="13" r:id="rId13"/>
    <sheet name="CRG1988" sheetId="14" r:id="rId14"/>
    <sheet name="CRL" sheetId="15" r:id="rId15"/>
    <sheet name="CRUSTF" sheetId="16" r:id="rId16"/>
    <sheet name="CROF" sheetId="17" r:id="rId17"/>
    <sheet name="CRSDF" sheetId="18" r:id="rId18"/>
    <sheet name="CRCBF" sheetId="19" r:id="rId19"/>
    <sheet name="CRCPOF9" sheetId="20" r:id="rId20"/>
    <sheet name="CRDAF1" sheetId="21" r:id="rId21"/>
    <sheet name="CRFMP8" sheetId="22" r:id="rId22"/>
    <sheet name="CRCPOF10" sheetId="23" r:id="rId23"/>
  </sheets>
  <calcPr calcId="162913"/>
</workbook>
</file>

<file path=xl/calcChain.xml><?xml version="1.0" encoding="utf-8"?>
<calcChain xmlns="http://schemas.openxmlformats.org/spreadsheetml/2006/main">
  <c r="G65" i="23" l="1"/>
  <c r="G66" i="23"/>
  <c r="F65" i="23"/>
  <c r="F66" i="23" s="1"/>
  <c r="G62" i="23"/>
  <c r="F62" i="23"/>
  <c r="G56" i="23"/>
  <c r="G57" i="23" s="1"/>
  <c r="F56" i="23"/>
  <c r="F57" i="23"/>
  <c r="G46" i="23"/>
  <c r="G47" i="23"/>
  <c r="F46" i="23"/>
  <c r="F47" i="23"/>
  <c r="G22" i="22"/>
  <c r="G23" i="22" s="1"/>
  <c r="F22" i="22"/>
  <c r="F23" i="22" s="1"/>
  <c r="F24" i="22" s="1"/>
  <c r="G18" i="22"/>
  <c r="G19" i="22" s="1"/>
  <c r="F18" i="22"/>
  <c r="F19" i="22"/>
  <c r="G73" i="21"/>
  <c r="G74" i="21" s="1"/>
  <c r="F73" i="21"/>
  <c r="F74" i="21" s="1"/>
  <c r="G70" i="21"/>
  <c r="F70" i="21"/>
  <c r="G65" i="21"/>
  <c r="G66" i="21" s="1"/>
  <c r="G75" i="21" s="1"/>
  <c r="F65" i="21"/>
  <c r="F66" i="21" s="1"/>
  <c r="G60" i="21"/>
  <c r="G61" i="21"/>
  <c r="F60" i="21"/>
  <c r="F61" i="21" s="1"/>
  <c r="G41" i="21"/>
  <c r="G42" i="21"/>
  <c r="F41" i="21"/>
  <c r="F42" i="21"/>
  <c r="G69" i="20"/>
  <c r="G70" i="20" s="1"/>
  <c r="F69" i="20"/>
  <c r="F70" i="20" s="1"/>
  <c r="G66" i="20"/>
  <c r="F66" i="20"/>
  <c r="F60" i="20"/>
  <c r="G59" i="20"/>
  <c r="G60" i="20"/>
  <c r="F59" i="20"/>
  <c r="F44" i="20"/>
  <c r="F71" i="20" s="1"/>
  <c r="G43" i="20"/>
  <c r="G44" i="20"/>
  <c r="F43" i="20"/>
  <c r="G46" i="19"/>
  <c r="G47" i="19" s="1"/>
  <c r="F46" i="19"/>
  <c r="F47" i="19" s="1"/>
  <c r="G43" i="19"/>
  <c r="F43" i="19"/>
  <c r="F36" i="19"/>
  <c r="G35" i="19"/>
  <c r="G36" i="19" s="1"/>
  <c r="F35" i="19"/>
  <c r="G76" i="18"/>
  <c r="G77" i="18" s="1"/>
  <c r="F76" i="18"/>
  <c r="F77" i="18" s="1"/>
  <c r="G73" i="18"/>
  <c r="F73" i="18"/>
  <c r="F60" i="18"/>
  <c r="G59" i="18"/>
  <c r="G60" i="18" s="1"/>
  <c r="F59" i="18"/>
  <c r="G54" i="18"/>
  <c r="G55" i="18" s="1"/>
  <c r="F54" i="18"/>
  <c r="F55" i="18" s="1"/>
  <c r="F78" i="18" s="1"/>
  <c r="G7" i="17"/>
  <c r="G8" i="17" s="1"/>
  <c r="G9" i="17" s="1"/>
  <c r="F7" i="17"/>
  <c r="F8" i="17" s="1"/>
  <c r="F9" i="17" s="1"/>
  <c r="G35" i="16"/>
  <c r="G36" i="16" s="1"/>
  <c r="F35" i="16"/>
  <c r="F36" i="16" s="1"/>
  <c r="G32" i="16"/>
  <c r="F32" i="16"/>
  <c r="G28" i="16"/>
  <c r="G29" i="16" s="1"/>
  <c r="F28" i="16"/>
  <c r="F29" i="16" s="1"/>
  <c r="G17" i="16"/>
  <c r="G18" i="16" s="1"/>
  <c r="F17" i="16"/>
  <c r="F18" i="16" s="1"/>
  <c r="G29" i="15"/>
  <c r="G30" i="15" s="1"/>
  <c r="F29" i="15"/>
  <c r="F30" i="15"/>
  <c r="G25" i="15"/>
  <c r="G26" i="15" s="1"/>
  <c r="F25" i="15"/>
  <c r="F26" i="15" s="1"/>
  <c r="F31" i="15" s="1"/>
  <c r="G12" i="15"/>
  <c r="F12" i="15"/>
  <c r="F12" i="14"/>
  <c r="G11" i="14"/>
  <c r="G12" i="14" s="1"/>
  <c r="F11" i="14"/>
  <c r="G8" i="14"/>
  <c r="F8" i="14"/>
  <c r="F13" i="14" s="1"/>
  <c r="G67" i="13"/>
  <c r="G68" i="13" s="1"/>
  <c r="F67" i="13"/>
  <c r="F68" i="13"/>
  <c r="G64" i="13"/>
  <c r="F64" i="13"/>
  <c r="G52" i="13"/>
  <c r="G53" i="13"/>
  <c r="F52" i="13"/>
  <c r="F53" i="13" s="1"/>
  <c r="G39" i="13"/>
  <c r="G40" i="13"/>
  <c r="F39" i="13"/>
  <c r="F40" i="13" s="1"/>
  <c r="G54" i="12"/>
  <c r="G55" i="12" s="1"/>
  <c r="F54" i="12"/>
  <c r="F55" i="12" s="1"/>
  <c r="G51" i="12"/>
  <c r="F51" i="12"/>
  <c r="G46" i="12"/>
  <c r="F46" i="12"/>
  <c r="G42" i="12"/>
  <c r="F42" i="12"/>
  <c r="G37" i="12"/>
  <c r="F37" i="12"/>
  <c r="G27" i="12"/>
  <c r="G28" i="12" s="1"/>
  <c r="F27" i="12"/>
  <c r="F28" i="12" s="1"/>
  <c r="G33" i="11"/>
  <c r="G34" i="11"/>
  <c r="F33" i="11"/>
  <c r="F34" i="11" s="1"/>
  <c r="F35" i="11" s="1"/>
  <c r="G30" i="11"/>
  <c r="F30" i="11"/>
  <c r="F17" i="11"/>
  <c r="G16" i="11"/>
  <c r="G17" i="11" s="1"/>
  <c r="G35" i="11" s="1"/>
  <c r="F16" i="11"/>
  <c r="G18" i="10"/>
  <c r="G17" i="10"/>
  <c r="F17" i="10"/>
  <c r="F18" i="10" s="1"/>
  <c r="F19" i="10" s="1"/>
  <c r="G14" i="10"/>
  <c r="G19" i="10" s="1"/>
  <c r="F14" i="10"/>
  <c r="F22" i="9"/>
  <c r="G21" i="9"/>
  <c r="G22" i="9" s="1"/>
  <c r="F21" i="9"/>
  <c r="G18" i="9"/>
  <c r="F18" i="9"/>
  <c r="G8" i="9"/>
  <c r="G9" i="9" s="1"/>
  <c r="G23" i="9" s="1"/>
  <c r="F8" i="9"/>
  <c r="F9" i="9"/>
  <c r="F23" i="9" s="1"/>
  <c r="G115" i="8"/>
  <c r="G116" i="8" s="1"/>
  <c r="F115" i="8"/>
  <c r="F116" i="8" s="1"/>
  <c r="G112" i="8"/>
  <c r="F112" i="8"/>
  <c r="G96" i="8"/>
  <c r="G97" i="8" s="1"/>
  <c r="F96" i="8"/>
  <c r="F97" i="8" s="1"/>
  <c r="G58" i="8"/>
  <c r="G59" i="8" s="1"/>
  <c r="F58" i="8"/>
  <c r="F59" i="8" s="1"/>
  <c r="G66" i="7"/>
  <c r="G67" i="7"/>
  <c r="F66" i="7"/>
  <c r="F67" i="7" s="1"/>
  <c r="G62" i="7"/>
  <c r="G63" i="7"/>
  <c r="F62" i="7"/>
  <c r="F63" i="7" s="1"/>
  <c r="F53" i="6"/>
  <c r="G52" i="6"/>
  <c r="G53" i="6"/>
  <c r="F52" i="6"/>
  <c r="G48" i="6"/>
  <c r="G49" i="6" s="1"/>
  <c r="F48" i="6"/>
  <c r="F49" i="6" s="1"/>
  <c r="F54" i="6" s="1"/>
  <c r="F56" i="5"/>
  <c r="G55" i="5"/>
  <c r="G56" i="5" s="1"/>
  <c r="F55" i="5"/>
  <c r="F52" i="5"/>
  <c r="G51" i="5"/>
  <c r="G52" i="5" s="1"/>
  <c r="F51" i="5"/>
  <c r="G67" i="4"/>
  <c r="G68" i="4" s="1"/>
  <c r="F67" i="4"/>
  <c r="F68" i="4" s="1"/>
  <c r="F69" i="4" s="1"/>
  <c r="G63" i="4"/>
  <c r="G64" i="4" s="1"/>
  <c r="F63" i="4"/>
  <c r="F64" i="4"/>
  <c r="G61" i="3"/>
  <c r="G62" i="3"/>
  <c r="F61" i="3"/>
  <c r="F62" i="3"/>
  <c r="G57" i="3"/>
  <c r="G58" i="3"/>
  <c r="G63" i="3" s="1"/>
  <c r="F57" i="3"/>
  <c r="F58" i="3"/>
  <c r="F63" i="3"/>
  <c r="G70" i="2"/>
  <c r="G69" i="2"/>
  <c r="F69" i="2"/>
  <c r="F70" i="2" s="1"/>
  <c r="G65" i="2"/>
  <c r="G66" i="2" s="1"/>
  <c r="G71" i="2" s="1"/>
  <c r="F65" i="2"/>
  <c r="F66" i="2" s="1"/>
  <c r="G44" i="1"/>
  <c r="G45" i="1" s="1"/>
  <c r="F44" i="1"/>
  <c r="F45" i="1" s="1"/>
  <c r="G41" i="1"/>
  <c r="G40" i="1"/>
  <c r="F40" i="1"/>
  <c r="F41" i="1" s="1"/>
  <c r="G71" i="20"/>
  <c r="G68" i="7" l="1"/>
  <c r="G54" i="6"/>
  <c r="F57" i="5"/>
  <c r="F71" i="2"/>
  <c r="F67" i="23"/>
  <c r="G67" i="23"/>
  <c r="G24" i="22"/>
  <c r="G48" i="19"/>
  <c r="F37" i="16"/>
  <c r="G13" i="14"/>
  <c r="F47" i="12"/>
  <c r="G47" i="12"/>
  <c r="G31" i="15"/>
  <c r="G46" i="1"/>
  <c r="G117" i="8"/>
  <c r="G56" i="12"/>
  <c r="F68" i="7"/>
  <c r="F117" i="8"/>
  <c r="F56" i="12"/>
  <c r="F69" i="13"/>
  <c r="G37" i="16"/>
  <c r="F46" i="1"/>
  <c r="G69" i="4"/>
  <c r="G57" i="5"/>
  <c r="G69" i="13"/>
  <c r="G78" i="18"/>
  <c r="F48" i="19"/>
  <c r="F75" i="21"/>
</calcChain>
</file>

<file path=xl/sharedStrings.xml><?xml version="1.0" encoding="utf-8"?>
<sst xmlns="http://schemas.openxmlformats.org/spreadsheetml/2006/main" count="3047" uniqueCount="762">
  <si>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</si>
  <si>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</si>
  <si>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</si>
  <si>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</si>
  <si>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</si>
  <si>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</si>
  <si>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</si>
  <si>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CANARA ROBECO INFRASTRUCTURE</t>
  </si>
  <si>
    <t>CANARA ROBECO EQUITY DIVERSIFIED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</si>
  <si>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</si>
  <si>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</si>
  <si>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</si>
  <si>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</si>
  <si>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</si>
  <si>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</si>
  <si>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</si>
  <si>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</si>
  <si>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</si>
  <si>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</si>
  <si>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</si>
  <si>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</si>
  <si>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</si>
  <si>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</si>
  <si>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</si>
  <si>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</si>
  <si>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</si>
  <si>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  CAPITAL  PROTECTION  ORIENTED  FUND– SERIES 9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</si>
  <si>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</si>
  <si>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</si>
  <si>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</si>
  <si>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</si>
  <si>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</si>
  <si>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</si>
  <si>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</si>
  <si>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</si>
  <si>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Reliance Industries Ltd</t>
  </si>
  <si>
    <t>INE002A01018</t>
  </si>
  <si>
    <t>Petroleum Products</t>
  </si>
  <si>
    <t>NTPC Ltd</t>
  </si>
  <si>
    <t>INE733E01010</t>
  </si>
  <si>
    <t>Power</t>
  </si>
  <si>
    <t>Honeywell Automation India Ltd</t>
  </si>
  <si>
    <t>INE671A01010</t>
  </si>
  <si>
    <t>Industrial Capital Goods</t>
  </si>
  <si>
    <t>The Ramco Cements Ltd</t>
  </si>
  <si>
    <t>INE331A01037</t>
  </si>
  <si>
    <t>Cement</t>
  </si>
  <si>
    <t>TCI Express Ltd</t>
  </si>
  <si>
    <t>INE586V01016</t>
  </si>
  <si>
    <t>Transportation</t>
  </si>
  <si>
    <t>KNR Constructions Ltd</t>
  </si>
  <si>
    <t>INE634I01029</t>
  </si>
  <si>
    <t>Construction</t>
  </si>
  <si>
    <t>Thermax Ltd</t>
  </si>
  <si>
    <t>INE152A01029</t>
  </si>
  <si>
    <t>AIA Engineering Ltd</t>
  </si>
  <si>
    <t>INE212H01026</t>
  </si>
  <si>
    <t>Industrial Products</t>
  </si>
  <si>
    <t>Siemens Ltd</t>
  </si>
  <si>
    <t>INE003A01024</t>
  </si>
  <si>
    <t>Gujarat Gas Ltd</t>
  </si>
  <si>
    <t>INE844O01030</t>
  </si>
  <si>
    <t>Gas</t>
  </si>
  <si>
    <t>Voltas Ltd</t>
  </si>
  <si>
    <t>INE226A01021</t>
  </si>
  <si>
    <t>Consumer Durables</t>
  </si>
  <si>
    <t>Hindustan Petroleum Corporation Ltd</t>
  </si>
  <si>
    <t>INE094A01015</t>
  </si>
  <si>
    <t>Indraprastha Gas Ltd</t>
  </si>
  <si>
    <t>INE203G01027</t>
  </si>
  <si>
    <t>Transport Corporation of India Ltd</t>
  </si>
  <si>
    <t>INE688A01022</t>
  </si>
  <si>
    <t>Bharat Electronics Ltd</t>
  </si>
  <si>
    <t>INE263A01024</t>
  </si>
  <si>
    <t>Power Grid Corporation of India Ltd</t>
  </si>
  <si>
    <t>INE752E01010</t>
  </si>
  <si>
    <t>Amber Enterprises India Ltd</t>
  </si>
  <si>
    <t>INE371P01015</t>
  </si>
  <si>
    <t>Shree Cement Ltd</t>
  </si>
  <si>
    <t>INE070A01015</t>
  </si>
  <si>
    <t>Petronet LNG Ltd</t>
  </si>
  <si>
    <t>INE347G01014</t>
  </si>
  <si>
    <t>Ahluwalia Contracts (India) Ltd</t>
  </si>
  <si>
    <t>INE758C01029</t>
  </si>
  <si>
    <t>Ambuja Cements Ltd</t>
  </si>
  <si>
    <t>INE079A01024</t>
  </si>
  <si>
    <t>Timken India Ltd</t>
  </si>
  <si>
    <t>INE325A01013</t>
  </si>
  <si>
    <t>ICICI Bank Ltd</t>
  </si>
  <si>
    <t>INE090A01021</t>
  </si>
  <si>
    <t>Banks</t>
  </si>
  <si>
    <t>PNC Infratech Ltd</t>
  </si>
  <si>
    <t>INE195J01029</t>
  </si>
  <si>
    <t>Dixon Technologies (India) Ltd</t>
  </si>
  <si>
    <t>INE935N01012</t>
  </si>
  <si>
    <t>Ultratech Cement Ltd</t>
  </si>
  <si>
    <t>INE481G01011</t>
  </si>
  <si>
    <t>Schaeffler India Ltd</t>
  </si>
  <si>
    <t>INE513A01014</t>
  </si>
  <si>
    <t>Bharti Airtel Ltd</t>
  </si>
  <si>
    <t>INE397D01024</t>
  </si>
  <si>
    <t>Telecom - Services</t>
  </si>
  <si>
    <t>ISGEC Heavy Engineering Ltd</t>
  </si>
  <si>
    <t>INE858B01029</t>
  </si>
  <si>
    <t>KSB Ltd</t>
  </si>
  <si>
    <t>INE999A01015</t>
  </si>
  <si>
    <t>Blue Star Ltd</t>
  </si>
  <si>
    <t>INE472A01039</t>
  </si>
  <si>
    <t>Gujarat State Petronet Ltd</t>
  </si>
  <si>
    <t>INE246F01010</t>
  </si>
  <si>
    <t>Sub Total</t>
  </si>
  <si>
    <t>Total</t>
  </si>
  <si>
    <t>TREPS</t>
  </si>
  <si>
    <t>Grand Total</t>
  </si>
  <si>
    <t>Net Receivables / (Payables)</t>
  </si>
  <si>
    <t>Individuals/HUF</t>
  </si>
  <si>
    <t>Others</t>
  </si>
  <si>
    <t>(4) Total outstanding exposure in derivative instruments as on September,30 2020 is Nil.</t>
  </si>
  <si>
    <t>(5) Total Market value of investments in Foreign Securities/American Depositary Receipts/Global Depositary Receipts as at September,30 2020 is Rs. Nil .</t>
  </si>
  <si>
    <t>Infosys Ltd</t>
  </si>
  <si>
    <t>INE009A01021</t>
  </si>
  <si>
    <t>Software</t>
  </si>
  <si>
    <t>HDFC Bank Ltd</t>
  </si>
  <si>
    <t>INE040A01034</t>
  </si>
  <si>
    <t>Tata Consultancy Services Ltd</t>
  </si>
  <si>
    <t>INE467B01029</t>
  </si>
  <si>
    <t>Hindustan Unilever Ltd</t>
  </si>
  <si>
    <t>INE030A01027</t>
  </si>
  <si>
    <t>Consumer Non Durables</t>
  </si>
  <si>
    <t>Bajaj Finance Ltd</t>
  </si>
  <si>
    <t>INE296A01024</t>
  </si>
  <si>
    <t>Finance</t>
  </si>
  <si>
    <t>Kotak Mahindra Bank Ltd</t>
  </si>
  <si>
    <t>INE237A01028</t>
  </si>
  <si>
    <t>Divi's Laboratories Ltd</t>
  </si>
  <si>
    <t>INE361B01024</t>
  </si>
  <si>
    <t>Pharmaceuticals</t>
  </si>
  <si>
    <t>Hero MotoCorp Ltd</t>
  </si>
  <si>
    <t>INE158A01026</t>
  </si>
  <si>
    <t>Auto</t>
  </si>
  <si>
    <t>Housing Development Finance Corporation Ltd</t>
  </si>
  <si>
    <t>INE001A01036</t>
  </si>
  <si>
    <t>Multi Commodity Exchange Of India Ltd</t>
  </si>
  <si>
    <t>INE745G01035</t>
  </si>
  <si>
    <t>Mahindra &amp; Mahindra Ltd</t>
  </si>
  <si>
    <t>INE101A01026</t>
  </si>
  <si>
    <t>Balkrishna Industries Ltd</t>
  </si>
  <si>
    <t>INE787D01026</t>
  </si>
  <si>
    <t>Auto Ancillaries</t>
  </si>
  <si>
    <t>Maruti Suzuki India Ltd</t>
  </si>
  <si>
    <t>INE585B01010</t>
  </si>
  <si>
    <t>Cipla Ltd</t>
  </si>
  <si>
    <t>INE059A01026</t>
  </si>
  <si>
    <t>Britannia Industries Ltd</t>
  </si>
  <si>
    <t>INE216A01030</t>
  </si>
  <si>
    <t>PI Industries Ltd</t>
  </si>
  <si>
    <t>INE603J01030</t>
  </si>
  <si>
    <t>Pesticides</t>
  </si>
  <si>
    <t>HCL Technologies Ltd</t>
  </si>
  <si>
    <t>INE860A01027</t>
  </si>
  <si>
    <t>Abbott India Ltd</t>
  </si>
  <si>
    <t>INE358A01014</t>
  </si>
  <si>
    <t>IPCA Laboratories Ltd</t>
  </si>
  <si>
    <t>INE571A01020</t>
  </si>
  <si>
    <t>Titan Co Ltd</t>
  </si>
  <si>
    <t>INE280A01028</t>
  </si>
  <si>
    <t>Axis Bank Ltd</t>
  </si>
  <si>
    <t>INE238A01034</t>
  </si>
  <si>
    <t>Nestle India Ltd</t>
  </si>
  <si>
    <t>INE239A01016</t>
  </si>
  <si>
    <t>Atul Ltd</t>
  </si>
  <si>
    <t>INE100A01010</t>
  </si>
  <si>
    <t>Chemicals</t>
  </si>
  <si>
    <t>Navin Fluorine International Ltd</t>
  </si>
  <si>
    <t>INE048G01026</t>
  </si>
  <si>
    <t>MindTree Ltd</t>
  </si>
  <si>
    <t>INE018I01017</t>
  </si>
  <si>
    <t>Alkem Laboratories Ltd</t>
  </si>
  <si>
    <t>INE540L01014</t>
  </si>
  <si>
    <t>Cholamandalam Investment and Finance Co Ltd</t>
  </si>
  <si>
    <t>INE121A01024</t>
  </si>
  <si>
    <t>Bata India Ltd</t>
  </si>
  <si>
    <t>INE176A01028</t>
  </si>
  <si>
    <t>Vinati Organics Ltd</t>
  </si>
  <si>
    <t>INE410B01037</t>
  </si>
  <si>
    <t>ICICI Lombard General Insurance Co Ltd</t>
  </si>
  <si>
    <t>INE765G01017</t>
  </si>
  <si>
    <t>Whirlpool Of India Ltd</t>
  </si>
  <si>
    <t>INE716A01013</t>
  </si>
  <si>
    <t>Sun Pharmaceutical Industries Ltd</t>
  </si>
  <si>
    <t>INE044A01036</t>
  </si>
  <si>
    <t>SBI Cards and Payment Services Ltd</t>
  </si>
  <si>
    <t>INE018E01016</t>
  </si>
  <si>
    <t>Dr. Lal Path Labs Ltd</t>
  </si>
  <si>
    <t>INE600L01024</t>
  </si>
  <si>
    <t>Healthcare Services</t>
  </si>
  <si>
    <t>Minda Industries Ltd</t>
  </si>
  <si>
    <t>INE405E01023</t>
  </si>
  <si>
    <t>Can Fin Homes Ltd</t>
  </si>
  <si>
    <t>INE477A01020</t>
  </si>
  <si>
    <t>Asian Paints Ltd</t>
  </si>
  <si>
    <t>INE021A01026</t>
  </si>
  <si>
    <t>UTI Asset Management Co Ltd</t>
  </si>
  <si>
    <t>INE094J01016</t>
  </si>
  <si>
    <t>Essel Propack Ltd</t>
  </si>
  <si>
    <t>INE255A01020</t>
  </si>
  <si>
    <t>Indian Energy Exchange Ltd</t>
  </si>
  <si>
    <t>INE022Q01020</t>
  </si>
  <si>
    <t>HDFC Life Insurance Co Ltd</t>
  </si>
  <si>
    <t>INE795G01014</t>
  </si>
  <si>
    <t>Escorts Ltd</t>
  </si>
  <si>
    <t>INE042A01014</t>
  </si>
  <si>
    <t>Larsen &amp; Toubro Infotech Ltd</t>
  </si>
  <si>
    <t>INE214T01019</t>
  </si>
  <si>
    <t>Jubilant Foodworks Ltd</t>
  </si>
  <si>
    <t>INE797F01012</t>
  </si>
  <si>
    <t>Avenue Supermarts Ltd</t>
  </si>
  <si>
    <t>INE192R01011</t>
  </si>
  <si>
    <t>Retailing</t>
  </si>
  <si>
    <t>Ashok Leyland Ltd</t>
  </si>
  <si>
    <t>INE208A01029</t>
  </si>
  <si>
    <t>Persistent Systems Ltd</t>
  </si>
  <si>
    <t>INE262H01013</t>
  </si>
  <si>
    <t>Aarti Industries Ltd</t>
  </si>
  <si>
    <t>INE769A01020</t>
  </si>
  <si>
    <t>Page Industries Ltd</t>
  </si>
  <si>
    <t>INE761H01022</t>
  </si>
  <si>
    <t>Textile Products</t>
  </si>
  <si>
    <t>Mphasis Ltd</t>
  </si>
  <si>
    <t>INE356A01018</t>
  </si>
  <si>
    <t>Coromandel International Ltd</t>
  </si>
  <si>
    <t>INE169A01031</t>
  </si>
  <si>
    <t>Fertilisers</t>
  </si>
  <si>
    <t>Dr. Reddy's Laboratories Ltd</t>
  </si>
  <si>
    <t>INE089A01023</t>
  </si>
  <si>
    <t>AU Small Finance Bank Ltd</t>
  </si>
  <si>
    <t>INE949L01017</t>
  </si>
  <si>
    <t>Indiamart Intermesh Ltd</t>
  </si>
  <si>
    <t>INE933S01016</t>
  </si>
  <si>
    <t>SBI Life Insurance Co Ltd</t>
  </si>
  <si>
    <t>INE123W01016</t>
  </si>
  <si>
    <t>Crompton Greaves Consumer Electricals Ltd</t>
  </si>
  <si>
    <t>INE299U01018</t>
  </si>
  <si>
    <t>Mahindra &amp; Mahindra Financial Services Ltd</t>
  </si>
  <si>
    <t>INE774D01024</t>
  </si>
  <si>
    <t>Tata Consumer Products Ltd</t>
  </si>
  <si>
    <t>INE192A01025</t>
  </si>
  <si>
    <t>Kansai Nerolac Paints Ltd</t>
  </si>
  <si>
    <t>INE531A01024</t>
  </si>
  <si>
    <t>Aditya Birla Fashion and Retail Ltd</t>
  </si>
  <si>
    <t>INE647O01011</t>
  </si>
  <si>
    <t>City Union Bank Ltd</t>
  </si>
  <si>
    <t>INE491A01021</t>
  </si>
  <si>
    <t>Syngene International Ltd</t>
  </si>
  <si>
    <t>INE398R01022</t>
  </si>
  <si>
    <t>Bharat Forge Ltd</t>
  </si>
  <si>
    <t>INE465A01025</t>
  </si>
  <si>
    <t>Indian Railway Catering And Tourism Corp Ltd</t>
  </si>
  <si>
    <t>INE335Y01012</t>
  </si>
  <si>
    <t>Services</t>
  </si>
  <si>
    <t>Century Textile &amp; Industries Ltd</t>
  </si>
  <si>
    <t>INE055A01016</t>
  </si>
  <si>
    <t>Paper</t>
  </si>
  <si>
    <t>IN9647O01019</t>
  </si>
  <si>
    <t>Godrej Consumer Products Ltd</t>
  </si>
  <si>
    <t>INE102D01028</t>
  </si>
  <si>
    <t>Orient Electric Ltd</t>
  </si>
  <si>
    <t>INE142Z01019</t>
  </si>
  <si>
    <t>Gulf Oil Lubricants India Ltd</t>
  </si>
  <si>
    <t>INE635Q01029</t>
  </si>
  <si>
    <t>Berger Paints India Ltd</t>
  </si>
  <si>
    <t>INE463A01038</t>
  </si>
  <si>
    <t>Kajaria Ceramics Ltd</t>
  </si>
  <si>
    <t>INE217B01036</t>
  </si>
  <si>
    <t>ITC Ltd</t>
  </si>
  <si>
    <t>INE154A01025</t>
  </si>
  <si>
    <t>Deepak Nitrite Ltd</t>
  </si>
  <si>
    <t>INE288B01029</t>
  </si>
  <si>
    <t>Central Depository Services (India) Ltd</t>
  </si>
  <si>
    <t>INE736A01011</t>
  </si>
  <si>
    <t>K.P.R. Mill Ltd</t>
  </si>
  <si>
    <t>INE930H01023</t>
  </si>
  <si>
    <t>Creditaccess Grameen Ltd</t>
  </si>
  <si>
    <t>INE741K01010</t>
  </si>
  <si>
    <t>Galaxy Surfactants Ltd</t>
  </si>
  <si>
    <t>INE600K01018</t>
  </si>
  <si>
    <t>Subros Ltd</t>
  </si>
  <si>
    <t>INE287B01021</t>
  </si>
  <si>
    <t>BSE Ltd</t>
  </si>
  <si>
    <t>INE118H01025</t>
  </si>
  <si>
    <t>V-Mart Retail Ltd</t>
  </si>
  <si>
    <t>INE665J01013</t>
  </si>
  <si>
    <t>Hikal Ltd</t>
  </si>
  <si>
    <t>INE475B01022</t>
  </si>
  <si>
    <t>National Aluminium Co Ltd</t>
  </si>
  <si>
    <t>INE139A01034</t>
  </si>
  <si>
    <t>Non - Ferrous Metals</t>
  </si>
  <si>
    <t>Metropolis Healthcare Ltd</t>
  </si>
  <si>
    <t>INE112L01020</t>
  </si>
  <si>
    <t>J.B. Chemicals &amp; Pharmaceuticals Ltd</t>
  </si>
  <si>
    <t>INE572A01028</t>
  </si>
  <si>
    <t>Finolex Industries Ltd</t>
  </si>
  <si>
    <t>INE183A01016</t>
  </si>
  <si>
    <t>EID Parry India Ltd</t>
  </si>
  <si>
    <t>INE126A01031</t>
  </si>
  <si>
    <t>NOCIL Ltd</t>
  </si>
  <si>
    <t>INE163A01018</t>
  </si>
  <si>
    <t>Hindustan Zinc Ltd</t>
  </si>
  <si>
    <t>INE267A01025</t>
  </si>
  <si>
    <t>Fine Organic Industries Ltd</t>
  </si>
  <si>
    <t>INE686Y01026</t>
  </si>
  <si>
    <t>Laurus Labs Ltd</t>
  </si>
  <si>
    <t>INE947Q01028</t>
  </si>
  <si>
    <t>Teamlease Services Ltd</t>
  </si>
  <si>
    <t>INE985S01024</t>
  </si>
  <si>
    <t>Commercial Services</t>
  </si>
  <si>
    <t>Computer Age Management Services Ltd</t>
  </si>
  <si>
    <t>INE596I01012</t>
  </si>
  <si>
    <t>The Great Eastern Shipping Co Ltd</t>
  </si>
  <si>
    <t>INE017A01032</t>
  </si>
  <si>
    <t>Dhanuka Agritech Ltd</t>
  </si>
  <si>
    <t>INE435G01025</t>
  </si>
  <si>
    <t>Avanti Feeds Ltd</t>
  </si>
  <si>
    <t>INE871C01038</t>
  </si>
  <si>
    <t>HeidelbergCement India Ltd</t>
  </si>
  <si>
    <t>INE578A01017</t>
  </si>
  <si>
    <t>TTK Prestige Ltd</t>
  </si>
  <si>
    <t>INE690A01010</t>
  </si>
  <si>
    <t>Cholamandalam Financial Holdings Ltd</t>
  </si>
  <si>
    <t>INE149A01033</t>
  </si>
  <si>
    <t>Sobha Ltd</t>
  </si>
  <si>
    <t>INE671H01015</t>
  </si>
  <si>
    <t>Cera Sanitaryware Ltd</t>
  </si>
  <si>
    <t>INE739E01017</t>
  </si>
  <si>
    <t>Greenply Industries Ltd</t>
  </si>
  <si>
    <t>INE461C01038</t>
  </si>
  <si>
    <t>Greenlam Industries Ltd</t>
  </si>
  <si>
    <t>INE544R01013</t>
  </si>
  <si>
    <t>Polycab India Ltd</t>
  </si>
  <si>
    <t>INE455K01017</t>
  </si>
  <si>
    <t>Debt Instruments</t>
  </si>
  <si>
    <t>7.87% Housing Development Finance Corporation Ltd (18/07/2022) **</t>
  </si>
  <si>
    <t>INE001A07RW5</t>
  </si>
  <si>
    <t>CRISIL AAA</t>
  </si>
  <si>
    <t>7.07% Reliance Industries Ltd (24/12/2020) **</t>
  </si>
  <si>
    <t>INE002A08526</t>
  </si>
  <si>
    <t>7.40% Power Finance Corporation Ltd (30/09/2021) **</t>
  </si>
  <si>
    <t>INE134E08IM4</t>
  </si>
  <si>
    <t>8.65% Reliance Industries Ltd (11/12/2028) **</t>
  </si>
  <si>
    <t>INE002A08567</t>
  </si>
  <si>
    <t>6.99% REC Ltd (31/12/2020) **</t>
  </si>
  <si>
    <t>INE020B08AN6</t>
  </si>
  <si>
    <t>7.17% Reliance Industries Ltd (08/11/2022)</t>
  </si>
  <si>
    <t>INE002A08500</t>
  </si>
  <si>
    <t>7.22% LIC Housing Finance Ltd (19/11/2021) **</t>
  </si>
  <si>
    <t>INE115A07OP4</t>
  </si>
  <si>
    <t>CARE AAA</t>
  </si>
  <si>
    <t>7.15% Housing Development Finance Corporation Ltd (16/09/2021)</t>
  </si>
  <si>
    <t>INE001A07RY1</t>
  </si>
  <si>
    <t>8.80% REC Ltd (29/11/2020) **</t>
  </si>
  <si>
    <t>INE020B08468</t>
  </si>
  <si>
    <t>7.99% Housing Development Finance Corporation Ltd (11/07/2024) **</t>
  </si>
  <si>
    <t>INE001A07RV7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</si>
  <si>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</si>
  <si>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</si>
  <si>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</si>
  <si>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</si>
  <si>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7.45% REC Ltd (30/11/2022)</t>
  </si>
  <si>
    <t>INE020B08AP1</t>
  </si>
  <si>
    <t>7.75% LIC Housing Finance Ltd (23/07/2024) **</t>
  </si>
  <si>
    <t>INE115A07OL3</t>
  </si>
  <si>
    <t>7.50% Power Finance Corporation Ltd (16/08/2021) **</t>
  </si>
  <si>
    <t>INE134E08IH4</t>
  </si>
  <si>
    <t>7.65% Small Industries Development Bank Of India (15/04/2021) **</t>
  </si>
  <si>
    <t>INE556F08JD2</t>
  </si>
  <si>
    <t>0.00% Sundaram Finance Ltd (15/06/2021) **</t>
  </si>
  <si>
    <t>INE660A07PN1</t>
  </si>
  <si>
    <t>ICRA AAA</t>
  </si>
  <si>
    <t>8.22% National Bank For Agriculture &amp; Rural Development (13/12/2028) **</t>
  </si>
  <si>
    <t>INE261F08AV0</t>
  </si>
  <si>
    <t>8.35% Indian Railway Finance Corporation Ltd (13/03/2029) **</t>
  </si>
  <si>
    <t>INE053F07BC1</t>
  </si>
  <si>
    <t>8.80% LIC Housing Finance Ltd (25/01/2029) **</t>
  </si>
  <si>
    <t>INE115A07NU6</t>
  </si>
  <si>
    <t>8.33% LIC Housing Finance Ltd (31/05/2024)</t>
  </si>
  <si>
    <t>INE115A07OE8</t>
  </si>
  <si>
    <t>7.79% LIC Housing Finance Ltd (18/10/2024)</t>
  </si>
  <si>
    <t>INE115A07OM1</t>
  </si>
  <si>
    <t>7.09% REC Ltd (13/12/2022)</t>
  </si>
  <si>
    <t>INE020B08CD3</t>
  </si>
  <si>
    <t>8.70% Reliance Industries Ltd (15/06/2021) **</t>
  </si>
  <si>
    <t>INE110L07112</t>
  </si>
  <si>
    <t>6.27% Small Industries Development Bank Of India (27/02/2023)</t>
  </si>
  <si>
    <t>INE556F08JP6</t>
  </si>
  <si>
    <t>7.70% REC Ltd (15/03/2021) **</t>
  </si>
  <si>
    <t>INE020B08AS5</t>
  </si>
  <si>
    <t>7.47% Power Finance Corporation Ltd (16/09/2021) **</t>
  </si>
  <si>
    <t>INE134E08IJ0</t>
  </si>
  <si>
    <t>8.30% Reliance Industries Ltd (08/03/2022)</t>
  </si>
  <si>
    <t>INE002A08575</t>
  </si>
  <si>
    <t>8.30% NTPC Ltd (15/01/2029)</t>
  </si>
  <si>
    <t>INE733E07KJ7</t>
  </si>
  <si>
    <t>8.13% Power Grid Corporation of India Ltd (25/04/2024) **</t>
  </si>
  <si>
    <t>INE752E07NQ6</t>
  </si>
  <si>
    <t>7.85% Power Finance Corporation Ltd (03/04/2028) **</t>
  </si>
  <si>
    <t>INE134E08JP5</t>
  </si>
  <si>
    <t>7.32% NTPC Ltd (17/07/2029) **</t>
  </si>
  <si>
    <t>INE733E07KL3</t>
  </si>
  <si>
    <t>7.35% Bharat Petroleum Corporation Ltd (10/03/2022) **</t>
  </si>
  <si>
    <t>INE029A07075</t>
  </si>
  <si>
    <t>8.60% National Bank For Agriculture &amp; Rural Development (31/01/2022) **</t>
  </si>
  <si>
    <t>INE261F08AI7</t>
  </si>
  <si>
    <t>Government Bonds</t>
  </si>
  <si>
    <t>7.68% GOI (15/12/2023)</t>
  </si>
  <si>
    <t>IN0020150010</t>
  </si>
  <si>
    <t>Sovereign</t>
  </si>
  <si>
    <t>6.18% GOI (04/11/2024)</t>
  </si>
  <si>
    <t>IN0020190396</t>
  </si>
  <si>
    <t>5.77% GOI (03/08/2030)</t>
  </si>
  <si>
    <t>IN0020200153</t>
  </si>
  <si>
    <t>7.26% GOI (14/01/2029)</t>
  </si>
  <si>
    <t>IN0020180454</t>
  </si>
  <si>
    <t>6.79% GOI (15/05/2027)</t>
  </si>
  <si>
    <t>IN0020170026</t>
  </si>
  <si>
    <t>6.19% GOI (16/09/2034)</t>
  </si>
  <si>
    <t>IN0020200096</t>
  </si>
  <si>
    <t>5.79% GOI (11/05/2030)</t>
  </si>
  <si>
    <t>IN0020200070</t>
  </si>
  <si>
    <t>8.24% GOI (15/02/2027)</t>
  </si>
  <si>
    <t>IN0020060078</t>
  </si>
  <si>
    <t>8.15% GOI (24/11/2026)</t>
  </si>
  <si>
    <t>IN0020140060</t>
  </si>
  <si>
    <t>7.37% GOI (16/04/2023)</t>
  </si>
  <si>
    <t>IN0020180025</t>
  </si>
  <si>
    <t>7.16% GOI (20/09/2050)</t>
  </si>
  <si>
    <t>IN0020200054</t>
  </si>
  <si>
    <t>6.79% GOI (26/12/2029)</t>
  </si>
  <si>
    <t>IN0020160118</t>
  </si>
  <si>
    <t>7.42% Maharashtra SDL 11-May-22</t>
  </si>
  <si>
    <t>IN2220170012</t>
  </si>
  <si>
    <t xml:space="preserve">      REGULAR PLAN - MONTHLY DIVIDEND OPTION</t>
  </si>
  <si>
    <t xml:space="preserve">      DIRECT PLAN - MONTHLY DIVIDEND OPTION</t>
  </si>
  <si>
    <t>8.81% Small Industries Development Bank Of India (25/01/2022) **</t>
  </si>
  <si>
    <t>INE556F08JI1</t>
  </si>
  <si>
    <t>7.17% GOI (08/01/2028)</t>
  </si>
  <si>
    <t>IN0020170174</t>
  </si>
  <si>
    <t>6.45% GOI (07/10/2029)</t>
  </si>
  <si>
    <t>IN0020190362</t>
  </si>
  <si>
    <t>7.57% GOI (17/06/2033)</t>
  </si>
  <si>
    <t>IN0020190065</t>
  </si>
  <si>
    <t>6.68% GOI (17/09/2031)</t>
  </si>
  <si>
    <t>IN0020170042</t>
  </si>
  <si>
    <t>6.80% GOI (15/12/2060)</t>
  </si>
  <si>
    <t>IN0020200187</t>
  </si>
  <si>
    <t>8.13% GOI (22/06/2045)</t>
  </si>
  <si>
    <t>IN0020150044</t>
  </si>
  <si>
    <t>7.48% Indian Railway Finance Corporation Ltd (13/08/2029) **</t>
  </si>
  <si>
    <t>INE053F07BU3</t>
  </si>
  <si>
    <t>7.43% National Bank For Agriculture &amp; Rural Development (31/01/2030) **</t>
  </si>
  <si>
    <t>INE261F08BX4</t>
  </si>
  <si>
    <t>7.50% Housing Development Finance Corporation Ltd (08/01/2025) **</t>
  </si>
  <si>
    <t>INE001A07SE1</t>
  </si>
  <si>
    <t>6.87% National Bank For Agriculture &amp; Rural Development (08/03/2030) **</t>
  </si>
  <si>
    <t>INE261F08CB8</t>
  </si>
  <si>
    <t>8.39% National Bank For Agriculture &amp; Rural Development (19/07/2021) **</t>
  </si>
  <si>
    <t>INE261F08AL1</t>
  </si>
  <si>
    <t>7.27% GOI (08/04/2026)</t>
  </si>
  <si>
    <t>IN0020190016</t>
  </si>
  <si>
    <t>6.57% GOI (05/12/2033)</t>
  </si>
  <si>
    <t>IN0020160100</t>
  </si>
  <si>
    <t>8.47% Maharashtra SDL 10-Feb-26</t>
  </si>
  <si>
    <t>IN2220150188</t>
  </si>
  <si>
    <t>8.2534% LIC Housing Finance Ltd (17/09/2021) **</t>
  </si>
  <si>
    <t>INE115A07OA6</t>
  </si>
  <si>
    <t>8.48% Mahindra &amp; Mahindra Financial Services Ltd (30/10/2020) **</t>
  </si>
  <si>
    <t>INE774D07NT6</t>
  </si>
  <si>
    <t>IND AAA</t>
  </si>
  <si>
    <t>7.35% Power Finance Corporation Ltd (15/10/2022)</t>
  </si>
  <si>
    <t>INE134E08KG2</t>
  </si>
  <si>
    <t>0.00% Kotak Mahindra Prime Ltd (23/12/2020) **</t>
  </si>
  <si>
    <t>INE916DA7PH7</t>
  </si>
  <si>
    <t>8.18% Power Finance Corporation Ltd (19/03/2022) **</t>
  </si>
  <si>
    <t>INE134E08JW1</t>
  </si>
  <si>
    <t>7.00% Housing Development Finance Corporation Ltd (19/05/2022) **</t>
  </si>
  <si>
    <t>INE001A07SM4</t>
  </si>
  <si>
    <t>8.32% Reliance Industries Ltd (08/07/2021) **</t>
  </si>
  <si>
    <t>INE110L07070</t>
  </si>
  <si>
    <t>6.32% REC Ltd (31/12/2021) **</t>
  </si>
  <si>
    <t>INE020B08CL6</t>
  </si>
  <si>
    <t>6.99% Small Industries Development Bank Of India (08/08/2022) **</t>
  </si>
  <si>
    <t>INE556F08JN1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</si>
  <si>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</si>
  <si>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</si>
  <si>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</si>
  <si>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</si>
  <si>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 **</t>
  </si>
  <si>
    <t>INE134E08KS7</t>
  </si>
  <si>
    <t>8.13% Power Grid Corporation of India Ltd (25/04/2022) **</t>
  </si>
  <si>
    <t>INE752E07NO1</t>
  </si>
  <si>
    <t>6.98% National Bank For Agriculture &amp; Rural Development (19/09/2022) **</t>
  </si>
  <si>
    <t>INE261F08BO3</t>
  </si>
  <si>
    <t>7.24% LIC Housing Finance Ltd (23/08/2021) **</t>
  </si>
  <si>
    <t>INE115A07OK5</t>
  </si>
  <si>
    <t>Money Market Instruments</t>
  </si>
  <si>
    <t>Certificate of Deposit</t>
  </si>
  <si>
    <t>Kotak Mahindra Bank Ltd (22/12/2020) ** #</t>
  </si>
  <si>
    <t>INE237A169K9</t>
  </si>
  <si>
    <t>CRISIL A1+</t>
  </si>
  <si>
    <t>Andhra Bank (12/11/2020) ** #</t>
  </si>
  <si>
    <t>INE434A16QR1</t>
  </si>
  <si>
    <t>CARE A1+</t>
  </si>
  <si>
    <t>Axis Bank Ltd (12/11/2020) ** #</t>
  </si>
  <si>
    <t>INE238A166R9</t>
  </si>
  <si>
    <t>Bank of Baroda (01/06/2021) ** #</t>
  </si>
  <si>
    <t>INE028A16CG4</t>
  </si>
  <si>
    <t>IND A1+</t>
  </si>
  <si>
    <t>National Bank For Agriculture &amp; Rural Development (17/06/2021) ** #</t>
  </si>
  <si>
    <t>INE261F16546</t>
  </si>
  <si>
    <t>Axis Bank Ltd (12/02/2021) ** #</t>
  </si>
  <si>
    <t>INE238A161U4</t>
  </si>
  <si>
    <t>Commercial Paper</t>
  </si>
  <si>
    <t>Indian Oil Corporation Ltd (19/10/2020) ** #</t>
  </si>
  <si>
    <t>INE242A14RP5</t>
  </si>
  <si>
    <t>ICRA A1+</t>
  </si>
  <si>
    <t>Housing Development Finance Corporation Ltd (10/03/2021) ** #</t>
  </si>
  <si>
    <t>INE001A14WM2</t>
  </si>
  <si>
    <t>Reliance Industries Ltd (02/03/2021) #</t>
  </si>
  <si>
    <t>INE002A14EM8</t>
  </si>
  <si>
    <t>Treasury Bill</t>
  </si>
  <si>
    <t>182 DAYS INDIA TREASURY BILLS 19-NOV-20</t>
  </si>
  <si>
    <t>IN002020Y074</t>
  </si>
  <si>
    <t xml:space="preserve"> Sovereign</t>
  </si>
  <si>
    <t>182 DAYS INDIA TREASURY BILLS 10-DEC-20</t>
  </si>
  <si>
    <t>IN002020Y108</t>
  </si>
  <si>
    <t>8.12% GOI (10/12/2020)</t>
  </si>
  <si>
    <t>IN0020120054</t>
  </si>
  <si>
    <t>#  Unlisted Security</t>
  </si>
  <si>
    <t>8.95% Reliance Industries Ltd (09/11/2028) **</t>
  </si>
  <si>
    <t>INE002A08542</t>
  </si>
  <si>
    <t>7.32% GOI (28/01/2024)</t>
  </si>
  <si>
    <t>IN0020180488</t>
  </si>
  <si>
    <t>8.49% Punjab SDL Uday 31-Mar-22</t>
  </si>
  <si>
    <t>IN2820150273</t>
  </si>
  <si>
    <t>7.72% GOI (26/10/2055)</t>
  </si>
  <si>
    <t>IN0020150077</t>
  </si>
  <si>
    <t>7.59% GOI (11/01/2026)</t>
  </si>
  <si>
    <t>IN0020150093</t>
  </si>
  <si>
    <t>Power Grid Corporation of India Ltd (16/10/2020) ** #</t>
  </si>
  <si>
    <t>INE752E14435</t>
  </si>
  <si>
    <t>Reliance Industries Ltd (23/10/2020) ** #</t>
  </si>
  <si>
    <t>INE002A14FQ6</t>
  </si>
  <si>
    <t>Indian Railway Finance Corporation Ltd (09/10/2020) #</t>
  </si>
  <si>
    <t>INE053F14195</t>
  </si>
  <si>
    <t>Chennai Petroleum Corporation Ltd (03/11/2020) ** #</t>
  </si>
  <si>
    <t>INE178A14FW2</t>
  </si>
  <si>
    <t>Berger Paints India Ltd (20/10/2020) ** #</t>
  </si>
  <si>
    <t>INE463A14JM1</t>
  </si>
  <si>
    <t>91 DAYS INDIA TREASURY BILLS 08-OCT-20</t>
  </si>
  <si>
    <t>IN002020X167</t>
  </si>
  <si>
    <t>182 DAYS INDIA TREASURY BILLS 15-OCT-20</t>
  </si>
  <si>
    <t>IN002020Y025</t>
  </si>
  <si>
    <t>91 DAYS INDIA TREASURY BILLS 22-OCT-20</t>
  </si>
  <si>
    <t>IN002020X183</t>
  </si>
  <si>
    <t>182 DAYS INDIA TREASURY BILLS 22-OCT-20</t>
  </si>
  <si>
    <t>IN002020Y033</t>
  </si>
  <si>
    <t>182 DAYS INDIA TREASURY BILLS 29-OCT-20</t>
  </si>
  <si>
    <t>IN002020Y041</t>
  </si>
  <si>
    <t>91 DAYS INDIA TREASURY BILLS 29-OCT-20</t>
  </si>
  <si>
    <t>IN002020X191</t>
  </si>
  <si>
    <t>182 DAYS INDIA TREASURY BILLS 08-OCT-20</t>
  </si>
  <si>
    <t>IN002020Y017</t>
  </si>
  <si>
    <t>91 DAYS INDIA TREASURY BILLS 15-OCT-20</t>
  </si>
  <si>
    <t>IN002020X175</t>
  </si>
  <si>
    <t>182 DAYS INDIA TREASURY BILLS 12-NOV-20</t>
  </si>
  <si>
    <t>IN002020Y066</t>
  </si>
  <si>
    <t>364 DAYS INDIA TREASURY BILLS 19-NOV-20</t>
  </si>
  <si>
    <t>IN002019Z354</t>
  </si>
  <si>
    <t>91 DAYS INDIA TREASURY BILLS 01-OCT-20</t>
  </si>
  <si>
    <t>IN002020X159</t>
  </si>
  <si>
    <t>8.18% NTPC Ltd (31/12/2020) **</t>
  </si>
  <si>
    <t>INE733E07JY8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</si>
  <si>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</si>
  <si>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</si>
  <si>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</si>
  <si>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</si>
  <si>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7.10% Power Finance Corporation Ltd (08/08/2022) **</t>
  </si>
  <si>
    <t>INE134E08JD1</t>
  </si>
  <si>
    <t>8.70% Reliance Industries Ltd (16/07/2021) **</t>
  </si>
  <si>
    <t>INE110L07120</t>
  </si>
  <si>
    <t>7.30% Kotak Mahindra Prime Ltd (14/10/2020) **</t>
  </si>
  <si>
    <t>INE916DA7OZ2</t>
  </si>
  <si>
    <t>9.4041% L&amp;T Housing Finance Ltd (11/10/2021) **</t>
  </si>
  <si>
    <t>INE476M07BQ0</t>
  </si>
  <si>
    <t>182 DAYS INDIA TREASURY BILLS 31-DEC-20</t>
  </si>
  <si>
    <t>IN002020Y132</t>
  </si>
  <si>
    <t>182 DAYS INDIA TREASURY BILLS 18-FEB-21</t>
  </si>
  <si>
    <t>IN002020Y207</t>
  </si>
  <si>
    <t>6.17% GOI (15/07/2021)</t>
  </si>
  <si>
    <t>IN0020190099</t>
  </si>
  <si>
    <t>7.42% Power Finance Corporation Ltd (19/11/2024)</t>
  </si>
  <si>
    <t>INE134E08KH0</t>
  </si>
  <si>
    <t>7.20% Housing Development Finance Corporation Ltd (13/04/2023) **</t>
  </si>
  <si>
    <t>INE001A07SJ0</t>
  </si>
  <si>
    <t>7.16% Power Finance Corporation Ltd (24/04/2025) **</t>
  </si>
  <si>
    <t>INE134E08KP3</t>
  </si>
  <si>
    <t>8.15% REC Ltd (10/06/2022) **</t>
  </si>
  <si>
    <t>INE020B08BT1</t>
  </si>
  <si>
    <t>7.87% Larsen &amp; Toubro Ltd (18/04/2022) **</t>
  </si>
  <si>
    <t>INE018A08AR3</t>
  </si>
  <si>
    <t>6.80% Small Industries Development Bank Of India (29/09/2022) **</t>
  </si>
  <si>
    <t>INE556F08JO9</t>
  </si>
  <si>
    <t>6.72% Power Finance Corporation Ltd (09/06/2023) **</t>
  </si>
  <si>
    <t>INE134E08KW9</t>
  </si>
  <si>
    <t>5.40% Housing Development Finance Corporation Ltd (11/08/2023) **</t>
  </si>
  <si>
    <t>INE001A07SP7</t>
  </si>
  <si>
    <t>7.85% National Bank For Agriculture &amp; Rural Development (23/05/2022) **</t>
  </si>
  <si>
    <t>INE261F08BJ3</t>
  </si>
  <si>
    <t>7.85% LIC Housing Finance Ltd (23/09/2022)</t>
  </si>
  <si>
    <t>INE115A07OG3</t>
  </si>
  <si>
    <t>7.24% REC Ltd (31/12/2022) **</t>
  </si>
  <si>
    <t>INE020B08CG6</t>
  </si>
  <si>
    <t>7.00% Reliance Industries Ltd (31/08/2022) **</t>
  </si>
  <si>
    <t>INE002A08476</t>
  </si>
  <si>
    <t>6.59% Indian Railway Finance Corporation Ltd (14/04/2023) **</t>
  </si>
  <si>
    <t>INE053F07BZ2</t>
  </si>
  <si>
    <t>7.35% Housing Development Finance Corporation Ltd (10/02/2025)</t>
  </si>
  <si>
    <t>INE001A07SG6</t>
  </si>
  <si>
    <t>6.93% UltraTech Cement Ltd (25/11/2021) **</t>
  </si>
  <si>
    <t>INE481G08032</t>
  </si>
  <si>
    <t>7.5438%Kotak Mahindra Prime Ltd (08/01/2021) **</t>
  </si>
  <si>
    <t>INE916DA7PE4</t>
  </si>
  <si>
    <t>8.40% Power Grid Corporation of India Ltd (14/09/2021) **</t>
  </si>
  <si>
    <t>INE752E07MZ9</t>
  </si>
  <si>
    <t>8.40% Power Grid Corporation of India Ltd (27/05/2027) **</t>
  </si>
  <si>
    <t>INE752E07MT2</t>
  </si>
  <si>
    <t>8.40% Power Grid Corporation of India Ltd (27/05/2026) **</t>
  </si>
  <si>
    <t>INE752E07MS4</t>
  </si>
  <si>
    <t>8.50% National Bank For Agriculture &amp; Rural Development (31/01/2023)</t>
  </si>
  <si>
    <t>INE261F08AT4</t>
  </si>
  <si>
    <t>8.50% LIC Housing Finance Ltd (20/06/2022) **</t>
  </si>
  <si>
    <t>INE115A07OD0</t>
  </si>
  <si>
    <t>7.55% Indian Railway Finance Corporation Ltd (12/04/2030) **</t>
  </si>
  <si>
    <t>INE053F07BY5</t>
  </si>
  <si>
    <t>8.25% Mahindra &amp; Mahindra Financial Services Ltd (19/04/2022) **</t>
  </si>
  <si>
    <t>INE774D07SC1</t>
  </si>
  <si>
    <t>6.72% NTPC Ltd (24/11/2021) **</t>
  </si>
  <si>
    <t>INE733E07KH1</t>
  </si>
  <si>
    <t>6.60% REC Ltd (21/03/2022)</t>
  </si>
  <si>
    <t>INE020B08CV5</t>
  </si>
  <si>
    <t>8.10% NTPC Ltd (27/05/2021) **</t>
  </si>
  <si>
    <t>INE733E07KB4</t>
  </si>
  <si>
    <t>7.65% LIC Housing Finance Ltd (17/11/2020) **</t>
  </si>
  <si>
    <t>INE115A07LF1</t>
  </si>
  <si>
    <t>8.85% Power Grid Corporation of India Ltd (19/10/2020) **</t>
  </si>
  <si>
    <t>INE752E07KF5</t>
  </si>
  <si>
    <t>7.67% LIC Housing Finance Ltd (29/07/2021)</t>
  </si>
  <si>
    <t>INE115A07LX4</t>
  </si>
  <si>
    <t>8.58% Housing Development Finance Corporation Ltd (18/03/2022)</t>
  </si>
  <si>
    <t>INE001A07RS3</t>
  </si>
  <si>
    <t>364 DAYS INDIA TREASURY BILLS 05-AUG-21</t>
  </si>
  <si>
    <t>IN002020Z188</t>
  </si>
  <si>
    <t>8.62% MAHARASHTRA SDL 06-MAR-23</t>
  </si>
  <si>
    <t>IN2220120116</t>
  </si>
  <si>
    <t>8.27% Rajasthan SDL 23-Jun-22</t>
  </si>
  <si>
    <t>IN2920160081</t>
  </si>
  <si>
    <t>8.21% Haryana SDL Uday 31-Mar-22</t>
  </si>
  <si>
    <t>IN1620150145</t>
  </si>
  <si>
    <t>8.21% Rajasthan Uday 31-Mar-21</t>
  </si>
  <si>
    <t>IN2920150405</t>
  </si>
  <si>
    <t>7.86% Karnataka SDL 15-Mar-27</t>
  </si>
  <si>
    <t>IN1920160117</t>
  </si>
  <si>
    <t>0.00% Aditya Birla Finance Ltd (12/10/2021) **</t>
  </si>
  <si>
    <t>INE860H07GD2</t>
  </si>
  <si>
    <t>7.40% LIC Housing Finance Ltd (06/09/2024)</t>
  </si>
  <si>
    <t>INE115A07ML7</t>
  </si>
  <si>
    <t>8.10% Mahindra &amp; Mahindra Financial Services Ltd (19/04/2021) **</t>
  </si>
  <si>
    <t>INE774D07SB3</t>
  </si>
  <si>
    <t>9.35% Power Grid Corporation of India Ltd (29/08/2023) **</t>
  </si>
  <si>
    <t>INE752E07IT0</t>
  </si>
  <si>
    <t>7.60% Grasim Industries Ltd (04/06/2024) **</t>
  </si>
  <si>
    <t>INE047A08158</t>
  </si>
  <si>
    <t>7.40% National Bank For Agriculture &amp; Rural Development (19/03/2030) **</t>
  </si>
  <si>
    <t>INE261F08CC6</t>
  </si>
  <si>
    <t>7.50% Indian Railway Finance Corporation Ltd (07/09/2029) **</t>
  </si>
  <si>
    <t>INE053F07BW9</t>
  </si>
  <si>
    <t>7.28% Housing Development Finance Corporation Ltd (26/09/2022) **</t>
  </si>
  <si>
    <t>INE001A07RZ8</t>
  </si>
  <si>
    <t>7.80% LIC Housing Finance Ltd (03/05/2022) **</t>
  </si>
  <si>
    <t>INE115A07LQ8</t>
  </si>
  <si>
    <t>6.99% Housing Development Finance Corporation Ltd (25/11/2021)</t>
  </si>
  <si>
    <t>INE001A07SC5</t>
  </si>
  <si>
    <t>7.25% Housing Development Finance Corporation Ltd (17/06/2030) **</t>
  </si>
  <si>
    <t>INE001A07SO0</t>
  </si>
  <si>
    <t>Dabur India Ltd</t>
  </si>
  <si>
    <t>INE016A01026</t>
  </si>
  <si>
    <t>Havells India Ltd</t>
  </si>
  <si>
    <t>INE176B01034</t>
  </si>
  <si>
    <t>0.00% Kotak Mahindra Prime Ltd (29/03/2021) **</t>
  </si>
  <si>
    <t>INE916DA7PK1</t>
  </si>
  <si>
    <t>0.00% HDB Financial Services Ltd (06/04/2021) **</t>
  </si>
  <si>
    <t>INE756I07BW1</t>
  </si>
  <si>
    <t>7.65% Indian Railway Finance Corporation Ltd (15/03/2021) **</t>
  </si>
  <si>
    <t>INE053F07AK6</t>
  </si>
  <si>
    <t>7.73% Power Finance Corporation Ltd (12/03/2021) **</t>
  </si>
  <si>
    <t>INE134E08JJ8</t>
  </si>
  <si>
    <t>0.00% Mahindra &amp; Mahindra Financial Services Ltd (07/04/2021) **</t>
  </si>
  <si>
    <t>INE774D07RY7</t>
  </si>
  <si>
    <t>8.33% NTPC Ltd (24/02/2021) **</t>
  </si>
  <si>
    <t>INE733E07JZ5</t>
  </si>
  <si>
    <t>8.75% LIC Housing Finance Ltd (12/02/2021) **</t>
  </si>
  <si>
    <t>INE115A07JB4</t>
  </si>
  <si>
    <t>8.75% Housing Development Finance Corporation Ltd (04/03/2021) **</t>
  </si>
  <si>
    <t>INE001A07OO9</t>
  </si>
  <si>
    <t>7.88% LIC Housing Finance Ltd (28/01/2021) **</t>
  </si>
  <si>
    <t>INE115A07MT0</t>
  </si>
  <si>
    <t>0.00% LIC Housing Finance Ltd (25/03/2021) **</t>
  </si>
  <si>
    <t>INE115A07MX2</t>
  </si>
  <si>
    <t>7.73% Power Finance Corporation Ltd (05/04/2021) **</t>
  </si>
  <si>
    <t>INE134E08JK6</t>
  </si>
  <si>
    <t>8.39% Rajasthan SDL 15-Mar-21</t>
  </si>
  <si>
    <t>IN2920150306</t>
  </si>
  <si>
    <t>8.43% Uttar Pradesh SDL Uday 29-Mar-21</t>
  </si>
  <si>
    <t>IN3320150656</t>
  </si>
  <si>
    <t>8.51% Uttar Pradesh SDL Uday 21-Mar-21</t>
  </si>
  <si>
    <t>IN3320150532</t>
  </si>
  <si>
    <t>HDFC Asset Management Company Ltd</t>
  </si>
  <si>
    <t>INE127D01025</t>
  </si>
  <si>
    <t>V.I.P. Industries Ltd</t>
  </si>
  <si>
    <t>INE054A01027</t>
  </si>
  <si>
    <t>Hindalco Industries Ltd</t>
  </si>
  <si>
    <t>INE038A01020</t>
  </si>
  <si>
    <t>7.73% REC Ltd (15/06/2021) **</t>
  </si>
  <si>
    <t>INE020B08AW7</t>
  </si>
  <si>
    <t>7.5320% Mahindra &amp; Mahin Fin Ser (29/01/2021) **</t>
  </si>
  <si>
    <t>INE774D07RV3</t>
  </si>
  <si>
    <t>7.93% Power Grid Corporation of India Ltd (20/05/2021) **</t>
  </si>
  <si>
    <t>INE752E07KS8</t>
  </si>
  <si>
    <t>8.71% HDB Financial Services Ltd (17/05/2021) **</t>
  </si>
  <si>
    <t>INE756I07CQ1</t>
  </si>
  <si>
    <t>8.50% LIC Housing Finance Ltd (05/01/2021) **</t>
  </si>
  <si>
    <t>INE115A07IO9</t>
  </si>
  <si>
    <t>9.57% Indian Railway Finance Corporation Ltd (31/05/2021) **</t>
  </si>
  <si>
    <t>INE053F09HR2</t>
  </si>
  <si>
    <t>9.64% Power Grid Corporation of India Ltd (31/05/2021) **</t>
  </si>
  <si>
    <t>INE752E07IG7</t>
  </si>
  <si>
    <t>7.18% REC Ltd (21/05/2021) **</t>
  </si>
  <si>
    <t>INE020B08AO4</t>
  </si>
  <si>
    <t>7.94% GOI (24/05/2021)</t>
  </si>
  <si>
    <t>IN0020060318</t>
  </si>
  <si>
    <t>10.25% GOI (30/05/2021)</t>
  </si>
  <si>
    <t>IN0020010040</t>
  </si>
  <si>
    <t>7.95% LIC Housing Finance Ltd (24/03/2022) **</t>
  </si>
  <si>
    <t>INE115A07LM7</t>
  </si>
  <si>
    <t>8.99% GUJARAT SDL 14-MAR-22</t>
  </si>
  <si>
    <t>IN1520110132</t>
  </si>
  <si>
    <t>**  Non Traded Security</t>
  </si>
  <si>
    <t>(6) Details of repo transaction in corporate debt securities for the half year ended September,30 2020 is Nil.</t>
  </si>
  <si>
    <t>(3) Details of Dividend declared per unit (In Rupees) during the half year are as follows</t>
  </si>
  <si>
    <t>(7) During the period, the portfolio turnover ratio is 0.41 times.</t>
  </si>
  <si>
    <t xml:space="preserve"> </t>
  </si>
  <si>
    <t>Monthly Portfolio Statement as on September 30, 2020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</si>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</sst>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11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1">
    <xf numFmtId="0" fontId="0" fillId="0" borderId="0" xfId="0"/>
    <xf numFmtId="0" fontId="9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/>
    <xf numFmtId="4" fontId="9" fillId="2" borderId="0" xfId="0" applyNumberFormat="1" applyFont="1" applyFill="1"/>
    <xf numFmtId="0" fontId="10" fillId="2" borderId="0" xfId="0" applyFont="1" applyFill="1"/>
    <xf numFmtId="0" fontId="10" fillId="2" borderId="0" xfId="0" applyNumberFormat="1" applyFont="1" applyFill="1"/>
    <xf numFmtId="4" fontId="10" fillId="2" borderId="0" xfId="0" applyNumberFormat="1" applyFont="1" applyFill="1"/>
    <xf numFmtId="4" fontId="10" fillId="2" borderId="4" xfId="0" applyNumberFormat="1" applyFont="1" applyFill="1" applyBorder="1"/>
    <xf numFmtId="0" fontId="10" fillId="2" borderId="5" xfId="0" applyFont="1" applyFill="1" applyBorder="1"/>
    <xf numFmtId="0" fontId="9" fillId="2" borderId="6" xfId="0" applyFont="1" applyFill="1" applyBorder="1"/>
    <xf numFmtId="0" fontId="9" fillId="2" borderId="6" xfId="0" applyNumberFormat="1" applyFont="1" applyFill="1" applyBorder="1"/>
    <xf numFmtId="4" fontId="9" fillId="2" borderId="6" xfId="0" applyNumberFormat="1" applyFont="1" applyFill="1" applyBorder="1"/>
    <xf numFmtId="4" fontId="9" fillId="2" borderId="7" xfId="0" applyNumberFormat="1" applyFont="1" applyFill="1" applyBorder="1"/>
    <xf numFmtId="0" fontId="10" fillId="2" borderId="8" xfId="0" applyFont="1" applyFill="1" applyBorder="1"/>
    <xf numFmtId="0" fontId="9" fillId="2" borderId="9" xfId="0" applyFont="1" applyFill="1" applyBorder="1"/>
    <xf numFmtId="0" fontId="9" fillId="2" borderId="9" xfId="0" applyNumberFormat="1" applyFont="1" applyFill="1" applyBorder="1"/>
    <xf numFmtId="4" fontId="9" fillId="2" borderId="9" xfId="0" applyNumberFormat="1" applyFont="1" applyFill="1" applyBorder="1"/>
    <xf numFmtId="4" fontId="9" fillId="2" borderId="10" xfId="0" applyNumberFormat="1" applyFont="1" applyFill="1" applyBorder="1"/>
    <xf numFmtId="0" fontId="9" fillId="2" borderId="8" xfId="0" applyFont="1" applyFill="1" applyBorder="1"/>
    <xf numFmtId="3" fontId="9" fillId="2" borderId="9" xfId="0" applyNumberFormat="1" applyFont="1" applyFill="1" applyBorder="1"/>
    <xf numFmtId="0" fontId="10" fillId="2" borderId="11" xfId="0" applyFont="1" applyFill="1" applyBorder="1"/>
    <xf numFmtId="0" fontId="10" fillId="2" borderId="12" xfId="0" applyFont="1" applyFill="1" applyBorder="1"/>
    <xf numFmtId="0" fontId="10" fillId="2" borderId="12" xfId="0" applyNumberFormat="1" applyFont="1" applyFill="1" applyBorder="1"/>
    <xf numFmtId="4" fontId="10" fillId="2" borderId="13" xfId="0" applyNumberFormat="1" applyFont="1" applyFill="1" applyBorder="1"/>
    <xf numFmtId="4" fontId="10" fillId="2" borderId="14" xfId="0" applyNumberFormat="1" applyFont="1" applyFill="1" applyBorder="1"/>
    <xf numFmtId="0" fontId="10" fillId="2" borderId="15" xfId="0" applyFont="1" applyFill="1" applyBorder="1"/>
    <xf numFmtId="0" fontId="10" fillId="2" borderId="15" xfId="0" applyNumberFormat="1" applyFont="1" applyFill="1" applyBorder="1"/>
    <xf numFmtId="4" fontId="10" fillId="2" borderId="15" xfId="0" applyNumberFormat="1" applyFont="1" applyFill="1" applyBorder="1"/>
    <xf numFmtId="0" fontId="10" fillId="2" borderId="16" xfId="0" applyFont="1" applyFill="1" applyBorder="1"/>
    <xf numFmtId="0" fontId="10" fillId="2" borderId="16" xfId="0" applyNumberFormat="1" applyFont="1" applyFill="1" applyBorder="1"/>
    <xf numFmtId="4" fontId="10" fillId="2" borderId="16" xfId="0" applyNumberFormat="1" applyFont="1" applyFill="1" applyBorder="1"/>
    <xf numFmtId="0" fontId="10" fillId="2" borderId="17" xfId="0" applyFont="1" applyFill="1" applyBorder="1"/>
    <xf numFmtId="0" fontId="9" fillId="2" borderId="18" xfId="0" applyFont="1" applyFill="1" applyBorder="1"/>
    <xf numFmtId="0" fontId="9" fillId="2" borderId="18" xfId="0" applyNumberFormat="1" applyFont="1" applyFill="1" applyBorder="1"/>
    <xf numFmtId="4" fontId="9" fillId="2" borderId="18" xfId="0" applyNumberFormat="1" applyFont="1" applyFill="1" applyBorder="1"/>
    <xf numFmtId="0" fontId="10" fillId="2" borderId="4" xfId="0" applyFont="1" applyFill="1" applyBorder="1"/>
    <xf numFmtId="0" fontId="10" fillId="2" borderId="4" xfId="0" applyNumberFormat="1" applyFont="1" applyFill="1" applyBorder="1"/>
    <xf numFmtId="0" fontId="10" fillId="2" borderId="18" xfId="0" applyFont="1" applyFill="1" applyBorder="1"/>
    <xf numFmtId="0" fontId="10" fillId="2" borderId="9" xfId="0" applyFont="1" applyFill="1" applyBorder="1"/>
    <xf numFmtId="4" fontId="10" fillId="2" borderId="12" xfId="0" applyNumberFormat="1" applyFont="1" applyFill="1" applyBorder="1"/>
    <xf numFmtId="0" fontId="10" fillId="2" borderId="19" xfId="0" applyFont="1" applyFill="1" applyBorder="1"/>
    <xf numFmtId="0" fontId="10" fillId="2" borderId="19" xfId="0" applyNumberFormat="1" applyFont="1" applyFill="1" applyBorder="1"/>
    <xf numFmtId="4" fontId="10" fillId="2" borderId="19" xfId="0" applyNumberFormat="1" applyFont="1" applyFill="1" applyBorder="1"/>
    <xf numFmtId="0" fontId="9" fillId="2" borderId="20" xfId="0" applyFont="1" applyFill="1" applyBorder="1"/>
    <xf numFmtId="3" fontId="9" fillId="2" borderId="20" xfId="0" applyNumberFormat="1" applyFont="1" applyFill="1" applyBorder="1"/>
    <xf numFmtId="4" fontId="9" fillId="2" borderId="20" xfId="0" applyNumberFormat="1" applyFont="1" applyFill="1" applyBorder="1"/>
    <xf numFmtId="0" fontId="10" fillId="2" borderId="21" xfId="0" applyFont="1" applyFill="1" applyBorder="1"/>
    <xf numFmtId="0" fontId="10" fillId="2" borderId="21" xfId="0" applyNumberFormat="1" applyFont="1" applyFill="1" applyBorder="1"/>
    <xf numFmtId="4" fontId="10" fillId="2" borderId="21" xfId="0" applyNumberFormat="1" applyFont="1" applyFill="1" applyBorder="1"/>
    <xf numFmtId="0" fontId="10" fillId="2" borderId="6" xfId="0" applyFont="1" applyFill="1" applyBorder="1"/>
    <xf numFmtId="0" fontId="10" fillId="2" borderId="9" xfId="0" applyNumberFormat="1" applyFont="1" applyFill="1" applyBorder="1"/>
    <xf numFmtId="4" fontId="10" fillId="2" borderId="9" xfId="0" applyNumberFormat="1" applyFont="1" applyFill="1" applyBorder="1"/>
    <xf numFmtId="2" fontId="9" fillId="2" borderId="0" xfId="0" applyNumberFormat="1" applyFont="1" applyFill="1"/>
    <xf numFmtId="4" fontId="9" fillId="2" borderId="0" xfId="0" applyNumberFormat="1" applyFont="1" applyFill="1" applyAlignment="1">
      <alignment horizontal="right"/>
    </xf>
    <xf numFmtId="164" fontId="9" fillId="2" borderId="0" xfId="1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10" fontId="9" fillId="2" borderId="0" xfId="1" applyNumberFormat="1" applyFont="1" applyFill="1" applyAlignment="1">
      <alignment horizontal="right"/>
    </xf>
    <xf numFmtId="0" fontId="6" fillId="2" borderId="0" xfId="0" applyFont="1" applyFill="1" applyBorder="1"/>
    <xf numFmtId="4" fontId="7" fillId="0" borderId="0" xfId="0" applyNumberFormat="1" applyFont="1" applyBorder="1"/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workbookViewId="0">
      <selection activeCell="B1" sqref="B1:G1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28515625" style="1" bestFit="1" customWidth="1"/>
    <col min="4" max="4" width="20.28515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1:7" ht="21" customHeight="1" x14ac:dyDescent="0.2">
      <c r="B1" s="69" t="s">
        <v>7</v>
      </c>
      <c r="C1" s="70"/>
      <c r="D1" s="70"/>
      <c r="E1" s="70"/>
      <c r="F1" s="70"/>
      <c r="G1" s="70"/>
    </row>
    <row r="3" spans="1:7" ht="16.5" thickBot="1" x14ac:dyDescent="0.25">
      <c r="B3" s="2" t="s">
        <v>760</v>
      </c>
      <c r="C3" s="3"/>
      <c r="D3" s="4"/>
      <c r="E3" s="5"/>
      <c r="F3" s="6"/>
      <c r="G3" s="6"/>
    </row>
    <row r="4" spans="1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1:7" x14ac:dyDescent="0.2">
      <c r="B5" s="18" t="s">
        <v>30</v>
      </c>
      <c r="C5" s="19"/>
      <c r="D5" s="19"/>
      <c r="E5" s="20"/>
      <c r="F5" s="21"/>
      <c r="G5" s="21"/>
    </row>
    <row r="6" spans="1:7" x14ac:dyDescent="0.2">
      <c r="B6" s="23" t="s">
        <v>31</v>
      </c>
      <c r="C6" s="24"/>
      <c r="D6" s="24"/>
      <c r="E6" s="25"/>
      <c r="F6" s="26"/>
      <c r="G6" s="26"/>
    </row>
    <row r="7" spans="1:7" x14ac:dyDescent="0.2">
      <c r="A7" s="1" t="s">
        <v>761</v>
      </c>
      <c r="B7" s="28" t="s">
        <v>32</v>
      </c>
      <c r="C7" s="24" t="s">
        <v>33</v>
      </c>
      <c r="D7" s="24" t="s">
        <v>34</v>
      </c>
      <c r="E7" s="29">
        <v>75800</v>
      </c>
      <c r="F7" s="26">
        <v>683.41</v>
      </c>
      <c r="G7" s="26">
        <v>7.75</v>
      </c>
    </row>
    <row r="8" spans="1:7" x14ac:dyDescent="0.2">
      <c r="B8" s="28" t="s">
        <v>35</v>
      </c>
      <c r="C8" s="24" t="s">
        <v>36</v>
      </c>
      <c r="D8" s="24" t="s">
        <v>37</v>
      </c>
      <c r="E8" s="29">
        <v>25800</v>
      </c>
      <c r="F8" s="26">
        <v>576.46</v>
      </c>
      <c r="G8" s="26">
        <v>6.54</v>
      </c>
    </row>
    <row r="9" spans="1:7" x14ac:dyDescent="0.2">
      <c r="B9" s="28" t="s">
        <v>38</v>
      </c>
      <c r="C9" s="24" t="s">
        <v>39</v>
      </c>
      <c r="D9" s="24" t="s">
        <v>40</v>
      </c>
      <c r="E9" s="29">
        <v>576600</v>
      </c>
      <c r="F9" s="26">
        <v>490.69</v>
      </c>
      <c r="G9" s="26">
        <v>5.56</v>
      </c>
    </row>
    <row r="10" spans="1:7" x14ac:dyDescent="0.2">
      <c r="B10" s="28" t="s">
        <v>41</v>
      </c>
      <c r="C10" s="24" t="s">
        <v>42</v>
      </c>
      <c r="D10" s="24" t="s">
        <v>43</v>
      </c>
      <c r="E10" s="29">
        <v>1320</v>
      </c>
      <c r="F10" s="26">
        <v>430.2</v>
      </c>
      <c r="G10" s="26">
        <v>4.88</v>
      </c>
    </row>
    <row r="11" spans="1:7" x14ac:dyDescent="0.2">
      <c r="B11" s="28" t="s">
        <v>44</v>
      </c>
      <c r="C11" s="24" t="s">
        <v>45</v>
      </c>
      <c r="D11" s="24" t="s">
        <v>46</v>
      </c>
      <c r="E11" s="29">
        <v>54000</v>
      </c>
      <c r="F11" s="26">
        <v>406.89</v>
      </c>
      <c r="G11" s="26">
        <v>4.6100000000000003</v>
      </c>
    </row>
    <row r="12" spans="1:7" x14ac:dyDescent="0.2">
      <c r="B12" s="28" t="s">
        <v>47</v>
      </c>
      <c r="C12" s="24" t="s">
        <v>48</v>
      </c>
      <c r="D12" s="24" t="s">
        <v>49</v>
      </c>
      <c r="E12" s="29">
        <v>44243</v>
      </c>
      <c r="F12" s="26">
        <v>345.18</v>
      </c>
      <c r="G12" s="26">
        <v>3.91</v>
      </c>
    </row>
    <row r="13" spans="1:7" x14ac:dyDescent="0.2">
      <c r="B13" s="28" t="s">
        <v>50</v>
      </c>
      <c r="C13" s="24" t="s">
        <v>51</v>
      </c>
      <c r="D13" s="24" t="s">
        <v>52</v>
      </c>
      <c r="E13" s="29">
        <v>130937</v>
      </c>
      <c r="F13" s="26">
        <v>335.53</v>
      </c>
      <c r="G13" s="26">
        <v>3.81</v>
      </c>
    </row>
    <row r="14" spans="1:7" x14ac:dyDescent="0.2">
      <c r="B14" s="28" t="s">
        <v>53</v>
      </c>
      <c r="C14" s="24" t="s">
        <v>54</v>
      </c>
      <c r="D14" s="24" t="s">
        <v>43</v>
      </c>
      <c r="E14" s="29">
        <v>46576</v>
      </c>
      <c r="F14" s="26">
        <v>334.67</v>
      </c>
      <c r="G14" s="26">
        <v>3.8</v>
      </c>
    </row>
    <row r="15" spans="1:7" x14ac:dyDescent="0.2">
      <c r="B15" s="28" t="s">
        <v>55</v>
      </c>
      <c r="C15" s="24" t="s">
        <v>56</v>
      </c>
      <c r="D15" s="24" t="s">
        <v>57</v>
      </c>
      <c r="E15" s="29">
        <v>17206</v>
      </c>
      <c r="F15" s="26">
        <v>318.06</v>
      </c>
      <c r="G15" s="26">
        <v>3.61</v>
      </c>
    </row>
    <row r="16" spans="1:7" x14ac:dyDescent="0.2">
      <c r="B16" s="28" t="s">
        <v>58</v>
      </c>
      <c r="C16" s="24" t="s">
        <v>59</v>
      </c>
      <c r="D16" s="24" t="s">
        <v>43</v>
      </c>
      <c r="E16" s="29">
        <v>24000</v>
      </c>
      <c r="F16" s="26">
        <v>303.48</v>
      </c>
      <c r="G16" s="26">
        <v>3.44</v>
      </c>
    </row>
    <row r="17" spans="2:7" x14ac:dyDescent="0.2">
      <c r="B17" s="28" t="s">
        <v>60</v>
      </c>
      <c r="C17" s="24" t="s">
        <v>61</v>
      </c>
      <c r="D17" s="24" t="s">
        <v>62</v>
      </c>
      <c r="E17" s="29">
        <v>97342</v>
      </c>
      <c r="F17" s="26">
        <v>300.2</v>
      </c>
      <c r="G17" s="26">
        <v>3.4</v>
      </c>
    </row>
    <row r="18" spans="2:7" x14ac:dyDescent="0.2">
      <c r="B18" s="28" t="s">
        <v>63</v>
      </c>
      <c r="C18" s="24" t="s">
        <v>64</v>
      </c>
      <c r="D18" s="24" t="s">
        <v>65</v>
      </c>
      <c r="E18" s="29">
        <v>43000</v>
      </c>
      <c r="F18" s="26">
        <v>292.55</v>
      </c>
      <c r="G18" s="26">
        <v>3.32</v>
      </c>
    </row>
    <row r="19" spans="2:7" x14ac:dyDescent="0.2">
      <c r="B19" s="28" t="s">
        <v>66</v>
      </c>
      <c r="C19" s="24" t="s">
        <v>67</v>
      </c>
      <c r="D19" s="24" t="s">
        <v>37</v>
      </c>
      <c r="E19" s="29">
        <v>150000</v>
      </c>
      <c r="F19" s="26">
        <v>270.98</v>
      </c>
      <c r="G19" s="26">
        <v>3.07</v>
      </c>
    </row>
    <row r="20" spans="2:7" x14ac:dyDescent="0.2">
      <c r="B20" s="28" t="s">
        <v>68</v>
      </c>
      <c r="C20" s="24" t="s">
        <v>69</v>
      </c>
      <c r="D20" s="24" t="s">
        <v>62</v>
      </c>
      <c r="E20" s="29">
        <v>70000</v>
      </c>
      <c r="F20" s="26">
        <v>270.76</v>
      </c>
      <c r="G20" s="26">
        <v>3.07</v>
      </c>
    </row>
    <row r="21" spans="2:7" x14ac:dyDescent="0.2">
      <c r="B21" s="28" t="s">
        <v>70</v>
      </c>
      <c r="C21" s="24" t="s">
        <v>71</v>
      </c>
      <c r="D21" s="24" t="s">
        <v>49</v>
      </c>
      <c r="E21" s="29">
        <v>115266</v>
      </c>
      <c r="F21" s="26">
        <v>266.32</v>
      </c>
      <c r="G21" s="26">
        <v>3.02</v>
      </c>
    </row>
    <row r="22" spans="2:7" x14ac:dyDescent="0.2">
      <c r="B22" s="28" t="s">
        <v>72</v>
      </c>
      <c r="C22" s="24" t="s">
        <v>73</v>
      </c>
      <c r="D22" s="24" t="s">
        <v>43</v>
      </c>
      <c r="E22" s="29">
        <v>271000</v>
      </c>
      <c r="F22" s="26">
        <v>259.48</v>
      </c>
      <c r="G22" s="26">
        <v>2.94</v>
      </c>
    </row>
    <row r="23" spans="2:7" x14ac:dyDescent="0.2">
      <c r="B23" s="28" t="s">
        <v>74</v>
      </c>
      <c r="C23" s="24" t="s">
        <v>75</v>
      </c>
      <c r="D23" s="24" t="s">
        <v>40</v>
      </c>
      <c r="E23" s="29">
        <v>154558</v>
      </c>
      <c r="F23" s="26">
        <v>251.08</v>
      </c>
      <c r="G23" s="26">
        <v>2.85</v>
      </c>
    </row>
    <row r="24" spans="2:7" x14ac:dyDescent="0.2">
      <c r="B24" s="28" t="s">
        <v>76</v>
      </c>
      <c r="C24" s="24" t="s">
        <v>77</v>
      </c>
      <c r="D24" s="24" t="s">
        <v>65</v>
      </c>
      <c r="E24" s="29">
        <v>11000</v>
      </c>
      <c r="F24" s="26">
        <v>224.22</v>
      </c>
      <c r="G24" s="26">
        <v>2.54</v>
      </c>
    </row>
    <row r="25" spans="2:7" x14ac:dyDescent="0.2">
      <c r="B25" s="28" t="s">
        <v>78</v>
      </c>
      <c r="C25" s="24" t="s">
        <v>79</v>
      </c>
      <c r="D25" s="24" t="s">
        <v>46</v>
      </c>
      <c r="E25" s="29">
        <v>1100</v>
      </c>
      <c r="F25" s="26">
        <v>222.83</v>
      </c>
      <c r="G25" s="26">
        <v>2.5299999999999998</v>
      </c>
    </row>
    <row r="26" spans="2:7" x14ac:dyDescent="0.2">
      <c r="B26" s="28" t="s">
        <v>80</v>
      </c>
      <c r="C26" s="24" t="s">
        <v>81</v>
      </c>
      <c r="D26" s="24" t="s">
        <v>62</v>
      </c>
      <c r="E26" s="29">
        <v>91693</v>
      </c>
      <c r="F26" s="26">
        <v>202.32</v>
      </c>
      <c r="G26" s="26">
        <v>2.29</v>
      </c>
    </row>
    <row r="27" spans="2:7" x14ac:dyDescent="0.2">
      <c r="B27" s="28" t="s">
        <v>82</v>
      </c>
      <c r="C27" s="24" t="s">
        <v>83</v>
      </c>
      <c r="D27" s="24" t="s">
        <v>52</v>
      </c>
      <c r="E27" s="29">
        <v>85772</v>
      </c>
      <c r="F27" s="26">
        <v>201.01</v>
      </c>
      <c r="G27" s="26">
        <v>2.2799999999999998</v>
      </c>
    </row>
    <row r="28" spans="2:7" x14ac:dyDescent="0.2">
      <c r="B28" s="28" t="s">
        <v>84</v>
      </c>
      <c r="C28" s="24" t="s">
        <v>85</v>
      </c>
      <c r="D28" s="24" t="s">
        <v>46</v>
      </c>
      <c r="E28" s="29">
        <v>85000</v>
      </c>
      <c r="F28" s="26">
        <v>184.45</v>
      </c>
      <c r="G28" s="26">
        <v>2.09</v>
      </c>
    </row>
    <row r="29" spans="2:7" x14ac:dyDescent="0.2">
      <c r="B29" s="28" t="s">
        <v>86</v>
      </c>
      <c r="C29" s="24" t="s">
        <v>87</v>
      </c>
      <c r="D29" s="24" t="s">
        <v>57</v>
      </c>
      <c r="E29" s="29">
        <v>16500</v>
      </c>
      <c r="F29" s="26">
        <v>182.56</v>
      </c>
      <c r="G29" s="26">
        <v>2.0699999999999998</v>
      </c>
    </row>
    <row r="30" spans="2:7" x14ac:dyDescent="0.2">
      <c r="B30" s="28" t="s">
        <v>88</v>
      </c>
      <c r="C30" s="24" t="s">
        <v>89</v>
      </c>
      <c r="D30" s="24" t="s">
        <v>90</v>
      </c>
      <c r="E30" s="29">
        <v>50500</v>
      </c>
      <c r="F30" s="26">
        <v>179.15</v>
      </c>
      <c r="G30" s="26">
        <v>2.0299999999999998</v>
      </c>
    </row>
    <row r="31" spans="2:7" x14ac:dyDescent="0.2">
      <c r="B31" s="28" t="s">
        <v>91</v>
      </c>
      <c r="C31" s="24" t="s">
        <v>92</v>
      </c>
      <c r="D31" s="24" t="s">
        <v>52</v>
      </c>
      <c r="E31" s="29">
        <v>100000</v>
      </c>
      <c r="F31" s="26">
        <v>156.19999999999999</v>
      </c>
      <c r="G31" s="26">
        <v>1.77</v>
      </c>
    </row>
    <row r="32" spans="2:7" x14ac:dyDescent="0.2">
      <c r="B32" s="28" t="s">
        <v>93</v>
      </c>
      <c r="C32" s="24" t="s">
        <v>94</v>
      </c>
      <c r="D32" s="24" t="s">
        <v>65</v>
      </c>
      <c r="E32" s="29">
        <v>1750</v>
      </c>
      <c r="F32" s="26">
        <v>153.34</v>
      </c>
      <c r="G32" s="26">
        <v>1.74</v>
      </c>
    </row>
    <row r="33" spans="2:9" x14ac:dyDescent="0.2">
      <c r="B33" s="28" t="s">
        <v>95</v>
      </c>
      <c r="C33" s="24" t="s">
        <v>96</v>
      </c>
      <c r="D33" s="24" t="s">
        <v>46</v>
      </c>
      <c r="E33" s="29">
        <v>3750</v>
      </c>
      <c r="F33" s="26">
        <v>151.86000000000001</v>
      </c>
      <c r="G33" s="26">
        <v>1.72</v>
      </c>
    </row>
    <row r="34" spans="2:9" x14ac:dyDescent="0.2">
      <c r="B34" s="28" t="s">
        <v>97</v>
      </c>
      <c r="C34" s="24" t="s">
        <v>98</v>
      </c>
      <c r="D34" s="24" t="s">
        <v>57</v>
      </c>
      <c r="E34" s="29">
        <v>4000</v>
      </c>
      <c r="F34" s="26">
        <v>141.65</v>
      </c>
      <c r="G34" s="26">
        <v>1.61</v>
      </c>
    </row>
    <row r="35" spans="2:9" x14ac:dyDescent="0.2">
      <c r="B35" s="28" t="s">
        <v>99</v>
      </c>
      <c r="C35" s="24" t="s">
        <v>100</v>
      </c>
      <c r="D35" s="24" t="s">
        <v>101</v>
      </c>
      <c r="E35" s="29">
        <v>27040</v>
      </c>
      <c r="F35" s="26">
        <v>113.82</v>
      </c>
      <c r="G35" s="26">
        <v>1.29</v>
      </c>
    </row>
    <row r="36" spans="2:9" x14ac:dyDescent="0.2">
      <c r="B36" s="28" t="s">
        <v>102</v>
      </c>
      <c r="C36" s="24" t="s">
        <v>103</v>
      </c>
      <c r="D36" s="24" t="s">
        <v>43</v>
      </c>
      <c r="E36" s="29">
        <v>40000</v>
      </c>
      <c r="F36" s="26">
        <v>102.08</v>
      </c>
      <c r="G36" s="26">
        <v>1.1599999999999999</v>
      </c>
    </row>
    <row r="37" spans="2:9" x14ac:dyDescent="0.2">
      <c r="B37" s="28" t="s">
        <v>104</v>
      </c>
      <c r="C37" s="24" t="s">
        <v>105</v>
      </c>
      <c r="D37" s="24" t="s">
        <v>57</v>
      </c>
      <c r="E37" s="29">
        <v>20976</v>
      </c>
      <c r="F37" s="26">
        <v>100.49</v>
      </c>
      <c r="G37" s="26">
        <v>1.1399999999999999</v>
      </c>
    </row>
    <row r="38" spans="2:9" x14ac:dyDescent="0.2">
      <c r="B38" s="28" t="s">
        <v>106</v>
      </c>
      <c r="C38" s="24" t="s">
        <v>107</v>
      </c>
      <c r="D38" s="24" t="s">
        <v>65</v>
      </c>
      <c r="E38" s="29">
        <v>15000</v>
      </c>
      <c r="F38" s="26">
        <v>96.17</v>
      </c>
      <c r="G38" s="26">
        <v>1.0900000000000001</v>
      </c>
    </row>
    <row r="39" spans="2:9" x14ac:dyDescent="0.2">
      <c r="B39" s="28" t="s">
        <v>108</v>
      </c>
      <c r="C39" s="24" t="s">
        <v>109</v>
      </c>
      <c r="D39" s="24" t="s">
        <v>62</v>
      </c>
      <c r="E39" s="29">
        <v>25000</v>
      </c>
      <c r="F39" s="26">
        <v>52.14</v>
      </c>
      <c r="G39" s="26">
        <v>0.59</v>
      </c>
    </row>
    <row r="40" spans="2:9" x14ac:dyDescent="0.2">
      <c r="B40" s="30" t="s">
        <v>110</v>
      </c>
      <c r="C40" s="31"/>
      <c r="D40" s="31"/>
      <c r="E40" s="32"/>
      <c r="F40" s="33">
        <f>SUM(F7:F39)</f>
        <v>8600.2299999999977</v>
      </c>
      <c r="G40" s="33">
        <f>SUM(G7:G39)</f>
        <v>97.52000000000001</v>
      </c>
      <c r="H40" s="14"/>
      <c r="I40" s="14"/>
    </row>
    <row r="41" spans="2:9" x14ac:dyDescent="0.2">
      <c r="B41" s="38" t="s">
        <v>111</v>
      </c>
      <c r="C41" s="38"/>
      <c r="D41" s="38"/>
      <c r="E41" s="39"/>
      <c r="F41" s="40">
        <f>F40</f>
        <v>8600.2299999999977</v>
      </c>
      <c r="G41" s="40">
        <f>G40</f>
        <v>97.52000000000001</v>
      </c>
      <c r="H41" s="14"/>
      <c r="I41" s="14"/>
    </row>
    <row r="42" spans="2:9" x14ac:dyDescent="0.2">
      <c r="B42" s="41" t="s">
        <v>112</v>
      </c>
      <c r="C42" s="42"/>
      <c r="D42" s="42"/>
      <c r="E42" s="43"/>
      <c r="F42" s="44"/>
      <c r="G42" s="44"/>
    </row>
    <row r="43" spans="2:9" x14ac:dyDescent="0.2">
      <c r="B43" s="28" t="s">
        <v>112</v>
      </c>
      <c r="C43" s="24"/>
      <c r="D43" s="24"/>
      <c r="E43" s="25"/>
      <c r="F43" s="26">
        <v>207.27</v>
      </c>
      <c r="G43" s="26">
        <v>2.35</v>
      </c>
    </row>
    <row r="44" spans="2:9" x14ac:dyDescent="0.2">
      <c r="B44" s="30" t="s">
        <v>110</v>
      </c>
      <c r="C44" s="31"/>
      <c r="D44" s="31"/>
      <c r="E44" s="32"/>
      <c r="F44" s="33">
        <f>SUM(F42:F43)</f>
        <v>207.27</v>
      </c>
      <c r="G44" s="33">
        <f>SUM(G42:G43)</f>
        <v>2.35</v>
      </c>
      <c r="H44" s="14"/>
      <c r="I44" s="14"/>
    </row>
    <row r="45" spans="2:9" x14ac:dyDescent="0.2">
      <c r="B45" s="35" t="s">
        <v>111</v>
      </c>
      <c r="C45" s="35"/>
      <c r="D45" s="35"/>
      <c r="E45" s="36"/>
      <c r="F45" s="37">
        <f>F44</f>
        <v>207.27</v>
      </c>
      <c r="G45" s="37">
        <f>G44</f>
        <v>2.35</v>
      </c>
      <c r="H45" s="14"/>
      <c r="I45" s="14"/>
    </row>
    <row r="46" spans="2:9" x14ac:dyDescent="0.2">
      <c r="B46" s="45" t="s">
        <v>114</v>
      </c>
      <c r="C46" s="45"/>
      <c r="D46" s="45"/>
      <c r="E46" s="46"/>
      <c r="F46" s="17">
        <f>F47-(+F41+F45)</f>
        <v>10.160000000001673</v>
      </c>
      <c r="G46" s="17">
        <f>G47-(+G41+G45)</f>
        <v>0.12999999999999545</v>
      </c>
      <c r="H46" s="14"/>
      <c r="I46" s="14"/>
    </row>
    <row r="47" spans="2:9" x14ac:dyDescent="0.2">
      <c r="B47" s="45" t="s">
        <v>113</v>
      </c>
      <c r="C47" s="45"/>
      <c r="D47" s="45"/>
      <c r="E47" s="46"/>
      <c r="F47" s="17">
        <v>8817.66</v>
      </c>
      <c r="G47" s="17">
        <v>100</v>
      </c>
      <c r="H47" s="14"/>
      <c r="I47" s="14"/>
    </row>
    <row r="49" spans="1:5" x14ac:dyDescent="0.2">
      <c r="B49" s="14"/>
    </row>
    <row r="51" spans="1:5" x14ac:dyDescent="0.2">
      <c r="B51" s="14"/>
    </row>
    <row r="54" spans="1:5" x14ac:dyDescent="0.2">
      <c r="B54" s="14"/>
      <c r="C54" s="14"/>
      <c r="D54" s="14"/>
      <c r="E54" s="15"/>
    </row>
    <row r="55" spans="1:5" ht="15" x14ac:dyDescent="0.25">
      <c r="A55"/>
      <c r="D55" s="62"/>
    </row>
    <row r="56" spans="1:5" ht="15" x14ac:dyDescent="0.25">
      <c r="A56"/>
      <c r="D56" s="62"/>
    </row>
    <row r="57" spans="1:5" ht="15" x14ac:dyDescent="0.25">
      <c r="A57"/>
      <c r="D57" s="62"/>
    </row>
    <row r="58" spans="1:5" ht="15" x14ac:dyDescent="0.25">
      <c r="A58"/>
      <c r="D58" s="62"/>
    </row>
    <row r="60" spans="1:5" x14ac:dyDescent="0.2">
      <c r="D60" s="14"/>
      <c r="E60" s="15"/>
    </row>
    <row r="68" spans="2:5" x14ac:dyDescent="0.2">
      <c r="B68" s="14"/>
      <c r="C68" s="14"/>
      <c r="D68" s="14"/>
      <c r="E68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topLeftCell="A4" workbookViewId="0">
      <selection activeCell="H4" sqref="H1:H1048576"/>
    </sheetView>
  </sheetViews>
  <sheetFormatPr defaultRowHeight="12" x14ac:dyDescent="0.2"/>
  <cols>
    <col min="1" max="1" width="9.140625" style="1"/>
    <col min="2" max="2" width="56" style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9" t="s">
        <v>8</v>
      </c>
      <c r="C1" s="70"/>
      <c r="D1" s="70"/>
      <c r="E1" s="70"/>
      <c r="F1" s="70"/>
      <c r="G1" s="70"/>
    </row>
    <row r="3" spans="2:7" ht="16.5" thickBot="1" x14ac:dyDescent="0.25">
      <c r="B3" s="2" t="s">
        <v>760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8" t="s">
        <v>30</v>
      </c>
      <c r="C5" s="19"/>
      <c r="D5" s="19"/>
      <c r="E5" s="20"/>
      <c r="F5" s="21"/>
      <c r="G5" s="21"/>
    </row>
    <row r="6" spans="2:7" x14ac:dyDescent="0.2">
      <c r="B6" s="23" t="s">
        <v>31</v>
      </c>
      <c r="C6" s="24"/>
      <c r="D6" s="24"/>
      <c r="E6" s="25"/>
      <c r="F6" s="26"/>
      <c r="G6" s="26"/>
    </row>
    <row r="7" spans="2:7" x14ac:dyDescent="0.2">
      <c r="B7" s="28" t="s">
        <v>35</v>
      </c>
      <c r="C7" s="24" t="s">
        <v>36</v>
      </c>
      <c r="D7" s="24" t="s">
        <v>37</v>
      </c>
      <c r="E7" s="29">
        <v>842400</v>
      </c>
      <c r="F7" s="26">
        <v>18822.16</v>
      </c>
      <c r="G7" s="26">
        <v>7.8</v>
      </c>
    </row>
    <row r="8" spans="2:7" x14ac:dyDescent="0.2">
      <c r="B8" s="28" t="s">
        <v>119</v>
      </c>
      <c r="C8" s="24" t="s">
        <v>120</v>
      </c>
      <c r="D8" s="24" t="s">
        <v>121</v>
      </c>
      <c r="E8" s="29">
        <v>1742188</v>
      </c>
      <c r="F8" s="26">
        <v>17565.61</v>
      </c>
      <c r="G8" s="26">
        <v>7.28</v>
      </c>
    </row>
    <row r="9" spans="2:7" x14ac:dyDescent="0.2">
      <c r="B9" s="28" t="s">
        <v>122</v>
      </c>
      <c r="C9" s="24" t="s">
        <v>123</v>
      </c>
      <c r="D9" s="24" t="s">
        <v>90</v>
      </c>
      <c r="E9" s="29">
        <v>1512340</v>
      </c>
      <c r="F9" s="26">
        <v>16312.1</v>
      </c>
      <c r="G9" s="26">
        <v>6.76</v>
      </c>
    </row>
    <row r="10" spans="2:7" x14ac:dyDescent="0.2">
      <c r="B10" s="28" t="s">
        <v>88</v>
      </c>
      <c r="C10" s="24" t="s">
        <v>89</v>
      </c>
      <c r="D10" s="24" t="s">
        <v>90</v>
      </c>
      <c r="E10" s="29">
        <v>3340550</v>
      </c>
      <c r="F10" s="26">
        <v>11850.6</v>
      </c>
      <c r="G10" s="26">
        <v>4.91</v>
      </c>
    </row>
    <row r="11" spans="2:7" x14ac:dyDescent="0.2">
      <c r="B11" s="28" t="s">
        <v>124</v>
      </c>
      <c r="C11" s="24" t="s">
        <v>125</v>
      </c>
      <c r="D11" s="24" t="s">
        <v>121</v>
      </c>
      <c r="E11" s="29">
        <v>380100</v>
      </c>
      <c r="F11" s="26">
        <v>9473.23</v>
      </c>
      <c r="G11" s="26">
        <v>3.93</v>
      </c>
    </row>
    <row r="12" spans="2:7" x14ac:dyDescent="0.2">
      <c r="B12" s="28" t="s">
        <v>126</v>
      </c>
      <c r="C12" s="24" t="s">
        <v>127</v>
      </c>
      <c r="D12" s="24" t="s">
        <v>128</v>
      </c>
      <c r="E12" s="29">
        <v>405400</v>
      </c>
      <c r="F12" s="26">
        <v>8384.69</v>
      </c>
      <c r="G12" s="26">
        <v>3.48</v>
      </c>
    </row>
    <row r="13" spans="2:7" x14ac:dyDescent="0.2">
      <c r="B13" s="28" t="s">
        <v>129</v>
      </c>
      <c r="C13" s="24" t="s">
        <v>130</v>
      </c>
      <c r="D13" s="24" t="s">
        <v>131</v>
      </c>
      <c r="E13" s="29">
        <v>209500</v>
      </c>
      <c r="F13" s="26">
        <v>6868.67</v>
      </c>
      <c r="G13" s="26">
        <v>2.85</v>
      </c>
    </row>
    <row r="14" spans="2:7" x14ac:dyDescent="0.2">
      <c r="B14" s="28" t="s">
        <v>132</v>
      </c>
      <c r="C14" s="24" t="s">
        <v>133</v>
      </c>
      <c r="D14" s="24" t="s">
        <v>90</v>
      </c>
      <c r="E14" s="29">
        <v>424550</v>
      </c>
      <c r="F14" s="26">
        <v>5384.14</v>
      </c>
      <c r="G14" s="26">
        <v>2.23</v>
      </c>
    </row>
    <row r="15" spans="2:7" x14ac:dyDescent="0.2">
      <c r="B15" s="28" t="s">
        <v>134</v>
      </c>
      <c r="C15" s="24" t="s">
        <v>135</v>
      </c>
      <c r="D15" s="24" t="s">
        <v>136</v>
      </c>
      <c r="E15" s="29">
        <v>157032</v>
      </c>
      <c r="F15" s="26">
        <v>4786.26</v>
      </c>
      <c r="G15" s="26">
        <v>1.98</v>
      </c>
    </row>
    <row r="16" spans="2:7" x14ac:dyDescent="0.2">
      <c r="B16" s="28" t="s">
        <v>63</v>
      </c>
      <c r="C16" s="24" t="s">
        <v>64</v>
      </c>
      <c r="D16" s="24" t="s">
        <v>65</v>
      </c>
      <c r="E16" s="29">
        <v>690429</v>
      </c>
      <c r="F16" s="26">
        <v>4697.33</v>
      </c>
      <c r="G16" s="26">
        <v>1.95</v>
      </c>
    </row>
    <row r="17" spans="2:7" x14ac:dyDescent="0.2">
      <c r="B17" s="28" t="s">
        <v>95</v>
      </c>
      <c r="C17" s="24" t="s">
        <v>96</v>
      </c>
      <c r="D17" s="24" t="s">
        <v>46</v>
      </c>
      <c r="E17" s="29">
        <v>109471</v>
      </c>
      <c r="F17" s="26">
        <v>4433.08</v>
      </c>
      <c r="G17" s="26">
        <v>1.84</v>
      </c>
    </row>
    <row r="18" spans="2:7" x14ac:dyDescent="0.2">
      <c r="B18" s="28" t="s">
        <v>137</v>
      </c>
      <c r="C18" s="24" t="s">
        <v>138</v>
      </c>
      <c r="D18" s="24" t="s">
        <v>139</v>
      </c>
      <c r="E18" s="29">
        <v>131500</v>
      </c>
      <c r="F18" s="26">
        <v>4138.7</v>
      </c>
      <c r="G18" s="26">
        <v>1.72</v>
      </c>
    </row>
    <row r="19" spans="2:7" x14ac:dyDescent="0.2">
      <c r="B19" s="28" t="s">
        <v>140</v>
      </c>
      <c r="C19" s="24" t="s">
        <v>141</v>
      </c>
      <c r="D19" s="24" t="s">
        <v>131</v>
      </c>
      <c r="E19" s="29">
        <v>230900</v>
      </c>
      <c r="F19" s="26">
        <v>4017.78</v>
      </c>
      <c r="G19" s="26">
        <v>1.67</v>
      </c>
    </row>
    <row r="20" spans="2:7" x14ac:dyDescent="0.2">
      <c r="B20" s="28" t="s">
        <v>142</v>
      </c>
      <c r="C20" s="24" t="s">
        <v>143</v>
      </c>
      <c r="D20" s="24" t="s">
        <v>131</v>
      </c>
      <c r="E20" s="29">
        <v>228250</v>
      </c>
      <c r="F20" s="26">
        <v>3932.29</v>
      </c>
      <c r="G20" s="26">
        <v>1.63</v>
      </c>
    </row>
    <row r="21" spans="2:7" x14ac:dyDescent="0.2">
      <c r="B21" s="28" t="s">
        <v>144</v>
      </c>
      <c r="C21" s="24" t="s">
        <v>145</v>
      </c>
      <c r="D21" s="24" t="s">
        <v>139</v>
      </c>
      <c r="E21" s="29">
        <v>645000</v>
      </c>
      <c r="F21" s="26">
        <v>3920.96</v>
      </c>
      <c r="G21" s="26">
        <v>1.63</v>
      </c>
    </row>
    <row r="22" spans="2:7" x14ac:dyDescent="0.2">
      <c r="B22" s="28" t="s">
        <v>146</v>
      </c>
      <c r="C22" s="24" t="s">
        <v>147</v>
      </c>
      <c r="D22" s="24" t="s">
        <v>148</v>
      </c>
      <c r="E22" s="29">
        <v>262500</v>
      </c>
      <c r="F22" s="26">
        <v>3877.13</v>
      </c>
      <c r="G22" s="26">
        <v>1.61</v>
      </c>
    </row>
    <row r="23" spans="2:7" x14ac:dyDescent="0.2">
      <c r="B23" s="28" t="s">
        <v>149</v>
      </c>
      <c r="C23" s="24" t="s">
        <v>150</v>
      </c>
      <c r="D23" s="24" t="s">
        <v>139</v>
      </c>
      <c r="E23" s="29">
        <v>55626</v>
      </c>
      <c r="F23" s="26">
        <v>3751.11</v>
      </c>
      <c r="G23" s="26">
        <v>1.55</v>
      </c>
    </row>
    <row r="24" spans="2:7" x14ac:dyDescent="0.2">
      <c r="B24" s="28" t="s">
        <v>151</v>
      </c>
      <c r="C24" s="24" t="s">
        <v>152</v>
      </c>
      <c r="D24" s="24" t="s">
        <v>136</v>
      </c>
      <c r="E24" s="29">
        <v>475000</v>
      </c>
      <c r="F24" s="26">
        <v>3679.83</v>
      </c>
      <c r="G24" s="26">
        <v>1.53</v>
      </c>
    </row>
    <row r="25" spans="2:7" x14ac:dyDescent="0.2">
      <c r="B25" s="28" t="s">
        <v>153</v>
      </c>
      <c r="C25" s="24" t="s">
        <v>154</v>
      </c>
      <c r="D25" s="24" t="s">
        <v>128</v>
      </c>
      <c r="E25" s="29">
        <v>94490</v>
      </c>
      <c r="F25" s="26">
        <v>3588.87</v>
      </c>
      <c r="G25" s="26">
        <v>1.49</v>
      </c>
    </row>
    <row r="26" spans="2:7" x14ac:dyDescent="0.2">
      <c r="B26" s="28" t="s">
        <v>155</v>
      </c>
      <c r="C26" s="24" t="s">
        <v>156</v>
      </c>
      <c r="D26" s="24" t="s">
        <v>157</v>
      </c>
      <c r="E26" s="29">
        <v>181029</v>
      </c>
      <c r="F26" s="26">
        <v>3568.99</v>
      </c>
      <c r="G26" s="26">
        <v>1.48</v>
      </c>
    </row>
    <row r="27" spans="2:7" x14ac:dyDescent="0.2">
      <c r="B27" s="28" t="s">
        <v>99</v>
      </c>
      <c r="C27" s="24" t="s">
        <v>100</v>
      </c>
      <c r="D27" s="24" t="s">
        <v>101</v>
      </c>
      <c r="E27" s="29">
        <v>822334</v>
      </c>
      <c r="F27" s="26">
        <v>3461.61</v>
      </c>
      <c r="G27" s="26">
        <v>1.43</v>
      </c>
    </row>
    <row r="28" spans="2:7" x14ac:dyDescent="0.2">
      <c r="B28" s="28" t="s">
        <v>158</v>
      </c>
      <c r="C28" s="24" t="s">
        <v>159</v>
      </c>
      <c r="D28" s="24" t="s">
        <v>121</v>
      </c>
      <c r="E28" s="29">
        <v>415000</v>
      </c>
      <c r="F28" s="26">
        <v>3368.14</v>
      </c>
      <c r="G28" s="26">
        <v>1.4</v>
      </c>
    </row>
    <row r="29" spans="2:7" x14ac:dyDescent="0.2">
      <c r="B29" s="28" t="s">
        <v>160</v>
      </c>
      <c r="C29" s="24" t="s">
        <v>161</v>
      </c>
      <c r="D29" s="24" t="s">
        <v>136</v>
      </c>
      <c r="E29" s="29">
        <v>19860</v>
      </c>
      <c r="F29" s="26">
        <v>3274.31</v>
      </c>
      <c r="G29" s="26">
        <v>1.36</v>
      </c>
    </row>
    <row r="30" spans="2:7" x14ac:dyDescent="0.2">
      <c r="B30" s="28" t="s">
        <v>162</v>
      </c>
      <c r="C30" s="24" t="s">
        <v>163</v>
      </c>
      <c r="D30" s="24" t="s">
        <v>136</v>
      </c>
      <c r="E30" s="29">
        <v>150659</v>
      </c>
      <c r="F30" s="26">
        <v>3263.95</v>
      </c>
      <c r="G30" s="26">
        <v>1.35</v>
      </c>
    </row>
    <row r="31" spans="2:7" x14ac:dyDescent="0.2">
      <c r="B31" s="28" t="s">
        <v>164</v>
      </c>
      <c r="C31" s="24" t="s">
        <v>165</v>
      </c>
      <c r="D31" s="24" t="s">
        <v>65</v>
      </c>
      <c r="E31" s="29">
        <v>268800</v>
      </c>
      <c r="F31" s="26">
        <v>3229.23</v>
      </c>
      <c r="G31" s="26">
        <v>1.34</v>
      </c>
    </row>
    <row r="32" spans="2:7" x14ac:dyDescent="0.2">
      <c r="B32" s="28" t="s">
        <v>166</v>
      </c>
      <c r="C32" s="24" t="s">
        <v>167</v>
      </c>
      <c r="D32" s="24" t="s">
        <v>90</v>
      </c>
      <c r="E32" s="29">
        <v>753600</v>
      </c>
      <c r="F32" s="26">
        <v>3200.16</v>
      </c>
      <c r="G32" s="26">
        <v>1.33</v>
      </c>
    </row>
    <row r="33" spans="2:7" x14ac:dyDescent="0.2">
      <c r="B33" s="28" t="s">
        <v>168</v>
      </c>
      <c r="C33" s="24" t="s">
        <v>169</v>
      </c>
      <c r="D33" s="24" t="s">
        <v>128</v>
      </c>
      <c r="E33" s="29">
        <v>20000</v>
      </c>
      <c r="F33" s="26">
        <v>3183.73</v>
      </c>
      <c r="G33" s="26">
        <v>1.32</v>
      </c>
    </row>
    <row r="34" spans="2:7" x14ac:dyDescent="0.2">
      <c r="B34" s="28" t="s">
        <v>68</v>
      </c>
      <c r="C34" s="24" t="s">
        <v>69</v>
      </c>
      <c r="D34" s="24" t="s">
        <v>62</v>
      </c>
      <c r="E34" s="29">
        <v>780000</v>
      </c>
      <c r="F34" s="26">
        <v>3017.04</v>
      </c>
      <c r="G34" s="26">
        <v>1.25</v>
      </c>
    </row>
    <row r="35" spans="2:7" x14ac:dyDescent="0.2">
      <c r="B35" s="28" t="s">
        <v>170</v>
      </c>
      <c r="C35" s="24" t="s">
        <v>171</v>
      </c>
      <c r="D35" s="24" t="s">
        <v>172</v>
      </c>
      <c r="E35" s="29">
        <v>48252</v>
      </c>
      <c r="F35" s="26">
        <v>2949.31</v>
      </c>
      <c r="G35" s="26">
        <v>1.22</v>
      </c>
    </row>
    <row r="36" spans="2:7" x14ac:dyDescent="0.2">
      <c r="B36" s="28" t="s">
        <v>41</v>
      </c>
      <c r="C36" s="24" t="s">
        <v>42</v>
      </c>
      <c r="D36" s="24" t="s">
        <v>43</v>
      </c>
      <c r="E36" s="29">
        <v>8910</v>
      </c>
      <c r="F36" s="26">
        <v>2903.84</v>
      </c>
      <c r="G36" s="26">
        <v>1.2</v>
      </c>
    </row>
    <row r="37" spans="2:7" x14ac:dyDescent="0.2">
      <c r="B37" s="28" t="s">
        <v>32</v>
      </c>
      <c r="C37" s="24" t="s">
        <v>33</v>
      </c>
      <c r="D37" s="24" t="s">
        <v>34</v>
      </c>
      <c r="E37" s="29">
        <v>297954</v>
      </c>
      <c r="F37" s="26">
        <v>2686.35</v>
      </c>
      <c r="G37" s="26">
        <v>1.1100000000000001</v>
      </c>
    </row>
    <row r="38" spans="2:7" x14ac:dyDescent="0.2">
      <c r="B38" s="28" t="s">
        <v>60</v>
      </c>
      <c r="C38" s="24" t="s">
        <v>61</v>
      </c>
      <c r="D38" s="24" t="s">
        <v>62</v>
      </c>
      <c r="E38" s="29">
        <v>864056</v>
      </c>
      <c r="F38" s="26">
        <v>2664.75</v>
      </c>
      <c r="G38" s="26">
        <v>1.1000000000000001</v>
      </c>
    </row>
    <row r="39" spans="2:7" x14ac:dyDescent="0.2">
      <c r="B39" s="28" t="s">
        <v>47</v>
      </c>
      <c r="C39" s="24" t="s">
        <v>48</v>
      </c>
      <c r="D39" s="24" t="s">
        <v>49</v>
      </c>
      <c r="E39" s="29">
        <v>340979</v>
      </c>
      <c r="F39" s="26">
        <v>2660.32</v>
      </c>
      <c r="G39" s="26">
        <v>1.1000000000000001</v>
      </c>
    </row>
    <row r="40" spans="2:7" x14ac:dyDescent="0.2">
      <c r="B40" s="28" t="s">
        <v>173</v>
      </c>
      <c r="C40" s="24" t="s">
        <v>174</v>
      </c>
      <c r="D40" s="24" t="s">
        <v>172</v>
      </c>
      <c r="E40" s="29">
        <v>120066</v>
      </c>
      <c r="F40" s="26">
        <v>2644.27</v>
      </c>
      <c r="G40" s="26">
        <v>1.1000000000000001</v>
      </c>
    </row>
    <row r="41" spans="2:7" x14ac:dyDescent="0.2">
      <c r="B41" s="28" t="s">
        <v>175</v>
      </c>
      <c r="C41" s="24" t="s">
        <v>176</v>
      </c>
      <c r="D41" s="24" t="s">
        <v>121</v>
      </c>
      <c r="E41" s="29">
        <v>195000</v>
      </c>
      <c r="F41" s="26">
        <v>2610.08</v>
      </c>
      <c r="G41" s="26">
        <v>1.08</v>
      </c>
    </row>
    <row r="42" spans="2:7" x14ac:dyDescent="0.2">
      <c r="B42" s="28" t="s">
        <v>177</v>
      </c>
      <c r="C42" s="24" t="s">
        <v>178</v>
      </c>
      <c r="D42" s="24" t="s">
        <v>136</v>
      </c>
      <c r="E42" s="29">
        <v>90104</v>
      </c>
      <c r="F42" s="26">
        <v>2503.04</v>
      </c>
      <c r="G42" s="26">
        <v>1.04</v>
      </c>
    </row>
    <row r="43" spans="2:7" x14ac:dyDescent="0.2">
      <c r="B43" s="28" t="s">
        <v>179</v>
      </c>
      <c r="C43" s="24" t="s">
        <v>180</v>
      </c>
      <c r="D43" s="24" t="s">
        <v>131</v>
      </c>
      <c r="E43" s="29">
        <v>1000000</v>
      </c>
      <c r="F43" s="26">
        <v>2491.5</v>
      </c>
      <c r="G43" s="26">
        <v>1.03</v>
      </c>
    </row>
    <row r="44" spans="2:7" x14ac:dyDescent="0.2">
      <c r="B44" s="28" t="s">
        <v>181</v>
      </c>
      <c r="C44" s="24" t="s">
        <v>182</v>
      </c>
      <c r="D44" s="24" t="s">
        <v>65</v>
      </c>
      <c r="E44" s="29">
        <v>185000</v>
      </c>
      <c r="F44" s="26">
        <v>2438.9499999999998</v>
      </c>
      <c r="G44" s="26">
        <v>1.01</v>
      </c>
    </row>
    <row r="45" spans="2:7" x14ac:dyDescent="0.2">
      <c r="B45" s="28" t="s">
        <v>183</v>
      </c>
      <c r="C45" s="24" t="s">
        <v>184</v>
      </c>
      <c r="D45" s="24" t="s">
        <v>172</v>
      </c>
      <c r="E45" s="29">
        <v>180000</v>
      </c>
      <c r="F45" s="26">
        <v>2405.79</v>
      </c>
      <c r="G45" s="26">
        <v>1</v>
      </c>
    </row>
    <row r="46" spans="2:7" x14ac:dyDescent="0.2">
      <c r="B46" s="28" t="s">
        <v>185</v>
      </c>
      <c r="C46" s="24" t="s">
        <v>186</v>
      </c>
      <c r="D46" s="24" t="s">
        <v>131</v>
      </c>
      <c r="E46" s="29">
        <v>184455</v>
      </c>
      <c r="F46" s="26">
        <v>2396.9899999999998</v>
      </c>
      <c r="G46" s="26">
        <v>0.99</v>
      </c>
    </row>
    <row r="47" spans="2:7" x14ac:dyDescent="0.2">
      <c r="B47" s="28" t="s">
        <v>187</v>
      </c>
      <c r="C47" s="24" t="s">
        <v>188</v>
      </c>
      <c r="D47" s="24" t="s">
        <v>65</v>
      </c>
      <c r="E47" s="29">
        <v>109070</v>
      </c>
      <c r="F47" s="26">
        <v>2396</v>
      </c>
      <c r="G47" s="26">
        <v>0.99</v>
      </c>
    </row>
    <row r="48" spans="2:7" x14ac:dyDescent="0.2">
      <c r="B48" s="28" t="s">
        <v>189</v>
      </c>
      <c r="C48" s="24" t="s">
        <v>190</v>
      </c>
      <c r="D48" s="24" t="s">
        <v>136</v>
      </c>
      <c r="E48" s="29">
        <v>465000</v>
      </c>
      <c r="F48" s="26">
        <v>2327.09</v>
      </c>
      <c r="G48" s="26">
        <v>0.96</v>
      </c>
    </row>
    <row r="49" spans="2:7" x14ac:dyDescent="0.2">
      <c r="B49" s="28" t="s">
        <v>191</v>
      </c>
      <c r="C49" s="24" t="s">
        <v>192</v>
      </c>
      <c r="D49" s="24" t="s">
        <v>131</v>
      </c>
      <c r="E49" s="29">
        <v>273000</v>
      </c>
      <c r="F49" s="26">
        <v>2313.9499999999998</v>
      </c>
      <c r="G49" s="26">
        <v>0.96</v>
      </c>
    </row>
    <row r="50" spans="2:7" x14ac:dyDescent="0.2">
      <c r="B50" s="28" t="s">
        <v>193</v>
      </c>
      <c r="C50" s="24" t="s">
        <v>194</v>
      </c>
      <c r="D50" s="24" t="s">
        <v>195</v>
      </c>
      <c r="E50" s="29">
        <v>115394</v>
      </c>
      <c r="F50" s="26">
        <v>2169.12</v>
      </c>
      <c r="G50" s="26">
        <v>0.9</v>
      </c>
    </row>
    <row r="51" spans="2:7" x14ac:dyDescent="0.2">
      <c r="B51" s="28" t="s">
        <v>55</v>
      </c>
      <c r="C51" s="24" t="s">
        <v>56</v>
      </c>
      <c r="D51" s="24" t="s">
        <v>57</v>
      </c>
      <c r="E51" s="29">
        <v>115191</v>
      </c>
      <c r="F51" s="26">
        <v>2129.36</v>
      </c>
      <c r="G51" s="26">
        <v>0.88</v>
      </c>
    </row>
    <row r="52" spans="2:7" x14ac:dyDescent="0.2">
      <c r="B52" s="28" t="s">
        <v>196</v>
      </c>
      <c r="C52" s="24" t="s">
        <v>197</v>
      </c>
      <c r="D52" s="24" t="s">
        <v>148</v>
      </c>
      <c r="E52" s="29">
        <v>630000</v>
      </c>
      <c r="F52" s="26">
        <v>2084.04</v>
      </c>
      <c r="G52" s="26">
        <v>0.86</v>
      </c>
    </row>
    <row r="53" spans="2:7" x14ac:dyDescent="0.2">
      <c r="B53" s="28" t="s">
        <v>198</v>
      </c>
      <c r="C53" s="24" t="s">
        <v>199</v>
      </c>
      <c r="D53" s="24" t="s">
        <v>131</v>
      </c>
      <c r="E53" s="29">
        <v>500000</v>
      </c>
      <c r="F53" s="26">
        <v>2078.75</v>
      </c>
      <c r="G53" s="26">
        <v>0.86</v>
      </c>
    </row>
    <row r="54" spans="2:7" x14ac:dyDescent="0.2">
      <c r="B54" s="28" t="s">
        <v>200</v>
      </c>
      <c r="C54" s="24" t="s">
        <v>201</v>
      </c>
      <c r="D54" s="24" t="s">
        <v>128</v>
      </c>
      <c r="E54" s="29">
        <v>104500</v>
      </c>
      <c r="F54" s="26">
        <v>2075.79</v>
      </c>
      <c r="G54" s="26">
        <v>0.86</v>
      </c>
    </row>
    <row r="55" spans="2:7" x14ac:dyDescent="0.2">
      <c r="B55" s="28" t="s">
        <v>202</v>
      </c>
      <c r="C55" s="24" t="s">
        <v>203</v>
      </c>
      <c r="D55" s="24" t="s">
        <v>131</v>
      </c>
      <c r="E55" s="29">
        <v>360126</v>
      </c>
      <c r="F55" s="26">
        <v>1995.1</v>
      </c>
      <c r="G55" s="26">
        <v>0.83</v>
      </c>
    </row>
    <row r="56" spans="2:7" x14ac:dyDescent="0.2">
      <c r="B56" s="28" t="s">
        <v>78</v>
      </c>
      <c r="C56" s="24" t="s">
        <v>79</v>
      </c>
      <c r="D56" s="24" t="s">
        <v>46</v>
      </c>
      <c r="E56" s="29">
        <v>9842</v>
      </c>
      <c r="F56" s="26">
        <v>1993.69</v>
      </c>
      <c r="G56" s="26">
        <v>0.83</v>
      </c>
    </row>
    <row r="57" spans="2:7" x14ac:dyDescent="0.2">
      <c r="B57" s="28" t="s">
        <v>204</v>
      </c>
      <c r="C57" s="24" t="s">
        <v>205</v>
      </c>
      <c r="D57" s="24" t="s">
        <v>57</v>
      </c>
      <c r="E57" s="29">
        <v>750000</v>
      </c>
      <c r="F57" s="26">
        <v>1816.88</v>
      </c>
      <c r="G57" s="26">
        <v>0.75</v>
      </c>
    </row>
    <row r="58" spans="2:7" x14ac:dyDescent="0.2">
      <c r="B58" s="28" t="s">
        <v>206</v>
      </c>
      <c r="C58" s="24" t="s">
        <v>207</v>
      </c>
      <c r="D58" s="24" t="s">
        <v>131</v>
      </c>
      <c r="E58" s="29">
        <v>729039</v>
      </c>
      <c r="F58" s="26">
        <v>1515.31</v>
      </c>
      <c r="G58" s="26">
        <v>0.63</v>
      </c>
    </row>
    <row r="59" spans="2:7" x14ac:dyDescent="0.2">
      <c r="B59" s="28" t="s">
        <v>208</v>
      </c>
      <c r="C59" s="24" t="s">
        <v>209</v>
      </c>
      <c r="D59" s="24" t="s">
        <v>131</v>
      </c>
      <c r="E59" s="29">
        <v>270000</v>
      </c>
      <c r="F59" s="26">
        <v>1510.38</v>
      </c>
      <c r="G59" s="26">
        <v>0.63</v>
      </c>
    </row>
    <row r="60" spans="2:7" x14ac:dyDescent="0.2">
      <c r="B60" s="28" t="s">
        <v>210</v>
      </c>
      <c r="C60" s="24" t="s">
        <v>211</v>
      </c>
      <c r="D60" s="24" t="s">
        <v>139</v>
      </c>
      <c r="E60" s="29">
        <v>113000</v>
      </c>
      <c r="F60" s="26">
        <v>1489.85</v>
      </c>
      <c r="G60" s="26">
        <v>0.62</v>
      </c>
    </row>
    <row r="61" spans="2:7" x14ac:dyDescent="0.2">
      <c r="B61" s="28" t="s">
        <v>212</v>
      </c>
      <c r="C61" s="24" t="s">
        <v>213</v>
      </c>
      <c r="D61" s="24" t="s">
        <v>121</v>
      </c>
      <c r="E61" s="29">
        <v>51951</v>
      </c>
      <c r="F61" s="26">
        <v>1321.4</v>
      </c>
      <c r="G61" s="26">
        <v>0.55000000000000004</v>
      </c>
    </row>
    <row r="62" spans="2:7" x14ac:dyDescent="0.2">
      <c r="B62" s="28" t="s">
        <v>70</v>
      </c>
      <c r="C62" s="24" t="s">
        <v>71</v>
      </c>
      <c r="D62" s="24" t="s">
        <v>49</v>
      </c>
      <c r="E62" s="29">
        <v>379789</v>
      </c>
      <c r="F62" s="26">
        <v>877.5</v>
      </c>
      <c r="G62" s="26">
        <v>0.36</v>
      </c>
    </row>
    <row r="63" spans="2:7" x14ac:dyDescent="0.2">
      <c r="B63" s="28" t="s">
        <v>214</v>
      </c>
      <c r="C63" s="24" t="s">
        <v>215</v>
      </c>
      <c r="D63" s="24" t="s">
        <v>128</v>
      </c>
      <c r="E63" s="29">
        <v>30200</v>
      </c>
      <c r="F63" s="26">
        <v>707.99</v>
      </c>
      <c r="G63" s="26">
        <v>0.28999999999999998</v>
      </c>
    </row>
    <row r="64" spans="2:7" x14ac:dyDescent="0.2">
      <c r="B64" s="28" t="s">
        <v>216</v>
      </c>
      <c r="C64" s="24" t="s">
        <v>217</v>
      </c>
      <c r="D64" s="24" t="s">
        <v>218</v>
      </c>
      <c r="E64" s="29">
        <v>25010</v>
      </c>
      <c r="F64" s="26">
        <v>551.01</v>
      </c>
      <c r="G64" s="26">
        <v>0.23</v>
      </c>
    </row>
    <row r="65" spans="2:9" x14ac:dyDescent="0.2">
      <c r="B65" s="30" t="s">
        <v>110</v>
      </c>
      <c r="C65" s="31"/>
      <c r="D65" s="31"/>
      <c r="E65" s="32"/>
      <c r="F65" s="33">
        <f>SUM(F7:F64)</f>
        <v>231760.10000000003</v>
      </c>
      <c r="G65" s="33">
        <f>SUM(G7:G64)</f>
        <v>96.069999999999965</v>
      </c>
      <c r="H65" s="14"/>
      <c r="I65" s="14"/>
    </row>
    <row r="66" spans="2:9" x14ac:dyDescent="0.2">
      <c r="B66" s="38" t="s">
        <v>111</v>
      </c>
      <c r="C66" s="38"/>
      <c r="D66" s="38"/>
      <c r="E66" s="39"/>
      <c r="F66" s="40">
        <f>F65</f>
        <v>231760.10000000003</v>
      </c>
      <c r="G66" s="40">
        <f>G65</f>
        <v>96.069999999999965</v>
      </c>
      <c r="H66" s="14"/>
      <c r="I66" s="14"/>
    </row>
    <row r="67" spans="2:9" x14ac:dyDescent="0.2">
      <c r="B67" s="41" t="s">
        <v>112</v>
      </c>
      <c r="C67" s="42"/>
      <c r="D67" s="42"/>
      <c r="E67" s="43"/>
      <c r="F67" s="44"/>
      <c r="G67" s="44"/>
    </row>
    <row r="68" spans="2:9" x14ac:dyDescent="0.2">
      <c r="B68" s="28" t="s">
        <v>112</v>
      </c>
      <c r="C68" s="24"/>
      <c r="D68" s="24"/>
      <c r="E68" s="25"/>
      <c r="F68" s="26">
        <v>8857.4500000000007</v>
      </c>
      <c r="G68" s="26">
        <v>3.67</v>
      </c>
    </row>
    <row r="69" spans="2:9" x14ac:dyDescent="0.2">
      <c r="B69" s="30" t="s">
        <v>110</v>
      </c>
      <c r="C69" s="31"/>
      <c r="D69" s="31"/>
      <c r="E69" s="32"/>
      <c r="F69" s="33">
        <f>SUM(F67:F68)</f>
        <v>8857.4500000000007</v>
      </c>
      <c r="G69" s="33">
        <f>SUM(G67:G68)</f>
        <v>3.67</v>
      </c>
      <c r="H69" s="14"/>
      <c r="I69" s="14"/>
    </row>
    <row r="70" spans="2:9" x14ac:dyDescent="0.2">
      <c r="B70" s="35" t="s">
        <v>111</v>
      </c>
      <c r="C70" s="35"/>
      <c r="D70" s="35"/>
      <c r="E70" s="36"/>
      <c r="F70" s="37">
        <f>F69</f>
        <v>8857.4500000000007</v>
      </c>
      <c r="G70" s="37">
        <f>G69</f>
        <v>3.67</v>
      </c>
      <c r="H70" s="14"/>
      <c r="I70" s="14"/>
    </row>
    <row r="71" spans="2:9" x14ac:dyDescent="0.2">
      <c r="B71" s="45" t="s">
        <v>114</v>
      </c>
      <c r="C71" s="45"/>
      <c r="D71" s="45"/>
      <c r="E71" s="46"/>
      <c r="F71" s="17">
        <f>F72-(+F66+F70)</f>
        <v>664.1699999999546</v>
      </c>
      <c r="G71" s="17">
        <f>G72-(+G66+G70)</f>
        <v>0.26000000000003354</v>
      </c>
      <c r="H71" s="14"/>
      <c r="I71" s="14"/>
    </row>
    <row r="72" spans="2:9" x14ac:dyDescent="0.2">
      <c r="B72" s="45" t="s">
        <v>113</v>
      </c>
      <c r="C72" s="45"/>
      <c r="D72" s="45"/>
      <c r="E72" s="46"/>
      <c r="F72" s="17">
        <v>241281.72</v>
      </c>
      <c r="G72" s="17">
        <v>100</v>
      </c>
      <c r="H72" s="14"/>
      <c r="I72" s="14"/>
    </row>
    <row r="74" spans="2:9" x14ac:dyDescent="0.2">
      <c r="B74" s="14"/>
    </row>
    <row r="76" spans="2:9" x14ac:dyDescent="0.2">
      <c r="B76" s="14"/>
    </row>
    <row r="78" spans="2:9" x14ac:dyDescent="0.2">
      <c r="C78" s="63"/>
      <c r="D78" s="64"/>
    </row>
    <row r="79" spans="2:9" x14ac:dyDescent="0.2">
      <c r="C79" s="63"/>
      <c r="D79" s="64"/>
    </row>
    <row r="80" spans="2:9" x14ac:dyDescent="0.2">
      <c r="C80" s="65"/>
      <c r="D80" s="63"/>
    </row>
    <row r="82" spans="1:5" x14ac:dyDescent="0.2">
      <c r="B82" s="14"/>
      <c r="C82" s="14"/>
      <c r="D82" s="14"/>
      <c r="E82" s="15"/>
    </row>
    <row r="83" spans="1:5" ht="15" x14ac:dyDescent="0.25">
      <c r="A83"/>
    </row>
    <row r="84" spans="1:5" ht="15" x14ac:dyDescent="0.25">
      <c r="A84"/>
    </row>
    <row r="85" spans="1:5" ht="15" x14ac:dyDescent="0.25">
      <c r="A85"/>
    </row>
    <row r="86" spans="1:5" ht="15" x14ac:dyDescent="0.25">
      <c r="A86"/>
    </row>
    <row r="88" spans="1:5" x14ac:dyDescent="0.2">
      <c r="D88" s="14"/>
      <c r="E88" s="15"/>
    </row>
    <row r="93" spans="1:5" x14ac:dyDescent="0.2">
      <c r="B93" s="14"/>
      <c r="C93" s="14"/>
      <c r="D93" s="14"/>
      <c r="E93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2"/>
  <sheetViews>
    <sheetView topLeftCell="A4" workbookViewId="0">
      <selection activeCell="H4" sqref="H1:H1048576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9" t="s">
        <v>9</v>
      </c>
      <c r="C1" s="70"/>
      <c r="D1" s="70"/>
      <c r="E1" s="70"/>
      <c r="F1" s="70"/>
      <c r="G1" s="70"/>
    </row>
    <row r="3" spans="2:7" ht="16.5" thickBot="1" x14ac:dyDescent="0.25">
      <c r="B3" s="2" t="s">
        <v>760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8" t="s">
        <v>30</v>
      </c>
      <c r="C5" s="19"/>
      <c r="D5" s="19"/>
      <c r="E5" s="20"/>
      <c r="F5" s="21"/>
      <c r="G5" s="21"/>
    </row>
    <row r="6" spans="2:7" x14ac:dyDescent="0.2">
      <c r="B6" s="23" t="s">
        <v>31</v>
      </c>
      <c r="C6" s="24"/>
      <c r="D6" s="24"/>
      <c r="E6" s="25"/>
      <c r="F6" s="26"/>
      <c r="G6" s="26"/>
    </row>
    <row r="7" spans="2:7" x14ac:dyDescent="0.2">
      <c r="B7" s="28" t="s">
        <v>119</v>
      </c>
      <c r="C7" s="24" t="s">
        <v>120</v>
      </c>
      <c r="D7" s="24" t="s">
        <v>121</v>
      </c>
      <c r="E7" s="29">
        <v>1074500</v>
      </c>
      <c r="F7" s="26">
        <v>10833.65</v>
      </c>
      <c r="G7" s="26">
        <v>9.18</v>
      </c>
    </row>
    <row r="8" spans="2:7" x14ac:dyDescent="0.2">
      <c r="B8" s="28" t="s">
        <v>35</v>
      </c>
      <c r="C8" s="24" t="s">
        <v>36</v>
      </c>
      <c r="D8" s="24" t="s">
        <v>37</v>
      </c>
      <c r="E8" s="29">
        <v>473000</v>
      </c>
      <c r="F8" s="26">
        <v>10568.48</v>
      </c>
      <c r="G8" s="26">
        <v>8.9499999999999993</v>
      </c>
    </row>
    <row r="9" spans="2:7" x14ac:dyDescent="0.2">
      <c r="B9" s="28" t="s">
        <v>88</v>
      </c>
      <c r="C9" s="24" t="s">
        <v>89</v>
      </c>
      <c r="D9" s="24" t="s">
        <v>90</v>
      </c>
      <c r="E9" s="29">
        <v>1876000</v>
      </c>
      <c r="F9" s="26">
        <v>6655.11</v>
      </c>
      <c r="G9" s="26">
        <v>5.64</v>
      </c>
    </row>
    <row r="10" spans="2:7" x14ac:dyDescent="0.2">
      <c r="B10" s="28" t="s">
        <v>122</v>
      </c>
      <c r="C10" s="24" t="s">
        <v>123</v>
      </c>
      <c r="D10" s="24" t="s">
        <v>90</v>
      </c>
      <c r="E10" s="29">
        <v>543184</v>
      </c>
      <c r="F10" s="26">
        <v>5858.78</v>
      </c>
      <c r="G10" s="26">
        <v>4.96</v>
      </c>
    </row>
    <row r="11" spans="2:7" x14ac:dyDescent="0.2">
      <c r="B11" s="28" t="s">
        <v>124</v>
      </c>
      <c r="C11" s="24" t="s">
        <v>125</v>
      </c>
      <c r="D11" s="24" t="s">
        <v>121</v>
      </c>
      <c r="E11" s="29">
        <v>180000</v>
      </c>
      <c r="F11" s="26">
        <v>4486.1400000000003</v>
      </c>
      <c r="G11" s="26">
        <v>3.8</v>
      </c>
    </row>
    <row r="12" spans="2:7" x14ac:dyDescent="0.2">
      <c r="B12" s="28" t="s">
        <v>129</v>
      </c>
      <c r="C12" s="24" t="s">
        <v>130</v>
      </c>
      <c r="D12" s="24" t="s">
        <v>131</v>
      </c>
      <c r="E12" s="29">
        <v>126650</v>
      </c>
      <c r="F12" s="26">
        <v>4152.3500000000004</v>
      </c>
      <c r="G12" s="26">
        <v>3.52</v>
      </c>
    </row>
    <row r="13" spans="2:7" x14ac:dyDescent="0.2">
      <c r="B13" s="28" t="s">
        <v>126</v>
      </c>
      <c r="C13" s="24" t="s">
        <v>127</v>
      </c>
      <c r="D13" s="24" t="s">
        <v>128</v>
      </c>
      <c r="E13" s="29">
        <v>168330</v>
      </c>
      <c r="F13" s="26">
        <v>3481.49</v>
      </c>
      <c r="G13" s="26">
        <v>2.95</v>
      </c>
    </row>
    <row r="14" spans="2:7" x14ac:dyDescent="0.2">
      <c r="B14" s="28" t="s">
        <v>134</v>
      </c>
      <c r="C14" s="24" t="s">
        <v>135</v>
      </c>
      <c r="D14" s="24" t="s">
        <v>136</v>
      </c>
      <c r="E14" s="29">
        <v>112500</v>
      </c>
      <c r="F14" s="26">
        <v>3428.94</v>
      </c>
      <c r="G14" s="26">
        <v>2.9</v>
      </c>
    </row>
    <row r="15" spans="2:7" x14ac:dyDescent="0.2">
      <c r="B15" s="28" t="s">
        <v>63</v>
      </c>
      <c r="C15" s="24" t="s">
        <v>64</v>
      </c>
      <c r="D15" s="24" t="s">
        <v>65</v>
      </c>
      <c r="E15" s="29">
        <v>395000</v>
      </c>
      <c r="F15" s="26">
        <v>2687.38</v>
      </c>
      <c r="G15" s="26">
        <v>2.2799999999999998</v>
      </c>
    </row>
    <row r="16" spans="2:7" x14ac:dyDescent="0.2">
      <c r="B16" s="28" t="s">
        <v>208</v>
      </c>
      <c r="C16" s="24" t="s">
        <v>209</v>
      </c>
      <c r="D16" s="24" t="s">
        <v>131</v>
      </c>
      <c r="E16" s="29">
        <v>473000</v>
      </c>
      <c r="F16" s="26">
        <v>2645.96</v>
      </c>
      <c r="G16" s="26">
        <v>2.2400000000000002</v>
      </c>
    </row>
    <row r="17" spans="2:7" x14ac:dyDescent="0.2">
      <c r="B17" s="28" t="s">
        <v>219</v>
      </c>
      <c r="C17" s="24" t="s">
        <v>220</v>
      </c>
      <c r="D17" s="24" t="s">
        <v>139</v>
      </c>
      <c r="E17" s="29">
        <v>3305000</v>
      </c>
      <c r="F17" s="26">
        <v>2458.92</v>
      </c>
      <c r="G17" s="26">
        <v>2.08</v>
      </c>
    </row>
    <row r="18" spans="2:7" x14ac:dyDescent="0.2">
      <c r="B18" s="28" t="s">
        <v>76</v>
      </c>
      <c r="C18" s="24" t="s">
        <v>77</v>
      </c>
      <c r="D18" s="24" t="s">
        <v>65</v>
      </c>
      <c r="E18" s="29">
        <v>120000</v>
      </c>
      <c r="F18" s="26">
        <v>2446.08</v>
      </c>
      <c r="G18" s="26">
        <v>2.0699999999999998</v>
      </c>
    </row>
    <row r="19" spans="2:7" x14ac:dyDescent="0.2">
      <c r="B19" s="28" t="s">
        <v>151</v>
      </c>
      <c r="C19" s="24" t="s">
        <v>152</v>
      </c>
      <c r="D19" s="24" t="s">
        <v>136</v>
      </c>
      <c r="E19" s="29">
        <v>305000</v>
      </c>
      <c r="F19" s="26">
        <v>2362.84</v>
      </c>
      <c r="G19" s="26">
        <v>2</v>
      </c>
    </row>
    <row r="20" spans="2:7" x14ac:dyDescent="0.2">
      <c r="B20" s="28" t="s">
        <v>221</v>
      </c>
      <c r="C20" s="24" t="s">
        <v>222</v>
      </c>
      <c r="D20" s="24" t="s">
        <v>121</v>
      </c>
      <c r="E20" s="29">
        <v>175000</v>
      </c>
      <c r="F20" s="26">
        <v>2347.19</v>
      </c>
      <c r="G20" s="26">
        <v>1.99</v>
      </c>
    </row>
    <row r="21" spans="2:7" x14ac:dyDescent="0.2">
      <c r="B21" s="28" t="s">
        <v>137</v>
      </c>
      <c r="C21" s="24" t="s">
        <v>138</v>
      </c>
      <c r="D21" s="24" t="s">
        <v>139</v>
      </c>
      <c r="E21" s="29">
        <v>73000</v>
      </c>
      <c r="F21" s="26">
        <v>2297.5300000000002</v>
      </c>
      <c r="G21" s="26">
        <v>1.95</v>
      </c>
    </row>
    <row r="22" spans="2:7" x14ac:dyDescent="0.2">
      <c r="B22" s="28" t="s">
        <v>155</v>
      </c>
      <c r="C22" s="24" t="s">
        <v>156</v>
      </c>
      <c r="D22" s="24" t="s">
        <v>157</v>
      </c>
      <c r="E22" s="29">
        <v>113000</v>
      </c>
      <c r="F22" s="26">
        <v>2227.8000000000002</v>
      </c>
      <c r="G22" s="26">
        <v>1.89</v>
      </c>
    </row>
    <row r="23" spans="2:7" x14ac:dyDescent="0.2">
      <c r="B23" s="28" t="s">
        <v>158</v>
      </c>
      <c r="C23" s="24" t="s">
        <v>159</v>
      </c>
      <c r="D23" s="24" t="s">
        <v>121</v>
      </c>
      <c r="E23" s="29">
        <v>265000</v>
      </c>
      <c r="F23" s="26">
        <v>2150.7399999999998</v>
      </c>
      <c r="G23" s="26">
        <v>1.82</v>
      </c>
    </row>
    <row r="24" spans="2:7" x14ac:dyDescent="0.2">
      <c r="B24" s="28" t="s">
        <v>223</v>
      </c>
      <c r="C24" s="24" t="s">
        <v>224</v>
      </c>
      <c r="D24" s="24" t="s">
        <v>172</v>
      </c>
      <c r="E24" s="29">
        <v>200781</v>
      </c>
      <c r="F24" s="26">
        <v>2037.83</v>
      </c>
      <c r="G24" s="26">
        <v>1.73</v>
      </c>
    </row>
    <row r="25" spans="2:7" x14ac:dyDescent="0.2">
      <c r="B25" s="28" t="s">
        <v>142</v>
      </c>
      <c r="C25" s="24" t="s">
        <v>143</v>
      </c>
      <c r="D25" s="24" t="s">
        <v>131</v>
      </c>
      <c r="E25" s="29">
        <v>114000</v>
      </c>
      <c r="F25" s="26">
        <v>1963.99</v>
      </c>
      <c r="G25" s="26">
        <v>1.66</v>
      </c>
    </row>
    <row r="26" spans="2:7" x14ac:dyDescent="0.2">
      <c r="B26" s="28" t="s">
        <v>225</v>
      </c>
      <c r="C26" s="24" t="s">
        <v>226</v>
      </c>
      <c r="D26" s="24" t="s">
        <v>227</v>
      </c>
      <c r="E26" s="29">
        <v>9000</v>
      </c>
      <c r="F26" s="26">
        <v>1920.24</v>
      </c>
      <c r="G26" s="26">
        <v>1.63</v>
      </c>
    </row>
    <row r="27" spans="2:7" x14ac:dyDescent="0.2">
      <c r="B27" s="28" t="s">
        <v>200</v>
      </c>
      <c r="C27" s="24" t="s">
        <v>201</v>
      </c>
      <c r="D27" s="24" t="s">
        <v>128</v>
      </c>
      <c r="E27" s="29">
        <v>95000</v>
      </c>
      <c r="F27" s="26">
        <v>1887.08</v>
      </c>
      <c r="G27" s="26">
        <v>1.6</v>
      </c>
    </row>
    <row r="28" spans="2:7" x14ac:dyDescent="0.2">
      <c r="B28" s="28" t="s">
        <v>149</v>
      </c>
      <c r="C28" s="24" t="s">
        <v>150</v>
      </c>
      <c r="D28" s="24" t="s">
        <v>139</v>
      </c>
      <c r="E28" s="29">
        <v>26000</v>
      </c>
      <c r="F28" s="26">
        <v>1753.3</v>
      </c>
      <c r="G28" s="26">
        <v>1.48</v>
      </c>
    </row>
    <row r="29" spans="2:7" x14ac:dyDescent="0.2">
      <c r="B29" s="28" t="s">
        <v>47</v>
      </c>
      <c r="C29" s="24" t="s">
        <v>48</v>
      </c>
      <c r="D29" s="24" t="s">
        <v>49</v>
      </c>
      <c r="E29" s="29">
        <v>221389</v>
      </c>
      <c r="F29" s="26">
        <v>1727.28</v>
      </c>
      <c r="G29" s="26">
        <v>1.46</v>
      </c>
    </row>
    <row r="30" spans="2:7" x14ac:dyDescent="0.2">
      <c r="B30" s="28" t="s">
        <v>228</v>
      </c>
      <c r="C30" s="24" t="s">
        <v>229</v>
      </c>
      <c r="D30" s="24" t="s">
        <v>121</v>
      </c>
      <c r="E30" s="29">
        <v>124000</v>
      </c>
      <c r="F30" s="26">
        <v>1715.48</v>
      </c>
      <c r="G30" s="26">
        <v>1.45</v>
      </c>
    </row>
    <row r="31" spans="2:7" x14ac:dyDescent="0.2">
      <c r="B31" s="28" t="s">
        <v>41</v>
      </c>
      <c r="C31" s="24" t="s">
        <v>42</v>
      </c>
      <c r="D31" s="24" t="s">
        <v>43</v>
      </c>
      <c r="E31" s="29">
        <v>5016</v>
      </c>
      <c r="F31" s="26">
        <v>1634.76</v>
      </c>
      <c r="G31" s="26">
        <v>1.38</v>
      </c>
    </row>
    <row r="32" spans="2:7" x14ac:dyDescent="0.2">
      <c r="B32" s="28" t="s">
        <v>230</v>
      </c>
      <c r="C32" s="24" t="s">
        <v>231</v>
      </c>
      <c r="D32" s="24" t="s">
        <v>232</v>
      </c>
      <c r="E32" s="29">
        <v>211339</v>
      </c>
      <c r="F32" s="26">
        <v>1633.33</v>
      </c>
      <c r="G32" s="26">
        <v>1.38</v>
      </c>
    </row>
    <row r="33" spans="2:7" x14ac:dyDescent="0.2">
      <c r="B33" s="28" t="s">
        <v>193</v>
      </c>
      <c r="C33" s="24" t="s">
        <v>194</v>
      </c>
      <c r="D33" s="24" t="s">
        <v>195</v>
      </c>
      <c r="E33" s="29">
        <v>85839</v>
      </c>
      <c r="F33" s="26">
        <v>1613.56</v>
      </c>
      <c r="G33" s="26">
        <v>1.37</v>
      </c>
    </row>
    <row r="34" spans="2:7" x14ac:dyDescent="0.2">
      <c r="B34" s="28" t="s">
        <v>175</v>
      </c>
      <c r="C34" s="24" t="s">
        <v>176</v>
      </c>
      <c r="D34" s="24" t="s">
        <v>121</v>
      </c>
      <c r="E34" s="29">
        <v>118500</v>
      </c>
      <c r="F34" s="26">
        <v>1586.12</v>
      </c>
      <c r="G34" s="26">
        <v>1.34</v>
      </c>
    </row>
    <row r="35" spans="2:7" x14ac:dyDescent="0.2">
      <c r="B35" s="28" t="s">
        <v>93</v>
      </c>
      <c r="C35" s="24" t="s">
        <v>94</v>
      </c>
      <c r="D35" s="24" t="s">
        <v>65</v>
      </c>
      <c r="E35" s="29">
        <v>17765</v>
      </c>
      <c r="F35" s="26">
        <v>1556.58</v>
      </c>
      <c r="G35" s="26">
        <v>1.32</v>
      </c>
    </row>
    <row r="36" spans="2:7" x14ac:dyDescent="0.2">
      <c r="B36" s="28" t="s">
        <v>146</v>
      </c>
      <c r="C36" s="24" t="s">
        <v>147</v>
      </c>
      <c r="D36" s="24" t="s">
        <v>148</v>
      </c>
      <c r="E36" s="29">
        <v>105000</v>
      </c>
      <c r="F36" s="26">
        <v>1550.85</v>
      </c>
      <c r="G36" s="26">
        <v>1.31</v>
      </c>
    </row>
    <row r="37" spans="2:7" x14ac:dyDescent="0.2">
      <c r="B37" s="28" t="s">
        <v>183</v>
      </c>
      <c r="C37" s="24" t="s">
        <v>184</v>
      </c>
      <c r="D37" s="24" t="s">
        <v>172</v>
      </c>
      <c r="E37" s="29">
        <v>111563</v>
      </c>
      <c r="F37" s="26">
        <v>1491.1</v>
      </c>
      <c r="G37" s="26">
        <v>1.26</v>
      </c>
    </row>
    <row r="38" spans="2:7" x14ac:dyDescent="0.2">
      <c r="B38" s="28" t="s">
        <v>179</v>
      </c>
      <c r="C38" s="24" t="s">
        <v>180</v>
      </c>
      <c r="D38" s="24" t="s">
        <v>131</v>
      </c>
      <c r="E38" s="29">
        <v>575000</v>
      </c>
      <c r="F38" s="26">
        <v>1432.61</v>
      </c>
      <c r="G38" s="26">
        <v>1.21</v>
      </c>
    </row>
    <row r="39" spans="2:7" x14ac:dyDescent="0.2">
      <c r="B39" s="28" t="s">
        <v>153</v>
      </c>
      <c r="C39" s="24" t="s">
        <v>154</v>
      </c>
      <c r="D39" s="24" t="s">
        <v>128</v>
      </c>
      <c r="E39" s="29">
        <v>37000</v>
      </c>
      <c r="F39" s="26">
        <v>1405.32</v>
      </c>
      <c r="G39" s="26">
        <v>1.19</v>
      </c>
    </row>
    <row r="40" spans="2:7" x14ac:dyDescent="0.2">
      <c r="B40" s="28" t="s">
        <v>233</v>
      </c>
      <c r="C40" s="24" t="s">
        <v>234</v>
      </c>
      <c r="D40" s="24" t="s">
        <v>136</v>
      </c>
      <c r="E40" s="29">
        <v>25000</v>
      </c>
      <c r="F40" s="26">
        <v>1296.95</v>
      </c>
      <c r="G40" s="26">
        <v>1.1000000000000001</v>
      </c>
    </row>
    <row r="41" spans="2:7" x14ac:dyDescent="0.2">
      <c r="B41" s="28" t="s">
        <v>235</v>
      </c>
      <c r="C41" s="24" t="s">
        <v>236</v>
      </c>
      <c r="D41" s="24" t="s">
        <v>90</v>
      </c>
      <c r="E41" s="29">
        <v>195000</v>
      </c>
      <c r="F41" s="26">
        <v>1275.98</v>
      </c>
      <c r="G41" s="26">
        <v>1.08</v>
      </c>
    </row>
    <row r="42" spans="2:7" x14ac:dyDescent="0.2">
      <c r="B42" s="28" t="s">
        <v>187</v>
      </c>
      <c r="C42" s="24" t="s">
        <v>188</v>
      </c>
      <c r="D42" s="24" t="s">
        <v>65</v>
      </c>
      <c r="E42" s="29">
        <v>58000</v>
      </c>
      <c r="F42" s="26">
        <v>1274.1199999999999</v>
      </c>
      <c r="G42" s="26">
        <v>1.08</v>
      </c>
    </row>
    <row r="43" spans="2:7" x14ac:dyDescent="0.2">
      <c r="B43" s="28" t="s">
        <v>191</v>
      </c>
      <c r="C43" s="24" t="s">
        <v>192</v>
      </c>
      <c r="D43" s="24" t="s">
        <v>131</v>
      </c>
      <c r="E43" s="29">
        <v>144000</v>
      </c>
      <c r="F43" s="26">
        <v>1220.54</v>
      </c>
      <c r="G43" s="26">
        <v>1.03</v>
      </c>
    </row>
    <row r="44" spans="2:7" x14ac:dyDescent="0.2">
      <c r="B44" s="28" t="s">
        <v>202</v>
      </c>
      <c r="C44" s="24" t="s">
        <v>203</v>
      </c>
      <c r="D44" s="24" t="s">
        <v>131</v>
      </c>
      <c r="E44" s="29">
        <v>216108</v>
      </c>
      <c r="F44" s="26">
        <v>1197.24</v>
      </c>
      <c r="G44" s="26">
        <v>1.01</v>
      </c>
    </row>
    <row r="45" spans="2:7" x14ac:dyDescent="0.2">
      <c r="B45" s="28" t="s">
        <v>162</v>
      </c>
      <c r="C45" s="24" t="s">
        <v>163</v>
      </c>
      <c r="D45" s="24" t="s">
        <v>136</v>
      </c>
      <c r="E45" s="29">
        <v>55000</v>
      </c>
      <c r="F45" s="26">
        <v>1191.55</v>
      </c>
      <c r="G45" s="26">
        <v>1.01</v>
      </c>
    </row>
    <row r="46" spans="2:7" x14ac:dyDescent="0.2">
      <c r="B46" s="28" t="s">
        <v>84</v>
      </c>
      <c r="C46" s="24" t="s">
        <v>85</v>
      </c>
      <c r="D46" s="24" t="s">
        <v>46</v>
      </c>
      <c r="E46" s="29">
        <v>525000</v>
      </c>
      <c r="F46" s="26">
        <v>1139.25</v>
      </c>
      <c r="G46" s="26">
        <v>0.96</v>
      </c>
    </row>
    <row r="47" spans="2:7" x14ac:dyDescent="0.2">
      <c r="B47" s="28" t="s">
        <v>237</v>
      </c>
      <c r="C47" s="24" t="s">
        <v>238</v>
      </c>
      <c r="D47" s="24" t="s">
        <v>218</v>
      </c>
      <c r="E47" s="29">
        <v>21000</v>
      </c>
      <c r="F47" s="26">
        <v>1048.96</v>
      </c>
      <c r="G47" s="26">
        <v>0.89</v>
      </c>
    </row>
    <row r="48" spans="2:7" x14ac:dyDescent="0.2">
      <c r="B48" s="28" t="s">
        <v>106</v>
      </c>
      <c r="C48" s="24" t="s">
        <v>107</v>
      </c>
      <c r="D48" s="24" t="s">
        <v>65</v>
      </c>
      <c r="E48" s="29">
        <v>163600</v>
      </c>
      <c r="F48" s="26">
        <v>1048.92</v>
      </c>
      <c r="G48" s="26">
        <v>0.89</v>
      </c>
    </row>
    <row r="49" spans="2:9" x14ac:dyDescent="0.2">
      <c r="B49" s="28" t="s">
        <v>170</v>
      </c>
      <c r="C49" s="24" t="s">
        <v>171</v>
      </c>
      <c r="D49" s="24" t="s">
        <v>172</v>
      </c>
      <c r="E49" s="29">
        <v>16849</v>
      </c>
      <c r="F49" s="26">
        <v>1029.8599999999999</v>
      </c>
      <c r="G49" s="26">
        <v>0.87</v>
      </c>
    </row>
    <row r="50" spans="2:9" x14ac:dyDescent="0.2">
      <c r="B50" s="28" t="s">
        <v>173</v>
      </c>
      <c r="C50" s="24" t="s">
        <v>174</v>
      </c>
      <c r="D50" s="24" t="s">
        <v>172</v>
      </c>
      <c r="E50" s="29">
        <v>44099</v>
      </c>
      <c r="F50" s="26">
        <v>971.21</v>
      </c>
      <c r="G50" s="26">
        <v>0.82</v>
      </c>
    </row>
    <row r="51" spans="2:9" x14ac:dyDescent="0.2">
      <c r="B51" s="28" t="s">
        <v>144</v>
      </c>
      <c r="C51" s="24" t="s">
        <v>145</v>
      </c>
      <c r="D51" s="24" t="s">
        <v>139</v>
      </c>
      <c r="E51" s="29">
        <v>137000</v>
      </c>
      <c r="F51" s="26">
        <v>832.82</v>
      </c>
      <c r="G51" s="26">
        <v>0.71</v>
      </c>
    </row>
    <row r="52" spans="2:9" x14ac:dyDescent="0.2">
      <c r="B52" s="28" t="s">
        <v>78</v>
      </c>
      <c r="C52" s="24" t="s">
        <v>79</v>
      </c>
      <c r="D52" s="24" t="s">
        <v>46</v>
      </c>
      <c r="E52" s="29">
        <v>4000</v>
      </c>
      <c r="F52" s="26">
        <v>810.28</v>
      </c>
      <c r="G52" s="26">
        <v>0.69</v>
      </c>
    </row>
    <row r="53" spans="2:9" x14ac:dyDescent="0.2">
      <c r="B53" s="28" t="s">
        <v>210</v>
      </c>
      <c r="C53" s="24" t="s">
        <v>211</v>
      </c>
      <c r="D53" s="24" t="s">
        <v>139</v>
      </c>
      <c r="E53" s="29">
        <v>56500</v>
      </c>
      <c r="F53" s="26">
        <v>744.92</v>
      </c>
      <c r="G53" s="26">
        <v>0.63</v>
      </c>
    </row>
    <row r="54" spans="2:9" x14ac:dyDescent="0.2">
      <c r="B54" s="28" t="s">
        <v>239</v>
      </c>
      <c r="C54" s="24" t="s">
        <v>240</v>
      </c>
      <c r="D54" s="24" t="s">
        <v>131</v>
      </c>
      <c r="E54" s="29">
        <v>89000</v>
      </c>
      <c r="F54" s="26">
        <v>722.19</v>
      </c>
      <c r="G54" s="26">
        <v>0.61</v>
      </c>
    </row>
    <row r="55" spans="2:9" x14ac:dyDescent="0.2">
      <c r="B55" s="28" t="s">
        <v>44</v>
      </c>
      <c r="C55" s="24" t="s">
        <v>45</v>
      </c>
      <c r="D55" s="24" t="s">
        <v>46</v>
      </c>
      <c r="E55" s="29">
        <v>80000</v>
      </c>
      <c r="F55" s="26">
        <v>602.79999999999995</v>
      </c>
      <c r="G55" s="26">
        <v>0.51</v>
      </c>
    </row>
    <row r="56" spans="2:9" x14ac:dyDescent="0.2">
      <c r="B56" s="28" t="s">
        <v>241</v>
      </c>
      <c r="C56" s="24" t="s">
        <v>242</v>
      </c>
      <c r="D56" s="24" t="s">
        <v>65</v>
      </c>
      <c r="E56" s="29">
        <v>184272</v>
      </c>
      <c r="F56" s="26">
        <v>538.72</v>
      </c>
      <c r="G56" s="26">
        <v>0.46</v>
      </c>
    </row>
    <row r="57" spans="2:9" x14ac:dyDescent="0.2">
      <c r="B57" s="30" t="s">
        <v>110</v>
      </c>
      <c r="C57" s="31"/>
      <c r="D57" s="31"/>
      <c r="E57" s="32"/>
      <c r="F57" s="33">
        <f>SUM(F7:F56)</f>
        <v>114945.12000000004</v>
      </c>
      <c r="G57" s="33">
        <f>SUM(G7:G56)</f>
        <v>97.339999999999975</v>
      </c>
      <c r="H57" s="14"/>
      <c r="I57" s="14"/>
    </row>
    <row r="58" spans="2:9" x14ac:dyDescent="0.2">
      <c r="B58" s="38" t="s">
        <v>111</v>
      </c>
      <c r="C58" s="38"/>
      <c r="D58" s="38"/>
      <c r="E58" s="39"/>
      <c r="F58" s="40">
        <f>F57</f>
        <v>114945.12000000004</v>
      </c>
      <c r="G58" s="40">
        <f>G57</f>
        <v>97.339999999999975</v>
      </c>
      <c r="H58" s="14"/>
      <c r="I58" s="14"/>
    </row>
    <row r="59" spans="2:9" x14ac:dyDescent="0.2">
      <c r="B59" s="41" t="s">
        <v>112</v>
      </c>
      <c r="C59" s="42"/>
      <c r="D59" s="42"/>
      <c r="E59" s="43"/>
      <c r="F59" s="44"/>
      <c r="G59" s="44"/>
    </row>
    <row r="60" spans="2:9" x14ac:dyDescent="0.2">
      <c r="B60" s="28" t="s">
        <v>112</v>
      </c>
      <c r="C60" s="24"/>
      <c r="D60" s="24"/>
      <c r="E60" s="25"/>
      <c r="F60" s="26">
        <v>3476.25</v>
      </c>
      <c r="G60" s="26">
        <v>2.94</v>
      </c>
    </row>
    <row r="61" spans="2:9" x14ac:dyDescent="0.2">
      <c r="B61" s="30" t="s">
        <v>110</v>
      </c>
      <c r="C61" s="31"/>
      <c r="D61" s="31"/>
      <c r="E61" s="32"/>
      <c r="F61" s="33">
        <f>SUM(F59:F60)</f>
        <v>3476.25</v>
      </c>
      <c r="G61" s="33">
        <f>SUM(G59:G60)</f>
        <v>2.94</v>
      </c>
      <c r="H61" s="14"/>
      <c r="I61" s="14"/>
    </row>
    <row r="62" spans="2:9" x14ac:dyDescent="0.2">
      <c r="B62" s="35" t="s">
        <v>111</v>
      </c>
      <c r="C62" s="35"/>
      <c r="D62" s="35"/>
      <c r="E62" s="36"/>
      <c r="F62" s="37">
        <f>F61</f>
        <v>3476.25</v>
      </c>
      <c r="G62" s="37">
        <f>G61</f>
        <v>2.94</v>
      </c>
      <c r="H62" s="14"/>
      <c r="I62" s="14"/>
    </row>
    <row r="63" spans="2:9" x14ac:dyDescent="0.2">
      <c r="B63" s="45" t="s">
        <v>114</v>
      </c>
      <c r="C63" s="45"/>
      <c r="D63" s="45"/>
      <c r="E63" s="46"/>
      <c r="F63" s="17">
        <f>F64-(+F58+F62)</f>
        <v>-345.15000000003783</v>
      </c>
      <c r="G63" s="17">
        <f>G64-(+G58+G62)</f>
        <v>-0.27999999999997272</v>
      </c>
      <c r="H63" s="14"/>
      <c r="I63" s="14"/>
    </row>
    <row r="64" spans="2:9" x14ac:dyDescent="0.2">
      <c r="B64" s="45" t="s">
        <v>113</v>
      </c>
      <c r="C64" s="45"/>
      <c r="D64" s="45"/>
      <c r="E64" s="46"/>
      <c r="F64" s="17">
        <v>118076.22</v>
      </c>
      <c r="G64" s="17">
        <v>100</v>
      </c>
      <c r="H64" s="14"/>
      <c r="I64" s="14"/>
    </row>
    <row r="66" spans="2:5" x14ac:dyDescent="0.2">
      <c r="B66" s="14"/>
    </row>
    <row r="68" spans="2:5" x14ac:dyDescent="0.2">
      <c r="B68" s="14"/>
    </row>
    <row r="71" spans="2:5" x14ac:dyDescent="0.2">
      <c r="B71" s="14"/>
      <c r="C71" s="14"/>
      <c r="D71" s="14"/>
      <c r="E71" s="15"/>
    </row>
    <row r="72" spans="2:5" x14ac:dyDescent="0.2">
      <c r="E72" s="13"/>
    </row>
    <row r="74" spans="2:5" x14ac:dyDescent="0.2">
      <c r="D74" s="13"/>
    </row>
    <row r="77" spans="2:5" x14ac:dyDescent="0.2">
      <c r="D77" s="14"/>
      <c r="E77" s="15"/>
    </row>
    <row r="82" spans="2:5" x14ac:dyDescent="0.2">
      <c r="B82" s="14"/>
      <c r="C82" s="14"/>
      <c r="D82" s="14"/>
      <c r="E82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8"/>
  <sheetViews>
    <sheetView topLeftCell="A4" workbookViewId="0">
      <selection activeCell="H4" sqref="H1:H1048576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28515625" style="1" bestFit="1" customWidth="1"/>
    <col min="4" max="4" width="21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9" t="s">
        <v>10</v>
      </c>
      <c r="C1" s="70"/>
      <c r="D1" s="70"/>
      <c r="E1" s="70"/>
      <c r="F1" s="70"/>
      <c r="G1" s="70"/>
    </row>
    <row r="3" spans="2:7" ht="16.5" thickBot="1" x14ac:dyDescent="0.25">
      <c r="B3" s="2" t="s">
        <v>760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8" t="s">
        <v>30</v>
      </c>
      <c r="C5" s="19"/>
      <c r="D5" s="19"/>
      <c r="E5" s="20"/>
      <c r="F5" s="21"/>
      <c r="G5" s="21"/>
    </row>
    <row r="6" spans="2:7" x14ac:dyDescent="0.2">
      <c r="B6" s="23" t="s">
        <v>31</v>
      </c>
      <c r="C6" s="24"/>
      <c r="D6" s="24"/>
      <c r="E6" s="25"/>
      <c r="F6" s="26"/>
      <c r="G6" s="26"/>
    </row>
    <row r="7" spans="2:7" x14ac:dyDescent="0.2">
      <c r="B7" s="28" t="s">
        <v>35</v>
      </c>
      <c r="C7" s="24" t="s">
        <v>36</v>
      </c>
      <c r="D7" s="24" t="s">
        <v>37</v>
      </c>
      <c r="E7" s="29">
        <v>1508000</v>
      </c>
      <c r="F7" s="26">
        <v>33694</v>
      </c>
      <c r="G7" s="26">
        <v>5.63</v>
      </c>
    </row>
    <row r="8" spans="2:7" x14ac:dyDescent="0.2">
      <c r="B8" s="28" t="s">
        <v>122</v>
      </c>
      <c r="C8" s="24" t="s">
        <v>123</v>
      </c>
      <c r="D8" s="24" t="s">
        <v>90</v>
      </c>
      <c r="E8" s="29">
        <v>2941000</v>
      </c>
      <c r="F8" s="26">
        <v>31721.63</v>
      </c>
      <c r="G8" s="26">
        <v>5.3</v>
      </c>
    </row>
    <row r="9" spans="2:7" x14ac:dyDescent="0.2">
      <c r="B9" s="28" t="s">
        <v>88</v>
      </c>
      <c r="C9" s="24" t="s">
        <v>89</v>
      </c>
      <c r="D9" s="24" t="s">
        <v>90</v>
      </c>
      <c r="E9" s="29">
        <v>7098000</v>
      </c>
      <c r="F9" s="26">
        <v>25180.16</v>
      </c>
      <c r="G9" s="26">
        <v>4.21</v>
      </c>
    </row>
    <row r="10" spans="2:7" x14ac:dyDescent="0.2">
      <c r="B10" s="28" t="s">
        <v>119</v>
      </c>
      <c r="C10" s="24" t="s">
        <v>120</v>
      </c>
      <c r="D10" s="24" t="s">
        <v>121</v>
      </c>
      <c r="E10" s="29">
        <v>2435000</v>
      </c>
      <c r="F10" s="26">
        <v>24550.89</v>
      </c>
      <c r="G10" s="26">
        <v>4.0999999999999996</v>
      </c>
    </row>
    <row r="11" spans="2:7" x14ac:dyDescent="0.2">
      <c r="B11" s="28" t="s">
        <v>129</v>
      </c>
      <c r="C11" s="24" t="s">
        <v>130</v>
      </c>
      <c r="D11" s="24" t="s">
        <v>131</v>
      </c>
      <c r="E11" s="29">
        <v>598000</v>
      </c>
      <c r="F11" s="26">
        <v>19606.03</v>
      </c>
      <c r="G11" s="26">
        <v>3.27</v>
      </c>
    </row>
    <row r="12" spans="2:7" x14ac:dyDescent="0.2">
      <c r="B12" s="28" t="s">
        <v>166</v>
      </c>
      <c r="C12" s="24" t="s">
        <v>167</v>
      </c>
      <c r="D12" s="24" t="s">
        <v>90</v>
      </c>
      <c r="E12" s="29">
        <v>3963090</v>
      </c>
      <c r="F12" s="26">
        <v>16829.259999999998</v>
      </c>
      <c r="G12" s="26">
        <v>2.81</v>
      </c>
    </row>
    <row r="13" spans="2:7" x14ac:dyDescent="0.2">
      <c r="B13" s="28" t="s">
        <v>162</v>
      </c>
      <c r="C13" s="24" t="s">
        <v>163</v>
      </c>
      <c r="D13" s="24" t="s">
        <v>136</v>
      </c>
      <c r="E13" s="29">
        <v>699923</v>
      </c>
      <c r="F13" s="26">
        <v>15163.48</v>
      </c>
      <c r="G13" s="26">
        <v>2.5299999999999998</v>
      </c>
    </row>
    <row r="14" spans="2:7" x14ac:dyDescent="0.2">
      <c r="B14" s="28" t="s">
        <v>63</v>
      </c>
      <c r="C14" s="24" t="s">
        <v>64</v>
      </c>
      <c r="D14" s="24" t="s">
        <v>65</v>
      </c>
      <c r="E14" s="29">
        <v>2121175</v>
      </c>
      <c r="F14" s="26">
        <v>14431.41</v>
      </c>
      <c r="G14" s="26">
        <v>2.41</v>
      </c>
    </row>
    <row r="15" spans="2:7" x14ac:dyDescent="0.2">
      <c r="B15" s="28" t="s">
        <v>170</v>
      </c>
      <c r="C15" s="24" t="s">
        <v>171</v>
      </c>
      <c r="D15" s="24" t="s">
        <v>172</v>
      </c>
      <c r="E15" s="29">
        <v>235927</v>
      </c>
      <c r="F15" s="26">
        <v>14420.57</v>
      </c>
      <c r="G15" s="26">
        <v>2.41</v>
      </c>
    </row>
    <row r="16" spans="2:7" x14ac:dyDescent="0.2">
      <c r="B16" s="28" t="s">
        <v>146</v>
      </c>
      <c r="C16" s="24" t="s">
        <v>147</v>
      </c>
      <c r="D16" s="24" t="s">
        <v>148</v>
      </c>
      <c r="E16" s="29">
        <v>921072</v>
      </c>
      <c r="F16" s="26">
        <v>13604.23</v>
      </c>
      <c r="G16" s="26">
        <v>2.27</v>
      </c>
    </row>
    <row r="17" spans="2:7" x14ac:dyDescent="0.2">
      <c r="B17" s="28" t="s">
        <v>196</v>
      </c>
      <c r="C17" s="24" t="s">
        <v>197</v>
      </c>
      <c r="D17" s="24" t="s">
        <v>148</v>
      </c>
      <c r="E17" s="29">
        <v>3794476</v>
      </c>
      <c r="F17" s="26">
        <v>12552.13</v>
      </c>
      <c r="G17" s="26">
        <v>2.1</v>
      </c>
    </row>
    <row r="18" spans="2:7" x14ac:dyDescent="0.2">
      <c r="B18" s="28" t="s">
        <v>126</v>
      </c>
      <c r="C18" s="24" t="s">
        <v>127</v>
      </c>
      <c r="D18" s="24" t="s">
        <v>128</v>
      </c>
      <c r="E18" s="29">
        <v>600000</v>
      </c>
      <c r="F18" s="26">
        <v>12409.5</v>
      </c>
      <c r="G18" s="26">
        <v>2.0699999999999998</v>
      </c>
    </row>
    <row r="19" spans="2:7" x14ac:dyDescent="0.2">
      <c r="B19" s="28" t="s">
        <v>179</v>
      </c>
      <c r="C19" s="24" t="s">
        <v>180</v>
      </c>
      <c r="D19" s="24" t="s">
        <v>131</v>
      </c>
      <c r="E19" s="29">
        <v>4969719</v>
      </c>
      <c r="F19" s="26">
        <v>12382.05</v>
      </c>
      <c r="G19" s="26">
        <v>2.0699999999999998</v>
      </c>
    </row>
    <row r="20" spans="2:7" x14ac:dyDescent="0.2">
      <c r="B20" s="28" t="s">
        <v>187</v>
      </c>
      <c r="C20" s="24" t="s">
        <v>188</v>
      </c>
      <c r="D20" s="24" t="s">
        <v>65</v>
      </c>
      <c r="E20" s="29">
        <v>521405</v>
      </c>
      <c r="F20" s="26">
        <v>11453.96</v>
      </c>
      <c r="G20" s="26">
        <v>1.91</v>
      </c>
    </row>
    <row r="21" spans="2:7" x14ac:dyDescent="0.2">
      <c r="B21" s="28" t="s">
        <v>155</v>
      </c>
      <c r="C21" s="24" t="s">
        <v>156</v>
      </c>
      <c r="D21" s="24" t="s">
        <v>157</v>
      </c>
      <c r="E21" s="29">
        <v>578812</v>
      </c>
      <c r="F21" s="26">
        <v>11411.28</v>
      </c>
      <c r="G21" s="26">
        <v>1.91</v>
      </c>
    </row>
    <row r="22" spans="2:7" x14ac:dyDescent="0.2">
      <c r="B22" s="28" t="s">
        <v>173</v>
      </c>
      <c r="C22" s="24" t="s">
        <v>174</v>
      </c>
      <c r="D22" s="24" t="s">
        <v>172</v>
      </c>
      <c r="E22" s="29">
        <v>495131</v>
      </c>
      <c r="F22" s="26">
        <v>10904.52</v>
      </c>
      <c r="G22" s="26">
        <v>1.82</v>
      </c>
    </row>
    <row r="23" spans="2:7" x14ac:dyDescent="0.2">
      <c r="B23" s="28" t="s">
        <v>175</v>
      </c>
      <c r="C23" s="24" t="s">
        <v>176</v>
      </c>
      <c r="D23" s="24" t="s">
        <v>121</v>
      </c>
      <c r="E23" s="29">
        <v>798296</v>
      </c>
      <c r="F23" s="26">
        <v>10685.19</v>
      </c>
      <c r="G23" s="26">
        <v>1.78</v>
      </c>
    </row>
    <row r="24" spans="2:7" x14ac:dyDescent="0.2">
      <c r="B24" s="28" t="s">
        <v>60</v>
      </c>
      <c r="C24" s="24" t="s">
        <v>61</v>
      </c>
      <c r="D24" s="24" t="s">
        <v>62</v>
      </c>
      <c r="E24" s="29">
        <v>3419300</v>
      </c>
      <c r="F24" s="26">
        <v>10545.12</v>
      </c>
      <c r="G24" s="26">
        <v>1.76</v>
      </c>
    </row>
    <row r="25" spans="2:7" x14ac:dyDescent="0.2">
      <c r="B25" s="28" t="s">
        <v>99</v>
      </c>
      <c r="C25" s="24" t="s">
        <v>100</v>
      </c>
      <c r="D25" s="24" t="s">
        <v>101</v>
      </c>
      <c r="E25" s="29">
        <v>2489667</v>
      </c>
      <c r="F25" s="26">
        <v>10480.25</v>
      </c>
      <c r="G25" s="26">
        <v>1.75</v>
      </c>
    </row>
    <row r="26" spans="2:7" x14ac:dyDescent="0.2">
      <c r="B26" s="28" t="s">
        <v>243</v>
      </c>
      <c r="C26" s="24" t="s">
        <v>244</v>
      </c>
      <c r="D26" s="24" t="s">
        <v>131</v>
      </c>
      <c r="E26" s="29">
        <v>8500000</v>
      </c>
      <c r="F26" s="26">
        <v>10463.5</v>
      </c>
      <c r="G26" s="26">
        <v>1.75</v>
      </c>
    </row>
    <row r="27" spans="2:7" x14ac:dyDescent="0.2">
      <c r="B27" s="28" t="s">
        <v>68</v>
      </c>
      <c r="C27" s="24" t="s">
        <v>69</v>
      </c>
      <c r="D27" s="24" t="s">
        <v>62</v>
      </c>
      <c r="E27" s="29">
        <v>2660534</v>
      </c>
      <c r="F27" s="26">
        <v>10290.950000000001</v>
      </c>
      <c r="G27" s="26">
        <v>1.72</v>
      </c>
    </row>
    <row r="28" spans="2:7" x14ac:dyDescent="0.2">
      <c r="B28" s="28" t="s">
        <v>55</v>
      </c>
      <c r="C28" s="24" t="s">
        <v>56</v>
      </c>
      <c r="D28" s="24" t="s">
        <v>57</v>
      </c>
      <c r="E28" s="29">
        <v>552414</v>
      </c>
      <c r="F28" s="26">
        <v>10211.65</v>
      </c>
      <c r="G28" s="26">
        <v>1.71</v>
      </c>
    </row>
    <row r="29" spans="2:7" x14ac:dyDescent="0.2">
      <c r="B29" s="28" t="s">
        <v>41</v>
      </c>
      <c r="C29" s="24" t="s">
        <v>42</v>
      </c>
      <c r="D29" s="24" t="s">
        <v>43</v>
      </c>
      <c r="E29" s="29">
        <v>31070</v>
      </c>
      <c r="F29" s="26">
        <v>10125.98</v>
      </c>
      <c r="G29" s="26">
        <v>1.69</v>
      </c>
    </row>
    <row r="30" spans="2:7" x14ac:dyDescent="0.2">
      <c r="B30" s="28" t="s">
        <v>134</v>
      </c>
      <c r="C30" s="24" t="s">
        <v>135</v>
      </c>
      <c r="D30" s="24" t="s">
        <v>136</v>
      </c>
      <c r="E30" s="29">
        <v>330378</v>
      </c>
      <c r="F30" s="26">
        <v>10069.76</v>
      </c>
      <c r="G30" s="26">
        <v>1.68</v>
      </c>
    </row>
    <row r="31" spans="2:7" x14ac:dyDescent="0.2">
      <c r="B31" s="28" t="s">
        <v>124</v>
      </c>
      <c r="C31" s="24" t="s">
        <v>125</v>
      </c>
      <c r="D31" s="24" t="s">
        <v>121</v>
      </c>
      <c r="E31" s="29">
        <v>390000</v>
      </c>
      <c r="F31" s="26">
        <v>9719.9699999999993</v>
      </c>
      <c r="G31" s="26">
        <v>1.62</v>
      </c>
    </row>
    <row r="32" spans="2:7" x14ac:dyDescent="0.2">
      <c r="B32" s="28" t="s">
        <v>181</v>
      </c>
      <c r="C32" s="24" t="s">
        <v>182</v>
      </c>
      <c r="D32" s="24" t="s">
        <v>65</v>
      </c>
      <c r="E32" s="29">
        <v>736983</v>
      </c>
      <c r="F32" s="26">
        <v>9716.02</v>
      </c>
      <c r="G32" s="26">
        <v>1.62</v>
      </c>
    </row>
    <row r="33" spans="2:7" x14ac:dyDescent="0.2">
      <c r="B33" s="28" t="s">
        <v>245</v>
      </c>
      <c r="C33" s="24" t="s">
        <v>246</v>
      </c>
      <c r="D33" s="24" t="s">
        <v>128</v>
      </c>
      <c r="E33" s="29">
        <v>1930000</v>
      </c>
      <c r="F33" s="26">
        <v>9649.0400000000009</v>
      </c>
      <c r="G33" s="26">
        <v>1.61</v>
      </c>
    </row>
    <row r="34" spans="2:7" x14ac:dyDescent="0.2">
      <c r="B34" s="28" t="s">
        <v>191</v>
      </c>
      <c r="C34" s="24" t="s">
        <v>192</v>
      </c>
      <c r="D34" s="24" t="s">
        <v>131</v>
      </c>
      <c r="E34" s="29">
        <v>1135000</v>
      </c>
      <c r="F34" s="26">
        <v>9620.26</v>
      </c>
      <c r="G34" s="26">
        <v>1.61</v>
      </c>
    </row>
    <row r="35" spans="2:7" x14ac:dyDescent="0.2">
      <c r="B35" s="28" t="s">
        <v>247</v>
      </c>
      <c r="C35" s="24" t="s">
        <v>248</v>
      </c>
      <c r="D35" s="24" t="s">
        <v>128</v>
      </c>
      <c r="E35" s="29">
        <v>1833216</v>
      </c>
      <c r="F35" s="26">
        <v>9179.83</v>
      </c>
      <c r="G35" s="26">
        <v>1.53</v>
      </c>
    </row>
    <row r="36" spans="2:7" x14ac:dyDescent="0.2">
      <c r="B36" s="28" t="s">
        <v>144</v>
      </c>
      <c r="C36" s="24" t="s">
        <v>145</v>
      </c>
      <c r="D36" s="24" t="s">
        <v>139</v>
      </c>
      <c r="E36" s="29">
        <v>1500000</v>
      </c>
      <c r="F36" s="26">
        <v>9118.5</v>
      </c>
      <c r="G36" s="26">
        <v>1.52</v>
      </c>
    </row>
    <row r="37" spans="2:7" x14ac:dyDescent="0.2">
      <c r="B37" s="28" t="s">
        <v>214</v>
      </c>
      <c r="C37" s="24" t="s">
        <v>215</v>
      </c>
      <c r="D37" s="24" t="s">
        <v>128</v>
      </c>
      <c r="E37" s="29">
        <v>388954</v>
      </c>
      <c r="F37" s="26">
        <v>9118.44</v>
      </c>
      <c r="G37" s="26">
        <v>1.52</v>
      </c>
    </row>
    <row r="38" spans="2:7" x14ac:dyDescent="0.2">
      <c r="B38" s="28" t="s">
        <v>132</v>
      </c>
      <c r="C38" s="24" t="s">
        <v>133</v>
      </c>
      <c r="D38" s="24" t="s">
        <v>90</v>
      </c>
      <c r="E38" s="29">
        <v>707877</v>
      </c>
      <c r="F38" s="26">
        <v>8977.2999999999993</v>
      </c>
      <c r="G38" s="26">
        <v>1.5</v>
      </c>
    </row>
    <row r="39" spans="2:7" x14ac:dyDescent="0.2">
      <c r="B39" s="28" t="s">
        <v>219</v>
      </c>
      <c r="C39" s="24" t="s">
        <v>220</v>
      </c>
      <c r="D39" s="24" t="s">
        <v>139</v>
      </c>
      <c r="E39" s="29">
        <v>12000000</v>
      </c>
      <c r="F39" s="26">
        <v>8928</v>
      </c>
      <c r="G39" s="26">
        <v>1.49</v>
      </c>
    </row>
    <row r="40" spans="2:7" x14ac:dyDescent="0.2">
      <c r="B40" s="28" t="s">
        <v>160</v>
      </c>
      <c r="C40" s="24" t="s">
        <v>161</v>
      </c>
      <c r="D40" s="24" t="s">
        <v>136</v>
      </c>
      <c r="E40" s="29">
        <v>53776</v>
      </c>
      <c r="F40" s="26">
        <v>8866.02</v>
      </c>
      <c r="G40" s="26">
        <v>1.48</v>
      </c>
    </row>
    <row r="41" spans="2:7" x14ac:dyDescent="0.2">
      <c r="B41" s="28" t="s">
        <v>216</v>
      </c>
      <c r="C41" s="24" t="s">
        <v>217</v>
      </c>
      <c r="D41" s="24" t="s">
        <v>218</v>
      </c>
      <c r="E41" s="29">
        <v>393005</v>
      </c>
      <c r="F41" s="26">
        <v>8658.49</v>
      </c>
      <c r="G41" s="26">
        <v>1.45</v>
      </c>
    </row>
    <row r="42" spans="2:7" x14ac:dyDescent="0.2">
      <c r="B42" s="28" t="s">
        <v>142</v>
      </c>
      <c r="C42" s="24" t="s">
        <v>143</v>
      </c>
      <c r="D42" s="24" t="s">
        <v>131</v>
      </c>
      <c r="E42" s="29">
        <v>492000</v>
      </c>
      <c r="F42" s="26">
        <v>8476.18</v>
      </c>
      <c r="G42" s="26">
        <v>1.42</v>
      </c>
    </row>
    <row r="43" spans="2:7" x14ac:dyDescent="0.2">
      <c r="B43" s="28" t="s">
        <v>44</v>
      </c>
      <c r="C43" s="24" t="s">
        <v>45</v>
      </c>
      <c r="D43" s="24" t="s">
        <v>46</v>
      </c>
      <c r="E43" s="29">
        <v>1124043</v>
      </c>
      <c r="F43" s="26">
        <v>8469.66</v>
      </c>
      <c r="G43" s="26">
        <v>1.41</v>
      </c>
    </row>
    <row r="44" spans="2:7" x14ac:dyDescent="0.2">
      <c r="B44" s="28" t="s">
        <v>95</v>
      </c>
      <c r="C44" s="24" t="s">
        <v>96</v>
      </c>
      <c r="D44" s="24" t="s">
        <v>46</v>
      </c>
      <c r="E44" s="29">
        <v>205000</v>
      </c>
      <c r="F44" s="26">
        <v>8301.58</v>
      </c>
      <c r="G44" s="26">
        <v>1.39</v>
      </c>
    </row>
    <row r="45" spans="2:7" x14ac:dyDescent="0.2">
      <c r="B45" s="28" t="s">
        <v>249</v>
      </c>
      <c r="C45" s="24" t="s">
        <v>250</v>
      </c>
      <c r="D45" s="24" t="s">
        <v>218</v>
      </c>
      <c r="E45" s="29">
        <v>6206870</v>
      </c>
      <c r="F45" s="26">
        <v>8292.3799999999992</v>
      </c>
      <c r="G45" s="26">
        <v>1.38</v>
      </c>
    </row>
    <row r="46" spans="2:7" x14ac:dyDescent="0.2">
      <c r="B46" s="28" t="s">
        <v>153</v>
      </c>
      <c r="C46" s="24" t="s">
        <v>154</v>
      </c>
      <c r="D46" s="24" t="s">
        <v>128</v>
      </c>
      <c r="E46" s="29">
        <v>218012</v>
      </c>
      <c r="F46" s="26">
        <v>8280.42</v>
      </c>
      <c r="G46" s="26">
        <v>1.38</v>
      </c>
    </row>
    <row r="47" spans="2:7" x14ac:dyDescent="0.2">
      <c r="B47" s="28" t="s">
        <v>189</v>
      </c>
      <c r="C47" s="24" t="s">
        <v>190</v>
      </c>
      <c r="D47" s="24" t="s">
        <v>136</v>
      </c>
      <c r="E47" s="29">
        <v>1650000</v>
      </c>
      <c r="F47" s="26">
        <v>8257.43</v>
      </c>
      <c r="G47" s="26">
        <v>1.38</v>
      </c>
    </row>
    <row r="48" spans="2:7" x14ac:dyDescent="0.2">
      <c r="B48" s="28" t="s">
        <v>164</v>
      </c>
      <c r="C48" s="24" t="s">
        <v>165</v>
      </c>
      <c r="D48" s="24" t="s">
        <v>65</v>
      </c>
      <c r="E48" s="29">
        <v>588000</v>
      </c>
      <c r="F48" s="26">
        <v>7063.94</v>
      </c>
      <c r="G48" s="26">
        <v>1.18</v>
      </c>
    </row>
    <row r="49" spans="2:9" x14ac:dyDescent="0.2">
      <c r="B49" s="28" t="s">
        <v>177</v>
      </c>
      <c r="C49" s="24" t="s">
        <v>178</v>
      </c>
      <c r="D49" s="24" t="s">
        <v>136</v>
      </c>
      <c r="E49" s="29">
        <v>243948</v>
      </c>
      <c r="F49" s="26">
        <v>6776.75</v>
      </c>
      <c r="G49" s="26">
        <v>1.1299999999999999</v>
      </c>
    </row>
    <row r="50" spans="2:9" x14ac:dyDescent="0.2">
      <c r="B50" s="28" t="s">
        <v>193</v>
      </c>
      <c r="C50" s="24" t="s">
        <v>194</v>
      </c>
      <c r="D50" s="24" t="s">
        <v>195</v>
      </c>
      <c r="E50" s="29">
        <v>342586</v>
      </c>
      <c r="F50" s="26">
        <v>6439.76</v>
      </c>
      <c r="G50" s="26">
        <v>1.08</v>
      </c>
    </row>
    <row r="51" spans="2:9" x14ac:dyDescent="0.2">
      <c r="B51" s="28" t="s">
        <v>251</v>
      </c>
      <c r="C51" s="24" t="s">
        <v>252</v>
      </c>
      <c r="D51" s="24" t="s">
        <v>90</v>
      </c>
      <c r="E51" s="29">
        <v>4235101</v>
      </c>
      <c r="F51" s="26">
        <v>5918.55</v>
      </c>
      <c r="G51" s="26">
        <v>0.99</v>
      </c>
    </row>
    <row r="52" spans="2:9" x14ac:dyDescent="0.2">
      <c r="B52" s="28" t="s">
        <v>253</v>
      </c>
      <c r="C52" s="24" t="s">
        <v>254</v>
      </c>
      <c r="D52" s="24" t="s">
        <v>136</v>
      </c>
      <c r="E52" s="29">
        <v>1029191</v>
      </c>
      <c r="F52" s="26">
        <v>5690.91</v>
      </c>
      <c r="G52" s="26">
        <v>0.95</v>
      </c>
    </row>
    <row r="53" spans="2:9" x14ac:dyDescent="0.2">
      <c r="B53" s="28" t="s">
        <v>255</v>
      </c>
      <c r="C53" s="24" t="s">
        <v>256</v>
      </c>
      <c r="D53" s="24" t="s">
        <v>57</v>
      </c>
      <c r="E53" s="29">
        <v>1206703</v>
      </c>
      <c r="F53" s="26">
        <v>5400.6</v>
      </c>
      <c r="G53" s="26">
        <v>0.9</v>
      </c>
    </row>
    <row r="54" spans="2:9" x14ac:dyDescent="0.2">
      <c r="B54" s="28" t="s">
        <v>257</v>
      </c>
      <c r="C54" s="24" t="s">
        <v>258</v>
      </c>
      <c r="D54" s="24" t="s">
        <v>259</v>
      </c>
      <c r="E54" s="29">
        <v>377028</v>
      </c>
      <c r="F54" s="26">
        <v>5218.07</v>
      </c>
      <c r="G54" s="26">
        <v>0.87</v>
      </c>
    </row>
    <row r="55" spans="2:9" x14ac:dyDescent="0.2">
      <c r="B55" s="28" t="s">
        <v>212</v>
      </c>
      <c r="C55" s="24" t="s">
        <v>213</v>
      </c>
      <c r="D55" s="24" t="s">
        <v>121</v>
      </c>
      <c r="E55" s="29">
        <v>184972</v>
      </c>
      <c r="F55" s="26">
        <v>4704.8599999999997</v>
      </c>
      <c r="G55" s="26">
        <v>0.79</v>
      </c>
    </row>
    <row r="56" spans="2:9" x14ac:dyDescent="0.2">
      <c r="B56" s="28" t="s">
        <v>260</v>
      </c>
      <c r="C56" s="24" t="s">
        <v>261</v>
      </c>
      <c r="D56" s="24" t="s">
        <v>262</v>
      </c>
      <c r="E56" s="29">
        <v>1396805</v>
      </c>
      <c r="F56" s="26">
        <v>4631.1099999999997</v>
      </c>
      <c r="G56" s="26">
        <v>0.77</v>
      </c>
    </row>
    <row r="57" spans="2:9" x14ac:dyDescent="0.2">
      <c r="B57" s="28" t="s">
        <v>183</v>
      </c>
      <c r="C57" s="24" t="s">
        <v>184</v>
      </c>
      <c r="D57" s="24" t="s">
        <v>172</v>
      </c>
      <c r="E57" s="29">
        <v>271168</v>
      </c>
      <c r="F57" s="26">
        <v>3624.3</v>
      </c>
      <c r="G57" s="26">
        <v>0.61</v>
      </c>
    </row>
    <row r="58" spans="2:9" x14ac:dyDescent="0.2">
      <c r="B58" s="28" t="s">
        <v>47</v>
      </c>
      <c r="C58" s="24" t="s">
        <v>48</v>
      </c>
      <c r="D58" s="24" t="s">
        <v>49</v>
      </c>
      <c r="E58" s="29">
        <v>378781</v>
      </c>
      <c r="F58" s="26">
        <v>2955.25</v>
      </c>
      <c r="G58" s="26">
        <v>0.49</v>
      </c>
    </row>
    <row r="59" spans="2:9" x14ac:dyDescent="0.2">
      <c r="B59" s="28" t="s">
        <v>70</v>
      </c>
      <c r="C59" s="24" t="s">
        <v>71</v>
      </c>
      <c r="D59" s="24" t="s">
        <v>49</v>
      </c>
      <c r="E59" s="29">
        <v>991685</v>
      </c>
      <c r="F59" s="26">
        <v>2291.29</v>
      </c>
      <c r="G59" s="26">
        <v>0.38</v>
      </c>
    </row>
    <row r="60" spans="2:9" x14ac:dyDescent="0.2">
      <c r="B60" s="28" t="s">
        <v>102</v>
      </c>
      <c r="C60" s="24" t="s">
        <v>103</v>
      </c>
      <c r="D60" s="24" t="s">
        <v>43</v>
      </c>
      <c r="E60" s="29">
        <v>747452</v>
      </c>
      <c r="F60" s="26">
        <v>1907.5</v>
      </c>
      <c r="G60" s="26">
        <v>0.32</v>
      </c>
    </row>
    <row r="61" spans="2:9" x14ac:dyDescent="0.2">
      <c r="B61" s="28" t="s">
        <v>235</v>
      </c>
      <c r="C61" s="24" t="s">
        <v>236</v>
      </c>
      <c r="D61" s="24" t="s">
        <v>90</v>
      </c>
      <c r="E61" s="29">
        <v>260078</v>
      </c>
      <c r="F61" s="26">
        <v>1701.82</v>
      </c>
      <c r="G61" s="26">
        <v>0.28000000000000003</v>
      </c>
    </row>
    <row r="62" spans="2:9" x14ac:dyDescent="0.2">
      <c r="B62" s="28" t="s">
        <v>249</v>
      </c>
      <c r="C62" s="24" t="s">
        <v>263</v>
      </c>
      <c r="D62" s="24" t="s">
        <v>218</v>
      </c>
      <c r="E62" s="29">
        <v>767000</v>
      </c>
      <c r="F62" s="26">
        <v>572.95000000000005</v>
      </c>
      <c r="G62" s="26">
        <v>0.1</v>
      </c>
    </row>
    <row r="63" spans="2:9" x14ac:dyDescent="0.2">
      <c r="B63" s="30" t="s">
        <v>110</v>
      </c>
      <c r="C63" s="31"/>
      <c r="D63" s="31"/>
      <c r="E63" s="32"/>
      <c r="F63" s="33">
        <f>SUM(F7:F62)</f>
        <v>579714.68000000005</v>
      </c>
      <c r="G63" s="33">
        <f>SUM(G7:G62)</f>
        <v>96.80999999999996</v>
      </c>
      <c r="H63" s="14"/>
      <c r="I63" s="14"/>
    </row>
    <row r="64" spans="2:9" x14ac:dyDescent="0.2">
      <c r="B64" s="38" t="s">
        <v>111</v>
      </c>
      <c r="C64" s="38"/>
      <c r="D64" s="38"/>
      <c r="E64" s="39"/>
      <c r="F64" s="40">
        <f>F63</f>
        <v>579714.68000000005</v>
      </c>
      <c r="G64" s="40">
        <f>G63</f>
        <v>96.80999999999996</v>
      </c>
      <c r="H64" s="14"/>
      <c r="I64" s="14"/>
    </row>
    <row r="65" spans="2:9" x14ac:dyDescent="0.2">
      <c r="B65" s="41" t="s">
        <v>112</v>
      </c>
      <c r="C65" s="42"/>
      <c r="D65" s="42"/>
      <c r="E65" s="43"/>
      <c r="F65" s="44"/>
      <c r="G65" s="44"/>
    </row>
    <row r="66" spans="2:9" x14ac:dyDescent="0.2">
      <c r="B66" s="28" t="s">
        <v>112</v>
      </c>
      <c r="C66" s="24"/>
      <c r="D66" s="24"/>
      <c r="E66" s="25"/>
      <c r="F66" s="26">
        <v>19930.55</v>
      </c>
      <c r="G66" s="26">
        <v>3.33</v>
      </c>
    </row>
    <row r="67" spans="2:9" x14ac:dyDescent="0.2">
      <c r="B67" s="30" t="s">
        <v>110</v>
      </c>
      <c r="C67" s="31"/>
      <c r="D67" s="31"/>
      <c r="E67" s="32"/>
      <c r="F67" s="33">
        <f>SUM(F65:F66)</f>
        <v>19930.55</v>
      </c>
      <c r="G67" s="33">
        <f>SUM(G65:G66)</f>
        <v>3.33</v>
      </c>
      <c r="H67" s="14"/>
      <c r="I67" s="14"/>
    </row>
    <row r="68" spans="2:9" x14ac:dyDescent="0.2">
      <c r="B68" s="35" t="s">
        <v>111</v>
      </c>
      <c r="C68" s="35"/>
      <c r="D68" s="35"/>
      <c r="E68" s="36"/>
      <c r="F68" s="37">
        <f>F67</f>
        <v>19930.55</v>
      </c>
      <c r="G68" s="37">
        <f>G67</f>
        <v>3.33</v>
      </c>
      <c r="H68" s="14"/>
      <c r="I68" s="14"/>
    </row>
    <row r="69" spans="2:9" x14ac:dyDescent="0.2">
      <c r="B69" s="45" t="s">
        <v>114</v>
      </c>
      <c r="C69" s="45"/>
      <c r="D69" s="45"/>
      <c r="E69" s="46"/>
      <c r="F69" s="17">
        <f>F70-(+F64+F68)</f>
        <v>-910.27000000013504</v>
      </c>
      <c r="G69" s="17">
        <f>G70-(+G64+G68)</f>
        <v>-0.13999999999995794</v>
      </c>
      <c r="H69" s="14"/>
      <c r="I69" s="14"/>
    </row>
    <row r="70" spans="2:9" x14ac:dyDescent="0.2">
      <c r="B70" s="45" t="s">
        <v>113</v>
      </c>
      <c r="C70" s="45"/>
      <c r="D70" s="45"/>
      <c r="E70" s="46"/>
      <c r="F70" s="17">
        <v>598734.96</v>
      </c>
      <c r="G70" s="17">
        <v>100</v>
      </c>
      <c r="H70" s="14"/>
      <c r="I70" s="14"/>
    </row>
    <row r="72" spans="2:9" x14ac:dyDescent="0.2">
      <c r="B72" s="14"/>
    </row>
    <row r="74" spans="2:9" x14ac:dyDescent="0.2">
      <c r="B74" s="14"/>
    </row>
    <row r="77" spans="2:9" x14ac:dyDescent="0.2">
      <c r="B77" s="14"/>
      <c r="C77" s="14"/>
      <c r="D77" s="14"/>
      <c r="E77" s="15"/>
    </row>
    <row r="80" spans="2:9" x14ac:dyDescent="0.2">
      <c r="D80" s="13"/>
    </row>
    <row r="83" spans="2:5" x14ac:dyDescent="0.2">
      <c r="D83" s="14"/>
      <c r="E83" s="15"/>
    </row>
    <row r="88" spans="2:5" x14ac:dyDescent="0.2">
      <c r="B88" s="14"/>
      <c r="C88" s="14"/>
      <c r="D88" s="14"/>
      <c r="E88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9"/>
  <sheetViews>
    <sheetView topLeftCell="A4" workbookViewId="0">
      <selection activeCell="H4" sqref="H1:H1048576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2851562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9" t="s">
        <v>11</v>
      </c>
      <c r="C1" s="70"/>
      <c r="D1" s="70"/>
      <c r="E1" s="70"/>
      <c r="F1" s="70"/>
      <c r="G1" s="70"/>
    </row>
    <row r="3" spans="2:7" ht="16.5" thickBot="1" x14ac:dyDescent="0.25">
      <c r="B3" s="2" t="s">
        <v>760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8" t="s">
        <v>30</v>
      </c>
      <c r="C5" s="19"/>
      <c r="D5" s="19"/>
      <c r="E5" s="20"/>
      <c r="F5" s="21"/>
      <c r="G5" s="21"/>
    </row>
    <row r="6" spans="2:7" x14ac:dyDescent="0.2">
      <c r="B6" s="23" t="s">
        <v>31</v>
      </c>
      <c r="C6" s="24"/>
      <c r="D6" s="24"/>
      <c r="E6" s="25"/>
      <c r="F6" s="26"/>
      <c r="G6" s="26"/>
    </row>
    <row r="7" spans="2:7" x14ac:dyDescent="0.2">
      <c r="B7" s="28" t="s">
        <v>122</v>
      </c>
      <c r="C7" s="24" t="s">
        <v>123</v>
      </c>
      <c r="D7" s="24" t="s">
        <v>90</v>
      </c>
      <c r="E7" s="29">
        <v>226300</v>
      </c>
      <c r="F7" s="26">
        <v>2440.87</v>
      </c>
      <c r="G7" s="26">
        <v>5.93</v>
      </c>
    </row>
    <row r="8" spans="2:7" x14ac:dyDescent="0.2">
      <c r="B8" s="28" t="s">
        <v>126</v>
      </c>
      <c r="C8" s="24" t="s">
        <v>127</v>
      </c>
      <c r="D8" s="24" t="s">
        <v>128</v>
      </c>
      <c r="E8" s="29">
        <v>116350</v>
      </c>
      <c r="F8" s="26">
        <v>2406.41</v>
      </c>
      <c r="G8" s="26">
        <v>5.85</v>
      </c>
    </row>
    <row r="9" spans="2:7" x14ac:dyDescent="0.2">
      <c r="B9" s="28" t="s">
        <v>35</v>
      </c>
      <c r="C9" s="24" t="s">
        <v>36</v>
      </c>
      <c r="D9" s="24" t="s">
        <v>37</v>
      </c>
      <c r="E9" s="29">
        <v>104000</v>
      </c>
      <c r="F9" s="26">
        <v>2323.7199999999998</v>
      </c>
      <c r="G9" s="26">
        <v>5.64</v>
      </c>
    </row>
    <row r="10" spans="2:7" x14ac:dyDescent="0.2">
      <c r="B10" s="28" t="s">
        <v>129</v>
      </c>
      <c r="C10" s="24" t="s">
        <v>130</v>
      </c>
      <c r="D10" s="24" t="s">
        <v>131</v>
      </c>
      <c r="E10" s="29">
        <v>52175</v>
      </c>
      <c r="F10" s="26">
        <v>1710.61</v>
      </c>
      <c r="G10" s="26">
        <v>4.16</v>
      </c>
    </row>
    <row r="11" spans="2:7" x14ac:dyDescent="0.2">
      <c r="B11" s="28" t="s">
        <v>200</v>
      </c>
      <c r="C11" s="24" t="s">
        <v>201</v>
      </c>
      <c r="D11" s="24" t="s">
        <v>128</v>
      </c>
      <c r="E11" s="29">
        <v>81675</v>
      </c>
      <c r="F11" s="26">
        <v>1622.39</v>
      </c>
      <c r="G11" s="26">
        <v>3.94</v>
      </c>
    </row>
    <row r="12" spans="2:7" x14ac:dyDescent="0.2">
      <c r="B12" s="28" t="s">
        <v>76</v>
      </c>
      <c r="C12" s="24" t="s">
        <v>77</v>
      </c>
      <c r="D12" s="24" t="s">
        <v>65</v>
      </c>
      <c r="E12" s="29">
        <v>77000</v>
      </c>
      <c r="F12" s="26">
        <v>1569.57</v>
      </c>
      <c r="G12" s="26">
        <v>3.81</v>
      </c>
    </row>
    <row r="13" spans="2:7" x14ac:dyDescent="0.2">
      <c r="B13" s="28" t="s">
        <v>153</v>
      </c>
      <c r="C13" s="24" t="s">
        <v>154</v>
      </c>
      <c r="D13" s="24" t="s">
        <v>128</v>
      </c>
      <c r="E13" s="29">
        <v>40850</v>
      </c>
      <c r="F13" s="26">
        <v>1551.54</v>
      </c>
      <c r="G13" s="26">
        <v>3.77</v>
      </c>
    </row>
    <row r="14" spans="2:7" x14ac:dyDescent="0.2">
      <c r="B14" s="28" t="s">
        <v>208</v>
      </c>
      <c r="C14" s="24" t="s">
        <v>209</v>
      </c>
      <c r="D14" s="24" t="s">
        <v>131</v>
      </c>
      <c r="E14" s="29">
        <v>270000</v>
      </c>
      <c r="F14" s="26">
        <v>1510.38</v>
      </c>
      <c r="G14" s="26">
        <v>3.67</v>
      </c>
    </row>
    <row r="15" spans="2:7" x14ac:dyDescent="0.2">
      <c r="B15" s="28" t="s">
        <v>63</v>
      </c>
      <c r="C15" s="24" t="s">
        <v>64</v>
      </c>
      <c r="D15" s="24" t="s">
        <v>65</v>
      </c>
      <c r="E15" s="29">
        <v>202500</v>
      </c>
      <c r="F15" s="26">
        <v>1377.71</v>
      </c>
      <c r="G15" s="26">
        <v>3.35</v>
      </c>
    </row>
    <row r="16" spans="2:7" x14ac:dyDescent="0.2">
      <c r="B16" s="28" t="s">
        <v>137</v>
      </c>
      <c r="C16" s="24" t="s">
        <v>138</v>
      </c>
      <c r="D16" s="24" t="s">
        <v>139</v>
      </c>
      <c r="E16" s="29">
        <v>34000</v>
      </c>
      <c r="F16" s="26">
        <v>1070.08</v>
      </c>
      <c r="G16" s="26">
        <v>2.6</v>
      </c>
    </row>
    <row r="17" spans="2:7" x14ac:dyDescent="0.2">
      <c r="B17" s="28" t="s">
        <v>149</v>
      </c>
      <c r="C17" s="24" t="s">
        <v>150</v>
      </c>
      <c r="D17" s="24" t="s">
        <v>139</v>
      </c>
      <c r="E17" s="29">
        <v>15500</v>
      </c>
      <c r="F17" s="26">
        <v>1045.23</v>
      </c>
      <c r="G17" s="26">
        <v>2.54</v>
      </c>
    </row>
    <row r="18" spans="2:7" x14ac:dyDescent="0.2">
      <c r="B18" s="28" t="s">
        <v>88</v>
      </c>
      <c r="C18" s="24" t="s">
        <v>89</v>
      </c>
      <c r="D18" s="24" t="s">
        <v>90</v>
      </c>
      <c r="E18" s="29">
        <v>292000</v>
      </c>
      <c r="F18" s="26">
        <v>1035.8699999999999</v>
      </c>
      <c r="G18" s="26">
        <v>2.52</v>
      </c>
    </row>
    <row r="19" spans="2:7" x14ac:dyDescent="0.2">
      <c r="B19" s="28" t="s">
        <v>168</v>
      </c>
      <c r="C19" s="24" t="s">
        <v>169</v>
      </c>
      <c r="D19" s="24" t="s">
        <v>128</v>
      </c>
      <c r="E19" s="29">
        <v>6175</v>
      </c>
      <c r="F19" s="26">
        <v>982.98</v>
      </c>
      <c r="G19" s="26">
        <v>2.39</v>
      </c>
    </row>
    <row r="20" spans="2:7" x14ac:dyDescent="0.2">
      <c r="B20" s="28" t="s">
        <v>187</v>
      </c>
      <c r="C20" s="24" t="s">
        <v>188</v>
      </c>
      <c r="D20" s="24" t="s">
        <v>65</v>
      </c>
      <c r="E20" s="29">
        <v>43000</v>
      </c>
      <c r="F20" s="26">
        <v>944.6</v>
      </c>
      <c r="G20" s="26">
        <v>2.29</v>
      </c>
    </row>
    <row r="21" spans="2:7" x14ac:dyDescent="0.2">
      <c r="B21" s="28" t="s">
        <v>142</v>
      </c>
      <c r="C21" s="24" t="s">
        <v>143</v>
      </c>
      <c r="D21" s="24" t="s">
        <v>131</v>
      </c>
      <c r="E21" s="29">
        <v>54000</v>
      </c>
      <c r="F21" s="26">
        <v>930.31</v>
      </c>
      <c r="G21" s="26">
        <v>2.2599999999999998</v>
      </c>
    </row>
    <row r="22" spans="2:7" x14ac:dyDescent="0.2">
      <c r="B22" s="28" t="s">
        <v>93</v>
      </c>
      <c r="C22" s="24" t="s">
        <v>94</v>
      </c>
      <c r="D22" s="24" t="s">
        <v>65</v>
      </c>
      <c r="E22" s="29">
        <v>10601</v>
      </c>
      <c r="F22" s="26">
        <v>928.86</v>
      </c>
      <c r="G22" s="26">
        <v>2.2599999999999998</v>
      </c>
    </row>
    <row r="23" spans="2:7" x14ac:dyDescent="0.2">
      <c r="B23" s="28" t="s">
        <v>264</v>
      </c>
      <c r="C23" s="24" t="s">
        <v>265</v>
      </c>
      <c r="D23" s="24" t="s">
        <v>128</v>
      </c>
      <c r="E23" s="29">
        <v>121000</v>
      </c>
      <c r="F23" s="26">
        <v>877.19</v>
      </c>
      <c r="G23" s="26">
        <v>2.13</v>
      </c>
    </row>
    <row r="24" spans="2:7" x14ac:dyDescent="0.2">
      <c r="B24" s="28" t="s">
        <v>225</v>
      </c>
      <c r="C24" s="24" t="s">
        <v>226</v>
      </c>
      <c r="D24" s="24" t="s">
        <v>227</v>
      </c>
      <c r="E24" s="29">
        <v>3950</v>
      </c>
      <c r="F24" s="26">
        <v>842.77</v>
      </c>
      <c r="G24" s="26">
        <v>2.0499999999999998</v>
      </c>
    </row>
    <row r="25" spans="2:7" x14ac:dyDescent="0.2">
      <c r="B25" s="28" t="s">
        <v>266</v>
      </c>
      <c r="C25" s="24" t="s">
        <v>267</v>
      </c>
      <c r="D25" s="24" t="s">
        <v>65</v>
      </c>
      <c r="E25" s="29">
        <v>463587</v>
      </c>
      <c r="F25" s="26">
        <v>841.18</v>
      </c>
      <c r="G25" s="26">
        <v>2.04</v>
      </c>
    </row>
    <row r="26" spans="2:7" x14ac:dyDescent="0.2">
      <c r="B26" s="28" t="s">
        <v>235</v>
      </c>
      <c r="C26" s="24" t="s">
        <v>236</v>
      </c>
      <c r="D26" s="24" t="s">
        <v>90</v>
      </c>
      <c r="E26" s="29">
        <v>124500</v>
      </c>
      <c r="F26" s="26">
        <v>814.67</v>
      </c>
      <c r="G26" s="26">
        <v>1.98</v>
      </c>
    </row>
    <row r="27" spans="2:7" x14ac:dyDescent="0.2">
      <c r="B27" s="28" t="s">
        <v>268</v>
      </c>
      <c r="C27" s="24" t="s">
        <v>269</v>
      </c>
      <c r="D27" s="24" t="s">
        <v>37</v>
      </c>
      <c r="E27" s="29">
        <v>117705</v>
      </c>
      <c r="F27" s="26">
        <v>768.55</v>
      </c>
      <c r="G27" s="26">
        <v>1.87</v>
      </c>
    </row>
    <row r="28" spans="2:7" x14ac:dyDescent="0.2">
      <c r="B28" s="28" t="s">
        <v>241</v>
      </c>
      <c r="C28" s="24" t="s">
        <v>242</v>
      </c>
      <c r="D28" s="24" t="s">
        <v>65</v>
      </c>
      <c r="E28" s="29">
        <v>253791</v>
      </c>
      <c r="F28" s="26">
        <v>741.96</v>
      </c>
      <c r="G28" s="26">
        <v>1.8</v>
      </c>
    </row>
    <row r="29" spans="2:7" x14ac:dyDescent="0.2">
      <c r="B29" s="28" t="s">
        <v>193</v>
      </c>
      <c r="C29" s="24" t="s">
        <v>194</v>
      </c>
      <c r="D29" s="24" t="s">
        <v>195</v>
      </c>
      <c r="E29" s="29">
        <v>37750</v>
      </c>
      <c r="F29" s="26">
        <v>709.61</v>
      </c>
      <c r="G29" s="26">
        <v>1.72</v>
      </c>
    </row>
    <row r="30" spans="2:7" x14ac:dyDescent="0.2">
      <c r="B30" s="28" t="s">
        <v>106</v>
      </c>
      <c r="C30" s="24" t="s">
        <v>107</v>
      </c>
      <c r="D30" s="24" t="s">
        <v>65</v>
      </c>
      <c r="E30" s="29">
        <v>105000</v>
      </c>
      <c r="F30" s="26">
        <v>673.21</v>
      </c>
      <c r="G30" s="26">
        <v>1.64</v>
      </c>
    </row>
    <row r="31" spans="2:7" x14ac:dyDescent="0.2">
      <c r="B31" s="28" t="s">
        <v>155</v>
      </c>
      <c r="C31" s="24" t="s">
        <v>156</v>
      </c>
      <c r="D31" s="24" t="s">
        <v>157</v>
      </c>
      <c r="E31" s="29">
        <v>34082</v>
      </c>
      <c r="F31" s="26">
        <v>671.93</v>
      </c>
      <c r="G31" s="26">
        <v>1.63</v>
      </c>
    </row>
    <row r="32" spans="2:7" x14ac:dyDescent="0.2">
      <c r="B32" s="28" t="s">
        <v>219</v>
      </c>
      <c r="C32" s="24" t="s">
        <v>220</v>
      </c>
      <c r="D32" s="24" t="s">
        <v>139</v>
      </c>
      <c r="E32" s="29">
        <v>850000</v>
      </c>
      <c r="F32" s="26">
        <v>632.4</v>
      </c>
      <c r="G32" s="26">
        <v>1.54</v>
      </c>
    </row>
    <row r="33" spans="2:7" x14ac:dyDescent="0.2">
      <c r="B33" s="28" t="s">
        <v>237</v>
      </c>
      <c r="C33" s="24" t="s">
        <v>238</v>
      </c>
      <c r="D33" s="24" t="s">
        <v>218</v>
      </c>
      <c r="E33" s="29">
        <v>12500</v>
      </c>
      <c r="F33" s="26">
        <v>624.38</v>
      </c>
      <c r="G33" s="26">
        <v>1.52</v>
      </c>
    </row>
    <row r="34" spans="2:7" x14ac:dyDescent="0.2">
      <c r="B34" s="28" t="s">
        <v>202</v>
      </c>
      <c r="C34" s="24" t="s">
        <v>203</v>
      </c>
      <c r="D34" s="24" t="s">
        <v>131</v>
      </c>
      <c r="E34" s="29">
        <v>108054</v>
      </c>
      <c r="F34" s="26">
        <v>598.62</v>
      </c>
      <c r="G34" s="26">
        <v>1.45</v>
      </c>
    </row>
    <row r="35" spans="2:7" x14ac:dyDescent="0.2">
      <c r="B35" s="28" t="s">
        <v>191</v>
      </c>
      <c r="C35" s="24" t="s">
        <v>192</v>
      </c>
      <c r="D35" s="24" t="s">
        <v>131</v>
      </c>
      <c r="E35" s="29">
        <v>70000</v>
      </c>
      <c r="F35" s="26">
        <v>593.32000000000005</v>
      </c>
      <c r="G35" s="26">
        <v>1.44</v>
      </c>
    </row>
    <row r="36" spans="2:7" x14ac:dyDescent="0.2">
      <c r="B36" s="28" t="s">
        <v>179</v>
      </c>
      <c r="C36" s="24" t="s">
        <v>180</v>
      </c>
      <c r="D36" s="24" t="s">
        <v>131</v>
      </c>
      <c r="E36" s="29">
        <v>238000</v>
      </c>
      <c r="F36" s="26">
        <v>592.98</v>
      </c>
      <c r="G36" s="26">
        <v>1.44</v>
      </c>
    </row>
    <row r="37" spans="2:7" x14ac:dyDescent="0.2">
      <c r="B37" s="28" t="s">
        <v>134</v>
      </c>
      <c r="C37" s="24" t="s">
        <v>135</v>
      </c>
      <c r="D37" s="24" t="s">
        <v>136</v>
      </c>
      <c r="E37" s="29">
        <v>19125</v>
      </c>
      <c r="F37" s="26">
        <v>582.91999999999996</v>
      </c>
      <c r="G37" s="26">
        <v>1.42</v>
      </c>
    </row>
    <row r="38" spans="2:7" x14ac:dyDescent="0.2">
      <c r="B38" s="28" t="s">
        <v>151</v>
      </c>
      <c r="C38" s="24" t="s">
        <v>152</v>
      </c>
      <c r="D38" s="24" t="s">
        <v>136</v>
      </c>
      <c r="E38" s="29">
        <v>75000</v>
      </c>
      <c r="F38" s="26">
        <v>581.03</v>
      </c>
      <c r="G38" s="26">
        <v>1.41</v>
      </c>
    </row>
    <row r="39" spans="2:7" x14ac:dyDescent="0.2">
      <c r="B39" s="28" t="s">
        <v>247</v>
      </c>
      <c r="C39" s="24" t="s">
        <v>248</v>
      </c>
      <c r="D39" s="24" t="s">
        <v>128</v>
      </c>
      <c r="E39" s="29">
        <v>112000</v>
      </c>
      <c r="F39" s="26">
        <v>560.84</v>
      </c>
      <c r="G39" s="26">
        <v>1.36</v>
      </c>
    </row>
    <row r="40" spans="2:7" x14ac:dyDescent="0.2">
      <c r="B40" s="28" t="s">
        <v>270</v>
      </c>
      <c r="C40" s="24" t="s">
        <v>271</v>
      </c>
      <c r="D40" s="24" t="s">
        <v>128</v>
      </c>
      <c r="E40" s="29">
        <v>91000</v>
      </c>
      <c r="F40" s="26">
        <v>531.16999999999996</v>
      </c>
      <c r="G40" s="26">
        <v>1.29</v>
      </c>
    </row>
    <row r="41" spans="2:7" x14ac:dyDescent="0.2">
      <c r="B41" s="28" t="s">
        <v>146</v>
      </c>
      <c r="C41" s="24" t="s">
        <v>147</v>
      </c>
      <c r="D41" s="24" t="s">
        <v>148</v>
      </c>
      <c r="E41" s="29">
        <v>35000</v>
      </c>
      <c r="F41" s="26">
        <v>516.95000000000005</v>
      </c>
      <c r="G41" s="26">
        <v>1.26</v>
      </c>
    </row>
    <row r="42" spans="2:7" x14ac:dyDescent="0.2">
      <c r="B42" s="28" t="s">
        <v>245</v>
      </c>
      <c r="C42" s="24" t="s">
        <v>246</v>
      </c>
      <c r="D42" s="24" t="s">
        <v>128</v>
      </c>
      <c r="E42" s="29">
        <v>100000</v>
      </c>
      <c r="F42" s="26">
        <v>499.95</v>
      </c>
      <c r="G42" s="26">
        <v>1.21</v>
      </c>
    </row>
    <row r="43" spans="2:7" x14ac:dyDescent="0.2">
      <c r="B43" s="28" t="s">
        <v>230</v>
      </c>
      <c r="C43" s="24" t="s">
        <v>231</v>
      </c>
      <c r="D43" s="24" t="s">
        <v>232</v>
      </c>
      <c r="E43" s="29">
        <v>64500</v>
      </c>
      <c r="F43" s="26">
        <v>498.49</v>
      </c>
      <c r="G43" s="26">
        <v>1.21</v>
      </c>
    </row>
    <row r="44" spans="2:7" x14ac:dyDescent="0.2">
      <c r="B44" s="28" t="s">
        <v>210</v>
      </c>
      <c r="C44" s="24" t="s">
        <v>211</v>
      </c>
      <c r="D44" s="24" t="s">
        <v>139</v>
      </c>
      <c r="E44" s="29">
        <v>37000</v>
      </c>
      <c r="F44" s="26">
        <v>487.83</v>
      </c>
      <c r="G44" s="26">
        <v>1.18</v>
      </c>
    </row>
    <row r="45" spans="2:7" x14ac:dyDescent="0.2">
      <c r="B45" s="28" t="s">
        <v>204</v>
      </c>
      <c r="C45" s="24" t="s">
        <v>205</v>
      </c>
      <c r="D45" s="24" t="s">
        <v>57</v>
      </c>
      <c r="E45" s="29">
        <v>200000</v>
      </c>
      <c r="F45" s="26">
        <v>484.5</v>
      </c>
      <c r="G45" s="26">
        <v>1.18</v>
      </c>
    </row>
    <row r="46" spans="2:7" x14ac:dyDescent="0.2">
      <c r="B46" s="28" t="s">
        <v>144</v>
      </c>
      <c r="C46" s="24" t="s">
        <v>145</v>
      </c>
      <c r="D46" s="24" t="s">
        <v>139</v>
      </c>
      <c r="E46" s="29">
        <v>79500</v>
      </c>
      <c r="F46" s="26">
        <v>483.28</v>
      </c>
      <c r="G46" s="26">
        <v>1.17</v>
      </c>
    </row>
    <row r="47" spans="2:7" x14ac:dyDescent="0.2">
      <c r="B47" s="28" t="s">
        <v>162</v>
      </c>
      <c r="C47" s="24" t="s">
        <v>163</v>
      </c>
      <c r="D47" s="24" t="s">
        <v>136</v>
      </c>
      <c r="E47" s="29">
        <v>19000</v>
      </c>
      <c r="F47" s="26">
        <v>411.63</v>
      </c>
      <c r="G47" s="26">
        <v>1</v>
      </c>
    </row>
    <row r="48" spans="2:7" x14ac:dyDescent="0.2">
      <c r="B48" s="28" t="s">
        <v>249</v>
      </c>
      <c r="C48" s="24" t="s">
        <v>250</v>
      </c>
      <c r="D48" s="24" t="s">
        <v>218</v>
      </c>
      <c r="E48" s="29">
        <v>305000</v>
      </c>
      <c r="F48" s="26">
        <v>407.48</v>
      </c>
      <c r="G48" s="26">
        <v>0.99</v>
      </c>
    </row>
    <row r="49" spans="2:9" x14ac:dyDescent="0.2">
      <c r="B49" s="28" t="s">
        <v>272</v>
      </c>
      <c r="C49" s="24" t="s">
        <v>273</v>
      </c>
      <c r="D49" s="24" t="s">
        <v>52</v>
      </c>
      <c r="E49" s="29">
        <v>57727</v>
      </c>
      <c r="F49" s="26">
        <v>319.52</v>
      </c>
      <c r="G49" s="26">
        <v>0.78</v>
      </c>
    </row>
    <row r="50" spans="2:9" x14ac:dyDescent="0.2">
      <c r="B50" s="28" t="s">
        <v>198</v>
      </c>
      <c r="C50" s="24" t="s">
        <v>199</v>
      </c>
      <c r="D50" s="24" t="s">
        <v>131</v>
      </c>
      <c r="E50" s="29">
        <v>75000</v>
      </c>
      <c r="F50" s="26">
        <v>311.81</v>
      </c>
      <c r="G50" s="26">
        <v>0.76</v>
      </c>
    </row>
    <row r="51" spans="2:9" x14ac:dyDescent="0.2">
      <c r="B51" s="30" t="s">
        <v>110</v>
      </c>
      <c r="C51" s="31"/>
      <c r="D51" s="31"/>
      <c r="E51" s="32"/>
      <c r="F51" s="33">
        <f>SUM(F7:F50)</f>
        <v>40111.299999999981</v>
      </c>
      <c r="G51" s="33">
        <f>SUM(G7:G50)</f>
        <v>97.450000000000017</v>
      </c>
      <c r="H51" s="14"/>
      <c r="I51" s="14"/>
    </row>
    <row r="52" spans="2:9" x14ac:dyDescent="0.2">
      <c r="B52" s="38" t="s">
        <v>111</v>
      </c>
      <c r="C52" s="38"/>
      <c r="D52" s="38"/>
      <c r="E52" s="39"/>
      <c r="F52" s="40">
        <f>F51</f>
        <v>40111.299999999981</v>
      </c>
      <c r="G52" s="40">
        <f>G51</f>
        <v>97.450000000000017</v>
      </c>
      <c r="H52" s="14"/>
      <c r="I52" s="14"/>
    </row>
    <row r="53" spans="2:9" x14ac:dyDescent="0.2">
      <c r="B53" s="41" t="s">
        <v>112</v>
      </c>
      <c r="C53" s="42"/>
      <c r="D53" s="42"/>
      <c r="E53" s="43"/>
      <c r="F53" s="44"/>
      <c r="G53" s="44"/>
    </row>
    <row r="54" spans="2:9" x14ac:dyDescent="0.2">
      <c r="B54" s="28" t="s">
        <v>112</v>
      </c>
      <c r="C54" s="24"/>
      <c r="D54" s="24"/>
      <c r="E54" s="25"/>
      <c r="F54" s="26">
        <v>1134.28</v>
      </c>
      <c r="G54" s="26">
        <v>2.76</v>
      </c>
    </row>
    <row r="55" spans="2:9" x14ac:dyDescent="0.2">
      <c r="B55" s="30" t="s">
        <v>110</v>
      </c>
      <c r="C55" s="31"/>
      <c r="D55" s="31"/>
      <c r="E55" s="32"/>
      <c r="F55" s="33">
        <f>SUM(F53:F54)</f>
        <v>1134.28</v>
      </c>
      <c r="G55" s="33">
        <f>SUM(G53:G54)</f>
        <v>2.76</v>
      </c>
      <c r="H55" s="14"/>
      <c r="I55" s="14"/>
    </row>
    <row r="56" spans="2:9" x14ac:dyDescent="0.2">
      <c r="B56" s="35" t="s">
        <v>111</v>
      </c>
      <c r="C56" s="35"/>
      <c r="D56" s="35"/>
      <c r="E56" s="36"/>
      <c r="F56" s="37">
        <f>F55</f>
        <v>1134.28</v>
      </c>
      <c r="G56" s="37">
        <f>G55</f>
        <v>2.76</v>
      </c>
      <c r="H56" s="14"/>
      <c r="I56" s="14"/>
    </row>
    <row r="57" spans="2:9" x14ac:dyDescent="0.2">
      <c r="B57" s="45" t="s">
        <v>114</v>
      </c>
      <c r="C57" s="45"/>
      <c r="D57" s="45"/>
      <c r="E57" s="46"/>
      <c r="F57" s="17">
        <f>F58-(+F52+F56)</f>
        <v>-78.029999999977008</v>
      </c>
      <c r="G57" s="17">
        <f>G58-(+G52+G56)</f>
        <v>-0.21000000000002217</v>
      </c>
      <c r="H57" s="14"/>
      <c r="I57" s="14"/>
    </row>
    <row r="58" spans="2:9" x14ac:dyDescent="0.2">
      <c r="B58" s="45" t="s">
        <v>113</v>
      </c>
      <c r="C58" s="45"/>
      <c r="D58" s="45"/>
      <c r="E58" s="46"/>
      <c r="F58" s="17">
        <v>41167.550000000003</v>
      </c>
      <c r="G58" s="17">
        <v>100</v>
      </c>
      <c r="H58" s="14"/>
      <c r="I58" s="14"/>
    </row>
    <row r="60" spans="2:9" x14ac:dyDescent="0.2">
      <c r="B60" s="14"/>
    </row>
    <row r="62" spans="2:9" x14ac:dyDescent="0.2">
      <c r="B62" s="14"/>
    </row>
    <row r="65" spans="2:5" x14ac:dyDescent="0.2">
      <c r="B65" s="14"/>
      <c r="C65" s="14"/>
      <c r="D65" s="14"/>
      <c r="E65" s="15"/>
    </row>
    <row r="71" spans="2:5" x14ac:dyDescent="0.2">
      <c r="D71" s="14"/>
      <c r="E71" s="15"/>
    </row>
    <row r="79" spans="2:5" x14ac:dyDescent="0.2">
      <c r="B79" s="14"/>
      <c r="C79" s="14"/>
      <c r="D79" s="14"/>
      <c r="E79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3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9" t="s">
        <v>12</v>
      </c>
      <c r="C1" s="70"/>
      <c r="D1" s="70"/>
      <c r="E1" s="70"/>
      <c r="F1" s="70"/>
      <c r="G1" s="70"/>
    </row>
    <row r="3" spans="2:7" ht="16.5" thickBot="1" x14ac:dyDescent="0.25">
      <c r="B3" s="2" t="s">
        <v>760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8" t="s">
        <v>30</v>
      </c>
      <c r="C5" s="19"/>
      <c r="D5" s="19"/>
      <c r="E5" s="20"/>
      <c r="F5" s="21"/>
      <c r="G5" s="21"/>
    </row>
    <row r="6" spans="2:7" x14ac:dyDescent="0.2">
      <c r="B6" s="23" t="s">
        <v>31</v>
      </c>
      <c r="C6" s="24"/>
      <c r="D6" s="24"/>
      <c r="E6" s="25"/>
      <c r="F6" s="26"/>
      <c r="G6" s="26"/>
    </row>
    <row r="7" spans="2:7" x14ac:dyDescent="0.2">
      <c r="B7" s="28" t="s">
        <v>35</v>
      </c>
      <c r="C7" s="24" t="s">
        <v>36</v>
      </c>
      <c r="D7" s="24" t="s">
        <v>37</v>
      </c>
      <c r="E7" s="29">
        <v>310750</v>
      </c>
      <c r="F7" s="26">
        <v>6943.24</v>
      </c>
      <c r="G7" s="26">
        <v>8.81</v>
      </c>
    </row>
    <row r="8" spans="2:7" x14ac:dyDescent="0.2">
      <c r="B8" s="28" t="s">
        <v>119</v>
      </c>
      <c r="C8" s="24" t="s">
        <v>120</v>
      </c>
      <c r="D8" s="24" t="s">
        <v>121</v>
      </c>
      <c r="E8" s="29">
        <v>649642</v>
      </c>
      <c r="F8" s="26">
        <v>6550.02</v>
      </c>
      <c r="G8" s="26">
        <v>8.31</v>
      </c>
    </row>
    <row r="9" spans="2:7" x14ac:dyDescent="0.2">
      <c r="B9" s="28" t="s">
        <v>122</v>
      </c>
      <c r="C9" s="24" t="s">
        <v>123</v>
      </c>
      <c r="D9" s="24" t="s">
        <v>90</v>
      </c>
      <c r="E9" s="29">
        <v>594700</v>
      </c>
      <c r="F9" s="26">
        <v>6414.43</v>
      </c>
      <c r="G9" s="26">
        <v>8.14</v>
      </c>
    </row>
    <row r="10" spans="2:7" x14ac:dyDescent="0.2">
      <c r="B10" s="28" t="s">
        <v>88</v>
      </c>
      <c r="C10" s="24" t="s">
        <v>89</v>
      </c>
      <c r="D10" s="24" t="s">
        <v>90</v>
      </c>
      <c r="E10" s="29">
        <v>1185600</v>
      </c>
      <c r="F10" s="26">
        <v>4205.92</v>
      </c>
      <c r="G10" s="26">
        <v>5.34</v>
      </c>
    </row>
    <row r="11" spans="2:7" x14ac:dyDescent="0.2">
      <c r="B11" s="28" t="s">
        <v>124</v>
      </c>
      <c r="C11" s="24" t="s">
        <v>125</v>
      </c>
      <c r="D11" s="24" t="s">
        <v>121</v>
      </c>
      <c r="E11" s="29">
        <v>156050</v>
      </c>
      <c r="F11" s="26">
        <v>3889.23</v>
      </c>
      <c r="G11" s="26">
        <v>4.9400000000000004</v>
      </c>
    </row>
    <row r="12" spans="2:7" x14ac:dyDescent="0.2">
      <c r="B12" s="28" t="s">
        <v>126</v>
      </c>
      <c r="C12" s="24" t="s">
        <v>127</v>
      </c>
      <c r="D12" s="24" t="s">
        <v>128</v>
      </c>
      <c r="E12" s="29">
        <v>144800</v>
      </c>
      <c r="F12" s="26">
        <v>2994.83</v>
      </c>
      <c r="G12" s="26">
        <v>3.8</v>
      </c>
    </row>
    <row r="13" spans="2:7" x14ac:dyDescent="0.2">
      <c r="B13" s="28" t="s">
        <v>140</v>
      </c>
      <c r="C13" s="24" t="s">
        <v>141</v>
      </c>
      <c r="D13" s="24" t="s">
        <v>131</v>
      </c>
      <c r="E13" s="29">
        <v>161450</v>
      </c>
      <c r="F13" s="26">
        <v>2809.31</v>
      </c>
      <c r="G13" s="26">
        <v>3.56</v>
      </c>
    </row>
    <row r="14" spans="2:7" x14ac:dyDescent="0.2">
      <c r="B14" s="28" t="s">
        <v>129</v>
      </c>
      <c r="C14" s="24" t="s">
        <v>130</v>
      </c>
      <c r="D14" s="24" t="s">
        <v>131</v>
      </c>
      <c r="E14" s="29">
        <v>72700</v>
      </c>
      <c r="F14" s="26">
        <v>2383.54</v>
      </c>
      <c r="G14" s="26">
        <v>3.02</v>
      </c>
    </row>
    <row r="15" spans="2:7" x14ac:dyDescent="0.2">
      <c r="B15" s="28" t="s">
        <v>132</v>
      </c>
      <c r="C15" s="24" t="s">
        <v>133</v>
      </c>
      <c r="D15" s="24" t="s">
        <v>90</v>
      </c>
      <c r="E15" s="29">
        <v>186750</v>
      </c>
      <c r="F15" s="26">
        <v>2368.36</v>
      </c>
      <c r="G15" s="26">
        <v>3.01</v>
      </c>
    </row>
    <row r="16" spans="2:7" x14ac:dyDescent="0.2">
      <c r="B16" s="28" t="s">
        <v>149</v>
      </c>
      <c r="C16" s="24" t="s">
        <v>150</v>
      </c>
      <c r="D16" s="24" t="s">
        <v>139</v>
      </c>
      <c r="E16" s="29">
        <v>29400</v>
      </c>
      <c r="F16" s="26">
        <v>1982.57</v>
      </c>
      <c r="G16" s="26">
        <v>2.52</v>
      </c>
    </row>
    <row r="17" spans="2:7" x14ac:dyDescent="0.2">
      <c r="B17" s="28" t="s">
        <v>158</v>
      </c>
      <c r="C17" s="24" t="s">
        <v>159</v>
      </c>
      <c r="D17" s="24" t="s">
        <v>121</v>
      </c>
      <c r="E17" s="29">
        <v>242000</v>
      </c>
      <c r="F17" s="26">
        <v>1964.07</v>
      </c>
      <c r="G17" s="26">
        <v>2.4900000000000002</v>
      </c>
    </row>
    <row r="18" spans="2:7" x14ac:dyDescent="0.2">
      <c r="B18" s="28" t="s">
        <v>99</v>
      </c>
      <c r="C18" s="24" t="s">
        <v>100</v>
      </c>
      <c r="D18" s="24" t="s">
        <v>101</v>
      </c>
      <c r="E18" s="29">
        <v>460204</v>
      </c>
      <c r="F18" s="26">
        <v>1937.23</v>
      </c>
      <c r="G18" s="26">
        <v>2.46</v>
      </c>
    </row>
    <row r="19" spans="2:7" x14ac:dyDescent="0.2">
      <c r="B19" s="28" t="s">
        <v>134</v>
      </c>
      <c r="C19" s="24" t="s">
        <v>135</v>
      </c>
      <c r="D19" s="24" t="s">
        <v>136</v>
      </c>
      <c r="E19" s="29">
        <v>56981</v>
      </c>
      <c r="F19" s="26">
        <v>1736.75</v>
      </c>
      <c r="G19" s="26">
        <v>2.2000000000000002</v>
      </c>
    </row>
    <row r="20" spans="2:7" x14ac:dyDescent="0.2">
      <c r="B20" s="28" t="s">
        <v>166</v>
      </c>
      <c r="C20" s="24" t="s">
        <v>167</v>
      </c>
      <c r="D20" s="24" t="s">
        <v>90</v>
      </c>
      <c r="E20" s="29">
        <v>359200</v>
      </c>
      <c r="F20" s="26">
        <v>1525.34</v>
      </c>
      <c r="G20" s="26">
        <v>1.94</v>
      </c>
    </row>
    <row r="21" spans="2:7" x14ac:dyDescent="0.2">
      <c r="B21" s="28" t="s">
        <v>63</v>
      </c>
      <c r="C21" s="24" t="s">
        <v>64</v>
      </c>
      <c r="D21" s="24" t="s">
        <v>65</v>
      </c>
      <c r="E21" s="29">
        <v>221200</v>
      </c>
      <c r="F21" s="26">
        <v>1504.93</v>
      </c>
      <c r="G21" s="26">
        <v>1.91</v>
      </c>
    </row>
    <row r="22" spans="2:7" x14ac:dyDescent="0.2">
      <c r="B22" s="28" t="s">
        <v>95</v>
      </c>
      <c r="C22" s="24" t="s">
        <v>96</v>
      </c>
      <c r="D22" s="24" t="s">
        <v>46</v>
      </c>
      <c r="E22" s="29">
        <v>37152</v>
      </c>
      <c r="F22" s="26">
        <v>1504.49</v>
      </c>
      <c r="G22" s="26">
        <v>1.91</v>
      </c>
    </row>
    <row r="23" spans="2:7" x14ac:dyDescent="0.2">
      <c r="B23" s="28" t="s">
        <v>32</v>
      </c>
      <c r="C23" s="24" t="s">
        <v>33</v>
      </c>
      <c r="D23" s="24" t="s">
        <v>34</v>
      </c>
      <c r="E23" s="29">
        <v>165685</v>
      </c>
      <c r="F23" s="26">
        <v>1493.82</v>
      </c>
      <c r="G23" s="26">
        <v>1.9</v>
      </c>
    </row>
    <row r="24" spans="2:7" x14ac:dyDescent="0.2">
      <c r="B24" s="28" t="s">
        <v>137</v>
      </c>
      <c r="C24" s="24" t="s">
        <v>138</v>
      </c>
      <c r="D24" s="24" t="s">
        <v>139</v>
      </c>
      <c r="E24" s="29">
        <v>45500</v>
      </c>
      <c r="F24" s="26">
        <v>1432.02</v>
      </c>
      <c r="G24" s="26">
        <v>1.82</v>
      </c>
    </row>
    <row r="25" spans="2:7" x14ac:dyDescent="0.2">
      <c r="B25" s="28" t="s">
        <v>164</v>
      </c>
      <c r="C25" s="24" t="s">
        <v>165</v>
      </c>
      <c r="D25" s="24" t="s">
        <v>65</v>
      </c>
      <c r="E25" s="29">
        <v>109700</v>
      </c>
      <c r="F25" s="26">
        <v>1317.88</v>
      </c>
      <c r="G25" s="26">
        <v>1.67</v>
      </c>
    </row>
    <row r="26" spans="2:7" x14ac:dyDescent="0.2">
      <c r="B26" s="28" t="s">
        <v>144</v>
      </c>
      <c r="C26" s="24" t="s">
        <v>145</v>
      </c>
      <c r="D26" s="24" t="s">
        <v>139</v>
      </c>
      <c r="E26" s="29">
        <v>207000</v>
      </c>
      <c r="F26" s="26">
        <v>1258.3499999999999</v>
      </c>
      <c r="G26" s="26">
        <v>1.6</v>
      </c>
    </row>
    <row r="27" spans="2:7" x14ac:dyDescent="0.2">
      <c r="B27" s="28" t="s">
        <v>153</v>
      </c>
      <c r="C27" s="24" t="s">
        <v>154</v>
      </c>
      <c r="D27" s="24" t="s">
        <v>128</v>
      </c>
      <c r="E27" s="29">
        <v>32094</v>
      </c>
      <c r="F27" s="26">
        <v>1218.98</v>
      </c>
      <c r="G27" s="26">
        <v>1.55</v>
      </c>
    </row>
    <row r="28" spans="2:7" x14ac:dyDescent="0.2">
      <c r="B28" s="28" t="s">
        <v>151</v>
      </c>
      <c r="C28" s="24" t="s">
        <v>152</v>
      </c>
      <c r="D28" s="24" t="s">
        <v>136</v>
      </c>
      <c r="E28" s="29">
        <v>152000</v>
      </c>
      <c r="F28" s="26">
        <v>1177.54</v>
      </c>
      <c r="G28" s="26">
        <v>1.49</v>
      </c>
    </row>
    <row r="29" spans="2:7" x14ac:dyDescent="0.2">
      <c r="B29" s="28" t="s">
        <v>189</v>
      </c>
      <c r="C29" s="24" t="s">
        <v>190</v>
      </c>
      <c r="D29" s="24" t="s">
        <v>136</v>
      </c>
      <c r="E29" s="29">
        <v>229500</v>
      </c>
      <c r="F29" s="26">
        <v>1148.53</v>
      </c>
      <c r="G29" s="26">
        <v>1.46</v>
      </c>
    </row>
    <row r="30" spans="2:7" x14ac:dyDescent="0.2">
      <c r="B30" s="28" t="s">
        <v>168</v>
      </c>
      <c r="C30" s="24" t="s">
        <v>169</v>
      </c>
      <c r="D30" s="24" t="s">
        <v>128</v>
      </c>
      <c r="E30" s="29">
        <v>7150</v>
      </c>
      <c r="F30" s="26">
        <v>1138.18</v>
      </c>
      <c r="G30" s="26">
        <v>1.44</v>
      </c>
    </row>
    <row r="31" spans="2:7" x14ac:dyDescent="0.2">
      <c r="B31" s="28" t="s">
        <v>233</v>
      </c>
      <c r="C31" s="24" t="s">
        <v>234</v>
      </c>
      <c r="D31" s="24" t="s">
        <v>136</v>
      </c>
      <c r="E31" s="29">
        <v>21400</v>
      </c>
      <c r="F31" s="26">
        <v>1110.19</v>
      </c>
      <c r="G31" s="26">
        <v>1.41</v>
      </c>
    </row>
    <row r="32" spans="2:7" x14ac:dyDescent="0.2">
      <c r="B32" s="28" t="s">
        <v>245</v>
      </c>
      <c r="C32" s="24" t="s">
        <v>246</v>
      </c>
      <c r="D32" s="24" t="s">
        <v>128</v>
      </c>
      <c r="E32" s="29">
        <v>221324</v>
      </c>
      <c r="F32" s="26">
        <v>1106.51</v>
      </c>
      <c r="G32" s="26">
        <v>1.4</v>
      </c>
    </row>
    <row r="33" spans="2:9" x14ac:dyDescent="0.2">
      <c r="B33" s="28" t="s">
        <v>274</v>
      </c>
      <c r="C33" s="24" t="s">
        <v>275</v>
      </c>
      <c r="D33" s="24" t="s">
        <v>128</v>
      </c>
      <c r="E33" s="29">
        <v>600500</v>
      </c>
      <c r="F33" s="26">
        <v>1031.06</v>
      </c>
      <c r="G33" s="26">
        <v>1.31</v>
      </c>
    </row>
    <row r="34" spans="2:9" x14ac:dyDescent="0.2">
      <c r="B34" s="28" t="s">
        <v>247</v>
      </c>
      <c r="C34" s="24" t="s">
        <v>248</v>
      </c>
      <c r="D34" s="24" t="s">
        <v>128</v>
      </c>
      <c r="E34" s="29">
        <v>200000</v>
      </c>
      <c r="F34" s="26">
        <v>1001.5</v>
      </c>
      <c r="G34" s="26">
        <v>1.27</v>
      </c>
    </row>
    <row r="35" spans="2:9" x14ac:dyDescent="0.2">
      <c r="B35" s="28" t="s">
        <v>68</v>
      </c>
      <c r="C35" s="24" t="s">
        <v>69</v>
      </c>
      <c r="D35" s="24" t="s">
        <v>62</v>
      </c>
      <c r="E35" s="29">
        <v>250000</v>
      </c>
      <c r="F35" s="26">
        <v>967</v>
      </c>
      <c r="G35" s="26">
        <v>1.23</v>
      </c>
    </row>
    <row r="36" spans="2:9" x14ac:dyDescent="0.2">
      <c r="B36" s="28" t="s">
        <v>208</v>
      </c>
      <c r="C36" s="24" t="s">
        <v>209</v>
      </c>
      <c r="D36" s="24" t="s">
        <v>131</v>
      </c>
      <c r="E36" s="29">
        <v>170000</v>
      </c>
      <c r="F36" s="26">
        <v>950.98</v>
      </c>
      <c r="G36" s="26">
        <v>1.21</v>
      </c>
    </row>
    <row r="37" spans="2:9" x14ac:dyDescent="0.2">
      <c r="B37" s="28" t="s">
        <v>160</v>
      </c>
      <c r="C37" s="24" t="s">
        <v>161</v>
      </c>
      <c r="D37" s="24" t="s">
        <v>136</v>
      </c>
      <c r="E37" s="29">
        <v>5535</v>
      </c>
      <c r="F37" s="26">
        <v>912.55</v>
      </c>
      <c r="G37" s="26">
        <v>1.1599999999999999</v>
      </c>
    </row>
    <row r="38" spans="2:9" x14ac:dyDescent="0.2">
      <c r="B38" s="28" t="s">
        <v>185</v>
      </c>
      <c r="C38" s="24" t="s">
        <v>186</v>
      </c>
      <c r="D38" s="24" t="s">
        <v>131</v>
      </c>
      <c r="E38" s="29">
        <v>69786</v>
      </c>
      <c r="F38" s="26">
        <v>906.87</v>
      </c>
      <c r="G38" s="26">
        <v>1.1499999999999999</v>
      </c>
    </row>
    <row r="39" spans="2:9" x14ac:dyDescent="0.2">
      <c r="B39" s="28" t="s">
        <v>177</v>
      </c>
      <c r="C39" s="24" t="s">
        <v>178</v>
      </c>
      <c r="D39" s="24" t="s">
        <v>136</v>
      </c>
      <c r="E39" s="29">
        <v>32207</v>
      </c>
      <c r="F39" s="26">
        <v>894.69</v>
      </c>
      <c r="G39" s="26">
        <v>1.1399999999999999</v>
      </c>
    </row>
    <row r="40" spans="2:9" x14ac:dyDescent="0.2">
      <c r="B40" s="28" t="s">
        <v>200</v>
      </c>
      <c r="C40" s="24" t="s">
        <v>201</v>
      </c>
      <c r="D40" s="24" t="s">
        <v>128</v>
      </c>
      <c r="E40" s="29">
        <v>41600</v>
      </c>
      <c r="F40" s="26">
        <v>826.34</v>
      </c>
      <c r="G40" s="26">
        <v>1.05</v>
      </c>
    </row>
    <row r="41" spans="2:9" x14ac:dyDescent="0.2">
      <c r="B41" s="28" t="s">
        <v>78</v>
      </c>
      <c r="C41" s="24" t="s">
        <v>79</v>
      </c>
      <c r="D41" s="24" t="s">
        <v>46</v>
      </c>
      <c r="E41" s="29">
        <v>3875</v>
      </c>
      <c r="F41" s="26">
        <v>784.96</v>
      </c>
      <c r="G41" s="26">
        <v>1</v>
      </c>
    </row>
    <row r="42" spans="2:9" x14ac:dyDescent="0.2">
      <c r="B42" s="28" t="s">
        <v>60</v>
      </c>
      <c r="C42" s="24" t="s">
        <v>61</v>
      </c>
      <c r="D42" s="24" t="s">
        <v>62</v>
      </c>
      <c r="E42" s="29">
        <v>243220</v>
      </c>
      <c r="F42" s="26">
        <v>750.09</v>
      </c>
      <c r="G42" s="26">
        <v>0.95</v>
      </c>
    </row>
    <row r="43" spans="2:9" x14ac:dyDescent="0.2">
      <c r="B43" s="28" t="s">
        <v>187</v>
      </c>
      <c r="C43" s="24" t="s">
        <v>188</v>
      </c>
      <c r="D43" s="24" t="s">
        <v>65</v>
      </c>
      <c r="E43" s="29">
        <v>34000</v>
      </c>
      <c r="F43" s="26">
        <v>746.9</v>
      </c>
      <c r="G43" s="26">
        <v>0.95</v>
      </c>
    </row>
    <row r="44" spans="2:9" x14ac:dyDescent="0.2">
      <c r="B44" s="28" t="s">
        <v>80</v>
      </c>
      <c r="C44" s="24" t="s">
        <v>81</v>
      </c>
      <c r="D44" s="24" t="s">
        <v>62</v>
      </c>
      <c r="E44" s="29">
        <v>326000</v>
      </c>
      <c r="F44" s="26">
        <v>719.32</v>
      </c>
      <c r="G44" s="26">
        <v>0.91</v>
      </c>
    </row>
    <row r="45" spans="2:9" x14ac:dyDescent="0.2">
      <c r="B45" s="28" t="s">
        <v>193</v>
      </c>
      <c r="C45" s="24" t="s">
        <v>194</v>
      </c>
      <c r="D45" s="24" t="s">
        <v>195</v>
      </c>
      <c r="E45" s="29">
        <v>27500</v>
      </c>
      <c r="F45" s="26">
        <v>516.92999999999995</v>
      </c>
      <c r="G45" s="26">
        <v>0.66</v>
      </c>
    </row>
    <row r="46" spans="2:9" x14ac:dyDescent="0.2">
      <c r="B46" s="28" t="s">
        <v>214</v>
      </c>
      <c r="C46" s="24" t="s">
        <v>215</v>
      </c>
      <c r="D46" s="24" t="s">
        <v>128</v>
      </c>
      <c r="E46" s="29">
        <v>22000</v>
      </c>
      <c r="F46" s="26">
        <v>515.76</v>
      </c>
      <c r="G46" s="26">
        <v>0.65</v>
      </c>
    </row>
    <row r="47" spans="2:9" x14ac:dyDescent="0.2">
      <c r="B47" s="28" t="s">
        <v>216</v>
      </c>
      <c r="C47" s="24" t="s">
        <v>217</v>
      </c>
      <c r="D47" s="24" t="s">
        <v>218</v>
      </c>
      <c r="E47" s="29">
        <v>20300</v>
      </c>
      <c r="F47" s="26">
        <v>447.24</v>
      </c>
      <c r="G47" s="26">
        <v>0.56999999999999995</v>
      </c>
    </row>
    <row r="48" spans="2:9" x14ac:dyDescent="0.2">
      <c r="B48" s="30" t="s">
        <v>110</v>
      </c>
      <c r="C48" s="31"/>
      <c r="D48" s="31"/>
      <c r="E48" s="32"/>
      <c r="F48" s="33">
        <f>SUM(F7:F47)</f>
        <v>75088.449999999983</v>
      </c>
      <c r="G48" s="33">
        <f>SUM(G7:G47)</f>
        <v>95.309999999999974</v>
      </c>
      <c r="H48" s="14"/>
      <c r="I48" s="14"/>
    </row>
    <row r="49" spans="2:9" x14ac:dyDescent="0.2">
      <c r="B49" s="38" t="s">
        <v>111</v>
      </c>
      <c r="C49" s="38"/>
      <c r="D49" s="38"/>
      <c r="E49" s="39"/>
      <c r="F49" s="40">
        <f>F48</f>
        <v>75088.449999999983</v>
      </c>
      <c r="G49" s="40">
        <f>G48</f>
        <v>95.309999999999974</v>
      </c>
      <c r="H49" s="14"/>
      <c r="I49" s="14"/>
    </row>
    <row r="50" spans="2:9" x14ac:dyDescent="0.2">
      <c r="B50" s="41" t="s">
        <v>112</v>
      </c>
      <c r="C50" s="42"/>
      <c r="D50" s="42"/>
      <c r="E50" s="43"/>
      <c r="F50" s="44"/>
      <c r="G50" s="44"/>
    </row>
    <row r="51" spans="2:9" x14ac:dyDescent="0.2">
      <c r="B51" s="28" t="s">
        <v>112</v>
      </c>
      <c r="C51" s="24"/>
      <c r="D51" s="24"/>
      <c r="E51" s="25"/>
      <c r="F51" s="26">
        <v>4401.53</v>
      </c>
      <c r="G51" s="26">
        <v>5.58</v>
      </c>
    </row>
    <row r="52" spans="2:9" x14ac:dyDescent="0.2">
      <c r="B52" s="30" t="s">
        <v>110</v>
      </c>
      <c r="C52" s="31"/>
      <c r="D52" s="31"/>
      <c r="E52" s="32"/>
      <c r="F52" s="33">
        <f>SUM(F50:F51)</f>
        <v>4401.53</v>
      </c>
      <c r="G52" s="33">
        <f>SUM(G50:G51)</f>
        <v>5.58</v>
      </c>
      <c r="H52" s="14"/>
      <c r="I52" s="14"/>
    </row>
    <row r="53" spans="2:9" x14ac:dyDescent="0.2">
      <c r="B53" s="35" t="s">
        <v>111</v>
      </c>
      <c r="C53" s="35"/>
      <c r="D53" s="35"/>
      <c r="E53" s="36"/>
      <c r="F53" s="37">
        <f>F52</f>
        <v>4401.53</v>
      </c>
      <c r="G53" s="37">
        <f>G52</f>
        <v>5.58</v>
      </c>
      <c r="H53" s="14"/>
      <c r="I53" s="14"/>
    </row>
    <row r="54" spans="2:9" x14ac:dyDescent="0.2">
      <c r="B54" s="45" t="s">
        <v>114</v>
      </c>
      <c r="C54" s="45"/>
      <c r="D54" s="45"/>
      <c r="E54" s="46"/>
      <c r="F54" s="17">
        <f>F55-(+F49+F53)</f>
        <v>-681.32999999998719</v>
      </c>
      <c r="G54" s="17">
        <f>G55-(+G49+G53)</f>
        <v>-0.88999999999997215</v>
      </c>
      <c r="H54" s="14"/>
      <c r="I54" s="14"/>
    </row>
    <row r="55" spans="2:9" x14ac:dyDescent="0.2">
      <c r="B55" s="45" t="s">
        <v>113</v>
      </c>
      <c r="C55" s="45"/>
      <c r="D55" s="45"/>
      <c r="E55" s="46"/>
      <c r="F55" s="17">
        <v>78808.649999999994</v>
      </c>
      <c r="G55" s="17">
        <v>100</v>
      </c>
      <c r="H55" s="14"/>
      <c r="I55" s="14"/>
    </row>
    <row r="57" spans="2:9" x14ac:dyDescent="0.2">
      <c r="B57" s="14"/>
    </row>
    <row r="59" spans="2:9" x14ac:dyDescent="0.2">
      <c r="B59" s="14"/>
    </row>
    <row r="62" spans="2:9" x14ac:dyDescent="0.2">
      <c r="B62" s="14"/>
      <c r="C62" s="14"/>
      <c r="D62" s="15"/>
      <c r="E62" s="15"/>
    </row>
    <row r="63" spans="2:9" x14ac:dyDescent="0.2">
      <c r="D63" s="12"/>
    </row>
    <row r="64" spans="2:9" x14ac:dyDescent="0.2">
      <c r="D64" s="12"/>
    </row>
    <row r="65" spans="2:5" x14ac:dyDescent="0.2">
      <c r="D65" s="12"/>
    </row>
    <row r="66" spans="2:5" x14ac:dyDescent="0.2">
      <c r="D66" s="12"/>
    </row>
    <row r="68" spans="2:5" x14ac:dyDescent="0.2">
      <c r="D68" s="14"/>
      <c r="E68" s="15"/>
    </row>
    <row r="73" spans="2:5" x14ac:dyDescent="0.2">
      <c r="B73" s="14"/>
      <c r="C73" s="14"/>
      <c r="D73" s="14"/>
      <c r="E73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7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9" t="s">
        <v>13</v>
      </c>
      <c r="C1" s="70"/>
      <c r="D1" s="70"/>
      <c r="E1" s="70"/>
      <c r="F1" s="70"/>
      <c r="G1" s="70"/>
    </row>
    <row r="3" spans="2:7" ht="16.5" thickBot="1" x14ac:dyDescent="0.25">
      <c r="B3" s="2" t="s">
        <v>760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8" t="s">
        <v>30</v>
      </c>
      <c r="C5" s="19"/>
      <c r="D5" s="19"/>
      <c r="E5" s="20"/>
      <c r="F5" s="21"/>
      <c r="G5" s="21"/>
    </row>
    <row r="6" spans="2:7" x14ac:dyDescent="0.2">
      <c r="B6" s="23" t="s">
        <v>31</v>
      </c>
      <c r="C6" s="24"/>
      <c r="D6" s="24"/>
      <c r="E6" s="25"/>
      <c r="F6" s="26"/>
      <c r="G6" s="26"/>
    </row>
    <row r="7" spans="2:7" x14ac:dyDescent="0.2">
      <c r="B7" s="28" t="s">
        <v>276</v>
      </c>
      <c r="C7" s="24" t="s">
        <v>277</v>
      </c>
      <c r="D7" s="24" t="s">
        <v>172</v>
      </c>
      <c r="E7" s="29">
        <v>182175</v>
      </c>
      <c r="F7" s="26">
        <v>1496.02</v>
      </c>
      <c r="G7" s="26">
        <v>3.02</v>
      </c>
    </row>
    <row r="8" spans="2:7" x14ac:dyDescent="0.2">
      <c r="B8" s="28" t="s">
        <v>142</v>
      </c>
      <c r="C8" s="24" t="s">
        <v>143</v>
      </c>
      <c r="D8" s="24" t="s">
        <v>131</v>
      </c>
      <c r="E8" s="29">
        <v>81500</v>
      </c>
      <c r="F8" s="26">
        <v>1404.08</v>
      </c>
      <c r="G8" s="26">
        <v>2.84</v>
      </c>
    </row>
    <row r="9" spans="2:7" x14ac:dyDescent="0.2">
      <c r="B9" s="28" t="s">
        <v>173</v>
      </c>
      <c r="C9" s="24" t="s">
        <v>174</v>
      </c>
      <c r="D9" s="24" t="s">
        <v>172</v>
      </c>
      <c r="E9" s="29">
        <v>63348</v>
      </c>
      <c r="F9" s="26">
        <v>1395.14</v>
      </c>
      <c r="G9" s="26">
        <v>2.82</v>
      </c>
    </row>
    <row r="10" spans="2:7" x14ac:dyDescent="0.2">
      <c r="B10" s="28" t="s">
        <v>50</v>
      </c>
      <c r="C10" s="24" t="s">
        <v>51</v>
      </c>
      <c r="D10" s="24" t="s">
        <v>52</v>
      </c>
      <c r="E10" s="29">
        <v>520958</v>
      </c>
      <c r="F10" s="26">
        <v>1334.95</v>
      </c>
      <c r="G10" s="26">
        <v>2.7</v>
      </c>
    </row>
    <row r="11" spans="2:7" x14ac:dyDescent="0.2">
      <c r="B11" s="28" t="s">
        <v>204</v>
      </c>
      <c r="C11" s="24" t="s">
        <v>205</v>
      </c>
      <c r="D11" s="24" t="s">
        <v>57</v>
      </c>
      <c r="E11" s="29">
        <v>550971</v>
      </c>
      <c r="F11" s="26">
        <v>1334.73</v>
      </c>
      <c r="G11" s="26">
        <v>2.7</v>
      </c>
    </row>
    <row r="12" spans="2:7" x14ac:dyDescent="0.2">
      <c r="B12" s="28" t="s">
        <v>93</v>
      </c>
      <c r="C12" s="24" t="s">
        <v>94</v>
      </c>
      <c r="D12" s="24" t="s">
        <v>65</v>
      </c>
      <c r="E12" s="29">
        <v>14909</v>
      </c>
      <c r="F12" s="26">
        <v>1306.33</v>
      </c>
      <c r="G12" s="26">
        <v>2.64</v>
      </c>
    </row>
    <row r="13" spans="2:7" x14ac:dyDescent="0.2">
      <c r="B13" s="28" t="s">
        <v>206</v>
      </c>
      <c r="C13" s="24" t="s">
        <v>207</v>
      </c>
      <c r="D13" s="24" t="s">
        <v>131</v>
      </c>
      <c r="E13" s="29">
        <v>624000</v>
      </c>
      <c r="F13" s="26">
        <v>1296.98</v>
      </c>
      <c r="G13" s="26">
        <v>2.62</v>
      </c>
    </row>
    <row r="14" spans="2:7" x14ac:dyDescent="0.2">
      <c r="B14" s="28" t="s">
        <v>278</v>
      </c>
      <c r="C14" s="24" t="s">
        <v>279</v>
      </c>
      <c r="D14" s="24" t="s">
        <v>131</v>
      </c>
      <c r="E14" s="29">
        <v>263016</v>
      </c>
      <c r="F14" s="26">
        <v>1269.18</v>
      </c>
      <c r="G14" s="26">
        <v>2.56</v>
      </c>
    </row>
    <row r="15" spans="2:7" x14ac:dyDescent="0.2">
      <c r="B15" s="28" t="s">
        <v>280</v>
      </c>
      <c r="C15" s="24" t="s">
        <v>281</v>
      </c>
      <c r="D15" s="24" t="s">
        <v>227</v>
      </c>
      <c r="E15" s="29">
        <v>188729</v>
      </c>
      <c r="F15" s="26">
        <v>1226.93</v>
      </c>
      <c r="G15" s="26">
        <v>2.48</v>
      </c>
    </row>
    <row r="16" spans="2:7" x14ac:dyDescent="0.2">
      <c r="B16" s="28" t="s">
        <v>268</v>
      </c>
      <c r="C16" s="24" t="s">
        <v>269</v>
      </c>
      <c r="D16" s="24" t="s">
        <v>37</v>
      </c>
      <c r="E16" s="29">
        <v>185506</v>
      </c>
      <c r="F16" s="26">
        <v>1211.26</v>
      </c>
      <c r="G16" s="26">
        <v>2.4500000000000002</v>
      </c>
    </row>
    <row r="17" spans="2:7" x14ac:dyDescent="0.2">
      <c r="B17" s="28" t="s">
        <v>282</v>
      </c>
      <c r="C17" s="24" t="s">
        <v>283</v>
      </c>
      <c r="D17" s="24" t="s">
        <v>131</v>
      </c>
      <c r="E17" s="29">
        <v>161911</v>
      </c>
      <c r="F17" s="26">
        <v>1202.76</v>
      </c>
      <c r="G17" s="26">
        <v>2.4300000000000002</v>
      </c>
    </row>
    <row r="18" spans="2:7" x14ac:dyDescent="0.2">
      <c r="B18" s="28" t="s">
        <v>284</v>
      </c>
      <c r="C18" s="24" t="s">
        <v>285</v>
      </c>
      <c r="D18" s="24" t="s">
        <v>172</v>
      </c>
      <c r="E18" s="29">
        <v>62184</v>
      </c>
      <c r="F18" s="26">
        <v>1178.95</v>
      </c>
      <c r="G18" s="26">
        <v>2.38</v>
      </c>
    </row>
    <row r="19" spans="2:7" x14ac:dyDescent="0.2">
      <c r="B19" s="28" t="s">
        <v>198</v>
      </c>
      <c r="C19" s="24" t="s">
        <v>199</v>
      </c>
      <c r="D19" s="24" t="s">
        <v>131</v>
      </c>
      <c r="E19" s="29">
        <v>283000</v>
      </c>
      <c r="F19" s="26">
        <v>1176.57</v>
      </c>
      <c r="G19" s="26">
        <v>2.38</v>
      </c>
    </row>
    <row r="20" spans="2:7" x14ac:dyDescent="0.2">
      <c r="B20" s="28" t="s">
        <v>286</v>
      </c>
      <c r="C20" s="24" t="s">
        <v>287</v>
      </c>
      <c r="D20" s="24" t="s">
        <v>148</v>
      </c>
      <c r="E20" s="29">
        <v>453518</v>
      </c>
      <c r="F20" s="26">
        <v>1163.05</v>
      </c>
      <c r="G20" s="26">
        <v>2.35</v>
      </c>
    </row>
    <row r="21" spans="2:7" x14ac:dyDescent="0.2">
      <c r="B21" s="28" t="s">
        <v>288</v>
      </c>
      <c r="C21" s="24" t="s">
        <v>289</v>
      </c>
      <c r="D21" s="24" t="s">
        <v>131</v>
      </c>
      <c r="E21" s="29">
        <v>208142</v>
      </c>
      <c r="F21" s="26">
        <v>1135.93</v>
      </c>
      <c r="G21" s="26">
        <v>2.2999999999999998</v>
      </c>
    </row>
    <row r="22" spans="2:7" x14ac:dyDescent="0.2">
      <c r="B22" s="28" t="s">
        <v>170</v>
      </c>
      <c r="C22" s="24" t="s">
        <v>171</v>
      </c>
      <c r="D22" s="24" t="s">
        <v>172</v>
      </c>
      <c r="E22" s="29">
        <v>18444</v>
      </c>
      <c r="F22" s="26">
        <v>1127.3499999999999</v>
      </c>
      <c r="G22" s="26">
        <v>2.2799999999999998</v>
      </c>
    </row>
    <row r="23" spans="2:7" x14ac:dyDescent="0.2">
      <c r="B23" s="28" t="s">
        <v>221</v>
      </c>
      <c r="C23" s="24" t="s">
        <v>222</v>
      </c>
      <c r="D23" s="24" t="s">
        <v>121</v>
      </c>
      <c r="E23" s="29">
        <v>83845</v>
      </c>
      <c r="F23" s="26">
        <v>1124.57</v>
      </c>
      <c r="G23" s="26">
        <v>2.27</v>
      </c>
    </row>
    <row r="24" spans="2:7" x14ac:dyDescent="0.2">
      <c r="B24" s="28" t="s">
        <v>47</v>
      </c>
      <c r="C24" s="24" t="s">
        <v>48</v>
      </c>
      <c r="D24" s="24" t="s">
        <v>49</v>
      </c>
      <c r="E24" s="29">
        <v>143353</v>
      </c>
      <c r="F24" s="26">
        <v>1118.44</v>
      </c>
      <c r="G24" s="26">
        <v>2.2599999999999998</v>
      </c>
    </row>
    <row r="25" spans="2:7" x14ac:dyDescent="0.2">
      <c r="B25" s="28" t="s">
        <v>290</v>
      </c>
      <c r="C25" s="24" t="s">
        <v>291</v>
      </c>
      <c r="D25" s="24" t="s">
        <v>218</v>
      </c>
      <c r="E25" s="29">
        <v>55826</v>
      </c>
      <c r="F25" s="26">
        <v>1104.1500000000001</v>
      </c>
      <c r="G25" s="26">
        <v>2.23</v>
      </c>
    </row>
    <row r="26" spans="2:7" x14ac:dyDescent="0.2">
      <c r="B26" s="28" t="s">
        <v>292</v>
      </c>
      <c r="C26" s="24" t="s">
        <v>293</v>
      </c>
      <c r="D26" s="24" t="s">
        <v>136</v>
      </c>
      <c r="E26" s="29">
        <v>572740</v>
      </c>
      <c r="F26" s="26">
        <v>1093.07</v>
      </c>
      <c r="G26" s="26">
        <v>2.21</v>
      </c>
    </row>
    <row r="27" spans="2:7" x14ac:dyDescent="0.2">
      <c r="B27" s="28" t="s">
        <v>294</v>
      </c>
      <c r="C27" s="24" t="s">
        <v>295</v>
      </c>
      <c r="D27" s="24" t="s">
        <v>296</v>
      </c>
      <c r="E27" s="29">
        <v>3290000</v>
      </c>
      <c r="F27" s="26">
        <v>1061.03</v>
      </c>
      <c r="G27" s="26">
        <v>2.14</v>
      </c>
    </row>
    <row r="28" spans="2:7" x14ac:dyDescent="0.2">
      <c r="B28" s="28" t="s">
        <v>297</v>
      </c>
      <c r="C28" s="24" t="s">
        <v>298</v>
      </c>
      <c r="D28" s="24" t="s">
        <v>195</v>
      </c>
      <c r="E28" s="29">
        <v>58200</v>
      </c>
      <c r="F28" s="26">
        <v>1044.1400000000001</v>
      </c>
      <c r="G28" s="26">
        <v>2.11</v>
      </c>
    </row>
    <row r="29" spans="2:7" x14ac:dyDescent="0.2">
      <c r="B29" s="28" t="s">
        <v>299</v>
      </c>
      <c r="C29" s="24" t="s">
        <v>300</v>
      </c>
      <c r="D29" s="24" t="s">
        <v>136</v>
      </c>
      <c r="E29" s="29">
        <v>103016</v>
      </c>
      <c r="F29" s="26">
        <v>1018.11</v>
      </c>
      <c r="G29" s="26">
        <v>2.06</v>
      </c>
    </row>
    <row r="30" spans="2:7" x14ac:dyDescent="0.2">
      <c r="B30" s="28" t="s">
        <v>301</v>
      </c>
      <c r="C30" s="24" t="s">
        <v>302</v>
      </c>
      <c r="D30" s="24" t="s">
        <v>57</v>
      </c>
      <c r="E30" s="29">
        <v>202186</v>
      </c>
      <c r="F30" s="26">
        <v>1015.07</v>
      </c>
      <c r="G30" s="26">
        <v>2.0499999999999998</v>
      </c>
    </row>
    <row r="31" spans="2:7" x14ac:dyDescent="0.2">
      <c r="B31" s="28" t="s">
        <v>55</v>
      </c>
      <c r="C31" s="24" t="s">
        <v>56</v>
      </c>
      <c r="D31" s="24" t="s">
        <v>57</v>
      </c>
      <c r="E31" s="29">
        <v>54719</v>
      </c>
      <c r="F31" s="26">
        <v>1011.51</v>
      </c>
      <c r="G31" s="26">
        <v>2.04</v>
      </c>
    </row>
    <row r="32" spans="2:7" x14ac:dyDescent="0.2">
      <c r="B32" s="28" t="s">
        <v>86</v>
      </c>
      <c r="C32" s="24" t="s">
        <v>87</v>
      </c>
      <c r="D32" s="24" t="s">
        <v>57</v>
      </c>
      <c r="E32" s="29">
        <v>88825</v>
      </c>
      <c r="F32" s="26">
        <v>982.76</v>
      </c>
      <c r="G32" s="26">
        <v>1.99</v>
      </c>
    </row>
    <row r="33" spans="2:7" x14ac:dyDescent="0.2">
      <c r="B33" s="28" t="s">
        <v>303</v>
      </c>
      <c r="C33" s="24" t="s">
        <v>304</v>
      </c>
      <c r="D33" s="24" t="s">
        <v>232</v>
      </c>
      <c r="E33" s="29">
        <v>342000</v>
      </c>
      <c r="F33" s="26">
        <v>967.69</v>
      </c>
      <c r="G33" s="26">
        <v>1.96</v>
      </c>
    </row>
    <row r="34" spans="2:7" x14ac:dyDescent="0.2">
      <c r="B34" s="28" t="s">
        <v>76</v>
      </c>
      <c r="C34" s="24" t="s">
        <v>77</v>
      </c>
      <c r="D34" s="24" t="s">
        <v>65</v>
      </c>
      <c r="E34" s="29">
        <v>44671</v>
      </c>
      <c r="F34" s="26">
        <v>910.57</v>
      </c>
      <c r="G34" s="26">
        <v>1.84</v>
      </c>
    </row>
    <row r="35" spans="2:7" x14ac:dyDescent="0.2">
      <c r="B35" s="28" t="s">
        <v>305</v>
      </c>
      <c r="C35" s="24" t="s">
        <v>306</v>
      </c>
      <c r="D35" s="24" t="s">
        <v>172</v>
      </c>
      <c r="E35" s="29">
        <v>629870</v>
      </c>
      <c r="F35" s="26">
        <v>894.42</v>
      </c>
      <c r="G35" s="26">
        <v>1.81</v>
      </c>
    </row>
    <row r="36" spans="2:7" x14ac:dyDescent="0.2">
      <c r="B36" s="28" t="s">
        <v>307</v>
      </c>
      <c r="C36" s="24" t="s">
        <v>308</v>
      </c>
      <c r="D36" s="24" t="s">
        <v>296</v>
      </c>
      <c r="E36" s="29">
        <v>425000</v>
      </c>
      <c r="F36" s="26">
        <v>892.29</v>
      </c>
      <c r="G36" s="26">
        <v>1.8</v>
      </c>
    </row>
    <row r="37" spans="2:7" x14ac:dyDescent="0.2">
      <c r="B37" s="28" t="s">
        <v>309</v>
      </c>
      <c r="C37" s="24" t="s">
        <v>310</v>
      </c>
      <c r="D37" s="24" t="s">
        <v>172</v>
      </c>
      <c r="E37" s="29">
        <v>33062</v>
      </c>
      <c r="F37" s="26">
        <v>883.65</v>
      </c>
      <c r="G37" s="26">
        <v>1.79</v>
      </c>
    </row>
    <row r="38" spans="2:7" x14ac:dyDescent="0.2">
      <c r="B38" s="28" t="s">
        <v>311</v>
      </c>
      <c r="C38" s="24" t="s">
        <v>312</v>
      </c>
      <c r="D38" s="24" t="s">
        <v>136</v>
      </c>
      <c r="E38" s="29">
        <v>307500</v>
      </c>
      <c r="F38" s="26">
        <v>882.99</v>
      </c>
      <c r="G38" s="26">
        <v>1.78</v>
      </c>
    </row>
    <row r="39" spans="2:7" x14ac:dyDescent="0.2">
      <c r="B39" s="28" t="s">
        <v>41</v>
      </c>
      <c r="C39" s="24" t="s">
        <v>42</v>
      </c>
      <c r="D39" s="24" t="s">
        <v>43</v>
      </c>
      <c r="E39" s="29">
        <v>2425</v>
      </c>
      <c r="F39" s="26">
        <v>790.33</v>
      </c>
      <c r="G39" s="26">
        <v>1.6</v>
      </c>
    </row>
    <row r="40" spans="2:7" x14ac:dyDescent="0.2">
      <c r="B40" s="28" t="s">
        <v>313</v>
      </c>
      <c r="C40" s="24" t="s">
        <v>314</v>
      </c>
      <c r="D40" s="24" t="s">
        <v>315</v>
      </c>
      <c r="E40" s="29">
        <v>35700</v>
      </c>
      <c r="F40" s="26">
        <v>783.63</v>
      </c>
      <c r="G40" s="26">
        <v>1.58</v>
      </c>
    </row>
    <row r="41" spans="2:7" x14ac:dyDescent="0.2">
      <c r="B41" s="28" t="s">
        <v>316</v>
      </c>
      <c r="C41" s="24" t="s">
        <v>317</v>
      </c>
      <c r="D41" s="24" t="s">
        <v>131</v>
      </c>
      <c r="E41" s="29">
        <v>60996</v>
      </c>
      <c r="F41" s="26">
        <v>750.25</v>
      </c>
      <c r="G41" s="26">
        <v>1.52</v>
      </c>
    </row>
    <row r="42" spans="2:7" x14ac:dyDescent="0.2">
      <c r="B42" s="28" t="s">
        <v>183</v>
      </c>
      <c r="C42" s="24" t="s">
        <v>184</v>
      </c>
      <c r="D42" s="24" t="s">
        <v>172</v>
      </c>
      <c r="E42" s="29">
        <v>55300</v>
      </c>
      <c r="F42" s="26">
        <v>739.11</v>
      </c>
      <c r="G42" s="26">
        <v>1.49</v>
      </c>
    </row>
    <row r="43" spans="2:7" x14ac:dyDescent="0.2">
      <c r="B43" s="28" t="s">
        <v>210</v>
      </c>
      <c r="C43" s="24" t="s">
        <v>211</v>
      </c>
      <c r="D43" s="24" t="s">
        <v>139</v>
      </c>
      <c r="E43" s="29">
        <v>55100</v>
      </c>
      <c r="F43" s="26">
        <v>726.47</v>
      </c>
      <c r="G43" s="26">
        <v>1.47</v>
      </c>
    </row>
    <row r="44" spans="2:7" x14ac:dyDescent="0.2">
      <c r="B44" s="28" t="s">
        <v>318</v>
      </c>
      <c r="C44" s="24" t="s">
        <v>319</v>
      </c>
      <c r="D44" s="24" t="s">
        <v>49</v>
      </c>
      <c r="E44" s="29">
        <v>305500</v>
      </c>
      <c r="F44" s="26">
        <v>717.62</v>
      </c>
      <c r="G44" s="26">
        <v>1.45</v>
      </c>
    </row>
    <row r="45" spans="2:7" x14ac:dyDescent="0.2">
      <c r="B45" s="28" t="s">
        <v>320</v>
      </c>
      <c r="C45" s="24" t="s">
        <v>321</v>
      </c>
      <c r="D45" s="24" t="s">
        <v>157</v>
      </c>
      <c r="E45" s="29">
        <v>94231</v>
      </c>
      <c r="F45" s="26">
        <v>707.91</v>
      </c>
      <c r="G45" s="26">
        <v>1.43</v>
      </c>
    </row>
    <row r="46" spans="2:7" x14ac:dyDescent="0.2">
      <c r="B46" s="28" t="s">
        <v>322</v>
      </c>
      <c r="C46" s="24" t="s">
        <v>323</v>
      </c>
      <c r="D46" s="24" t="s">
        <v>128</v>
      </c>
      <c r="E46" s="29">
        <v>136000</v>
      </c>
      <c r="F46" s="26">
        <v>676.4</v>
      </c>
      <c r="G46" s="26">
        <v>1.37</v>
      </c>
    </row>
    <row r="47" spans="2:7" x14ac:dyDescent="0.2">
      <c r="B47" s="28" t="s">
        <v>255</v>
      </c>
      <c r="C47" s="24" t="s">
        <v>256</v>
      </c>
      <c r="D47" s="24" t="s">
        <v>57</v>
      </c>
      <c r="E47" s="29">
        <v>150000</v>
      </c>
      <c r="F47" s="26">
        <v>671.33</v>
      </c>
      <c r="G47" s="26">
        <v>1.36</v>
      </c>
    </row>
    <row r="48" spans="2:7" x14ac:dyDescent="0.2">
      <c r="B48" s="28" t="s">
        <v>324</v>
      </c>
      <c r="C48" s="24" t="s">
        <v>325</v>
      </c>
      <c r="D48" s="24" t="s">
        <v>46</v>
      </c>
      <c r="E48" s="29">
        <v>301323</v>
      </c>
      <c r="F48" s="26">
        <v>562.57000000000005</v>
      </c>
      <c r="G48" s="26">
        <v>1.1399999999999999</v>
      </c>
    </row>
    <row r="49" spans="2:9" x14ac:dyDescent="0.2">
      <c r="B49" s="28" t="s">
        <v>326</v>
      </c>
      <c r="C49" s="24" t="s">
        <v>327</v>
      </c>
      <c r="D49" s="24" t="s">
        <v>65</v>
      </c>
      <c r="E49" s="29">
        <v>8094</v>
      </c>
      <c r="F49" s="26">
        <v>494.12</v>
      </c>
      <c r="G49" s="26">
        <v>1</v>
      </c>
    </row>
    <row r="50" spans="2:9" x14ac:dyDescent="0.2">
      <c r="B50" s="28" t="s">
        <v>328</v>
      </c>
      <c r="C50" s="24" t="s">
        <v>329</v>
      </c>
      <c r="D50" s="24" t="s">
        <v>131</v>
      </c>
      <c r="E50" s="29">
        <v>122153</v>
      </c>
      <c r="F50" s="26">
        <v>480.92</v>
      </c>
      <c r="G50" s="26">
        <v>0.97</v>
      </c>
    </row>
    <row r="51" spans="2:9" x14ac:dyDescent="0.2">
      <c r="B51" s="28" t="s">
        <v>330</v>
      </c>
      <c r="C51" s="24" t="s">
        <v>331</v>
      </c>
      <c r="D51" s="24" t="s">
        <v>52</v>
      </c>
      <c r="E51" s="29">
        <v>212124</v>
      </c>
      <c r="F51" s="26">
        <v>471.98</v>
      </c>
      <c r="G51" s="26">
        <v>0.95</v>
      </c>
    </row>
    <row r="52" spans="2:9" x14ac:dyDescent="0.2">
      <c r="B52" s="28" t="s">
        <v>196</v>
      </c>
      <c r="C52" s="24" t="s">
        <v>197</v>
      </c>
      <c r="D52" s="24" t="s">
        <v>148</v>
      </c>
      <c r="E52" s="29">
        <v>140000</v>
      </c>
      <c r="F52" s="26">
        <v>463.12</v>
      </c>
      <c r="G52" s="26">
        <v>0.94</v>
      </c>
    </row>
    <row r="53" spans="2:9" x14ac:dyDescent="0.2">
      <c r="B53" s="28" t="s">
        <v>108</v>
      </c>
      <c r="C53" s="24" t="s">
        <v>109</v>
      </c>
      <c r="D53" s="24" t="s">
        <v>62</v>
      </c>
      <c r="E53" s="29">
        <v>208500</v>
      </c>
      <c r="F53" s="26">
        <v>434.83</v>
      </c>
      <c r="G53" s="26">
        <v>0.88</v>
      </c>
    </row>
    <row r="54" spans="2:9" x14ac:dyDescent="0.2">
      <c r="B54" s="28" t="s">
        <v>332</v>
      </c>
      <c r="C54" s="24" t="s">
        <v>333</v>
      </c>
      <c r="D54" s="24" t="s">
        <v>52</v>
      </c>
      <c r="E54" s="29">
        <v>18522</v>
      </c>
      <c r="F54" s="26">
        <v>430.71</v>
      </c>
      <c r="G54" s="26">
        <v>0.87</v>
      </c>
    </row>
    <row r="55" spans="2:9" x14ac:dyDescent="0.2">
      <c r="B55" s="28" t="s">
        <v>68</v>
      </c>
      <c r="C55" s="24" t="s">
        <v>69</v>
      </c>
      <c r="D55" s="24" t="s">
        <v>62</v>
      </c>
      <c r="E55" s="29">
        <v>105000</v>
      </c>
      <c r="F55" s="26">
        <v>406.14</v>
      </c>
      <c r="G55" s="26">
        <v>0.82</v>
      </c>
    </row>
    <row r="56" spans="2:9" x14ac:dyDescent="0.2">
      <c r="B56" s="28" t="s">
        <v>106</v>
      </c>
      <c r="C56" s="24" t="s">
        <v>107</v>
      </c>
      <c r="D56" s="24" t="s">
        <v>65</v>
      </c>
      <c r="E56" s="29">
        <v>52000</v>
      </c>
      <c r="F56" s="26">
        <v>333.4</v>
      </c>
      <c r="G56" s="26">
        <v>0.67</v>
      </c>
    </row>
    <row r="57" spans="2:9" x14ac:dyDescent="0.2">
      <c r="B57" s="28" t="s">
        <v>155</v>
      </c>
      <c r="C57" s="24" t="s">
        <v>156</v>
      </c>
      <c r="D57" s="24" t="s">
        <v>157</v>
      </c>
      <c r="E57" s="29">
        <v>16750</v>
      </c>
      <c r="F57" s="26">
        <v>330.23</v>
      </c>
      <c r="G57" s="26">
        <v>0.67</v>
      </c>
    </row>
    <row r="58" spans="2:9" x14ac:dyDescent="0.2">
      <c r="B58" s="28" t="s">
        <v>334</v>
      </c>
      <c r="C58" s="24" t="s">
        <v>335</v>
      </c>
      <c r="D58" s="24" t="s">
        <v>65</v>
      </c>
      <c r="E58" s="29">
        <v>375584</v>
      </c>
      <c r="F58" s="26">
        <v>315.11</v>
      </c>
      <c r="G58" s="26">
        <v>0.64</v>
      </c>
    </row>
    <row r="59" spans="2:9" x14ac:dyDescent="0.2">
      <c r="B59" s="28" t="s">
        <v>175</v>
      </c>
      <c r="C59" s="24" t="s">
        <v>176</v>
      </c>
      <c r="D59" s="24" t="s">
        <v>121</v>
      </c>
      <c r="E59" s="29">
        <v>18700</v>
      </c>
      <c r="F59" s="26">
        <v>250.3</v>
      </c>
      <c r="G59" s="26">
        <v>0.51</v>
      </c>
    </row>
    <row r="60" spans="2:9" x14ac:dyDescent="0.2">
      <c r="B60" s="28" t="s">
        <v>104</v>
      </c>
      <c r="C60" s="24" t="s">
        <v>105</v>
      </c>
      <c r="D60" s="24" t="s">
        <v>57</v>
      </c>
      <c r="E60" s="29">
        <v>51555</v>
      </c>
      <c r="F60" s="26">
        <v>246.97</v>
      </c>
      <c r="G60" s="26">
        <v>0.5</v>
      </c>
    </row>
    <row r="61" spans="2:9" x14ac:dyDescent="0.2">
      <c r="B61" s="28" t="s">
        <v>336</v>
      </c>
      <c r="C61" s="24" t="s">
        <v>337</v>
      </c>
      <c r="D61" s="24" t="s">
        <v>65</v>
      </c>
      <c r="E61" s="29">
        <v>30000</v>
      </c>
      <c r="F61" s="26">
        <v>217.43</v>
      </c>
      <c r="G61" s="26">
        <v>0.44</v>
      </c>
    </row>
    <row r="62" spans="2:9" x14ac:dyDescent="0.2">
      <c r="B62" s="30" t="s">
        <v>110</v>
      </c>
      <c r="C62" s="31"/>
      <c r="D62" s="31"/>
      <c r="E62" s="32"/>
      <c r="F62" s="33">
        <f>SUM(F7:F61)</f>
        <v>48265.550000000017</v>
      </c>
      <c r="G62" s="33">
        <f>SUM(G7:G61)</f>
        <v>97.56</v>
      </c>
      <c r="H62" s="14"/>
      <c r="I62" s="14"/>
    </row>
    <row r="63" spans="2:9" x14ac:dyDescent="0.2">
      <c r="B63" s="38" t="s">
        <v>111</v>
      </c>
      <c r="C63" s="38"/>
      <c r="D63" s="38"/>
      <c r="E63" s="39"/>
      <c r="F63" s="40">
        <f>F62</f>
        <v>48265.550000000017</v>
      </c>
      <c r="G63" s="40">
        <f>G62</f>
        <v>97.56</v>
      </c>
      <c r="H63" s="14"/>
      <c r="I63" s="14"/>
    </row>
    <row r="64" spans="2:9" x14ac:dyDescent="0.2">
      <c r="B64" s="41" t="s">
        <v>112</v>
      </c>
      <c r="C64" s="42"/>
      <c r="D64" s="42"/>
      <c r="E64" s="43"/>
      <c r="F64" s="44"/>
      <c r="G64" s="44"/>
    </row>
    <row r="65" spans="2:9" x14ac:dyDescent="0.2">
      <c r="B65" s="28" t="s">
        <v>112</v>
      </c>
      <c r="C65" s="24"/>
      <c r="D65" s="24"/>
      <c r="E65" s="25"/>
      <c r="F65" s="26">
        <v>1286.3</v>
      </c>
      <c r="G65" s="26">
        <v>2.6</v>
      </c>
    </row>
    <row r="66" spans="2:9" x14ac:dyDescent="0.2">
      <c r="B66" s="30" t="s">
        <v>110</v>
      </c>
      <c r="C66" s="31"/>
      <c r="D66" s="31"/>
      <c r="E66" s="32"/>
      <c r="F66" s="33">
        <f>SUM(F64:F65)</f>
        <v>1286.3</v>
      </c>
      <c r="G66" s="33">
        <f>SUM(G64:G65)</f>
        <v>2.6</v>
      </c>
      <c r="H66" s="14"/>
      <c r="I66" s="14"/>
    </row>
    <row r="67" spans="2:9" x14ac:dyDescent="0.2">
      <c r="B67" s="35" t="s">
        <v>111</v>
      </c>
      <c r="C67" s="35"/>
      <c r="D67" s="35"/>
      <c r="E67" s="36"/>
      <c r="F67" s="37">
        <f>F66</f>
        <v>1286.3</v>
      </c>
      <c r="G67" s="37">
        <f>G66</f>
        <v>2.6</v>
      </c>
      <c r="H67" s="14"/>
      <c r="I67" s="14"/>
    </row>
    <row r="68" spans="2:9" x14ac:dyDescent="0.2">
      <c r="B68" s="45" t="s">
        <v>114</v>
      </c>
      <c r="C68" s="45"/>
      <c r="D68" s="45"/>
      <c r="E68" s="46"/>
      <c r="F68" s="17">
        <f>F69-(+F63+F67)</f>
        <v>-67.590000000018335</v>
      </c>
      <c r="G68" s="17">
        <f>G69-(+G63+G67)</f>
        <v>-0.15999999999999659</v>
      </c>
      <c r="H68" s="14"/>
      <c r="I68" s="14"/>
    </row>
    <row r="69" spans="2:9" x14ac:dyDescent="0.2">
      <c r="B69" s="45" t="s">
        <v>113</v>
      </c>
      <c r="C69" s="45"/>
      <c r="D69" s="45"/>
      <c r="E69" s="46"/>
      <c r="F69" s="17">
        <v>49484.26</v>
      </c>
      <c r="G69" s="17">
        <v>100</v>
      </c>
      <c r="H69" s="14"/>
      <c r="I69" s="14"/>
    </row>
    <row r="71" spans="2:9" x14ac:dyDescent="0.2">
      <c r="B71" s="14"/>
    </row>
    <row r="73" spans="2:9" x14ac:dyDescent="0.2">
      <c r="B73" s="14"/>
    </row>
    <row r="76" spans="2:9" x14ac:dyDescent="0.2">
      <c r="B76" s="14"/>
      <c r="C76" s="14"/>
      <c r="D76" s="15"/>
      <c r="E76" s="15"/>
    </row>
    <row r="77" spans="2:9" x14ac:dyDescent="0.2">
      <c r="D77" s="12"/>
    </row>
    <row r="78" spans="2:9" x14ac:dyDescent="0.2">
      <c r="D78" s="12"/>
    </row>
    <row r="79" spans="2:9" x14ac:dyDescent="0.2">
      <c r="D79" s="12"/>
    </row>
    <row r="80" spans="2:9" x14ac:dyDescent="0.2">
      <c r="D80" s="12"/>
    </row>
    <row r="82" spans="2:5" x14ac:dyDescent="0.2">
      <c r="D82" s="14"/>
      <c r="E82" s="15"/>
    </row>
    <row r="87" spans="2:5" x14ac:dyDescent="0.2">
      <c r="B87" s="14"/>
      <c r="C87" s="14"/>
      <c r="D87" s="14"/>
      <c r="E87" s="15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3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855468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14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8" t="s">
        <v>30</v>
      </c>
      <c r="C5" s="19"/>
      <c r="D5" s="19"/>
      <c r="E5" s="20"/>
      <c r="F5" s="21"/>
      <c r="G5" s="21"/>
      <c r="H5" s="22"/>
    </row>
    <row r="6" spans="2:8" x14ac:dyDescent="0.2">
      <c r="B6" s="23" t="s">
        <v>31</v>
      </c>
      <c r="C6" s="24"/>
      <c r="D6" s="24"/>
      <c r="E6" s="25"/>
      <c r="F6" s="26"/>
      <c r="G6" s="26"/>
      <c r="H6" s="27"/>
    </row>
    <row r="7" spans="2:8" x14ac:dyDescent="0.2">
      <c r="B7" s="28" t="s">
        <v>119</v>
      </c>
      <c r="C7" s="24" t="s">
        <v>120</v>
      </c>
      <c r="D7" s="24" t="s">
        <v>121</v>
      </c>
      <c r="E7" s="29">
        <v>2015472</v>
      </c>
      <c r="F7" s="26">
        <v>20321</v>
      </c>
      <c r="G7" s="26">
        <v>5.91</v>
      </c>
      <c r="H7" s="27"/>
    </row>
    <row r="8" spans="2:8" x14ac:dyDescent="0.2">
      <c r="B8" s="28" t="s">
        <v>35</v>
      </c>
      <c r="C8" s="24" t="s">
        <v>36</v>
      </c>
      <c r="D8" s="24" t="s">
        <v>37</v>
      </c>
      <c r="E8" s="29">
        <v>906900</v>
      </c>
      <c r="F8" s="26">
        <v>20263.32</v>
      </c>
      <c r="G8" s="26">
        <v>5.89</v>
      </c>
      <c r="H8" s="27"/>
    </row>
    <row r="9" spans="2:8" x14ac:dyDescent="0.2">
      <c r="B9" s="28" t="s">
        <v>122</v>
      </c>
      <c r="C9" s="24" t="s">
        <v>123</v>
      </c>
      <c r="D9" s="24" t="s">
        <v>90</v>
      </c>
      <c r="E9" s="29">
        <v>1819950</v>
      </c>
      <c r="F9" s="26">
        <v>19629.98</v>
      </c>
      <c r="G9" s="26">
        <v>5.71</v>
      </c>
      <c r="H9" s="27"/>
    </row>
    <row r="10" spans="2:8" x14ac:dyDescent="0.2">
      <c r="B10" s="28" t="s">
        <v>88</v>
      </c>
      <c r="C10" s="24" t="s">
        <v>89</v>
      </c>
      <c r="D10" s="24" t="s">
        <v>90</v>
      </c>
      <c r="E10" s="29">
        <v>3903600</v>
      </c>
      <c r="F10" s="26">
        <v>13848.02</v>
      </c>
      <c r="G10" s="26">
        <v>4.03</v>
      </c>
      <c r="H10" s="27"/>
    </row>
    <row r="11" spans="2:8" x14ac:dyDescent="0.2">
      <c r="B11" s="28" t="s">
        <v>124</v>
      </c>
      <c r="C11" s="24" t="s">
        <v>125</v>
      </c>
      <c r="D11" s="24" t="s">
        <v>121</v>
      </c>
      <c r="E11" s="29">
        <v>423200</v>
      </c>
      <c r="F11" s="26">
        <v>10547.41</v>
      </c>
      <c r="G11" s="26">
        <v>3.07</v>
      </c>
      <c r="H11" s="27"/>
    </row>
    <row r="12" spans="2:8" x14ac:dyDescent="0.2">
      <c r="B12" s="28" t="s">
        <v>126</v>
      </c>
      <c r="C12" s="24" t="s">
        <v>127</v>
      </c>
      <c r="D12" s="24" t="s">
        <v>128</v>
      </c>
      <c r="E12" s="29">
        <v>446800</v>
      </c>
      <c r="F12" s="26">
        <v>9240.94</v>
      </c>
      <c r="G12" s="26">
        <v>2.69</v>
      </c>
      <c r="H12" s="27"/>
    </row>
    <row r="13" spans="2:8" x14ac:dyDescent="0.2">
      <c r="B13" s="28" t="s">
        <v>129</v>
      </c>
      <c r="C13" s="24" t="s">
        <v>130</v>
      </c>
      <c r="D13" s="24" t="s">
        <v>131</v>
      </c>
      <c r="E13" s="29">
        <v>221373</v>
      </c>
      <c r="F13" s="26">
        <v>7257.94</v>
      </c>
      <c r="G13" s="26">
        <v>2.11</v>
      </c>
      <c r="H13" s="27"/>
    </row>
    <row r="14" spans="2:8" x14ac:dyDescent="0.2">
      <c r="B14" s="28" t="s">
        <v>132</v>
      </c>
      <c r="C14" s="24" t="s">
        <v>133</v>
      </c>
      <c r="D14" s="24" t="s">
        <v>90</v>
      </c>
      <c r="E14" s="29">
        <v>569256</v>
      </c>
      <c r="F14" s="26">
        <v>7219.3</v>
      </c>
      <c r="G14" s="26">
        <v>2.1</v>
      </c>
      <c r="H14" s="27"/>
    </row>
    <row r="15" spans="2:8" x14ac:dyDescent="0.2">
      <c r="B15" s="28" t="s">
        <v>149</v>
      </c>
      <c r="C15" s="24" t="s">
        <v>150</v>
      </c>
      <c r="D15" s="24" t="s">
        <v>139</v>
      </c>
      <c r="E15" s="29">
        <v>81848</v>
      </c>
      <c r="F15" s="26">
        <v>5519.38</v>
      </c>
      <c r="G15" s="26">
        <v>1.61</v>
      </c>
      <c r="H15" s="27"/>
    </row>
    <row r="16" spans="2:8" x14ac:dyDescent="0.2">
      <c r="B16" s="28" t="s">
        <v>95</v>
      </c>
      <c r="C16" s="24" t="s">
        <v>96</v>
      </c>
      <c r="D16" s="24" t="s">
        <v>46</v>
      </c>
      <c r="E16" s="29">
        <v>135621</v>
      </c>
      <c r="F16" s="26">
        <v>5492.04</v>
      </c>
      <c r="G16" s="26">
        <v>1.6</v>
      </c>
      <c r="H16" s="27"/>
    </row>
    <row r="17" spans="2:8" x14ac:dyDescent="0.2">
      <c r="B17" s="28" t="s">
        <v>173</v>
      </c>
      <c r="C17" s="24" t="s">
        <v>174</v>
      </c>
      <c r="D17" s="24" t="s">
        <v>172</v>
      </c>
      <c r="E17" s="29">
        <v>230354</v>
      </c>
      <c r="F17" s="26">
        <v>5073.2</v>
      </c>
      <c r="G17" s="26">
        <v>1.48</v>
      </c>
      <c r="H17" s="27"/>
    </row>
    <row r="18" spans="2:8" x14ac:dyDescent="0.2">
      <c r="B18" s="28" t="s">
        <v>63</v>
      </c>
      <c r="C18" s="24" t="s">
        <v>64</v>
      </c>
      <c r="D18" s="24" t="s">
        <v>65</v>
      </c>
      <c r="E18" s="29">
        <v>712573</v>
      </c>
      <c r="F18" s="26">
        <v>4847.99</v>
      </c>
      <c r="G18" s="26">
        <v>1.41</v>
      </c>
      <c r="H18" s="27"/>
    </row>
    <row r="19" spans="2:8" x14ac:dyDescent="0.2">
      <c r="B19" s="28" t="s">
        <v>153</v>
      </c>
      <c r="C19" s="24" t="s">
        <v>154</v>
      </c>
      <c r="D19" s="24" t="s">
        <v>128</v>
      </c>
      <c r="E19" s="29">
        <v>125266</v>
      </c>
      <c r="F19" s="26">
        <v>4757.79</v>
      </c>
      <c r="G19" s="26">
        <v>1.38</v>
      </c>
      <c r="H19" s="27"/>
    </row>
    <row r="20" spans="2:8" x14ac:dyDescent="0.2">
      <c r="B20" s="28" t="s">
        <v>144</v>
      </c>
      <c r="C20" s="24" t="s">
        <v>145</v>
      </c>
      <c r="D20" s="24" t="s">
        <v>139</v>
      </c>
      <c r="E20" s="29">
        <v>775000</v>
      </c>
      <c r="F20" s="26">
        <v>4711.2299999999996</v>
      </c>
      <c r="G20" s="26">
        <v>1.37</v>
      </c>
      <c r="H20" s="27"/>
    </row>
    <row r="21" spans="2:8" x14ac:dyDescent="0.2">
      <c r="B21" s="28" t="s">
        <v>166</v>
      </c>
      <c r="C21" s="24" t="s">
        <v>167</v>
      </c>
      <c r="D21" s="24" t="s">
        <v>90</v>
      </c>
      <c r="E21" s="29">
        <v>1088100</v>
      </c>
      <c r="F21" s="26">
        <v>4620.62</v>
      </c>
      <c r="G21" s="26">
        <v>1.34</v>
      </c>
      <c r="H21" s="27"/>
    </row>
    <row r="22" spans="2:8" x14ac:dyDescent="0.2">
      <c r="B22" s="28" t="s">
        <v>137</v>
      </c>
      <c r="C22" s="24" t="s">
        <v>138</v>
      </c>
      <c r="D22" s="24" t="s">
        <v>139</v>
      </c>
      <c r="E22" s="29">
        <v>145500</v>
      </c>
      <c r="F22" s="26">
        <v>4579.32</v>
      </c>
      <c r="G22" s="26">
        <v>1.33</v>
      </c>
      <c r="H22" s="27"/>
    </row>
    <row r="23" spans="2:8" x14ac:dyDescent="0.2">
      <c r="B23" s="28" t="s">
        <v>99</v>
      </c>
      <c r="C23" s="24" t="s">
        <v>100</v>
      </c>
      <c r="D23" s="24" t="s">
        <v>101</v>
      </c>
      <c r="E23" s="29">
        <v>1064640</v>
      </c>
      <c r="F23" s="26">
        <v>4481.6000000000004</v>
      </c>
      <c r="G23" s="26">
        <v>1.3</v>
      </c>
      <c r="H23" s="27"/>
    </row>
    <row r="24" spans="2:8" x14ac:dyDescent="0.2">
      <c r="B24" s="28" t="s">
        <v>134</v>
      </c>
      <c r="C24" s="24" t="s">
        <v>135</v>
      </c>
      <c r="D24" s="24" t="s">
        <v>136</v>
      </c>
      <c r="E24" s="29">
        <v>144608</v>
      </c>
      <c r="F24" s="26">
        <v>4407.58</v>
      </c>
      <c r="G24" s="26">
        <v>1.28</v>
      </c>
      <c r="H24" s="27"/>
    </row>
    <row r="25" spans="2:8" x14ac:dyDescent="0.2">
      <c r="B25" s="28" t="s">
        <v>146</v>
      </c>
      <c r="C25" s="24" t="s">
        <v>147</v>
      </c>
      <c r="D25" s="24" t="s">
        <v>148</v>
      </c>
      <c r="E25" s="29">
        <v>285446</v>
      </c>
      <c r="F25" s="26">
        <v>4216.04</v>
      </c>
      <c r="G25" s="26">
        <v>1.23</v>
      </c>
      <c r="H25" s="27"/>
    </row>
    <row r="26" spans="2:8" x14ac:dyDescent="0.2">
      <c r="B26" s="28" t="s">
        <v>140</v>
      </c>
      <c r="C26" s="24" t="s">
        <v>141</v>
      </c>
      <c r="D26" s="24" t="s">
        <v>131</v>
      </c>
      <c r="E26" s="29">
        <v>233000</v>
      </c>
      <c r="F26" s="26">
        <v>4054.32</v>
      </c>
      <c r="G26" s="26">
        <v>1.18</v>
      </c>
      <c r="H26" s="27"/>
    </row>
    <row r="27" spans="2:8" x14ac:dyDescent="0.2">
      <c r="B27" s="28" t="s">
        <v>142</v>
      </c>
      <c r="C27" s="24" t="s">
        <v>143</v>
      </c>
      <c r="D27" s="24" t="s">
        <v>131</v>
      </c>
      <c r="E27" s="29">
        <v>231500</v>
      </c>
      <c r="F27" s="26">
        <v>3988.28</v>
      </c>
      <c r="G27" s="26">
        <v>1.1599999999999999</v>
      </c>
      <c r="H27" s="27"/>
    </row>
    <row r="28" spans="2:8" x14ac:dyDescent="0.2">
      <c r="B28" s="28" t="s">
        <v>158</v>
      </c>
      <c r="C28" s="24" t="s">
        <v>159</v>
      </c>
      <c r="D28" s="24" t="s">
        <v>121</v>
      </c>
      <c r="E28" s="29">
        <v>490000</v>
      </c>
      <c r="F28" s="26">
        <v>3976.84</v>
      </c>
      <c r="G28" s="26">
        <v>1.1599999999999999</v>
      </c>
      <c r="H28" s="27"/>
    </row>
    <row r="29" spans="2:8" x14ac:dyDescent="0.2">
      <c r="B29" s="28" t="s">
        <v>189</v>
      </c>
      <c r="C29" s="24" t="s">
        <v>190</v>
      </c>
      <c r="D29" s="24" t="s">
        <v>136</v>
      </c>
      <c r="E29" s="29">
        <v>790000</v>
      </c>
      <c r="F29" s="26">
        <v>3953.56</v>
      </c>
      <c r="G29" s="26">
        <v>1.1499999999999999</v>
      </c>
      <c r="H29" s="27"/>
    </row>
    <row r="30" spans="2:8" x14ac:dyDescent="0.2">
      <c r="B30" s="28" t="s">
        <v>170</v>
      </c>
      <c r="C30" s="24" t="s">
        <v>171</v>
      </c>
      <c r="D30" s="24" t="s">
        <v>172</v>
      </c>
      <c r="E30" s="29">
        <v>62109</v>
      </c>
      <c r="F30" s="26">
        <v>3796.29</v>
      </c>
      <c r="G30" s="26">
        <v>1.1000000000000001</v>
      </c>
      <c r="H30" s="27"/>
    </row>
    <row r="31" spans="2:8" x14ac:dyDescent="0.2">
      <c r="B31" s="28" t="s">
        <v>160</v>
      </c>
      <c r="C31" s="24" t="s">
        <v>161</v>
      </c>
      <c r="D31" s="24" t="s">
        <v>136</v>
      </c>
      <c r="E31" s="29">
        <v>22696</v>
      </c>
      <c r="F31" s="26">
        <v>3741.88</v>
      </c>
      <c r="G31" s="26">
        <v>1.0900000000000001</v>
      </c>
      <c r="H31" s="27"/>
    </row>
    <row r="32" spans="2:8" x14ac:dyDescent="0.2">
      <c r="B32" s="28" t="s">
        <v>162</v>
      </c>
      <c r="C32" s="24" t="s">
        <v>163</v>
      </c>
      <c r="D32" s="24" t="s">
        <v>136</v>
      </c>
      <c r="E32" s="29">
        <v>165637</v>
      </c>
      <c r="F32" s="26">
        <v>3588.44</v>
      </c>
      <c r="G32" s="26">
        <v>1.04</v>
      </c>
      <c r="H32" s="27"/>
    </row>
    <row r="33" spans="2:8" x14ac:dyDescent="0.2">
      <c r="B33" s="28" t="s">
        <v>41</v>
      </c>
      <c r="C33" s="24" t="s">
        <v>42</v>
      </c>
      <c r="D33" s="24" t="s">
        <v>43</v>
      </c>
      <c r="E33" s="29">
        <v>10146</v>
      </c>
      <c r="F33" s="26">
        <v>3306.67</v>
      </c>
      <c r="G33" s="26">
        <v>0.96</v>
      </c>
      <c r="H33" s="27"/>
    </row>
    <row r="34" spans="2:8" x14ac:dyDescent="0.2">
      <c r="B34" s="28" t="s">
        <v>68</v>
      </c>
      <c r="C34" s="24" t="s">
        <v>69</v>
      </c>
      <c r="D34" s="24" t="s">
        <v>62</v>
      </c>
      <c r="E34" s="29">
        <v>845000</v>
      </c>
      <c r="F34" s="26">
        <v>3268.46</v>
      </c>
      <c r="G34" s="26">
        <v>0.95</v>
      </c>
      <c r="H34" s="27"/>
    </row>
    <row r="35" spans="2:8" x14ac:dyDescent="0.2">
      <c r="B35" s="28" t="s">
        <v>164</v>
      </c>
      <c r="C35" s="24" t="s">
        <v>165</v>
      </c>
      <c r="D35" s="24" t="s">
        <v>65</v>
      </c>
      <c r="E35" s="29">
        <v>271700</v>
      </c>
      <c r="F35" s="26">
        <v>3264.07</v>
      </c>
      <c r="G35" s="26">
        <v>0.95</v>
      </c>
      <c r="H35" s="27"/>
    </row>
    <row r="36" spans="2:8" x14ac:dyDescent="0.2">
      <c r="B36" s="28" t="s">
        <v>155</v>
      </c>
      <c r="C36" s="24" t="s">
        <v>156</v>
      </c>
      <c r="D36" s="24" t="s">
        <v>157</v>
      </c>
      <c r="E36" s="29">
        <v>162248</v>
      </c>
      <c r="F36" s="26">
        <v>3198.72</v>
      </c>
      <c r="G36" s="26">
        <v>0.93</v>
      </c>
      <c r="H36" s="27"/>
    </row>
    <row r="37" spans="2:8" x14ac:dyDescent="0.2">
      <c r="B37" s="28" t="s">
        <v>32</v>
      </c>
      <c r="C37" s="24" t="s">
        <v>33</v>
      </c>
      <c r="D37" s="24" t="s">
        <v>34</v>
      </c>
      <c r="E37" s="29">
        <v>351418</v>
      </c>
      <c r="F37" s="26">
        <v>3168.38</v>
      </c>
      <c r="G37" s="26">
        <v>0.92</v>
      </c>
      <c r="H37" s="27"/>
    </row>
    <row r="38" spans="2:8" x14ac:dyDescent="0.2">
      <c r="B38" s="28" t="s">
        <v>177</v>
      </c>
      <c r="C38" s="24" t="s">
        <v>178</v>
      </c>
      <c r="D38" s="24" t="s">
        <v>136</v>
      </c>
      <c r="E38" s="29">
        <v>113290</v>
      </c>
      <c r="F38" s="26">
        <v>3147.14</v>
      </c>
      <c r="G38" s="26">
        <v>0.92</v>
      </c>
      <c r="H38" s="27"/>
    </row>
    <row r="39" spans="2:8" x14ac:dyDescent="0.2">
      <c r="B39" s="28" t="s">
        <v>175</v>
      </c>
      <c r="C39" s="24" t="s">
        <v>176</v>
      </c>
      <c r="D39" s="24" t="s">
        <v>121</v>
      </c>
      <c r="E39" s="29">
        <v>205000</v>
      </c>
      <c r="F39" s="26">
        <v>2743.93</v>
      </c>
      <c r="G39" s="26">
        <v>0.8</v>
      </c>
      <c r="H39" s="27"/>
    </row>
    <row r="40" spans="2:8" x14ac:dyDescent="0.2">
      <c r="B40" s="28" t="s">
        <v>60</v>
      </c>
      <c r="C40" s="24" t="s">
        <v>61</v>
      </c>
      <c r="D40" s="24" t="s">
        <v>62</v>
      </c>
      <c r="E40" s="29">
        <v>867498</v>
      </c>
      <c r="F40" s="26">
        <v>2675.36</v>
      </c>
      <c r="G40" s="26">
        <v>0.78</v>
      </c>
      <c r="H40" s="27"/>
    </row>
    <row r="41" spans="2:8" x14ac:dyDescent="0.2">
      <c r="B41" s="28" t="s">
        <v>200</v>
      </c>
      <c r="C41" s="24" t="s">
        <v>201</v>
      </c>
      <c r="D41" s="24" t="s">
        <v>128</v>
      </c>
      <c r="E41" s="29">
        <v>130100</v>
      </c>
      <c r="F41" s="26">
        <v>2584.31</v>
      </c>
      <c r="G41" s="26">
        <v>0.75</v>
      </c>
      <c r="H41" s="27"/>
    </row>
    <row r="42" spans="2:8" x14ac:dyDescent="0.2">
      <c r="B42" s="28" t="s">
        <v>187</v>
      </c>
      <c r="C42" s="24" t="s">
        <v>188</v>
      </c>
      <c r="D42" s="24" t="s">
        <v>65</v>
      </c>
      <c r="E42" s="29">
        <v>114954</v>
      </c>
      <c r="F42" s="26">
        <v>2525.25</v>
      </c>
      <c r="G42" s="26">
        <v>0.73</v>
      </c>
      <c r="H42" s="27"/>
    </row>
    <row r="43" spans="2:8" x14ac:dyDescent="0.2">
      <c r="B43" s="28" t="s">
        <v>185</v>
      </c>
      <c r="C43" s="24" t="s">
        <v>186</v>
      </c>
      <c r="D43" s="24" t="s">
        <v>131</v>
      </c>
      <c r="E43" s="29">
        <v>194000</v>
      </c>
      <c r="F43" s="26">
        <v>2521.0300000000002</v>
      </c>
      <c r="G43" s="26">
        <v>0.73</v>
      </c>
      <c r="H43" s="27"/>
    </row>
    <row r="44" spans="2:8" x14ac:dyDescent="0.2">
      <c r="B44" s="28" t="s">
        <v>78</v>
      </c>
      <c r="C44" s="24" t="s">
        <v>79</v>
      </c>
      <c r="D44" s="24" t="s">
        <v>46</v>
      </c>
      <c r="E44" s="29">
        <v>11920</v>
      </c>
      <c r="F44" s="26">
        <v>2414.63</v>
      </c>
      <c r="G44" s="26">
        <v>0.7</v>
      </c>
      <c r="H44" s="27"/>
    </row>
    <row r="45" spans="2:8" x14ac:dyDescent="0.2">
      <c r="B45" s="28" t="s">
        <v>168</v>
      </c>
      <c r="C45" s="24" t="s">
        <v>169</v>
      </c>
      <c r="D45" s="24" t="s">
        <v>128</v>
      </c>
      <c r="E45" s="29">
        <v>15000</v>
      </c>
      <c r="F45" s="26">
        <v>2387.8000000000002</v>
      </c>
      <c r="G45" s="26">
        <v>0.69</v>
      </c>
      <c r="H45" s="27"/>
    </row>
    <row r="46" spans="2:8" x14ac:dyDescent="0.2">
      <c r="B46" s="28" t="s">
        <v>274</v>
      </c>
      <c r="C46" s="24" t="s">
        <v>275</v>
      </c>
      <c r="D46" s="24" t="s">
        <v>128</v>
      </c>
      <c r="E46" s="29">
        <v>1389500</v>
      </c>
      <c r="F46" s="26">
        <v>2385.77</v>
      </c>
      <c r="G46" s="26">
        <v>0.69</v>
      </c>
      <c r="H46" s="27"/>
    </row>
    <row r="47" spans="2:8" x14ac:dyDescent="0.2">
      <c r="B47" s="28" t="s">
        <v>239</v>
      </c>
      <c r="C47" s="24" t="s">
        <v>240</v>
      </c>
      <c r="D47" s="24" t="s">
        <v>131</v>
      </c>
      <c r="E47" s="29">
        <v>285000</v>
      </c>
      <c r="F47" s="26">
        <v>2312.63</v>
      </c>
      <c r="G47" s="26">
        <v>0.67</v>
      </c>
      <c r="H47" s="27"/>
    </row>
    <row r="48" spans="2:8" x14ac:dyDescent="0.2">
      <c r="B48" s="28" t="s">
        <v>193</v>
      </c>
      <c r="C48" s="24" t="s">
        <v>194</v>
      </c>
      <c r="D48" s="24" t="s">
        <v>195</v>
      </c>
      <c r="E48" s="29">
        <v>115721</v>
      </c>
      <c r="F48" s="26">
        <v>2175.27</v>
      </c>
      <c r="G48" s="26">
        <v>0.63</v>
      </c>
      <c r="H48" s="27"/>
    </row>
    <row r="49" spans="2:10" x14ac:dyDescent="0.2">
      <c r="B49" s="28" t="s">
        <v>196</v>
      </c>
      <c r="C49" s="24" t="s">
        <v>197</v>
      </c>
      <c r="D49" s="24" t="s">
        <v>148</v>
      </c>
      <c r="E49" s="29">
        <v>650000</v>
      </c>
      <c r="F49" s="26">
        <v>2150.1999999999998</v>
      </c>
      <c r="G49" s="26">
        <v>0.63</v>
      </c>
      <c r="H49" s="27"/>
    </row>
    <row r="50" spans="2:10" x14ac:dyDescent="0.2">
      <c r="B50" s="28" t="s">
        <v>55</v>
      </c>
      <c r="C50" s="24" t="s">
        <v>56</v>
      </c>
      <c r="D50" s="24" t="s">
        <v>57</v>
      </c>
      <c r="E50" s="29">
        <v>114535</v>
      </c>
      <c r="F50" s="26">
        <v>2117.2399999999998</v>
      </c>
      <c r="G50" s="26">
        <v>0.62</v>
      </c>
      <c r="H50" s="27"/>
    </row>
    <row r="51" spans="2:10" x14ac:dyDescent="0.2">
      <c r="B51" s="28" t="s">
        <v>151</v>
      </c>
      <c r="C51" s="24" t="s">
        <v>152</v>
      </c>
      <c r="D51" s="24" t="s">
        <v>136</v>
      </c>
      <c r="E51" s="29">
        <v>245000</v>
      </c>
      <c r="F51" s="26">
        <v>1898.02</v>
      </c>
      <c r="G51" s="26">
        <v>0.55000000000000004</v>
      </c>
      <c r="H51" s="27"/>
    </row>
    <row r="52" spans="2:10" x14ac:dyDescent="0.2">
      <c r="B52" s="28" t="s">
        <v>338</v>
      </c>
      <c r="C52" s="24" t="s">
        <v>339</v>
      </c>
      <c r="D52" s="24" t="s">
        <v>57</v>
      </c>
      <c r="E52" s="29">
        <v>202306</v>
      </c>
      <c r="F52" s="26">
        <v>1658.71</v>
      </c>
      <c r="G52" s="26">
        <v>0.48</v>
      </c>
      <c r="H52" s="27"/>
    </row>
    <row r="53" spans="2:10" x14ac:dyDescent="0.2">
      <c r="B53" s="28" t="s">
        <v>70</v>
      </c>
      <c r="C53" s="24" t="s">
        <v>71</v>
      </c>
      <c r="D53" s="24" t="s">
        <v>49</v>
      </c>
      <c r="E53" s="29">
        <v>630321</v>
      </c>
      <c r="F53" s="26">
        <v>1456.36</v>
      </c>
      <c r="G53" s="26">
        <v>0.42</v>
      </c>
      <c r="H53" s="27"/>
    </row>
    <row r="54" spans="2:10" x14ac:dyDescent="0.2">
      <c r="B54" s="28" t="s">
        <v>214</v>
      </c>
      <c r="C54" s="24" t="s">
        <v>215</v>
      </c>
      <c r="D54" s="24" t="s">
        <v>128</v>
      </c>
      <c r="E54" s="29">
        <v>51117</v>
      </c>
      <c r="F54" s="26">
        <v>1198.3599999999999</v>
      </c>
      <c r="G54" s="26">
        <v>0.35</v>
      </c>
      <c r="H54" s="27"/>
    </row>
    <row r="55" spans="2:10" x14ac:dyDescent="0.2">
      <c r="B55" s="28" t="s">
        <v>216</v>
      </c>
      <c r="C55" s="24" t="s">
        <v>217</v>
      </c>
      <c r="D55" s="24" t="s">
        <v>218</v>
      </c>
      <c r="E55" s="29">
        <v>50840</v>
      </c>
      <c r="F55" s="26">
        <v>1120.08</v>
      </c>
      <c r="G55" s="26">
        <v>0.33</v>
      </c>
      <c r="H55" s="27"/>
    </row>
    <row r="56" spans="2:10" x14ac:dyDescent="0.2">
      <c r="B56" s="28" t="s">
        <v>249</v>
      </c>
      <c r="C56" s="24" t="s">
        <v>250</v>
      </c>
      <c r="D56" s="24" t="s">
        <v>218</v>
      </c>
      <c r="E56" s="29">
        <v>535948</v>
      </c>
      <c r="F56" s="26">
        <v>716.03</v>
      </c>
      <c r="G56" s="26">
        <v>0.21</v>
      </c>
      <c r="H56" s="27"/>
    </row>
    <row r="57" spans="2:10" x14ac:dyDescent="0.2">
      <c r="B57" s="28" t="s">
        <v>80</v>
      </c>
      <c r="C57" s="24" t="s">
        <v>81</v>
      </c>
      <c r="D57" s="24" t="s">
        <v>62</v>
      </c>
      <c r="E57" s="29">
        <v>258000</v>
      </c>
      <c r="F57" s="26">
        <v>569.28</v>
      </c>
      <c r="G57" s="26">
        <v>0.17</v>
      </c>
      <c r="H57" s="27"/>
    </row>
    <row r="58" spans="2:10" x14ac:dyDescent="0.2">
      <c r="B58" s="30" t="s">
        <v>110</v>
      </c>
      <c r="C58" s="31"/>
      <c r="D58" s="31"/>
      <c r="E58" s="32"/>
      <c r="F58" s="33">
        <f>SUM(F7:F57)</f>
        <v>245098.00999999998</v>
      </c>
      <c r="G58" s="33">
        <f>SUM(G7:G57)</f>
        <v>71.279999999999987</v>
      </c>
      <c r="H58" s="34"/>
      <c r="I58" s="14"/>
      <c r="J58" s="14"/>
    </row>
    <row r="59" spans="2:10" x14ac:dyDescent="0.2">
      <c r="B59" s="38" t="s">
        <v>111</v>
      </c>
      <c r="C59" s="38"/>
      <c r="D59" s="38"/>
      <c r="E59" s="39"/>
      <c r="F59" s="40">
        <f>F58</f>
        <v>245098.00999999998</v>
      </c>
      <c r="G59" s="40">
        <f>G58</f>
        <v>71.279999999999987</v>
      </c>
      <c r="H59" s="16"/>
      <c r="I59" s="14"/>
      <c r="J59" s="14"/>
    </row>
    <row r="60" spans="2:10" x14ac:dyDescent="0.2">
      <c r="B60" s="47" t="s">
        <v>340</v>
      </c>
      <c r="C60" s="42"/>
      <c r="D60" s="42"/>
      <c r="E60" s="43"/>
      <c r="F60" s="44"/>
      <c r="G60" s="44"/>
      <c r="H60" s="44"/>
    </row>
    <row r="61" spans="2:10" x14ac:dyDescent="0.2">
      <c r="B61" s="48" t="s">
        <v>31</v>
      </c>
      <c r="C61" s="24"/>
      <c r="D61" s="24"/>
      <c r="E61" s="25"/>
      <c r="F61" s="26"/>
      <c r="G61" s="26"/>
      <c r="H61" s="26"/>
    </row>
    <row r="62" spans="2:10" x14ac:dyDescent="0.2">
      <c r="B62" s="24" t="s">
        <v>341</v>
      </c>
      <c r="C62" s="24" t="s">
        <v>342</v>
      </c>
      <c r="D62" s="24" t="s">
        <v>343</v>
      </c>
      <c r="E62" s="29">
        <v>450</v>
      </c>
      <c r="F62" s="26">
        <v>4713.17</v>
      </c>
      <c r="G62" s="26">
        <v>1.37</v>
      </c>
      <c r="H62" s="26">
        <v>5.03</v>
      </c>
    </row>
    <row r="63" spans="2:10" x14ac:dyDescent="0.2">
      <c r="B63" s="24" t="s">
        <v>344</v>
      </c>
      <c r="C63" s="24" t="s">
        <v>345</v>
      </c>
      <c r="D63" s="24" t="s">
        <v>343</v>
      </c>
      <c r="E63" s="29">
        <v>450</v>
      </c>
      <c r="F63" s="26">
        <v>4534.5200000000004</v>
      </c>
      <c r="G63" s="26">
        <v>1.32</v>
      </c>
      <c r="H63" s="26">
        <v>3.56</v>
      </c>
    </row>
    <row r="64" spans="2:10" x14ac:dyDescent="0.2">
      <c r="B64" s="24" t="s">
        <v>346</v>
      </c>
      <c r="C64" s="24" t="s">
        <v>347</v>
      </c>
      <c r="D64" s="24" t="s">
        <v>343</v>
      </c>
      <c r="E64" s="29">
        <v>350</v>
      </c>
      <c r="F64" s="26">
        <v>3605.11</v>
      </c>
      <c r="G64" s="26">
        <v>1.05</v>
      </c>
      <c r="H64" s="26">
        <v>4.2699999999999996</v>
      </c>
    </row>
    <row r="65" spans="2:8" x14ac:dyDescent="0.2">
      <c r="B65" s="24" t="s">
        <v>348</v>
      </c>
      <c r="C65" s="24" t="s">
        <v>349</v>
      </c>
      <c r="D65" s="24" t="s">
        <v>343</v>
      </c>
      <c r="E65" s="29">
        <v>300</v>
      </c>
      <c r="F65" s="26">
        <v>3340.74</v>
      </c>
      <c r="G65" s="26">
        <v>0.97</v>
      </c>
      <c r="H65" s="26">
        <v>6.79</v>
      </c>
    </row>
    <row r="66" spans="2:8" x14ac:dyDescent="0.2">
      <c r="B66" s="24" t="s">
        <v>350</v>
      </c>
      <c r="C66" s="24" t="s">
        <v>351</v>
      </c>
      <c r="D66" s="24" t="s">
        <v>343</v>
      </c>
      <c r="E66" s="29">
        <v>300</v>
      </c>
      <c r="F66" s="26">
        <v>3024.49</v>
      </c>
      <c r="G66" s="26">
        <v>0.88</v>
      </c>
      <c r="H66" s="26">
        <v>3.54</v>
      </c>
    </row>
    <row r="67" spans="2:8" x14ac:dyDescent="0.2">
      <c r="B67" s="24" t="s">
        <v>352</v>
      </c>
      <c r="C67" s="24" t="s">
        <v>353</v>
      </c>
      <c r="D67" s="24" t="s">
        <v>343</v>
      </c>
      <c r="E67" s="29">
        <v>250</v>
      </c>
      <c r="F67" s="26">
        <v>2611.5</v>
      </c>
      <c r="G67" s="26">
        <v>0.76</v>
      </c>
      <c r="H67" s="26">
        <v>4.88</v>
      </c>
    </row>
    <row r="68" spans="2:8" x14ac:dyDescent="0.2">
      <c r="B68" s="24" t="s">
        <v>354</v>
      </c>
      <c r="C68" s="24" t="s">
        <v>355</v>
      </c>
      <c r="D68" s="24" t="s">
        <v>356</v>
      </c>
      <c r="E68" s="29">
        <v>250</v>
      </c>
      <c r="F68" s="26">
        <v>2572.36</v>
      </c>
      <c r="G68" s="26">
        <v>0.75</v>
      </c>
      <c r="H68" s="26">
        <v>4.53</v>
      </c>
    </row>
    <row r="69" spans="2:8" x14ac:dyDescent="0.2">
      <c r="B69" s="24" t="s">
        <v>357</v>
      </c>
      <c r="C69" s="24" t="s">
        <v>358</v>
      </c>
      <c r="D69" s="24" t="s">
        <v>343</v>
      </c>
      <c r="E69" s="29">
        <v>250</v>
      </c>
      <c r="F69" s="26">
        <v>2563.4299999999998</v>
      </c>
      <c r="G69" s="26">
        <v>0.75</v>
      </c>
      <c r="H69" s="26">
        <v>4.3899999999999997</v>
      </c>
    </row>
    <row r="70" spans="2:8" x14ac:dyDescent="0.2">
      <c r="B70" s="24" t="s">
        <v>359</v>
      </c>
      <c r="C70" s="24" t="s">
        <v>360</v>
      </c>
      <c r="D70" s="24" t="s">
        <v>343</v>
      </c>
      <c r="E70" s="29">
        <v>250</v>
      </c>
      <c r="F70" s="26">
        <v>2520.38</v>
      </c>
      <c r="G70" s="26">
        <v>0.73</v>
      </c>
      <c r="H70" s="26">
        <v>3.55</v>
      </c>
    </row>
    <row r="71" spans="2:8" x14ac:dyDescent="0.2">
      <c r="B71" s="24" t="s">
        <v>361</v>
      </c>
      <c r="C71" s="24" t="s">
        <v>362</v>
      </c>
      <c r="D71" s="24" t="s">
        <v>343</v>
      </c>
      <c r="E71" s="29">
        <v>200</v>
      </c>
      <c r="F71" s="26">
        <v>2129.19</v>
      </c>
      <c r="G71" s="26">
        <v>0.62</v>
      </c>
      <c r="H71" s="26">
        <v>6.01</v>
      </c>
    </row>
    <row r="72" spans="2:8" x14ac:dyDescent="0.2">
      <c r="B72" s="24" t="s">
        <v>363</v>
      </c>
      <c r="C72" s="24" t="s">
        <v>364</v>
      </c>
      <c r="D72" s="24" t="s">
        <v>343</v>
      </c>
      <c r="E72" s="29">
        <v>150</v>
      </c>
      <c r="F72" s="26">
        <v>1650.36</v>
      </c>
      <c r="G72" s="26">
        <v>0.48</v>
      </c>
      <c r="H72" s="26">
        <v>6.78</v>
      </c>
    </row>
    <row r="73" spans="2:8" x14ac:dyDescent="0.2">
      <c r="B73" s="24" t="s">
        <v>365</v>
      </c>
      <c r="C73" s="24" t="s">
        <v>366</v>
      </c>
      <c r="D73" s="24" t="s">
        <v>343</v>
      </c>
      <c r="E73" s="29">
        <v>150</v>
      </c>
      <c r="F73" s="26">
        <v>1615.24</v>
      </c>
      <c r="G73" s="26">
        <v>0.47</v>
      </c>
      <c r="H73" s="26">
        <v>5.31</v>
      </c>
    </row>
    <row r="74" spans="2:8" x14ac:dyDescent="0.2">
      <c r="B74" s="24" t="s">
        <v>367</v>
      </c>
      <c r="C74" s="24" t="s">
        <v>368</v>
      </c>
      <c r="D74" s="24" t="s">
        <v>343</v>
      </c>
      <c r="E74" s="29">
        <v>150</v>
      </c>
      <c r="F74" s="26">
        <v>1570.15</v>
      </c>
      <c r="G74" s="26">
        <v>0.46</v>
      </c>
      <c r="H74" s="26">
        <v>5.0999999999999996</v>
      </c>
    </row>
    <row r="75" spans="2:8" x14ac:dyDescent="0.2">
      <c r="B75" s="24" t="s">
        <v>369</v>
      </c>
      <c r="C75" s="24" t="s">
        <v>370</v>
      </c>
      <c r="D75" s="24" t="s">
        <v>343</v>
      </c>
      <c r="E75" s="29">
        <v>150</v>
      </c>
      <c r="F75" s="26">
        <v>1569.08</v>
      </c>
      <c r="G75" s="26">
        <v>0.46</v>
      </c>
      <c r="H75" s="26">
        <v>6.34</v>
      </c>
    </row>
    <row r="76" spans="2:8" x14ac:dyDescent="0.2">
      <c r="B76" s="24" t="s">
        <v>371</v>
      </c>
      <c r="C76" s="24" t="s">
        <v>372</v>
      </c>
      <c r="D76" s="24" t="s">
        <v>343</v>
      </c>
      <c r="E76" s="29">
        <v>150</v>
      </c>
      <c r="F76" s="26">
        <v>1540.58</v>
      </c>
      <c r="G76" s="26">
        <v>0.45</v>
      </c>
      <c r="H76" s="26">
        <v>4.26</v>
      </c>
    </row>
    <row r="77" spans="2:8" x14ac:dyDescent="0.2">
      <c r="B77" s="24" t="s">
        <v>373</v>
      </c>
      <c r="C77" s="24" t="s">
        <v>374</v>
      </c>
      <c r="D77" s="24" t="s">
        <v>356</v>
      </c>
      <c r="E77" s="29">
        <v>150</v>
      </c>
      <c r="F77" s="26">
        <v>1528.01</v>
      </c>
      <c r="G77" s="26">
        <v>0.44</v>
      </c>
      <c r="H77" s="26">
        <v>3.98</v>
      </c>
    </row>
    <row r="78" spans="2:8" x14ac:dyDescent="0.2">
      <c r="B78" s="24" t="s">
        <v>375</v>
      </c>
      <c r="C78" s="24" t="s">
        <v>376</v>
      </c>
      <c r="D78" s="24" t="s">
        <v>377</v>
      </c>
      <c r="E78" s="29">
        <v>152</v>
      </c>
      <c r="F78" s="26">
        <v>1475.08</v>
      </c>
      <c r="G78" s="26">
        <v>0.43</v>
      </c>
      <c r="H78" s="26">
        <v>4.3099999999999996</v>
      </c>
    </row>
    <row r="79" spans="2:8" x14ac:dyDescent="0.2">
      <c r="B79" s="24" t="s">
        <v>378</v>
      </c>
      <c r="C79" s="24" t="s">
        <v>379</v>
      </c>
      <c r="D79" s="24" t="s">
        <v>343</v>
      </c>
      <c r="E79" s="29">
        <v>112</v>
      </c>
      <c r="F79" s="26">
        <v>1232.1500000000001</v>
      </c>
      <c r="G79" s="26">
        <v>0.36</v>
      </c>
      <c r="H79" s="26">
        <v>6.73</v>
      </c>
    </row>
    <row r="80" spans="2:8" x14ac:dyDescent="0.2">
      <c r="B80" s="24" t="s">
        <v>380</v>
      </c>
      <c r="C80" s="24" t="s">
        <v>381</v>
      </c>
      <c r="D80" s="24" t="s">
        <v>343</v>
      </c>
      <c r="E80" s="29">
        <v>100</v>
      </c>
      <c r="F80" s="26">
        <v>1098.79</v>
      </c>
      <c r="G80" s="26">
        <v>0.32</v>
      </c>
      <c r="H80" s="26">
        <v>6.78</v>
      </c>
    </row>
    <row r="81" spans="2:10" x14ac:dyDescent="0.2">
      <c r="B81" s="24" t="s">
        <v>382</v>
      </c>
      <c r="C81" s="24" t="s">
        <v>383</v>
      </c>
      <c r="D81" s="24" t="s">
        <v>343</v>
      </c>
      <c r="E81" s="29">
        <v>100</v>
      </c>
      <c r="F81" s="26">
        <v>1094.98</v>
      </c>
      <c r="G81" s="26">
        <v>0.32</v>
      </c>
      <c r="H81" s="26">
        <v>7.23</v>
      </c>
    </row>
    <row r="82" spans="2:10" x14ac:dyDescent="0.2">
      <c r="B82" s="24" t="s">
        <v>384</v>
      </c>
      <c r="C82" s="24" t="s">
        <v>385</v>
      </c>
      <c r="D82" s="24" t="s">
        <v>343</v>
      </c>
      <c r="E82" s="29">
        <v>100</v>
      </c>
      <c r="F82" s="26">
        <v>1062.3800000000001</v>
      </c>
      <c r="G82" s="26">
        <v>0.31</v>
      </c>
      <c r="H82" s="26">
        <v>6.35</v>
      </c>
    </row>
    <row r="83" spans="2:10" x14ac:dyDescent="0.2">
      <c r="B83" s="24" t="s">
        <v>386</v>
      </c>
      <c r="C83" s="24" t="s">
        <v>387</v>
      </c>
      <c r="D83" s="24" t="s">
        <v>343</v>
      </c>
      <c r="E83" s="29">
        <v>100</v>
      </c>
      <c r="F83" s="26">
        <v>1049.54</v>
      </c>
      <c r="G83" s="26">
        <v>0.31</v>
      </c>
      <c r="H83" s="26">
        <v>6.36</v>
      </c>
    </row>
    <row r="84" spans="2:10" x14ac:dyDescent="0.2">
      <c r="B84" s="24" t="s">
        <v>388</v>
      </c>
      <c r="C84" s="24" t="s">
        <v>389</v>
      </c>
      <c r="D84" s="24" t="s">
        <v>343</v>
      </c>
      <c r="E84" s="29">
        <v>100</v>
      </c>
      <c r="F84" s="26">
        <v>1040.1500000000001</v>
      </c>
      <c r="G84" s="26">
        <v>0.3</v>
      </c>
      <c r="H84" s="26">
        <v>5.0999999999999996</v>
      </c>
    </row>
    <row r="85" spans="2:10" x14ac:dyDescent="0.2">
      <c r="B85" s="24" t="s">
        <v>390</v>
      </c>
      <c r="C85" s="24" t="s">
        <v>391</v>
      </c>
      <c r="D85" s="24" t="s">
        <v>343</v>
      </c>
      <c r="E85" s="29">
        <v>100</v>
      </c>
      <c r="F85" s="26">
        <v>1030.51</v>
      </c>
      <c r="G85" s="26">
        <v>0.3</v>
      </c>
      <c r="H85" s="26">
        <v>4.1500000000000004</v>
      </c>
    </row>
    <row r="86" spans="2:10" x14ac:dyDescent="0.2">
      <c r="B86" s="24" t="s">
        <v>392</v>
      </c>
      <c r="C86" s="24" t="s">
        <v>393</v>
      </c>
      <c r="D86" s="24" t="s">
        <v>377</v>
      </c>
      <c r="E86" s="29">
        <v>100</v>
      </c>
      <c r="F86" s="26">
        <v>1030.05</v>
      </c>
      <c r="G86" s="26">
        <v>0.3</v>
      </c>
      <c r="H86" s="26">
        <v>4.9000000000000004</v>
      </c>
    </row>
    <row r="87" spans="2:10" x14ac:dyDescent="0.2">
      <c r="B87" s="24" t="s">
        <v>394</v>
      </c>
      <c r="C87" s="24" t="s">
        <v>395</v>
      </c>
      <c r="D87" s="24" t="s">
        <v>343</v>
      </c>
      <c r="E87" s="29">
        <v>70</v>
      </c>
      <c r="F87" s="26">
        <v>711.52</v>
      </c>
      <c r="G87" s="26">
        <v>0.21</v>
      </c>
      <c r="H87" s="26">
        <v>3.86</v>
      </c>
    </row>
    <row r="88" spans="2:10" x14ac:dyDescent="0.2">
      <c r="B88" s="24" t="s">
        <v>396</v>
      </c>
      <c r="C88" s="24" t="s">
        <v>397</v>
      </c>
      <c r="D88" s="24" t="s">
        <v>343</v>
      </c>
      <c r="E88" s="29">
        <v>69</v>
      </c>
      <c r="F88" s="26">
        <v>710.32</v>
      </c>
      <c r="G88" s="26">
        <v>0.21</v>
      </c>
      <c r="H88" s="26">
        <v>4.2699999999999996</v>
      </c>
    </row>
    <row r="89" spans="2:10" x14ac:dyDescent="0.2">
      <c r="B89" s="24" t="s">
        <v>398</v>
      </c>
      <c r="C89" s="24" t="s">
        <v>399</v>
      </c>
      <c r="D89" s="24" t="s">
        <v>343</v>
      </c>
      <c r="E89" s="29">
        <v>60</v>
      </c>
      <c r="F89" s="26">
        <v>630.44000000000005</v>
      </c>
      <c r="G89" s="26">
        <v>0.18</v>
      </c>
      <c r="H89" s="26">
        <v>4.53</v>
      </c>
    </row>
    <row r="90" spans="2:10" x14ac:dyDescent="0.2">
      <c r="B90" s="24" t="s">
        <v>400</v>
      </c>
      <c r="C90" s="24" t="s">
        <v>401</v>
      </c>
      <c r="D90" s="24" t="s">
        <v>343</v>
      </c>
      <c r="E90" s="29">
        <v>50</v>
      </c>
      <c r="F90" s="26">
        <v>550.04</v>
      </c>
      <c r="G90" s="26">
        <v>0.16</v>
      </c>
      <c r="H90" s="26">
        <v>6.68</v>
      </c>
    </row>
    <row r="91" spans="2:10" x14ac:dyDescent="0.2">
      <c r="B91" s="24" t="s">
        <v>402</v>
      </c>
      <c r="C91" s="24" t="s">
        <v>403</v>
      </c>
      <c r="D91" s="24" t="s">
        <v>343</v>
      </c>
      <c r="E91" s="29">
        <v>50</v>
      </c>
      <c r="F91" s="26">
        <v>544.22</v>
      </c>
      <c r="G91" s="26">
        <v>0.16</v>
      </c>
      <c r="H91" s="26">
        <v>5.32</v>
      </c>
    </row>
    <row r="92" spans="2:10" x14ac:dyDescent="0.2">
      <c r="B92" s="24" t="s">
        <v>404</v>
      </c>
      <c r="C92" s="24" t="s">
        <v>405</v>
      </c>
      <c r="D92" s="24" t="s">
        <v>343</v>
      </c>
      <c r="E92" s="29">
        <v>50</v>
      </c>
      <c r="F92" s="26">
        <v>523.52</v>
      </c>
      <c r="G92" s="26">
        <v>0.15</v>
      </c>
      <c r="H92" s="26">
        <v>7.16</v>
      </c>
    </row>
    <row r="93" spans="2:10" x14ac:dyDescent="0.2">
      <c r="B93" s="24" t="s">
        <v>406</v>
      </c>
      <c r="C93" s="24" t="s">
        <v>407</v>
      </c>
      <c r="D93" s="24" t="s">
        <v>343</v>
      </c>
      <c r="E93" s="29">
        <v>50</v>
      </c>
      <c r="F93" s="26">
        <v>520.58000000000004</v>
      </c>
      <c r="G93" s="26">
        <v>0.15</v>
      </c>
      <c r="H93" s="26">
        <v>6.68</v>
      </c>
    </row>
    <row r="94" spans="2:10" x14ac:dyDescent="0.2">
      <c r="B94" s="24" t="s">
        <v>408</v>
      </c>
      <c r="C94" s="24" t="s">
        <v>409</v>
      </c>
      <c r="D94" s="24" t="s">
        <v>343</v>
      </c>
      <c r="E94" s="29">
        <v>50</v>
      </c>
      <c r="F94" s="26">
        <v>517.73</v>
      </c>
      <c r="G94" s="26">
        <v>0.15</v>
      </c>
      <c r="H94" s="26">
        <v>4.82</v>
      </c>
    </row>
    <row r="95" spans="2:10" x14ac:dyDescent="0.2">
      <c r="B95" s="24" t="s">
        <v>410</v>
      </c>
      <c r="C95" s="24" t="s">
        <v>411</v>
      </c>
      <c r="D95" s="24" t="s">
        <v>343</v>
      </c>
      <c r="E95" s="29">
        <v>10</v>
      </c>
      <c r="F95" s="26">
        <v>105.23</v>
      </c>
      <c r="G95" s="26">
        <v>0.03</v>
      </c>
      <c r="H95" s="26">
        <v>4.4400000000000004</v>
      </c>
    </row>
    <row r="96" spans="2:10" x14ac:dyDescent="0.2">
      <c r="B96" s="31" t="s">
        <v>110</v>
      </c>
      <c r="C96" s="31"/>
      <c r="D96" s="31"/>
      <c r="E96" s="32"/>
      <c r="F96" s="33">
        <f>SUM(F61:F95)</f>
        <v>56015.540000000023</v>
      </c>
      <c r="G96" s="33">
        <f>SUM(G61:G95)</f>
        <v>16.310000000000006</v>
      </c>
      <c r="H96" s="49"/>
      <c r="I96" s="14"/>
      <c r="J96" s="14"/>
    </row>
    <row r="97" spans="2:10" x14ac:dyDescent="0.2">
      <c r="B97" s="50" t="s">
        <v>111</v>
      </c>
      <c r="C97" s="50"/>
      <c r="D97" s="50"/>
      <c r="E97" s="51"/>
      <c r="F97" s="52">
        <f>F96</f>
        <v>56015.540000000023</v>
      </c>
      <c r="G97" s="52">
        <f>G96</f>
        <v>16.310000000000006</v>
      </c>
      <c r="H97" s="52"/>
      <c r="I97" s="14"/>
      <c r="J97" s="14"/>
    </row>
    <row r="98" spans="2:10" x14ac:dyDescent="0.2">
      <c r="B98" s="48" t="s">
        <v>412</v>
      </c>
      <c r="C98" s="24"/>
      <c r="D98" s="24"/>
      <c r="E98" s="25"/>
      <c r="F98" s="26"/>
      <c r="G98" s="26"/>
      <c r="H98" s="26"/>
    </row>
    <row r="99" spans="2:10" x14ac:dyDescent="0.2">
      <c r="B99" s="24" t="s">
        <v>413</v>
      </c>
      <c r="C99" s="24" t="s">
        <v>414</v>
      </c>
      <c r="D99" s="24" t="s">
        <v>415</v>
      </c>
      <c r="E99" s="29">
        <v>3500000</v>
      </c>
      <c r="F99" s="26">
        <v>3781.63</v>
      </c>
      <c r="G99" s="26">
        <v>1.1000000000000001</v>
      </c>
      <c r="H99" s="26">
        <v>4.93</v>
      </c>
    </row>
    <row r="100" spans="2:10" x14ac:dyDescent="0.2">
      <c r="B100" s="24" t="s">
        <v>416</v>
      </c>
      <c r="C100" s="24" t="s">
        <v>417</v>
      </c>
      <c r="D100" s="24" t="s">
        <v>415</v>
      </c>
      <c r="E100" s="29">
        <v>2500000</v>
      </c>
      <c r="F100" s="26">
        <v>2582.44</v>
      </c>
      <c r="G100" s="26">
        <v>0.75</v>
      </c>
      <c r="H100" s="26">
        <v>5.27</v>
      </c>
    </row>
    <row r="101" spans="2:10" x14ac:dyDescent="0.2">
      <c r="B101" s="24" t="s">
        <v>418</v>
      </c>
      <c r="C101" s="24" t="s">
        <v>419</v>
      </c>
      <c r="D101" s="24" t="s">
        <v>415</v>
      </c>
      <c r="E101" s="29">
        <v>2600000</v>
      </c>
      <c r="F101" s="26">
        <v>2553.27</v>
      </c>
      <c r="G101" s="26">
        <v>0.74</v>
      </c>
      <c r="H101" s="26">
        <v>6.01</v>
      </c>
    </row>
    <row r="102" spans="2:10" x14ac:dyDescent="0.2">
      <c r="B102" s="24" t="s">
        <v>420</v>
      </c>
      <c r="C102" s="24" t="s">
        <v>421</v>
      </c>
      <c r="D102" s="24" t="s">
        <v>415</v>
      </c>
      <c r="E102" s="29">
        <v>2000000</v>
      </c>
      <c r="F102" s="26">
        <v>2136.7399999999998</v>
      </c>
      <c r="G102" s="26">
        <v>0.62</v>
      </c>
      <c r="H102" s="26">
        <v>6.19</v>
      </c>
    </row>
    <row r="103" spans="2:10" x14ac:dyDescent="0.2">
      <c r="B103" s="24" t="s">
        <v>422</v>
      </c>
      <c r="C103" s="24" t="s">
        <v>423</v>
      </c>
      <c r="D103" s="24" t="s">
        <v>415</v>
      </c>
      <c r="E103" s="29">
        <v>1000000</v>
      </c>
      <c r="F103" s="26">
        <v>1044.68</v>
      </c>
      <c r="G103" s="26">
        <v>0.3</v>
      </c>
      <c r="H103" s="26">
        <v>5.96</v>
      </c>
    </row>
    <row r="104" spans="2:10" x14ac:dyDescent="0.2">
      <c r="B104" s="24" t="s">
        <v>424</v>
      </c>
      <c r="C104" s="24" t="s">
        <v>425</v>
      </c>
      <c r="D104" s="24" t="s">
        <v>415</v>
      </c>
      <c r="E104" s="29">
        <v>1000000</v>
      </c>
      <c r="F104" s="26">
        <v>981.76</v>
      </c>
      <c r="G104" s="26">
        <v>0.28999999999999998</v>
      </c>
      <c r="H104" s="26">
        <v>6.39</v>
      </c>
    </row>
    <row r="105" spans="2:10" x14ac:dyDescent="0.2">
      <c r="B105" s="24" t="s">
        <v>426</v>
      </c>
      <c r="C105" s="24" t="s">
        <v>427</v>
      </c>
      <c r="D105" s="24" t="s">
        <v>415</v>
      </c>
      <c r="E105" s="29">
        <v>900000</v>
      </c>
      <c r="F105" s="26">
        <v>885.87</v>
      </c>
      <c r="G105" s="26">
        <v>0.26</v>
      </c>
      <c r="H105" s="26">
        <v>6.01</v>
      </c>
    </row>
    <row r="106" spans="2:10" x14ac:dyDescent="0.2">
      <c r="B106" s="24" t="s">
        <v>428</v>
      </c>
      <c r="C106" s="24" t="s">
        <v>429</v>
      </c>
      <c r="D106" s="24" t="s">
        <v>415</v>
      </c>
      <c r="E106" s="29">
        <v>500000</v>
      </c>
      <c r="F106" s="26">
        <v>558</v>
      </c>
      <c r="G106" s="26">
        <v>0.16</v>
      </c>
      <c r="H106" s="26">
        <v>6.02</v>
      </c>
    </row>
    <row r="107" spans="2:10" x14ac:dyDescent="0.2">
      <c r="B107" s="24" t="s">
        <v>430</v>
      </c>
      <c r="C107" s="24" t="s">
        <v>431</v>
      </c>
      <c r="D107" s="24" t="s">
        <v>415</v>
      </c>
      <c r="E107" s="29">
        <v>500000</v>
      </c>
      <c r="F107" s="26">
        <v>555.6</v>
      </c>
      <c r="G107" s="26">
        <v>0.16</v>
      </c>
      <c r="H107" s="26">
        <v>5.96</v>
      </c>
    </row>
    <row r="108" spans="2:10" x14ac:dyDescent="0.2">
      <c r="B108" s="24" t="s">
        <v>432</v>
      </c>
      <c r="C108" s="24" t="s">
        <v>433</v>
      </c>
      <c r="D108" s="24" t="s">
        <v>415</v>
      </c>
      <c r="E108" s="29">
        <v>500000</v>
      </c>
      <c r="F108" s="26">
        <v>532.33000000000004</v>
      </c>
      <c r="G108" s="26">
        <v>0.15</v>
      </c>
      <c r="H108" s="26">
        <v>4.6399999999999997</v>
      </c>
    </row>
    <row r="109" spans="2:10" x14ac:dyDescent="0.2">
      <c r="B109" s="24" t="s">
        <v>434</v>
      </c>
      <c r="C109" s="24" t="s">
        <v>435</v>
      </c>
      <c r="D109" s="24" t="s">
        <v>415</v>
      </c>
      <c r="E109" s="29">
        <v>500000</v>
      </c>
      <c r="F109" s="26">
        <v>525.75</v>
      </c>
      <c r="G109" s="26">
        <v>0.15</v>
      </c>
      <c r="H109" s="26">
        <v>6.76</v>
      </c>
    </row>
    <row r="110" spans="2:10" x14ac:dyDescent="0.2">
      <c r="B110" s="24" t="s">
        <v>436</v>
      </c>
      <c r="C110" s="24" t="s">
        <v>437</v>
      </c>
      <c r="D110" s="24" t="s">
        <v>415</v>
      </c>
      <c r="E110" s="29">
        <v>500000</v>
      </c>
      <c r="F110" s="26">
        <v>518.9</v>
      </c>
      <c r="G110" s="26">
        <v>0.15</v>
      </c>
      <c r="H110" s="26">
        <v>6.24</v>
      </c>
    </row>
    <row r="111" spans="2:10" x14ac:dyDescent="0.2">
      <c r="B111" s="53" t="s">
        <v>438</v>
      </c>
      <c r="C111" s="53" t="s">
        <v>439</v>
      </c>
      <c r="D111" s="53" t="s">
        <v>415</v>
      </c>
      <c r="E111" s="54">
        <v>191700</v>
      </c>
      <c r="F111" s="55">
        <v>200.15</v>
      </c>
      <c r="G111" s="55">
        <v>0.06</v>
      </c>
      <c r="H111" s="55">
        <v>4.55</v>
      </c>
    </row>
    <row r="112" spans="2:10" x14ac:dyDescent="0.2">
      <c r="B112" s="56" t="s">
        <v>111</v>
      </c>
      <c r="C112" s="56"/>
      <c r="D112" s="56"/>
      <c r="E112" s="57"/>
      <c r="F112" s="58">
        <f>SUM(F99:F111)</f>
        <v>16857.120000000003</v>
      </c>
      <c r="G112" s="58">
        <f>SUM(G99:G111)</f>
        <v>4.8900000000000006</v>
      </c>
      <c r="H112" s="58"/>
      <c r="I112" s="14"/>
      <c r="J112" s="14"/>
    </row>
    <row r="113" spans="2:10" x14ac:dyDescent="0.2">
      <c r="B113" s="48" t="s">
        <v>112</v>
      </c>
      <c r="C113" s="24"/>
      <c r="D113" s="24"/>
      <c r="E113" s="25"/>
      <c r="F113" s="26"/>
      <c r="G113" s="26"/>
      <c r="H113" s="26"/>
    </row>
    <row r="114" spans="2:10" x14ac:dyDescent="0.2">
      <c r="B114" s="24" t="s">
        <v>112</v>
      </c>
      <c r="C114" s="24"/>
      <c r="D114" s="24"/>
      <c r="E114" s="25"/>
      <c r="F114" s="26">
        <v>24249.89</v>
      </c>
      <c r="G114" s="26">
        <v>7.05</v>
      </c>
      <c r="H114" s="26"/>
    </row>
    <row r="115" spans="2:10" x14ac:dyDescent="0.2">
      <c r="B115" s="31" t="s">
        <v>110</v>
      </c>
      <c r="C115" s="31"/>
      <c r="D115" s="31"/>
      <c r="E115" s="32"/>
      <c r="F115" s="33">
        <f>SUM(F113:F114)</f>
        <v>24249.89</v>
      </c>
      <c r="G115" s="33">
        <f>SUM(G113:G114)</f>
        <v>7.05</v>
      </c>
      <c r="H115" s="49"/>
      <c r="I115" s="14"/>
      <c r="J115" s="14"/>
    </row>
    <row r="116" spans="2:10" x14ac:dyDescent="0.2">
      <c r="B116" s="35" t="s">
        <v>111</v>
      </c>
      <c r="C116" s="35"/>
      <c r="D116" s="35"/>
      <c r="E116" s="36"/>
      <c r="F116" s="37">
        <f>F115</f>
        <v>24249.89</v>
      </c>
      <c r="G116" s="37">
        <f>G115</f>
        <v>7.05</v>
      </c>
      <c r="H116" s="37"/>
      <c r="I116" s="14"/>
      <c r="J116" s="14"/>
    </row>
    <row r="117" spans="2:10" x14ac:dyDescent="0.2">
      <c r="B117" s="45" t="s">
        <v>114</v>
      </c>
      <c r="C117" s="45"/>
      <c r="D117" s="45"/>
      <c r="E117" s="46"/>
      <c r="F117" s="17">
        <f>F118-(+F59+F97+F112+F116)</f>
        <v>1540.2399999999907</v>
      </c>
      <c r="G117" s="17">
        <f>G118-(+G59+G97+G112+G116)</f>
        <v>0.47000000000001307</v>
      </c>
      <c r="H117" s="17"/>
      <c r="I117" s="14"/>
      <c r="J117" s="14"/>
    </row>
    <row r="118" spans="2:10" x14ac:dyDescent="0.2">
      <c r="B118" s="45" t="s">
        <v>113</v>
      </c>
      <c r="C118" s="45"/>
      <c r="D118" s="45"/>
      <c r="E118" s="46"/>
      <c r="F118" s="17">
        <v>343760.8</v>
      </c>
      <c r="G118" s="17">
        <v>100</v>
      </c>
      <c r="H118" s="17"/>
      <c r="I118" s="14"/>
      <c r="J118" s="14"/>
    </row>
    <row r="120" spans="2:10" x14ac:dyDescent="0.2">
      <c r="B120" s="14" t="s">
        <v>755</v>
      </c>
    </row>
    <row r="122" spans="2:10" x14ac:dyDescent="0.2">
      <c r="B122" s="14" t="s">
        <v>759</v>
      </c>
    </row>
    <row r="124" spans="2:10" x14ac:dyDescent="0.2">
      <c r="C124" s="63"/>
      <c r="D124" s="66"/>
    </row>
    <row r="125" spans="2:10" x14ac:dyDescent="0.2">
      <c r="C125" s="63"/>
      <c r="D125" s="66"/>
    </row>
    <row r="126" spans="2:10" x14ac:dyDescent="0.2">
      <c r="C126" s="65"/>
      <c r="D126" s="63"/>
    </row>
    <row r="129" spans="2:5" x14ac:dyDescent="0.2">
      <c r="B129" s="14"/>
      <c r="C129" s="14"/>
      <c r="D129" s="14"/>
      <c r="E129" s="15"/>
    </row>
    <row r="135" spans="2:5" x14ac:dyDescent="0.2">
      <c r="B135" s="1" t="s">
        <v>757</v>
      </c>
      <c r="D135" s="14" t="s">
        <v>115</v>
      </c>
      <c r="E135" s="15" t="s">
        <v>116</v>
      </c>
    </row>
    <row r="136" spans="2:5" x14ac:dyDescent="0.2">
      <c r="B136" s="1" t="s">
        <v>440</v>
      </c>
      <c r="D136" s="1">
        <v>3.73</v>
      </c>
      <c r="E136" s="12">
        <v>3.73</v>
      </c>
    </row>
    <row r="137" spans="2:5" x14ac:dyDescent="0.2">
      <c r="B137" s="1" t="s">
        <v>441</v>
      </c>
      <c r="D137" s="1">
        <v>3.6</v>
      </c>
      <c r="E137" s="12">
        <v>3.6</v>
      </c>
    </row>
    <row r="139" spans="2:5" x14ac:dyDescent="0.2">
      <c r="B139" s="1" t="s">
        <v>117</v>
      </c>
    </row>
    <row r="140" spans="2:5" x14ac:dyDescent="0.2">
      <c r="B140" s="1" t="s">
        <v>118</v>
      </c>
    </row>
    <row r="141" spans="2:5" x14ac:dyDescent="0.2">
      <c r="B141" s="1" t="s">
        <v>756</v>
      </c>
    </row>
    <row r="142" spans="2:5" x14ac:dyDescent="0.2">
      <c r="B142" s="1" t="s">
        <v>758</v>
      </c>
    </row>
    <row r="143" spans="2:5" x14ac:dyDescent="0.2">
      <c r="B143" s="14"/>
      <c r="C143" s="14"/>
      <c r="D143" s="14"/>
      <c r="E143" s="15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6"/>
  <sheetViews>
    <sheetView workbookViewId="0">
      <selection activeCell="B3" sqref="B3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2.7109375" style="1" bestFit="1" customWidth="1"/>
    <col min="4" max="4" width="18.28515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9" t="s">
        <v>15</v>
      </c>
      <c r="C1" s="70"/>
      <c r="D1" s="70"/>
      <c r="E1" s="70"/>
      <c r="F1" s="70"/>
      <c r="G1" s="70"/>
      <c r="H1" s="70"/>
    </row>
    <row r="3" spans="2:10" ht="16.5" thickBot="1" x14ac:dyDescent="0.25">
      <c r="B3" s="2" t="s">
        <v>760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9" t="s">
        <v>340</v>
      </c>
      <c r="C5" s="19"/>
      <c r="D5" s="19"/>
      <c r="E5" s="20"/>
      <c r="F5" s="21"/>
      <c r="G5" s="21"/>
      <c r="H5" s="21"/>
    </row>
    <row r="6" spans="2:10" x14ac:dyDescent="0.2">
      <c r="B6" s="48" t="s">
        <v>31</v>
      </c>
      <c r="C6" s="24"/>
      <c r="D6" s="24"/>
      <c r="E6" s="25"/>
      <c r="F6" s="26"/>
      <c r="G6" s="26"/>
      <c r="H6" s="26"/>
    </row>
    <row r="7" spans="2:10" x14ac:dyDescent="0.2">
      <c r="B7" s="24" t="s">
        <v>442</v>
      </c>
      <c r="C7" s="24" t="s">
        <v>443</v>
      </c>
      <c r="D7" s="24" t="s">
        <v>356</v>
      </c>
      <c r="E7" s="29">
        <v>50</v>
      </c>
      <c r="F7" s="26">
        <v>527.59</v>
      </c>
      <c r="G7" s="26">
        <v>3.53</v>
      </c>
      <c r="H7" s="26">
        <v>4.38</v>
      </c>
    </row>
    <row r="8" spans="2:10" x14ac:dyDescent="0.2">
      <c r="B8" s="31" t="s">
        <v>110</v>
      </c>
      <c r="C8" s="31"/>
      <c r="D8" s="31"/>
      <c r="E8" s="32"/>
      <c r="F8" s="33">
        <f>SUM(F6:F7)</f>
        <v>527.59</v>
      </c>
      <c r="G8" s="33">
        <f>SUM(G6:G7)</f>
        <v>3.53</v>
      </c>
      <c r="H8" s="49"/>
      <c r="I8" s="14"/>
      <c r="J8" s="14"/>
    </row>
    <row r="9" spans="2:10" x14ac:dyDescent="0.2">
      <c r="B9" s="50" t="s">
        <v>111</v>
      </c>
      <c r="C9" s="50"/>
      <c r="D9" s="50"/>
      <c r="E9" s="51"/>
      <c r="F9" s="52">
        <f>F8</f>
        <v>527.59</v>
      </c>
      <c r="G9" s="52">
        <f>G8</f>
        <v>3.53</v>
      </c>
      <c r="H9" s="52"/>
      <c r="I9" s="14"/>
      <c r="J9" s="14"/>
    </row>
    <row r="10" spans="2:10" x14ac:dyDescent="0.2">
      <c r="B10" s="48" t="s">
        <v>412</v>
      </c>
      <c r="C10" s="24"/>
      <c r="D10" s="24"/>
      <c r="E10" s="25"/>
      <c r="F10" s="26"/>
      <c r="G10" s="26"/>
      <c r="H10" s="26"/>
    </row>
    <row r="11" spans="2:10" x14ac:dyDescent="0.2">
      <c r="B11" s="24" t="s">
        <v>418</v>
      </c>
      <c r="C11" s="24" t="s">
        <v>419</v>
      </c>
      <c r="D11" s="24" t="s">
        <v>415</v>
      </c>
      <c r="E11" s="29">
        <v>4000000</v>
      </c>
      <c r="F11" s="26">
        <v>3928.1</v>
      </c>
      <c r="G11" s="26">
        <v>26.31</v>
      </c>
      <c r="H11" s="26">
        <v>6.01</v>
      </c>
    </row>
    <row r="12" spans="2:10" x14ac:dyDescent="0.2">
      <c r="B12" s="24" t="s">
        <v>444</v>
      </c>
      <c r="C12" s="24" t="s">
        <v>445</v>
      </c>
      <c r="D12" s="24" t="s">
        <v>415</v>
      </c>
      <c r="E12" s="29">
        <v>2250000</v>
      </c>
      <c r="F12" s="26">
        <v>2389.1999999999998</v>
      </c>
      <c r="G12" s="26">
        <v>16</v>
      </c>
      <c r="H12" s="26">
        <v>6.1</v>
      </c>
    </row>
    <row r="13" spans="2:10" x14ac:dyDescent="0.2">
      <c r="B13" s="24" t="s">
        <v>446</v>
      </c>
      <c r="C13" s="24" t="s">
        <v>447</v>
      </c>
      <c r="D13" s="24" t="s">
        <v>415</v>
      </c>
      <c r="E13" s="29">
        <v>2100000</v>
      </c>
      <c r="F13" s="26">
        <v>2145.86</v>
      </c>
      <c r="G13" s="26">
        <v>14.37</v>
      </c>
      <c r="H13" s="26">
        <v>6.13</v>
      </c>
    </row>
    <row r="14" spans="2:10" x14ac:dyDescent="0.2">
      <c r="B14" s="24" t="s">
        <v>448</v>
      </c>
      <c r="C14" s="24" t="s">
        <v>449</v>
      </c>
      <c r="D14" s="24" t="s">
        <v>415</v>
      </c>
      <c r="E14" s="29">
        <v>1350000</v>
      </c>
      <c r="F14" s="26">
        <v>1477.49</v>
      </c>
      <c r="G14" s="26">
        <v>9.9</v>
      </c>
      <c r="H14" s="26">
        <v>6.47</v>
      </c>
    </row>
    <row r="15" spans="2:10" x14ac:dyDescent="0.2">
      <c r="B15" s="24" t="s">
        <v>420</v>
      </c>
      <c r="C15" s="24" t="s">
        <v>421</v>
      </c>
      <c r="D15" s="24" t="s">
        <v>415</v>
      </c>
      <c r="E15" s="29">
        <v>1000000</v>
      </c>
      <c r="F15" s="26">
        <v>1068.3699999999999</v>
      </c>
      <c r="G15" s="26">
        <v>7.16</v>
      </c>
      <c r="H15" s="26">
        <v>6.19</v>
      </c>
    </row>
    <row r="16" spans="2:10" x14ac:dyDescent="0.2">
      <c r="B16" s="24" t="s">
        <v>436</v>
      </c>
      <c r="C16" s="24" t="s">
        <v>437</v>
      </c>
      <c r="D16" s="24" t="s">
        <v>415</v>
      </c>
      <c r="E16" s="29">
        <v>1000000</v>
      </c>
      <c r="F16" s="26">
        <v>1037.79</v>
      </c>
      <c r="G16" s="26">
        <v>6.95</v>
      </c>
      <c r="H16" s="26">
        <v>6.24</v>
      </c>
    </row>
    <row r="17" spans="2:10" x14ac:dyDescent="0.2">
      <c r="B17" s="53" t="s">
        <v>450</v>
      </c>
      <c r="C17" s="53" t="s">
        <v>451</v>
      </c>
      <c r="D17" s="53" t="s">
        <v>415</v>
      </c>
      <c r="E17" s="54">
        <v>23200</v>
      </c>
      <c r="F17" s="55">
        <v>23.85</v>
      </c>
      <c r="G17" s="55">
        <v>0.16</v>
      </c>
      <c r="H17" s="55">
        <v>6.32</v>
      </c>
    </row>
    <row r="18" spans="2:10" x14ac:dyDescent="0.2">
      <c r="B18" s="56" t="s">
        <v>111</v>
      </c>
      <c r="C18" s="56"/>
      <c r="D18" s="56"/>
      <c r="E18" s="57"/>
      <c r="F18" s="58">
        <f>SUM(F11:F17)</f>
        <v>12070.660000000002</v>
      </c>
      <c r="G18" s="58">
        <f>SUM(G11:G17)</f>
        <v>80.849999999999994</v>
      </c>
      <c r="H18" s="58"/>
      <c r="I18" s="14"/>
      <c r="J18" s="14"/>
    </row>
    <row r="19" spans="2:10" x14ac:dyDescent="0.2">
      <c r="B19" s="48" t="s">
        <v>112</v>
      </c>
      <c r="C19" s="24"/>
      <c r="D19" s="24"/>
      <c r="E19" s="25"/>
      <c r="F19" s="26"/>
      <c r="G19" s="26"/>
      <c r="H19" s="26"/>
    </row>
    <row r="20" spans="2:10" x14ac:dyDescent="0.2">
      <c r="B20" s="24" t="s">
        <v>112</v>
      </c>
      <c r="C20" s="24"/>
      <c r="D20" s="24"/>
      <c r="E20" s="25"/>
      <c r="F20" s="26">
        <v>2493.6799999999998</v>
      </c>
      <c r="G20" s="26">
        <v>16.7</v>
      </c>
      <c r="H20" s="26"/>
    </row>
    <row r="21" spans="2:10" x14ac:dyDescent="0.2">
      <c r="B21" s="31" t="s">
        <v>110</v>
      </c>
      <c r="C21" s="31"/>
      <c r="D21" s="31"/>
      <c r="E21" s="32"/>
      <c r="F21" s="33">
        <f>SUM(F19:F20)</f>
        <v>2493.6799999999998</v>
      </c>
      <c r="G21" s="33">
        <f>SUM(G19:G20)</f>
        <v>16.7</v>
      </c>
      <c r="H21" s="49"/>
      <c r="I21" s="14"/>
      <c r="J21" s="14"/>
    </row>
    <row r="22" spans="2:10" x14ac:dyDescent="0.2">
      <c r="B22" s="35" t="s">
        <v>111</v>
      </c>
      <c r="C22" s="35"/>
      <c r="D22" s="35"/>
      <c r="E22" s="36"/>
      <c r="F22" s="37">
        <f>F21</f>
        <v>2493.6799999999998</v>
      </c>
      <c r="G22" s="37">
        <f>G21</f>
        <v>16.7</v>
      </c>
      <c r="H22" s="37"/>
      <c r="I22" s="14"/>
      <c r="J22" s="14"/>
    </row>
    <row r="23" spans="2:10" x14ac:dyDescent="0.2">
      <c r="B23" s="45" t="s">
        <v>114</v>
      </c>
      <c r="C23" s="45"/>
      <c r="D23" s="45"/>
      <c r="E23" s="46"/>
      <c r="F23" s="17">
        <f>F24-(+F9+F18+F22)</f>
        <v>-161.84000000000196</v>
      </c>
      <c r="G23" s="17">
        <f>G24-(+G9+G18+G22)</f>
        <v>-1.0799999999999983</v>
      </c>
      <c r="H23" s="17"/>
      <c r="I23" s="14"/>
      <c r="J23" s="14"/>
    </row>
    <row r="24" spans="2:10" x14ac:dyDescent="0.2">
      <c r="B24" s="45" t="s">
        <v>113</v>
      </c>
      <c r="C24" s="45"/>
      <c r="D24" s="45"/>
      <c r="E24" s="46"/>
      <c r="F24" s="17">
        <v>14930.09</v>
      </c>
      <c r="G24" s="17">
        <v>100</v>
      </c>
      <c r="H24" s="17"/>
      <c r="I24" s="14"/>
      <c r="J24" s="14"/>
    </row>
    <row r="26" spans="2:10" x14ac:dyDescent="0.2">
      <c r="B26" s="14" t="s">
        <v>755</v>
      </c>
    </row>
    <row r="27" spans="2:10" x14ac:dyDescent="0.2">
      <c r="B27" s="14"/>
    </row>
    <row r="28" spans="2:10" ht="12.75" x14ac:dyDescent="0.2">
      <c r="B28" s="67"/>
      <c r="C28" s="68"/>
    </row>
    <row r="30" spans="2:10" x14ac:dyDescent="0.2">
      <c r="B30" s="14"/>
    </row>
    <row r="33" spans="2:5" x14ac:dyDescent="0.2">
      <c r="B33" s="14"/>
      <c r="C33" s="14"/>
      <c r="D33" s="14"/>
      <c r="E33" s="15"/>
    </row>
    <row r="39" spans="2:5" x14ac:dyDescent="0.2">
      <c r="D39" s="14"/>
      <c r="E39" s="15"/>
    </row>
    <row r="46" spans="2:5" x14ac:dyDescent="0.2">
      <c r="B46" s="14"/>
      <c r="C46" s="14"/>
      <c r="D46" s="14"/>
      <c r="E46" s="15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>
      <selection activeCell="B3" sqref="B3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2.7109375" style="1" bestFit="1" customWidth="1"/>
    <col min="4" max="4" width="18.28515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9" t="s">
        <v>16</v>
      </c>
      <c r="C1" s="70"/>
      <c r="D1" s="70"/>
      <c r="E1" s="70"/>
      <c r="F1" s="70"/>
      <c r="G1" s="70"/>
      <c r="H1" s="70"/>
    </row>
    <row r="3" spans="2:10" ht="16.5" thickBot="1" x14ac:dyDescent="0.25">
      <c r="B3" s="2" t="s">
        <v>760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9" t="s">
        <v>412</v>
      </c>
      <c r="C5" s="19"/>
      <c r="D5" s="19"/>
      <c r="E5" s="20"/>
      <c r="F5" s="21"/>
      <c r="G5" s="21"/>
      <c r="H5" s="21"/>
    </row>
    <row r="6" spans="2:10" x14ac:dyDescent="0.2">
      <c r="B6" s="24" t="s">
        <v>418</v>
      </c>
      <c r="C6" s="24" t="s">
        <v>419</v>
      </c>
      <c r="D6" s="24" t="s">
        <v>415</v>
      </c>
      <c r="E6" s="29">
        <v>4400000</v>
      </c>
      <c r="F6" s="26">
        <v>4320.91</v>
      </c>
      <c r="G6" s="26">
        <v>33.31</v>
      </c>
      <c r="H6" s="26">
        <v>6.01</v>
      </c>
    </row>
    <row r="7" spans="2:10" x14ac:dyDescent="0.2">
      <c r="B7" s="24" t="s">
        <v>448</v>
      </c>
      <c r="C7" s="24" t="s">
        <v>449</v>
      </c>
      <c r="D7" s="24" t="s">
        <v>415</v>
      </c>
      <c r="E7" s="29">
        <v>1650000</v>
      </c>
      <c r="F7" s="26">
        <v>1805.82</v>
      </c>
      <c r="G7" s="26">
        <v>13.92</v>
      </c>
      <c r="H7" s="26">
        <v>6.47</v>
      </c>
    </row>
    <row r="8" spans="2:10" x14ac:dyDescent="0.2">
      <c r="B8" s="24" t="s">
        <v>420</v>
      </c>
      <c r="C8" s="24" t="s">
        <v>421</v>
      </c>
      <c r="D8" s="24" t="s">
        <v>415</v>
      </c>
      <c r="E8" s="29">
        <v>1500000</v>
      </c>
      <c r="F8" s="26">
        <v>1602.55</v>
      </c>
      <c r="G8" s="26">
        <v>12.35</v>
      </c>
      <c r="H8" s="26">
        <v>6.19</v>
      </c>
    </row>
    <row r="9" spans="2:10" x14ac:dyDescent="0.2">
      <c r="B9" s="24" t="s">
        <v>446</v>
      </c>
      <c r="C9" s="24" t="s">
        <v>447</v>
      </c>
      <c r="D9" s="24" t="s">
        <v>415</v>
      </c>
      <c r="E9" s="29">
        <v>1400000</v>
      </c>
      <c r="F9" s="26">
        <v>1430.57</v>
      </c>
      <c r="G9" s="26">
        <v>11.03</v>
      </c>
      <c r="H9" s="26">
        <v>6.13</v>
      </c>
    </row>
    <row r="10" spans="2:10" x14ac:dyDescent="0.2">
      <c r="B10" s="24" t="s">
        <v>436</v>
      </c>
      <c r="C10" s="24" t="s">
        <v>437</v>
      </c>
      <c r="D10" s="24" t="s">
        <v>415</v>
      </c>
      <c r="E10" s="29">
        <v>1000000</v>
      </c>
      <c r="F10" s="26">
        <v>1037.79</v>
      </c>
      <c r="G10" s="26">
        <v>8</v>
      </c>
      <c r="H10" s="26">
        <v>6.24</v>
      </c>
    </row>
    <row r="11" spans="2:10" x14ac:dyDescent="0.2">
      <c r="B11" s="24" t="s">
        <v>452</v>
      </c>
      <c r="C11" s="24" t="s">
        <v>453</v>
      </c>
      <c r="D11" s="24" t="s">
        <v>415</v>
      </c>
      <c r="E11" s="29">
        <v>500000</v>
      </c>
      <c r="F11" s="26">
        <v>503.59</v>
      </c>
      <c r="G11" s="26">
        <v>3.88</v>
      </c>
      <c r="H11" s="26">
        <v>6.75</v>
      </c>
    </row>
    <row r="12" spans="2:10" x14ac:dyDescent="0.2">
      <c r="B12" s="24" t="s">
        <v>444</v>
      </c>
      <c r="C12" s="24" t="s">
        <v>445</v>
      </c>
      <c r="D12" s="24" t="s">
        <v>415</v>
      </c>
      <c r="E12" s="29">
        <v>423300</v>
      </c>
      <c r="F12" s="26">
        <v>449.49</v>
      </c>
      <c r="G12" s="26">
        <v>3.46</v>
      </c>
      <c r="H12" s="26">
        <v>6.1</v>
      </c>
    </row>
    <row r="13" spans="2:10" x14ac:dyDescent="0.2">
      <c r="B13" s="53" t="s">
        <v>454</v>
      </c>
      <c r="C13" s="53" t="s">
        <v>455</v>
      </c>
      <c r="D13" s="53" t="s">
        <v>415</v>
      </c>
      <c r="E13" s="54">
        <v>10000</v>
      </c>
      <c r="F13" s="55">
        <v>11.62</v>
      </c>
      <c r="G13" s="55">
        <v>0.09</v>
      </c>
      <c r="H13" s="55">
        <v>6.77</v>
      </c>
    </row>
    <row r="14" spans="2:10" x14ac:dyDescent="0.2">
      <c r="B14" s="56" t="s">
        <v>111</v>
      </c>
      <c r="C14" s="56"/>
      <c r="D14" s="56"/>
      <c r="E14" s="57"/>
      <c r="F14" s="58">
        <f>SUM(F6:F13)</f>
        <v>11162.34</v>
      </c>
      <c r="G14" s="58">
        <f>SUM(G6:G13)</f>
        <v>86.039999999999992</v>
      </c>
      <c r="H14" s="58"/>
      <c r="I14" s="14"/>
      <c r="J14" s="14"/>
    </row>
    <row r="15" spans="2:10" x14ac:dyDescent="0.2">
      <c r="B15" s="48" t="s">
        <v>112</v>
      </c>
      <c r="C15" s="24"/>
      <c r="D15" s="24"/>
      <c r="E15" s="25"/>
      <c r="F15" s="26"/>
      <c r="G15" s="26"/>
      <c r="H15" s="26"/>
    </row>
    <row r="16" spans="2:10" x14ac:dyDescent="0.2">
      <c r="B16" s="24" t="s">
        <v>112</v>
      </c>
      <c r="C16" s="24"/>
      <c r="D16" s="24"/>
      <c r="E16" s="25"/>
      <c r="F16" s="26">
        <v>2125.52</v>
      </c>
      <c r="G16" s="26">
        <v>16.38</v>
      </c>
      <c r="H16" s="26"/>
    </row>
    <row r="17" spans="2:10" x14ac:dyDescent="0.2">
      <c r="B17" s="31" t="s">
        <v>110</v>
      </c>
      <c r="C17" s="31"/>
      <c r="D17" s="31"/>
      <c r="E17" s="32"/>
      <c r="F17" s="33">
        <f>SUM(F15:F16)</f>
        <v>2125.52</v>
      </c>
      <c r="G17" s="33">
        <f>SUM(G15:G16)</f>
        <v>16.38</v>
      </c>
      <c r="H17" s="49"/>
      <c r="I17" s="14"/>
      <c r="J17" s="14"/>
    </row>
    <row r="18" spans="2:10" x14ac:dyDescent="0.2">
      <c r="B18" s="35" t="s">
        <v>111</v>
      </c>
      <c r="C18" s="35"/>
      <c r="D18" s="35"/>
      <c r="E18" s="36"/>
      <c r="F18" s="37">
        <f>F17</f>
        <v>2125.52</v>
      </c>
      <c r="G18" s="37">
        <f>G17</f>
        <v>16.38</v>
      </c>
      <c r="H18" s="37"/>
      <c r="I18" s="14"/>
      <c r="J18" s="14"/>
    </row>
    <row r="19" spans="2:10" x14ac:dyDescent="0.2">
      <c r="B19" s="45" t="s">
        <v>114</v>
      </c>
      <c r="C19" s="45"/>
      <c r="D19" s="45"/>
      <c r="E19" s="46"/>
      <c r="F19" s="17">
        <f>F20-(+F14+F18)</f>
        <v>-314.38000000000102</v>
      </c>
      <c r="G19" s="17">
        <f>G20-(+G14+G18)</f>
        <v>-2.4199999999999875</v>
      </c>
      <c r="H19" s="17"/>
      <c r="I19" s="14"/>
      <c r="J19" s="14"/>
    </row>
    <row r="20" spans="2:10" x14ac:dyDescent="0.2">
      <c r="B20" s="45" t="s">
        <v>113</v>
      </c>
      <c r="C20" s="45"/>
      <c r="D20" s="45"/>
      <c r="E20" s="46"/>
      <c r="F20" s="17">
        <v>12973.48</v>
      </c>
      <c r="G20" s="17">
        <v>100</v>
      </c>
      <c r="H20" s="17"/>
      <c r="I20" s="14"/>
      <c r="J20" s="14"/>
    </row>
    <row r="22" spans="2:10" ht="12.75" x14ac:dyDescent="0.2">
      <c r="B22" s="67"/>
      <c r="C22" s="68"/>
    </row>
    <row r="24" spans="2:10" x14ac:dyDescent="0.2">
      <c r="B24" s="14"/>
    </row>
    <row r="27" spans="2:10" x14ac:dyDescent="0.2">
      <c r="B27" s="14"/>
      <c r="C27" s="14"/>
      <c r="D27" s="15"/>
      <c r="E27" s="15"/>
    </row>
    <row r="28" spans="2:10" x14ac:dyDescent="0.2">
      <c r="D28" s="12"/>
    </row>
    <row r="29" spans="2:10" x14ac:dyDescent="0.2">
      <c r="D29" s="12"/>
    </row>
    <row r="30" spans="2:10" x14ac:dyDescent="0.2">
      <c r="D30" s="12"/>
    </row>
    <row r="31" spans="2:10" x14ac:dyDescent="0.2">
      <c r="D31" s="12"/>
    </row>
    <row r="33" spans="2:5" x14ac:dyDescent="0.2">
      <c r="D33" s="14"/>
      <c r="E33" s="15"/>
    </row>
    <row r="41" spans="2:5" x14ac:dyDescent="0.2">
      <c r="B41" s="14"/>
      <c r="C41" s="14"/>
      <c r="D41" s="14"/>
      <c r="E41" s="15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9"/>
  <sheetViews>
    <sheetView workbookViewId="0">
      <selection activeCell="B3" sqref="B3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5703125" style="1" bestFit="1" customWidth="1"/>
    <col min="4" max="4" width="18.28515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9" t="s">
        <v>17</v>
      </c>
      <c r="C1" s="70"/>
      <c r="D1" s="70"/>
      <c r="E1" s="70"/>
      <c r="F1" s="70"/>
      <c r="G1" s="70"/>
      <c r="H1" s="70"/>
    </row>
    <row r="3" spans="2:10" ht="16.5" thickBot="1" x14ac:dyDescent="0.25">
      <c r="B3" s="2" t="s">
        <v>760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9" t="s">
        <v>340</v>
      </c>
      <c r="C5" s="19"/>
      <c r="D5" s="19"/>
      <c r="E5" s="20"/>
      <c r="F5" s="21"/>
      <c r="G5" s="21"/>
      <c r="H5" s="21"/>
    </row>
    <row r="6" spans="2:10" x14ac:dyDescent="0.2">
      <c r="B6" s="48" t="s">
        <v>31</v>
      </c>
      <c r="C6" s="24"/>
      <c r="D6" s="24"/>
      <c r="E6" s="25"/>
      <c r="F6" s="26"/>
      <c r="G6" s="26"/>
      <c r="H6" s="26"/>
    </row>
    <row r="7" spans="2:10" x14ac:dyDescent="0.2">
      <c r="B7" s="24" t="s">
        <v>456</v>
      </c>
      <c r="C7" s="24" t="s">
        <v>457</v>
      </c>
      <c r="D7" s="24" t="s">
        <v>343</v>
      </c>
      <c r="E7" s="29">
        <v>100</v>
      </c>
      <c r="F7" s="26">
        <v>1046.23</v>
      </c>
      <c r="G7" s="26">
        <v>7.42</v>
      </c>
      <c r="H7" s="26">
        <v>6.77</v>
      </c>
    </row>
    <row r="8" spans="2:10" x14ac:dyDescent="0.2">
      <c r="B8" s="24" t="s">
        <v>348</v>
      </c>
      <c r="C8" s="24" t="s">
        <v>349</v>
      </c>
      <c r="D8" s="24" t="s">
        <v>343</v>
      </c>
      <c r="E8" s="29">
        <v>50</v>
      </c>
      <c r="F8" s="26">
        <v>556.79</v>
      </c>
      <c r="G8" s="26">
        <v>3.95</v>
      </c>
      <c r="H8" s="26">
        <v>6.79</v>
      </c>
    </row>
    <row r="9" spans="2:10" x14ac:dyDescent="0.2">
      <c r="B9" s="24" t="s">
        <v>382</v>
      </c>
      <c r="C9" s="24" t="s">
        <v>383</v>
      </c>
      <c r="D9" s="24" t="s">
        <v>343</v>
      </c>
      <c r="E9" s="29">
        <v>50</v>
      </c>
      <c r="F9" s="26">
        <v>547.49</v>
      </c>
      <c r="G9" s="26">
        <v>3.88</v>
      </c>
      <c r="H9" s="26">
        <v>7.23</v>
      </c>
    </row>
    <row r="10" spans="2:10" x14ac:dyDescent="0.2">
      <c r="B10" s="24" t="s">
        <v>361</v>
      </c>
      <c r="C10" s="24" t="s">
        <v>362</v>
      </c>
      <c r="D10" s="24" t="s">
        <v>343</v>
      </c>
      <c r="E10" s="29">
        <v>50</v>
      </c>
      <c r="F10" s="26">
        <v>532.29999999999995</v>
      </c>
      <c r="G10" s="26">
        <v>3.77</v>
      </c>
      <c r="H10" s="26">
        <v>6.01</v>
      </c>
    </row>
    <row r="11" spans="2:10" x14ac:dyDescent="0.2">
      <c r="B11" s="24" t="s">
        <v>458</v>
      </c>
      <c r="C11" s="24" t="s">
        <v>459</v>
      </c>
      <c r="D11" s="24" t="s">
        <v>377</v>
      </c>
      <c r="E11" s="29">
        <v>50</v>
      </c>
      <c r="F11" s="26">
        <v>526.23</v>
      </c>
      <c r="G11" s="26">
        <v>3.73</v>
      </c>
      <c r="H11" s="26">
        <v>6.77</v>
      </c>
    </row>
    <row r="12" spans="2:10" x14ac:dyDescent="0.2">
      <c r="B12" s="24" t="s">
        <v>352</v>
      </c>
      <c r="C12" s="24" t="s">
        <v>353</v>
      </c>
      <c r="D12" s="24" t="s">
        <v>343</v>
      </c>
      <c r="E12" s="29">
        <v>50</v>
      </c>
      <c r="F12" s="26">
        <v>522.29999999999995</v>
      </c>
      <c r="G12" s="26">
        <v>3.7</v>
      </c>
      <c r="H12" s="26">
        <v>4.88</v>
      </c>
    </row>
    <row r="13" spans="2:10" x14ac:dyDescent="0.2">
      <c r="B13" s="24" t="s">
        <v>460</v>
      </c>
      <c r="C13" s="24" t="s">
        <v>461</v>
      </c>
      <c r="D13" s="24" t="s">
        <v>343</v>
      </c>
      <c r="E13" s="29">
        <v>50</v>
      </c>
      <c r="F13" s="26">
        <v>519.97</v>
      </c>
      <c r="G13" s="26">
        <v>3.69</v>
      </c>
      <c r="H13" s="26">
        <v>6.39</v>
      </c>
    </row>
    <row r="14" spans="2:10" x14ac:dyDescent="0.2">
      <c r="B14" s="24" t="s">
        <v>462</v>
      </c>
      <c r="C14" s="24" t="s">
        <v>463</v>
      </c>
      <c r="D14" s="24" t="s">
        <v>377</v>
      </c>
      <c r="E14" s="29">
        <v>50</v>
      </c>
      <c r="F14" s="26">
        <v>507.1</v>
      </c>
      <c r="G14" s="26">
        <v>3.6</v>
      </c>
      <c r="H14" s="26">
        <v>6.78</v>
      </c>
    </row>
    <row r="15" spans="2:10" x14ac:dyDescent="0.2">
      <c r="B15" s="24" t="s">
        <v>464</v>
      </c>
      <c r="C15" s="24" t="s">
        <v>465</v>
      </c>
      <c r="D15" s="24" t="s">
        <v>343</v>
      </c>
      <c r="E15" s="29">
        <v>20</v>
      </c>
      <c r="F15" s="26">
        <v>206.42</v>
      </c>
      <c r="G15" s="26">
        <v>1.46</v>
      </c>
      <c r="H15" s="26">
        <v>4.17</v>
      </c>
    </row>
    <row r="16" spans="2:10" x14ac:dyDescent="0.2">
      <c r="B16" s="31" t="s">
        <v>110</v>
      </c>
      <c r="C16" s="31"/>
      <c r="D16" s="31"/>
      <c r="E16" s="32"/>
      <c r="F16" s="33">
        <f>SUM(F6:F15)</f>
        <v>4964.8300000000008</v>
      </c>
      <c r="G16" s="33">
        <f>SUM(G6:G15)</f>
        <v>35.200000000000003</v>
      </c>
      <c r="H16" s="49"/>
      <c r="I16" s="14"/>
      <c r="J16" s="14"/>
    </row>
    <row r="17" spans="2:10" x14ac:dyDescent="0.2">
      <c r="B17" s="50" t="s">
        <v>111</v>
      </c>
      <c r="C17" s="50"/>
      <c r="D17" s="50"/>
      <c r="E17" s="51"/>
      <c r="F17" s="52">
        <f>F16</f>
        <v>4964.8300000000008</v>
      </c>
      <c r="G17" s="52">
        <f>G16</f>
        <v>35.200000000000003</v>
      </c>
      <c r="H17" s="52"/>
      <c r="I17" s="14"/>
      <c r="J17" s="14"/>
    </row>
    <row r="18" spans="2:10" x14ac:dyDescent="0.2">
      <c r="B18" s="48" t="s">
        <v>412</v>
      </c>
      <c r="C18" s="24"/>
      <c r="D18" s="24"/>
      <c r="E18" s="25"/>
      <c r="F18" s="26"/>
      <c r="G18" s="26"/>
      <c r="H18" s="26"/>
    </row>
    <row r="19" spans="2:10" x14ac:dyDescent="0.2">
      <c r="B19" s="24" t="s">
        <v>448</v>
      </c>
      <c r="C19" s="24" t="s">
        <v>449</v>
      </c>
      <c r="D19" s="24" t="s">
        <v>415</v>
      </c>
      <c r="E19" s="29">
        <v>1000000</v>
      </c>
      <c r="F19" s="26">
        <v>1094.44</v>
      </c>
      <c r="G19" s="26">
        <v>7.76</v>
      </c>
      <c r="H19" s="26">
        <v>6.47</v>
      </c>
    </row>
    <row r="20" spans="2:10" x14ac:dyDescent="0.2">
      <c r="B20" s="24" t="s">
        <v>466</v>
      </c>
      <c r="C20" s="24" t="s">
        <v>467</v>
      </c>
      <c r="D20" s="24" t="s">
        <v>415</v>
      </c>
      <c r="E20" s="29">
        <v>1000000</v>
      </c>
      <c r="F20" s="26">
        <v>1073.48</v>
      </c>
      <c r="G20" s="26">
        <v>7.61</v>
      </c>
      <c r="H20" s="26">
        <v>5.7</v>
      </c>
    </row>
    <row r="21" spans="2:10" x14ac:dyDescent="0.2">
      <c r="B21" s="24" t="s">
        <v>420</v>
      </c>
      <c r="C21" s="24" t="s">
        <v>421</v>
      </c>
      <c r="D21" s="24" t="s">
        <v>415</v>
      </c>
      <c r="E21" s="29">
        <v>1000000</v>
      </c>
      <c r="F21" s="26">
        <v>1068.3699999999999</v>
      </c>
      <c r="G21" s="26">
        <v>7.58</v>
      </c>
      <c r="H21" s="26">
        <v>6.19</v>
      </c>
    </row>
    <row r="22" spans="2:10" x14ac:dyDescent="0.2">
      <c r="B22" s="24" t="s">
        <v>422</v>
      </c>
      <c r="C22" s="24" t="s">
        <v>423</v>
      </c>
      <c r="D22" s="24" t="s">
        <v>415</v>
      </c>
      <c r="E22" s="29">
        <v>1000000</v>
      </c>
      <c r="F22" s="26">
        <v>1044.68</v>
      </c>
      <c r="G22" s="26">
        <v>7.41</v>
      </c>
      <c r="H22" s="26">
        <v>5.96</v>
      </c>
    </row>
    <row r="23" spans="2:10" x14ac:dyDescent="0.2">
      <c r="B23" s="24" t="s">
        <v>418</v>
      </c>
      <c r="C23" s="24" t="s">
        <v>419</v>
      </c>
      <c r="D23" s="24" t="s">
        <v>415</v>
      </c>
      <c r="E23" s="29">
        <v>1000000</v>
      </c>
      <c r="F23" s="26">
        <v>982.03</v>
      </c>
      <c r="G23" s="26">
        <v>6.96</v>
      </c>
      <c r="H23" s="26">
        <v>6.01</v>
      </c>
    </row>
    <row r="24" spans="2:10" x14ac:dyDescent="0.2">
      <c r="B24" s="24" t="s">
        <v>424</v>
      </c>
      <c r="C24" s="24" t="s">
        <v>425</v>
      </c>
      <c r="D24" s="24" t="s">
        <v>415</v>
      </c>
      <c r="E24" s="29">
        <v>900000</v>
      </c>
      <c r="F24" s="26">
        <v>883.59</v>
      </c>
      <c r="G24" s="26">
        <v>6.27</v>
      </c>
      <c r="H24" s="26">
        <v>6.39</v>
      </c>
    </row>
    <row r="25" spans="2:10" x14ac:dyDescent="0.2">
      <c r="B25" s="24" t="s">
        <v>434</v>
      </c>
      <c r="C25" s="24" t="s">
        <v>435</v>
      </c>
      <c r="D25" s="24" t="s">
        <v>415</v>
      </c>
      <c r="E25" s="29">
        <v>500000</v>
      </c>
      <c r="F25" s="26">
        <v>525.75</v>
      </c>
      <c r="G25" s="26">
        <v>3.73</v>
      </c>
      <c r="H25" s="26">
        <v>6.76</v>
      </c>
    </row>
    <row r="26" spans="2:10" x14ac:dyDescent="0.2">
      <c r="B26" s="24" t="s">
        <v>436</v>
      </c>
      <c r="C26" s="24" t="s">
        <v>437</v>
      </c>
      <c r="D26" s="24" t="s">
        <v>415</v>
      </c>
      <c r="E26" s="29">
        <v>500000</v>
      </c>
      <c r="F26" s="26">
        <v>518.9</v>
      </c>
      <c r="G26" s="26">
        <v>3.68</v>
      </c>
      <c r="H26" s="26">
        <v>6.24</v>
      </c>
    </row>
    <row r="27" spans="2:10" x14ac:dyDescent="0.2">
      <c r="B27" s="24" t="s">
        <v>446</v>
      </c>
      <c r="C27" s="24" t="s">
        <v>447</v>
      </c>
      <c r="D27" s="24" t="s">
        <v>415</v>
      </c>
      <c r="E27" s="29">
        <v>500000</v>
      </c>
      <c r="F27" s="26">
        <v>510.92</v>
      </c>
      <c r="G27" s="26">
        <v>3.62</v>
      </c>
      <c r="H27" s="26">
        <v>6.13</v>
      </c>
    </row>
    <row r="28" spans="2:10" x14ac:dyDescent="0.2">
      <c r="B28" s="24" t="s">
        <v>468</v>
      </c>
      <c r="C28" s="24" t="s">
        <v>469</v>
      </c>
      <c r="D28" s="24" t="s">
        <v>415</v>
      </c>
      <c r="E28" s="29">
        <v>500000</v>
      </c>
      <c r="F28" s="26">
        <v>507.5</v>
      </c>
      <c r="G28" s="26">
        <v>3.6</v>
      </c>
      <c r="H28" s="26">
        <v>6.4</v>
      </c>
    </row>
    <row r="29" spans="2:10" x14ac:dyDescent="0.2">
      <c r="B29" s="53" t="s">
        <v>470</v>
      </c>
      <c r="C29" s="53" t="s">
        <v>471</v>
      </c>
      <c r="D29" s="53" t="s">
        <v>415</v>
      </c>
      <c r="E29" s="54">
        <v>28000</v>
      </c>
      <c r="F29" s="55">
        <v>30.54</v>
      </c>
      <c r="G29" s="55">
        <v>0.22</v>
      </c>
      <c r="H29" s="55">
        <v>6.44</v>
      </c>
    </row>
    <row r="30" spans="2:10" x14ac:dyDescent="0.2">
      <c r="B30" s="56" t="s">
        <v>111</v>
      </c>
      <c r="C30" s="56"/>
      <c r="D30" s="56"/>
      <c r="E30" s="57"/>
      <c r="F30" s="58">
        <f>SUM(F19:F29)</f>
        <v>8240.2000000000007</v>
      </c>
      <c r="G30" s="58">
        <f>SUM(G19:G29)</f>
        <v>58.44</v>
      </c>
      <c r="H30" s="58"/>
      <c r="I30" s="14"/>
      <c r="J30" s="14"/>
    </row>
    <row r="31" spans="2:10" x14ac:dyDescent="0.2">
      <c r="B31" s="48" t="s">
        <v>112</v>
      </c>
      <c r="C31" s="24"/>
      <c r="D31" s="24"/>
      <c r="E31" s="25"/>
      <c r="F31" s="26"/>
      <c r="G31" s="26"/>
      <c r="H31" s="26"/>
    </row>
    <row r="32" spans="2:10" x14ac:dyDescent="0.2">
      <c r="B32" s="24" t="s">
        <v>112</v>
      </c>
      <c r="C32" s="24"/>
      <c r="D32" s="24"/>
      <c r="E32" s="25"/>
      <c r="F32" s="26">
        <v>599.16999999999996</v>
      </c>
      <c r="G32" s="26">
        <v>4.25</v>
      </c>
      <c r="H32" s="26"/>
    </row>
    <row r="33" spans="2:10" x14ac:dyDescent="0.2">
      <c r="B33" s="31" t="s">
        <v>110</v>
      </c>
      <c r="C33" s="31"/>
      <c r="D33" s="31"/>
      <c r="E33" s="32"/>
      <c r="F33" s="33">
        <f>SUM(F31:F32)</f>
        <v>599.16999999999996</v>
      </c>
      <c r="G33" s="33">
        <f>SUM(G31:G32)</f>
        <v>4.25</v>
      </c>
      <c r="H33" s="49"/>
      <c r="I33" s="14"/>
      <c r="J33" s="14"/>
    </row>
    <row r="34" spans="2:10" x14ac:dyDescent="0.2">
      <c r="B34" s="35" t="s">
        <v>111</v>
      </c>
      <c r="C34" s="35"/>
      <c r="D34" s="35"/>
      <c r="E34" s="36"/>
      <c r="F34" s="37">
        <f>F33</f>
        <v>599.16999999999996</v>
      </c>
      <c r="G34" s="37">
        <f>G33</f>
        <v>4.25</v>
      </c>
      <c r="H34" s="37"/>
      <c r="I34" s="14"/>
      <c r="J34" s="14"/>
    </row>
    <row r="35" spans="2:10" x14ac:dyDescent="0.2">
      <c r="B35" s="45" t="s">
        <v>114</v>
      </c>
      <c r="C35" s="45"/>
      <c r="D35" s="45"/>
      <c r="E35" s="46"/>
      <c r="F35" s="17">
        <f>F36-(+F17+F30+F34)</f>
        <v>297.82999999999811</v>
      </c>
      <c r="G35" s="17">
        <f>G36-(+G17+G30+G34)</f>
        <v>2.1099999999999994</v>
      </c>
      <c r="H35" s="17"/>
      <c r="I35" s="14"/>
      <c r="J35" s="14"/>
    </row>
    <row r="36" spans="2:10" x14ac:dyDescent="0.2">
      <c r="B36" s="45" t="s">
        <v>113</v>
      </c>
      <c r="C36" s="45"/>
      <c r="D36" s="45"/>
      <c r="E36" s="46"/>
      <c r="F36" s="17">
        <v>14102.03</v>
      </c>
      <c r="G36" s="17">
        <v>100</v>
      </c>
      <c r="H36" s="17"/>
      <c r="I36" s="14"/>
      <c r="J36" s="14"/>
    </row>
    <row r="38" spans="2:10" x14ac:dyDescent="0.2">
      <c r="B38" s="14" t="s">
        <v>755</v>
      </c>
    </row>
    <row r="39" spans="2:10" x14ac:dyDescent="0.2">
      <c r="B39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1"/>
  <sheetViews>
    <sheetView workbookViewId="0">
      <selection activeCell="B3" sqref="B3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85546875" style="1" bestFit="1" customWidth="1"/>
    <col min="4" max="4" width="18.28515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18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340</v>
      </c>
      <c r="C5" s="19"/>
      <c r="D5" s="19"/>
      <c r="E5" s="20"/>
      <c r="F5" s="21"/>
      <c r="G5" s="21"/>
      <c r="H5" s="21"/>
    </row>
    <row r="6" spans="2:8" x14ac:dyDescent="0.2">
      <c r="B6" s="48" t="s">
        <v>31</v>
      </c>
      <c r="C6" s="24"/>
      <c r="D6" s="24"/>
      <c r="E6" s="25"/>
      <c r="F6" s="26"/>
      <c r="G6" s="26"/>
      <c r="H6" s="26"/>
    </row>
    <row r="7" spans="2:8" x14ac:dyDescent="0.2">
      <c r="B7" s="24" t="s">
        <v>472</v>
      </c>
      <c r="C7" s="24" t="s">
        <v>473</v>
      </c>
      <c r="D7" s="24" t="s">
        <v>343</v>
      </c>
      <c r="E7" s="29">
        <v>500</v>
      </c>
      <c r="F7" s="26">
        <v>5176.3999999999996</v>
      </c>
      <c r="G7" s="26">
        <v>4.25</v>
      </c>
      <c r="H7" s="26">
        <v>4.42</v>
      </c>
    </row>
    <row r="8" spans="2:8" x14ac:dyDescent="0.2">
      <c r="B8" s="24" t="s">
        <v>474</v>
      </c>
      <c r="C8" s="24" t="s">
        <v>475</v>
      </c>
      <c r="D8" s="24" t="s">
        <v>476</v>
      </c>
      <c r="E8" s="29">
        <v>370</v>
      </c>
      <c r="F8" s="26">
        <v>3712.72</v>
      </c>
      <c r="G8" s="26">
        <v>3.05</v>
      </c>
      <c r="H8" s="26">
        <v>3.97</v>
      </c>
    </row>
    <row r="9" spans="2:8" x14ac:dyDescent="0.2">
      <c r="B9" s="24" t="s">
        <v>367</v>
      </c>
      <c r="C9" s="24" t="s">
        <v>368</v>
      </c>
      <c r="D9" s="24" t="s">
        <v>343</v>
      </c>
      <c r="E9" s="29">
        <v>300</v>
      </c>
      <c r="F9" s="26">
        <v>3140.3</v>
      </c>
      <c r="G9" s="26">
        <v>2.58</v>
      </c>
      <c r="H9" s="26">
        <v>5.0999999999999996</v>
      </c>
    </row>
    <row r="10" spans="2:8" x14ac:dyDescent="0.2">
      <c r="B10" s="24" t="s">
        <v>477</v>
      </c>
      <c r="C10" s="24" t="s">
        <v>478</v>
      </c>
      <c r="D10" s="24" t="s">
        <v>343</v>
      </c>
      <c r="E10" s="29">
        <v>300</v>
      </c>
      <c r="F10" s="26">
        <v>3132.1</v>
      </c>
      <c r="G10" s="26">
        <v>2.57</v>
      </c>
      <c r="H10" s="26">
        <v>5.0199999999999996</v>
      </c>
    </row>
    <row r="11" spans="2:8" x14ac:dyDescent="0.2">
      <c r="B11" s="24" t="s">
        <v>479</v>
      </c>
      <c r="C11" s="24" t="s">
        <v>480</v>
      </c>
      <c r="D11" s="24" t="s">
        <v>343</v>
      </c>
      <c r="E11" s="29">
        <v>250</v>
      </c>
      <c r="F11" s="26">
        <v>3103.16</v>
      </c>
      <c r="G11" s="26">
        <v>2.5499999999999998</v>
      </c>
      <c r="H11" s="26">
        <v>3.56</v>
      </c>
    </row>
    <row r="12" spans="2:8" x14ac:dyDescent="0.2">
      <c r="B12" s="24" t="s">
        <v>481</v>
      </c>
      <c r="C12" s="24" t="s">
        <v>482</v>
      </c>
      <c r="D12" s="24" t="s">
        <v>343</v>
      </c>
      <c r="E12" s="29">
        <v>250</v>
      </c>
      <c r="F12" s="26">
        <v>2622.39</v>
      </c>
      <c r="G12" s="26">
        <v>2.15</v>
      </c>
      <c r="H12" s="26">
        <v>4.6100000000000003</v>
      </c>
    </row>
    <row r="13" spans="2:8" x14ac:dyDescent="0.2">
      <c r="B13" s="24" t="s">
        <v>483</v>
      </c>
      <c r="C13" s="24" t="s">
        <v>484</v>
      </c>
      <c r="D13" s="24" t="s">
        <v>343</v>
      </c>
      <c r="E13" s="29">
        <v>250</v>
      </c>
      <c r="F13" s="26">
        <v>2576.84</v>
      </c>
      <c r="G13" s="26">
        <v>2.11</v>
      </c>
      <c r="H13" s="26">
        <v>4.97</v>
      </c>
    </row>
    <row r="14" spans="2:8" x14ac:dyDescent="0.2">
      <c r="B14" s="24" t="s">
        <v>485</v>
      </c>
      <c r="C14" s="24" t="s">
        <v>486</v>
      </c>
      <c r="D14" s="24" t="s">
        <v>343</v>
      </c>
      <c r="E14" s="29">
        <v>250</v>
      </c>
      <c r="F14" s="26">
        <v>2574.2600000000002</v>
      </c>
      <c r="G14" s="26">
        <v>2.11</v>
      </c>
      <c r="H14" s="26">
        <v>4.25</v>
      </c>
    </row>
    <row r="15" spans="2:8" x14ac:dyDescent="0.2">
      <c r="B15" s="24" t="s">
        <v>487</v>
      </c>
      <c r="C15" s="24" t="s">
        <v>488</v>
      </c>
      <c r="D15" s="24" t="s">
        <v>343</v>
      </c>
      <c r="E15" s="29">
        <v>250</v>
      </c>
      <c r="F15" s="26">
        <v>2551.35</v>
      </c>
      <c r="G15" s="26">
        <v>2.09</v>
      </c>
      <c r="H15" s="26">
        <v>4.57</v>
      </c>
    </row>
    <row r="16" spans="2:8" x14ac:dyDescent="0.2">
      <c r="B16" s="24" t="s">
        <v>350</v>
      </c>
      <c r="C16" s="24" t="s">
        <v>351</v>
      </c>
      <c r="D16" s="24" t="s">
        <v>343</v>
      </c>
      <c r="E16" s="29">
        <v>250</v>
      </c>
      <c r="F16" s="26">
        <v>2520.41</v>
      </c>
      <c r="G16" s="26">
        <v>2.0699999999999998</v>
      </c>
      <c r="H16" s="26">
        <v>3.54</v>
      </c>
    </row>
    <row r="17" spans="2:10" x14ac:dyDescent="0.2">
      <c r="B17" s="24" t="s">
        <v>352</v>
      </c>
      <c r="C17" s="24" t="s">
        <v>353</v>
      </c>
      <c r="D17" s="24" t="s">
        <v>343</v>
      </c>
      <c r="E17" s="29">
        <v>200</v>
      </c>
      <c r="F17" s="26">
        <v>2089.1999999999998</v>
      </c>
      <c r="G17" s="26">
        <v>1.71</v>
      </c>
      <c r="H17" s="26">
        <v>4.88</v>
      </c>
    </row>
    <row r="18" spans="2:10" x14ac:dyDescent="0.2">
      <c r="B18" s="24" t="s">
        <v>341</v>
      </c>
      <c r="C18" s="24" t="s">
        <v>342</v>
      </c>
      <c r="D18" s="24" t="s">
        <v>343</v>
      </c>
      <c r="E18" s="29">
        <v>150</v>
      </c>
      <c r="F18" s="26">
        <v>1571.06</v>
      </c>
      <c r="G18" s="26">
        <v>1.29</v>
      </c>
      <c r="H18" s="26">
        <v>5.03</v>
      </c>
    </row>
    <row r="19" spans="2:10" x14ac:dyDescent="0.2">
      <c r="B19" s="24" t="s">
        <v>489</v>
      </c>
      <c r="C19" s="24" t="s">
        <v>490</v>
      </c>
      <c r="D19" s="24" t="s">
        <v>356</v>
      </c>
      <c r="E19" s="29">
        <v>150</v>
      </c>
      <c r="F19" s="26">
        <v>1561.85</v>
      </c>
      <c r="G19" s="26">
        <v>1.28</v>
      </c>
      <c r="H19" s="26">
        <v>4.6100000000000003</v>
      </c>
    </row>
    <row r="20" spans="2:10" x14ac:dyDescent="0.2">
      <c r="B20" s="24" t="s">
        <v>491</v>
      </c>
      <c r="C20" s="24" t="s">
        <v>492</v>
      </c>
      <c r="D20" s="24" t="s">
        <v>343</v>
      </c>
      <c r="E20" s="29">
        <v>400</v>
      </c>
      <c r="F20" s="26">
        <v>1290.3499999999999</v>
      </c>
      <c r="G20" s="26">
        <v>1.06</v>
      </c>
      <c r="H20" s="26">
        <v>5.38</v>
      </c>
    </row>
    <row r="21" spans="2:10" x14ac:dyDescent="0.2">
      <c r="B21" s="24" t="s">
        <v>493</v>
      </c>
      <c r="C21" s="24" t="s">
        <v>494</v>
      </c>
      <c r="D21" s="24" t="s">
        <v>343</v>
      </c>
      <c r="E21" s="29">
        <v>100</v>
      </c>
      <c r="F21" s="26">
        <v>1051.18</v>
      </c>
      <c r="G21" s="26">
        <v>0.86</v>
      </c>
      <c r="H21" s="26">
        <v>4.68</v>
      </c>
    </row>
    <row r="22" spans="2:10" x14ac:dyDescent="0.2">
      <c r="B22" s="24" t="s">
        <v>495</v>
      </c>
      <c r="C22" s="24" t="s">
        <v>496</v>
      </c>
      <c r="D22" s="24" t="s">
        <v>343</v>
      </c>
      <c r="E22" s="29">
        <v>100</v>
      </c>
      <c r="F22" s="26">
        <v>1029.6500000000001</v>
      </c>
      <c r="G22" s="26">
        <v>0.85</v>
      </c>
      <c r="H22" s="26">
        <v>5.5</v>
      </c>
    </row>
    <row r="23" spans="2:10" x14ac:dyDescent="0.2">
      <c r="B23" s="24" t="s">
        <v>344</v>
      </c>
      <c r="C23" s="24" t="s">
        <v>345</v>
      </c>
      <c r="D23" s="24" t="s">
        <v>343</v>
      </c>
      <c r="E23" s="29">
        <v>100</v>
      </c>
      <c r="F23" s="26">
        <v>1007.67</v>
      </c>
      <c r="G23" s="26">
        <v>0.83</v>
      </c>
      <c r="H23" s="26">
        <v>3.56</v>
      </c>
    </row>
    <row r="24" spans="2:10" x14ac:dyDescent="0.2">
      <c r="B24" s="24" t="s">
        <v>497</v>
      </c>
      <c r="C24" s="24" t="s">
        <v>498</v>
      </c>
      <c r="D24" s="24" t="s">
        <v>343</v>
      </c>
      <c r="E24" s="29">
        <v>50</v>
      </c>
      <c r="F24" s="26">
        <v>527.44000000000005</v>
      </c>
      <c r="G24" s="26">
        <v>0.43</v>
      </c>
      <c r="H24" s="26">
        <v>4.3899999999999997</v>
      </c>
    </row>
    <row r="25" spans="2:10" x14ac:dyDescent="0.2">
      <c r="B25" s="24" t="s">
        <v>499</v>
      </c>
      <c r="C25" s="24" t="s">
        <v>500</v>
      </c>
      <c r="D25" s="24" t="s">
        <v>343</v>
      </c>
      <c r="E25" s="29">
        <v>50</v>
      </c>
      <c r="F25" s="26">
        <v>521.30999999999995</v>
      </c>
      <c r="G25" s="26">
        <v>0.43</v>
      </c>
      <c r="H25" s="26">
        <v>4.66</v>
      </c>
    </row>
    <row r="26" spans="2:10" x14ac:dyDescent="0.2">
      <c r="B26" s="24" t="s">
        <v>501</v>
      </c>
      <c r="C26" s="24" t="s">
        <v>502</v>
      </c>
      <c r="D26" s="24" t="s">
        <v>343</v>
      </c>
      <c r="E26" s="29">
        <v>50</v>
      </c>
      <c r="F26" s="26">
        <v>511.99</v>
      </c>
      <c r="G26" s="26">
        <v>0.42</v>
      </c>
      <c r="H26" s="26">
        <v>4.42</v>
      </c>
    </row>
    <row r="27" spans="2:10" x14ac:dyDescent="0.2">
      <c r="B27" s="31" t="s">
        <v>110</v>
      </c>
      <c r="C27" s="31"/>
      <c r="D27" s="31"/>
      <c r="E27" s="32"/>
      <c r="F27" s="33">
        <f>SUM(F6:F26)</f>
        <v>42271.62999999999</v>
      </c>
      <c r="G27" s="33">
        <f>SUM(G6:G26)</f>
        <v>34.69</v>
      </c>
      <c r="H27" s="49"/>
      <c r="I27" s="14"/>
      <c r="J27" s="14"/>
    </row>
    <row r="28" spans="2:10" x14ac:dyDescent="0.2">
      <c r="B28" s="50" t="s">
        <v>111</v>
      </c>
      <c r="C28" s="50"/>
      <c r="D28" s="50"/>
      <c r="E28" s="51"/>
      <c r="F28" s="52">
        <f>F27</f>
        <v>42271.62999999999</v>
      </c>
      <c r="G28" s="52">
        <f>G27</f>
        <v>34.69</v>
      </c>
      <c r="H28" s="52"/>
      <c r="I28" s="14"/>
      <c r="J28" s="14"/>
    </row>
    <row r="29" spans="2:10" x14ac:dyDescent="0.2">
      <c r="B29" s="48" t="s">
        <v>503</v>
      </c>
      <c r="C29" s="24"/>
      <c r="D29" s="24"/>
      <c r="E29" s="25"/>
      <c r="F29" s="26"/>
      <c r="G29" s="26"/>
      <c r="H29" s="26"/>
    </row>
    <row r="30" spans="2:10" x14ac:dyDescent="0.2">
      <c r="B30" s="48" t="s">
        <v>504</v>
      </c>
      <c r="C30" s="24"/>
      <c r="D30" s="24"/>
      <c r="E30" s="25"/>
      <c r="F30" s="26"/>
      <c r="G30" s="26"/>
      <c r="H30" s="26"/>
    </row>
    <row r="31" spans="2:10" x14ac:dyDescent="0.2">
      <c r="B31" s="24" t="s">
        <v>505</v>
      </c>
      <c r="C31" s="24" t="s">
        <v>506</v>
      </c>
      <c r="D31" s="24" t="s">
        <v>507</v>
      </c>
      <c r="E31" s="29">
        <v>5000</v>
      </c>
      <c r="F31" s="26">
        <v>4963.21</v>
      </c>
      <c r="G31" s="26">
        <v>4.07</v>
      </c>
      <c r="H31" s="26">
        <v>3.3</v>
      </c>
    </row>
    <row r="32" spans="2:10" x14ac:dyDescent="0.2">
      <c r="B32" s="24" t="s">
        <v>508</v>
      </c>
      <c r="C32" s="24" t="s">
        <v>509</v>
      </c>
      <c r="D32" s="24" t="s">
        <v>510</v>
      </c>
      <c r="E32" s="29">
        <v>2500</v>
      </c>
      <c r="F32" s="26">
        <v>2490.58</v>
      </c>
      <c r="G32" s="26">
        <v>2.04</v>
      </c>
      <c r="H32" s="26">
        <v>3.29</v>
      </c>
    </row>
    <row r="33" spans="2:10" x14ac:dyDescent="0.2">
      <c r="B33" s="24" t="s">
        <v>511</v>
      </c>
      <c r="C33" s="24" t="s">
        <v>512</v>
      </c>
      <c r="D33" s="24" t="s">
        <v>507</v>
      </c>
      <c r="E33" s="29">
        <v>2500</v>
      </c>
      <c r="F33" s="26">
        <v>2490.5300000000002</v>
      </c>
      <c r="G33" s="26">
        <v>2.04</v>
      </c>
      <c r="H33" s="26">
        <v>3.31</v>
      </c>
    </row>
    <row r="34" spans="2:10" x14ac:dyDescent="0.2">
      <c r="B34" s="24" t="s">
        <v>513</v>
      </c>
      <c r="C34" s="24" t="s">
        <v>514</v>
      </c>
      <c r="D34" s="24" t="s">
        <v>515</v>
      </c>
      <c r="E34" s="29">
        <v>2500</v>
      </c>
      <c r="F34" s="26">
        <v>2437.84</v>
      </c>
      <c r="G34" s="26">
        <v>2</v>
      </c>
      <c r="H34" s="26">
        <v>3.83</v>
      </c>
    </row>
    <row r="35" spans="2:10" x14ac:dyDescent="0.2">
      <c r="B35" s="24" t="s">
        <v>516</v>
      </c>
      <c r="C35" s="24" t="s">
        <v>517</v>
      </c>
      <c r="D35" s="24" t="s">
        <v>515</v>
      </c>
      <c r="E35" s="29">
        <v>2500</v>
      </c>
      <c r="F35" s="26">
        <v>2433.52</v>
      </c>
      <c r="G35" s="26">
        <v>2</v>
      </c>
      <c r="H35" s="26">
        <v>3.85</v>
      </c>
    </row>
    <row r="36" spans="2:10" x14ac:dyDescent="0.2">
      <c r="B36" s="24" t="s">
        <v>518</v>
      </c>
      <c r="C36" s="24" t="s">
        <v>519</v>
      </c>
      <c r="D36" s="24" t="s">
        <v>507</v>
      </c>
      <c r="E36" s="29">
        <v>500</v>
      </c>
      <c r="F36" s="26">
        <v>493.49</v>
      </c>
      <c r="G36" s="26">
        <v>0.41</v>
      </c>
      <c r="H36" s="26">
        <v>3.59</v>
      </c>
    </row>
    <row r="37" spans="2:10" x14ac:dyDescent="0.2">
      <c r="B37" s="48" t="s">
        <v>110</v>
      </c>
      <c r="C37" s="48"/>
      <c r="D37" s="48"/>
      <c r="E37" s="60"/>
      <c r="F37" s="58">
        <f>SUM(F30:F36)</f>
        <v>15309.17</v>
      </c>
      <c r="G37" s="58">
        <f>SUM(G30:G36)</f>
        <v>12.56</v>
      </c>
      <c r="H37" s="61"/>
      <c r="I37" s="14"/>
      <c r="J37" s="14"/>
    </row>
    <row r="38" spans="2:10" x14ac:dyDescent="0.2">
      <c r="B38" s="48" t="s">
        <v>520</v>
      </c>
      <c r="C38" s="24"/>
      <c r="D38" s="24"/>
      <c r="E38" s="25"/>
      <c r="F38" s="26"/>
      <c r="G38" s="26"/>
      <c r="H38" s="26"/>
    </row>
    <row r="39" spans="2:10" x14ac:dyDescent="0.2">
      <c r="B39" s="24" t="s">
        <v>521</v>
      </c>
      <c r="C39" s="24" t="s">
        <v>522</v>
      </c>
      <c r="D39" s="24" t="s">
        <v>523</v>
      </c>
      <c r="E39" s="29">
        <v>1000</v>
      </c>
      <c r="F39" s="26">
        <v>4991.88</v>
      </c>
      <c r="G39" s="26">
        <v>4.0999999999999996</v>
      </c>
      <c r="H39" s="26">
        <v>3.3</v>
      </c>
    </row>
    <row r="40" spans="2:10" x14ac:dyDescent="0.2">
      <c r="B40" s="24" t="s">
        <v>524</v>
      </c>
      <c r="C40" s="24" t="s">
        <v>525</v>
      </c>
      <c r="D40" s="24" t="s">
        <v>507</v>
      </c>
      <c r="E40" s="29">
        <v>800</v>
      </c>
      <c r="F40" s="26">
        <v>3935.31</v>
      </c>
      <c r="G40" s="26">
        <v>3.23</v>
      </c>
      <c r="H40" s="26">
        <v>3.75</v>
      </c>
    </row>
    <row r="41" spans="2:10" x14ac:dyDescent="0.2">
      <c r="B41" s="24" t="s">
        <v>526</v>
      </c>
      <c r="C41" s="24" t="s">
        <v>527</v>
      </c>
      <c r="D41" s="24" t="s">
        <v>507</v>
      </c>
      <c r="E41" s="29">
        <v>500</v>
      </c>
      <c r="F41" s="26">
        <v>2462.87</v>
      </c>
      <c r="G41" s="26">
        <v>2.02</v>
      </c>
      <c r="H41" s="26">
        <v>3.62</v>
      </c>
    </row>
    <row r="42" spans="2:10" x14ac:dyDescent="0.2">
      <c r="B42" s="48" t="s">
        <v>110</v>
      </c>
      <c r="C42" s="48"/>
      <c r="D42" s="48"/>
      <c r="E42" s="60"/>
      <c r="F42" s="58">
        <f>SUM(F38:F41)</f>
        <v>11390.060000000001</v>
      </c>
      <c r="G42" s="58">
        <f>SUM(G38:G41)</f>
        <v>9.35</v>
      </c>
      <c r="H42" s="61"/>
      <c r="I42" s="14"/>
      <c r="J42" s="14"/>
    </row>
    <row r="43" spans="2:10" x14ac:dyDescent="0.2">
      <c r="B43" s="48" t="s">
        <v>528</v>
      </c>
      <c r="C43" s="24"/>
      <c r="D43" s="24"/>
      <c r="E43" s="25"/>
      <c r="F43" s="26"/>
      <c r="G43" s="26"/>
      <c r="H43" s="26"/>
    </row>
    <row r="44" spans="2:10" x14ac:dyDescent="0.2">
      <c r="B44" s="24" t="s">
        <v>529</v>
      </c>
      <c r="C44" s="24" t="s">
        <v>530</v>
      </c>
      <c r="D44" s="24" t="s">
        <v>531</v>
      </c>
      <c r="E44" s="29">
        <v>8000000</v>
      </c>
      <c r="F44" s="26">
        <v>7965.25</v>
      </c>
      <c r="G44" s="26">
        <v>6.54</v>
      </c>
      <c r="H44" s="26">
        <v>3.25</v>
      </c>
    </row>
    <row r="45" spans="2:10" x14ac:dyDescent="0.2">
      <c r="B45" s="24" t="s">
        <v>532</v>
      </c>
      <c r="C45" s="24" t="s">
        <v>533</v>
      </c>
      <c r="D45" s="24" t="s">
        <v>531</v>
      </c>
      <c r="E45" s="29">
        <v>5000000</v>
      </c>
      <c r="F45" s="26">
        <v>4968.9399999999996</v>
      </c>
      <c r="G45" s="26">
        <v>4.08</v>
      </c>
      <c r="H45" s="26">
        <v>3.26</v>
      </c>
    </row>
    <row r="46" spans="2:10" x14ac:dyDescent="0.2">
      <c r="B46" s="31" t="s">
        <v>110</v>
      </c>
      <c r="C46" s="31"/>
      <c r="D46" s="31"/>
      <c r="E46" s="32"/>
      <c r="F46" s="33">
        <f>SUM(F43:F45)</f>
        <v>12934.189999999999</v>
      </c>
      <c r="G46" s="33">
        <f>SUM(G43:G45)</f>
        <v>10.620000000000001</v>
      </c>
      <c r="H46" s="49"/>
      <c r="I46" s="14"/>
      <c r="J46" s="14"/>
    </row>
    <row r="47" spans="2:10" x14ac:dyDescent="0.2">
      <c r="B47" s="50" t="s">
        <v>111</v>
      </c>
      <c r="C47" s="50"/>
      <c r="D47" s="50"/>
      <c r="E47" s="51"/>
      <c r="F47" s="52">
        <f>F37+F42+F46</f>
        <v>39633.42</v>
      </c>
      <c r="G47" s="52">
        <f>G37+G42+G46</f>
        <v>32.53</v>
      </c>
      <c r="H47" s="52"/>
      <c r="I47" s="14"/>
      <c r="J47" s="14"/>
    </row>
    <row r="48" spans="2:10" x14ac:dyDescent="0.2">
      <c r="B48" s="48" t="s">
        <v>412</v>
      </c>
      <c r="C48" s="24"/>
      <c r="D48" s="24"/>
      <c r="E48" s="25"/>
      <c r="F48" s="26"/>
      <c r="G48" s="26"/>
      <c r="H48" s="26"/>
    </row>
    <row r="49" spans="2:10" x14ac:dyDescent="0.2">
      <c r="B49" s="24" t="s">
        <v>413</v>
      </c>
      <c r="C49" s="24" t="s">
        <v>414</v>
      </c>
      <c r="D49" s="24" t="s">
        <v>415</v>
      </c>
      <c r="E49" s="29">
        <v>6000000</v>
      </c>
      <c r="F49" s="26">
        <v>6482.79</v>
      </c>
      <c r="G49" s="26">
        <v>5.32</v>
      </c>
      <c r="H49" s="26">
        <v>4.93</v>
      </c>
    </row>
    <row r="50" spans="2:10" x14ac:dyDescent="0.2">
      <c r="B50" s="53" t="s">
        <v>534</v>
      </c>
      <c r="C50" s="53" t="s">
        <v>535</v>
      </c>
      <c r="D50" s="53" t="s">
        <v>415</v>
      </c>
      <c r="E50" s="54">
        <v>5000000</v>
      </c>
      <c r="F50" s="55">
        <v>5044.7</v>
      </c>
      <c r="G50" s="55">
        <v>4.1399999999999997</v>
      </c>
      <c r="H50" s="55">
        <v>3.4</v>
      </c>
    </row>
    <row r="51" spans="2:10" x14ac:dyDescent="0.2">
      <c r="B51" s="56" t="s">
        <v>111</v>
      </c>
      <c r="C51" s="56"/>
      <c r="D51" s="56"/>
      <c r="E51" s="57"/>
      <c r="F51" s="58">
        <f>SUM(F49:F50)</f>
        <v>11527.49</v>
      </c>
      <c r="G51" s="58">
        <f>SUM(G49:G50)</f>
        <v>9.4600000000000009</v>
      </c>
      <c r="H51" s="58"/>
      <c r="I51" s="14"/>
      <c r="J51" s="14"/>
    </row>
    <row r="52" spans="2:10" x14ac:dyDescent="0.2">
      <c r="B52" s="48" t="s">
        <v>112</v>
      </c>
      <c r="C52" s="24"/>
      <c r="D52" s="24"/>
      <c r="E52" s="25"/>
      <c r="F52" s="26"/>
      <c r="G52" s="26"/>
      <c r="H52" s="26"/>
    </row>
    <row r="53" spans="2:10" x14ac:dyDescent="0.2">
      <c r="B53" s="24" t="s">
        <v>112</v>
      </c>
      <c r="C53" s="24"/>
      <c r="D53" s="24"/>
      <c r="E53" s="25"/>
      <c r="F53" s="26">
        <v>26579.27</v>
      </c>
      <c r="G53" s="26">
        <v>21.81</v>
      </c>
      <c r="H53" s="26"/>
    </row>
    <row r="54" spans="2:10" x14ac:dyDescent="0.2">
      <c r="B54" s="31" t="s">
        <v>110</v>
      </c>
      <c r="C54" s="31"/>
      <c r="D54" s="31"/>
      <c r="E54" s="32"/>
      <c r="F54" s="33">
        <f>SUM(F52:F53)</f>
        <v>26579.27</v>
      </c>
      <c r="G54" s="33">
        <f>SUM(G52:G53)</f>
        <v>21.81</v>
      </c>
      <c r="H54" s="49"/>
      <c r="I54" s="14"/>
      <c r="J54" s="14"/>
    </row>
    <row r="55" spans="2:10" x14ac:dyDescent="0.2">
      <c r="B55" s="35" t="s">
        <v>111</v>
      </c>
      <c r="C55" s="35"/>
      <c r="D55" s="35"/>
      <c r="E55" s="36"/>
      <c r="F55" s="37">
        <f>F54</f>
        <v>26579.27</v>
      </c>
      <c r="G55" s="37">
        <f>G54</f>
        <v>21.81</v>
      </c>
      <c r="H55" s="37"/>
      <c r="I55" s="14"/>
      <c r="J55" s="14"/>
    </row>
    <row r="56" spans="2:10" x14ac:dyDescent="0.2">
      <c r="B56" s="45" t="s">
        <v>114</v>
      </c>
      <c r="C56" s="45"/>
      <c r="D56" s="45"/>
      <c r="E56" s="46"/>
      <c r="F56" s="17">
        <f>F57-(+F28+F47+F51+F55)</f>
        <v>1828.820000000007</v>
      </c>
      <c r="G56" s="17">
        <f>G57-(+G28+G47+G51+G55)</f>
        <v>1.5099999999999909</v>
      </c>
      <c r="H56" s="17"/>
      <c r="I56" s="14"/>
      <c r="J56" s="14"/>
    </row>
    <row r="57" spans="2:10" x14ac:dyDescent="0.2">
      <c r="B57" s="45" t="s">
        <v>113</v>
      </c>
      <c r="C57" s="45"/>
      <c r="D57" s="45"/>
      <c r="E57" s="46"/>
      <c r="F57" s="17">
        <v>121840.63</v>
      </c>
      <c r="G57" s="17">
        <v>100</v>
      </c>
      <c r="H57" s="17"/>
      <c r="I57" s="14"/>
      <c r="J57" s="14"/>
    </row>
    <row r="59" spans="2:10" x14ac:dyDescent="0.2">
      <c r="B59" s="14" t="s">
        <v>755</v>
      </c>
    </row>
    <row r="60" spans="2:10" x14ac:dyDescent="0.2">
      <c r="B60" s="14" t="s">
        <v>536</v>
      </c>
    </row>
    <row r="61" spans="2:10" x14ac:dyDescent="0.2">
      <c r="B61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19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8" t="s">
        <v>30</v>
      </c>
      <c r="C5" s="19"/>
      <c r="D5" s="19"/>
      <c r="E5" s="20"/>
      <c r="F5" s="21"/>
      <c r="G5" s="21"/>
      <c r="H5" s="22"/>
    </row>
    <row r="6" spans="2:8" x14ac:dyDescent="0.2">
      <c r="B6" s="23" t="s">
        <v>31</v>
      </c>
      <c r="C6" s="24"/>
      <c r="D6" s="24"/>
      <c r="E6" s="25"/>
      <c r="F6" s="26"/>
      <c r="G6" s="26"/>
      <c r="H6" s="27"/>
    </row>
    <row r="7" spans="2:8" x14ac:dyDescent="0.2">
      <c r="B7" s="28" t="s">
        <v>122</v>
      </c>
      <c r="C7" s="24" t="s">
        <v>123</v>
      </c>
      <c r="D7" s="24" t="s">
        <v>90</v>
      </c>
      <c r="E7" s="29">
        <v>40032</v>
      </c>
      <c r="F7" s="26">
        <v>431.79</v>
      </c>
      <c r="G7" s="26">
        <v>1.58</v>
      </c>
      <c r="H7" s="27"/>
    </row>
    <row r="8" spans="2:8" x14ac:dyDescent="0.2">
      <c r="B8" s="28" t="s">
        <v>35</v>
      </c>
      <c r="C8" s="24" t="s">
        <v>36</v>
      </c>
      <c r="D8" s="24" t="s">
        <v>37</v>
      </c>
      <c r="E8" s="29">
        <v>17154</v>
      </c>
      <c r="F8" s="26">
        <v>383.28</v>
      </c>
      <c r="G8" s="26">
        <v>1.4</v>
      </c>
      <c r="H8" s="27"/>
    </row>
    <row r="9" spans="2:8" x14ac:dyDescent="0.2">
      <c r="B9" s="28" t="s">
        <v>129</v>
      </c>
      <c r="C9" s="24" t="s">
        <v>130</v>
      </c>
      <c r="D9" s="24" t="s">
        <v>131</v>
      </c>
      <c r="E9" s="29">
        <v>11000</v>
      </c>
      <c r="F9" s="26">
        <v>360.65</v>
      </c>
      <c r="G9" s="26">
        <v>1.32</v>
      </c>
      <c r="H9" s="27"/>
    </row>
    <row r="10" spans="2:8" x14ac:dyDescent="0.2">
      <c r="B10" s="28" t="s">
        <v>134</v>
      </c>
      <c r="C10" s="24" t="s">
        <v>135</v>
      </c>
      <c r="D10" s="24" t="s">
        <v>136</v>
      </c>
      <c r="E10" s="29">
        <v>9000</v>
      </c>
      <c r="F10" s="26">
        <v>274.32</v>
      </c>
      <c r="G10" s="26">
        <v>1</v>
      </c>
      <c r="H10" s="27"/>
    </row>
    <row r="11" spans="2:8" x14ac:dyDescent="0.2">
      <c r="B11" s="28" t="s">
        <v>119</v>
      </c>
      <c r="C11" s="24" t="s">
        <v>120</v>
      </c>
      <c r="D11" s="24" t="s">
        <v>121</v>
      </c>
      <c r="E11" s="29">
        <v>26920</v>
      </c>
      <c r="F11" s="26">
        <v>271.42</v>
      </c>
      <c r="G11" s="26">
        <v>0.99</v>
      </c>
      <c r="H11" s="27"/>
    </row>
    <row r="12" spans="2:8" x14ac:dyDescent="0.2">
      <c r="B12" s="28" t="s">
        <v>316</v>
      </c>
      <c r="C12" s="24" t="s">
        <v>317</v>
      </c>
      <c r="D12" s="24" t="s">
        <v>131</v>
      </c>
      <c r="E12" s="29">
        <v>20316</v>
      </c>
      <c r="F12" s="26">
        <v>249.89</v>
      </c>
      <c r="G12" s="26">
        <v>0.91</v>
      </c>
      <c r="H12" s="27"/>
    </row>
    <row r="13" spans="2:8" x14ac:dyDescent="0.2">
      <c r="B13" s="28" t="s">
        <v>124</v>
      </c>
      <c r="C13" s="24" t="s">
        <v>125</v>
      </c>
      <c r="D13" s="24" t="s">
        <v>121</v>
      </c>
      <c r="E13" s="29">
        <v>9242</v>
      </c>
      <c r="F13" s="26">
        <v>230.34</v>
      </c>
      <c r="G13" s="26">
        <v>0.84</v>
      </c>
      <c r="H13" s="27"/>
    </row>
    <row r="14" spans="2:8" x14ac:dyDescent="0.2">
      <c r="B14" s="28" t="s">
        <v>166</v>
      </c>
      <c r="C14" s="24" t="s">
        <v>167</v>
      </c>
      <c r="D14" s="24" t="s">
        <v>90</v>
      </c>
      <c r="E14" s="29">
        <v>54062</v>
      </c>
      <c r="F14" s="26">
        <v>229.57</v>
      </c>
      <c r="G14" s="26">
        <v>0.84</v>
      </c>
      <c r="H14" s="27"/>
    </row>
    <row r="15" spans="2:8" x14ac:dyDescent="0.2">
      <c r="B15" s="28" t="s">
        <v>170</v>
      </c>
      <c r="C15" s="24" t="s">
        <v>171</v>
      </c>
      <c r="D15" s="24" t="s">
        <v>172</v>
      </c>
      <c r="E15" s="29">
        <v>3715</v>
      </c>
      <c r="F15" s="26">
        <v>227.07</v>
      </c>
      <c r="G15" s="26">
        <v>0.83</v>
      </c>
      <c r="H15" s="27"/>
    </row>
    <row r="16" spans="2:8" x14ac:dyDescent="0.2">
      <c r="B16" s="28" t="s">
        <v>216</v>
      </c>
      <c r="C16" s="24" t="s">
        <v>217</v>
      </c>
      <c r="D16" s="24" t="s">
        <v>218</v>
      </c>
      <c r="E16" s="29">
        <v>10000</v>
      </c>
      <c r="F16" s="26">
        <v>220.32</v>
      </c>
      <c r="G16" s="26">
        <v>0.81</v>
      </c>
      <c r="H16" s="27"/>
    </row>
    <row r="17" spans="2:8" x14ac:dyDescent="0.2">
      <c r="B17" s="28" t="s">
        <v>162</v>
      </c>
      <c r="C17" s="24" t="s">
        <v>163</v>
      </c>
      <c r="D17" s="24" t="s">
        <v>136</v>
      </c>
      <c r="E17" s="29">
        <v>10000</v>
      </c>
      <c r="F17" s="26">
        <v>216.65</v>
      </c>
      <c r="G17" s="26">
        <v>0.79</v>
      </c>
      <c r="H17" s="27"/>
    </row>
    <row r="18" spans="2:8" x14ac:dyDescent="0.2">
      <c r="B18" s="28" t="s">
        <v>206</v>
      </c>
      <c r="C18" s="24" t="s">
        <v>207</v>
      </c>
      <c r="D18" s="24" t="s">
        <v>131</v>
      </c>
      <c r="E18" s="29">
        <v>100000</v>
      </c>
      <c r="F18" s="26">
        <v>207.85</v>
      </c>
      <c r="G18" s="26">
        <v>0.76</v>
      </c>
      <c r="H18" s="27"/>
    </row>
    <row r="19" spans="2:8" x14ac:dyDescent="0.2">
      <c r="B19" s="28" t="s">
        <v>142</v>
      </c>
      <c r="C19" s="24" t="s">
        <v>143</v>
      </c>
      <c r="D19" s="24" t="s">
        <v>131</v>
      </c>
      <c r="E19" s="29">
        <v>12000</v>
      </c>
      <c r="F19" s="26">
        <v>206.74</v>
      </c>
      <c r="G19" s="26">
        <v>0.76</v>
      </c>
      <c r="H19" s="27"/>
    </row>
    <row r="20" spans="2:8" x14ac:dyDescent="0.2">
      <c r="B20" s="28" t="s">
        <v>68</v>
      </c>
      <c r="C20" s="24" t="s">
        <v>69</v>
      </c>
      <c r="D20" s="24" t="s">
        <v>62</v>
      </c>
      <c r="E20" s="29">
        <v>50000</v>
      </c>
      <c r="F20" s="26">
        <v>193.4</v>
      </c>
      <c r="G20" s="26">
        <v>0.71</v>
      </c>
      <c r="H20" s="27"/>
    </row>
    <row r="21" spans="2:8" x14ac:dyDescent="0.2">
      <c r="B21" s="28" t="s">
        <v>99</v>
      </c>
      <c r="C21" s="24" t="s">
        <v>100</v>
      </c>
      <c r="D21" s="24" t="s">
        <v>101</v>
      </c>
      <c r="E21" s="29">
        <v>40000</v>
      </c>
      <c r="F21" s="26">
        <v>168.38</v>
      </c>
      <c r="G21" s="26">
        <v>0.62</v>
      </c>
      <c r="H21" s="27"/>
    </row>
    <row r="22" spans="2:8" x14ac:dyDescent="0.2">
      <c r="B22" s="28" t="s">
        <v>146</v>
      </c>
      <c r="C22" s="24" t="s">
        <v>147</v>
      </c>
      <c r="D22" s="24" t="s">
        <v>148</v>
      </c>
      <c r="E22" s="29">
        <v>11400</v>
      </c>
      <c r="F22" s="26">
        <v>168.38</v>
      </c>
      <c r="G22" s="26">
        <v>0.62</v>
      </c>
      <c r="H22" s="27"/>
    </row>
    <row r="23" spans="2:8" x14ac:dyDescent="0.2">
      <c r="B23" s="28" t="s">
        <v>191</v>
      </c>
      <c r="C23" s="24" t="s">
        <v>192</v>
      </c>
      <c r="D23" s="24" t="s">
        <v>131</v>
      </c>
      <c r="E23" s="29">
        <v>19736</v>
      </c>
      <c r="F23" s="26">
        <v>167.28</v>
      </c>
      <c r="G23" s="26">
        <v>0.61</v>
      </c>
      <c r="H23" s="27"/>
    </row>
    <row r="24" spans="2:8" x14ac:dyDescent="0.2">
      <c r="B24" s="28" t="s">
        <v>164</v>
      </c>
      <c r="C24" s="24" t="s">
        <v>165</v>
      </c>
      <c r="D24" s="24" t="s">
        <v>65</v>
      </c>
      <c r="E24" s="29">
        <v>13700</v>
      </c>
      <c r="F24" s="26">
        <v>164.58</v>
      </c>
      <c r="G24" s="26">
        <v>0.6</v>
      </c>
      <c r="H24" s="27"/>
    </row>
    <row r="25" spans="2:8" x14ac:dyDescent="0.2">
      <c r="B25" s="28" t="s">
        <v>88</v>
      </c>
      <c r="C25" s="24" t="s">
        <v>89</v>
      </c>
      <c r="D25" s="24" t="s">
        <v>90</v>
      </c>
      <c r="E25" s="29">
        <v>45914</v>
      </c>
      <c r="F25" s="26">
        <v>162.88</v>
      </c>
      <c r="G25" s="26">
        <v>0.6</v>
      </c>
      <c r="H25" s="27"/>
    </row>
    <row r="26" spans="2:8" x14ac:dyDescent="0.2">
      <c r="B26" s="28" t="s">
        <v>132</v>
      </c>
      <c r="C26" s="24" t="s">
        <v>133</v>
      </c>
      <c r="D26" s="24" t="s">
        <v>90</v>
      </c>
      <c r="E26" s="29">
        <v>12450</v>
      </c>
      <c r="F26" s="26">
        <v>157.88999999999999</v>
      </c>
      <c r="G26" s="26">
        <v>0.57999999999999996</v>
      </c>
      <c r="H26" s="27"/>
    </row>
    <row r="27" spans="2:8" x14ac:dyDescent="0.2">
      <c r="B27" s="28" t="s">
        <v>60</v>
      </c>
      <c r="C27" s="24" t="s">
        <v>61</v>
      </c>
      <c r="D27" s="24" t="s">
        <v>62</v>
      </c>
      <c r="E27" s="29">
        <v>50000</v>
      </c>
      <c r="F27" s="26">
        <v>154.19999999999999</v>
      </c>
      <c r="G27" s="26">
        <v>0.56000000000000005</v>
      </c>
      <c r="H27" s="27"/>
    </row>
    <row r="28" spans="2:8" x14ac:dyDescent="0.2">
      <c r="B28" s="28" t="s">
        <v>249</v>
      </c>
      <c r="C28" s="24" t="s">
        <v>250</v>
      </c>
      <c r="D28" s="24" t="s">
        <v>218</v>
      </c>
      <c r="E28" s="29">
        <v>110000</v>
      </c>
      <c r="F28" s="26">
        <v>146.96</v>
      </c>
      <c r="G28" s="26">
        <v>0.54</v>
      </c>
      <c r="H28" s="27"/>
    </row>
    <row r="29" spans="2:8" x14ac:dyDescent="0.2">
      <c r="B29" s="28" t="s">
        <v>149</v>
      </c>
      <c r="C29" s="24" t="s">
        <v>150</v>
      </c>
      <c r="D29" s="24" t="s">
        <v>139</v>
      </c>
      <c r="E29" s="29">
        <v>2150</v>
      </c>
      <c r="F29" s="26">
        <v>144.97999999999999</v>
      </c>
      <c r="G29" s="26">
        <v>0.53</v>
      </c>
      <c r="H29" s="27"/>
    </row>
    <row r="30" spans="2:8" x14ac:dyDescent="0.2">
      <c r="B30" s="28" t="s">
        <v>214</v>
      </c>
      <c r="C30" s="24" t="s">
        <v>215</v>
      </c>
      <c r="D30" s="24" t="s">
        <v>128</v>
      </c>
      <c r="E30" s="29">
        <v>6000</v>
      </c>
      <c r="F30" s="26">
        <v>140.66</v>
      </c>
      <c r="G30" s="26">
        <v>0.51</v>
      </c>
      <c r="H30" s="27"/>
    </row>
    <row r="31" spans="2:8" x14ac:dyDescent="0.2">
      <c r="B31" s="28" t="s">
        <v>183</v>
      </c>
      <c r="C31" s="24" t="s">
        <v>184</v>
      </c>
      <c r="D31" s="24" t="s">
        <v>172</v>
      </c>
      <c r="E31" s="29">
        <v>10000</v>
      </c>
      <c r="F31" s="26">
        <v>133.66</v>
      </c>
      <c r="G31" s="26">
        <v>0.49</v>
      </c>
      <c r="H31" s="27"/>
    </row>
    <row r="32" spans="2:8" x14ac:dyDescent="0.2">
      <c r="B32" s="28" t="s">
        <v>196</v>
      </c>
      <c r="C32" s="24" t="s">
        <v>197</v>
      </c>
      <c r="D32" s="24" t="s">
        <v>148</v>
      </c>
      <c r="E32" s="29">
        <v>39500</v>
      </c>
      <c r="F32" s="26">
        <v>130.66999999999999</v>
      </c>
      <c r="G32" s="26">
        <v>0.48</v>
      </c>
      <c r="H32" s="27"/>
    </row>
    <row r="33" spans="2:10" x14ac:dyDescent="0.2">
      <c r="B33" s="28" t="s">
        <v>47</v>
      </c>
      <c r="C33" s="24" t="s">
        <v>48</v>
      </c>
      <c r="D33" s="24" t="s">
        <v>49</v>
      </c>
      <c r="E33" s="29">
        <v>15966</v>
      </c>
      <c r="F33" s="26">
        <v>124.57</v>
      </c>
      <c r="G33" s="26">
        <v>0.46</v>
      </c>
      <c r="H33" s="27"/>
    </row>
    <row r="34" spans="2:10" x14ac:dyDescent="0.2">
      <c r="B34" s="28" t="s">
        <v>126</v>
      </c>
      <c r="C34" s="24" t="s">
        <v>127</v>
      </c>
      <c r="D34" s="24" t="s">
        <v>128</v>
      </c>
      <c r="E34" s="29">
        <v>5597</v>
      </c>
      <c r="F34" s="26">
        <v>115.76</v>
      </c>
      <c r="G34" s="26">
        <v>0.42</v>
      </c>
      <c r="H34" s="27"/>
    </row>
    <row r="35" spans="2:10" x14ac:dyDescent="0.2">
      <c r="B35" s="28" t="s">
        <v>70</v>
      </c>
      <c r="C35" s="24" t="s">
        <v>71</v>
      </c>
      <c r="D35" s="24" t="s">
        <v>49</v>
      </c>
      <c r="E35" s="29">
        <v>49244</v>
      </c>
      <c r="F35" s="26">
        <v>113.78</v>
      </c>
      <c r="G35" s="26">
        <v>0.42</v>
      </c>
      <c r="H35" s="27"/>
    </row>
    <row r="36" spans="2:10" x14ac:dyDescent="0.2">
      <c r="B36" s="28" t="s">
        <v>168</v>
      </c>
      <c r="C36" s="24" t="s">
        <v>169</v>
      </c>
      <c r="D36" s="24" t="s">
        <v>128</v>
      </c>
      <c r="E36" s="29">
        <v>700</v>
      </c>
      <c r="F36" s="26">
        <v>111.43</v>
      </c>
      <c r="G36" s="26">
        <v>0.41</v>
      </c>
      <c r="H36" s="27"/>
    </row>
    <row r="37" spans="2:10" x14ac:dyDescent="0.2">
      <c r="B37" s="28" t="s">
        <v>187</v>
      </c>
      <c r="C37" s="24" t="s">
        <v>188</v>
      </c>
      <c r="D37" s="24" t="s">
        <v>65</v>
      </c>
      <c r="E37" s="29">
        <v>5000</v>
      </c>
      <c r="F37" s="26">
        <v>109.84</v>
      </c>
      <c r="G37" s="26">
        <v>0.4</v>
      </c>
      <c r="H37" s="27"/>
    </row>
    <row r="38" spans="2:10" x14ac:dyDescent="0.2">
      <c r="B38" s="28" t="s">
        <v>249</v>
      </c>
      <c r="C38" s="24" t="s">
        <v>263</v>
      </c>
      <c r="D38" s="24" t="s">
        <v>218</v>
      </c>
      <c r="E38" s="29">
        <v>15000</v>
      </c>
      <c r="F38" s="26">
        <v>11.21</v>
      </c>
      <c r="G38" s="26">
        <v>0.04</v>
      </c>
      <c r="H38" s="27"/>
    </row>
    <row r="39" spans="2:10" x14ac:dyDescent="0.2">
      <c r="B39" s="30" t="s">
        <v>110</v>
      </c>
      <c r="C39" s="31"/>
      <c r="D39" s="31"/>
      <c r="E39" s="32"/>
      <c r="F39" s="33">
        <f>SUM(F7:F38)</f>
        <v>6130.4000000000005</v>
      </c>
      <c r="G39" s="33">
        <f>SUM(G7:G38)</f>
        <v>22.43</v>
      </c>
      <c r="H39" s="34"/>
      <c r="I39" s="14"/>
      <c r="J39" s="14"/>
    </row>
    <row r="40" spans="2:10" x14ac:dyDescent="0.2">
      <c r="B40" s="38" t="s">
        <v>111</v>
      </c>
      <c r="C40" s="38"/>
      <c r="D40" s="38"/>
      <c r="E40" s="39"/>
      <c r="F40" s="40">
        <f>F39</f>
        <v>6130.4000000000005</v>
      </c>
      <c r="G40" s="40">
        <f>G39</f>
        <v>22.43</v>
      </c>
      <c r="H40" s="16"/>
      <c r="I40" s="14"/>
      <c r="J40" s="14"/>
    </row>
    <row r="41" spans="2:10" x14ac:dyDescent="0.2">
      <c r="B41" s="47" t="s">
        <v>340</v>
      </c>
      <c r="C41" s="42"/>
      <c r="D41" s="42"/>
      <c r="E41" s="43"/>
      <c r="F41" s="44"/>
      <c r="G41" s="44"/>
      <c r="H41" s="44"/>
    </row>
    <row r="42" spans="2:10" x14ac:dyDescent="0.2">
      <c r="B42" s="48" t="s">
        <v>31</v>
      </c>
      <c r="C42" s="24"/>
      <c r="D42" s="24"/>
      <c r="E42" s="25"/>
      <c r="F42" s="26"/>
      <c r="G42" s="26"/>
      <c r="H42" s="26"/>
    </row>
    <row r="43" spans="2:10" x14ac:dyDescent="0.2">
      <c r="B43" s="24" t="s">
        <v>382</v>
      </c>
      <c r="C43" s="24" t="s">
        <v>383</v>
      </c>
      <c r="D43" s="24" t="s">
        <v>343</v>
      </c>
      <c r="E43" s="29">
        <v>150</v>
      </c>
      <c r="F43" s="26">
        <v>1642.46</v>
      </c>
      <c r="G43" s="26">
        <v>6</v>
      </c>
      <c r="H43" s="26">
        <v>7.23</v>
      </c>
    </row>
    <row r="44" spans="2:10" x14ac:dyDescent="0.2">
      <c r="B44" s="24" t="s">
        <v>380</v>
      </c>
      <c r="C44" s="24" t="s">
        <v>381</v>
      </c>
      <c r="D44" s="24" t="s">
        <v>343</v>
      </c>
      <c r="E44" s="29">
        <v>100</v>
      </c>
      <c r="F44" s="26">
        <v>1098.79</v>
      </c>
      <c r="G44" s="26">
        <v>4.0199999999999996</v>
      </c>
      <c r="H44" s="26">
        <v>6.78</v>
      </c>
    </row>
    <row r="45" spans="2:10" x14ac:dyDescent="0.2">
      <c r="B45" s="24" t="s">
        <v>361</v>
      </c>
      <c r="C45" s="24" t="s">
        <v>362</v>
      </c>
      <c r="D45" s="24" t="s">
        <v>343</v>
      </c>
      <c r="E45" s="29">
        <v>100</v>
      </c>
      <c r="F45" s="26">
        <v>1064.5999999999999</v>
      </c>
      <c r="G45" s="26">
        <v>3.89</v>
      </c>
      <c r="H45" s="26">
        <v>6.01</v>
      </c>
    </row>
    <row r="46" spans="2:10" x14ac:dyDescent="0.2">
      <c r="B46" s="24" t="s">
        <v>367</v>
      </c>
      <c r="C46" s="24" t="s">
        <v>368</v>
      </c>
      <c r="D46" s="24" t="s">
        <v>343</v>
      </c>
      <c r="E46" s="29">
        <v>100</v>
      </c>
      <c r="F46" s="26">
        <v>1046.77</v>
      </c>
      <c r="G46" s="26">
        <v>3.83</v>
      </c>
      <c r="H46" s="26">
        <v>5.0999999999999996</v>
      </c>
    </row>
    <row r="47" spans="2:10" x14ac:dyDescent="0.2">
      <c r="B47" s="24" t="s">
        <v>460</v>
      </c>
      <c r="C47" s="24" t="s">
        <v>461</v>
      </c>
      <c r="D47" s="24" t="s">
        <v>343</v>
      </c>
      <c r="E47" s="29">
        <v>100</v>
      </c>
      <c r="F47" s="26">
        <v>1039.93</v>
      </c>
      <c r="G47" s="26">
        <v>3.8</v>
      </c>
      <c r="H47" s="26">
        <v>6.39</v>
      </c>
    </row>
    <row r="48" spans="2:10" x14ac:dyDescent="0.2">
      <c r="B48" s="24" t="s">
        <v>371</v>
      </c>
      <c r="C48" s="24" t="s">
        <v>372</v>
      </c>
      <c r="D48" s="24" t="s">
        <v>343</v>
      </c>
      <c r="E48" s="29">
        <v>100</v>
      </c>
      <c r="F48" s="26">
        <v>1027.06</v>
      </c>
      <c r="G48" s="26">
        <v>3.75</v>
      </c>
      <c r="H48" s="26">
        <v>4.26</v>
      </c>
    </row>
    <row r="49" spans="2:10" x14ac:dyDescent="0.2">
      <c r="B49" s="24" t="s">
        <v>537</v>
      </c>
      <c r="C49" s="24" t="s">
        <v>538</v>
      </c>
      <c r="D49" s="24" t="s">
        <v>343</v>
      </c>
      <c r="E49" s="29">
        <v>50</v>
      </c>
      <c r="F49" s="26">
        <v>565.53</v>
      </c>
      <c r="G49" s="26">
        <v>2.0699999999999998</v>
      </c>
      <c r="H49" s="26">
        <v>6.79</v>
      </c>
    </row>
    <row r="50" spans="2:10" x14ac:dyDescent="0.2">
      <c r="B50" s="24" t="s">
        <v>365</v>
      </c>
      <c r="C50" s="24" t="s">
        <v>366</v>
      </c>
      <c r="D50" s="24" t="s">
        <v>343</v>
      </c>
      <c r="E50" s="29">
        <v>50</v>
      </c>
      <c r="F50" s="26">
        <v>538.41</v>
      </c>
      <c r="G50" s="26">
        <v>1.97</v>
      </c>
      <c r="H50" s="26">
        <v>5.31</v>
      </c>
    </row>
    <row r="51" spans="2:10" x14ac:dyDescent="0.2">
      <c r="B51" s="24" t="s">
        <v>346</v>
      </c>
      <c r="C51" s="24" t="s">
        <v>347</v>
      </c>
      <c r="D51" s="24" t="s">
        <v>343</v>
      </c>
      <c r="E51" s="29">
        <v>50</v>
      </c>
      <c r="F51" s="26">
        <v>515.02</v>
      </c>
      <c r="G51" s="26">
        <v>1.88</v>
      </c>
      <c r="H51" s="26">
        <v>4.2699999999999996</v>
      </c>
    </row>
    <row r="52" spans="2:10" x14ac:dyDescent="0.2">
      <c r="B52" s="31" t="s">
        <v>110</v>
      </c>
      <c r="C52" s="31"/>
      <c r="D52" s="31"/>
      <c r="E52" s="32"/>
      <c r="F52" s="33">
        <f>SUM(F42:F51)</f>
        <v>8538.57</v>
      </c>
      <c r="G52" s="33">
        <f>SUM(G42:G51)</f>
        <v>31.21</v>
      </c>
      <c r="H52" s="49"/>
      <c r="I52" s="14"/>
      <c r="J52" s="14"/>
    </row>
    <row r="53" spans="2:10" x14ac:dyDescent="0.2">
      <c r="B53" s="50" t="s">
        <v>111</v>
      </c>
      <c r="C53" s="50"/>
      <c r="D53" s="50"/>
      <c r="E53" s="51"/>
      <c r="F53" s="52">
        <f>F52</f>
        <v>8538.57</v>
      </c>
      <c r="G53" s="52">
        <f>G52</f>
        <v>31.21</v>
      </c>
      <c r="H53" s="52"/>
      <c r="I53" s="14"/>
      <c r="J53" s="14"/>
    </row>
    <row r="54" spans="2:10" x14ac:dyDescent="0.2">
      <c r="B54" s="48" t="s">
        <v>412</v>
      </c>
      <c r="C54" s="24"/>
      <c r="D54" s="24"/>
      <c r="E54" s="25"/>
      <c r="F54" s="26"/>
      <c r="G54" s="26"/>
      <c r="H54" s="26"/>
    </row>
    <row r="55" spans="2:10" x14ac:dyDescent="0.2">
      <c r="B55" s="24" t="s">
        <v>413</v>
      </c>
      <c r="C55" s="24" t="s">
        <v>414</v>
      </c>
      <c r="D55" s="24" t="s">
        <v>415</v>
      </c>
      <c r="E55" s="29">
        <v>1500000</v>
      </c>
      <c r="F55" s="26">
        <v>1620.7</v>
      </c>
      <c r="G55" s="26">
        <v>5.92</v>
      </c>
      <c r="H55" s="26">
        <v>4.93</v>
      </c>
    </row>
    <row r="56" spans="2:10" x14ac:dyDescent="0.2">
      <c r="B56" s="24" t="s">
        <v>418</v>
      </c>
      <c r="C56" s="24" t="s">
        <v>419</v>
      </c>
      <c r="D56" s="24" t="s">
        <v>415</v>
      </c>
      <c r="E56" s="29">
        <v>1500000</v>
      </c>
      <c r="F56" s="26">
        <v>1473.04</v>
      </c>
      <c r="G56" s="26">
        <v>5.38</v>
      </c>
      <c r="H56" s="26">
        <v>6.01</v>
      </c>
    </row>
    <row r="57" spans="2:10" x14ac:dyDescent="0.2">
      <c r="B57" s="24" t="s">
        <v>424</v>
      </c>
      <c r="C57" s="24" t="s">
        <v>425</v>
      </c>
      <c r="D57" s="24" t="s">
        <v>415</v>
      </c>
      <c r="E57" s="29">
        <v>1100000</v>
      </c>
      <c r="F57" s="26">
        <v>1079.94</v>
      </c>
      <c r="G57" s="26">
        <v>3.95</v>
      </c>
      <c r="H57" s="26">
        <v>6.39</v>
      </c>
    </row>
    <row r="58" spans="2:10" x14ac:dyDescent="0.2">
      <c r="B58" s="24" t="s">
        <v>539</v>
      </c>
      <c r="C58" s="24" t="s">
        <v>540</v>
      </c>
      <c r="D58" s="24" t="s">
        <v>415</v>
      </c>
      <c r="E58" s="29">
        <v>1000000</v>
      </c>
      <c r="F58" s="26">
        <v>1071.5999999999999</v>
      </c>
      <c r="G58" s="26">
        <v>3.92</v>
      </c>
      <c r="H58" s="26">
        <v>4.96</v>
      </c>
    </row>
    <row r="59" spans="2:10" x14ac:dyDescent="0.2">
      <c r="B59" s="24" t="s">
        <v>541</v>
      </c>
      <c r="C59" s="24" t="s">
        <v>542</v>
      </c>
      <c r="D59" s="24" t="s">
        <v>415</v>
      </c>
      <c r="E59" s="29">
        <v>800000</v>
      </c>
      <c r="F59" s="26">
        <v>843.43</v>
      </c>
      <c r="G59" s="26">
        <v>3.08</v>
      </c>
      <c r="H59" s="26">
        <v>4.7</v>
      </c>
    </row>
    <row r="60" spans="2:10" x14ac:dyDescent="0.2">
      <c r="B60" s="24" t="s">
        <v>420</v>
      </c>
      <c r="C60" s="24" t="s">
        <v>421</v>
      </c>
      <c r="D60" s="24" t="s">
        <v>415</v>
      </c>
      <c r="E60" s="29">
        <v>500000</v>
      </c>
      <c r="F60" s="26">
        <v>534.17999999999995</v>
      </c>
      <c r="G60" s="26">
        <v>1.95</v>
      </c>
      <c r="H60" s="26">
        <v>6.19</v>
      </c>
    </row>
    <row r="61" spans="2:10" x14ac:dyDescent="0.2">
      <c r="B61" s="24" t="s">
        <v>432</v>
      </c>
      <c r="C61" s="24" t="s">
        <v>433</v>
      </c>
      <c r="D61" s="24" t="s">
        <v>415</v>
      </c>
      <c r="E61" s="29">
        <v>500000</v>
      </c>
      <c r="F61" s="26">
        <v>532.33000000000004</v>
      </c>
      <c r="G61" s="26">
        <v>1.95</v>
      </c>
      <c r="H61" s="26">
        <v>4.6399999999999997</v>
      </c>
    </row>
    <row r="62" spans="2:10" x14ac:dyDescent="0.2">
      <c r="B62" s="24" t="s">
        <v>422</v>
      </c>
      <c r="C62" s="24" t="s">
        <v>423</v>
      </c>
      <c r="D62" s="24" t="s">
        <v>415</v>
      </c>
      <c r="E62" s="29">
        <v>500000</v>
      </c>
      <c r="F62" s="26">
        <v>522.34</v>
      </c>
      <c r="G62" s="26">
        <v>1.91</v>
      </c>
      <c r="H62" s="26">
        <v>5.96</v>
      </c>
    </row>
    <row r="63" spans="2:10" x14ac:dyDescent="0.2">
      <c r="B63" s="53" t="s">
        <v>543</v>
      </c>
      <c r="C63" s="53" t="s">
        <v>544</v>
      </c>
      <c r="D63" s="53" t="s">
        <v>415</v>
      </c>
      <c r="E63" s="54">
        <v>800</v>
      </c>
      <c r="F63" s="55">
        <v>0.9</v>
      </c>
      <c r="G63" s="55">
        <v>0</v>
      </c>
      <c r="H63" s="55">
        <v>6.76</v>
      </c>
    </row>
    <row r="64" spans="2:10" x14ac:dyDescent="0.2">
      <c r="B64" s="56" t="s">
        <v>111</v>
      </c>
      <c r="C64" s="56"/>
      <c r="D64" s="56"/>
      <c r="E64" s="57"/>
      <c r="F64" s="58">
        <f>SUM(F55:F63)</f>
        <v>7678.4600000000009</v>
      </c>
      <c r="G64" s="58">
        <f>SUM(G55:G63)</f>
        <v>28.06</v>
      </c>
      <c r="H64" s="58"/>
      <c r="I64" s="14"/>
      <c r="J64" s="14"/>
    </row>
    <row r="65" spans="2:10" x14ac:dyDescent="0.2">
      <c r="B65" s="48" t="s">
        <v>112</v>
      </c>
      <c r="C65" s="24"/>
      <c r="D65" s="24"/>
      <c r="E65" s="25"/>
      <c r="F65" s="26"/>
      <c r="G65" s="26"/>
      <c r="H65" s="26"/>
    </row>
    <row r="66" spans="2:10" x14ac:dyDescent="0.2">
      <c r="B66" s="24" t="s">
        <v>112</v>
      </c>
      <c r="C66" s="24"/>
      <c r="D66" s="24"/>
      <c r="E66" s="25"/>
      <c r="F66" s="26">
        <v>4714.8100000000004</v>
      </c>
      <c r="G66" s="26">
        <v>17.23</v>
      </c>
      <c r="H66" s="26"/>
    </row>
    <row r="67" spans="2:10" x14ac:dyDescent="0.2">
      <c r="B67" s="31" t="s">
        <v>110</v>
      </c>
      <c r="C67" s="31"/>
      <c r="D67" s="31"/>
      <c r="E67" s="32"/>
      <c r="F67" s="33">
        <f>SUM(F65:F66)</f>
        <v>4714.8100000000004</v>
      </c>
      <c r="G67" s="33">
        <f>SUM(G65:G66)</f>
        <v>17.23</v>
      </c>
      <c r="H67" s="49"/>
      <c r="I67" s="14"/>
      <c r="J67" s="14"/>
    </row>
    <row r="68" spans="2:10" x14ac:dyDescent="0.2">
      <c r="B68" s="35" t="s">
        <v>111</v>
      </c>
      <c r="C68" s="35"/>
      <c r="D68" s="35"/>
      <c r="E68" s="36"/>
      <c r="F68" s="37">
        <f>F67</f>
        <v>4714.8100000000004</v>
      </c>
      <c r="G68" s="37">
        <f>G67</f>
        <v>17.23</v>
      </c>
      <c r="H68" s="37"/>
      <c r="I68" s="14"/>
      <c r="J68" s="14"/>
    </row>
    <row r="69" spans="2:10" x14ac:dyDescent="0.2">
      <c r="B69" s="45" t="s">
        <v>114</v>
      </c>
      <c r="C69" s="45"/>
      <c r="D69" s="45"/>
      <c r="E69" s="46"/>
      <c r="F69" s="17">
        <f>F70-(+F40+F53+F64+F68)</f>
        <v>334.69999999999709</v>
      </c>
      <c r="G69" s="17">
        <f>G70-(+G40+G53+G64+G68)</f>
        <v>1.0699999999999932</v>
      </c>
      <c r="H69" s="17"/>
      <c r="I69" s="14"/>
      <c r="J69" s="14"/>
    </row>
    <row r="70" spans="2:10" x14ac:dyDescent="0.2">
      <c r="B70" s="45" t="s">
        <v>113</v>
      </c>
      <c r="C70" s="45"/>
      <c r="D70" s="45"/>
      <c r="E70" s="46"/>
      <c r="F70" s="17">
        <v>27396.94</v>
      </c>
      <c r="G70" s="17">
        <v>100</v>
      </c>
      <c r="H70" s="17"/>
      <c r="I70" s="14"/>
      <c r="J70" s="14"/>
    </row>
    <row r="72" spans="2:10" x14ac:dyDescent="0.2">
      <c r="B72" s="14" t="s">
        <v>755</v>
      </c>
    </row>
    <row r="73" spans="2:10" x14ac:dyDescent="0.2">
      <c r="B73" s="14"/>
    </row>
    <row r="75" spans="2:10" x14ac:dyDescent="0.2">
      <c r="B75" s="14"/>
      <c r="C75" s="14"/>
      <c r="D75" s="14"/>
      <c r="E75" s="15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>
      <selection activeCell="B3" sqref="B3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2.7109375" style="1" bestFit="1" customWidth="1"/>
    <col min="4" max="4" width="18.28515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9" t="s">
        <v>20</v>
      </c>
      <c r="C1" s="70"/>
      <c r="D1" s="70"/>
      <c r="E1" s="70"/>
      <c r="F1" s="70"/>
      <c r="G1" s="70"/>
      <c r="H1" s="70"/>
    </row>
    <row r="3" spans="2:10" ht="16.5" thickBot="1" x14ac:dyDescent="0.25">
      <c r="B3" s="2" t="s">
        <v>760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9" t="s">
        <v>412</v>
      </c>
      <c r="C5" s="19"/>
      <c r="D5" s="19"/>
      <c r="E5" s="20"/>
      <c r="F5" s="21"/>
      <c r="G5" s="21"/>
      <c r="H5" s="21"/>
    </row>
    <row r="6" spans="2:10" x14ac:dyDescent="0.2">
      <c r="B6" s="24" t="s">
        <v>422</v>
      </c>
      <c r="C6" s="24" t="s">
        <v>423</v>
      </c>
      <c r="D6" s="24" t="s">
        <v>415</v>
      </c>
      <c r="E6" s="29">
        <v>1500000</v>
      </c>
      <c r="F6" s="26">
        <v>1567.01</v>
      </c>
      <c r="G6" s="26">
        <v>50.6</v>
      </c>
      <c r="H6" s="26">
        <v>5.96</v>
      </c>
    </row>
    <row r="7" spans="2:10" x14ac:dyDescent="0.2">
      <c r="B7" s="53" t="s">
        <v>545</v>
      </c>
      <c r="C7" s="53" t="s">
        <v>546</v>
      </c>
      <c r="D7" s="53" t="s">
        <v>415</v>
      </c>
      <c r="E7" s="54">
        <v>1000000</v>
      </c>
      <c r="F7" s="55">
        <v>1085.33</v>
      </c>
      <c r="G7" s="55">
        <v>35.049999999999997</v>
      </c>
      <c r="H7" s="55">
        <v>5.69</v>
      </c>
    </row>
    <row r="8" spans="2:10" x14ac:dyDescent="0.2">
      <c r="B8" s="56" t="s">
        <v>111</v>
      </c>
      <c r="C8" s="56"/>
      <c r="D8" s="56"/>
      <c r="E8" s="57"/>
      <c r="F8" s="58">
        <f>SUM(F6:F7)</f>
        <v>2652.34</v>
      </c>
      <c r="G8" s="58">
        <f>SUM(G6:G7)</f>
        <v>85.65</v>
      </c>
      <c r="H8" s="58"/>
      <c r="I8" s="14"/>
      <c r="J8" s="14"/>
    </row>
    <row r="9" spans="2:10" x14ac:dyDescent="0.2">
      <c r="B9" s="48" t="s">
        <v>112</v>
      </c>
      <c r="C9" s="24"/>
      <c r="D9" s="24"/>
      <c r="E9" s="25"/>
      <c r="F9" s="26"/>
      <c r="G9" s="26"/>
      <c r="H9" s="26"/>
    </row>
    <row r="10" spans="2:10" x14ac:dyDescent="0.2">
      <c r="B10" s="24" t="s">
        <v>112</v>
      </c>
      <c r="C10" s="24"/>
      <c r="D10" s="24"/>
      <c r="E10" s="25"/>
      <c r="F10" s="26">
        <v>375.7</v>
      </c>
      <c r="G10" s="26">
        <v>12.13</v>
      </c>
      <c r="H10" s="26"/>
    </row>
    <row r="11" spans="2:10" x14ac:dyDescent="0.2">
      <c r="B11" s="31" t="s">
        <v>110</v>
      </c>
      <c r="C11" s="31"/>
      <c r="D11" s="31"/>
      <c r="E11" s="32"/>
      <c r="F11" s="33">
        <f>SUM(F9:F10)</f>
        <v>375.7</v>
      </c>
      <c r="G11" s="33">
        <f>SUM(G9:G10)</f>
        <v>12.13</v>
      </c>
      <c r="H11" s="49"/>
      <c r="I11" s="14"/>
      <c r="J11" s="14"/>
    </row>
    <row r="12" spans="2:10" x14ac:dyDescent="0.2">
      <c r="B12" s="35" t="s">
        <v>111</v>
      </c>
      <c r="C12" s="35"/>
      <c r="D12" s="35"/>
      <c r="E12" s="36"/>
      <c r="F12" s="37">
        <f>F11</f>
        <v>375.7</v>
      </c>
      <c r="G12" s="37">
        <f>G11</f>
        <v>12.13</v>
      </c>
      <c r="H12" s="37"/>
      <c r="I12" s="14"/>
      <c r="J12" s="14"/>
    </row>
    <row r="13" spans="2:10" x14ac:dyDescent="0.2">
      <c r="B13" s="45" t="s">
        <v>114</v>
      </c>
      <c r="C13" s="45"/>
      <c r="D13" s="45"/>
      <c r="E13" s="46"/>
      <c r="F13" s="17">
        <f>F14-(+F8+F12)</f>
        <v>68.800000000000182</v>
      </c>
      <c r="G13" s="17">
        <f>G14-(+G8+G12)</f>
        <v>2.2199999999999989</v>
      </c>
      <c r="H13" s="17"/>
      <c r="I13" s="14"/>
      <c r="J13" s="14"/>
    </row>
    <row r="14" spans="2:10" x14ac:dyDescent="0.2">
      <c r="B14" s="45" t="s">
        <v>113</v>
      </c>
      <c r="C14" s="45"/>
      <c r="D14" s="45"/>
      <c r="E14" s="46"/>
      <c r="F14" s="17">
        <v>3096.84</v>
      </c>
      <c r="G14" s="17">
        <v>100</v>
      </c>
      <c r="H14" s="17"/>
      <c r="I14" s="14"/>
      <c r="J14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6"/>
  <sheetViews>
    <sheetView workbookViewId="0">
      <selection activeCell="B3" sqref="B3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5703125" style="1" bestFit="1" customWidth="1"/>
    <col min="4" max="4" width="18.28515625" style="1" bestFit="1" customWidth="1"/>
    <col min="5" max="5" width="10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9" t="s">
        <v>21</v>
      </c>
      <c r="C1" s="70"/>
      <c r="D1" s="70"/>
      <c r="E1" s="70"/>
      <c r="F1" s="70"/>
      <c r="G1" s="70"/>
      <c r="H1" s="70"/>
    </row>
    <row r="3" spans="2:10" ht="16.5" thickBot="1" x14ac:dyDescent="0.25">
      <c r="B3" s="2" t="s">
        <v>760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9" t="s">
        <v>503</v>
      </c>
      <c r="C5" s="19"/>
      <c r="D5" s="19"/>
      <c r="E5" s="20"/>
      <c r="F5" s="21"/>
      <c r="G5" s="21"/>
      <c r="H5" s="21"/>
    </row>
    <row r="6" spans="2:10" x14ac:dyDescent="0.2">
      <c r="B6" s="48" t="s">
        <v>520</v>
      </c>
      <c r="C6" s="24"/>
      <c r="D6" s="24"/>
      <c r="E6" s="25"/>
      <c r="F6" s="26"/>
      <c r="G6" s="26"/>
      <c r="H6" s="26"/>
    </row>
    <row r="7" spans="2:10" x14ac:dyDescent="0.2">
      <c r="B7" s="24" t="s">
        <v>547</v>
      </c>
      <c r="C7" s="24" t="s">
        <v>548</v>
      </c>
      <c r="D7" s="24" t="s">
        <v>523</v>
      </c>
      <c r="E7" s="29">
        <v>2500</v>
      </c>
      <c r="F7" s="26">
        <v>12483.33</v>
      </c>
      <c r="G7" s="26">
        <v>8.9499999999999993</v>
      </c>
      <c r="H7" s="26">
        <v>3.25</v>
      </c>
    </row>
    <row r="8" spans="2:10" x14ac:dyDescent="0.2">
      <c r="B8" s="24" t="s">
        <v>549</v>
      </c>
      <c r="C8" s="24" t="s">
        <v>550</v>
      </c>
      <c r="D8" s="24" t="s">
        <v>510</v>
      </c>
      <c r="E8" s="29">
        <v>1300</v>
      </c>
      <c r="F8" s="26">
        <v>6486.96</v>
      </c>
      <c r="G8" s="26">
        <v>4.6500000000000004</v>
      </c>
      <c r="H8" s="26">
        <v>3.33</v>
      </c>
    </row>
    <row r="9" spans="2:10" x14ac:dyDescent="0.2">
      <c r="B9" s="24" t="s">
        <v>551</v>
      </c>
      <c r="C9" s="24" t="s">
        <v>552</v>
      </c>
      <c r="D9" s="24" t="s">
        <v>507</v>
      </c>
      <c r="E9" s="29">
        <v>1000</v>
      </c>
      <c r="F9" s="26">
        <v>4996.4799999999996</v>
      </c>
      <c r="G9" s="26">
        <v>3.58</v>
      </c>
      <c r="H9" s="26">
        <v>3.22</v>
      </c>
    </row>
    <row r="10" spans="2:10" x14ac:dyDescent="0.2">
      <c r="B10" s="24" t="s">
        <v>553</v>
      </c>
      <c r="C10" s="24" t="s">
        <v>554</v>
      </c>
      <c r="D10" s="24" t="s">
        <v>507</v>
      </c>
      <c r="E10" s="29">
        <v>1000</v>
      </c>
      <c r="F10" s="26">
        <v>4984.99</v>
      </c>
      <c r="G10" s="26">
        <v>3.57</v>
      </c>
      <c r="H10" s="26">
        <v>3.33</v>
      </c>
    </row>
    <row r="11" spans="2:10" x14ac:dyDescent="0.2">
      <c r="B11" s="24" t="s">
        <v>555</v>
      </c>
      <c r="C11" s="24" t="s">
        <v>556</v>
      </c>
      <c r="D11" s="24" t="s">
        <v>507</v>
      </c>
      <c r="E11" s="29">
        <v>500</v>
      </c>
      <c r="F11" s="26">
        <v>2495.69</v>
      </c>
      <c r="G11" s="26">
        <v>1.79</v>
      </c>
      <c r="H11" s="26">
        <v>3.32</v>
      </c>
    </row>
    <row r="12" spans="2:10" x14ac:dyDescent="0.2">
      <c r="B12" s="48" t="s">
        <v>110</v>
      </c>
      <c r="C12" s="48"/>
      <c r="D12" s="48"/>
      <c r="E12" s="60"/>
      <c r="F12" s="58">
        <f>SUM(F6:F11)</f>
        <v>31447.45</v>
      </c>
      <c r="G12" s="58">
        <f>SUM(G6:G11)</f>
        <v>22.54</v>
      </c>
      <c r="H12" s="61"/>
      <c r="I12" s="14"/>
      <c r="J12" s="14"/>
    </row>
    <row r="13" spans="2:10" x14ac:dyDescent="0.2">
      <c r="B13" s="48" t="s">
        <v>528</v>
      </c>
      <c r="C13" s="24"/>
      <c r="D13" s="24"/>
      <c r="E13" s="25"/>
      <c r="F13" s="26"/>
      <c r="G13" s="26"/>
      <c r="H13" s="26"/>
    </row>
    <row r="14" spans="2:10" x14ac:dyDescent="0.2">
      <c r="B14" s="24" t="s">
        <v>557</v>
      </c>
      <c r="C14" s="24" t="s">
        <v>558</v>
      </c>
      <c r="D14" s="24" t="s">
        <v>531</v>
      </c>
      <c r="E14" s="29">
        <v>25000000</v>
      </c>
      <c r="F14" s="26">
        <v>24985.13</v>
      </c>
      <c r="G14" s="26">
        <v>17.920000000000002</v>
      </c>
      <c r="H14" s="26">
        <v>3.1</v>
      </c>
    </row>
    <row r="15" spans="2:10" x14ac:dyDescent="0.2">
      <c r="B15" s="24" t="s">
        <v>559</v>
      </c>
      <c r="C15" s="24" t="s">
        <v>560</v>
      </c>
      <c r="D15" s="24" t="s">
        <v>531</v>
      </c>
      <c r="E15" s="29">
        <v>10000000</v>
      </c>
      <c r="F15" s="26">
        <v>9987.74</v>
      </c>
      <c r="G15" s="26">
        <v>7.16</v>
      </c>
      <c r="H15" s="26">
        <v>3.2</v>
      </c>
    </row>
    <row r="16" spans="2:10" x14ac:dyDescent="0.2">
      <c r="B16" s="24" t="s">
        <v>561</v>
      </c>
      <c r="C16" s="24" t="s">
        <v>562</v>
      </c>
      <c r="D16" s="24" t="s">
        <v>531</v>
      </c>
      <c r="E16" s="29">
        <v>10000000</v>
      </c>
      <c r="F16" s="26">
        <v>9981.6200000000008</v>
      </c>
      <c r="G16" s="26">
        <v>7.16</v>
      </c>
      <c r="H16" s="26">
        <v>3.2</v>
      </c>
    </row>
    <row r="17" spans="2:10" x14ac:dyDescent="0.2">
      <c r="B17" s="24" t="s">
        <v>563</v>
      </c>
      <c r="C17" s="24" t="s">
        <v>564</v>
      </c>
      <c r="D17" s="24" t="s">
        <v>531</v>
      </c>
      <c r="E17" s="29">
        <v>10000000</v>
      </c>
      <c r="F17" s="26">
        <v>9981.6200000000008</v>
      </c>
      <c r="G17" s="26">
        <v>7.16</v>
      </c>
      <c r="H17" s="26">
        <v>3.2</v>
      </c>
    </row>
    <row r="18" spans="2:10" x14ac:dyDescent="0.2">
      <c r="B18" s="24" t="s">
        <v>565</v>
      </c>
      <c r="C18" s="24" t="s">
        <v>566</v>
      </c>
      <c r="D18" s="24" t="s">
        <v>531</v>
      </c>
      <c r="E18" s="29">
        <v>10000000</v>
      </c>
      <c r="F18" s="26">
        <v>9975.51</v>
      </c>
      <c r="G18" s="26">
        <v>7.15</v>
      </c>
      <c r="H18" s="26">
        <v>3.2</v>
      </c>
    </row>
    <row r="19" spans="2:10" x14ac:dyDescent="0.2">
      <c r="B19" s="24" t="s">
        <v>567</v>
      </c>
      <c r="C19" s="24" t="s">
        <v>568</v>
      </c>
      <c r="D19" s="24" t="s">
        <v>531</v>
      </c>
      <c r="E19" s="29">
        <v>7500000</v>
      </c>
      <c r="F19" s="26">
        <v>7481.92</v>
      </c>
      <c r="G19" s="26">
        <v>5.37</v>
      </c>
      <c r="H19" s="26">
        <v>3.15</v>
      </c>
    </row>
    <row r="20" spans="2:10" x14ac:dyDescent="0.2">
      <c r="B20" s="24" t="s">
        <v>569</v>
      </c>
      <c r="C20" s="24" t="s">
        <v>570</v>
      </c>
      <c r="D20" s="24" t="s">
        <v>531</v>
      </c>
      <c r="E20" s="29">
        <v>5000000</v>
      </c>
      <c r="F20" s="26">
        <v>4997.0200000000004</v>
      </c>
      <c r="G20" s="26">
        <v>3.58</v>
      </c>
      <c r="H20" s="26">
        <v>3.11</v>
      </c>
    </row>
    <row r="21" spans="2:10" x14ac:dyDescent="0.2">
      <c r="B21" s="24" t="s">
        <v>571</v>
      </c>
      <c r="C21" s="24" t="s">
        <v>572</v>
      </c>
      <c r="D21" s="24" t="s">
        <v>531</v>
      </c>
      <c r="E21" s="29">
        <v>5000000</v>
      </c>
      <c r="F21" s="26">
        <v>4993.95</v>
      </c>
      <c r="G21" s="26">
        <v>3.58</v>
      </c>
      <c r="H21" s="26">
        <v>3.16</v>
      </c>
    </row>
    <row r="22" spans="2:10" x14ac:dyDescent="0.2">
      <c r="B22" s="24" t="s">
        <v>573</v>
      </c>
      <c r="C22" s="24" t="s">
        <v>574</v>
      </c>
      <c r="D22" s="24" t="s">
        <v>531</v>
      </c>
      <c r="E22" s="29">
        <v>5000000</v>
      </c>
      <c r="F22" s="26">
        <v>4981.46</v>
      </c>
      <c r="G22" s="26">
        <v>3.57</v>
      </c>
      <c r="H22" s="26">
        <v>3.24</v>
      </c>
    </row>
    <row r="23" spans="2:10" x14ac:dyDescent="0.2">
      <c r="B23" s="24" t="s">
        <v>575</v>
      </c>
      <c r="C23" s="24" t="s">
        <v>576</v>
      </c>
      <c r="D23" s="24" t="s">
        <v>531</v>
      </c>
      <c r="E23" s="29">
        <v>5000000</v>
      </c>
      <c r="F23" s="26">
        <v>4978.28</v>
      </c>
      <c r="G23" s="26">
        <v>3.57</v>
      </c>
      <c r="H23" s="26">
        <v>3.25</v>
      </c>
    </row>
    <row r="24" spans="2:10" x14ac:dyDescent="0.2">
      <c r="B24" s="24" t="s">
        <v>577</v>
      </c>
      <c r="C24" s="24" t="s">
        <v>578</v>
      </c>
      <c r="D24" s="24" t="s">
        <v>531</v>
      </c>
      <c r="E24" s="29">
        <v>4000000</v>
      </c>
      <c r="F24" s="26">
        <v>4000</v>
      </c>
      <c r="G24" s="26">
        <v>2.87</v>
      </c>
      <c r="H24" s="26">
        <v>3.23</v>
      </c>
    </row>
    <row r="25" spans="2:10" x14ac:dyDescent="0.2">
      <c r="B25" s="31" t="s">
        <v>110</v>
      </c>
      <c r="C25" s="31"/>
      <c r="D25" s="31"/>
      <c r="E25" s="32"/>
      <c r="F25" s="33">
        <f>SUM(F13:F24)</f>
        <v>96344.250000000015</v>
      </c>
      <c r="G25" s="33">
        <f>SUM(G13:G24)</f>
        <v>69.09</v>
      </c>
      <c r="H25" s="49"/>
      <c r="I25" s="14"/>
      <c r="J25" s="14"/>
    </row>
    <row r="26" spans="2:10" x14ac:dyDescent="0.2">
      <c r="B26" s="50" t="s">
        <v>111</v>
      </c>
      <c r="C26" s="50"/>
      <c r="D26" s="50"/>
      <c r="E26" s="51"/>
      <c r="F26" s="52">
        <f>+F12+F25</f>
        <v>127791.70000000001</v>
      </c>
      <c r="G26" s="52">
        <f>+G12+G25</f>
        <v>91.63</v>
      </c>
      <c r="H26" s="52"/>
      <c r="I26" s="14"/>
      <c r="J26" s="14"/>
    </row>
    <row r="27" spans="2:10" x14ac:dyDescent="0.2">
      <c r="B27" s="48" t="s">
        <v>112</v>
      </c>
      <c r="C27" s="24"/>
      <c r="D27" s="24"/>
      <c r="E27" s="25"/>
      <c r="F27" s="26"/>
      <c r="G27" s="26"/>
      <c r="H27" s="26"/>
    </row>
    <row r="28" spans="2:10" x14ac:dyDescent="0.2">
      <c r="B28" s="24" t="s">
        <v>112</v>
      </c>
      <c r="C28" s="24"/>
      <c r="D28" s="24"/>
      <c r="E28" s="25"/>
      <c r="F28" s="26">
        <v>16389.8</v>
      </c>
      <c r="G28" s="26">
        <v>11.75</v>
      </c>
      <c r="H28" s="26"/>
    </row>
    <row r="29" spans="2:10" x14ac:dyDescent="0.2">
      <c r="B29" s="31" t="s">
        <v>110</v>
      </c>
      <c r="C29" s="31"/>
      <c r="D29" s="31"/>
      <c r="E29" s="32"/>
      <c r="F29" s="33">
        <f>SUM(F27:F28)</f>
        <v>16389.8</v>
      </c>
      <c r="G29" s="33">
        <f>SUM(G27:G28)</f>
        <v>11.75</v>
      </c>
      <c r="H29" s="49"/>
      <c r="I29" s="14"/>
      <c r="J29" s="14"/>
    </row>
    <row r="30" spans="2:10" x14ac:dyDescent="0.2">
      <c r="B30" s="35" t="s">
        <v>111</v>
      </c>
      <c r="C30" s="35"/>
      <c r="D30" s="35"/>
      <c r="E30" s="36"/>
      <c r="F30" s="37">
        <f>F29</f>
        <v>16389.8</v>
      </c>
      <c r="G30" s="37">
        <f>G29</f>
        <v>11.75</v>
      </c>
      <c r="H30" s="37"/>
      <c r="I30" s="14"/>
      <c r="J30" s="14"/>
    </row>
    <row r="31" spans="2:10" x14ac:dyDescent="0.2">
      <c r="B31" s="45" t="s">
        <v>114</v>
      </c>
      <c r="C31" s="45"/>
      <c r="D31" s="45"/>
      <c r="E31" s="46"/>
      <c r="F31" s="17">
        <f>F32-(+F26+F30)</f>
        <v>-4742.7300000000105</v>
      </c>
      <c r="G31" s="17">
        <f>G32-(+G26+G30)</f>
        <v>-3.3799999999999955</v>
      </c>
      <c r="H31" s="17"/>
      <c r="I31" s="14"/>
      <c r="J31" s="14"/>
    </row>
    <row r="32" spans="2:10" x14ac:dyDescent="0.2">
      <c r="B32" s="45" t="s">
        <v>113</v>
      </c>
      <c r="C32" s="45"/>
      <c r="D32" s="45"/>
      <c r="E32" s="46"/>
      <c r="F32" s="17">
        <v>139438.76999999999</v>
      </c>
      <c r="G32" s="17">
        <v>100</v>
      </c>
      <c r="H32" s="17"/>
      <c r="I32" s="14"/>
      <c r="J32" s="14"/>
    </row>
    <row r="34" spans="2:2" x14ac:dyDescent="0.2">
      <c r="B34" s="14" t="s">
        <v>755</v>
      </c>
    </row>
    <row r="35" spans="2:2" x14ac:dyDescent="0.2">
      <c r="B35" s="14" t="s">
        <v>536</v>
      </c>
    </row>
    <row r="36" spans="2:2" x14ac:dyDescent="0.2">
      <c r="B3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>
      <selection activeCell="B3" sqref="B3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7109375" style="1" bestFit="1" customWidth="1"/>
    <col min="4" max="4" width="18.28515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22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340</v>
      </c>
      <c r="C5" s="19"/>
      <c r="D5" s="19"/>
      <c r="E5" s="20"/>
      <c r="F5" s="21"/>
      <c r="G5" s="21"/>
      <c r="H5" s="21"/>
    </row>
    <row r="6" spans="2:8" x14ac:dyDescent="0.2">
      <c r="B6" s="48" t="s">
        <v>31</v>
      </c>
      <c r="C6" s="24"/>
      <c r="D6" s="24"/>
      <c r="E6" s="25"/>
      <c r="F6" s="26"/>
      <c r="G6" s="26"/>
      <c r="H6" s="26"/>
    </row>
    <row r="7" spans="2:8" x14ac:dyDescent="0.2">
      <c r="B7" s="24" t="s">
        <v>579</v>
      </c>
      <c r="C7" s="24" t="s">
        <v>580</v>
      </c>
      <c r="D7" s="24" t="s">
        <v>343</v>
      </c>
      <c r="E7" s="29">
        <v>150</v>
      </c>
      <c r="F7" s="26">
        <v>1516.94</v>
      </c>
      <c r="G7" s="26">
        <v>5.28</v>
      </c>
      <c r="H7" s="26">
        <v>3.45</v>
      </c>
    </row>
    <row r="8" spans="2:8" x14ac:dyDescent="0.2">
      <c r="B8" s="24" t="s">
        <v>581</v>
      </c>
      <c r="C8" s="24" t="s">
        <v>582</v>
      </c>
      <c r="D8" s="24" t="s">
        <v>343</v>
      </c>
      <c r="E8" s="29">
        <v>100</v>
      </c>
      <c r="F8" s="26">
        <v>1033.6600000000001</v>
      </c>
      <c r="G8" s="26">
        <v>3.6</v>
      </c>
      <c r="H8" s="26">
        <v>4.29</v>
      </c>
    </row>
    <row r="9" spans="2:8" x14ac:dyDescent="0.2">
      <c r="B9" s="24" t="s">
        <v>583</v>
      </c>
      <c r="C9" s="24" t="s">
        <v>584</v>
      </c>
      <c r="D9" s="24" t="s">
        <v>343</v>
      </c>
      <c r="E9" s="29">
        <v>100</v>
      </c>
      <c r="F9" s="26">
        <v>1029.28</v>
      </c>
      <c r="G9" s="26">
        <v>3.58</v>
      </c>
      <c r="H9" s="26">
        <v>4.5</v>
      </c>
    </row>
    <row r="10" spans="2:8" x14ac:dyDescent="0.2">
      <c r="B10" s="24" t="s">
        <v>585</v>
      </c>
      <c r="C10" s="24" t="s">
        <v>586</v>
      </c>
      <c r="D10" s="24" t="s">
        <v>343</v>
      </c>
      <c r="E10" s="29">
        <v>50</v>
      </c>
      <c r="F10" s="26">
        <v>518.57000000000005</v>
      </c>
      <c r="G10" s="26">
        <v>1.8</v>
      </c>
      <c r="H10" s="26">
        <v>4.9400000000000004</v>
      </c>
    </row>
    <row r="11" spans="2:8" x14ac:dyDescent="0.2">
      <c r="B11" s="24" t="s">
        <v>587</v>
      </c>
      <c r="C11" s="24" t="s">
        <v>588</v>
      </c>
      <c r="D11" s="24" t="s">
        <v>343</v>
      </c>
      <c r="E11" s="29">
        <v>50</v>
      </c>
      <c r="F11" s="26">
        <v>516.74</v>
      </c>
      <c r="G11" s="26">
        <v>1.8</v>
      </c>
      <c r="H11" s="26">
        <v>4.25</v>
      </c>
    </row>
    <row r="12" spans="2:8" x14ac:dyDescent="0.2">
      <c r="B12" s="24" t="s">
        <v>485</v>
      </c>
      <c r="C12" s="24" t="s">
        <v>486</v>
      </c>
      <c r="D12" s="24" t="s">
        <v>343</v>
      </c>
      <c r="E12" s="29">
        <v>50</v>
      </c>
      <c r="F12" s="26">
        <v>514.85</v>
      </c>
      <c r="G12" s="26">
        <v>1.79</v>
      </c>
      <c r="H12" s="26">
        <v>4.25</v>
      </c>
    </row>
    <row r="13" spans="2:8" x14ac:dyDescent="0.2">
      <c r="B13" s="24" t="s">
        <v>350</v>
      </c>
      <c r="C13" s="24" t="s">
        <v>351</v>
      </c>
      <c r="D13" s="24" t="s">
        <v>343</v>
      </c>
      <c r="E13" s="29">
        <v>50</v>
      </c>
      <c r="F13" s="26">
        <v>504.08</v>
      </c>
      <c r="G13" s="26">
        <v>1.75</v>
      </c>
      <c r="H13" s="26">
        <v>3.54</v>
      </c>
    </row>
    <row r="14" spans="2:8" x14ac:dyDescent="0.2">
      <c r="B14" s="24" t="s">
        <v>344</v>
      </c>
      <c r="C14" s="24" t="s">
        <v>345</v>
      </c>
      <c r="D14" s="24" t="s">
        <v>343</v>
      </c>
      <c r="E14" s="29">
        <v>50</v>
      </c>
      <c r="F14" s="26">
        <v>503.84</v>
      </c>
      <c r="G14" s="26">
        <v>1.75</v>
      </c>
      <c r="H14" s="26">
        <v>3.56</v>
      </c>
    </row>
    <row r="15" spans="2:8" x14ac:dyDescent="0.2">
      <c r="B15" s="24" t="s">
        <v>589</v>
      </c>
      <c r="C15" s="24" t="s">
        <v>590</v>
      </c>
      <c r="D15" s="24" t="s">
        <v>343</v>
      </c>
      <c r="E15" s="29">
        <v>50</v>
      </c>
      <c r="F15" s="26">
        <v>500.66</v>
      </c>
      <c r="G15" s="26">
        <v>1.74</v>
      </c>
      <c r="H15" s="26">
        <v>3.82</v>
      </c>
    </row>
    <row r="16" spans="2:8" x14ac:dyDescent="0.2">
      <c r="B16" s="24" t="s">
        <v>591</v>
      </c>
      <c r="C16" s="24" t="s">
        <v>592</v>
      </c>
      <c r="D16" s="24" t="s">
        <v>377</v>
      </c>
      <c r="E16" s="29">
        <v>20</v>
      </c>
      <c r="F16" s="26">
        <v>206.58</v>
      </c>
      <c r="G16" s="26">
        <v>0.72</v>
      </c>
      <c r="H16" s="26">
        <v>6.53</v>
      </c>
    </row>
    <row r="17" spans="2:10" x14ac:dyDescent="0.2">
      <c r="B17" s="31" t="s">
        <v>110</v>
      </c>
      <c r="C17" s="31"/>
      <c r="D17" s="31"/>
      <c r="E17" s="32"/>
      <c r="F17" s="33">
        <f>SUM(F6:F16)</f>
        <v>6845.2</v>
      </c>
      <c r="G17" s="33">
        <f>SUM(G6:G16)</f>
        <v>23.81</v>
      </c>
      <c r="H17" s="49"/>
      <c r="I17" s="14"/>
      <c r="J17" s="14"/>
    </row>
    <row r="18" spans="2:10" x14ac:dyDescent="0.2">
      <c r="B18" s="50" t="s">
        <v>111</v>
      </c>
      <c r="C18" s="50"/>
      <c r="D18" s="50"/>
      <c r="E18" s="51"/>
      <c r="F18" s="52">
        <f>F17</f>
        <v>6845.2</v>
      </c>
      <c r="G18" s="52">
        <f>G17</f>
        <v>23.81</v>
      </c>
      <c r="H18" s="52"/>
      <c r="I18" s="14"/>
      <c r="J18" s="14"/>
    </row>
    <row r="19" spans="2:10" x14ac:dyDescent="0.2">
      <c r="B19" s="48" t="s">
        <v>503</v>
      </c>
      <c r="C19" s="24"/>
      <c r="D19" s="24"/>
      <c r="E19" s="25"/>
      <c r="F19" s="26"/>
      <c r="G19" s="26"/>
      <c r="H19" s="26"/>
    </row>
    <row r="20" spans="2:10" x14ac:dyDescent="0.2">
      <c r="B20" s="48" t="s">
        <v>528</v>
      </c>
      <c r="C20" s="24"/>
      <c r="D20" s="24"/>
      <c r="E20" s="25"/>
      <c r="F20" s="26"/>
      <c r="G20" s="26"/>
      <c r="H20" s="26"/>
    </row>
    <row r="21" spans="2:10" x14ac:dyDescent="0.2">
      <c r="B21" s="24" t="s">
        <v>561</v>
      </c>
      <c r="C21" s="24" t="s">
        <v>562</v>
      </c>
      <c r="D21" s="24" t="s">
        <v>531</v>
      </c>
      <c r="E21" s="29">
        <v>4000000</v>
      </c>
      <c r="F21" s="26">
        <v>3992.65</v>
      </c>
      <c r="G21" s="26">
        <v>13.89</v>
      </c>
      <c r="H21" s="26">
        <v>3.2</v>
      </c>
    </row>
    <row r="22" spans="2:10" x14ac:dyDescent="0.2">
      <c r="B22" s="24" t="s">
        <v>529</v>
      </c>
      <c r="C22" s="24" t="s">
        <v>530</v>
      </c>
      <c r="D22" s="24" t="s">
        <v>531</v>
      </c>
      <c r="E22" s="29">
        <v>4000000</v>
      </c>
      <c r="F22" s="26">
        <v>3982.62</v>
      </c>
      <c r="G22" s="26">
        <v>13.86</v>
      </c>
      <c r="H22" s="26">
        <v>3.25</v>
      </c>
    </row>
    <row r="23" spans="2:10" x14ac:dyDescent="0.2">
      <c r="B23" s="24" t="s">
        <v>593</v>
      </c>
      <c r="C23" s="24" t="s">
        <v>594</v>
      </c>
      <c r="D23" s="24" t="s">
        <v>531</v>
      </c>
      <c r="E23" s="29">
        <v>3000000</v>
      </c>
      <c r="F23" s="26">
        <v>2975.74</v>
      </c>
      <c r="G23" s="26">
        <v>10.35</v>
      </c>
      <c r="H23" s="26">
        <v>3.27</v>
      </c>
    </row>
    <row r="24" spans="2:10" x14ac:dyDescent="0.2">
      <c r="B24" s="24" t="s">
        <v>567</v>
      </c>
      <c r="C24" s="24" t="s">
        <v>568</v>
      </c>
      <c r="D24" s="24" t="s">
        <v>531</v>
      </c>
      <c r="E24" s="29">
        <v>2500000</v>
      </c>
      <c r="F24" s="26">
        <v>2493.9699999999998</v>
      </c>
      <c r="G24" s="26">
        <v>8.68</v>
      </c>
      <c r="H24" s="26">
        <v>3.15</v>
      </c>
    </row>
    <row r="25" spans="2:10" x14ac:dyDescent="0.2">
      <c r="B25" s="24" t="s">
        <v>532</v>
      </c>
      <c r="C25" s="24" t="s">
        <v>533</v>
      </c>
      <c r="D25" s="24" t="s">
        <v>531</v>
      </c>
      <c r="E25" s="29">
        <v>2500000</v>
      </c>
      <c r="F25" s="26">
        <v>2484.4699999999998</v>
      </c>
      <c r="G25" s="26">
        <v>8.64</v>
      </c>
      <c r="H25" s="26">
        <v>3.26</v>
      </c>
    </row>
    <row r="26" spans="2:10" x14ac:dyDescent="0.2">
      <c r="B26" s="24" t="s">
        <v>595</v>
      </c>
      <c r="C26" s="24" t="s">
        <v>596</v>
      </c>
      <c r="D26" s="24" t="s">
        <v>531</v>
      </c>
      <c r="E26" s="29">
        <v>2500000</v>
      </c>
      <c r="F26" s="26">
        <v>2467.87</v>
      </c>
      <c r="G26" s="26">
        <v>8.59</v>
      </c>
      <c r="H26" s="26">
        <v>3.39</v>
      </c>
    </row>
    <row r="27" spans="2:10" x14ac:dyDescent="0.2">
      <c r="B27" s="24" t="s">
        <v>573</v>
      </c>
      <c r="C27" s="24" t="s">
        <v>574</v>
      </c>
      <c r="D27" s="24" t="s">
        <v>531</v>
      </c>
      <c r="E27" s="29">
        <v>2000000</v>
      </c>
      <c r="F27" s="26">
        <v>1992.58</v>
      </c>
      <c r="G27" s="26">
        <v>6.93</v>
      </c>
      <c r="H27" s="26">
        <v>3.24</v>
      </c>
    </row>
    <row r="28" spans="2:10" x14ac:dyDescent="0.2">
      <c r="B28" s="31" t="s">
        <v>110</v>
      </c>
      <c r="C28" s="31"/>
      <c r="D28" s="31"/>
      <c r="E28" s="32"/>
      <c r="F28" s="33">
        <f>SUM(F20:F27)</f>
        <v>20389.900000000001</v>
      </c>
      <c r="G28" s="33">
        <f>SUM(G20:G27)</f>
        <v>70.94</v>
      </c>
      <c r="H28" s="49"/>
      <c r="I28" s="14"/>
      <c r="J28" s="14"/>
    </row>
    <row r="29" spans="2:10" x14ac:dyDescent="0.2">
      <c r="B29" s="50" t="s">
        <v>111</v>
      </c>
      <c r="C29" s="50"/>
      <c r="D29" s="50"/>
      <c r="E29" s="51"/>
      <c r="F29" s="52">
        <f>+F28</f>
        <v>20389.900000000001</v>
      </c>
      <c r="G29" s="52">
        <f>+G28</f>
        <v>70.94</v>
      </c>
      <c r="H29" s="52"/>
      <c r="I29" s="14"/>
      <c r="J29" s="14"/>
    </row>
    <row r="30" spans="2:10" x14ac:dyDescent="0.2">
      <c r="B30" s="48" t="s">
        <v>412</v>
      </c>
      <c r="C30" s="24"/>
      <c r="D30" s="24"/>
      <c r="E30" s="25"/>
      <c r="F30" s="26"/>
      <c r="G30" s="26"/>
      <c r="H30" s="26"/>
    </row>
    <row r="31" spans="2:10" x14ac:dyDescent="0.2">
      <c r="B31" s="53" t="s">
        <v>597</v>
      </c>
      <c r="C31" s="53" t="s">
        <v>598</v>
      </c>
      <c r="D31" s="53" t="s">
        <v>415</v>
      </c>
      <c r="E31" s="54">
        <v>500000</v>
      </c>
      <c r="F31" s="55">
        <v>509.49</v>
      </c>
      <c r="G31" s="55">
        <v>1.77</v>
      </c>
      <c r="H31" s="55">
        <v>3.7</v>
      </c>
    </row>
    <row r="32" spans="2:10" x14ac:dyDescent="0.2">
      <c r="B32" s="56" t="s">
        <v>111</v>
      </c>
      <c r="C32" s="56"/>
      <c r="D32" s="56"/>
      <c r="E32" s="57"/>
      <c r="F32" s="58">
        <f>SUM(F31:F31)</f>
        <v>509.49</v>
      </c>
      <c r="G32" s="58">
        <f>SUM(G31:G31)</f>
        <v>1.77</v>
      </c>
      <c r="H32" s="58"/>
      <c r="I32" s="14"/>
      <c r="J32" s="14"/>
    </row>
    <row r="33" spans="2:10" x14ac:dyDescent="0.2">
      <c r="B33" s="48" t="s">
        <v>112</v>
      </c>
      <c r="C33" s="24"/>
      <c r="D33" s="24"/>
      <c r="E33" s="25"/>
      <c r="F33" s="26"/>
      <c r="G33" s="26"/>
      <c r="H33" s="26"/>
    </row>
    <row r="34" spans="2:10" x14ac:dyDescent="0.2">
      <c r="B34" s="24" t="s">
        <v>112</v>
      </c>
      <c r="C34" s="24"/>
      <c r="D34" s="24"/>
      <c r="E34" s="25"/>
      <c r="F34" s="26">
        <v>618.58000000000004</v>
      </c>
      <c r="G34" s="26">
        <v>2.15</v>
      </c>
      <c r="H34" s="26"/>
    </row>
    <row r="35" spans="2:10" x14ac:dyDescent="0.2">
      <c r="B35" s="31" t="s">
        <v>110</v>
      </c>
      <c r="C35" s="31"/>
      <c r="D35" s="31"/>
      <c r="E35" s="32"/>
      <c r="F35" s="33">
        <f>SUM(F33:F34)</f>
        <v>618.58000000000004</v>
      </c>
      <c r="G35" s="33">
        <f>SUM(G33:G34)</f>
        <v>2.15</v>
      </c>
      <c r="H35" s="49"/>
      <c r="I35" s="14"/>
      <c r="J35" s="14"/>
    </row>
    <row r="36" spans="2:10" x14ac:dyDescent="0.2">
      <c r="B36" s="35" t="s">
        <v>111</v>
      </c>
      <c r="C36" s="35"/>
      <c r="D36" s="35"/>
      <c r="E36" s="36"/>
      <c r="F36" s="37">
        <f>F35</f>
        <v>618.58000000000004</v>
      </c>
      <c r="G36" s="37">
        <f>G35</f>
        <v>2.15</v>
      </c>
      <c r="H36" s="37"/>
      <c r="I36" s="14"/>
      <c r="J36" s="14"/>
    </row>
    <row r="37" spans="2:10" x14ac:dyDescent="0.2">
      <c r="B37" s="45" t="s">
        <v>114</v>
      </c>
      <c r="C37" s="45"/>
      <c r="D37" s="45"/>
      <c r="E37" s="46"/>
      <c r="F37" s="17">
        <f>F38-(+F18+F29+F32+F36)</f>
        <v>379.57999999999447</v>
      </c>
      <c r="G37" s="17">
        <f>G38-(+G18+G29+G32+G36)</f>
        <v>1.3299999999999983</v>
      </c>
      <c r="H37" s="17"/>
      <c r="I37" s="14"/>
      <c r="J37" s="14"/>
    </row>
    <row r="38" spans="2:10" x14ac:dyDescent="0.2">
      <c r="B38" s="45" t="s">
        <v>113</v>
      </c>
      <c r="C38" s="45"/>
      <c r="D38" s="45"/>
      <c r="E38" s="46"/>
      <c r="F38" s="17">
        <v>28742.75</v>
      </c>
      <c r="G38" s="17">
        <v>100</v>
      </c>
      <c r="H38" s="17"/>
      <c r="I38" s="14"/>
      <c r="J38" s="14"/>
    </row>
    <row r="40" spans="2:10" x14ac:dyDescent="0.2">
      <c r="B40" s="14" t="s">
        <v>755</v>
      </c>
    </row>
    <row r="41" spans="2:10" x14ac:dyDescent="0.2">
      <c r="B41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61.5703125" style="1" bestFit="1" customWidth="1"/>
    <col min="3" max="3" width="8.140625" style="1" customWidth="1"/>
    <col min="4" max="4" width="18.28515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9" ht="21" customHeight="1" x14ac:dyDescent="0.2">
      <c r="B1" s="69" t="s">
        <v>23</v>
      </c>
      <c r="C1" s="70"/>
      <c r="D1" s="70"/>
      <c r="E1" s="70"/>
      <c r="F1" s="70"/>
      <c r="G1" s="70"/>
    </row>
    <row r="3" spans="2:9" ht="16.5" thickBot="1" x14ac:dyDescent="0.25">
      <c r="B3" s="2" t="s">
        <v>760</v>
      </c>
      <c r="C3" s="3"/>
      <c r="D3" s="4"/>
      <c r="E3" s="5"/>
      <c r="F3" s="6"/>
      <c r="G3" s="6"/>
    </row>
    <row r="4" spans="2:9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9" x14ac:dyDescent="0.2">
      <c r="B5" s="18" t="s">
        <v>112</v>
      </c>
      <c r="C5" s="19"/>
      <c r="D5" s="19"/>
      <c r="E5" s="20"/>
      <c r="F5" s="21"/>
      <c r="G5" s="21"/>
    </row>
    <row r="6" spans="2:9" x14ac:dyDescent="0.2">
      <c r="B6" s="28" t="s">
        <v>112</v>
      </c>
      <c r="C6" s="24"/>
      <c r="D6" s="24"/>
      <c r="E6" s="25"/>
      <c r="F6" s="26">
        <v>14851.04</v>
      </c>
      <c r="G6" s="26">
        <v>99.5</v>
      </c>
    </row>
    <row r="7" spans="2:9" x14ac:dyDescent="0.2">
      <c r="B7" s="30" t="s">
        <v>110</v>
      </c>
      <c r="C7" s="31"/>
      <c r="D7" s="31"/>
      <c r="E7" s="32"/>
      <c r="F7" s="33">
        <f>SUM(F5:F6)</f>
        <v>14851.04</v>
      </c>
      <c r="G7" s="33">
        <f>SUM(G5:G6)</f>
        <v>99.5</v>
      </c>
      <c r="H7" s="14"/>
      <c r="I7" s="14"/>
    </row>
    <row r="8" spans="2:9" x14ac:dyDescent="0.2">
      <c r="B8" s="35" t="s">
        <v>111</v>
      </c>
      <c r="C8" s="35"/>
      <c r="D8" s="35"/>
      <c r="E8" s="36"/>
      <c r="F8" s="37">
        <f>F7</f>
        <v>14851.04</v>
      </c>
      <c r="G8" s="37">
        <f>G7</f>
        <v>99.5</v>
      </c>
      <c r="H8" s="14"/>
      <c r="I8" s="14"/>
    </row>
    <row r="9" spans="2:9" x14ac:dyDescent="0.2">
      <c r="B9" s="45" t="s">
        <v>114</v>
      </c>
      <c r="C9" s="45"/>
      <c r="D9" s="45"/>
      <c r="E9" s="46"/>
      <c r="F9" s="17">
        <f>F10-(+F8)</f>
        <v>72.359999999998763</v>
      </c>
      <c r="G9" s="17">
        <f>G10-(+G8)</f>
        <v>0.5</v>
      </c>
      <c r="H9" s="14"/>
      <c r="I9" s="14"/>
    </row>
    <row r="10" spans="2:9" x14ac:dyDescent="0.2">
      <c r="B10" s="45" t="s">
        <v>113</v>
      </c>
      <c r="C10" s="45"/>
      <c r="D10" s="45"/>
      <c r="E10" s="46"/>
      <c r="F10" s="17">
        <v>14923.4</v>
      </c>
      <c r="G10" s="17">
        <v>100</v>
      </c>
      <c r="H10" s="14"/>
      <c r="I10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2"/>
  <sheetViews>
    <sheetView workbookViewId="0">
      <selection activeCell="H14" sqref="H14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85546875" style="1" bestFit="1" customWidth="1"/>
    <col min="4" max="4" width="18.28515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24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340</v>
      </c>
      <c r="C5" s="19"/>
      <c r="D5" s="19"/>
      <c r="E5" s="20"/>
      <c r="F5" s="21"/>
      <c r="G5" s="21"/>
      <c r="H5" s="21"/>
    </row>
    <row r="6" spans="2:8" x14ac:dyDescent="0.2">
      <c r="B6" s="48" t="s">
        <v>31</v>
      </c>
      <c r="C6" s="24"/>
      <c r="D6" s="24"/>
      <c r="E6" s="25"/>
      <c r="F6" s="26"/>
      <c r="G6" s="26"/>
      <c r="H6" s="26"/>
    </row>
    <row r="7" spans="2:8" x14ac:dyDescent="0.2">
      <c r="B7" s="24" t="s">
        <v>352</v>
      </c>
      <c r="C7" s="24" t="s">
        <v>353</v>
      </c>
      <c r="D7" s="24" t="s">
        <v>343</v>
      </c>
      <c r="E7" s="29">
        <v>350</v>
      </c>
      <c r="F7" s="26">
        <v>3656.09</v>
      </c>
      <c r="G7" s="26">
        <v>4.21</v>
      </c>
      <c r="H7" s="26">
        <v>4.88</v>
      </c>
    </row>
    <row r="8" spans="2:8" x14ac:dyDescent="0.2">
      <c r="B8" s="24" t="s">
        <v>499</v>
      </c>
      <c r="C8" s="24" t="s">
        <v>500</v>
      </c>
      <c r="D8" s="24" t="s">
        <v>343</v>
      </c>
      <c r="E8" s="29">
        <v>250</v>
      </c>
      <c r="F8" s="26">
        <v>2606.54</v>
      </c>
      <c r="G8" s="26">
        <v>3</v>
      </c>
      <c r="H8" s="26">
        <v>4.66</v>
      </c>
    </row>
    <row r="9" spans="2:8" x14ac:dyDescent="0.2">
      <c r="B9" s="24" t="s">
        <v>599</v>
      </c>
      <c r="C9" s="24" t="s">
        <v>600</v>
      </c>
      <c r="D9" s="24" t="s">
        <v>343</v>
      </c>
      <c r="E9" s="29">
        <v>250</v>
      </c>
      <c r="F9" s="26">
        <v>2603.09</v>
      </c>
      <c r="G9" s="26">
        <v>3</v>
      </c>
      <c r="H9" s="26">
        <v>6.25</v>
      </c>
    </row>
    <row r="10" spans="2:8" x14ac:dyDescent="0.2">
      <c r="B10" s="24" t="s">
        <v>601</v>
      </c>
      <c r="C10" s="24" t="s">
        <v>602</v>
      </c>
      <c r="D10" s="24" t="s">
        <v>343</v>
      </c>
      <c r="E10" s="29">
        <v>250</v>
      </c>
      <c r="F10" s="26">
        <v>2598.83</v>
      </c>
      <c r="G10" s="26">
        <v>2.99</v>
      </c>
      <c r="H10" s="26">
        <v>5.47</v>
      </c>
    </row>
    <row r="11" spans="2:8" x14ac:dyDescent="0.2">
      <c r="B11" s="24" t="s">
        <v>388</v>
      </c>
      <c r="C11" s="24" t="s">
        <v>389</v>
      </c>
      <c r="D11" s="24" t="s">
        <v>343</v>
      </c>
      <c r="E11" s="29">
        <v>200</v>
      </c>
      <c r="F11" s="26">
        <v>2080.31</v>
      </c>
      <c r="G11" s="26">
        <v>2.4</v>
      </c>
      <c r="H11" s="26">
        <v>5.0999999999999996</v>
      </c>
    </row>
    <row r="12" spans="2:8" x14ac:dyDescent="0.2">
      <c r="B12" s="24" t="s">
        <v>603</v>
      </c>
      <c r="C12" s="24" t="s">
        <v>604</v>
      </c>
      <c r="D12" s="24" t="s">
        <v>343</v>
      </c>
      <c r="E12" s="29">
        <v>200</v>
      </c>
      <c r="F12" s="26">
        <v>2057.44</v>
      </c>
      <c r="G12" s="26">
        <v>2.37</v>
      </c>
      <c r="H12" s="26">
        <v>6.4</v>
      </c>
    </row>
    <row r="13" spans="2:8" x14ac:dyDescent="0.2">
      <c r="B13" s="24" t="s">
        <v>605</v>
      </c>
      <c r="C13" s="24" t="s">
        <v>606</v>
      </c>
      <c r="D13" s="24" t="s">
        <v>343</v>
      </c>
      <c r="E13" s="29">
        <v>150</v>
      </c>
      <c r="F13" s="26">
        <v>1578.16</v>
      </c>
      <c r="G13" s="26">
        <v>1.82</v>
      </c>
      <c r="H13" s="26">
        <v>4.84</v>
      </c>
    </row>
    <row r="14" spans="2:8" x14ac:dyDescent="0.2">
      <c r="B14" s="24" t="s">
        <v>386</v>
      </c>
      <c r="C14" s="24" t="s">
        <v>387</v>
      </c>
      <c r="D14" s="24" t="s">
        <v>343</v>
      </c>
      <c r="E14" s="29">
        <v>150</v>
      </c>
      <c r="F14" s="26">
        <v>1574.31</v>
      </c>
      <c r="G14" s="26">
        <v>1.81</v>
      </c>
      <c r="H14" s="26">
        <v>6.36</v>
      </c>
    </row>
    <row r="15" spans="2:8" x14ac:dyDescent="0.2">
      <c r="B15" s="24" t="s">
        <v>481</v>
      </c>
      <c r="C15" s="24" t="s">
        <v>482</v>
      </c>
      <c r="D15" s="24" t="s">
        <v>343</v>
      </c>
      <c r="E15" s="29">
        <v>150</v>
      </c>
      <c r="F15" s="26">
        <v>1573.43</v>
      </c>
      <c r="G15" s="26">
        <v>1.81</v>
      </c>
      <c r="H15" s="26">
        <v>4.6100000000000003</v>
      </c>
    </row>
    <row r="16" spans="2:8" x14ac:dyDescent="0.2">
      <c r="B16" s="24" t="s">
        <v>367</v>
      </c>
      <c r="C16" s="24" t="s">
        <v>368</v>
      </c>
      <c r="D16" s="24" t="s">
        <v>343</v>
      </c>
      <c r="E16" s="29">
        <v>150</v>
      </c>
      <c r="F16" s="26">
        <v>1570.15</v>
      </c>
      <c r="G16" s="26">
        <v>1.81</v>
      </c>
      <c r="H16" s="26">
        <v>5.0999999999999996</v>
      </c>
    </row>
    <row r="17" spans="2:8" x14ac:dyDescent="0.2">
      <c r="B17" s="24" t="s">
        <v>607</v>
      </c>
      <c r="C17" s="24" t="s">
        <v>608</v>
      </c>
      <c r="D17" s="24" t="s">
        <v>343</v>
      </c>
      <c r="E17" s="29">
        <v>150</v>
      </c>
      <c r="F17" s="26">
        <v>1569.21</v>
      </c>
      <c r="G17" s="26">
        <v>1.81</v>
      </c>
      <c r="H17" s="26">
        <v>4.68</v>
      </c>
    </row>
    <row r="18" spans="2:8" x14ac:dyDescent="0.2">
      <c r="B18" s="24" t="s">
        <v>369</v>
      </c>
      <c r="C18" s="24" t="s">
        <v>370</v>
      </c>
      <c r="D18" s="24" t="s">
        <v>343</v>
      </c>
      <c r="E18" s="29">
        <v>150</v>
      </c>
      <c r="F18" s="26">
        <v>1569.08</v>
      </c>
      <c r="G18" s="26">
        <v>1.81</v>
      </c>
      <c r="H18" s="26">
        <v>6.34</v>
      </c>
    </row>
    <row r="19" spans="2:8" x14ac:dyDescent="0.2">
      <c r="B19" s="24" t="s">
        <v>609</v>
      </c>
      <c r="C19" s="24" t="s">
        <v>610</v>
      </c>
      <c r="D19" s="24" t="s">
        <v>356</v>
      </c>
      <c r="E19" s="29">
        <v>150</v>
      </c>
      <c r="F19" s="26">
        <v>1561.39</v>
      </c>
      <c r="G19" s="26">
        <v>1.8</v>
      </c>
      <c r="H19" s="26">
        <v>4.6100000000000003</v>
      </c>
    </row>
    <row r="20" spans="2:8" x14ac:dyDescent="0.2">
      <c r="B20" s="24" t="s">
        <v>611</v>
      </c>
      <c r="C20" s="24" t="s">
        <v>612</v>
      </c>
      <c r="D20" s="24" t="s">
        <v>343</v>
      </c>
      <c r="E20" s="29">
        <v>150</v>
      </c>
      <c r="F20" s="26">
        <v>1544.22</v>
      </c>
      <c r="G20" s="26">
        <v>1.78</v>
      </c>
      <c r="H20" s="26">
        <v>5.5</v>
      </c>
    </row>
    <row r="21" spans="2:8" x14ac:dyDescent="0.2">
      <c r="B21" s="24" t="s">
        <v>613</v>
      </c>
      <c r="C21" s="24" t="s">
        <v>614</v>
      </c>
      <c r="D21" s="24" t="s">
        <v>343</v>
      </c>
      <c r="E21" s="29">
        <v>150</v>
      </c>
      <c r="F21" s="26">
        <v>1497.23</v>
      </c>
      <c r="G21" s="26">
        <v>1.72</v>
      </c>
      <c r="H21" s="26">
        <v>5.47</v>
      </c>
    </row>
    <row r="22" spans="2:8" x14ac:dyDescent="0.2">
      <c r="B22" s="24" t="s">
        <v>493</v>
      </c>
      <c r="C22" s="24" t="s">
        <v>494</v>
      </c>
      <c r="D22" s="24" t="s">
        <v>343</v>
      </c>
      <c r="E22" s="29">
        <v>100</v>
      </c>
      <c r="F22" s="26">
        <v>1051.18</v>
      </c>
      <c r="G22" s="26">
        <v>1.21</v>
      </c>
      <c r="H22" s="26">
        <v>4.68</v>
      </c>
    </row>
    <row r="23" spans="2:8" x14ac:dyDescent="0.2">
      <c r="B23" s="24" t="s">
        <v>615</v>
      </c>
      <c r="C23" s="24" t="s">
        <v>616</v>
      </c>
      <c r="D23" s="24" t="s">
        <v>343</v>
      </c>
      <c r="E23" s="29">
        <v>100</v>
      </c>
      <c r="F23" s="26">
        <v>1050.67</v>
      </c>
      <c r="G23" s="26">
        <v>1.21</v>
      </c>
      <c r="H23" s="26">
        <v>4.55</v>
      </c>
    </row>
    <row r="24" spans="2:8" x14ac:dyDescent="0.2">
      <c r="B24" s="24" t="s">
        <v>617</v>
      </c>
      <c r="C24" s="24" t="s">
        <v>618</v>
      </c>
      <c r="D24" s="24" t="s">
        <v>343</v>
      </c>
      <c r="E24" s="29">
        <v>100</v>
      </c>
      <c r="F24" s="26">
        <v>1050.49</v>
      </c>
      <c r="G24" s="26">
        <v>1.21</v>
      </c>
      <c r="H24" s="26">
        <v>5.0999999999999996</v>
      </c>
    </row>
    <row r="25" spans="2:8" x14ac:dyDescent="0.2">
      <c r="B25" s="24" t="s">
        <v>619</v>
      </c>
      <c r="C25" s="24" t="s">
        <v>620</v>
      </c>
      <c r="D25" s="24" t="s">
        <v>343</v>
      </c>
      <c r="E25" s="29">
        <v>100</v>
      </c>
      <c r="F25" s="26">
        <v>1043.6300000000001</v>
      </c>
      <c r="G25" s="26">
        <v>1.2</v>
      </c>
      <c r="H25" s="26">
        <v>5.12</v>
      </c>
    </row>
    <row r="26" spans="2:8" x14ac:dyDescent="0.2">
      <c r="B26" s="24" t="s">
        <v>489</v>
      </c>
      <c r="C26" s="24" t="s">
        <v>490</v>
      </c>
      <c r="D26" s="24" t="s">
        <v>356</v>
      </c>
      <c r="E26" s="29">
        <v>100</v>
      </c>
      <c r="F26" s="26">
        <v>1041.24</v>
      </c>
      <c r="G26" s="26">
        <v>1.2</v>
      </c>
      <c r="H26" s="26">
        <v>4.6100000000000003</v>
      </c>
    </row>
    <row r="27" spans="2:8" x14ac:dyDescent="0.2">
      <c r="B27" s="24" t="s">
        <v>621</v>
      </c>
      <c r="C27" s="24" t="s">
        <v>622</v>
      </c>
      <c r="D27" s="24" t="s">
        <v>343</v>
      </c>
      <c r="E27" s="29">
        <v>100</v>
      </c>
      <c r="F27" s="26">
        <v>1039.1400000000001</v>
      </c>
      <c r="G27" s="26">
        <v>1.2</v>
      </c>
      <c r="H27" s="26">
        <v>4.8099999999999996</v>
      </c>
    </row>
    <row r="28" spans="2:8" x14ac:dyDescent="0.2">
      <c r="B28" s="24" t="s">
        <v>623</v>
      </c>
      <c r="C28" s="24" t="s">
        <v>624</v>
      </c>
      <c r="D28" s="24" t="s">
        <v>356</v>
      </c>
      <c r="E28" s="29">
        <v>100</v>
      </c>
      <c r="F28" s="26">
        <v>1038.03</v>
      </c>
      <c r="G28" s="26">
        <v>1.2</v>
      </c>
      <c r="H28" s="26">
        <v>4.97</v>
      </c>
    </row>
    <row r="29" spans="2:8" x14ac:dyDescent="0.2">
      <c r="B29" s="24" t="s">
        <v>625</v>
      </c>
      <c r="C29" s="24" t="s">
        <v>626</v>
      </c>
      <c r="D29" s="24" t="s">
        <v>343</v>
      </c>
      <c r="E29" s="29">
        <v>100</v>
      </c>
      <c r="F29" s="26">
        <v>1036.56</v>
      </c>
      <c r="G29" s="26">
        <v>1.19</v>
      </c>
      <c r="H29" s="26">
        <v>6.35</v>
      </c>
    </row>
    <row r="30" spans="2:8" x14ac:dyDescent="0.2">
      <c r="B30" s="24" t="s">
        <v>464</v>
      </c>
      <c r="C30" s="24" t="s">
        <v>465</v>
      </c>
      <c r="D30" s="24" t="s">
        <v>343</v>
      </c>
      <c r="E30" s="29">
        <v>100</v>
      </c>
      <c r="F30" s="26">
        <v>1032.0999999999999</v>
      </c>
      <c r="G30" s="26">
        <v>1.19</v>
      </c>
      <c r="H30" s="26">
        <v>4.17</v>
      </c>
    </row>
    <row r="31" spans="2:8" x14ac:dyDescent="0.2">
      <c r="B31" s="24" t="s">
        <v>627</v>
      </c>
      <c r="C31" s="24" t="s">
        <v>628</v>
      </c>
      <c r="D31" s="24" t="s">
        <v>343</v>
      </c>
      <c r="E31" s="29">
        <v>100</v>
      </c>
      <c r="F31" s="26">
        <v>1027.1400000000001</v>
      </c>
      <c r="G31" s="26">
        <v>1.18</v>
      </c>
      <c r="H31" s="26">
        <v>4.4400000000000004</v>
      </c>
    </row>
    <row r="32" spans="2:8" x14ac:dyDescent="0.2">
      <c r="B32" s="24" t="s">
        <v>629</v>
      </c>
      <c r="C32" s="24" t="s">
        <v>630</v>
      </c>
      <c r="D32" s="24" t="s">
        <v>343</v>
      </c>
      <c r="E32" s="29">
        <v>100</v>
      </c>
      <c r="F32" s="26">
        <v>1009.11</v>
      </c>
      <c r="G32" s="26">
        <v>1.1599999999999999</v>
      </c>
      <c r="H32" s="26">
        <v>3.96</v>
      </c>
    </row>
    <row r="33" spans="2:8" x14ac:dyDescent="0.2">
      <c r="B33" s="24" t="s">
        <v>631</v>
      </c>
      <c r="C33" s="24" t="s">
        <v>632</v>
      </c>
      <c r="D33" s="24" t="s">
        <v>343</v>
      </c>
      <c r="E33" s="29">
        <v>70</v>
      </c>
      <c r="F33" s="26">
        <v>727.88</v>
      </c>
      <c r="G33" s="26">
        <v>0.84</v>
      </c>
      <c r="H33" s="26">
        <v>4.0599999999999996</v>
      </c>
    </row>
    <row r="34" spans="2:8" x14ac:dyDescent="0.2">
      <c r="B34" s="24" t="s">
        <v>348</v>
      </c>
      <c r="C34" s="24" t="s">
        <v>349</v>
      </c>
      <c r="D34" s="24" t="s">
        <v>343</v>
      </c>
      <c r="E34" s="29">
        <v>50</v>
      </c>
      <c r="F34" s="26">
        <v>556.79</v>
      </c>
      <c r="G34" s="26">
        <v>0.64</v>
      </c>
      <c r="H34" s="26">
        <v>6.79</v>
      </c>
    </row>
    <row r="35" spans="2:8" x14ac:dyDescent="0.2">
      <c r="B35" s="24" t="s">
        <v>400</v>
      </c>
      <c r="C35" s="24" t="s">
        <v>401</v>
      </c>
      <c r="D35" s="24" t="s">
        <v>343</v>
      </c>
      <c r="E35" s="29">
        <v>50</v>
      </c>
      <c r="F35" s="26">
        <v>550.04</v>
      </c>
      <c r="G35" s="26">
        <v>0.63</v>
      </c>
      <c r="H35" s="26">
        <v>6.68</v>
      </c>
    </row>
    <row r="36" spans="2:8" x14ac:dyDescent="0.2">
      <c r="B36" s="24" t="s">
        <v>380</v>
      </c>
      <c r="C36" s="24" t="s">
        <v>381</v>
      </c>
      <c r="D36" s="24" t="s">
        <v>343</v>
      </c>
      <c r="E36" s="29">
        <v>50</v>
      </c>
      <c r="F36" s="26">
        <v>549.39</v>
      </c>
      <c r="G36" s="26">
        <v>0.63</v>
      </c>
      <c r="H36" s="26">
        <v>6.78</v>
      </c>
    </row>
    <row r="37" spans="2:8" x14ac:dyDescent="0.2">
      <c r="B37" s="24" t="s">
        <v>633</v>
      </c>
      <c r="C37" s="24" t="s">
        <v>634</v>
      </c>
      <c r="D37" s="24" t="s">
        <v>343</v>
      </c>
      <c r="E37" s="29">
        <v>50</v>
      </c>
      <c r="F37" s="26">
        <v>549.16</v>
      </c>
      <c r="G37" s="26">
        <v>0.63</v>
      </c>
      <c r="H37" s="26">
        <v>6.52</v>
      </c>
    </row>
    <row r="38" spans="2:8" x14ac:dyDescent="0.2">
      <c r="B38" s="24" t="s">
        <v>635</v>
      </c>
      <c r="C38" s="24" t="s">
        <v>636</v>
      </c>
      <c r="D38" s="24" t="s">
        <v>343</v>
      </c>
      <c r="E38" s="29">
        <v>50</v>
      </c>
      <c r="F38" s="26">
        <v>548.63</v>
      </c>
      <c r="G38" s="26">
        <v>0.63</v>
      </c>
      <c r="H38" s="26">
        <v>6.29</v>
      </c>
    </row>
    <row r="39" spans="2:8" x14ac:dyDescent="0.2">
      <c r="B39" s="24" t="s">
        <v>637</v>
      </c>
      <c r="C39" s="24" t="s">
        <v>638</v>
      </c>
      <c r="D39" s="24" t="s">
        <v>343</v>
      </c>
      <c r="E39" s="29">
        <v>50</v>
      </c>
      <c r="F39" s="26">
        <v>537.32000000000005</v>
      </c>
      <c r="G39" s="26">
        <v>0.62</v>
      </c>
      <c r="H39" s="26">
        <v>5.01</v>
      </c>
    </row>
    <row r="40" spans="2:8" x14ac:dyDescent="0.2">
      <c r="B40" s="24" t="s">
        <v>361</v>
      </c>
      <c r="C40" s="24" t="s">
        <v>362</v>
      </c>
      <c r="D40" s="24" t="s">
        <v>343</v>
      </c>
      <c r="E40" s="29">
        <v>50</v>
      </c>
      <c r="F40" s="26">
        <v>532.29999999999995</v>
      </c>
      <c r="G40" s="26">
        <v>0.61</v>
      </c>
      <c r="H40" s="26">
        <v>6.01</v>
      </c>
    </row>
    <row r="41" spans="2:8" x14ac:dyDescent="0.2">
      <c r="B41" s="24" t="s">
        <v>639</v>
      </c>
      <c r="C41" s="24" t="s">
        <v>640</v>
      </c>
      <c r="D41" s="24" t="s">
        <v>343</v>
      </c>
      <c r="E41" s="29">
        <v>50</v>
      </c>
      <c r="F41" s="26">
        <v>527.76</v>
      </c>
      <c r="G41" s="26">
        <v>0.61</v>
      </c>
      <c r="H41" s="26">
        <v>5.0199999999999996</v>
      </c>
    </row>
    <row r="42" spans="2:8" x14ac:dyDescent="0.2">
      <c r="B42" s="24" t="s">
        <v>641</v>
      </c>
      <c r="C42" s="24" t="s">
        <v>642</v>
      </c>
      <c r="D42" s="24" t="s">
        <v>356</v>
      </c>
      <c r="E42" s="29">
        <v>50</v>
      </c>
      <c r="F42" s="26">
        <v>527.05999999999995</v>
      </c>
      <c r="G42" s="26">
        <v>0.61</v>
      </c>
      <c r="H42" s="26">
        <v>6.77</v>
      </c>
    </row>
    <row r="43" spans="2:8" x14ac:dyDescent="0.2">
      <c r="B43" s="24" t="s">
        <v>456</v>
      </c>
      <c r="C43" s="24" t="s">
        <v>457</v>
      </c>
      <c r="D43" s="24" t="s">
        <v>343</v>
      </c>
      <c r="E43" s="29">
        <v>50</v>
      </c>
      <c r="F43" s="26">
        <v>523.12</v>
      </c>
      <c r="G43" s="26">
        <v>0.6</v>
      </c>
      <c r="H43" s="26">
        <v>6.77</v>
      </c>
    </row>
    <row r="44" spans="2:8" x14ac:dyDescent="0.2">
      <c r="B44" s="24" t="s">
        <v>643</v>
      </c>
      <c r="C44" s="24" t="s">
        <v>644</v>
      </c>
      <c r="D44" s="24" t="s">
        <v>356</v>
      </c>
      <c r="E44" s="29">
        <v>50</v>
      </c>
      <c r="F44" s="26">
        <v>518.86</v>
      </c>
      <c r="G44" s="26">
        <v>0.6</v>
      </c>
      <c r="H44" s="26">
        <v>5.6</v>
      </c>
    </row>
    <row r="45" spans="2:8" x14ac:dyDescent="0.2">
      <c r="B45" s="24" t="s">
        <v>645</v>
      </c>
      <c r="C45" s="24" t="s">
        <v>646</v>
      </c>
      <c r="D45" s="24" t="s">
        <v>343</v>
      </c>
      <c r="E45" s="29">
        <v>50</v>
      </c>
      <c r="F45" s="26">
        <v>513.89</v>
      </c>
      <c r="G45" s="26">
        <v>0.59</v>
      </c>
      <c r="H45" s="26">
        <v>4.17</v>
      </c>
    </row>
    <row r="46" spans="2:8" x14ac:dyDescent="0.2">
      <c r="B46" s="24" t="s">
        <v>647</v>
      </c>
      <c r="C46" s="24" t="s">
        <v>648</v>
      </c>
      <c r="D46" s="24" t="s">
        <v>343</v>
      </c>
      <c r="E46" s="29">
        <v>50</v>
      </c>
      <c r="F46" s="26">
        <v>513.74</v>
      </c>
      <c r="G46" s="26">
        <v>0.59</v>
      </c>
      <c r="H46" s="26">
        <v>4.6100000000000003</v>
      </c>
    </row>
    <row r="47" spans="2:8" x14ac:dyDescent="0.2">
      <c r="B47" s="24" t="s">
        <v>649</v>
      </c>
      <c r="C47" s="24" t="s">
        <v>650</v>
      </c>
      <c r="D47" s="24" t="s">
        <v>343</v>
      </c>
      <c r="E47" s="29">
        <v>50</v>
      </c>
      <c r="F47" s="26">
        <v>513.04999999999995</v>
      </c>
      <c r="G47" s="26">
        <v>0.59</v>
      </c>
      <c r="H47" s="26">
        <v>3.9</v>
      </c>
    </row>
    <row r="48" spans="2:8" x14ac:dyDescent="0.2">
      <c r="B48" s="24" t="s">
        <v>344</v>
      </c>
      <c r="C48" s="24" t="s">
        <v>345</v>
      </c>
      <c r="D48" s="24" t="s">
        <v>343</v>
      </c>
      <c r="E48" s="29">
        <v>50</v>
      </c>
      <c r="F48" s="26">
        <v>503.84</v>
      </c>
      <c r="G48" s="26">
        <v>0.57999999999999996</v>
      </c>
      <c r="H48" s="26">
        <v>3.56</v>
      </c>
    </row>
    <row r="49" spans="2:10" x14ac:dyDescent="0.2">
      <c r="B49" s="24" t="s">
        <v>651</v>
      </c>
      <c r="C49" s="24" t="s">
        <v>652</v>
      </c>
      <c r="D49" s="24" t="s">
        <v>343</v>
      </c>
      <c r="E49" s="29">
        <v>50</v>
      </c>
      <c r="F49" s="26">
        <v>502.54</v>
      </c>
      <c r="G49" s="26">
        <v>0.57999999999999996</v>
      </c>
      <c r="H49" s="26">
        <v>3.6</v>
      </c>
    </row>
    <row r="50" spans="2:10" x14ac:dyDescent="0.2">
      <c r="B50" s="24" t="s">
        <v>653</v>
      </c>
      <c r="C50" s="24" t="s">
        <v>654</v>
      </c>
      <c r="D50" s="24" t="s">
        <v>343</v>
      </c>
      <c r="E50" s="29">
        <v>40</v>
      </c>
      <c r="F50" s="26">
        <v>501.28</v>
      </c>
      <c r="G50" s="26">
        <v>0.57999999999999996</v>
      </c>
      <c r="H50" s="26">
        <v>3.6</v>
      </c>
    </row>
    <row r="51" spans="2:10" x14ac:dyDescent="0.2">
      <c r="B51" s="24" t="s">
        <v>491</v>
      </c>
      <c r="C51" s="24" t="s">
        <v>492</v>
      </c>
      <c r="D51" s="24" t="s">
        <v>343</v>
      </c>
      <c r="E51" s="29">
        <v>100</v>
      </c>
      <c r="F51" s="26">
        <v>322.58999999999997</v>
      </c>
      <c r="G51" s="26">
        <v>0.37</v>
      </c>
      <c r="H51" s="26">
        <v>5.38</v>
      </c>
    </row>
    <row r="52" spans="2:10" x14ac:dyDescent="0.2">
      <c r="B52" s="24" t="s">
        <v>655</v>
      </c>
      <c r="C52" s="24" t="s">
        <v>656</v>
      </c>
      <c r="D52" s="24" t="s">
        <v>343</v>
      </c>
      <c r="E52" s="29">
        <v>20</v>
      </c>
      <c r="F52" s="26">
        <v>205.11</v>
      </c>
      <c r="G52" s="26">
        <v>0.24</v>
      </c>
      <c r="H52" s="26">
        <v>4.41</v>
      </c>
    </row>
    <row r="53" spans="2:10" x14ac:dyDescent="0.2">
      <c r="B53" s="24" t="s">
        <v>657</v>
      </c>
      <c r="C53" s="24" t="s">
        <v>658</v>
      </c>
      <c r="D53" s="24" t="s">
        <v>343</v>
      </c>
      <c r="E53" s="29">
        <v>10</v>
      </c>
      <c r="F53" s="26">
        <v>105.22</v>
      </c>
      <c r="G53" s="26">
        <v>0.12</v>
      </c>
      <c r="H53" s="26">
        <v>4.76</v>
      </c>
    </row>
    <row r="54" spans="2:10" x14ac:dyDescent="0.2">
      <c r="B54" s="31" t="s">
        <v>110</v>
      </c>
      <c r="C54" s="31"/>
      <c r="D54" s="31"/>
      <c r="E54" s="32"/>
      <c r="F54" s="33">
        <f>SUM(F6:F53)</f>
        <v>51388.34</v>
      </c>
      <c r="G54" s="33">
        <f>SUM(G6:G53)</f>
        <v>59.180000000000014</v>
      </c>
      <c r="H54" s="49"/>
      <c r="I54" s="14"/>
      <c r="J54" s="14"/>
    </row>
    <row r="55" spans="2:10" x14ac:dyDescent="0.2">
      <c r="B55" s="50" t="s">
        <v>111</v>
      </c>
      <c r="C55" s="50"/>
      <c r="D55" s="50"/>
      <c r="E55" s="51"/>
      <c r="F55" s="52">
        <f>F54</f>
        <v>51388.34</v>
      </c>
      <c r="G55" s="52">
        <f>G54</f>
        <v>59.180000000000014</v>
      </c>
      <c r="H55" s="52"/>
      <c r="I55" s="14"/>
      <c r="J55" s="14"/>
    </row>
    <row r="56" spans="2:10" x14ac:dyDescent="0.2">
      <c r="B56" s="48" t="s">
        <v>503</v>
      </c>
      <c r="C56" s="24"/>
      <c r="D56" s="24"/>
      <c r="E56" s="25"/>
      <c r="F56" s="26"/>
      <c r="G56" s="26"/>
      <c r="H56" s="26"/>
    </row>
    <row r="57" spans="2:10" x14ac:dyDescent="0.2">
      <c r="B57" s="48" t="s">
        <v>528</v>
      </c>
      <c r="C57" s="24"/>
      <c r="D57" s="24"/>
      <c r="E57" s="25"/>
      <c r="F57" s="26"/>
      <c r="G57" s="26"/>
      <c r="H57" s="26"/>
    </row>
    <row r="58" spans="2:10" x14ac:dyDescent="0.2">
      <c r="B58" s="24" t="s">
        <v>659</v>
      </c>
      <c r="C58" s="24" t="s">
        <v>660</v>
      </c>
      <c r="D58" s="24" t="s">
        <v>531</v>
      </c>
      <c r="E58" s="29">
        <v>1000000</v>
      </c>
      <c r="F58" s="26">
        <v>970.28</v>
      </c>
      <c r="G58" s="26">
        <v>1.1200000000000001</v>
      </c>
      <c r="H58" s="26">
        <v>3.63</v>
      </c>
    </row>
    <row r="59" spans="2:10" x14ac:dyDescent="0.2">
      <c r="B59" s="31" t="s">
        <v>110</v>
      </c>
      <c r="C59" s="31"/>
      <c r="D59" s="31"/>
      <c r="E59" s="32"/>
      <c r="F59" s="33">
        <f>SUM(F57:F58)</f>
        <v>970.28</v>
      </c>
      <c r="G59" s="33">
        <f>SUM(G57:G58)</f>
        <v>1.1200000000000001</v>
      </c>
      <c r="H59" s="49"/>
      <c r="I59" s="14"/>
      <c r="J59" s="14"/>
    </row>
    <row r="60" spans="2:10" x14ac:dyDescent="0.2">
      <c r="B60" s="50" t="s">
        <v>111</v>
      </c>
      <c r="C60" s="50"/>
      <c r="D60" s="50"/>
      <c r="E60" s="51"/>
      <c r="F60" s="52">
        <f>+F59</f>
        <v>970.28</v>
      </c>
      <c r="G60" s="52">
        <f>+G59</f>
        <v>1.1200000000000001</v>
      </c>
      <c r="H60" s="52"/>
      <c r="I60" s="14"/>
      <c r="J60" s="14"/>
    </row>
    <row r="61" spans="2:10" x14ac:dyDescent="0.2">
      <c r="B61" s="48" t="s">
        <v>412</v>
      </c>
      <c r="C61" s="24"/>
      <c r="D61" s="24"/>
      <c r="E61" s="25"/>
      <c r="F61" s="26"/>
      <c r="G61" s="26"/>
      <c r="H61" s="26"/>
    </row>
    <row r="62" spans="2:10" x14ac:dyDescent="0.2">
      <c r="B62" s="24" t="s">
        <v>539</v>
      </c>
      <c r="C62" s="24" t="s">
        <v>540</v>
      </c>
      <c r="D62" s="24" t="s">
        <v>415</v>
      </c>
      <c r="E62" s="29">
        <v>7000000</v>
      </c>
      <c r="F62" s="26">
        <v>7501.21</v>
      </c>
      <c r="G62" s="26">
        <v>8.64</v>
      </c>
      <c r="H62" s="26">
        <v>4.96</v>
      </c>
    </row>
    <row r="63" spans="2:10" x14ac:dyDescent="0.2">
      <c r="B63" s="24" t="s">
        <v>432</v>
      </c>
      <c r="C63" s="24" t="s">
        <v>433</v>
      </c>
      <c r="D63" s="24" t="s">
        <v>415</v>
      </c>
      <c r="E63" s="29">
        <v>1500000</v>
      </c>
      <c r="F63" s="26">
        <v>1596.98</v>
      </c>
      <c r="G63" s="26">
        <v>1.84</v>
      </c>
      <c r="H63" s="26">
        <v>4.6399999999999997</v>
      </c>
    </row>
    <row r="64" spans="2:10" x14ac:dyDescent="0.2">
      <c r="B64" s="24" t="s">
        <v>416</v>
      </c>
      <c r="C64" s="24" t="s">
        <v>417</v>
      </c>
      <c r="D64" s="24" t="s">
        <v>415</v>
      </c>
      <c r="E64" s="29">
        <v>1500000</v>
      </c>
      <c r="F64" s="26">
        <v>1549.46</v>
      </c>
      <c r="G64" s="26">
        <v>1.78</v>
      </c>
      <c r="H64" s="26">
        <v>5.27</v>
      </c>
    </row>
    <row r="65" spans="2:10" x14ac:dyDescent="0.2">
      <c r="B65" s="24" t="s">
        <v>661</v>
      </c>
      <c r="C65" s="24" t="s">
        <v>662</v>
      </c>
      <c r="D65" s="24" t="s">
        <v>415</v>
      </c>
      <c r="E65" s="29">
        <v>1000000</v>
      </c>
      <c r="F65" s="26">
        <v>1079.69</v>
      </c>
      <c r="G65" s="26">
        <v>1.24</v>
      </c>
      <c r="H65" s="26">
        <v>5.09</v>
      </c>
    </row>
    <row r="66" spans="2:10" x14ac:dyDescent="0.2">
      <c r="B66" s="24" t="s">
        <v>422</v>
      </c>
      <c r="C66" s="24" t="s">
        <v>423</v>
      </c>
      <c r="D66" s="24" t="s">
        <v>415</v>
      </c>
      <c r="E66" s="29">
        <v>1000000</v>
      </c>
      <c r="F66" s="26">
        <v>1044.68</v>
      </c>
      <c r="G66" s="26">
        <v>1.2</v>
      </c>
      <c r="H66" s="26">
        <v>5.96</v>
      </c>
    </row>
    <row r="67" spans="2:10" x14ac:dyDescent="0.2">
      <c r="B67" s="24" t="s">
        <v>418</v>
      </c>
      <c r="C67" s="24" t="s">
        <v>419</v>
      </c>
      <c r="D67" s="24" t="s">
        <v>415</v>
      </c>
      <c r="E67" s="29">
        <v>1000000</v>
      </c>
      <c r="F67" s="26">
        <v>982.03</v>
      </c>
      <c r="G67" s="26">
        <v>1.1299999999999999</v>
      </c>
      <c r="H67" s="26">
        <v>6.01</v>
      </c>
    </row>
    <row r="68" spans="2:10" x14ac:dyDescent="0.2">
      <c r="B68" s="24" t="s">
        <v>541</v>
      </c>
      <c r="C68" s="24" t="s">
        <v>542</v>
      </c>
      <c r="D68" s="24" t="s">
        <v>415</v>
      </c>
      <c r="E68" s="29">
        <v>500000</v>
      </c>
      <c r="F68" s="26">
        <v>527.14</v>
      </c>
      <c r="G68" s="26">
        <v>0.61</v>
      </c>
      <c r="H68" s="26">
        <v>4.7</v>
      </c>
    </row>
    <row r="69" spans="2:10" x14ac:dyDescent="0.2">
      <c r="B69" s="24" t="s">
        <v>663</v>
      </c>
      <c r="C69" s="24" t="s">
        <v>664</v>
      </c>
      <c r="D69" s="24" t="s">
        <v>415</v>
      </c>
      <c r="E69" s="29">
        <v>500000</v>
      </c>
      <c r="F69" s="26">
        <v>526.17999999999995</v>
      </c>
      <c r="G69" s="26">
        <v>0.61</v>
      </c>
      <c r="H69" s="26">
        <v>5.0599999999999996</v>
      </c>
    </row>
    <row r="70" spans="2:10" x14ac:dyDescent="0.2">
      <c r="B70" s="24" t="s">
        <v>665</v>
      </c>
      <c r="C70" s="24" t="s">
        <v>666</v>
      </c>
      <c r="D70" s="24" t="s">
        <v>415</v>
      </c>
      <c r="E70" s="29">
        <v>500000</v>
      </c>
      <c r="F70" s="26">
        <v>525.14</v>
      </c>
      <c r="G70" s="26">
        <v>0.6</v>
      </c>
      <c r="H70" s="26">
        <v>4.7</v>
      </c>
    </row>
    <row r="71" spans="2:10" x14ac:dyDescent="0.2">
      <c r="B71" s="24" t="s">
        <v>667</v>
      </c>
      <c r="C71" s="24" t="s">
        <v>668</v>
      </c>
      <c r="D71" s="24" t="s">
        <v>415</v>
      </c>
      <c r="E71" s="29">
        <v>178000</v>
      </c>
      <c r="F71" s="26">
        <v>181.63</v>
      </c>
      <c r="G71" s="26">
        <v>0.21</v>
      </c>
      <c r="H71" s="26">
        <v>4.05</v>
      </c>
    </row>
    <row r="72" spans="2:10" x14ac:dyDescent="0.2">
      <c r="B72" s="53" t="s">
        <v>669</v>
      </c>
      <c r="C72" s="53" t="s">
        <v>670</v>
      </c>
      <c r="D72" s="53" t="s">
        <v>415</v>
      </c>
      <c r="E72" s="54">
        <v>28300</v>
      </c>
      <c r="F72" s="55">
        <v>30.21</v>
      </c>
      <c r="G72" s="55">
        <v>0.03</v>
      </c>
      <c r="H72" s="55">
        <v>6.56</v>
      </c>
    </row>
    <row r="73" spans="2:10" x14ac:dyDescent="0.2">
      <c r="B73" s="56" t="s">
        <v>111</v>
      </c>
      <c r="C73" s="56"/>
      <c r="D73" s="56"/>
      <c r="E73" s="57"/>
      <c r="F73" s="58">
        <f>SUM(F62:F72)</f>
        <v>15544.35</v>
      </c>
      <c r="G73" s="58">
        <f>SUM(G62:G72)</f>
        <v>17.89</v>
      </c>
      <c r="H73" s="58"/>
      <c r="I73" s="14"/>
      <c r="J73" s="14"/>
    </row>
    <row r="74" spans="2:10" x14ac:dyDescent="0.2">
      <c r="B74" s="48" t="s">
        <v>112</v>
      </c>
      <c r="C74" s="24"/>
      <c r="D74" s="24"/>
      <c r="E74" s="25"/>
      <c r="F74" s="26"/>
      <c r="G74" s="26"/>
      <c r="H74" s="26"/>
    </row>
    <row r="75" spans="2:10" x14ac:dyDescent="0.2">
      <c r="B75" s="24" t="s">
        <v>112</v>
      </c>
      <c r="C75" s="24"/>
      <c r="D75" s="24"/>
      <c r="E75" s="25"/>
      <c r="F75" s="26">
        <v>13273.86</v>
      </c>
      <c r="G75" s="26">
        <v>15.28</v>
      </c>
      <c r="H75" s="26"/>
    </row>
    <row r="76" spans="2:10" x14ac:dyDescent="0.2">
      <c r="B76" s="31" t="s">
        <v>110</v>
      </c>
      <c r="C76" s="31"/>
      <c r="D76" s="31"/>
      <c r="E76" s="32"/>
      <c r="F76" s="33">
        <f>SUM(F74:F75)</f>
        <v>13273.86</v>
      </c>
      <c r="G76" s="33">
        <f>SUM(G74:G75)</f>
        <v>15.28</v>
      </c>
      <c r="H76" s="49"/>
      <c r="I76" s="14"/>
      <c r="J76" s="14"/>
    </row>
    <row r="77" spans="2:10" x14ac:dyDescent="0.2">
      <c r="B77" s="35" t="s">
        <v>111</v>
      </c>
      <c r="C77" s="35"/>
      <c r="D77" s="35"/>
      <c r="E77" s="36"/>
      <c r="F77" s="37">
        <f>F76</f>
        <v>13273.86</v>
      </c>
      <c r="G77" s="37">
        <f>G76</f>
        <v>15.28</v>
      </c>
      <c r="H77" s="37"/>
      <c r="I77" s="14"/>
      <c r="J77" s="14"/>
    </row>
    <row r="78" spans="2:10" x14ac:dyDescent="0.2">
      <c r="B78" s="45" t="s">
        <v>114</v>
      </c>
      <c r="C78" s="45"/>
      <c r="D78" s="45"/>
      <c r="E78" s="46"/>
      <c r="F78" s="17">
        <f>F79-(+F55+F60+F73+F77)</f>
        <v>5661.6900000000023</v>
      </c>
      <c r="G78" s="17">
        <f>G79-(+G55+G60+G73+G77)</f>
        <v>6.5299999999999869</v>
      </c>
      <c r="H78" s="17"/>
      <c r="I78" s="14"/>
      <c r="J78" s="14"/>
    </row>
    <row r="79" spans="2:10" x14ac:dyDescent="0.2">
      <c r="B79" s="45" t="s">
        <v>113</v>
      </c>
      <c r="C79" s="45"/>
      <c r="D79" s="45"/>
      <c r="E79" s="46"/>
      <c r="F79" s="17">
        <v>86838.52</v>
      </c>
      <c r="G79" s="17">
        <v>100</v>
      </c>
      <c r="H79" s="17"/>
      <c r="I79" s="14"/>
      <c r="J79" s="14"/>
    </row>
    <row r="81" spans="2:2" x14ac:dyDescent="0.2">
      <c r="B81" s="14" t="s">
        <v>755</v>
      </c>
    </row>
    <row r="82" spans="2:2" x14ac:dyDescent="0.2">
      <c r="B82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2"/>
  <sheetViews>
    <sheetView workbookViewId="0">
      <selection activeCell="H22" sqref="H22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85546875" style="1" bestFit="1" customWidth="1"/>
    <col min="4" max="4" width="18.28515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25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340</v>
      </c>
      <c r="C5" s="19"/>
      <c r="D5" s="19"/>
      <c r="E5" s="20"/>
      <c r="F5" s="21"/>
      <c r="G5" s="21"/>
      <c r="H5" s="21"/>
    </row>
    <row r="6" spans="2:8" x14ac:dyDescent="0.2">
      <c r="B6" s="48" t="s">
        <v>31</v>
      </c>
      <c r="C6" s="24"/>
      <c r="D6" s="24"/>
      <c r="E6" s="25"/>
      <c r="F6" s="26"/>
      <c r="G6" s="26"/>
      <c r="H6" s="26"/>
    </row>
    <row r="7" spans="2:8" x14ac:dyDescent="0.2">
      <c r="B7" s="24" t="s">
        <v>400</v>
      </c>
      <c r="C7" s="24" t="s">
        <v>401</v>
      </c>
      <c r="D7" s="24" t="s">
        <v>343</v>
      </c>
      <c r="E7" s="29">
        <v>150</v>
      </c>
      <c r="F7" s="26">
        <v>1650.11</v>
      </c>
      <c r="G7" s="26">
        <v>5.34</v>
      </c>
      <c r="H7" s="26">
        <v>6.68</v>
      </c>
    </row>
    <row r="8" spans="2:8" x14ac:dyDescent="0.2">
      <c r="B8" s="24" t="s">
        <v>388</v>
      </c>
      <c r="C8" s="24" t="s">
        <v>389</v>
      </c>
      <c r="D8" s="24" t="s">
        <v>343</v>
      </c>
      <c r="E8" s="29">
        <v>150</v>
      </c>
      <c r="F8" s="26">
        <v>1560.23</v>
      </c>
      <c r="G8" s="26">
        <v>5.05</v>
      </c>
      <c r="H8" s="26">
        <v>5.0999999999999996</v>
      </c>
    </row>
    <row r="9" spans="2:8" x14ac:dyDescent="0.2">
      <c r="B9" s="24" t="s">
        <v>671</v>
      </c>
      <c r="C9" s="24" t="s">
        <v>672</v>
      </c>
      <c r="D9" s="24" t="s">
        <v>377</v>
      </c>
      <c r="E9" s="29">
        <v>120</v>
      </c>
      <c r="F9" s="26">
        <v>1475.94</v>
      </c>
      <c r="G9" s="26">
        <v>4.7699999999999996</v>
      </c>
      <c r="H9" s="26">
        <v>6.21</v>
      </c>
    </row>
    <row r="10" spans="2:8" x14ac:dyDescent="0.2">
      <c r="B10" s="24" t="s">
        <v>348</v>
      </c>
      <c r="C10" s="24" t="s">
        <v>349</v>
      </c>
      <c r="D10" s="24" t="s">
        <v>343</v>
      </c>
      <c r="E10" s="29">
        <v>100</v>
      </c>
      <c r="F10" s="26">
        <v>1113.58</v>
      </c>
      <c r="G10" s="26">
        <v>3.6</v>
      </c>
      <c r="H10" s="26">
        <v>6.79</v>
      </c>
    </row>
    <row r="11" spans="2:8" x14ac:dyDescent="0.2">
      <c r="B11" s="24" t="s">
        <v>673</v>
      </c>
      <c r="C11" s="24" t="s">
        <v>674</v>
      </c>
      <c r="D11" s="24" t="s">
        <v>343</v>
      </c>
      <c r="E11" s="29">
        <v>100</v>
      </c>
      <c r="F11" s="26">
        <v>1035.4100000000001</v>
      </c>
      <c r="G11" s="26">
        <v>3.35</v>
      </c>
      <c r="H11" s="26">
        <v>6.35</v>
      </c>
    </row>
    <row r="12" spans="2:8" x14ac:dyDescent="0.2">
      <c r="B12" s="24" t="s">
        <v>611</v>
      </c>
      <c r="C12" s="24" t="s">
        <v>612</v>
      </c>
      <c r="D12" s="24" t="s">
        <v>343</v>
      </c>
      <c r="E12" s="29">
        <v>100</v>
      </c>
      <c r="F12" s="26">
        <v>1029.48</v>
      </c>
      <c r="G12" s="26">
        <v>3.33</v>
      </c>
      <c r="H12" s="26">
        <v>5.5</v>
      </c>
    </row>
    <row r="13" spans="2:8" x14ac:dyDescent="0.2">
      <c r="B13" s="24" t="s">
        <v>647</v>
      </c>
      <c r="C13" s="24" t="s">
        <v>648</v>
      </c>
      <c r="D13" s="24" t="s">
        <v>343</v>
      </c>
      <c r="E13" s="29">
        <v>100</v>
      </c>
      <c r="F13" s="26">
        <v>1027.48</v>
      </c>
      <c r="G13" s="26">
        <v>3.32</v>
      </c>
      <c r="H13" s="26">
        <v>4.6100000000000003</v>
      </c>
    </row>
    <row r="14" spans="2:8" x14ac:dyDescent="0.2">
      <c r="B14" s="24" t="s">
        <v>675</v>
      </c>
      <c r="C14" s="24" t="s">
        <v>676</v>
      </c>
      <c r="D14" s="24" t="s">
        <v>476</v>
      </c>
      <c r="E14" s="29">
        <v>100</v>
      </c>
      <c r="F14" s="26">
        <v>1016.96</v>
      </c>
      <c r="G14" s="26">
        <v>3.29</v>
      </c>
      <c r="H14" s="26">
        <v>4.7699999999999996</v>
      </c>
    </row>
    <row r="15" spans="2:8" x14ac:dyDescent="0.2">
      <c r="B15" s="24" t="s">
        <v>462</v>
      </c>
      <c r="C15" s="24" t="s">
        <v>463</v>
      </c>
      <c r="D15" s="24" t="s">
        <v>377</v>
      </c>
      <c r="E15" s="29">
        <v>100</v>
      </c>
      <c r="F15" s="26">
        <v>1014.2</v>
      </c>
      <c r="G15" s="26">
        <v>3.28</v>
      </c>
      <c r="H15" s="26">
        <v>6.78</v>
      </c>
    </row>
    <row r="16" spans="2:8" x14ac:dyDescent="0.2">
      <c r="B16" s="24" t="s">
        <v>537</v>
      </c>
      <c r="C16" s="24" t="s">
        <v>538</v>
      </c>
      <c r="D16" s="24" t="s">
        <v>343</v>
      </c>
      <c r="E16" s="29">
        <v>50</v>
      </c>
      <c r="F16" s="26">
        <v>565.53</v>
      </c>
      <c r="G16" s="26">
        <v>1.83</v>
      </c>
      <c r="H16" s="26">
        <v>6.79</v>
      </c>
    </row>
    <row r="17" spans="2:8" x14ac:dyDescent="0.2">
      <c r="B17" s="24" t="s">
        <v>677</v>
      </c>
      <c r="C17" s="24" t="s">
        <v>678</v>
      </c>
      <c r="D17" s="24" t="s">
        <v>343</v>
      </c>
      <c r="E17" s="29">
        <v>50</v>
      </c>
      <c r="F17" s="26">
        <v>556.16999999999996</v>
      </c>
      <c r="G17" s="26">
        <v>1.8</v>
      </c>
      <c r="H17" s="26">
        <v>5.09</v>
      </c>
    </row>
    <row r="18" spans="2:8" x14ac:dyDescent="0.2">
      <c r="B18" s="24" t="s">
        <v>365</v>
      </c>
      <c r="C18" s="24" t="s">
        <v>366</v>
      </c>
      <c r="D18" s="24" t="s">
        <v>343</v>
      </c>
      <c r="E18" s="29">
        <v>50</v>
      </c>
      <c r="F18" s="26">
        <v>538.41</v>
      </c>
      <c r="G18" s="26">
        <v>1.74</v>
      </c>
      <c r="H18" s="26">
        <v>5.31</v>
      </c>
    </row>
    <row r="19" spans="2:8" x14ac:dyDescent="0.2">
      <c r="B19" s="24" t="s">
        <v>637</v>
      </c>
      <c r="C19" s="24" t="s">
        <v>638</v>
      </c>
      <c r="D19" s="24" t="s">
        <v>343</v>
      </c>
      <c r="E19" s="29">
        <v>50</v>
      </c>
      <c r="F19" s="26">
        <v>537.32000000000005</v>
      </c>
      <c r="G19" s="26">
        <v>1.74</v>
      </c>
      <c r="H19" s="26">
        <v>5.01</v>
      </c>
    </row>
    <row r="20" spans="2:8" x14ac:dyDescent="0.2">
      <c r="B20" s="24" t="s">
        <v>361</v>
      </c>
      <c r="C20" s="24" t="s">
        <v>362</v>
      </c>
      <c r="D20" s="24" t="s">
        <v>343</v>
      </c>
      <c r="E20" s="29">
        <v>50</v>
      </c>
      <c r="F20" s="26">
        <v>532.29999999999995</v>
      </c>
      <c r="G20" s="26">
        <v>1.72</v>
      </c>
      <c r="H20" s="26">
        <v>6.01</v>
      </c>
    </row>
    <row r="21" spans="2:8" x14ac:dyDescent="0.2">
      <c r="B21" s="24" t="s">
        <v>679</v>
      </c>
      <c r="C21" s="24" t="s">
        <v>680</v>
      </c>
      <c r="D21" s="24" t="s">
        <v>343</v>
      </c>
      <c r="E21" s="29">
        <v>50</v>
      </c>
      <c r="F21" s="26">
        <v>531.83000000000004</v>
      </c>
      <c r="G21" s="26">
        <v>1.72</v>
      </c>
      <c r="H21" s="26">
        <v>5.62</v>
      </c>
    </row>
    <row r="22" spans="2:8" x14ac:dyDescent="0.2">
      <c r="B22" s="24" t="s">
        <v>497</v>
      </c>
      <c r="C22" s="24" t="s">
        <v>498</v>
      </c>
      <c r="D22" s="24" t="s">
        <v>343</v>
      </c>
      <c r="E22" s="29">
        <v>50</v>
      </c>
      <c r="F22" s="26">
        <v>527.44000000000005</v>
      </c>
      <c r="G22" s="26">
        <v>1.71</v>
      </c>
      <c r="H22" s="26">
        <v>4.3899999999999997</v>
      </c>
    </row>
    <row r="23" spans="2:8" x14ac:dyDescent="0.2">
      <c r="B23" s="24" t="s">
        <v>681</v>
      </c>
      <c r="C23" s="24" t="s">
        <v>682</v>
      </c>
      <c r="D23" s="24" t="s">
        <v>377</v>
      </c>
      <c r="E23" s="29">
        <v>50</v>
      </c>
      <c r="F23" s="26">
        <v>525.51</v>
      </c>
      <c r="G23" s="26">
        <v>1.7</v>
      </c>
      <c r="H23" s="26">
        <v>6.78</v>
      </c>
    </row>
    <row r="24" spans="2:8" x14ac:dyDescent="0.2">
      <c r="B24" s="24" t="s">
        <v>683</v>
      </c>
      <c r="C24" s="24" t="s">
        <v>684</v>
      </c>
      <c r="D24" s="24" t="s">
        <v>343</v>
      </c>
      <c r="E24" s="29">
        <v>50</v>
      </c>
      <c r="F24" s="26">
        <v>523.91</v>
      </c>
      <c r="G24" s="26">
        <v>1.69</v>
      </c>
      <c r="H24" s="26">
        <v>6.77</v>
      </c>
    </row>
    <row r="25" spans="2:8" x14ac:dyDescent="0.2">
      <c r="B25" s="24" t="s">
        <v>341</v>
      </c>
      <c r="C25" s="24" t="s">
        <v>342</v>
      </c>
      <c r="D25" s="24" t="s">
        <v>343</v>
      </c>
      <c r="E25" s="29">
        <v>50</v>
      </c>
      <c r="F25" s="26">
        <v>523.69000000000005</v>
      </c>
      <c r="G25" s="26">
        <v>1.69</v>
      </c>
      <c r="H25" s="26">
        <v>5.03</v>
      </c>
    </row>
    <row r="26" spans="2:8" x14ac:dyDescent="0.2">
      <c r="B26" s="24" t="s">
        <v>456</v>
      </c>
      <c r="C26" s="24" t="s">
        <v>457</v>
      </c>
      <c r="D26" s="24" t="s">
        <v>343</v>
      </c>
      <c r="E26" s="29">
        <v>50</v>
      </c>
      <c r="F26" s="26">
        <v>523.12</v>
      </c>
      <c r="G26" s="26">
        <v>1.69</v>
      </c>
      <c r="H26" s="26">
        <v>6.77</v>
      </c>
    </row>
    <row r="27" spans="2:8" x14ac:dyDescent="0.2">
      <c r="B27" s="24" t="s">
        <v>369</v>
      </c>
      <c r="C27" s="24" t="s">
        <v>370</v>
      </c>
      <c r="D27" s="24" t="s">
        <v>343</v>
      </c>
      <c r="E27" s="29">
        <v>50</v>
      </c>
      <c r="F27" s="26">
        <v>523.03</v>
      </c>
      <c r="G27" s="26">
        <v>1.69</v>
      </c>
      <c r="H27" s="26">
        <v>6.34</v>
      </c>
    </row>
    <row r="28" spans="2:8" x14ac:dyDescent="0.2">
      <c r="B28" s="24" t="s">
        <v>352</v>
      </c>
      <c r="C28" s="24" t="s">
        <v>353</v>
      </c>
      <c r="D28" s="24" t="s">
        <v>343</v>
      </c>
      <c r="E28" s="29">
        <v>50</v>
      </c>
      <c r="F28" s="26">
        <v>522.29999999999995</v>
      </c>
      <c r="G28" s="26">
        <v>1.69</v>
      </c>
      <c r="H28" s="26">
        <v>4.88</v>
      </c>
    </row>
    <row r="29" spans="2:8" x14ac:dyDescent="0.2">
      <c r="B29" s="24" t="s">
        <v>685</v>
      </c>
      <c r="C29" s="24" t="s">
        <v>686</v>
      </c>
      <c r="D29" s="24" t="s">
        <v>343</v>
      </c>
      <c r="E29" s="29">
        <v>50</v>
      </c>
      <c r="F29" s="26">
        <v>520.80999999999995</v>
      </c>
      <c r="G29" s="26">
        <v>1.68</v>
      </c>
      <c r="H29" s="26">
        <v>5.03</v>
      </c>
    </row>
    <row r="30" spans="2:8" x14ac:dyDescent="0.2">
      <c r="B30" s="24" t="s">
        <v>687</v>
      </c>
      <c r="C30" s="24" t="s">
        <v>688</v>
      </c>
      <c r="D30" s="24" t="s">
        <v>343</v>
      </c>
      <c r="E30" s="29">
        <v>50</v>
      </c>
      <c r="F30" s="26">
        <v>520.47</v>
      </c>
      <c r="G30" s="26">
        <v>1.68</v>
      </c>
      <c r="H30" s="26">
        <v>5.0199999999999996</v>
      </c>
    </row>
    <row r="31" spans="2:8" x14ac:dyDescent="0.2">
      <c r="B31" s="24" t="s">
        <v>603</v>
      </c>
      <c r="C31" s="24" t="s">
        <v>604</v>
      </c>
      <c r="D31" s="24" t="s">
        <v>343</v>
      </c>
      <c r="E31" s="29">
        <v>50</v>
      </c>
      <c r="F31" s="26">
        <v>514.36</v>
      </c>
      <c r="G31" s="26">
        <v>1.66</v>
      </c>
      <c r="H31" s="26">
        <v>6.4</v>
      </c>
    </row>
    <row r="32" spans="2:8" x14ac:dyDescent="0.2">
      <c r="B32" s="24" t="s">
        <v>689</v>
      </c>
      <c r="C32" s="24" t="s">
        <v>690</v>
      </c>
      <c r="D32" s="24" t="s">
        <v>343</v>
      </c>
      <c r="E32" s="29">
        <v>50</v>
      </c>
      <c r="F32" s="26">
        <v>513.55999999999995</v>
      </c>
      <c r="G32" s="26">
        <v>1.66</v>
      </c>
      <c r="H32" s="26">
        <v>4.5</v>
      </c>
    </row>
    <row r="33" spans="2:10" x14ac:dyDescent="0.2">
      <c r="B33" s="24" t="s">
        <v>371</v>
      </c>
      <c r="C33" s="24" t="s">
        <v>372</v>
      </c>
      <c r="D33" s="24" t="s">
        <v>343</v>
      </c>
      <c r="E33" s="29">
        <v>50</v>
      </c>
      <c r="F33" s="26">
        <v>513.53</v>
      </c>
      <c r="G33" s="26">
        <v>1.66</v>
      </c>
      <c r="H33" s="26">
        <v>4.26</v>
      </c>
    </row>
    <row r="34" spans="2:10" x14ac:dyDescent="0.2">
      <c r="B34" s="24" t="s">
        <v>691</v>
      </c>
      <c r="C34" s="24" t="s">
        <v>692</v>
      </c>
      <c r="D34" s="24" t="s">
        <v>343</v>
      </c>
      <c r="E34" s="29">
        <v>50</v>
      </c>
      <c r="F34" s="26">
        <v>506.09</v>
      </c>
      <c r="G34" s="26">
        <v>1.64</v>
      </c>
      <c r="H34" s="26">
        <v>7.07</v>
      </c>
    </row>
    <row r="35" spans="2:10" x14ac:dyDescent="0.2">
      <c r="B35" s="31" t="s">
        <v>110</v>
      </c>
      <c r="C35" s="31"/>
      <c r="D35" s="31"/>
      <c r="E35" s="32"/>
      <c r="F35" s="33">
        <f>SUM(F6:F34)</f>
        <v>20942.77</v>
      </c>
      <c r="G35" s="33">
        <f>SUM(G6:G34)</f>
        <v>67.719999999999985</v>
      </c>
      <c r="H35" s="49"/>
      <c r="I35" s="14"/>
      <c r="J35" s="14"/>
    </row>
    <row r="36" spans="2:10" x14ac:dyDescent="0.2">
      <c r="B36" s="50" t="s">
        <v>111</v>
      </c>
      <c r="C36" s="50"/>
      <c r="D36" s="50"/>
      <c r="E36" s="51"/>
      <c r="F36" s="52">
        <f>F35</f>
        <v>20942.77</v>
      </c>
      <c r="G36" s="52">
        <f>G35</f>
        <v>67.719999999999985</v>
      </c>
      <c r="H36" s="52"/>
      <c r="I36" s="14"/>
      <c r="J36" s="14"/>
    </row>
    <row r="37" spans="2:10" x14ac:dyDescent="0.2">
      <c r="B37" s="48" t="s">
        <v>412</v>
      </c>
      <c r="C37" s="24"/>
      <c r="D37" s="24"/>
      <c r="E37" s="25"/>
      <c r="F37" s="26"/>
      <c r="G37" s="26"/>
      <c r="H37" s="26"/>
    </row>
    <row r="38" spans="2:10" x14ac:dyDescent="0.2">
      <c r="B38" s="24" t="s">
        <v>432</v>
      </c>
      <c r="C38" s="24" t="s">
        <v>433</v>
      </c>
      <c r="D38" s="24" t="s">
        <v>415</v>
      </c>
      <c r="E38" s="29">
        <v>1500000</v>
      </c>
      <c r="F38" s="26">
        <v>1596.98</v>
      </c>
      <c r="G38" s="26">
        <v>5.17</v>
      </c>
      <c r="H38" s="26">
        <v>4.6399999999999997</v>
      </c>
    </row>
    <row r="39" spans="2:10" x14ac:dyDescent="0.2">
      <c r="B39" s="24" t="s">
        <v>420</v>
      </c>
      <c r="C39" s="24" t="s">
        <v>421</v>
      </c>
      <c r="D39" s="24" t="s">
        <v>415</v>
      </c>
      <c r="E39" s="29">
        <v>1000000</v>
      </c>
      <c r="F39" s="26">
        <v>1068.3699999999999</v>
      </c>
      <c r="G39" s="26">
        <v>3.46</v>
      </c>
      <c r="H39" s="26">
        <v>6.19</v>
      </c>
    </row>
    <row r="40" spans="2:10" x14ac:dyDescent="0.2">
      <c r="B40" s="24" t="s">
        <v>422</v>
      </c>
      <c r="C40" s="24" t="s">
        <v>423</v>
      </c>
      <c r="D40" s="24" t="s">
        <v>415</v>
      </c>
      <c r="E40" s="29">
        <v>1000000</v>
      </c>
      <c r="F40" s="26">
        <v>1044.68</v>
      </c>
      <c r="G40" s="26">
        <v>3.38</v>
      </c>
      <c r="H40" s="26">
        <v>5.96</v>
      </c>
    </row>
    <row r="41" spans="2:10" x14ac:dyDescent="0.2">
      <c r="B41" s="24" t="s">
        <v>416</v>
      </c>
      <c r="C41" s="24" t="s">
        <v>417</v>
      </c>
      <c r="D41" s="24" t="s">
        <v>415</v>
      </c>
      <c r="E41" s="29">
        <v>500000</v>
      </c>
      <c r="F41" s="26">
        <v>516.49</v>
      </c>
      <c r="G41" s="26">
        <v>1.67</v>
      </c>
      <c r="H41" s="26">
        <v>5.27</v>
      </c>
    </row>
    <row r="42" spans="2:10" x14ac:dyDescent="0.2">
      <c r="B42" s="53" t="s">
        <v>663</v>
      </c>
      <c r="C42" s="53" t="s">
        <v>664</v>
      </c>
      <c r="D42" s="53" t="s">
        <v>415</v>
      </c>
      <c r="E42" s="54">
        <v>48000</v>
      </c>
      <c r="F42" s="55">
        <v>50.51</v>
      </c>
      <c r="G42" s="55">
        <v>0.16</v>
      </c>
      <c r="H42" s="55">
        <v>5.0599999999999996</v>
      </c>
    </row>
    <row r="43" spans="2:10" x14ac:dyDescent="0.2">
      <c r="B43" s="56" t="s">
        <v>111</v>
      </c>
      <c r="C43" s="56"/>
      <c r="D43" s="56"/>
      <c r="E43" s="57"/>
      <c r="F43" s="58">
        <f>SUM(F38:F42)</f>
        <v>4277.03</v>
      </c>
      <c r="G43" s="58">
        <f>SUM(G38:G42)</f>
        <v>13.839999999999998</v>
      </c>
      <c r="H43" s="58"/>
      <c r="I43" s="14"/>
      <c r="J43" s="14"/>
    </row>
    <row r="44" spans="2:10" x14ac:dyDescent="0.2">
      <c r="B44" s="48" t="s">
        <v>112</v>
      </c>
      <c r="C44" s="24"/>
      <c r="D44" s="24"/>
      <c r="E44" s="25"/>
      <c r="F44" s="26"/>
      <c r="G44" s="26"/>
      <c r="H44" s="26"/>
    </row>
    <row r="45" spans="2:10" x14ac:dyDescent="0.2">
      <c r="B45" s="24" t="s">
        <v>112</v>
      </c>
      <c r="C45" s="24"/>
      <c r="D45" s="24"/>
      <c r="E45" s="25"/>
      <c r="F45" s="26">
        <v>4063.83</v>
      </c>
      <c r="G45" s="26">
        <v>13.14</v>
      </c>
      <c r="H45" s="26"/>
    </row>
    <row r="46" spans="2:10" x14ac:dyDescent="0.2">
      <c r="B46" s="31" t="s">
        <v>110</v>
      </c>
      <c r="C46" s="31"/>
      <c r="D46" s="31"/>
      <c r="E46" s="32"/>
      <c r="F46" s="33">
        <f>SUM(F44:F45)</f>
        <v>4063.83</v>
      </c>
      <c r="G46" s="33">
        <f>SUM(G44:G45)</f>
        <v>13.14</v>
      </c>
      <c r="H46" s="49"/>
      <c r="I46" s="14"/>
      <c r="J46" s="14"/>
    </row>
    <row r="47" spans="2:10" x14ac:dyDescent="0.2">
      <c r="B47" s="35" t="s">
        <v>111</v>
      </c>
      <c r="C47" s="35"/>
      <c r="D47" s="35"/>
      <c r="E47" s="36"/>
      <c r="F47" s="37">
        <f>F46</f>
        <v>4063.83</v>
      </c>
      <c r="G47" s="37">
        <f>G46</f>
        <v>13.14</v>
      </c>
      <c r="H47" s="37"/>
      <c r="I47" s="14"/>
      <c r="J47" s="14"/>
    </row>
    <row r="48" spans="2:10" x14ac:dyDescent="0.2">
      <c r="B48" s="45" t="s">
        <v>114</v>
      </c>
      <c r="C48" s="45"/>
      <c r="D48" s="45"/>
      <c r="E48" s="46"/>
      <c r="F48" s="17">
        <f>F49-(+F36+F43+F47)</f>
        <v>1635.4500000000044</v>
      </c>
      <c r="G48" s="17">
        <f>G49-(+G36+G43+G47)</f>
        <v>5.3000000000000114</v>
      </c>
      <c r="H48" s="17"/>
      <c r="I48" s="14"/>
      <c r="J48" s="14"/>
    </row>
    <row r="49" spans="2:10" x14ac:dyDescent="0.2">
      <c r="B49" s="45" t="s">
        <v>113</v>
      </c>
      <c r="C49" s="45"/>
      <c r="D49" s="45"/>
      <c r="E49" s="46"/>
      <c r="F49" s="17">
        <v>30919.08</v>
      </c>
      <c r="G49" s="17">
        <v>100</v>
      </c>
      <c r="H49" s="17"/>
      <c r="I49" s="14"/>
      <c r="J49" s="14"/>
    </row>
    <row r="51" spans="2:10" x14ac:dyDescent="0.2">
      <c r="B51" s="14" t="s">
        <v>755</v>
      </c>
    </row>
    <row r="52" spans="2:10" x14ac:dyDescent="0.2">
      <c r="B52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7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26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8" t="s">
        <v>30</v>
      </c>
      <c r="C5" s="19"/>
      <c r="D5" s="19"/>
      <c r="E5" s="20"/>
      <c r="F5" s="21"/>
      <c r="G5" s="21"/>
      <c r="H5" s="22"/>
    </row>
    <row r="6" spans="2:8" x14ac:dyDescent="0.2">
      <c r="B6" s="23" t="s">
        <v>31</v>
      </c>
      <c r="C6" s="24"/>
      <c r="D6" s="24"/>
      <c r="E6" s="25"/>
      <c r="F6" s="26"/>
      <c r="G6" s="26"/>
      <c r="H6" s="27"/>
    </row>
    <row r="7" spans="2:8" x14ac:dyDescent="0.2">
      <c r="B7" s="28" t="s">
        <v>35</v>
      </c>
      <c r="C7" s="24" t="s">
        <v>36</v>
      </c>
      <c r="D7" s="24" t="s">
        <v>37</v>
      </c>
      <c r="E7" s="29">
        <v>37280</v>
      </c>
      <c r="F7" s="26">
        <v>832.97</v>
      </c>
      <c r="G7" s="26">
        <v>1.42</v>
      </c>
      <c r="H7" s="27"/>
    </row>
    <row r="8" spans="2:8" x14ac:dyDescent="0.2">
      <c r="B8" s="28" t="s">
        <v>122</v>
      </c>
      <c r="C8" s="24" t="s">
        <v>123</v>
      </c>
      <c r="D8" s="24" t="s">
        <v>90</v>
      </c>
      <c r="E8" s="29">
        <v>69540</v>
      </c>
      <c r="F8" s="26">
        <v>750.06</v>
      </c>
      <c r="G8" s="26">
        <v>1.28</v>
      </c>
      <c r="H8" s="27"/>
    </row>
    <row r="9" spans="2:8" x14ac:dyDescent="0.2">
      <c r="B9" s="28" t="s">
        <v>119</v>
      </c>
      <c r="C9" s="24" t="s">
        <v>120</v>
      </c>
      <c r="D9" s="24" t="s">
        <v>121</v>
      </c>
      <c r="E9" s="29">
        <v>60360</v>
      </c>
      <c r="F9" s="26">
        <v>608.58000000000004</v>
      </c>
      <c r="G9" s="26">
        <v>1.04</v>
      </c>
      <c r="H9" s="27"/>
    </row>
    <row r="10" spans="2:8" x14ac:dyDescent="0.2">
      <c r="B10" s="28" t="s">
        <v>124</v>
      </c>
      <c r="C10" s="24" t="s">
        <v>125</v>
      </c>
      <c r="D10" s="24" t="s">
        <v>121</v>
      </c>
      <c r="E10" s="29">
        <v>21000</v>
      </c>
      <c r="F10" s="26">
        <v>523.38</v>
      </c>
      <c r="G10" s="26">
        <v>0.89</v>
      </c>
      <c r="H10" s="27"/>
    </row>
    <row r="11" spans="2:8" x14ac:dyDescent="0.2">
      <c r="B11" s="28" t="s">
        <v>88</v>
      </c>
      <c r="C11" s="24" t="s">
        <v>89</v>
      </c>
      <c r="D11" s="24" t="s">
        <v>90</v>
      </c>
      <c r="E11" s="29">
        <v>109000</v>
      </c>
      <c r="F11" s="26">
        <v>386.68</v>
      </c>
      <c r="G11" s="26">
        <v>0.66</v>
      </c>
      <c r="H11" s="27"/>
    </row>
    <row r="12" spans="2:8" x14ac:dyDescent="0.2">
      <c r="B12" s="28" t="s">
        <v>126</v>
      </c>
      <c r="C12" s="24" t="s">
        <v>127</v>
      </c>
      <c r="D12" s="24" t="s">
        <v>128</v>
      </c>
      <c r="E12" s="29">
        <v>17860</v>
      </c>
      <c r="F12" s="26">
        <v>369.39</v>
      </c>
      <c r="G12" s="26">
        <v>0.63</v>
      </c>
      <c r="H12" s="27"/>
    </row>
    <row r="13" spans="2:8" x14ac:dyDescent="0.2">
      <c r="B13" s="28" t="s">
        <v>132</v>
      </c>
      <c r="C13" s="24" t="s">
        <v>133</v>
      </c>
      <c r="D13" s="24" t="s">
        <v>90</v>
      </c>
      <c r="E13" s="29">
        <v>27040</v>
      </c>
      <c r="F13" s="26">
        <v>342.92</v>
      </c>
      <c r="G13" s="26">
        <v>0.57999999999999996</v>
      </c>
      <c r="H13" s="27"/>
    </row>
    <row r="14" spans="2:8" x14ac:dyDescent="0.2">
      <c r="B14" s="28" t="s">
        <v>140</v>
      </c>
      <c r="C14" s="24" t="s">
        <v>141</v>
      </c>
      <c r="D14" s="24" t="s">
        <v>131</v>
      </c>
      <c r="E14" s="29">
        <v>18080</v>
      </c>
      <c r="F14" s="26">
        <v>314.60000000000002</v>
      </c>
      <c r="G14" s="26">
        <v>0.54</v>
      </c>
      <c r="H14" s="27"/>
    </row>
    <row r="15" spans="2:8" x14ac:dyDescent="0.2">
      <c r="B15" s="28" t="s">
        <v>177</v>
      </c>
      <c r="C15" s="24" t="s">
        <v>178</v>
      </c>
      <c r="D15" s="24" t="s">
        <v>136</v>
      </c>
      <c r="E15" s="29">
        <v>9000</v>
      </c>
      <c r="F15" s="26">
        <v>250.02</v>
      </c>
      <c r="G15" s="26">
        <v>0.43</v>
      </c>
      <c r="H15" s="27"/>
    </row>
    <row r="16" spans="2:8" x14ac:dyDescent="0.2">
      <c r="B16" s="28" t="s">
        <v>47</v>
      </c>
      <c r="C16" s="24" t="s">
        <v>48</v>
      </c>
      <c r="D16" s="24" t="s">
        <v>49</v>
      </c>
      <c r="E16" s="29">
        <v>27500</v>
      </c>
      <c r="F16" s="26">
        <v>214.56</v>
      </c>
      <c r="G16" s="26">
        <v>0.37</v>
      </c>
      <c r="H16" s="27"/>
    </row>
    <row r="17" spans="2:8" x14ac:dyDescent="0.2">
      <c r="B17" s="28" t="s">
        <v>149</v>
      </c>
      <c r="C17" s="24" t="s">
        <v>150</v>
      </c>
      <c r="D17" s="24" t="s">
        <v>139</v>
      </c>
      <c r="E17" s="29">
        <v>2966</v>
      </c>
      <c r="F17" s="26">
        <v>200.01</v>
      </c>
      <c r="G17" s="26">
        <v>0.34</v>
      </c>
      <c r="H17" s="27"/>
    </row>
    <row r="18" spans="2:8" x14ac:dyDescent="0.2">
      <c r="B18" s="28" t="s">
        <v>80</v>
      </c>
      <c r="C18" s="24" t="s">
        <v>81</v>
      </c>
      <c r="D18" s="24" t="s">
        <v>62</v>
      </c>
      <c r="E18" s="29">
        <v>88660</v>
      </c>
      <c r="F18" s="26">
        <v>195.63</v>
      </c>
      <c r="G18" s="26">
        <v>0.33</v>
      </c>
      <c r="H18" s="27"/>
    </row>
    <row r="19" spans="2:8" x14ac:dyDescent="0.2">
      <c r="B19" s="28" t="s">
        <v>166</v>
      </c>
      <c r="C19" s="24" t="s">
        <v>167</v>
      </c>
      <c r="D19" s="24" t="s">
        <v>90</v>
      </c>
      <c r="E19" s="29">
        <v>41500</v>
      </c>
      <c r="F19" s="26">
        <v>176.23</v>
      </c>
      <c r="G19" s="26">
        <v>0.3</v>
      </c>
      <c r="H19" s="27"/>
    </row>
    <row r="20" spans="2:8" x14ac:dyDescent="0.2">
      <c r="B20" s="28" t="s">
        <v>247</v>
      </c>
      <c r="C20" s="24" t="s">
        <v>248</v>
      </c>
      <c r="D20" s="24" t="s">
        <v>128</v>
      </c>
      <c r="E20" s="29">
        <v>32500</v>
      </c>
      <c r="F20" s="26">
        <v>162.74</v>
      </c>
      <c r="G20" s="26">
        <v>0.28000000000000003</v>
      </c>
      <c r="H20" s="27"/>
    </row>
    <row r="21" spans="2:8" x14ac:dyDescent="0.2">
      <c r="B21" s="28" t="s">
        <v>78</v>
      </c>
      <c r="C21" s="24" t="s">
        <v>79</v>
      </c>
      <c r="D21" s="24" t="s">
        <v>46</v>
      </c>
      <c r="E21" s="29">
        <v>800</v>
      </c>
      <c r="F21" s="26">
        <v>162.06</v>
      </c>
      <c r="G21" s="26">
        <v>0.28000000000000003</v>
      </c>
      <c r="H21" s="27"/>
    </row>
    <row r="22" spans="2:8" x14ac:dyDescent="0.2">
      <c r="B22" s="28" t="s">
        <v>63</v>
      </c>
      <c r="C22" s="24" t="s">
        <v>64</v>
      </c>
      <c r="D22" s="24" t="s">
        <v>65</v>
      </c>
      <c r="E22" s="29">
        <v>23580</v>
      </c>
      <c r="F22" s="26">
        <v>160.43</v>
      </c>
      <c r="G22" s="26">
        <v>0.27</v>
      </c>
      <c r="H22" s="27"/>
    </row>
    <row r="23" spans="2:8" x14ac:dyDescent="0.2">
      <c r="B23" s="28" t="s">
        <v>290</v>
      </c>
      <c r="C23" s="24" t="s">
        <v>291</v>
      </c>
      <c r="D23" s="24" t="s">
        <v>218</v>
      </c>
      <c r="E23" s="29">
        <v>8067</v>
      </c>
      <c r="F23" s="26">
        <v>159.55000000000001</v>
      </c>
      <c r="G23" s="26">
        <v>0.27</v>
      </c>
      <c r="H23" s="27"/>
    </row>
    <row r="24" spans="2:8" x14ac:dyDescent="0.2">
      <c r="B24" s="28" t="s">
        <v>32</v>
      </c>
      <c r="C24" s="24" t="s">
        <v>33</v>
      </c>
      <c r="D24" s="24" t="s">
        <v>34</v>
      </c>
      <c r="E24" s="29">
        <v>17180</v>
      </c>
      <c r="F24" s="26">
        <v>154.88999999999999</v>
      </c>
      <c r="G24" s="26">
        <v>0.26</v>
      </c>
      <c r="H24" s="27"/>
    </row>
    <row r="25" spans="2:8" x14ac:dyDescent="0.2">
      <c r="B25" s="28" t="s">
        <v>99</v>
      </c>
      <c r="C25" s="24" t="s">
        <v>100</v>
      </c>
      <c r="D25" s="24" t="s">
        <v>101</v>
      </c>
      <c r="E25" s="29">
        <v>36600</v>
      </c>
      <c r="F25" s="26">
        <v>154.07</v>
      </c>
      <c r="G25" s="26">
        <v>0.26</v>
      </c>
      <c r="H25" s="27"/>
    </row>
    <row r="26" spans="2:8" x14ac:dyDescent="0.2">
      <c r="B26" s="28" t="s">
        <v>129</v>
      </c>
      <c r="C26" s="24" t="s">
        <v>130</v>
      </c>
      <c r="D26" s="24" t="s">
        <v>131</v>
      </c>
      <c r="E26" s="29">
        <v>4500</v>
      </c>
      <c r="F26" s="26">
        <v>147.54</v>
      </c>
      <c r="G26" s="26">
        <v>0.25</v>
      </c>
      <c r="H26" s="27"/>
    </row>
    <row r="27" spans="2:8" x14ac:dyDescent="0.2">
      <c r="B27" s="28" t="s">
        <v>153</v>
      </c>
      <c r="C27" s="24" t="s">
        <v>154</v>
      </c>
      <c r="D27" s="24" t="s">
        <v>128</v>
      </c>
      <c r="E27" s="29">
        <v>3750</v>
      </c>
      <c r="F27" s="26">
        <v>142.43</v>
      </c>
      <c r="G27" s="26">
        <v>0.24</v>
      </c>
      <c r="H27" s="27"/>
    </row>
    <row r="28" spans="2:8" x14ac:dyDescent="0.2">
      <c r="B28" s="28" t="s">
        <v>274</v>
      </c>
      <c r="C28" s="24" t="s">
        <v>275</v>
      </c>
      <c r="D28" s="24" t="s">
        <v>128</v>
      </c>
      <c r="E28" s="29">
        <v>72000</v>
      </c>
      <c r="F28" s="26">
        <v>123.62</v>
      </c>
      <c r="G28" s="26">
        <v>0.21</v>
      </c>
      <c r="H28" s="27"/>
    </row>
    <row r="29" spans="2:8" x14ac:dyDescent="0.2">
      <c r="B29" s="28" t="s">
        <v>170</v>
      </c>
      <c r="C29" s="24" t="s">
        <v>171</v>
      </c>
      <c r="D29" s="24" t="s">
        <v>172</v>
      </c>
      <c r="E29" s="29">
        <v>2000</v>
      </c>
      <c r="F29" s="26">
        <v>122.25</v>
      </c>
      <c r="G29" s="26">
        <v>0.21</v>
      </c>
      <c r="H29" s="27"/>
    </row>
    <row r="30" spans="2:8" x14ac:dyDescent="0.2">
      <c r="B30" s="28" t="s">
        <v>144</v>
      </c>
      <c r="C30" s="24" t="s">
        <v>145</v>
      </c>
      <c r="D30" s="24" t="s">
        <v>139</v>
      </c>
      <c r="E30" s="29">
        <v>20000</v>
      </c>
      <c r="F30" s="26">
        <v>121.58</v>
      </c>
      <c r="G30" s="26">
        <v>0.21</v>
      </c>
      <c r="H30" s="27"/>
    </row>
    <row r="31" spans="2:8" x14ac:dyDescent="0.2">
      <c r="B31" s="28" t="s">
        <v>233</v>
      </c>
      <c r="C31" s="24" t="s">
        <v>234</v>
      </c>
      <c r="D31" s="24" t="s">
        <v>136</v>
      </c>
      <c r="E31" s="29">
        <v>2200</v>
      </c>
      <c r="F31" s="26">
        <v>114.13</v>
      </c>
      <c r="G31" s="26">
        <v>0.19</v>
      </c>
      <c r="H31" s="27"/>
    </row>
    <row r="32" spans="2:8" x14ac:dyDescent="0.2">
      <c r="B32" s="28" t="s">
        <v>175</v>
      </c>
      <c r="C32" s="24" t="s">
        <v>176</v>
      </c>
      <c r="D32" s="24" t="s">
        <v>121</v>
      </c>
      <c r="E32" s="29">
        <v>8500</v>
      </c>
      <c r="F32" s="26">
        <v>113.77</v>
      </c>
      <c r="G32" s="26">
        <v>0.19</v>
      </c>
      <c r="H32" s="27"/>
    </row>
    <row r="33" spans="2:10" x14ac:dyDescent="0.2">
      <c r="B33" s="28" t="s">
        <v>68</v>
      </c>
      <c r="C33" s="24" t="s">
        <v>69</v>
      </c>
      <c r="D33" s="24" t="s">
        <v>62</v>
      </c>
      <c r="E33" s="29">
        <v>26000</v>
      </c>
      <c r="F33" s="26">
        <v>100.57</v>
      </c>
      <c r="G33" s="26">
        <v>0.17</v>
      </c>
      <c r="H33" s="27"/>
    </row>
    <row r="34" spans="2:10" x14ac:dyDescent="0.2">
      <c r="B34" s="28" t="s">
        <v>95</v>
      </c>
      <c r="C34" s="24" t="s">
        <v>96</v>
      </c>
      <c r="D34" s="24" t="s">
        <v>46</v>
      </c>
      <c r="E34" s="29">
        <v>2300</v>
      </c>
      <c r="F34" s="26">
        <v>93.14</v>
      </c>
      <c r="G34" s="26">
        <v>0.16</v>
      </c>
      <c r="H34" s="27"/>
    </row>
    <row r="35" spans="2:10" x14ac:dyDescent="0.2">
      <c r="B35" s="28" t="s">
        <v>693</v>
      </c>
      <c r="C35" s="24" t="s">
        <v>694</v>
      </c>
      <c r="D35" s="24" t="s">
        <v>128</v>
      </c>
      <c r="E35" s="29">
        <v>18000</v>
      </c>
      <c r="F35" s="26">
        <v>91.9</v>
      </c>
      <c r="G35" s="26">
        <v>0.16</v>
      </c>
      <c r="H35" s="27"/>
    </row>
    <row r="36" spans="2:10" x14ac:dyDescent="0.2">
      <c r="B36" s="28" t="s">
        <v>187</v>
      </c>
      <c r="C36" s="24" t="s">
        <v>188</v>
      </c>
      <c r="D36" s="24" t="s">
        <v>65</v>
      </c>
      <c r="E36" s="29">
        <v>4100</v>
      </c>
      <c r="F36" s="26">
        <v>90.07</v>
      </c>
      <c r="G36" s="26">
        <v>0.15</v>
      </c>
      <c r="H36" s="27"/>
    </row>
    <row r="37" spans="2:10" x14ac:dyDescent="0.2">
      <c r="B37" s="28" t="s">
        <v>245</v>
      </c>
      <c r="C37" s="24" t="s">
        <v>246</v>
      </c>
      <c r="D37" s="24" t="s">
        <v>128</v>
      </c>
      <c r="E37" s="29">
        <v>15000</v>
      </c>
      <c r="F37" s="26">
        <v>74.989999999999995</v>
      </c>
      <c r="G37" s="26">
        <v>0.13</v>
      </c>
      <c r="H37" s="27"/>
    </row>
    <row r="38" spans="2:10" x14ac:dyDescent="0.2">
      <c r="B38" s="28" t="s">
        <v>216</v>
      </c>
      <c r="C38" s="24" t="s">
        <v>217</v>
      </c>
      <c r="D38" s="24" t="s">
        <v>218</v>
      </c>
      <c r="E38" s="29">
        <v>3300</v>
      </c>
      <c r="F38" s="26">
        <v>72.7</v>
      </c>
      <c r="G38" s="26">
        <v>0.12</v>
      </c>
      <c r="H38" s="27"/>
    </row>
    <row r="39" spans="2:10" x14ac:dyDescent="0.2">
      <c r="B39" s="28" t="s">
        <v>164</v>
      </c>
      <c r="C39" s="24" t="s">
        <v>165</v>
      </c>
      <c r="D39" s="24" t="s">
        <v>65</v>
      </c>
      <c r="E39" s="29">
        <v>4760</v>
      </c>
      <c r="F39" s="26">
        <v>57.18</v>
      </c>
      <c r="G39" s="26">
        <v>0.1</v>
      </c>
      <c r="H39" s="27"/>
    </row>
    <row r="40" spans="2:10" x14ac:dyDescent="0.2">
      <c r="B40" s="28" t="s">
        <v>41</v>
      </c>
      <c r="C40" s="24" t="s">
        <v>42</v>
      </c>
      <c r="D40" s="24" t="s">
        <v>43</v>
      </c>
      <c r="E40" s="29">
        <v>150</v>
      </c>
      <c r="F40" s="26">
        <v>48.89</v>
      </c>
      <c r="G40" s="26">
        <v>0.08</v>
      </c>
      <c r="H40" s="27"/>
    </row>
    <row r="41" spans="2:10" x14ac:dyDescent="0.2">
      <c r="B41" s="28" t="s">
        <v>695</v>
      </c>
      <c r="C41" s="24" t="s">
        <v>696</v>
      </c>
      <c r="D41" s="24" t="s">
        <v>65</v>
      </c>
      <c r="E41" s="29">
        <v>7200</v>
      </c>
      <c r="F41" s="26">
        <v>48.81</v>
      </c>
      <c r="G41" s="26">
        <v>0.08</v>
      </c>
      <c r="H41" s="27"/>
    </row>
    <row r="42" spans="2:10" x14ac:dyDescent="0.2">
      <c r="B42" s="28" t="s">
        <v>104</v>
      </c>
      <c r="C42" s="24" t="s">
        <v>105</v>
      </c>
      <c r="D42" s="24" t="s">
        <v>57</v>
      </c>
      <c r="E42" s="29">
        <v>10000</v>
      </c>
      <c r="F42" s="26">
        <v>47.91</v>
      </c>
      <c r="G42" s="26">
        <v>0.08</v>
      </c>
      <c r="H42" s="27"/>
    </row>
    <row r="43" spans="2:10" x14ac:dyDescent="0.2">
      <c r="B43" s="30" t="s">
        <v>110</v>
      </c>
      <c r="C43" s="31"/>
      <c r="D43" s="31"/>
      <c r="E43" s="32"/>
      <c r="F43" s="33">
        <f>SUM(F7:F42)</f>
        <v>7730.2500000000018</v>
      </c>
      <c r="G43" s="33">
        <f>SUM(G7:G42)</f>
        <v>13.16</v>
      </c>
      <c r="H43" s="34"/>
      <c r="I43" s="14"/>
      <c r="J43" s="14"/>
    </row>
    <row r="44" spans="2:10" x14ac:dyDescent="0.2">
      <c r="B44" s="38" t="s">
        <v>111</v>
      </c>
      <c r="C44" s="38"/>
      <c r="D44" s="38"/>
      <c r="E44" s="39"/>
      <c r="F44" s="40">
        <f>F43</f>
        <v>7730.2500000000018</v>
      </c>
      <c r="G44" s="40">
        <f>G43</f>
        <v>13.16</v>
      </c>
      <c r="H44" s="16"/>
      <c r="I44" s="14"/>
      <c r="J44" s="14"/>
    </row>
    <row r="45" spans="2:10" x14ac:dyDescent="0.2">
      <c r="B45" s="47" t="s">
        <v>340</v>
      </c>
      <c r="C45" s="42"/>
      <c r="D45" s="42"/>
      <c r="E45" s="43"/>
      <c r="F45" s="44"/>
      <c r="G45" s="44"/>
      <c r="H45" s="44"/>
    </row>
    <row r="46" spans="2:10" x14ac:dyDescent="0.2">
      <c r="B46" s="48" t="s">
        <v>31</v>
      </c>
      <c r="C46" s="24"/>
      <c r="D46" s="24"/>
      <c r="E46" s="25"/>
      <c r="F46" s="26"/>
      <c r="G46" s="26"/>
      <c r="H46" s="26"/>
    </row>
    <row r="47" spans="2:10" x14ac:dyDescent="0.2">
      <c r="B47" s="24" t="s">
        <v>697</v>
      </c>
      <c r="C47" s="24" t="s">
        <v>698</v>
      </c>
      <c r="D47" s="24" t="s">
        <v>343</v>
      </c>
      <c r="E47" s="29">
        <v>485</v>
      </c>
      <c r="F47" s="26">
        <v>6081.09</v>
      </c>
      <c r="G47" s="26">
        <v>10.36</v>
      </c>
      <c r="H47" s="26">
        <v>3.98</v>
      </c>
    </row>
    <row r="48" spans="2:10" x14ac:dyDescent="0.2">
      <c r="B48" s="24" t="s">
        <v>699</v>
      </c>
      <c r="C48" s="24" t="s">
        <v>700</v>
      </c>
      <c r="D48" s="24" t="s">
        <v>343</v>
      </c>
      <c r="E48" s="29">
        <v>480</v>
      </c>
      <c r="F48" s="26">
        <v>5975.1</v>
      </c>
      <c r="G48" s="26">
        <v>10.18</v>
      </c>
      <c r="H48" s="26">
        <v>4.3</v>
      </c>
    </row>
    <row r="49" spans="2:10" x14ac:dyDescent="0.2">
      <c r="B49" s="24" t="s">
        <v>701</v>
      </c>
      <c r="C49" s="24" t="s">
        <v>702</v>
      </c>
      <c r="D49" s="24" t="s">
        <v>343</v>
      </c>
      <c r="E49" s="29">
        <v>500</v>
      </c>
      <c r="F49" s="26">
        <v>5087.22</v>
      </c>
      <c r="G49" s="26">
        <v>8.66</v>
      </c>
      <c r="H49" s="26">
        <v>3.5</v>
      </c>
    </row>
    <row r="50" spans="2:10" x14ac:dyDescent="0.2">
      <c r="B50" s="24" t="s">
        <v>394</v>
      </c>
      <c r="C50" s="24" t="s">
        <v>395</v>
      </c>
      <c r="D50" s="24" t="s">
        <v>343</v>
      </c>
      <c r="E50" s="29">
        <v>450</v>
      </c>
      <c r="F50" s="26">
        <v>4574.05</v>
      </c>
      <c r="G50" s="26">
        <v>7.79</v>
      </c>
      <c r="H50" s="26">
        <v>3.86</v>
      </c>
    </row>
    <row r="51" spans="2:10" x14ac:dyDescent="0.2">
      <c r="B51" s="24" t="s">
        <v>703</v>
      </c>
      <c r="C51" s="24" t="s">
        <v>704</v>
      </c>
      <c r="D51" s="24" t="s">
        <v>343</v>
      </c>
      <c r="E51" s="29">
        <v>400</v>
      </c>
      <c r="F51" s="26">
        <v>4065.03</v>
      </c>
      <c r="G51" s="26">
        <v>6.92</v>
      </c>
      <c r="H51" s="26">
        <v>3.84</v>
      </c>
    </row>
    <row r="52" spans="2:10" x14ac:dyDescent="0.2">
      <c r="B52" s="24" t="s">
        <v>705</v>
      </c>
      <c r="C52" s="24" t="s">
        <v>706</v>
      </c>
      <c r="D52" s="24" t="s">
        <v>476</v>
      </c>
      <c r="E52" s="29">
        <v>250</v>
      </c>
      <c r="F52" s="26">
        <v>3097.52</v>
      </c>
      <c r="G52" s="26">
        <v>5.28</v>
      </c>
      <c r="H52" s="26">
        <v>4.72</v>
      </c>
    </row>
    <row r="53" spans="2:10" x14ac:dyDescent="0.2">
      <c r="B53" s="24" t="s">
        <v>707</v>
      </c>
      <c r="C53" s="24" t="s">
        <v>708</v>
      </c>
      <c r="D53" s="24" t="s">
        <v>343</v>
      </c>
      <c r="E53" s="29">
        <v>250</v>
      </c>
      <c r="F53" s="26">
        <v>2544.52</v>
      </c>
      <c r="G53" s="26">
        <v>4.33</v>
      </c>
      <c r="H53" s="26">
        <v>3.66</v>
      </c>
    </row>
    <row r="54" spans="2:10" x14ac:dyDescent="0.2">
      <c r="B54" s="24" t="s">
        <v>709</v>
      </c>
      <c r="C54" s="24" t="s">
        <v>710</v>
      </c>
      <c r="D54" s="24" t="s">
        <v>343</v>
      </c>
      <c r="E54" s="29">
        <v>250</v>
      </c>
      <c r="F54" s="26">
        <v>2541.58</v>
      </c>
      <c r="G54" s="26">
        <v>4.33</v>
      </c>
      <c r="H54" s="26">
        <v>4</v>
      </c>
    </row>
    <row r="55" spans="2:10" x14ac:dyDescent="0.2">
      <c r="B55" s="24" t="s">
        <v>711</v>
      </c>
      <c r="C55" s="24" t="s">
        <v>712</v>
      </c>
      <c r="D55" s="24" t="s">
        <v>343</v>
      </c>
      <c r="E55" s="29">
        <v>15</v>
      </c>
      <c r="F55" s="26">
        <v>1528.64</v>
      </c>
      <c r="G55" s="26">
        <v>2.6</v>
      </c>
      <c r="H55" s="26">
        <v>3.98</v>
      </c>
    </row>
    <row r="56" spans="2:10" x14ac:dyDescent="0.2">
      <c r="B56" s="24" t="s">
        <v>713</v>
      </c>
      <c r="C56" s="24" t="s">
        <v>714</v>
      </c>
      <c r="D56" s="24" t="s">
        <v>343</v>
      </c>
      <c r="E56" s="29">
        <v>150</v>
      </c>
      <c r="F56" s="26">
        <v>1518.44</v>
      </c>
      <c r="G56" s="26">
        <v>2.59</v>
      </c>
      <c r="H56" s="26">
        <v>3.87</v>
      </c>
    </row>
    <row r="57" spans="2:10" x14ac:dyDescent="0.2">
      <c r="B57" s="24" t="s">
        <v>715</v>
      </c>
      <c r="C57" s="24" t="s">
        <v>716</v>
      </c>
      <c r="D57" s="24" t="s">
        <v>343</v>
      </c>
      <c r="E57" s="29">
        <v>80</v>
      </c>
      <c r="F57" s="26">
        <v>997.2</v>
      </c>
      <c r="G57" s="26">
        <v>1.7</v>
      </c>
      <c r="H57" s="26">
        <v>3.94</v>
      </c>
    </row>
    <row r="58" spans="2:10" x14ac:dyDescent="0.2">
      <c r="B58" s="24" t="s">
        <v>717</v>
      </c>
      <c r="C58" s="24" t="s">
        <v>718</v>
      </c>
      <c r="D58" s="24" t="s">
        <v>343</v>
      </c>
      <c r="E58" s="29">
        <v>50</v>
      </c>
      <c r="F58" s="26">
        <v>508.83</v>
      </c>
      <c r="G58" s="26">
        <v>0.87</v>
      </c>
      <c r="H58" s="26">
        <v>4.0199999999999996</v>
      </c>
    </row>
    <row r="59" spans="2:10" x14ac:dyDescent="0.2">
      <c r="B59" s="31" t="s">
        <v>110</v>
      </c>
      <c r="C59" s="31"/>
      <c r="D59" s="31"/>
      <c r="E59" s="32"/>
      <c r="F59" s="33">
        <f>SUM(F46:F58)</f>
        <v>38519.22</v>
      </c>
      <c r="G59" s="33">
        <f>SUM(G46:G58)</f>
        <v>65.610000000000014</v>
      </c>
      <c r="H59" s="49"/>
      <c r="I59" s="14"/>
      <c r="J59" s="14"/>
    </row>
    <row r="60" spans="2:10" x14ac:dyDescent="0.2">
      <c r="B60" s="50" t="s">
        <v>111</v>
      </c>
      <c r="C60" s="50"/>
      <c r="D60" s="50"/>
      <c r="E60" s="51"/>
      <c r="F60" s="52">
        <f>F59</f>
        <v>38519.22</v>
      </c>
      <c r="G60" s="52">
        <f>G59</f>
        <v>65.610000000000014</v>
      </c>
      <c r="H60" s="52"/>
      <c r="I60" s="14"/>
      <c r="J60" s="14"/>
    </row>
    <row r="61" spans="2:10" x14ac:dyDescent="0.2">
      <c r="B61" s="48" t="s">
        <v>412</v>
      </c>
      <c r="C61" s="24"/>
      <c r="D61" s="24"/>
      <c r="E61" s="25"/>
      <c r="F61" s="26"/>
      <c r="G61" s="26"/>
      <c r="H61" s="26"/>
    </row>
    <row r="62" spans="2:10" x14ac:dyDescent="0.2">
      <c r="B62" s="24" t="s">
        <v>719</v>
      </c>
      <c r="C62" s="24" t="s">
        <v>720</v>
      </c>
      <c r="D62" s="24" t="s">
        <v>415</v>
      </c>
      <c r="E62" s="29">
        <v>2575000</v>
      </c>
      <c r="F62" s="26">
        <v>2625.34</v>
      </c>
      <c r="G62" s="26">
        <v>4.47</v>
      </c>
      <c r="H62" s="26">
        <v>4.03</v>
      </c>
    </row>
    <row r="63" spans="2:10" x14ac:dyDescent="0.2">
      <c r="B63" s="24" t="s">
        <v>721</v>
      </c>
      <c r="C63" s="24" t="s">
        <v>722</v>
      </c>
      <c r="D63" s="24" t="s">
        <v>415</v>
      </c>
      <c r="E63" s="29">
        <v>2500000</v>
      </c>
      <c r="F63" s="26">
        <v>2553.63</v>
      </c>
      <c r="G63" s="26">
        <v>4.3499999999999996</v>
      </c>
      <c r="H63" s="26">
        <v>4.03</v>
      </c>
    </row>
    <row r="64" spans="2:10" x14ac:dyDescent="0.2">
      <c r="B64" s="24" t="s">
        <v>667</v>
      </c>
      <c r="C64" s="24" t="s">
        <v>668</v>
      </c>
      <c r="D64" s="24" t="s">
        <v>415</v>
      </c>
      <c r="E64" s="29">
        <v>1703000</v>
      </c>
      <c r="F64" s="26">
        <v>1737.73</v>
      </c>
      <c r="G64" s="26">
        <v>2.96</v>
      </c>
      <c r="H64" s="26">
        <v>4.05</v>
      </c>
    </row>
    <row r="65" spans="2:10" x14ac:dyDescent="0.2">
      <c r="B65" s="53" t="s">
        <v>723</v>
      </c>
      <c r="C65" s="53" t="s">
        <v>724</v>
      </c>
      <c r="D65" s="53" t="s">
        <v>415</v>
      </c>
      <c r="E65" s="54">
        <v>1500000</v>
      </c>
      <c r="F65" s="55">
        <v>1531.25</v>
      </c>
      <c r="G65" s="55">
        <v>2.61</v>
      </c>
      <c r="H65" s="55">
        <v>4.03</v>
      </c>
    </row>
    <row r="66" spans="2:10" x14ac:dyDescent="0.2">
      <c r="B66" s="56" t="s">
        <v>111</v>
      </c>
      <c r="C66" s="56"/>
      <c r="D66" s="56"/>
      <c r="E66" s="57"/>
      <c r="F66" s="58">
        <f>SUM(F62:F65)</f>
        <v>8447.9500000000007</v>
      </c>
      <c r="G66" s="58">
        <f>SUM(G62:G65)</f>
        <v>14.39</v>
      </c>
      <c r="H66" s="58"/>
      <c r="I66" s="14"/>
      <c r="J66" s="14"/>
    </row>
    <row r="67" spans="2:10" x14ac:dyDescent="0.2">
      <c r="B67" s="48" t="s">
        <v>112</v>
      </c>
      <c r="C67" s="24"/>
      <c r="D67" s="24"/>
      <c r="E67" s="25"/>
      <c r="F67" s="26"/>
      <c r="G67" s="26"/>
      <c r="H67" s="26"/>
    </row>
    <row r="68" spans="2:10" x14ac:dyDescent="0.2">
      <c r="B68" s="24" t="s">
        <v>112</v>
      </c>
      <c r="C68" s="24"/>
      <c r="D68" s="24"/>
      <c r="E68" s="25"/>
      <c r="F68" s="26">
        <v>2712.09</v>
      </c>
      <c r="G68" s="26">
        <v>4.62</v>
      </c>
      <c r="H68" s="26"/>
    </row>
    <row r="69" spans="2:10" x14ac:dyDescent="0.2">
      <c r="B69" s="31" t="s">
        <v>110</v>
      </c>
      <c r="C69" s="31"/>
      <c r="D69" s="31"/>
      <c r="E69" s="32"/>
      <c r="F69" s="33">
        <f>SUM(F67:F68)</f>
        <v>2712.09</v>
      </c>
      <c r="G69" s="33">
        <f>SUM(G67:G68)</f>
        <v>4.62</v>
      </c>
      <c r="H69" s="49"/>
      <c r="I69" s="14"/>
      <c r="J69" s="14"/>
    </row>
    <row r="70" spans="2:10" x14ac:dyDescent="0.2">
      <c r="B70" s="35" t="s">
        <v>111</v>
      </c>
      <c r="C70" s="35"/>
      <c r="D70" s="35"/>
      <c r="E70" s="36"/>
      <c r="F70" s="37">
        <f>F69</f>
        <v>2712.09</v>
      </c>
      <c r="G70" s="37">
        <f>G69</f>
        <v>4.62</v>
      </c>
      <c r="H70" s="37"/>
      <c r="I70" s="14"/>
      <c r="J70" s="14"/>
    </row>
    <row r="71" spans="2:10" x14ac:dyDescent="0.2">
      <c r="B71" s="45" t="s">
        <v>114</v>
      </c>
      <c r="C71" s="45"/>
      <c r="D71" s="45"/>
      <c r="E71" s="46"/>
      <c r="F71" s="17">
        <f>F72-(+F44+F60+F66+F70)</f>
        <v>1303.510000000002</v>
      </c>
      <c r="G71" s="17">
        <f>G72-(+G44+G60+G66+G70)</f>
        <v>2.2199999999999847</v>
      </c>
      <c r="H71" s="17"/>
      <c r="I71" s="14"/>
      <c r="J71" s="14"/>
    </row>
    <row r="72" spans="2:10" x14ac:dyDescent="0.2">
      <c r="B72" s="45" t="s">
        <v>113</v>
      </c>
      <c r="C72" s="45"/>
      <c r="D72" s="45"/>
      <c r="E72" s="46"/>
      <c r="F72" s="17">
        <v>58713.02</v>
      </c>
      <c r="G72" s="17">
        <v>100</v>
      </c>
      <c r="H72" s="17"/>
      <c r="I72" s="14"/>
      <c r="J72" s="14"/>
    </row>
    <row r="74" spans="2:10" x14ac:dyDescent="0.2">
      <c r="B74" s="14" t="s">
        <v>755</v>
      </c>
    </row>
    <row r="75" spans="2:10" x14ac:dyDescent="0.2">
      <c r="B75" s="14"/>
    </row>
    <row r="77" spans="2:10" x14ac:dyDescent="0.2">
      <c r="B77" s="14"/>
      <c r="C77" s="14"/>
      <c r="D77" s="14"/>
      <c r="E77" s="15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0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71093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27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8" t="s">
        <v>30</v>
      </c>
      <c r="C5" s="19"/>
      <c r="D5" s="19"/>
      <c r="E5" s="20"/>
      <c r="F5" s="21"/>
      <c r="G5" s="21"/>
      <c r="H5" s="22"/>
    </row>
    <row r="6" spans="2:8" x14ac:dyDescent="0.2">
      <c r="B6" s="23" t="s">
        <v>31</v>
      </c>
      <c r="C6" s="24"/>
      <c r="D6" s="24"/>
      <c r="E6" s="25"/>
      <c r="F6" s="26"/>
      <c r="G6" s="26"/>
      <c r="H6" s="27"/>
    </row>
    <row r="7" spans="2:8" x14ac:dyDescent="0.2">
      <c r="B7" s="28" t="s">
        <v>119</v>
      </c>
      <c r="C7" s="24" t="s">
        <v>120</v>
      </c>
      <c r="D7" s="24" t="s">
        <v>121</v>
      </c>
      <c r="E7" s="29">
        <v>127200</v>
      </c>
      <c r="F7" s="26">
        <v>1282.49</v>
      </c>
      <c r="G7" s="26">
        <v>2.96</v>
      </c>
      <c r="H7" s="27"/>
    </row>
    <row r="8" spans="2:8" x14ac:dyDescent="0.2">
      <c r="B8" s="28" t="s">
        <v>35</v>
      </c>
      <c r="C8" s="24" t="s">
        <v>36</v>
      </c>
      <c r="D8" s="24" t="s">
        <v>37</v>
      </c>
      <c r="E8" s="29">
        <v>51030</v>
      </c>
      <c r="F8" s="26">
        <v>1140.19</v>
      </c>
      <c r="G8" s="26">
        <v>2.63</v>
      </c>
      <c r="H8" s="27"/>
    </row>
    <row r="9" spans="2:8" x14ac:dyDescent="0.2">
      <c r="B9" s="28" t="s">
        <v>122</v>
      </c>
      <c r="C9" s="24" t="s">
        <v>123</v>
      </c>
      <c r="D9" s="24" t="s">
        <v>90</v>
      </c>
      <c r="E9" s="29">
        <v>74220</v>
      </c>
      <c r="F9" s="26">
        <v>800.54</v>
      </c>
      <c r="G9" s="26">
        <v>1.85</v>
      </c>
      <c r="H9" s="27"/>
    </row>
    <row r="10" spans="2:8" x14ac:dyDescent="0.2">
      <c r="B10" s="28" t="s">
        <v>126</v>
      </c>
      <c r="C10" s="24" t="s">
        <v>127</v>
      </c>
      <c r="D10" s="24" t="s">
        <v>128</v>
      </c>
      <c r="E10" s="29">
        <v>29525</v>
      </c>
      <c r="F10" s="26">
        <v>610.65</v>
      </c>
      <c r="G10" s="26">
        <v>1.41</v>
      </c>
      <c r="H10" s="27"/>
    </row>
    <row r="11" spans="2:8" x14ac:dyDescent="0.2">
      <c r="B11" s="28" t="s">
        <v>88</v>
      </c>
      <c r="C11" s="24" t="s">
        <v>89</v>
      </c>
      <c r="D11" s="24" t="s">
        <v>90</v>
      </c>
      <c r="E11" s="29">
        <v>167300</v>
      </c>
      <c r="F11" s="26">
        <v>593.5</v>
      </c>
      <c r="G11" s="26">
        <v>1.37</v>
      </c>
      <c r="H11" s="27"/>
    </row>
    <row r="12" spans="2:8" x14ac:dyDescent="0.2">
      <c r="B12" s="28" t="s">
        <v>166</v>
      </c>
      <c r="C12" s="24" t="s">
        <v>167</v>
      </c>
      <c r="D12" s="24" t="s">
        <v>90</v>
      </c>
      <c r="E12" s="29">
        <v>126600</v>
      </c>
      <c r="F12" s="26">
        <v>537.61</v>
      </c>
      <c r="G12" s="26">
        <v>1.24</v>
      </c>
      <c r="H12" s="27"/>
    </row>
    <row r="13" spans="2:8" x14ac:dyDescent="0.2">
      <c r="B13" s="28" t="s">
        <v>233</v>
      </c>
      <c r="C13" s="24" t="s">
        <v>234</v>
      </c>
      <c r="D13" s="24" t="s">
        <v>136</v>
      </c>
      <c r="E13" s="29">
        <v>10000</v>
      </c>
      <c r="F13" s="26">
        <v>518.78</v>
      </c>
      <c r="G13" s="26">
        <v>1.2</v>
      </c>
      <c r="H13" s="27"/>
    </row>
    <row r="14" spans="2:8" x14ac:dyDescent="0.2">
      <c r="B14" s="28" t="s">
        <v>124</v>
      </c>
      <c r="C14" s="24" t="s">
        <v>125</v>
      </c>
      <c r="D14" s="24" t="s">
        <v>121</v>
      </c>
      <c r="E14" s="29">
        <v>17900</v>
      </c>
      <c r="F14" s="26">
        <v>446.12</v>
      </c>
      <c r="G14" s="26">
        <v>1.03</v>
      </c>
      <c r="H14" s="27"/>
    </row>
    <row r="15" spans="2:8" x14ac:dyDescent="0.2">
      <c r="B15" s="28" t="s">
        <v>129</v>
      </c>
      <c r="C15" s="24" t="s">
        <v>130</v>
      </c>
      <c r="D15" s="24" t="s">
        <v>131</v>
      </c>
      <c r="E15" s="29">
        <v>13325</v>
      </c>
      <c r="F15" s="26">
        <v>436.87</v>
      </c>
      <c r="G15" s="26">
        <v>1.01</v>
      </c>
      <c r="H15" s="27"/>
    </row>
    <row r="16" spans="2:8" x14ac:dyDescent="0.2">
      <c r="B16" s="28" t="s">
        <v>155</v>
      </c>
      <c r="C16" s="24" t="s">
        <v>156</v>
      </c>
      <c r="D16" s="24" t="s">
        <v>157</v>
      </c>
      <c r="E16" s="29">
        <v>20000</v>
      </c>
      <c r="F16" s="26">
        <v>394.3</v>
      </c>
      <c r="G16" s="26">
        <v>0.91</v>
      </c>
      <c r="H16" s="27"/>
    </row>
    <row r="17" spans="2:8" x14ac:dyDescent="0.2">
      <c r="B17" s="28" t="s">
        <v>693</v>
      </c>
      <c r="C17" s="24" t="s">
        <v>694</v>
      </c>
      <c r="D17" s="24" t="s">
        <v>128</v>
      </c>
      <c r="E17" s="29">
        <v>75160</v>
      </c>
      <c r="F17" s="26">
        <v>383.73</v>
      </c>
      <c r="G17" s="26">
        <v>0.89</v>
      </c>
      <c r="H17" s="27"/>
    </row>
    <row r="18" spans="2:8" x14ac:dyDescent="0.2">
      <c r="B18" s="28" t="s">
        <v>132</v>
      </c>
      <c r="C18" s="24" t="s">
        <v>133</v>
      </c>
      <c r="D18" s="24" t="s">
        <v>90</v>
      </c>
      <c r="E18" s="29">
        <v>27200</v>
      </c>
      <c r="F18" s="26">
        <v>344.95</v>
      </c>
      <c r="G18" s="26">
        <v>0.8</v>
      </c>
      <c r="H18" s="27"/>
    </row>
    <row r="19" spans="2:8" x14ac:dyDescent="0.2">
      <c r="B19" s="28" t="s">
        <v>99</v>
      </c>
      <c r="C19" s="24" t="s">
        <v>100</v>
      </c>
      <c r="D19" s="24" t="s">
        <v>101</v>
      </c>
      <c r="E19" s="29">
        <v>80000</v>
      </c>
      <c r="F19" s="26">
        <v>336.76</v>
      </c>
      <c r="G19" s="26">
        <v>0.78</v>
      </c>
      <c r="H19" s="27"/>
    </row>
    <row r="20" spans="2:8" x14ac:dyDescent="0.2">
      <c r="B20" s="28" t="s">
        <v>185</v>
      </c>
      <c r="C20" s="24" t="s">
        <v>186</v>
      </c>
      <c r="D20" s="24" t="s">
        <v>131</v>
      </c>
      <c r="E20" s="29">
        <v>25300</v>
      </c>
      <c r="F20" s="26">
        <v>328.77</v>
      </c>
      <c r="G20" s="26">
        <v>0.76</v>
      </c>
      <c r="H20" s="27"/>
    </row>
    <row r="21" spans="2:8" x14ac:dyDescent="0.2">
      <c r="B21" s="28" t="s">
        <v>216</v>
      </c>
      <c r="C21" s="24" t="s">
        <v>217</v>
      </c>
      <c r="D21" s="24" t="s">
        <v>218</v>
      </c>
      <c r="E21" s="29">
        <v>14450</v>
      </c>
      <c r="F21" s="26">
        <v>318.36</v>
      </c>
      <c r="G21" s="26">
        <v>0.74</v>
      </c>
      <c r="H21" s="27"/>
    </row>
    <row r="22" spans="2:8" x14ac:dyDescent="0.2">
      <c r="B22" s="28" t="s">
        <v>725</v>
      </c>
      <c r="C22" s="24" t="s">
        <v>726</v>
      </c>
      <c r="D22" s="24" t="s">
        <v>131</v>
      </c>
      <c r="E22" s="29">
        <v>13300</v>
      </c>
      <c r="F22" s="26">
        <v>301.89</v>
      </c>
      <c r="G22" s="26">
        <v>0.7</v>
      </c>
      <c r="H22" s="27"/>
    </row>
    <row r="23" spans="2:8" x14ac:dyDescent="0.2">
      <c r="B23" s="28" t="s">
        <v>175</v>
      </c>
      <c r="C23" s="24" t="s">
        <v>176</v>
      </c>
      <c r="D23" s="24" t="s">
        <v>121</v>
      </c>
      <c r="E23" s="29">
        <v>20000</v>
      </c>
      <c r="F23" s="26">
        <v>267.7</v>
      </c>
      <c r="G23" s="26">
        <v>0.62</v>
      </c>
      <c r="H23" s="27"/>
    </row>
    <row r="24" spans="2:8" x14ac:dyDescent="0.2">
      <c r="B24" s="28" t="s">
        <v>247</v>
      </c>
      <c r="C24" s="24" t="s">
        <v>248</v>
      </c>
      <c r="D24" s="24" t="s">
        <v>128</v>
      </c>
      <c r="E24" s="29">
        <v>50000</v>
      </c>
      <c r="F24" s="26">
        <v>250.38</v>
      </c>
      <c r="G24" s="26">
        <v>0.57999999999999996</v>
      </c>
      <c r="H24" s="27"/>
    </row>
    <row r="25" spans="2:8" x14ac:dyDescent="0.2">
      <c r="B25" s="28" t="s">
        <v>245</v>
      </c>
      <c r="C25" s="24" t="s">
        <v>246</v>
      </c>
      <c r="D25" s="24" t="s">
        <v>128</v>
      </c>
      <c r="E25" s="29">
        <v>50000</v>
      </c>
      <c r="F25" s="26">
        <v>249.98</v>
      </c>
      <c r="G25" s="26">
        <v>0.57999999999999996</v>
      </c>
      <c r="H25" s="27"/>
    </row>
    <row r="26" spans="2:8" x14ac:dyDescent="0.2">
      <c r="B26" s="28" t="s">
        <v>63</v>
      </c>
      <c r="C26" s="24" t="s">
        <v>64</v>
      </c>
      <c r="D26" s="24" t="s">
        <v>65</v>
      </c>
      <c r="E26" s="29">
        <v>36600</v>
      </c>
      <c r="F26" s="26">
        <v>249.01</v>
      </c>
      <c r="G26" s="26">
        <v>0.57999999999999996</v>
      </c>
      <c r="H26" s="27"/>
    </row>
    <row r="27" spans="2:8" x14ac:dyDescent="0.2">
      <c r="B27" s="28" t="s">
        <v>208</v>
      </c>
      <c r="C27" s="24" t="s">
        <v>209</v>
      </c>
      <c r="D27" s="24" t="s">
        <v>131</v>
      </c>
      <c r="E27" s="29">
        <v>44150</v>
      </c>
      <c r="F27" s="26">
        <v>246.98</v>
      </c>
      <c r="G27" s="26">
        <v>0.56999999999999995</v>
      </c>
      <c r="H27" s="27"/>
    </row>
    <row r="28" spans="2:8" x14ac:dyDescent="0.2">
      <c r="B28" s="28" t="s">
        <v>200</v>
      </c>
      <c r="C28" s="24" t="s">
        <v>201</v>
      </c>
      <c r="D28" s="24" t="s">
        <v>128</v>
      </c>
      <c r="E28" s="29">
        <v>10720</v>
      </c>
      <c r="F28" s="26">
        <v>212.94</v>
      </c>
      <c r="G28" s="26">
        <v>0.49</v>
      </c>
      <c r="H28" s="27"/>
    </row>
    <row r="29" spans="2:8" x14ac:dyDescent="0.2">
      <c r="B29" s="28" t="s">
        <v>140</v>
      </c>
      <c r="C29" s="24" t="s">
        <v>141</v>
      </c>
      <c r="D29" s="24" t="s">
        <v>131</v>
      </c>
      <c r="E29" s="29">
        <v>12020</v>
      </c>
      <c r="F29" s="26">
        <v>209.15</v>
      </c>
      <c r="G29" s="26">
        <v>0.48</v>
      </c>
      <c r="H29" s="27"/>
    </row>
    <row r="30" spans="2:8" x14ac:dyDescent="0.2">
      <c r="B30" s="28" t="s">
        <v>144</v>
      </c>
      <c r="C30" s="24" t="s">
        <v>145</v>
      </c>
      <c r="D30" s="24" t="s">
        <v>139</v>
      </c>
      <c r="E30" s="29">
        <v>33000</v>
      </c>
      <c r="F30" s="26">
        <v>200.61</v>
      </c>
      <c r="G30" s="26">
        <v>0.46</v>
      </c>
      <c r="H30" s="27"/>
    </row>
    <row r="31" spans="2:8" x14ac:dyDescent="0.2">
      <c r="B31" s="28" t="s">
        <v>32</v>
      </c>
      <c r="C31" s="24" t="s">
        <v>33</v>
      </c>
      <c r="D31" s="24" t="s">
        <v>34</v>
      </c>
      <c r="E31" s="29">
        <v>20460</v>
      </c>
      <c r="F31" s="26">
        <v>184.47</v>
      </c>
      <c r="G31" s="26">
        <v>0.43</v>
      </c>
      <c r="H31" s="27"/>
    </row>
    <row r="32" spans="2:8" x14ac:dyDescent="0.2">
      <c r="B32" s="28" t="s">
        <v>257</v>
      </c>
      <c r="C32" s="24" t="s">
        <v>258</v>
      </c>
      <c r="D32" s="24" t="s">
        <v>259</v>
      </c>
      <c r="E32" s="29">
        <v>11052</v>
      </c>
      <c r="F32" s="26">
        <v>152.96</v>
      </c>
      <c r="G32" s="26">
        <v>0.35</v>
      </c>
      <c r="H32" s="27"/>
    </row>
    <row r="33" spans="2:10" x14ac:dyDescent="0.2">
      <c r="B33" s="28" t="s">
        <v>727</v>
      </c>
      <c r="C33" s="24" t="s">
        <v>728</v>
      </c>
      <c r="D33" s="24" t="s">
        <v>65</v>
      </c>
      <c r="E33" s="29">
        <v>40740</v>
      </c>
      <c r="F33" s="26">
        <v>117.47</v>
      </c>
      <c r="G33" s="26">
        <v>0.27</v>
      </c>
      <c r="H33" s="27"/>
    </row>
    <row r="34" spans="2:10" x14ac:dyDescent="0.2">
      <c r="B34" s="28" t="s">
        <v>149</v>
      </c>
      <c r="C34" s="24" t="s">
        <v>150</v>
      </c>
      <c r="D34" s="24" t="s">
        <v>139</v>
      </c>
      <c r="E34" s="29">
        <v>1570</v>
      </c>
      <c r="F34" s="26">
        <v>105.87</v>
      </c>
      <c r="G34" s="26">
        <v>0.24</v>
      </c>
      <c r="H34" s="27"/>
    </row>
    <row r="35" spans="2:10" x14ac:dyDescent="0.2">
      <c r="B35" s="28" t="s">
        <v>274</v>
      </c>
      <c r="C35" s="24" t="s">
        <v>275</v>
      </c>
      <c r="D35" s="24" t="s">
        <v>128</v>
      </c>
      <c r="E35" s="29">
        <v>60000</v>
      </c>
      <c r="F35" s="26">
        <v>103.02</v>
      </c>
      <c r="G35" s="26">
        <v>0.24</v>
      </c>
      <c r="H35" s="27"/>
    </row>
    <row r="36" spans="2:10" x14ac:dyDescent="0.2">
      <c r="B36" s="28" t="s">
        <v>153</v>
      </c>
      <c r="C36" s="24" t="s">
        <v>154</v>
      </c>
      <c r="D36" s="24" t="s">
        <v>128</v>
      </c>
      <c r="E36" s="29">
        <v>2700</v>
      </c>
      <c r="F36" s="26">
        <v>102.55</v>
      </c>
      <c r="G36" s="26">
        <v>0.24</v>
      </c>
      <c r="H36" s="27"/>
    </row>
    <row r="37" spans="2:10" x14ac:dyDescent="0.2">
      <c r="B37" s="28" t="s">
        <v>729</v>
      </c>
      <c r="C37" s="24" t="s">
        <v>730</v>
      </c>
      <c r="D37" s="24" t="s">
        <v>296</v>
      </c>
      <c r="E37" s="29">
        <v>40000</v>
      </c>
      <c r="F37" s="26">
        <v>70.099999999999994</v>
      </c>
      <c r="G37" s="26">
        <v>0.16</v>
      </c>
      <c r="H37" s="27"/>
    </row>
    <row r="38" spans="2:10" x14ac:dyDescent="0.2">
      <c r="B38" s="28" t="s">
        <v>164</v>
      </c>
      <c r="C38" s="24" t="s">
        <v>165</v>
      </c>
      <c r="D38" s="24" t="s">
        <v>65</v>
      </c>
      <c r="E38" s="29">
        <v>5400</v>
      </c>
      <c r="F38" s="26">
        <v>64.87</v>
      </c>
      <c r="G38" s="26">
        <v>0.15</v>
      </c>
      <c r="H38" s="27"/>
    </row>
    <row r="39" spans="2:10" x14ac:dyDescent="0.2">
      <c r="B39" s="28" t="s">
        <v>187</v>
      </c>
      <c r="C39" s="24" t="s">
        <v>188</v>
      </c>
      <c r="D39" s="24" t="s">
        <v>65</v>
      </c>
      <c r="E39" s="29">
        <v>1744</v>
      </c>
      <c r="F39" s="26">
        <v>38.31</v>
      </c>
      <c r="G39" s="26">
        <v>0.09</v>
      </c>
      <c r="H39" s="27"/>
    </row>
    <row r="40" spans="2:10" x14ac:dyDescent="0.2">
      <c r="B40" s="28" t="s">
        <v>191</v>
      </c>
      <c r="C40" s="24" t="s">
        <v>192</v>
      </c>
      <c r="D40" s="24" t="s">
        <v>131</v>
      </c>
      <c r="E40" s="29">
        <v>3475</v>
      </c>
      <c r="F40" s="26">
        <v>29.45</v>
      </c>
      <c r="G40" s="26">
        <v>7.0000000000000007E-2</v>
      </c>
      <c r="H40" s="27"/>
    </row>
    <row r="41" spans="2:10" x14ac:dyDescent="0.2">
      <c r="B41" s="30" t="s">
        <v>110</v>
      </c>
      <c r="C41" s="31"/>
      <c r="D41" s="31"/>
      <c r="E41" s="32"/>
      <c r="F41" s="33">
        <f>SUM(F7:F40)</f>
        <v>11631.33</v>
      </c>
      <c r="G41" s="33">
        <f>SUM(G7:G40)</f>
        <v>26.879999999999988</v>
      </c>
      <c r="H41" s="34"/>
      <c r="I41" s="14"/>
      <c r="J41" s="14"/>
    </row>
    <row r="42" spans="2:10" x14ac:dyDescent="0.2">
      <c r="B42" s="38" t="s">
        <v>111</v>
      </c>
      <c r="C42" s="38"/>
      <c r="D42" s="38"/>
      <c r="E42" s="39"/>
      <c r="F42" s="40">
        <f>F41</f>
        <v>11631.33</v>
      </c>
      <c r="G42" s="40">
        <f>G41</f>
        <v>26.879999999999988</v>
      </c>
      <c r="H42" s="16"/>
      <c r="I42" s="14"/>
      <c r="J42" s="14"/>
    </row>
    <row r="43" spans="2:10" x14ac:dyDescent="0.2">
      <c r="B43" s="47" t="s">
        <v>340</v>
      </c>
      <c r="C43" s="42"/>
      <c r="D43" s="42"/>
      <c r="E43" s="43"/>
      <c r="F43" s="44"/>
      <c r="G43" s="44"/>
      <c r="H43" s="44"/>
    </row>
    <row r="44" spans="2:10" x14ac:dyDescent="0.2">
      <c r="B44" s="48" t="s">
        <v>31</v>
      </c>
      <c r="C44" s="24"/>
      <c r="D44" s="24"/>
      <c r="E44" s="25"/>
      <c r="F44" s="26"/>
      <c r="G44" s="26"/>
      <c r="H44" s="26"/>
    </row>
    <row r="45" spans="2:10" x14ac:dyDescent="0.2">
      <c r="B45" s="24" t="s">
        <v>375</v>
      </c>
      <c r="C45" s="24" t="s">
        <v>376</v>
      </c>
      <c r="D45" s="24" t="s">
        <v>377</v>
      </c>
      <c r="E45" s="29">
        <v>400</v>
      </c>
      <c r="F45" s="26">
        <v>3881.8</v>
      </c>
      <c r="G45" s="26">
        <v>8.9700000000000006</v>
      </c>
      <c r="H45" s="26">
        <v>4.3099999999999996</v>
      </c>
    </row>
    <row r="46" spans="2:10" x14ac:dyDescent="0.2">
      <c r="B46" s="24" t="s">
        <v>731</v>
      </c>
      <c r="C46" s="24" t="s">
        <v>732</v>
      </c>
      <c r="D46" s="24" t="s">
        <v>343</v>
      </c>
      <c r="E46" s="29">
        <v>300</v>
      </c>
      <c r="F46" s="26">
        <v>3071.53</v>
      </c>
      <c r="G46" s="26">
        <v>7.1</v>
      </c>
      <c r="H46" s="26">
        <v>4.16</v>
      </c>
    </row>
    <row r="47" spans="2:10" x14ac:dyDescent="0.2">
      <c r="B47" s="24" t="s">
        <v>733</v>
      </c>
      <c r="C47" s="24" t="s">
        <v>734</v>
      </c>
      <c r="D47" s="24" t="s">
        <v>476</v>
      </c>
      <c r="E47" s="29">
        <v>300</v>
      </c>
      <c r="F47" s="26">
        <v>3029.58</v>
      </c>
      <c r="G47" s="26">
        <v>7</v>
      </c>
      <c r="H47" s="26">
        <v>4.22</v>
      </c>
    </row>
    <row r="48" spans="2:10" x14ac:dyDescent="0.2">
      <c r="B48" s="24" t="s">
        <v>701</v>
      </c>
      <c r="C48" s="24" t="s">
        <v>702</v>
      </c>
      <c r="D48" s="24" t="s">
        <v>343</v>
      </c>
      <c r="E48" s="29">
        <v>270</v>
      </c>
      <c r="F48" s="26">
        <v>2747.1</v>
      </c>
      <c r="G48" s="26">
        <v>6.35</v>
      </c>
      <c r="H48" s="26">
        <v>3.5</v>
      </c>
    </row>
    <row r="49" spans="2:10" x14ac:dyDescent="0.2">
      <c r="B49" s="24" t="s">
        <v>390</v>
      </c>
      <c r="C49" s="24" t="s">
        <v>391</v>
      </c>
      <c r="D49" s="24" t="s">
        <v>343</v>
      </c>
      <c r="E49" s="29">
        <v>250</v>
      </c>
      <c r="F49" s="26">
        <v>2576.2600000000002</v>
      </c>
      <c r="G49" s="26">
        <v>5.95</v>
      </c>
      <c r="H49" s="26">
        <v>4.1500000000000004</v>
      </c>
    </row>
    <row r="50" spans="2:10" x14ac:dyDescent="0.2">
      <c r="B50" s="24" t="s">
        <v>373</v>
      </c>
      <c r="C50" s="24" t="s">
        <v>374</v>
      </c>
      <c r="D50" s="24" t="s">
        <v>356</v>
      </c>
      <c r="E50" s="29">
        <v>210</v>
      </c>
      <c r="F50" s="26">
        <v>2139.21</v>
      </c>
      <c r="G50" s="26">
        <v>4.9400000000000004</v>
      </c>
      <c r="H50" s="26">
        <v>3.98</v>
      </c>
    </row>
    <row r="51" spans="2:10" x14ac:dyDescent="0.2">
      <c r="B51" s="24" t="s">
        <v>735</v>
      </c>
      <c r="C51" s="24" t="s">
        <v>736</v>
      </c>
      <c r="D51" s="24" t="s">
        <v>343</v>
      </c>
      <c r="E51" s="29">
        <v>200</v>
      </c>
      <c r="F51" s="26">
        <v>2048.0500000000002</v>
      </c>
      <c r="G51" s="26">
        <v>4.7300000000000004</v>
      </c>
      <c r="H51" s="26">
        <v>3.94</v>
      </c>
    </row>
    <row r="52" spans="2:10" x14ac:dyDescent="0.2">
      <c r="B52" s="24" t="s">
        <v>737</v>
      </c>
      <c r="C52" s="24" t="s">
        <v>738</v>
      </c>
      <c r="D52" s="24" t="s">
        <v>343</v>
      </c>
      <c r="E52" s="29">
        <v>150</v>
      </c>
      <c r="F52" s="26">
        <v>1538.72</v>
      </c>
      <c r="G52" s="26">
        <v>3.55</v>
      </c>
      <c r="H52" s="26">
        <v>4.34</v>
      </c>
    </row>
    <row r="53" spans="2:10" x14ac:dyDescent="0.2">
      <c r="B53" s="24" t="s">
        <v>739</v>
      </c>
      <c r="C53" s="24" t="s">
        <v>740</v>
      </c>
      <c r="D53" s="24" t="s">
        <v>343</v>
      </c>
      <c r="E53" s="29">
        <v>150</v>
      </c>
      <c r="F53" s="26">
        <v>1516.86</v>
      </c>
      <c r="G53" s="26">
        <v>3.5</v>
      </c>
      <c r="H53" s="26">
        <v>3.98</v>
      </c>
    </row>
    <row r="54" spans="2:10" x14ac:dyDescent="0.2">
      <c r="B54" s="24" t="s">
        <v>741</v>
      </c>
      <c r="C54" s="24" t="s">
        <v>742</v>
      </c>
      <c r="D54" s="24" t="s">
        <v>343</v>
      </c>
      <c r="E54" s="29">
        <v>100</v>
      </c>
      <c r="F54" s="26">
        <v>1036.95</v>
      </c>
      <c r="G54" s="26">
        <v>2.4</v>
      </c>
      <c r="H54" s="26">
        <v>3.72</v>
      </c>
    </row>
    <row r="55" spans="2:10" x14ac:dyDescent="0.2">
      <c r="B55" s="24" t="s">
        <v>711</v>
      </c>
      <c r="C55" s="24" t="s">
        <v>712</v>
      </c>
      <c r="D55" s="24" t="s">
        <v>343</v>
      </c>
      <c r="E55" s="29">
        <v>9</v>
      </c>
      <c r="F55" s="26">
        <v>917.18</v>
      </c>
      <c r="G55" s="26">
        <v>2.12</v>
      </c>
      <c r="H55" s="26">
        <v>3.98</v>
      </c>
    </row>
    <row r="56" spans="2:10" x14ac:dyDescent="0.2">
      <c r="B56" s="24" t="s">
        <v>743</v>
      </c>
      <c r="C56" s="24" t="s">
        <v>744</v>
      </c>
      <c r="D56" s="24" t="s">
        <v>343</v>
      </c>
      <c r="E56" s="29">
        <v>40</v>
      </c>
      <c r="F56" s="26">
        <v>518.04999999999995</v>
      </c>
      <c r="G56" s="26">
        <v>1.2</v>
      </c>
      <c r="H56" s="26">
        <v>3.95</v>
      </c>
    </row>
    <row r="57" spans="2:10" x14ac:dyDescent="0.2">
      <c r="B57" s="24" t="s">
        <v>649</v>
      </c>
      <c r="C57" s="24" t="s">
        <v>650</v>
      </c>
      <c r="D57" s="24" t="s">
        <v>343</v>
      </c>
      <c r="E57" s="29">
        <v>50</v>
      </c>
      <c r="F57" s="26">
        <v>513.04999999999995</v>
      </c>
      <c r="G57" s="26">
        <v>1.19</v>
      </c>
      <c r="H57" s="26">
        <v>3.9</v>
      </c>
    </row>
    <row r="58" spans="2:10" x14ac:dyDescent="0.2">
      <c r="B58" s="24" t="s">
        <v>745</v>
      </c>
      <c r="C58" s="24" t="s">
        <v>746</v>
      </c>
      <c r="D58" s="24" t="s">
        <v>343</v>
      </c>
      <c r="E58" s="29">
        <v>50</v>
      </c>
      <c r="F58" s="26">
        <v>509.16</v>
      </c>
      <c r="G58" s="26">
        <v>1.18</v>
      </c>
      <c r="H58" s="26">
        <v>4.13</v>
      </c>
    </row>
    <row r="59" spans="2:10" x14ac:dyDescent="0.2">
      <c r="B59" s="24" t="s">
        <v>707</v>
      </c>
      <c r="C59" s="24" t="s">
        <v>708</v>
      </c>
      <c r="D59" s="24" t="s">
        <v>343</v>
      </c>
      <c r="E59" s="29">
        <v>50</v>
      </c>
      <c r="F59" s="26">
        <v>508.9</v>
      </c>
      <c r="G59" s="26">
        <v>1.18</v>
      </c>
      <c r="H59" s="26">
        <v>3.66</v>
      </c>
    </row>
    <row r="60" spans="2:10" x14ac:dyDescent="0.2">
      <c r="B60" s="31" t="s">
        <v>110</v>
      </c>
      <c r="C60" s="31"/>
      <c r="D60" s="31"/>
      <c r="E60" s="32"/>
      <c r="F60" s="33">
        <f>SUM(F44:F59)</f>
        <v>26552.400000000001</v>
      </c>
      <c r="G60" s="33">
        <f>SUM(G44:G59)</f>
        <v>61.36</v>
      </c>
      <c r="H60" s="49"/>
      <c r="I60" s="14"/>
      <c r="J60" s="14"/>
    </row>
    <row r="61" spans="2:10" x14ac:dyDescent="0.2">
      <c r="B61" s="50" t="s">
        <v>111</v>
      </c>
      <c r="C61" s="50"/>
      <c r="D61" s="50"/>
      <c r="E61" s="51"/>
      <c r="F61" s="52">
        <f>F60</f>
        <v>26552.400000000001</v>
      </c>
      <c r="G61" s="52">
        <f>G60</f>
        <v>61.36</v>
      </c>
      <c r="H61" s="52"/>
      <c r="I61" s="14"/>
      <c r="J61" s="14"/>
    </row>
    <row r="62" spans="2:10" x14ac:dyDescent="0.2">
      <c r="B62" s="48" t="s">
        <v>503</v>
      </c>
      <c r="C62" s="24"/>
      <c r="D62" s="24"/>
      <c r="E62" s="25"/>
      <c r="F62" s="26"/>
      <c r="G62" s="26"/>
      <c r="H62" s="26"/>
    </row>
    <row r="63" spans="2:10" x14ac:dyDescent="0.2">
      <c r="B63" s="48" t="s">
        <v>504</v>
      </c>
      <c r="C63" s="24"/>
      <c r="D63" s="24"/>
      <c r="E63" s="25"/>
      <c r="F63" s="26"/>
      <c r="G63" s="26"/>
      <c r="H63" s="26"/>
    </row>
    <row r="64" spans="2:10" x14ac:dyDescent="0.2">
      <c r="B64" s="24" t="s">
        <v>518</v>
      </c>
      <c r="C64" s="24" t="s">
        <v>519</v>
      </c>
      <c r="D64" s="24" t="s">
        <v>507</v>
      </c>
      <c r="E64" s="29">
        <v>2000</v>
      </c>
      <c r="F64" s="26">
        <v>1973.95</v>
      </c>
      <c r="G64" s="26">
        <v>4.5599999999999996</v>
      </c>
      <c r="H64" s="26">
        <v>3.59</v>
      </c>
    </row>
    <row r="65" spans="2:10" x14ac:dyDescent="0.2">
      <c r="B65" s="31" t="s">
        <v>110</v>
      </c>
      <c r="C65" s="31"/>
      <c r="D65" s="31"/>
      <c r="E65" s="32"/>
      <c r="F65" s="33">
        <f>SUM(F63:F64)</f>
        <v>1973.95</v>
      </c>
      <c r="G65" s="33">
        <f>SUM(G63:G64)</f>
        <v>4.5599999999999996</v>
      </c>
      <c r="H65" s="49"/>
      <c r="I65" s="14"/>
      <c r="J65" s="14"/>
    </row>
    <row r="66" spans="2:10" x14ac:dyDescent="0.2">
      <c r="B66" s="50" t="s">
        <v>111</v>
      </c>
      <c r="C66" s="50"/>
      <c r="D66" s="50"/>
      <c r="E66" s="51"/>
      <c r="F66" s="52">
        <f>F65</f>
        <v>1973.95</v>
      </c>
      <c r="G66" s="52">
        <f>G65</f>
        <v>4.5599999999999996</v>
      </c>
      <c r="H66" s="52"/>
      <c r="I66" s="14"/>
      <c r="J66" s="14"/>
    </row>
    <row r="67" spans="2:10" x14ac:dyDescent="0.2">
      <c r="B67" s="48" t="s">
        <v>412</v>
      </c>
      <c r="C67" s="24"/>
      <c r="D67" s="24"/>
      <c r="E67" s="25"/>
      <c r="F67" s="26"/>
      <c r="G67" s="26"/>
      <c r="H67" s="26"/>
    </row>
    <row r="68" spans="2:10" x14ac:dyDescent="0.2">
      <c r="B68" s="24" t="s">
        <v>747</v>
      </c>
      <c r="C68" s="24" t="s">
        <v>748</v>
      </c>
      <c r="D68" s="24" t="s">
        <v>415</v>
      </c>
      <c r="E68" s="29">
        <v>1000000</v>
      </c>
      <c r="F68" s="26">
        <v>1026.6500000000001</v>
      </c>
      <c r="G68" s="26">
        <v>2.37</v>
      </c>
      <c r="H68" s="26">
        <v>3.74</v>
      </c>
    </row>
    <row r="69" spans="2:10" x14ac:dyDescent="0.2">
      <c r="B69" s="53" t="s">
        <v>749</v>
      </c>
      <c r="C69" s="53" t="s">
        <v>750</v>
      </c>
      <c r="D69" s="53" t="s">
        <v>415</v>
      </c>
      <c r="E69" s="54">
        <v>33000</v>
      </c>
      <c r="F69" s="55">
        <v>34.39</v>
      </c>
      <c r="G69" s="55">
        <v>0.08</v>
      </c>
      <c r="H69" s="55">
        <v>3.78</v>
      </c>
    </row>
    <row r="70" spans="2:10" x14ac:dyDescent="0.2">
      <c r="B70" s="56" t="s">
        <v>111</v>
      </c>
      <c r="C70" s="56"/>
      <c r="D70" s="56"/>
      <c r="E70" s="57"/>
      <c r="F70" s="58">
        <f>SUM(F68:F69)</f>
        <v>1061.0400000000002</v>
      </c>
      <c r="G70" s="58">
        <f>SUM(G68:G69)</f>
        <v>2.4500000000000002</v>
      </c>
      <c r="H70" s="58"/>
      <c r="I70" s="14"/>
      <c r="J70" s="14"/>
    </row>
    <row r="71" spans="2:10" x14ac:dyDescent="0.2">
      <c r="B71" s="48" t="s">
        <v>112</v>
      </c>
      <c r="C71" s="24"/>
      <c r="D71" s="24"/>
      <c r="E71" s="25"/>
      <c r="F71" s="26"/>
      <c r="G71" s="26"/>
      <c r="H71" s="26"/>
    </row>
    <row r="72" spans="2:10" x14ac:dyDescent="0.2">
      <c r="B72" s="24" t="s">
        <v>112</v>
      </c>
      <c r="C72" s="24"/>
      <c r="D72" s="24"/>
      <c r="E72" s="25"/>
      <c r="F72" s="26">
        <v>831.5</v>
      </c>
      <c r="G72" s="26">
        <v>1.92</v>
      </c>
      <c r="H72" s="26"/>
    </row>
    <row r="73" spans="2:10" x14ac:dyDescent="0.2">
      <c r="B73" s="31" t="s">
        <v>110</v>
      </c>
      <c r="C73" s="31"/>
      <c r="D73" s="31"/>
      <c r="E73" s="32"/>
      <c r="F73" s="33">
        <f>SUM(F71:F72)</f>
        <v>831.5</v>
      </c>
      <c r="G73" s="33">
        <f>SUM(G71:G72)</f>
        <v>1.92</v>
      </c>
      <c r="H73" s="49"/>
      <c r="I73" s="14"/>
      <c r="J73" s="14"/>
    </row>
    <row r="74" spans="2:10" x14ac:dyDescent="0.2">
      <c r="B74" s="35" t="s">
        <v>111</v>
      </c>
      <c r="C74" s="35"/>
      <c r="D74" s="35"/>
      <c r="E74" s="36"/>
      <c r="F74" s="37">
        <f>F73</f>
        <v>831.5</v>
      </c>
      <c r="G74" s="37">
        <f>G73</f>
        <v>1.92</v>
      </c>
      <c r="H74" s="37"/>
      <c r="I74" s="14"/>
      <c r="J74" s="14"/>
    </row>
    <row r="75" spans="2:10" x14ac:dyDescent="0.2">
      <c r="B75" s="45" t="s">
        <v>114</v>
      </c>
      <c r="C75" s="45"/>
      <c r="D75" s="45"/>
      <c r="E75" s="46"/>
      <c r="F75" s="17">
        <f>F76-(+F42+F61+F66+F70+F74)</f>
        <v>1236.9700000000012</v>
      </c>
      <c r="G75" s="17">
        <f>G76-(+G42+G61+G66+G70+G74)</f>
        <v>2.8300000000000125</v>
      </c>
      <c r="H75" s="17"/>
      <c r="I75" s="14"/>
      <c r="J75" s="14"/>
    </row>
    <row r="76" spans="2:10" x14ac:dyDescent="0.2">
      <c r="B76" s="45" t="s">
        <v>113</v>
      </c>
      <c r="C76" s="45"/>
      <c r="D76" s="45"/>
      <c r="E76" s="46"/>
      <c r="F76" s="17">
        <v>43287.19</v>
      </c>
      <c r="G76" s="17">
        <v>100</v>
      </c>
      <c r="H76" s="17"/>
      <c r="I76" s="14"/>
      <c r="J76" s="14"/>
    </row>
    <row r="78" spans="2:10" x14ac:dyDescent="0.2">
      <c r="B78" s="14" t="s">
        <v>755</v>
      </c>
    </row>
    <row r="79" spans="2:10" x14ac:dyDescent="0.2">
      <c r="B79" s="14" t="s">
        <v>536</v>
      </c>
    </row>
    <row r="80" spans="2:10" x14ac:dyDescent="0.2">
      <c r="B80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workbookViewId="0">
      <selection activeCell="B3" sqref="B3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85546875" style="1" bestFit="1" customWidth="1"/>
    <col min="4" max="4" width="18.28515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28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340</v>
      </c>
      <c r="C5" s="19"/>
      <c r="D5" s="19"/>
      <c r="E5" s="20"/>
      <c r="F5" s="21"/>
      <c r="G5" s="21"/>
      <c r="H5" s="21"/>
    </row>
    <row r="6" spans="2:8" x14ac:dyDescent="0.2">
      <c r="B6" s="48" t="s">
        <v>31</v>
      </c>
      <c r="C6" s="24"/>
      <c r="D6" s="24"/>
      <c r="E6" s="25"/>
      <c r="F6" s="26"/>
      <c r="G6" s="26"/>
      <c r="H6" s="26"/>
    </row>
    <row r="7" spans="2:8" x14ac:dyDescent="0.2">
      <c r="B7" s="24" t="s">
        <v>671</v>
      </c>
      <c r="C7" s="24" t="s">
        <v>672</v>
      </c>
      <c r="D7" s="24" t="s">
        <v>377</v>
      </c>
      <c r="E7" s="29">
        <v>30</v>
      </c>
      <c r="F7" s="26">
        <v>368.98</v>
      </c>
      <c r="G7" s="26">
        <v>10.1</v>
      </c>
      <c r="H7" s="26">
        <v>6.21</v>
      </c>
    </row>
    <row r="8" spans="2:8" x14ac:dyDescent="0.2">
      <c r="B8" s="24" t="s">
        <v>375</v>
      </c>
      <c r="C8" s="24" t="s">
        <v>376</v>
      </c>
      <c r="D8" s="24" t="s">
        <v>377</v>
      </c>
      <c r="E8" s="29">
        <v>38</v>
      </c>
      <c r="F8" s="26">
        <v>368.77</v>
      </c>
      <c r="G8" s="26">
        <v>10.1</v>
      </c>
      <c r="H8" s="26">
        <v>4.3099999999999996</v>
      </c>
    </row>
    <row r="9" spans="2:8" x14ac:dyDescent="0.2">
      <c r="B9" s="24" t="s">
        <v>396</v>
      </c>
      <c r="C9" s="24" t="s">
        <v>397</v>
      </c>
      <c r="D9" s="24" t="s">
        <v>343</v>
      </c>
      <c r="E9" s="29">
        <v>31</v>
      </c>
      <c r="F9" s="26">
        <v>319.13</v>
      </c>
      <c r="G9" s="26">
        <v>8.74</v>
      </c>
      <c r="H9" s="26">
        <v>4.2699999999999996</v>
      </c>
    </row>
    <row r="10" spans="2:8" x14ac:dyDescent="0.2">
      <c r="B10" s="24" t="s">
        <v>631</v>
      </c>
      <c r="C10" s="24" t="s">
        <v>632</v>
      </c>
      <c r="D10" s="24" t="s">
        <v>343</v>
      </c>
      <c r="E10" s="29">
        <v>30</v>
      </c>
      <c r="F10" s="26">
        <v>311.95</v>
      </c>
      <c r="G10" s="26">
        <v>8.5399999999999991</v>
      </c>
      <c r="H10" s="26">
        <v>4.0599999999999996</v>
      </c>
    </row>
    <row r="11" spans="2:8" x14ac:dyDescent="0.2">
      <c r="B11" s="24" t="s">
        <v>591</v>
      </c>
      <c r="C11" s="24" t="s">
        <v>592</v>
      </c>
      <c r="D11" s="24" t="s">
        <v>377</v>
      </c>
      <c r="E11" s="29">
        <v>30</v>
      </c>
      <c r="F11" s="26">
        <v>309.87</v>
      </c>
      <c r="G11" s="26">
        <v>8.48</v>
      </c>
      <c r="H11" s="26">
        <v>6.53</v>
      </c>
    </row>
    <row r="12" spans="2:8" x14ac:dyDescent="0.2">
      <c r="B12" s="24" t="s">
        <v>464</v>
      </c>
      <c r="C12" s="24" t="s">
        <v>465</v>
      </c>
      <c r="D12" s="24" t="s">
        <v>343</v>
      </c>
      <c r="E12" s="29">
        <v>30</v>
      </c>
      <c r="F12" s="26">
        <v>309.63</v>
      </c>
      <c r="G12" s="26">
        <v>8.48</v>
      </c>
      <c r="H12" s="26">
        <v>4.17</v>
      </c>
    </row>
    <row r="13" spans="2:8" x14ac:dyDescent="0.2">
      <c r="B13" s="24" t="s">
        <v>655</v>
      </c>
      <c r="C13" s="24" t="s">
        <v>656</v>
      </c>
      <c r="D13" s="24" t="s">
        <v>343</v>
      </c>
      <c r="E13" s="29">
        <v>30</v>
      </c>
      <c r="F13" s="26">
        <v>307.67</v>
      </c>
      <c r="G13" s="26">
        <v>8.42</v>
      </c>
      <c r="H13" s="26">
        <v>4.41</v>
      </c>
    </row>
    <row r="14" spans="2:8" x14ac:dyDescent="0.2">
      <c r="B14" s="24" t="s">
        <v>373</v>
      </c>
      <c r="C14" s="24" t="s">
        <v>374</v>
      </c>
      <c r="D14" s="24" t="s">
        <v>356</v>
      </c>
      <c r="E14" s="29">
        <v>30</v>
      </c>
      <c r="F14" s="26">
        <v>305.60000000000002</v>
      </c>
      <c r="G14" s="26">
        <v>8.3699999999999992</v>
      </c>
      <c r="H14" s="26">
        <v>3.98</v>
      </c>
    </row>
    <row r="15" spans="2:8" x14ac:dyDescent="0.2">
      <c r="B15" s="24" t="s">
        <v>394</v>
      </c>
      <c r="C15" s="24" t="s">
        <v>395</v>
      </c>
      <c r="D15" s="24" t="s">
        <v>343</v>
      </c>
      <c r="E15" s="29">
        <v>30</v>
      </c>
      <c r="F15" s="26">
        <v>304.94</v>
      </c>
      <c r="G15" s="26">
        <v>8.35</v>
      </c>
      <c r="H15" s="26">
        <v>3.86</v>
      </c>
    </row>
    <row r="16" spans="2:8" x14ac:dyDescent="0.2">
      <c r="B16" s="24" t="s">
        <v>587</v>
      </c>
      <c r="C16" s="24" t="s">
        <v>588</v>
      </c>
      <c r="D16" s="24" t="s">
        <v>343</v>
      </c>
      <c r="E16" s="29">
        <v>23</v>
      </c>
      <c r="F16" s="26">
        <v>237.7</v>
      </c>
      <c r="G16" s="26">
        <v>6.51</v>
      </c>
      <c r="H16" s="26">
        <v>4.25</v>
      </c>
    </row>
    <row r="17" spans="2:10" x14ac:dyDescent="0.2">
      <c r="B17" s="24" t="s">
        <v>485</v>
      </c>
      <c r="C17" s="24" t="s">
        <v>486</v>
      </c>
      <c r="D17" s="24" t="s">
        <v>343</v>
      </c>
      <c r="E17" s="29">
        <v>7</v>
      </c>
      <c r="F17" s="26">
        <v>72.08</v>
      </c>
      <c r="G17" s="26">
        <v>1.97</v>
      </c>
      <c r="H17" s="26">
        <v>4.25</v>
      </c>
    </row>
    <row r="18" spans="2:10" x14ac:dyDescent="0.2">
      <c r="B18" s="31" t="s">
        <v>110</v>
      </c>
      <c r="C18" s="31"/>
      <c r="D18" s="31"/>
      <c r="E18" s="32"/>
      <c r="F18" s="33">
        <f>SUM(F6:F17)</f>
        <v>3216.32</v>
      </c>
      <c r="G18" s="33">
        <f>SUM(G6:G17)</f>
        <v>88.06</v>
      </c>
      <c r="H18" s="49"/>
      <c r="I18" s="14"/>
      <c r="J18" s="14"/>
    </row>
    <row r="19" spans="2:10" x14ac:dyDescent="0.2">
      <c r="B19" s="50" t="s">
        <v>111</v>
      </c>
      <c r="C19" s="50"/>
      <c r="D19" s="50"/>
      <c r="E19" s="51"/>
      <c r="F19" s="52">
        <f>F18</f>
        <v>3216.32</v>
      </c>
      <c r="G19" s="52">
        <f>G18</f>
        <v>88.06</v>
      </c>
      <c r="H19" s="52"/>
      <c r="I19" s="14"/>
      <c r="J19" s="14"/>
    </row>
    <row r="20" spans="2:10" x14ac:dyDescent="0.2">
      <c r="B20" s="48" t="s">
        <v>112</v>
      </c>
      <c r="C20" s="24"/>
      <c r="D20" s="24"/>
      <c r="E20" s="25"/>
      <c r="F20" s="26"/>
      <c r="G20" s="26"/>
      <c r="H20" s="26"/>
    </row>
    <row r="21" spans="2:10" x14ac:dyDescent="0.2">
      <c r="B21" s="24" t="s">
        <v>112</v>
      </c>
      <c r="C21" s="24"/>
      <c r="D21" s="24"/>
      <c r="E21" s="25"/>
      <c r="F21" s="26">
        <v>337.31</v>
      </c>
      <c r="G21" s="26">
        <v>9.23</v>
      </c>
      <c r="H21" s="26"/>
    </row>
    <row r="22" spans="2:10" x14ac:dyDescent="0.2">
      <c r="B22" s="31" t="s">
        <v>110</v>
      </c>
      <c r="C22" s="31"/>
      <c r="D22" s="31"/>
      <c r="E22" s="32"/>
      <c r="F22" s="33">
        <f>SUM(F20:F21)</f>
        <v>337.31</v>
      </c>
      <c r="G22" s="33">
        <f>SUM(G20:G21)</f>
        <v>9.23</v>
      </c>
      <c r="H22" s="49"/>
      <c r="I22" s="14"/>
      <c r="J22" s="14"/>
    </row>
    <row r="23" spans="2:10" x14ac:dyDescent="0.2">
      <c r="B23" s="35" t="s">
        <v>111</v>
      </c>
      <c r="C23" s="35"/>
      <c r="D23" s="35"/>
      <c r="E23" s="36"/>
      <c r="F23" s="37">
        <f>F22</f>
        <v>337.31</v>
      </c>
      <c r="G23" s="37">
        <f>G22</f>
        <v>9.23</v>
      </c>
      <c r="H23" s="37"/>
      <c r="I23" s="14"/>
      <c r="J23" s="14"/>
    </row>
    <row r="24" spans="2:10" x14ac:dyDescent="0.2">
      <c r="B24" s="45" t="s">
        <v>114</v>
      </c>
      <c r="C24" s="45"/>
      <c r="D24" s="45"/>
      <c r="E24" s="46"/>
      <c r="F24" s="17">
        <f>F25-(+F19+F23)</f>
        <v>98.730000000000018</v>
      </c>
      <c r="G24" s="17">
        <f>G25-(+G19+G23)</f>
        <v>2.7099999999999937</v>
      </c>
      <c r="H24" s="17"/>
      <c r="I24" s="14"/>
      <c r="J24" s="14"/>
    </row>
    <row r="25" spans="2:10" x14ac:dyDescent="0.2">
      <c r="B25" s="45" t="s">
        <v>113</v>
      </c>
      <c r="C25" s="45"/>
      <c r="D25" s="45"/>
      <c r="E25" s="46"/>
      <c r="F25" s="17">
        <v>3652.36</v>
      </c>
      <c r="G25" s="17">
        <v>100</v>
      </c>
      <c r="H25" s="17"/>
      <c r="I25" s="14"/>
      <c r="J25" s="14"/>
    </row>
    <row r="27" spans="2:10" x14ac:dyDescent="0.2">
      <c r="B27" s="14" t="s">
        <v>755</v>
      </c>
    </row>
    <row r="28" spans="2:10" x14ac:dyDescent="0.2">
      <c r="B28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1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1.57031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9" t="s">
        <v>29</v>
      </c>
      <c r="C1" s="70"/>
      <c r="D1" s="70"/>
      <c r="E1" s="70"/>
      <c r="F1" s="70"/>
      <c r="G1" s="70"/>
      <c r="H1" s="70"/>
    </row>
    <row r="3" spans="2:8" ht="16.5" thickBot="1" x14ac:dyDescent="0.25">
      <c r="B3" s="2" t="s">
        <v>760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8" t="s">
        <v>30</v>
      </c>
      <c r="C5" s="19"/>
      <c r="D5" s="19"/>
      <c r="E5" s="20"/>
      <c r="F5" s="21"/>
      <c r="G5" s="21"/>
      <c r="H5" s="22"/>
    </row>
    <row r="6" spans="2:8" x14ac:dyDescent="0.2">
      <c r="B6" s="23" t="s">
        <v>31</v>
      </c>
      <c r="C6" s="24"/>
      <c r="D6" s="24"/>
      <c r="E6" s="25"/>
      <c r="F6" s="26"/>
      <c r="G6" s="26"/>
      <c r="H6" s="27"/>
    </row>
    <row r="7" spans="2:8" x14ac:dyDescent="0.2">
      <c r="B7" s="28" t="s">
        <v>119</v>
      </c>
      <c r="C7" s="24" t="s">
        <v>120</v>
      </c>
      <c r="D7" s="24" t="s">
        <v>121</v>
      </c>
      <c r="E7" s="29">
        <v>32000</v>
      </c>
      <c r="F7" s="26">
        <v>322.64</v>
      </c>
      <c r="G7" s="26">
        <v>1.66</v>
      </c>
      <c r="H7" s="27"/>
    </row>
    <row r="8" spans="2:8" x14ac:dyDescent="0.2">
      <c r="B8" s="28" t="s">
        <v>35</v>
      </c>
      <c r="C8" s="24" t="s">
        <v>36</v>
      </c>
      <c r="D8" s="24" t="s">
        <v>37</v>
      </c>
      <c r="E8" s="29">
        <v>13500</v>
      </c>
      <c r="F8" s="26">
        <v>301.64</v>
      </c>
      <c r="G8" s="26">
        <v>1.55</v>
      </c>
      <c r="H8" s="27"/>
    </row>
    <row r="9" spans="2:8" x14ac:dyDescent="0.2">
      <c r="B9" s="28" t="s">
        <v>122</v>
      </c>
      <c r="C9" s="24" t="s">
        <v>123</v>
      </c>
      <c r="D9" s="24" t="s">
        <v>90</v>
      </c>
      <c r="E9" s="29">
        <v>24240</v>
      </c>
      <c r="F9" s="26">
        <v>261.45</v>
      </c>
      <c r="G9" s="26">
        <v>1.34</v>
      </c>
      <c r="H9" s="27"/>
    </row>
    <row r="10" spans="2:8" x14ac:dyDescent="0.2">
      <c r="B10" s="28" t="s">
        <v>88</v>
      </c>
      <c r="C10" s="24" t="s">
        <v>89</v>
      </c>
      <c r="D10" s="24" t="s">
        <v>90</v>
      </c>
      <c r="E10" s="29">
        <v>62500</v>
      </c>
      <c r="F10" s="26">
        <v>221.72</v>
      </c>
      <c r="G10" s="26">
        <v>1.1399999999999999</v>
      </c>
      <c r="H10" s="27"/>
    </row>
    <row r="11" spans="2:8" x14ac:dyDescent="0.2">
      <c r="B11" s="28" t="s">
        <v>124</v>
      </c>
      <c r="C11" s="24" t="s">
        <v>125</v>
      </c>
      <c r="D11" s="24" t="s">
        <v>121</v>
      </c>
      <c r="E11" s="29">
        <v>6000</v>
      </c>
      <c r="F11" s="26">
        <v>149.54</v>
      </c>
      <c r="G11" s="26">
        <v>0.77</v>
      </c>
      <c r="H11" s="27"/>
    </row>
    <row r="12" spans="2:8" x14ac:dyDescent="0.2">
      <c r="B12" s="28" t="s">
        <v>129</v>
      </c>
      <c r="C12" s="24" t="s">
        <v>130</v>
      </c>
      <c r="D12" s="24" t="s">
        <v>131</v>
      </c>
      <c r="E12" s="29">
        <v>4250</v>
      </c>
      <c r="F12" s="26">
        <v>139.34</v>
      </c>
      <c r="G12" s="26">
        <v>0.72</v>
      </c>
      <c r="H12" s="27"/>
    </row>
    <row r="13" spans="2:8" x14ac:dyDescent="0.2">
      <c r="B13" s="28" t="s">
        <v>126</v>
      </c>
      <c r="C13" s="24" t="s">
        <v>127</v>
      </c>
      <c r="D13" s="24" t="s">
        <v>128</v>
      </c>
      <c r="E13" s="29">
        <v>6330</v>
      </c>
      <c r="F13" s="26">
        <v>130.91999999999999</v>
      </c>
      <c r="G13" s="26">
        <v>0.67</v>
      </c>
      <c r="H13" s="27"/>
    </row>
    <row r="14" spans="2:8" x14ac:dyDescent="0.2">
      <c r="B14" s="28" t="s">
        <v>166</v>
      </c>
      <c r="C14" s="24" t="s">
        <v>167</v>
      </c>
      <c r="D14" s="24" t="s">
        <v>90</v>
      </c>
      <c r="E14" s="29">
        <v>22330</v>
      </c>
      <c r="F14" s="26">
        <v>94.82</v>
      </c>
      <c r="G14" s="26">
        <v>0.49</v>
      </c>
      <c r="H14" s="27"/>
    </row>
    <row r="15" spans="2:8" x14ac:dyDescent="0.2">
      <c r="B15" s="28" t="s">
        <v>32</v>
      </c>
      <c r="C15" s="24" t="s">
        <v>33</v>
      </c>
      <c r="D15" s="24" t="s">
        <v>34</v>
      </c>
      <c r="E15" s="29">
        <v>9670</v>
      </c>
      <c r="F15" s="26">
        <v>87.18</v>
      </c>
      <c r="G15" s="26">
        <v>0.45</v>
      </c>
      <c r="H15" s="27"/>
    </row>
    <row r="16" spans="2:8" x14ac:dyDescent="0.2">
      <c r="B16" s="28" t="s">
        <v>177</v>
      </c>
      <c r="C16" s="24" t="s">
        <v>178</v>
      </c>
      <c r="D16" s="24" t="s">
        <v>136</v>
      </c>
      <c r="E16" s="29">
        <v>3000</v>
      </c>
      <c r="F16" s="26">
        <v>83.34</v>
      </c>
      <c r="G16" s="26">
        <v>0.43</v>
      </c>
      <c r="H16" s="27"/>
    </row>
    <row r="17" spans="2:8" x14ac:dyDescent="0.2">
      <c r="B17" s="28" t="s">
        <v>276</v>
      </c>
      <c r="C17" s="24" t="s">
        <v>277</v>
      </c>
      <c r="D17" s="24" t="s">
        <v>172</v>
      </c>
      <c r="E17" s="29">
        <v>9330</v>
      </c>
      <c r="F17" s="26">
        <v>76.62</v>
      </c>
      <c r="G17" s="26">
        <v>0.39</v>
      </c>
      <c r="H17" s="27"/>
    </row>
    <row r="18" spans="2:8" x14ac:dyDescent="0.2">
      <c r="B18" s="28" t="s">
        <v>140</v>
      </c>
      <c r="C18" s="24" t="s">
        <v>141</v>
      </c>
      <c r="D18" s="24" t="s">
        <v>131</v>
      </c>
      <c r="E18" s="29">
        <v>4400</v>
      </c>
      <c r="F18" s="26">
        <v>76.56</v>
      </c>
      <c r="G18" s="26">
        <v>0.39</v>
      </c>
      <c r="H18" s="27"/>
    </row>
    <row r="19" spans="2:8" x14ac:dyDescent="0.2">
      <c r="B19" s="28" t="s">
        <v>245</v>
      </c>
      <c r="C19" s="24" t="s">
        <v>246</v>
      </c>
      <c r="D19" s="24" t="s">
        <v>128</v>
      </c>
      <c r="E19" s="29">
        <v>15000</v>
      </c>
      <c r="F19" s="26">
        <v>74.989999999999995</v>
      </c>
      <c r="G19" s="26">
        <v>0.39</v>
      </c>
      <c r="H19" s="27"/>
    </row>
    <row r="20" spans="2:8" x14ac:dyDescent="0.2">
      <c r="B20" s="28" t="s">
        <v>149</v>
      </c>
      <c r="C20" s="24" t="s">
        <v>150</v>
      </c>
      <c r="D20" s="24" t="s">
        <v>139</v>
      </c>
      <c r="E20" s="29">
        <v>1000</v>
      </c>
      <c r="F20" s="26">
        <v>67.430000000000007</v>
      </c>
      <c r="G20" s="26">
        <v>0.35</v>
      </c>
      <c r="H20" s="27"/>
    </row>
    <row r="21" spans="2:8" x14ac:dyDescent="0.2">
      <c r="B21" s="28" t="s">
        <v>99</v>
      </c>
      <c r="C21" s="24" t="s">
        <v>100</v>
      </c>
      <c r="D21" s="24" t="s">
        <v>101</v>
      </c>
      <c r="E21" s="29">
        <v>15700</v>
      </c>
      <c r="F21" s="26">
        <v>66.09</v>
      </c>
      <c r="G21" s="26">
        <v>0.34</v>
      </c>
      <c r="H21" s="27"/>
    </row>
    <row r="22" spans="2:8" x14ac:dyDescent="0.2">
      <c r="B22" s="28" t="s">
        <v>185</v>
      </c>
      <c r="C22" s="24" t="s">
        <v>186</v>
      </c>
      <c r="D22" s="24" t="s">
        <v>131</v>
      </c>
      <c r="E22" s="29">
        <v>5000</v>
      </c>
      <c r="F22" s="26">
        <v>64.98</v>
      </c>
      <c r="G22" s="26">
        <v>0.33</v>
      </c>
      <c r="H22" s="27"/>
    </row>
    <row r="23" spans="2:8" x14ac:dyDescent="0.2">
      <c r="B23" s="28" t="s">
        <v>63</v>
      </c>
      <c r="C23" s="24" t="s">
        <v>64</v>
      </c>
      <c r="D23" s="24" t="s">
        <v>65</v>
      </c>
      <c r="E23" s="29">
        <v>9400</v>
      </c>
      <c r="F23" s="26">
        <v>63.95</v>
      </c>
      <c r="G23" s="26">
        <v>0.33</v>
      </c>
      <c r="H23" s="27"/>
    </row>
    <row r="24" spans="2:8" x14ac:dyDescent="0.2">
      <c r="B24" s="28" t="s">
        <v>247</v>
      </c>
      <c r="C24" s="24" t="s">
        <v>248</v>
      </c>
      <c r="D24" s="24" t="s">
        <v>128</v>
      </c>
      <c r="E24" s="29">
        <v>12500</v>
      </c>
      <c r="F24" s="26">
        <v>62.59</v>
      </c>
      <c r="G24" s="26">
        <v>0.32</v>
      </c>
      <c r="H24" s="27"/>
    </row>
    <row r="25" spans="2:8" x14ac:dyDescent="0.2">
      <c r="B25" s="28" t="s">
        <v>78</v>
      </c>
      <c r="C25" s="24" t="s">
        <v>79</v>
      </c>
      <c r="D25" s="24" t="s">
        <v>46</v>
      </c>
      <c r="E25" s="29">
        <v>300</v>
      </c>
      <c r="F25" s="26">
        <v>60.77</v>
      </c>
      <c r="G25" s="26">
        <v>0.31</v>
      </c>
      <c r="H25" s="27"/>
    </row>
    <row r="26" spans="2:8" x14ac:dyDescent="0.2">
      <c r="B26" s="28" t="s">
        <v>290</v>
      </c>
      <c r="C26" s="24" t="s">
        <v>291</v>
      </c>
      <c r="D26" s="24" t="s">
        <v>218</v>
      </c>
      <c r="E26" s="29">
        <v>3000</v>
      </c>
      <c r="F26" s="26">
        <v>59.34</v>
      </c>
      <c r="G26" s="26">
        <v>0.3</v>
      </c>
      <c r="H26" s="27"/>
    </row>
    <row r="27" spans="2:8" x14ac:dyDescent="0.2">
      <c r="B27" s="28" t="s">
        <v>41</v>
      </c>
      <c r="C27" s="24" t="s">
        <v>42</v>
      </c>
      <c r="D27" s="24" t="s">
        <v>43</v>
      </c>
      <c r="E27" s="29">
        <v>165</v>
      </c>
      <c r="F27" s="26">
        <v>53.77</v>
      </c>
      <c r="G27" s="26">
        <v>0.28000000000000003</v>
      </c>
      <c r="H27" s="27"/>
    </row>
    <row r="28" spans="2:8" x14ac:dyDescent="0.2">
      <c r="B28" s="28" t="s">
        <v>50</v>
      </c>
      <c r="C28" s="24" t="s">
        <v>51</v>
      </c>
      <c r="D28" s="24" t="s">
        <v>52</v>
      </c>
      <c r="E28" s="29">
        <v>20330</v>
      </c>
      <c r="F28" s="26">
        <v>52.1</v>
      </c>
      <c r="G28" s="26">
        <v>0.27</v>
      </c>
      <c r="H28" s="27"/>
    </row>
    <row r="29" spans="2:8" x14ac:dyDescent="0.2">
      <c r="B29" s="28" t="s">
        <v>132</v>
      </c>
      <c r="C29" s="24" t="s">
        <v>133</v>
      </c>
      <c r="D29" s="24" t="s">
        <v>90</v>
      </c>
      <c r="E29" s="29">
        <v>4000</v>
      </c>
      <c r="F29" s="26">
        <v>50.73</v>
      </c>
      <c r="G29" s="26">
        <v>0.26</v>
      </c>
      <c r="H29" s="27"/>
    </row>
    <row r="30" spans="2:8" x14ac:dyDescent="0.2">
      <c r="B30" s="28" t="s">
        <v>80</v>
      </c>
      <c r="C30" s="24" t="s">
        <v>81</v>
      </c>
      <c r="D30" s="24" t="s">
        <v>62</v>
      </c>
      <c r="E30" s="29">
        <v>22000</v>
      </c>
      <c r="F30" s="26">
        <v>48.54</v>
      </c>
      <c r="G30" s="26">
        <v>0.25</v>
      </c>
      <c r="H30" s="27"/>
    </row>
    <row r="31" spans="2:8" x14ac:dyDescent="0.2">
      <c r="B31" s="28" t="s">
        <v>274</v>
      </c>
      <c r="C31" s="24" t="s">
        <v>275</v>
      </c>
      <c r="D31" s="24" t="s">
        <v>128</v>
      </c>
      <c r="E31" s="29">
        <v>28000</v>
      </c>
      <c r="F31" s="26">
        <v>48.08</v>
      </c>
      <c r="G31" s="26">
        <v>0.25</v>
      </c>
      <c r="H31" s="27"/>
    </row>
    <row r="32" spans="2:8" x14ac:dyDescent="0.2">
      <c r="B32" s="28" t="s">
        <v>60</v>
      </c>
      <c r="C32" s="24" t="s">
        <v>61</v>
      </c>
      <c r="D32" s="24" t="s">
        <v>62</v>
      </c>
      <c r="E32" s="29">
        <v>15000</v>
      </c>
      <c r="F32" s="26">
        <v>46.26</v>
      </c>
      <c r="G32" s="26">
        <v>0.24</v>
      </c>
      <c r="H32" s="27"/>
    </row>
    <row r="33" spans="2:10" x14ac:dyDescent="0.2">
      <c r="B33" s="28" t="s">
        <v>170</v>
      </c>
      <c r="C33" s="24" t="s">
        <v>171</v>
      </c>
      <c r="D33" s="24" t="s">
        <v>172</v>
      </c>
      <c r="E33" s="29">
        <v>750</v>
      </c>
      <c r="F33" s="26">
        <v>45.84</v>
      </c>
      <c r="G33" s="26">
        <v>0.24</v>
      </c>
      <c r="H33" s="27"/>
    </row>
    <row r="34" spans="2:10" x14ac:dyDescent="0.2">
      <c r="B34" s="28" t="s">
        <v>175</v>
      </c>
      <c r="C34" s="24" t="s">
        <v>176</v>
      </c>
      <c r="D34" s="24" t="s">
        <v>121</v>
      </c>
      <c r="E34" s="29">
        <v>3200</v>
      </c>
      <c r="F34" s="26">
        <v>42.83</v>
      </c>
      <c r="G34" s="26">
        <v>0.22</v>
      </c>
      <c r="H34" s="27"/>
    </row>
    <row r="35" spans="2:10" x14ac:dyDescent="0.2">
      <c r="B35" s="28" t="s">
        <v>233</v>
      </c>
      <c r="C35" s="24" t="s">
        <v>234</v>
      </c>
      <c r="D35" s="24" t="s">
        <v>136</v>
      </c>
      <c r="E35" s="29">
        <v>800</v>
      </c>
      <c r="F35" s="26">
        <v>41.5</v>
      </c>
      <c r="G35" s="26">
        <v>0.21</v>
      </c>
      <c r="H35" s="27"/>
    </row>
    <row r="36" spans="2:10" x14ac:dyDescent="0.2">
      <c r="B36" s="28" t="s">
        <v>693</v>
      </c>
      <c r="C36" s="24" t="s">
        <v>694</v>
      </c>
      <c r="D36" s="24" t="s">
        <v>128</v>
      </c>
      <c r="E36" s="29">
        <v>7700</v>
      </c>
      <c r="F36" s="26">
        <v>39.31</v>
      </c>
      <c r="G36" s="26">
        <v>0.2</v>
      </c>
      <c r="H36" s="27"/>
    </row>
    <row r="37" spans="2:10" x14ac:dyDescent="0.2">
      <c r="B37" s="28" t="s">
        <v>68</v>
      </c>
      <c r="C37" s="24" t="s">
        <v>69</v>
      </c>
      <c r="D37" s="24" t="s">
        <v>62</v>
      </c>
      <c r="E37" s="29">
        <v>10000</v>
      </c>
      <c r="F37" s="26">
        <v>38.68</v>
      </c>
      <c r="G37" s="26">
        <v>0.2</v>
      </c>
      <c r="H37" s="27"/>
    </row>
    <row r="38" spans="2:10" x14ac:dyDescent="0.2">
      <c r="B38" s="28" t="s">
        <v>200</v>
      </c>
      <c r="C38" s="24" t="s">
        <v>201</v>
      </c>
      <c r="D38" s="24" t="s">
        <v>128</v>
      </c>
      <c r="E38" s="29">
        <v>1870</v>
      </c>
      <c r="F38" s="26">
        <v>37.15</v>
      </c>
      <c r="G38" s="26">
        <v>0.19</v>
      </c>
      <c r="H38" s="27"/>
    </row>
    <row r="39" spans="2:10" x14ac:dyDescent="0.2">
      <c r="B39" s="28" t="s">
        <v>144</v>
      </c>
      <c r="C39" s="24" t="s">
        <v>145</v>
      </c>
      <c r="D39" s="24" t="s">
        <v>139</v>
      </c>
      <c r="E39" s="29">
        <v>6000</v>
      </c>
      <c r="F39" s="26">
        <v>36.47</v>
      </c>
      <c r="G39" s="26">
        <v>0.19</v>
      </c>
      <c r="H39" s="27"/>
    </row>
    <row r="40" spans="2:10" x14ac:dyDescent="0.2">
      <c r="B40" s="28" t="s">
        <v>95</v>
      </c>
      <c r="C40" s="24" t="s">
        <v>96</v>
      </c>
      <c r="D40" s="24" t="s">
        <v>46</v>
      </c>
      <c r="E40" s="29">
        <v>900</v>
      </c>
      <c r="F40" s="26">
        <v>36.450000000000003</v>
      </c>
      <c r="G40" s="26">
        <v>0.19</v>
      </c>
      <c r="H40" s="27"/>
    </row>
    <row r="41" spans="2:10" x14ac:dyDescent="0.2">
      <c r="B41" s="28" t="s">
        <v>187</v>
      </c>
      <c r="C41" s="24" t="s">
        <v>188</v>
      </c>
      <c r="D41" s="24" t="s">
        <v>65</v>
      </c>
      <c r="E41" s="29">
        <v>1600</v>
      </c>
      <c r="F41" s="26">
        <v>35.15</v>
      </c>
      <c r="G41" s="26">
        <v>0.18</v>
      </c>
      <c r="H41" s="27"/>
    </row>
    <row r="42" spans="2:10" x14ac:dyDescent="0.2">
      <c r="B42" s="28" t="s">
        <v>153</v>
      </c>
      <c r="C42" s="24" t="s">
        <v>154</v>
      </c>
      <c r="D42" s="24" t="s">
        <v>128</v>
      </c>
      <c r="E42" s="29">
        <v>620</v>
      </c>
      <c r="F42" s="26">
        <v>23.55</v>
      </c>
      <c r="G42" s="26">
        <v>0.12</v>
      </c>
      <c r="H42" s="27"/>
    </row>
    <row r="43" spans="2:10" x14ac:dyDescent="0.2">
      <c r="B43" s="28" t="s">
        <v>164</v>
      </c>
      <c r="C43" s="24" t="s">
        <v>165</v>
      </c>
      <c r="D43" s="24" t="s">
        <v>65</v>
      </c>
      <c r="E43" s="29">
        <v>1800</v>
      </c>
      <c r="F43" s="26">
        <v>21.62</v>
      </c>
      <c r="G43" s="26">
        <v>0.11</v>
      </c>
      <c r="H43" s="27"/>
    </row>
    <row r="44" spans="2:10" x14ac:dyDescent="0.2">
      <c r="B44" s="28" t="s">
        <v>216</v>
      </c>
      <c r="C44" s="24" t="s">
        <v>217</v>
      </c>
      <c r="D44" s="24" t="s">
        <v>218</v>
      </c>
      <c r="E44" s="29">
        <v>700</v>
      </c>
      <c r="F44" s="26">
        <v>15.42</v>
      </c>
      <c r="G44" s="26">
        <v>0.08</v>
      </c>
      <c r="H44" s="27"/>
    </row>
    <row r="45" spans="2:10" x14ac:dyDescent="0.2">
      <c r="B45" s="28" t="s">
        <v>191</v>
      </c>
      <c r="C45" s="24" t="s">
        <v>192</v>
      </c>
      <c r="D45" s="24" t="s">
        <v>131</v>
      </c>
      <c r="E45" s="29">
        <v>1121</v>
      </c>
      <c r="F45" s="26">
        <v>9.5</v>
      </c>
      <c r="G45" s="26">
        <v>0.05</v>
      </c>
      <c r="H45" s="27"/>
    </row>
    <row r="46" spans="2:10" x14ac:dyDescent="0.2">
      <c r="B46" s="30" t="s">
        <v>110</v>
      </c>
      <c r="C46" s="31"/>
      <c r="D46" s="31"/>
      <c r="E46" s="32"/>
      <c r="F46" s="33">
        <f>SUM(F7:F45)</f>
        <v>3188.86</v>
      </c>
      <c r="G46" s="33">
        <f>SUM(G7:G45)</f>
        <v>16.399999999999999</v>
      </c>
      <c r="H46" s="34"/>
      <c r="I46" s="14"/>
      <c r="J46" s="14"/>
    </row>
    <row r="47" spans="2:10" x14ac:dyDescent="0.2">
      <c r="B47" s="38" t="s">
        <v>111</v>
      </c>
      <c r="C47" s="38"/>
      <c r="D47" s="38"/>
      <c r="E47" s="39"/>
      <c r="F47" s="40">
        <f>F46</f>
        <v>3188.86</v>
      </c>
      <c r="G47" s="40">
        <f>G46</f>
        <v>16.399999999999999</v>
      </c>
      <c r="H47" s="16"/>
      <c r="I47" s="14"/>
      <c r="J47" s="14"/>
    </row>
    <row r="48" spans="2:10" x14ac:dyDescent="0.2">
      <c r="B48" s="47" t="s">
        <v>340</v>
      </c>
      <c r="C48" s="42"/>
      <c r="D48" s="42"/>
      <c r="E48" s="43"/>
      <c r="F48" s="44"/>
      <c r="G48" s="44"/>
      <c r="H48" s="44"/>
    </row>
    <row r="49" spans="2:10" x14ac:dyDescent="0.2">
      <c r="B49" s="48" t="s">
        <v>31</v>
      </c>
      <c r="C49" s="24"/>
      <c r="D49" s="24"/>
      <c r="E49" s="25"/>
      <c r="F49" s="26"/>
      <c r="G49" s="26"/>
      <c r="H49" s="26"/>
    </row>
    <row r="50" spans="2:10" x14ac:dyDescent="0.2">
      <c r="B50" s="24" t="s">
        <v>398</v>
      </c>
      <c r="C50" s="24" t="s">
        <v>399</v>
      </c>
      <c r="D50" s="24" t="s">
        <v>343</v>
      </c>
      <c r="E50" s="29">
        <v>150</v>
      </c>
      <c r="F50" s="26">
        <v>1576.11</v>
      </c>
      <c r="G50" s="26">
        <v>8.1</v>
      </c>
      <c r="H50" s="26">
        <v>4.53</v>
      </c>
    </row>
    <row r="51" spans="2:10" x14ac:dyDescent="0.2">
      <c r="B51" s="24" t="s">
        <v>481</v>
      </c>
      <c r="C51" s="24" t="s">
        <v>482</v>
      </c>
      <c r="D51" s="24" t="s">
        <v>343</v>
      </c>
      <c r="E51" s="29">
        <v>150</v>
      </c>
      <c r="F51" s="26">
        <v>1573.43</v>
      </c>
      <c r="G51" s="26">
        <v>8.08</v>
      </c>
      <c r="H51" s="26">
        <v>4.6100000000000003</v>
      </c>
    </row>
    <row r="52" spans="2:10" x14ac:dyDescent="0.2">
      <c r="B52" s="24" t="s">
        <v>751</v>
      </c>
      <c r="C52" s="24" t="s">
        <v>752</v>
      </c>
      <c r="D52" s="24" t="s">
        <v>343</v>
      </c>
      <c r="E52" s="29">
        <v>150</v>
      </c>
      <c r="F52" s="26">
        <v>1564.28</v>
      </c>
      <c r="G52" s="26">
        <v>8.0399999999999991</v>
      </c>
      <c r="H52" s="26">
        <v>4.84</v>
      </c>
    </row>
    <row r="53" spans="2:10" x14ac:dyDescent="0.2">
      <c r="B53" s="24" t="s">
        <v>410</v>
      </c>
      <c r="C53" s="24" t="s">
        <v>411</v>
      </c>
      <c r="D53" s="24" t="s">
        <v>343</v>
      </c>
      <c r="E53" s="29">
        <v>140</v>
      </c>
      <c r="F53" s="26">
        <v>1473.24</v>
      </c>
      <c r="G53" s="26">
        <v>7.57</v>
      </c>
      <c r="H53" s="26">
        <v>4.4400000000000004</v>
      </c>
    </row>
    <row r="54" spans="2:10" x14ac:dyDescent="0.2">
      <c r="B54" s="24" t="s">
        <v>657</v>
      </c>
      <c r="C54" s="24" t="s">
        <v>658</v>
      </c>
      <c r="D54" s="24" t="s">
        <v>343</v>
      </c>
      <c r="E54" s="29">
        <v>100</v>
      </c>
      <c r="F54" s="26">
        <v>1052.19</v>
      </c>
      <c r="G54" s="26">
        <v>5.41</v>
      </c>
      <c r="H54" s="26">
        <v>4.76</v>
      </c>
    </row>
    <row r="55" spans="2:10" x14ac:dyDescent="0.2">
      <c r="B55" s="24" t="s">
        <v>647</v>
      </c>
      <c r="C55" s="24" t="s">
        <v>648</v>
      </c>
      <c r="D55" s="24" t="s">
        <v>343</v>
      </c>
      <c r="E55" s="29">
        <v>100</v>
      </c>
      <c r="F55" s="26">
        <v>1027.48</v>
      </c>
      <c r="G55" s="26">
        <v>5.28</v>
      </c>
      <c r="H55" s="26">
        <v>4.6100000000000003</v>
      </c>
    </row>
    <row r="56" spans="2:10" x14ac:dyDescent="0.2">
      <c r="B56" s="31" t="s">
        <v>110</v>
      </c>
      <c r="C56" s="31"/>
      <c r="D56" s="31"/>
      <c r="E56" s="32"/>
      <c r="F56" s="33">
        <f>SUM(F49:F55)</f>
        <v>8266.73</v>
      </c>
      <c r="G56" s="33">
        <f>SUM(G49:G55)</f>
        <v>42.480000000000004</v>
      </c>
      <c r="H56" s="49"/>
      <c r="I56" s="14"/>
      <c r="J56" s="14"/>
    </row>
    <row r="57" spans="2:10" x14ac:dyDescent="0.2">
      <c r="B57" s="50" t="s">
        <v>111</v>
      </c>
      <c r="C57" s="50"/>
      <c r="D57" s="50"/>
      <c r="E57" s="51"/>
      <c r="F57" s="52">
        <f>F56</f>
        <v>8266.73</v>
      </c>
      <c r="G57" s="52">
        <f>G56</f>
        <v>42.480000000000004</v>
      </c>
      <c r="H57" s="52"/>
      <c r="I57" s="14"/>
      <c r="J57" s="14"/>
    </row>
    <row r="58" spans="2:10" x14ac:dyDescent="0.2">
      <c r="B58" s="48" t="s">
        <v>412</v>
      </c>
      <c r="C58" s="24"/>
      <c r="D58" s="24"/>
      <c r="E58" s="25"/>
      <c r="F58" s="26"/>
      <c r="G58" s="26"/>
      <c r="H58" s="26"/>
    </row>
    <row r="59" spans="2:10" x14ac:dyDescent="0.2">
      <c r="B59" s="24" t="s">
        <v>665</v>
      </c>
      <c r="C59" s="24" t="s">
        <v>666</v>
      </c>
      <c r="D59" s="24" t="s">
        <v>415</v>
      </c>
      <c r="E59" s="29">
        <v>4200000</v>
      </c>
      <c r="F59" s="26">
        <v>4411.18</v>
      </c>
      <c r="G59" s="26">
        <v>22.67</v>
      </c>
      <c r="H59" s="26">
        <v>4.7</v>
      </c>
    </row>
    <row r="60" spans="2:10" x14ac:dyDescent="0.2">
      <c r="B60" s="24" t="s">
        <v>541</v>
      </c>
      <c r="C60" s="24" t="s">
        <v>542</v>
      </c>
      <c r="D60" s="24" t="s">
        <v>415</v>
      </c>
      <c r="E60" s="29">
        <v>2200000</v>
      </c>
      <c r="F60" s="26">
        <v>2319.42</v>
      </c>
      <c r="G60" s="26">
        <v>11.92</v>
      </c>
      <c r="H60" s="26">
        <v>4.7</v>
      </c>
    </row>
    <row r="61" spans="2:10" x14ac:dyDescent="0.2">
      <c r="B61" s="53" t="s">
        <v>753</v>
      </c>
      <c r="C61" s="53" t="s">
        <v>754</v>
      </c>
      <c r="D61" s="53" t="s">
        <v>415</v>
      </c>
      <c r="E61" s="54">
        <v>220000</v>
      </c>
      <c r="F61" s="55">
        <v>234.17</v>
      </c>
      <c r="G61" s="55">
        <v>1.2</v>
      </c>
      <c r="H61" s="55">
        <v>4.37</v>
      </c>
    </row>
    <row r="62" spans="2:10" x14ac:dyDescent="0.2">
      <c r="B62" s="56" t="s">
        <v>111</v>
      </c>
      <c r="C62" s="56"/>
      <c r="D62" s="56"/>
      <c r="E62" s="57"/>
      <c r="F62" s="58">
        <f>SUM(F59:F61)</f>
        <v>6964.77</v>
      </c>
      <c r="G62" s="58">
        <f>SUM(G59:G61)</f>
        <v>35.790000000000006</v>
      </c>
      <c r="H62" s="58"/>
      <c r="I62" s="14"/>
      <c r="J62" s="14"/>
    </row>
    <row r="63" spans="2:10" x14ac:dyDescent="0.2">
      <c r="B63" s="48" t="s">
        <v>112</v>
      </c>
      <c r="C63" s="24"/>
      <c r="D63" s="24"/>
      <c r="E63" s="25"/>
      <c r="F63" s="26"/>
      <c r="G63" s="26"/>
      <c r="H63" s="26"/>
    </row>
    <row r="64" spans="2:10" x14ac:dyDescent="0.2">
      <c r="B64" s="24" t="s">
        <v>112</v>
      </c>
      <c r="C64" s="24"/>
      <c r="D64" s="24"/>
      <c r="E64" s="25"/>
      <c r="F64" s="26">
        <v>657.22</v>
      </c>
      <c r="G64" s="26">
        <v>3.38</v>
      </c>
      <c r="H64" s="26"/>
    </row>
    <row r="65" spans="2:10" x14ac:dyDescent="0.2">
      <c r="B65" s="31" t="s">
        <v>110</v>
      </c>
      <c r="C65" s="31"/>
      <c r="D65" s="31"/>
      <c r="E65" s="32"/>
      <c r="F65" s="33">
        <f>SUM(F63:F64)</f>
        <v>657.22</v>
      </c>
      <c r="G65" s="33">
        <f>SUM(G63:G64)</f>
        <v>3.38</v>
      </c>
      <c r="H65" s="49"/>
      <c r="I65" s="14"/>
      <c r="J65" s="14"/>
    </row>
    <row r="66" spans="2:10" x14ac:dyDescent="0.2">
      <c r="B66" s="35" t="s">
        <v>111</v>
      </c>
      <c r="C66" s="35"/>
      <c r="D66" s="35"/>
      <c r="E66" s="36"/>
      <c r="F66" s="37">
        <f>F65</f>
        <v>657.22</v>
      </c>
      <c r="G66" s="37">
        <f>G65</f>
        <v>3.38</v>
      </c>
      <c r="H66" s="37"/>
      <c r="I66" s="14"/>
      <c r="J66" s="14"/>
    </row>
    <row r="67" spans="2:10" x14ac:dyDescent="0.2">
      <c r="B67" s="45" t="s">
        <v>114</v>
      </c>
      <c r="C67" s="45"/>
      <c r="D67" s="45"/>
      <c r="E67" s="46"/>
      <c r="F67" s="17">
        <f>F68-(+F47+F57+F62+F66)</f>
        <v>384.64999999999782</v>
      </c>
      <c r="G67" s="17">
        <f>G68-(+G47+G57+G62+G66)</f>
        <v>1.9499999999999886</v>
      </c>
      <c r="H67" s="17"/>
      <c r="I67" s="14"/>
      <c r="J67" s="14"/>
    </row>
    <row r="68" spans="2:10" x14ac:dyDescent="0.2">
      <c r="B68" s="45" t="s">
        <v>113</v>
      </c>
      <c r="C68" s="45"/>
      <c r="D68" s="45"/>
      <c r="E68" s="46"/>
      <c r="F68" s="17">
        <v>19462.23</v>
      </c>
      <c r="G68" s="17">
        <v>100</v>
      </c>
      <c r="H68" s="17"/>
      <c r="I68" s="14"/>
      <c r="J68" s="14"/>
    </row>
    <row r="70" spans="2:10" x14ac:dyDescent="0.2">
      <c r="B70" s="14" t="s">
        <v>755</v>
      </c>
    </row>
    <row r="71" spans="2:10" x14ac:dyDescent="0.2">
      <c r="B71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CRI</vt:lpstr>
      <vt:lpstr>CREDF</vt:lpstr>
      <vt:lpstr>CRETSF</vt:lpstr>
      <vt:lpstr>CREE</vt:lpstr>
      <vt:lpstr>CRCTF</vt:lpstr>
      <vt:lpstr>CRBCEF</vt:lpstr>
      <vt:lpstr>CRSCF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CRCPOF9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2020-10-09T05:46:30Z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CLAPUBLIC</vt:lpwstr>
  </property>
</Properties>
</file>