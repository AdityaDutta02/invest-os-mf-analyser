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une 2022\"/>
    </mc:Choice>
  </mc:AlternateContent>
  <bookViews>
    <workbookView xWindow="0" yWindow="0" windowWidth="20490" windowHeight="7050"/>
  </bookViews>
  <sheets>
    <sheet name="M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9" i="1" l="1"/>
  <c r="G88" i="1"/>
  <c r="G89" i="1" s="1"/>
  <c r="F88" i="1"/>
  <c r="G85" i="1"/>
  <c r="F85" i="1"/>
  <c r="G67" i="1"/>
  <c r="G68" i="1" s="1"/>
  <c r="F67" i="1"/>
  <c r="F68" i="1" s="1"/>
  <c r="G47" i="1"/>
  <c r="G48" i="1" s="1"/>
  <c r="F47" i="1"/>
  <c r="F48" i="1" s="1"/>
  <c r="F90" i="1" s="1"/>
  <c r="G90" i="1" l="1"/>
</calcChain>
</file>

<file path=xl/sharedStrings.xml><?xml version="1.0" encoding="utf-8"?>
<sst xmlns="http://schemas.openxmlformats.org/spreadsheetml/2006/main" count="284" uniqueCount="198">
  <si>
    <t>CANARA ROBECO CONSERVATIVE HYBRID FUND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</si>
  <si>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</si>
  <si>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</si>
  <si>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</si>
  <si>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</si>
  <si>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</si>
  <si>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</si>
  <si>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</si>
  <si>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</si>
  <si>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Market Capitalization</t>
  </si>
  <si>
    <t>Scheme Risk-o-meter Level- Jun'22</t>
  </si>
  <si>
    <t>Benchmark Risk-o-meter Level- Jun'22</t>
  </si>
  <si>
    <t>Previous Scheme Risk-o-meter Level- May'22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</si>
  <si>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</si>
  <si>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</si>
  <si>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</si>
  <si>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</si>
  <si>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</si>
  <si>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</si>
  <si>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</si>
  <si>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</si>
  <si>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Reliance Industries Ltd</t>
  </si>
  <si>
    <t>INE002A01018</t>
  </si>
  <si>
    <t>Petroleum Products</t>
  </si>
  <si>
    <t>Infosys Ltd</t>
  </si>
  <si>
    <t>INE009A01021</t>
  </si>
  <si>
    <t>IT - Software</t>
  </si>
  <si>
    <t>State Bank of India</t>
  </si>
  <si>
    <t>INE062A01020</t>
  </si>
  <si>
    <t>Apollo Hospitals Enterprise Ltd</t>
  </si>
  <si>
    <t>INE437A01024</t>
  </si>
  <si>
    <t>Healthcare Services</t>
  </si>
  <si>
    <t>Maruti Suzuki India Ltd</t>
  </si>
  <si>
    <t>INE585B01010</t>
  </si>
  <si>
    <t>Automobiles</t>
  </si>
  <si>
    <t>Benchmark: CRISIL Hybrid 85+15 - Conservative Index</t>
  </si>
  <si>
    <t>Axis Bank Ltd</t>
  </si>
  <si>
    <t>INE238A01034</t>
  </si>
  <si>
    <t>ITC Ltd</t>
  </si>
  <si>
    <t>INE154A01025</t>
  </si>
  <si>
    <t>Diversified Fmcg</t>
  </si>
  <si>
    <t>NTPC Ltd</t>
  </si>
  <si>
    <t>INE733E01010</t>
  </si>
  <si>
    <t>Power</t>
  </si>
  <si>
    <t>Vinati Organics Ltd</t>
  </si>
  <si>
    <t>INE410B01037</t>
  </si>
  <si>
    <t>Chemicals &amp; Petrochemicals</t>
  </si>
  <si>
    <t>Mid Cap</t>
  </si>
  <si>
    <t>SBI Life Insurance Co Ltd</t>
  </si>
  <si>
    <t>INE123W01016</t>
  </si>
  <si>
    <t>Insurance</t>
  </si>
  <si>
    <t>J.B. Chemicals &amp; Pharmaceuticals Ltd</t>
  </si>
  <si>
    <t>INE572A01028</t>
  </si>
  <si>
    <t>Pharmaceuticals &amp; Biotechnology</t>
  </si>
  <si>
    <t>Small Cap</t>
  </si>
  <si>
    <t>Schaeffler India Ltd</t>
  </si>
  <si>
    <t>INE513A01022</t>
  </si>
  <si>
    <t>Auto Components</t>
  </si>
  <si>
    <t>Bajaj Finance Ltd</t>
  </si>
  <si>
    <t>INE296A01024</t>
  </si>
  <si>
    <t>Finance</t>
  </si>
  <si>
    <t>Suven Pharmaceuticals Ltd</t>
  </si>
  <si>
    <t>INE03QK01018</t>
  </si>
  <si>
    <t>Thermax Ltd</t>
  </si>
  <si>
    <t>INE152A01029</t>
  </si>
  <si>
    <t>Electrical Equipment</t>
  </si>
  <si>
    <t>Gland Pharma Ltd</t>
  </si>
  <si>
    <t>INE068V01023</t>
  </si>
  <si>
    <t>Minda Industries Ltd</t>
  </si>
  <si>
    <t>INE405E01023</t>
  </si>
  <si>
    <t>Century Textile &amp; Industries Ltd</t>
  </si>
  <si>
    <t>INE055A01016</t>
  </si>
  <si>
    <t>Paper, Forest &amp; Jute Products</t>
  </si>
  <si>
    <t>Mphasis Ltd</t>
  </si>
  <si>
    <t>INE356A01018</t>
  </si>
  <si>
    <t>Varun Beverages Ltd</t>
  </si>
  <si>
    <t>INE200M01013</t>
  </si>
  <si>
    <t>Beverages</t>
  </si>
  <si>
    <t>Larsen &amp; Toubro Ltd</t>
  </si>
  <si>
    <t>INE018A01030</t>
  </si>
  <si>
    <t>Construction</t>
  </si>
  <si>
    <t>United Spirits Ltd</t>
  </si>
  <si>
    <t>INE854D01024</t>
  </si>
  <si>
    <t>Atul Ltd</t>
  </si>
  <si>
    <t>INE100A01010</t>
  </si>
  <si>
    <t>GAIL (India) Ltd</t>
  </si>
  <si>
    <t>INE129A01019</t>
  </si>
  <si>
    <t>Gas</t>
  </si>
  <si>
    <t>Sona Blw Precision Forgings Ltd</t>
  </si>
  <si>
    <t>INE073K01018</t>
  </si>
  <si>
    <t>Tata Consultancy Services Ltd</t>
  </si>
  <si>
    <t>INE467B01029</t>
  </si>
  <si>
    <t>Brigade Enterprises Ltd</t>
  </si>
  <si>
    <t>INE791I01019</t>
  </si>
  <si>
    <t>Realty</t>
  </si>
  <si>
    <t>Westlife Development Ltd</t>
  </si>
  <si>
    <t>INE274F01020</t>
  </si>
  <si>
    <t>Leisure Services</t>
  </si>
  <si>
    <t>Bharti Airtel Ltd</t>
  </si>
  <si>
    <t>INE397D01024</t>
  </si>
  <si>
    <t>Telecom - Services</t>
  </si>
  <si>
    <t>CG Power and Industrial Solutions Ltd</t>
  </si>
  <si>
    <t>INE067A01029</t>
  </si>
  <si>
    <t>TCI Express Ltd</t>
  </si>
  <si>
    <t>INE586V01016</t>
  </si>
  <si>
    <t>Transport Services</t>
  </si>
  <si>
    <t>Avenue Supermarts Ltd</t>
  </si>
  <si>
    <t>INE192R01011</t>
  </si>
  <si>
    <t>Retailing</t>
  </si>
  <si>
    <t>Bharat Forge Ltd</t>
  </si>
  <si>
    <t>INE465A01025</t>
  </si>
  <si>
    <t>Industrial Products</t>
  </si>
  <si>
    <t>Hindustan Unilever Ltd</t>
  </si>
  <si>
    <t>INE030A01027</t>
  </si>
  <si>
    <t>Max Financial Services Ltd</t>
  </si>
  <si>
    <t>INE180A01020</t>
  </si>
  <si>
    <t>Prudent Corporate Advisory Services Ltd</t>
  </si>
  <si>
    <t>INE00F201020</t>
  </si>
  <si>
    <t>Capital Markets</t>
  </si>
  <si>
    <t>Tata Consumer Products Ltd</t>
  </si>
  <si>
    <t>INE192A01025</t>
  </si>
  <si>
    <t>Agricultural Food &amp; Other Products</t>
  </si>
  <si>
    <t>Bharti Airtel Ltd - Partly Paid</t>
  </si>
  <si>
    <t>IN9397D01014</t>
  </si>
  <si>
    <t>Sub Total</t>
  </si>
  <si>
    <t>Total</t>
  </si>
  <si>
    <t>Debt Instruments</t>
  </si>
  <si>
    <t>7.5549% HDB FINANCIAL SERVICES 20-JAN-23 **</t>
  </si>
  <si>
    <t>INE756I07CZ2</t>
  </si>
  <si>
    <t>CRISIL AAA</t>
  </si>
  <si>
    <t>7.69% National Bank For Agriculture &amp; Rural Development (29/05/2024)</t>
  </si>
  <si>
    <t>INE261F08BK1</t>
  </si>
  <si>
    <t>8.50% National Bank For Agriculture &amp; Rural Development (31/01/2023) **</t>
  </si>
  <si>
    <t>INE261F08AT4</t>
  </si>
  <si>
    <t>7.28% Housing Development Finance Corporation Ltd (26/09/2022) **</t>
  </si>
  <si>
    <t>INE001A07RZ8</t>
  </si>
  <si>
    <t>4.95% Housing Development Finance Corporation Ltd (09/09/2022) **</t>
  </si>
  <si>
    <t>INE001A07SQ5</t>
  </si>
  <si>
    <t>7.50% Housing Development Finance Corporation Ltd (08/01/2025) **</t>
  </si>
  <si>
    <t>INE001A07SE1</t>
  </si>
  <si>
    <t>5.4022% BAJAJ FINANCE LTD 10-APR-23 **</t>
  </si>
  <si>
    <t>INE296A07RQ3</t>
  </si>
  <si>
    <t>5.70% Bajaj Finance Ltd (11/08/2023) **</t>
  </si>
  <si>
    <t>INE296A07RG4</t>
  </si>
  <si>
    <t>5.32% LIC Housing Finance Ltd (30/11/2023) **</t>
  </si>
  <si>
    <t>INE115A07PO4</t>
  </si>
  <si>
    <t>CARE AAA</t>
  </si>
  <si>
    <t>5.39% Sundaram Finance Ltd (21/06/2024) **</t>
  </si>
  <si>
    <t>INE660A07QX8</t>
  </si>
  <si>
    <t>ICRA AAA</t>
  </si>
  <si>
    <t>7.35% Power Finance Corporation Ltd (15/10/2022) **</t>
  </si>
  <si>
    <t>INE134E08KG2</t>
  </si>
  <si>
    <t>7.33% LIC Housing Finance Ltd (12/02/2025) **</t>
  </si>
  <si>
    <t>INE115A07OS8</t>
  </si>
  <si>
    <t>7.99% Housing Development Finance Corporation Ltd (11/07/2024) **</t>
  </si>
  <si>
    <t>INE001A07RV7</t>
  </si>
  <si>
    <t>7.45% REC Ltd (30/11/2022)</t>
  </si>
  <si>
    <t>INE020B08AP1</t>
  </si>
  <si>
    <t>7.40% LIC Housing Finance Ltd (06/09/2024) **</t>
  </si>
  <si>
    <t>INE115A07ML7</t>
  </si>
  <si>
    <t>8.79% LIC Housing Finance Ltd (05/03/2024) **</t>
  </si>
  <si>
    <t>INE115A07NY8</t>
  </si>
  <si>
    <t>Government Bonds</t>
  </si>
  <si>
    <t>5.63% GOI (12/04/2026)</t>
  </si>
  <si>
    <t>IN0020210012</t>
  </si>
  <si>
    <t>Sovereign</t>
  </si>
  <si>
    <t>5.74% GOI (15/11/2026)</t>
  </si>
  <si>
    <t>IN0020210186</t>
  </si>
  <si>
    <t>7.32% GOI (28/01/2024)</t>
  </si>
  <si>
    <t>IN0020180488</t>
  </si>
  <si>
    <t>6.54% GOI 17-JAN-32</t>
  </si>
  <si>
    <t>IN0020210244</t>
  </si>
  <si>
    <t>7.35% INDIA GOVERNMENT 22-JUN-24</t>
  </si>
  <si>
    <t>IN0020090034</t>
  </si>
  <si>
    <t>7.59% GOI (11/01/2026)</t>
  </si>
  <si>
    <t>IN0020150093</t>
  </si>
  <si>
    <t>6.69% GOI 27-JUN-24</t>
  </si>
  <si>
    <t>IN0020220052</t>
  </si>
  <si>
    <t>4.48% GOI (02/11/2023)</t>
  </si>
  <si>
    <t>IN0020200211</t>
  </si>
  <si>
    <t>7.38% GOI 20-JUN-27</t>
  </si>
  <si>
    <t>IN0020220037</t>
  </si>
  <si>
    <t>5.22% INDIA GOVERNMENT 15-JUN-25</t>
  </si>
  <si>
    <t>IN0020200112</t>
  </si>
  <si>
    <t>6.30% INDIA GOVERNMENT 09-APR-23</t>
  </si>
  <si>
    <t>IN0020030014</t>
  </si>
  <si>
    <t>9.25% MAHARASHTRA SDL 09-OCT-23</t>
  </si>
  <si>
    <t>IN2220130099</t>
  </si>
  <si>
    <t>8.06% HARYANA SDL 04-JUL-22</t>
  </si>
  <si>
    <t>IN1620160128</t>
  </si>
  <si>
    <t>4.56% GOI 29-NOV-23</t>
  </si>
  <si>
    <t>IN0020210210</t>
  </si>
  <si>
    <t>7.72% GOI (26/10/2055)</t>
  </si>
  <si>
    <t>IN0020150077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</si>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</sst>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4" fontId="7" fillId="3" borderId="5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7" xfId="0" applyFont="1" applyFill="1" applyBorder="1"/>
    <xf numFmtId="0" fontId="3" fillId="3" borderId="8" xfId="0" applyFont="1" applyFill="1" applyBorder="1"/>
    <xf numFmtId="0" fontId="3" fillId="3" borderId="8" xfId="0" applyNumberFormat="1" applyFont="1" applyFill="1" applyBorder="1"/>
    <xf numFmtId="4" fontId="3" fillId="3" borderId="8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/>
    <xf numFmtId="43" fontId="3" fillId="3" borderId="0" xfId="1" applyFont="1" applyFill="1" applyBorder="1"/>
    <xf numFmtId="43" fontId="3" fillId="3" borderId="6" xfId="1" applyFont="1" applyFill="1" applyBorder="1" applyAlignment="1">
      <alignment horizontal="center"/>
    </xf>
    <xf numFmtId="0" fontId="9" fillId="3" borderId="11" xfId="0" applyFont="1" applyFill="1" applyBorder="1"/>
    <xf numFmtId="0" fontId="3" fillId="3" borderId="12" xfId="0" applyFont="1" applyFill="1" applyBorder="1"/>
    <xf numFmtId="0" fontId="3" fillId="3" borderId="12" xfId="0" applyNumberFormat="1" applyFont="1" applyFill="1" applyBorder="1"/>
    <xf numFmtId="4" fontId="3" fillId="3" borderId="12" xfId="0" applyNumberFormat="1" applyFont="1" applyFill="1" applyBorder="1"/>
    <xf numFmtId="4" fontId="3" fillId="3" borderId="13" xfId="0" applyNumberFormat="1" applyFont="1" applyFill="1" applyBorder="1"/>
    <xf numFmtId="0" fontId="3" fillId="3" borderId="11" xfId="0" applyFont="1" applyFill="1" applyBorder="1"/>
    <xf numFmtId="3" fontId="3" fillId="3" borderId="12" xfId="0" applyNumberFormat="1" applyFont="1" applyFill="1" applyBorder="1"/>
    <xf numFmtId="43" fontId="3" fillId="3" borderId="14" xfId="1" applyFont="1" applyFill="1" applyBorder="1"/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4" fontId="9" fillId="3" borderId="0" xfId="0" applyNumberFormat="1" applyFont="1" applyFill="1"/>
    <xf numFmtId="0" fontId="9" fillId="3" borderId="20" xfId="0" applyFont="1" applyFill="1" applyBorder="1"/>
    <xf numFmtId="0" fontId="3" fillId="3" borderId="20" xfId="0" applyFont="1" applyFill="1" applyBorder="1"/>
    <xf numFmtId="0" fontId="3" fillId="3" borderId="20" xfId="0" applyNumberFormat="1" applyFont="1" applyFill="1" applyBorder="1"/>
    <xf numFmtId="4" fontId="3" fillId="3" borderId="20" xfId="0" applyNumberFormat="1" applyFont="1" applyFill="1" applyBorder="1"/>
    <xf numFmtId="0" fontId="9" fillId="3" borderId="12" xfId="0" applyFont="1" applyFill="1" applyBorder="1"/>
    <xf numFmtId="4" fontId="9" fillId="3" borderId="16" xfId="0" applyNumberFormat="1" applyFont="1" applyFill="1" applyBorder="1"/>
    <xf numFmtId="0" fontId="9" fillId="3" borderId="21" xfId="0" applyFont="1" applyFill="1" applyBorder="1"/>
    <xf numFmtId="0" fontId="9" fillId="3" borderId="21" xfId="0" applyNumberFormat="1" applyFont="1" applyFill="1" applyBorder="1"/>
    <xf numFmtId="4" fontId="9" fillId="3" borderId="21" xfId="0" applyNumberFormat="1" applyFont="1" applyFill="1" applyBorder="1"/>
    <xf numFmtId="0" fontId="3" fillId="3" borderId="22" xfId="0" applyFont="1" applyFill="1" applyBorder="1"/>
    <xf numFmtId="3" fontId="3" fillId="3" borderId="22" xfId="0" applyNumberFormat="1" applyFont="1" applyFill="1" applyBorder="1"/>
    <xf numFmtId="4" fontId="3" fillId="3" borderId="22" xfId="0" applyNumberFormat="1" applyFont="1" applyFill="1" applyBorder="1"/>
    <xf numFmtId="0" fontId="9" fillId="3" borderId="23" xfId="0" applyFont="1" applyFill="1" applyBorder="1"/>
    <xf numFmtId="0" fontId="9" fillId="3" borderId="23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9" fillId="3" borderId="6" xfId="0" applyFont="1" applyFill="1" applyBorder="1"/>
    <xf numFmtId="0" fontId="9" fillId="3" borderId="6" xfId="0" applyNumberFormat="1" applyFont="1" applyFill="1" applyBorder="1"/>
    <xf numFmtId="4" fontId="9" fillId="3" borderId="6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45906</xdr:colOff>
      <xdr:row>4</xdr:row>
      <xdr:rowOff>78842</xdr:rowOff>
    </xdr:from>
    <xdr:to>
      <xdr:col>11</xdr:col>
      <xdr:colOff>1638300</xdr:colOff>
      <xdr:row>11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86041B-0890-4FB7-801C-7D8FD39E3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14231" y="1088492"/>
          <a:ext cx="1592394" cy="1083207"/>
        </a:xfrm>
        <a:prstGeom prst="rect">
          <a:avLst/>
        </a:prstGeom>
      </xdr:spPr>
    </xdr:pic>
    <xdr:clientData/>
  </xdr:twoCellAnchor>
  <xdr:oneCellAnchor>
    <xdr:from>
      <xdr:col>10</xdr:col>
      <xdr:colOff>66675</xdr:colOff>
      <xdr:row>4</xdr:row>
      <xdr:rowOff>87291</xdr:rowOff>
    </xdr:from>
    <xdr:ext cx="1606290" cy="1008083"/>
    <xdr:pic>
      <xdr:nvPicPr>
        <xdr:cNvPr id="3" name="Picture 2">
          <a:extLst>
            <a:ext uri="{FF2B5EF4-FFF2-40B4-BE49-F238E27FC236}">
              <a16:creationId xmlns:a16="http://schemas.microsoft.com/office/drawing/2014/main" id="{D38C4FB2-7CF6-4827-884E-6DBC945BE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96675" y="1096941"/>
          <a:ext cx="1606290" cy="1008083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4</xdr:row>
      <xdr:rowOff>76200</xdr:rowOff>
    </xdr:from>
    <xdr:ext cx="1606290" cy="1065233"/>
    <xdr:pic>
      <xdr:nvPicPr>
        <xdr:cNvPr id="4" name="Picture 3">
          <a:extLst>
            <a:ext uri="{FF2B5EF4-FFF2-40B4-BE49-F238E27FC236}">
              <a16:creationId xmlns:a16="http://schemas.microsoft.com/office/drawing/2014/main" id="{844398FD-099B-470F-A102-32314EA9F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63800" y="1085850"/>
          <a:ext cx="1606290" cy="10652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3"/>
  <sheetViews>
    <sheetView tabSelected="1" workbookViewId="0">
      <selection activeCell="I1" sqref="I1"/>
    </sheetView>
  </sheetViews>
  <sheetFormatPr defaultRowHeight="12"/>
  <cols>
    <col min="1" max="1" width="9.140625" style="4"/>
    <col min="2" max="2" width="60.28515625" style="4" bestFit="1" customWidth="1"/>
    <col min="3" max="3" width="13.5703125" style="4" bestFit="1" customWidth="1"/>
    <col min="4" max="4" width="28.42578125" style="4" bestFit="1" customWidth="1"/>
    <col min="5" max="5" width="8.85546875" style="65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12.85546875" style="3" customWidth="1"/>
    <col min="10" max="10" width="9" style="3" customWidth="1"/>
    <col min="11" max="11" width="27.5703125" style="3" customWidth="1"/>
    <col min="12" max="12" width="27.85546875" style="3" customWidth="1"/>
    <col min="13" max="13" width="26.28515625" style="3" customWidth="1"/>
    <col min="14" max="16384" width="9.140625" style="4"/>
  </cols>
  <sheetData>
    <row r="1" spans="2:13" ht="21" customHeight="1">
      <c r="B1" s="1" t="s">
        <v>0</v>
      </c>
      <c r="C1" s="2"/>
      <c r="D1" s="2"/>
      <c r="E1" s="2"/>
      <c r="F1" s="2"/>
      <c r="G1" s="2"/>
      <c r="H1" s="2"/>
    </row>
    <row r="3" spans="2:13" ht="16.5" thickBot="1">
      <c r="B3" s="5" t="s">
        <v>1</v>
      </c>
      <c r="C3" s="6"/>
      <c r="D3" s="7"/>
      <c r="E3" s="8"/>
      <c r="F3" s="9"/>
      <c r="G3" s="9"/>
    </row>
    <row r="4" spans="2:13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I4" s="16" t="s">
        <v>9</v>
      </c>
      <c r="K4" s="17" t="s">
        <v>10</v>
      </c>
      <c r="L4" s="17" t="s">
        <v>11</v>
      </c>
      <c r="M4" s="17" t="s">
        <v>12</v>
      </c>
    </row>
    <row r="5" spans="2:13">
      <c r="B5" s="18" t="s">
        <v>13</v>
      </c>
      <c r="C5" s="19"/>
      <c r="D5" s="19"/>
      <c r="E5" s="20"/>
      <c r="F5" s="21"/>
      <c r="G5" s="21"/>
      <c r="H5" s="22"/>
      <c r="I5" s="23"/>
      <c r="J5" s="24"/>
      <c r="K5" s="25"/>
      <c r="L5" s="25"/>
      <c r="M5" s="25"/>
    </row>
    <row r="6" spans="2:13">
      <c r="B6" s="26" t="s">
        <v>14</v>
      </c>
      <c r="C6" s="27"/>
      <c r="D6" s="27"/>
      <c r="E6" s="28"/>
      <c r="F6" s="29"/>
      <c r="G6" s="29"/>
      <c r="H6" s="30"/>
      <c r="I6" s="23"/>
      <c r="J6" s="24"/>
      <c r="K6" s="25"/>
      <c r="L6" s="25"/>
      <c r="M6" s="25"/>
    </row>
    <row r="7" spans="2:13">
      <c r="B7" s="31" t="s">
        <v>15</v>
      </c>
      <c r="C7" s="27" t="s">
        <v>16</v>
      </c>
      <c r="D7" s="27" t="s">
        <v>17</v>
      </c>
      <c r="E7" s="32">
        <v>317914</v>
      </c>
      <c r="F7" s="29">
        <v>2248.29</v>
      </c>
      <c r="G7" s="29">
        <v>2.0099999999999998</v>
      </c>
      <c r="H7" s="30"/>
      <c r="I7" s="23" t="s">
        <v>18</v>
      </c>
      <c r="J7" s="24"/>
      <c r="K7" s="25"/>
      <c r="L7" s="25"/>
      <c r="M7" s="25"/>
    </row>
    <row r="8" spans="2:13">
      <c r="B8" s="31" t="s">
        <v>19</v>
      </c>
      <c r="C8" s="27" t="s">
        <v>20</v>
      </c>
      <c r="D8" s="27" t="s">
        <v>17</v>
      </c>
      <c r="E8" s="32">
        <v>152032</v>
      </c>
      <c r="F8" s="29">
        <v>2049.39</v>
      </c>
      <c r="G8" s="29">
        <v>1.83</v>
      </c>
      <c r="H8" s="30"/>
      <c r="I8" s="23" t="s">
        <v>18</v>
      </c>
      <c r="K8" s="25"/>
      <c r="L8" s="25"/>
      <c r="M8" s="25"/>
    </row>
    <row r="9" spans="2:13">
      <c r="B9" s="31" t="s">
        <v>21</v>
      </c>
      <c r="C9" s="27" t="s">
        <v>22</v>
      </c>
      <c r="D9" s="27" t="s">
        <v>23</v>
      </c>
      <c r="E9" s="32">
        <v>71154</v>
      </c>
      <c r="F9" s="29">
        <v>1846.91</v>
      </c>
      <c r="G9" s="29">
        <v>1.65</v>
      </c>
      <c r="H9" s="30"/>
      <c r="I9" s="23" t="s">
        <v>18</v>
      </c>
      <c r="K9" s="25"/>
      <c r="L9" s="25"/>
      <c r="M9" s="25"/>
    </row>
    <row r="10" spans="2:13">
      <c r="B10" s="31" t="s">
        <v>24</v>
      </c>
      <c r="C10" s="27" t="s">
        <v>25</v>
      </c>
      <c r="D10" s="27" t="s">
        <v>26</v>
      </c>
      <c r="E10" s="32">
        <v>116920</v>
      </c>
      <c r="F10" s="29">
        <v>1709.25</v>
      </c>
      <c r="G10" s="29">
        <v>1.53</v>
      </c>
      <c r="H10" s="30"/>
      <c r="I10" s="23" t="s">
        <v>18</v>
      </c>
      <c r="K10" s="25"/>
      <c r="L10" s="25"/>
      <c r="M10" s="25"/>
    </row>
    <row r="11" spans="2:13">
      <c r="B11" s="31" t="s">
        <v>27</v>
      </c>
      <c r="C11" s="27" t="s">
        <v>28</v>
      </c>
      <c r="D11" s="27" t="s">
        <v>17</v>
      </c>
      <c r="E11" s="32">
        <v>275000</v>
      </c>
      <c r="F11" s="29">
        <v>1281.23</v>
      </c>
      <c r="G11" s="29">
        <v>1.1499999999999999</v>
      </c>
      <c r="H11" s="30"/>
      <c r="I11" s="23" t="s">
        <v>18</v>
      </c>
      <c r="K11" s="25"/>
      <c r="L11" s="25"/>
      <c r="M11" s="25"/>
    </row>
    <row r="12" spans="2:13">
      <c r="B12" s="31" t="s">
        <v>29</v>
      </c>
      <c r="C12" s="27" t="s">
        <v>30</v>
      </c>
      <c r="D12" s="27" t="s">
        <v>31</v>
      </c>
      <c r="E12" s="32">
        <v>24500</v>
      </c>
      <c r="F12" s="29">
        <v>902.46</v>
      </c>
      <c r="G12" s="29">
        <v>0.81</v>
      </c>
      <c r="H12" s="30"/>
      <c r="I12" s="23" t="s">
        <v>18</v>
      </c>
      <c r="K12" s="25"/>
      <c r="L12" s="25"/>
      <c r="M12" s="25"/>
    </row>
    <row r="13" spans="2:13">
      <c r="B13" s="31" t="s">
        <v>32</v>
      </c>
      <c r="C13" s="27" t="s">
        <v>33</v>
      </c>
      <c r="D13" s="27" t="s">
        <v>34</v>
      </c>
      <c r="E13" s="32">
        <v>10500</v>
      </c>
      <c r="F13" s="29">
        <v>889.43</v>
      </c>
      <c r="G13" s="29">
        <v>0.8</v>
      </c>
      <c r="H13" s="30"/>
      <c r="I13" s="23" t="s">
        <v>18</v>
      </c>
      <c r="L13" s="3" t="s">
        <v>35</v>
      </c>
    </row>
    <row r="14" spans="2:13">
      <c r="B14" s="31" t="s">
        <v>36</v>
      </c>
      <c r="C14" s="27" t="s">
        <v>37</v>
      </c>
      <c r="D14" s="27" t="s">
        <v>17</v>
      </c>
      <c r="E14" s="32">
        <v>136062</v>
      </c>
      <c r="F14" s="29">
        <v>866.44</v>
      </c>
      <c r="G14" s="29">
        <v>0.78</v>
      </c>
      <c r="H14" s="30"/>
      <c r="I14" s="23" t="s">
        <v>18</v>
      </c>
    </row>
    <row r="15" spans="2:13">
      <c r="B15" s="31" t="s">
        <v>38</v>
      </c>
      <c r="C15" s="27" t="s">
        <v>39</v>
      </c>
      <c r="D15" s="27" t="s">
        <v>40</v>
      </c>
      <c r="E15" s="32">
        <v>300000</v>
      </c>
      <c r="F15" s="29">
        <v>820.5</v>
      </c>
      <c r="G15" s="29">
        <v>0.73</v>
      </c>
      <c r="H15" s="30"/>
      <c r="I15" s="23" t="s">
        <v>18</v>
      </c>
    </row>
    <row r="16" spans="2:13">
      <c r="B16" s="31" t="s">
        <v>41</v>
      </c>
      <c r="C16" s="27" t="s">
        <v>42</v>
      </c>
      <c r="D16" s="27" t="s">
        <v>43</v>
      </c>
      <c r="E16" s="32">
        <v>450000</v>
      </c>
      <c r="F16" s="29">
        <v>643.04999999999995</v>
      </c>
      <c r="G16" s="29">
        <v>0.57999999999999996</v>
      </c>
      <c r="H16" s="30"/>
      <c r="I16" s="23" t="s">
        <v>18</v>
      </c>
    </row>
    <row r="17" spans="2:9">
      <c r="B17" s="31" t="s">
        <v>44</v>
      </c>
      <c r="C17" s="27" t="s">
        <v>45</v>
      </c>
      <c r="D17" s="27" t="s">
        <v>46</v>
      </c>
      <c r="E17" s="32">
        <v>30000</v>
      </c>
      <c r="F17" s="29">
        <v>594.87</v>
      </c>
      <c r="G17" s="29">
        <v>0.53</v>
      </c>
      <c r="H17" s="30"/>
      <c r="I17" s="23" t="s">
        <v>47</v>
      </c>
    </row>
    <row r="18" spans="2:9">
      <c r="B18" s="31" t="s">
        <v>48</v>
      </c>
      <c r="C18" s="27" t="s">
        <v>49</v>
      </c>
      <c r="D18" s="27" t="s">
        <v>50</v>
      </c>
      <c r="E18" s="32">
        <v>50000</v>
      </c>
      <c r="F18" s="29">
        <v>540.79999999999995</v>
      </c>
      <c r="G18" s="29">
        <v>0.48</v>
      </c>
      <c r="H18" s="30"/>
      <c r="I18" s="23" t="s">
        <v>18</v>
      </c>
    </row>
    <row r="19" spans="2:9">
      <c r="B19" s="31" t="s">
        <v>51</v>
      </c>
      <c r="C19" s="27" t="s">
        <v>52</v>
      </c>
      <c r="D19" s="27" t="s">
        <v>53</v>
      </c>
      <c r="E19" s="32">
        <v>33000</v>
      </c>
      <c r="F19" s="29">
        <v>518.97</v>
      </c>
      <c r="G19" s="29">
        <v>0.46</v>
      </c>
      <c r="H19" s="30"/>
      <c r="I19" s="23" t="s">
        <v>54</v>
      </c>
    </row>
    <row r="20" spans="2:9">
      <c r="B20" s="31" t="s">
        <v>55</v>
      </c>
      <c r="C20" s="27" t="s">
        <v>56</v>
      </c>
      <c r="D20" s="27" t="s">
        <v>57</v>
      </c>
      <c r="E20" s="32">
        <v>22500</v>
      </c>
      <c r="F20" s="29">
        <v>515.36</v>
      </c>
      <c r="G20" s="29">
        <v>0.46</v>
      </c>
      <c r="H20" s="30"/>
      <c r="I20" s="23" t="s">
        <v>47</v>
      </c>
    </row>
    <row r="21" spans="2:9">
      <c r="B21" s="31" t="s">
        <v>58</v>
      </c>
      <c r="C21" s="27" t="s">
        <v>59</v>
      </c>
      <c r="D21" s="27" t="s">
        <v>60</v>
      </c>
      <c r="E21" s="32">
        <v>9000</v>
      </c>
      <c r="F21" s="29">
        <v>486.05</v>
      </c>
      <c r="G21" s="29">
        <v>0.43</v>
      </c>
      <c r="H21" s="30"/>
      <c r="I21" s="23" t="s">
        <v>18</v>
      </c>
    </row>
    <row r="22" spans="2:9">
      <c r="B22" s="31" t="s">
        <v>61</v>
      </c>
      <c r="C22" s="27" t="s">
        <v>62</v>
      </c>
      <c r="D22" s="27" t="s">
        <v>53</v>
      </c>
      <c r="E22" s="32">
        <v>102000</v>
      </c>
      <c r="F22" s="29">
        <v>471.55</v>
      </c>
      <c r="G22" s="29">
        <v>0.42</v>
      </c>
      <c r="H22" s="30"/>
      <c r="I22" s="23" t="s">
        <v>54</v>
      </c>
    </row>
    <row r="23" spans="2:9">
      <c r="B23" s="31" t="s">
        <v>63</v>
      </c>
      <c r="C23" s="27" t="s">
        <v>64</v>
      </c>
      <c r="D23" s="27" t="s">
        <v>65</v>
      </c>
      <c r="E23" s="32">
        <v>20000</v>
      </c>
      <c r="F23" s="29">
        <v>419.43</v>
      </c>
      <c r="G23" s="29">
        <v>0.38</v>
      </c>
      <c r="H23" s="30"/>
      <c r="I23" s="23" t="s">
        <v>47</v>
      </c>
    </row>
    <row r="24" spans="2:9">
      <c r="B24" s="31" t="s">
        <v>66</v>
      </c>
      <c r="C24" s="27" t="s">
        <v>67</v>
      </c>
      <c r="D24" s="27" t="s">
        <v>53</v>
      </c>
      <c r="E24" s="32">
        <v>15370</v>
      </c>
      <c r="F24" s="29">
        <v>415.25</v>
      </c>
      <c r="G24" s="29">
        <v>0.37</v>
      </c>
      <c r="H24" s="30"/>
      <c r="I24" s="23" t="s">
        <v>18</v>
      </c>
    </row>
    <row r="25" spans="2:9">
      <c r="B25" s="31" t="s">
        <v>68</v>
      </c>
      <c r="C25" s="27" t="s">
        <v>69</v>
      </c>
      <c r="D25" s="27" t="s">
        <v>57</v>
      </c>
      <c r="E25" s="32">
        <v>44500</v>
      </c>
      <c r="F25" s="29">
        <v>410.8</v>
      </c>
      <c r="G25" s="29">
        <v>0.37</v>
      </c>
      <c r="H25" s="30"/>
      <c r="I25" s="23" t="s">
        <v>47</v>
      </c>
    </row>
    <row r="26" spans="2:9">
      <c r="B26" s="31" t="s">
        <v>70</v>
      </c>
      <c r="C26" s="27" t="s">
        <v>71</v>
      </c>
      <c r="D26" s="27" t="s">
        <v>72</v>
      </c>
      <c r="E26" s="32">
        <v>50000</v>
      </c>
      <c r="F26" s="29">
        <v>402.85</v>
      </c>
      <c r="G26" s="29">
        <v>0.36</v>
      </c>
      <c r="H26" s="30"/>
      <c r="I26" s="23" t="s">
        <v>54</v>
      </c>
    </row>
    <row r="27" spans="2:9">
      <c r="B27" s="31" t="s">
        <v>73</v>
      </c>
      <c r="C27" s="27" t="s">
        <v>74</v>
      </c>
      <c r="D27" s="27" t="s">
        <v>26</v>
      </c>
      <c r="E27" s="32">
        <v>17500</v>
      </c>
      <c r="F27" s="29">
        <v>401.46</v>
      </c>
      <c r="G27" s="29">
        <v>0.36</v>
      </c>
      <c r="H27" s="30"/>
      <c r="I27" s="23" t="s">
        <v>18</v>
      </c>
    </row>
    <row r="28" spans="2:9">
      <c r="B28" s="31" t="s">
        <v>75</v>
      </c>
      <c r="C28" s="27" t="s">
        <v>76</v>
      </c>
      <c r="D28" s="27" t="s">
        <v>77</v>
      </c>
      <c r="E28" s="32">
        <v>50000</v>
      </c>
      <c r="F28" s="29">
        <v>395.28</v>
      </c>
      <c r="G28" s="29">
        <v>0.35</v>
      </c>
      <c r="H28" s="30"/>
      <c r="I28" s="23" t="s">
        <v>47</v>
      </c>
    </row>
    <row r="29" spans="2:9">
      <c r="B29" s="31" t="s">
        <v>78</v>
      </c>
      <c r="C29" s="27" t="s">
        <v>79</v>
      </c>
      <c r="D29" s="27" t="s">
        <v>80</v>
      </c>
      <c r="E29" s="32">
        <v>25000</v>
      </c>
      <c r="F29" s="29">
        <v>389.56</v>
      </c>
      <c r="G29" s="29">
        <v>0.35</v>
      </c>
      <c r="H29" s="30"/>
      <c r="I29" s="23" t="s">
        <v>18</v>
      </c>
    </row>
    <row r="30" spans="2:9">
      <c r="B30" s="31" t="s">
        <v>81</v>
      </c>
      <c r="C30" s="27" t="s">
        <v>82</v>
      </c>
      <c r="D30" s="27" t="s">
        <v>77</v>
      </c>
      <c r="E30" s="32">
        <v>50000</v>
      </c>
      <c r="F30" s="29">
        <v>379.88</v>
      </c>
      <c r="G30" s="29">
        <v>0.34</v>
      </c>
      <c r="H30" s="30"/>
      <c r="I30" s="23" t="s">
        <v>18</v>
      </c>
    </row>
    <row r="31" spans="2:9">
      <c r="B31" s="31" t="s">
        <v>83</v>
      </c>
      <c r="C31" s="27" t="s">
        <v>84</v>
      </c>
      <c r="D31" s="27" t="s">
        <v>46</v>
      </c>
      <c r="E31" s="32">
        <v>4604</v>
      </c>
      <c r="F31" s="29">
        <v>369.74</v>
      </c>
      <c r="G31" s="29">
        <v>0.33</v>
      </c>
      <c r="H31" s="30"/>
      <c r="I31" s="23" t="s">
        <v>47</v>
      </c>
    </row>
    <row r="32" spans="2:9">
      <c r="B32" s="31" t="s">
        <v>85</v>
      </c>
      <c r="C32" s="27" t="s">
        <v>86</v>
      </c>
      <c r="D32" s="27" t="s">
        <v>87</v>
      </c>
      <c r="E32" s="32">
        <v>272706</v>
      </c>
      <c r="F32" s="29">
        <v>368.7</v>
      </c>
      <c r="G32" s="29">
        <v>0.33</v>
      </c>
      <c r="H32" s="30"/>
      <c r="I32" s="23" t="s">
        <v>18</v>
      </c>
    </row>
    <row r="33" spans="2:9">
      <c r="B33" s="31" t="s">
        <v>88</v>
      </c>
      <c r="C33" s="27" t="s">
        <v>89</v>
      </c>
      <c r="D33" s="27" t="s">
        <v>57</v>
      </c>
      <c r="E33" s="32">
        <v>65588</v>
      </c>
      <c r="F33" s="29">
        <v>363.23</v>
      </c>
      <c r="G33" s="29">
        <v>0.33</v>
      </c>
      <c r="H33" s="30"/>
      <c r="I33" s="23" t="s">
        <v>47</v>
      </c>
    </row>
    <row r="34" spans="2:9">
      <c r="B34" s="31" t="s">
        <v>90</v>
      </c>
      <c r="C34" s="27" t="s">
        <v>91</v>
      </c>
      <c r="D34" s="27" t="s">
        <v>26</v>
      </c>
      <c r="E34" s="32">
        <v>11019</v>
      </c>
      <c r="F34" s="29">
        <v>360</v>
      </c>
      <c r="G34" s="29">
        <v>0.32</v>
      </c>
      <c r="H34" s="30"/>
      <c r="I34" s="23" t="s">
        <v>18</v>
      </c>
    </row>
    <row r="35" spans="2:9">
      <c r="B35" s="31" t="s">
        <v>92</v>
      </c>
      <c r="C35" s="27" t="s">
        <v>93</v>
      </c>
      <c r="D35" s="27" t="s">
        <v>94</v>
      </c>
      <c r="E35" s="32">
        <v>78500</v>
      </c>
      <c r="F35" s="29">
        <v>348.85</v>
      </c>
      <c r="G35" s="29">
        <v>0.31</v>
      </c>
      <c r="H35" s="30"/>
      <c r="I35" s="23" t="s">
        <v>54</v>
      </c>
    </row>
    <row r="36" spans="2:9">
      <c r="B36" s="31" t="s">
        <v>95</v>
      </c>
      <c r="C36" s="27" t="s">
        <v>96</v>
      </c>
      <c r="D36" s="27" t="s">
        <v>97</v>
      </c>
      <c r="E36" s="32">
        <v>70000</v>
      </c>
      <c r="F36" s="29">
        <v>348.11</v>
      </c>
      <c r="G36" s="29">
        <v>0.31</v>
      </c>
      <c r="H36" s="30"/>
      <c r="I36" s="23" t="s">
        <v>54</v>
      </c>
    </row>
    <row r="37" spans="2:9">
      <c r="B37" s="31" t="s">
        <v>98</v>
      </c>
      <c r="C37" s="27" t="s">
        <v>99</v>
      </c>
      <c r="D37" s="27" t="s">
        <v>100</v>
      </c>
      <c r="E37" s="32">
        <v>50000</v>
      </c>
      <c r="F37" s="29">
        <v>342.48</v>
      </c>
      <c r="G37" s="29">
        <v>0.31</v>
      </c>
      <c r="H37" s="30"/>
      <c r="I37" s="23" t="s">
        <v>18</v>
      </c>
    </row>
    <row r="38" spans="2:9">
      <c r="B38" s="31" t="s">
        <v>101</v>
      </c>
      <c r="C38" s="27" t="s">
        <v>102</v>
      </c>
      <c r="D38" s="27" t="s">
        <v>65</v>
      </c>
      <c r="E38" s="32">
        <v>174999</v>
      </c>
      <c r="F38" s="29">
        <v>335.39</v>
      </c>
      <c r="G38" s="29">
        <v>0.3</v>
      </c>
      <c r="H38" s="30"/>
      <c r="I38" s="23" t="s">
        <v>47</v>
      </c>
    </row>
    <row r="39" spans="2:9">
      <c r="B39" s="31" t="s">
        <v>103</v>
      </c>
      <c r="C39" s="27" t="s">
        <v>104</v>
      </c>
      <c r="D39" s="27" t="s">
        <v>105</v>
      </c>
      <c r="E39" s="32">
        <v>17966</v>
      </c>
      <c r="F39" s="29">
        <v>286.45</v>
      </c>
      <c r="G39" s="29">
        <v>0.26</v>
      </c>
      <c r="H39" s="30"/>
      <c r="I39" s="23" t="s">
        <v>54</v>
      </c>
    </row>
    <row r="40" spans="2:9">
      <c r="B40" s="31" t="s">
        <v>106</v>
      </c>
      <c r="C40" s="27" t="s">
        <v>107</v>
      </c>
      <c r="D40" s="27" t="s">
        <v>108</v>
      </c>
      <c r="E40" s="32">
        <v>8000</v>
      </c>
      <c r="F40" s="29">
        <v>272.49</v>
      </c>
      <c r="G40" s="29">
        <v>0.24</v>
      </c>
      <c r="H40" s="30"/>
      <c r="I40" s="23" t="s">
        <v>18</v>
      </c>
    </row>
    <row r="41" spans="2:9">
      <c r="B41" s="31" t="s">
        <v>109</v>
      </c>
      <c r="C41" s="27" t="s">
        <v>110</v>
      </c>
      <c r="D41" s="27" t="s">
        <v>111</v>
      </c>
      <c r="E41" s="32">
        <v>40000</v>
      </c>
      <c r="F41" s="29">
        <v>260.72000000000003</v>
      </c>
      <c r="G41" s="29">
        <v>0.23</v>
      </c>
      <c r="H41" s="30"/>
      <c r="I41" s="23" t="s">
        <v>47</v>
      </c>
    </row>
    <row r="42" spans="2:9">
      <c r="B42" s="31" t="s">
        <v>112</v>
      </c>
      <c r="C42" s="27" t="s">
        <v>113</v>
      </c>
      <c r="D42" s="27" t="s">
        <v>40</v>
      </c>
      <c r="E42" s="32">
        <v>9597</v>
      </c>
      <c r="F42" s="29">
        <v>214.07</v>
      </c>
      <c r="G42" s="29">
        <v>0.19</v>
      </c>
      <c r="H42" s="30"/>
      <c r="I42" s="23" t="s">
        <v>18</v>
      </c>
    </row>
    <row r="43" spans="2:9">
      <c r="B43" s="31" t="s">
        <v>114</v>
      </c>
      <c r="C43" s="27" t="s">
        <v>115</v>
      </c>
      <c r="D43" s="27" t="s">
        <v>50</v>
      </c>
      <c r="E43" s="32">
        <v>26525</v>
      </c>
      <c r="F43" s="29">
        <v>207.52</v>
      </c>
      <c r="G43" s="29">
        <v>0.19</v>
      </c>
      <c r="H43" s="30"/>
      <c r="I43" s="23" t="s">
        <v>47</v>
      </c>
    </row>
    <row r="44" spans="2:9">
      <c r="B44" s="31" t="s">
        <v>116</v>
      </c>
      <c r="C44" s="27" t="s">
        <v>117</v>
      </c>
      <c r="D44" s="27" t="s">
        <v>118</v>
      </c>
      <c r="E44" s="32">
        <v>41259</v>
      </c>
      <c r="F44" s="29">
        <v>205.39</v>
      </c>
      <c r="G44" s="29">
        <v>0.18</v>
      </c>
      <c r="H44" s="30"/>
      <c r="I44" s="23" t="s">
        <v>54</v>
      </c>
    </row>
    <row r="45" spans="2:9">
      <c r="B45" s="31" t="s">
        <v>119</v>
      </c>
      <c r="C45" s="27" t="s">
        <v>120</v>
      </c>
      <c r="D45" s="27" t="s">
        <v>121</v>
      </c>
      <c r="E45" s="32">
        <v>25000</v>
      </c>
      <c r="F45" s="29">
        <v>176.59</v>
      </c>
      <c r="G45" s="29">
        <v>0.16</v>
      </c>
      <c r="H45" s="30"/>
      <c r="I45" s="23" t="s">
        <v>18</v>
      </c>
    </row>
    <row r="46" spans="2:9" ht="12.75" thickBot="1">
      <c r="B46" s="31" t="s">
        <v>122</v>
      </c>
      <c r="C46" s="27" t="s">
        <v>123</v>
      </c>
      <c r="D46" s="27" t="s">
        <v>100</v>
      </c>
      <c r="E46" s="32">
        <v>3571</v>
      </c>
      <c r="F46" s="29">
        <v>10.8</v>
      </c>
      <c r="G46" s="29">
        <v>0.01</v>
      </c>
      <c r="H46" s="30"/>
      <c r="I46" s="33" t="s">
        <v>18</v>
      </c>
    </row>
    <row r="47" spans="2:9">
      <c r="B47" s="34" t="s">
        <v>124</v>
      </c>
      <c r="C47" s="35"/>
      <c r="D47" s="35"/>
      <c r="E47" s="36"/>
      <c r="F47" s="37">
        <f>SUM(F7:F46)</f>
        <v>24069.59</v>
      </c>
      <c r="G47" s="37">
        <f>SUM(G7:G46)</f>
        <v>21.53</v>
      </c>
      <c r="H47" s="38"/>
    </row>
    <row r="48" spans="2:9">
      <c r="B48" s="39" t="s">
        <v>125</v>
      </c>
      <c r="C48" s="39"/>
      <c r="D48" s="39"/>
      <c r="E48" s="40"/>
      <c r="F48" s="41">
        <f>F47</f>
        <v>24069.59</v>
      </c>
      <c r="G48" s="41">
        <f>G47</f>
        <v>21.53</v>
      </c>
      <c r="H48" s="42"/>
    </row>
    <row r="49" spans="2:8">
      <c r="B49" s="43" t="s">
        <v>126</v>
      </c>
      <c r="C49" s="44"/>
      <c r="D49" s="44"/>
      <c r="E49" s="45"/>
      <c r="F49" s="46"/>
      <c r="G49" s="46"/>
      <c r="H49" s="46"/>
    </row>
    <row r="50" spans="2:8">
      <c r="B50" s="47" t="s">
        <v>14</v>
      </c>
      <c r="C50" s="27"/>
      <c r="D50" s="27"/>
      <c r="E50" s="28"/>
      <c r="F50" s="29"/>
      <c r="G50" s="29"/>
      <c r="H50" s="29"/>
    </row>
    <row r="51" spans="2:8">
      <c r="B51" s="27" t="s">
        <v>127</v>
      </c>
      <c r="C51" s="27" t="s">
        <v>128</v>
      </c>
      <c r="D51" s="27" t="s">
        <v>129</v>
      </c>
      <c r="E51" s="32">
        <v>350</v>
      </c>
      <c r="F51" s="29">
        <v>3516.51</v>
      </c>
      <c r="G51" s="29">
        <v>3.15</v>
      </c>
      <c r="H51" s="29">
        <v>6.46</v>
      </c>
    </row>
    <row r="52" spans="2:8">
      <c r="B52" s="27" t="s">
        <v>130</v>
      </c>
      <c r="C52" s="27" t="s">
        <v>131</v>
      </c>
      <c r="D52" s="27" t="s">
        <v>129</v>
      </c>
      <c r="E52" s="32">
        <v>300</v>
      </c>
      <c r="F52" s="29">
        <v>3027.87</v>
      </c>
      <c r="G52" s="29">
        <v>2.71</v>
      </c>
      <c r="H52" s="29">
        <v>7.14</v>
      </c>
    </row>
    <row r="53" spans="2:8">
      <c r="B53" s="27" t="s">
        <v>132</v>
      </c>
      <c r="C53" s="27" t="s">
        <v>133</v>
      </c>
      <c r="D53" s="27" t="s">
        <v>129</v>
      </c>
      <c r="E53" s="32">
        <v>250</v>
      </c>
      <c r="F53" s="29">
        <v>2529.9699999999998</v>
      </c>
      <c r="G53" s="29">
        <v>2.2599999999999998</v>
      </c>
      <c r="H53" s="29">
        <v>6.17</v>
      </c>
    </row>
    <row r="54" spans="2:8">
      <c r="B54" s="27" t="s">
        <v>134</v>
      </c>
      <c r="C54" s="27" t="s">
        <v>135</v>
      </c>
      <c r="D54" s="27" t="s">
        <v>129</v>
      </c>
      <c r="E54" s="32">
        <v>250</v>
      </c>
      <c r="F54" s="29">
        <v>2509.36</v>
      </c>
      <c r="G54" s="29">
        <v>2.25</v>
      </c>
      <c r="H54" s="29">
        <v>5.39</v>
      </c>
    </row>
    <row r="55" spans="2:8">
      <c r="B55" s="27" t="s">
        <v>136</v>
      </c>
      <c r="C55" s="27" t="s">
        <v>137</v>
      </c>
      <c r="D55" s="27" t="s">
        <v>129</v>
      </c>
      <c r="E55" s="32">
        <v>250</v>
      </c>
      <c r="F55" s="29">
        <v>2497.09</v>
      </c>
      <c r="G55" s="29">
        <v>2.23</v>
      </c>
      <c r="H55" s="29">
        <v>5.35</v>
      </c>
    </row>
    <row r="56" spans="2:8">
      <c r="B56" s="27" t="s">
        <v>138</v>
      </c>
      <c r="C56" s="27" t="s">
        <v>139</v>
      </c>
      <c r="D56" s="27" t="s">
        <v>129</v>
      </c>
      <c r="E56" s="32">
        <v>250</v>
      </c>
      <c r="F56" s="29">
        <v>2494.69</v>
      </c>
      <c r="G56" s="29">
        <v>2.23</v>
      </c>
      <c r="H56" s="29">
        <v>7.57</v>
      </c>
    </row>
    <row r="57" spans="2:8">
      <c r="B57" s="27" t="s">
        <v>140</v>
      </c>
      <c r="C57" s="27" t="s">
        <v>141</v>
      </c>
      <c r="D57" s="27" t="s">
        <v>129</v>
      </c>
      <c r="E57" s="32">
        <v>250</v>
      </c>
      <c r="F57" s="29">
        <v>2473.21</v>
      </c>
      <c r="G57" s="29">
        <v>2.21</v>
      </c>
      <c r="H57" s="29">
        <v>6.78</v>
      </c>
    </row>
    <row r="58" spans="2:8">
      <c r="B58" s="27" t="s">
        <v>142</v>
      </c>
      <c r="C58" s="27" t="s">
        <v>143</v>
      </c>
      <c r="D58" s="27" t="s">
        <v>129</v>
      </c>
      <c r="E58" s="32">
        <v>250</v>
      </c>
      <c r="F58" s="29">
        <v>2468.1799999999998</v>
      </c>
      <c r="G58" s="29">
        <v>2.21</v>
      </c>
      <c r="H58" s="29">
        <v>6.91</v>
      </c>
    </row>
    <row r="59" spans="2:8">
      <c r="B59" s="27" t="s">
        <v>144</v>
      </c>
      <c r="C59" s="27" t="s">
        <v>145</v>
      </c>
      <c r="D59" s="27" t="s">
        <v>146</v>
      </c>
      <c r="E59" s="32">
        <v>250</v>
      </c>
      <c r="F59" s="29">
        <v>2444.2399999999998</v>
      </c>
      <c r="G59" s="29">
        <v>2.19</v>
      </c>
      <c r="H59" s="29">
        <v>7</v>
      </c>
    </row>
    <row r="60" spans="2:8">
      <c r="B60" s="27" t="s">
        <v>147</v>
      </c>
      <c r="C60" s="27" t="s">
        <v>148</v>
      </c>
      <c r="D60" s="27" t="s">
        <v>149</v>
      </c>
      <c r="E60" s="32">
        <v>250</v>
      </c>
      <c r="F60" s="29">
        <v>2412.4299999999998</v>
      </c>
      <c r="G60" s="29">
        <v>2.16</v>
      </c>
      <c r="H60" s="29">
        <v>7.36</v>
      </c>
    </row>
    <row r="61" spans="2:8">
      <c r="B61" s="27" t="s">
        <v>150</v>
      </c>
      <c r="C61" s="27" t="s">
        <v>151</v>
      </c>
      <c r="D61" s="27" t="s">
        <v>129</v>
      </c>
      <c r="E61" s="32">
        <v>200</v>
      </c>
      <c r="F61" s="29">
        <v>2008.6</v>
      </c>
      <c r="G61" s="29">
        <v>1.8</v>
      </c>
      <c r="H61" s="29">
        <v>5.56</v>
      </c>
    </row>
    <row r="62" spans="2:8">
      <c r="B62" s="27" t="s">
        <v>152</v>
      </c>
      <c r="C62" s="27" t="s">
        <v>153</v>
      </c>
      <c r="D62" s="27" t="s">
        <v>129</v>
      </c>
      <c r="E62" s="32">
        <v>200</v>
      </c>
      <c r="F62" s="29">
        <v>1987.71</v>
      </c>
      <c r="G62" s="29">
        <v>1.78</v>
      </c>
      <c r="H62" s="29">
        <v>7.57</v>
      </c>
    </row>
    <row r="63" spans="2:8">
      <c r="B63" s="27" t="s">
        <v>154</v>
      </c>
      <c r="C63" s="27" t="s">
        <v>155</v>
      </c>
      <c r="D63" s="27" t="s">
        <v>129</v>
      </c>
      <c r="E63" s="32">
        <v>100</v>
      </c>
      <c r="F63" s="29">
        <v>1012.51</v>
      </c>
      <c r="G63" s="29">
        <v>0.91</v>
      </c>
      <c r="H63" s="29">
        <v>7.3</v>
      </c>
    </row>
    <row r="64" spans="2:8">
      <c r="B64" s="27" t="s">
        <v>156</v>
      </c>
      <c r="C64" s="27" t="s">
        <v>157</v>
      </c>
      <c r="D64" s="27" t="s">
        <v>129</v>
      </c>
      <c r="E64" s="32">
        <v>100</v>
      </c>
      <c r="F64" s="29">
        <v>1005.13</v>
      </c>
      <c r="G64" s="29">
        <v>0.9</v>
      </c>
      <c r="H64" s="29">
        <v>5.93</v>
      </c>
    </row>
    <row r="65" spans="2:8">
      <c r="B65" s="27" t="s">
        <v>158</v>
      </c>
      <c r="C65" s="27" t="s">
        <v>159</v>
      </c>
      <c r="D65" s="27" t="s">
        <v>129</v>
      </c>
      <c r="E65" s="32">
        <v>100</v>
      </c>
      <c r="F65" s="29">
        <v>1000.88</v>
      </c>
      <c r="G65" s="29">
        <v>0.9</v>
      </c>
      <c r="H65" s="29">
        <v>7.33</v>
      </c>
    </row>
    <row r="66" spans="2:8">
      <c r="B66" s="27" t="s">
        <v>160</v>
      </c>
      <c r="C66" s="27" t="s">
        <v>161</v>
      </c>
      <c r="D66" s="27" t="s">
        <v>129</v>
      </c>
      <c r="E66" s="32">
        <v>50</v>
      </c>
      <c r="F66" s="29">
        <v>511.62</v>
      </c>
      <c r="G66" s="29">
        <v>0.46</v>
      </c>
      <c r="H66" s="29">
        <v>7.23</v>
      </c>
    </row>
    <row r="67" spans="2:8">
      <c r="B67" s="35" t="s">
        <v>124</v>
      </c>
      <c r="C67" s="35"/>
      <c r="D67" s="35"/>
      <c r="E67" s="36"/>
      <c r="F67" s="37">
        <f>SUM(F50:F66)</f>
        <v>33900</v>
      </c>
      <c r="G67" s="37">
        <f>SUM(G50:G66)</f>
        <v>30.35</v>
      </c>
      <c r="H67" s="48"/>
    </row>
    <row r="68" spans="2:8">
      <c r="B68" s="49" t="s">
        <v>125</v>
      </c>
      <c r="C68" s="49"/>
      <c r="D68" s="49"/>
      <c r="E68" s="50"/>
      <c r="F68" s="51">
        <f>F67</f>
        <v>33900</v>
      </c>
      <c r="G68" s="51">
        <f>G67</f>
        <v>30.35</v>
      </c>
      <c r="H68" s="51"/>
    </row>
    <row r="69" spans="2:8">
      <c r="B69" s="47" t="s">
        <v>162</v>
      </c>
      <c r="C69" s="27"/>
      <c r="D69" s="27"/>
      <c r="E69" s="28"/>
      <c r="F69" s="29"/>
      <c r="G69" s="29"/>
      <c r="H69" s="29"/>
    </row>
    <row r="70" spans="2:8">
      <c r="B70" s="27" t="s">
        <v>163</v>
      </c>
      <c r="C70" s="27" t="s">
        <v>164</v>
      </c>
      <c r="D70" s="27" t="s">
        <v>165</v>
      </c>
      <c r="E70" s="32">
        <v>7500000</v>
      </c>
      <c r="F70" s="29">
        <v>7135.75</v>
      </c>
      <c r="G70" s="29">
        <v>6.39</v>
      </c>
      <c r="H70" s="29">
        <v>7.11</v>
      </c>
    </row>
    <row r="71" spans="2:8">
      <c r="B71" s="27" t="s">
        <v>166</v>
      </c>
      <c r="C71" s="27" t="s">
        <v>167</v>
      </c>
      <c r="D71" s="27" t="s">
        <v>165</v>
      </c>
      <c r="E71" s="32">
        <v>7500000</v>
      </c>
      <c r="F71" s="29">
        <v>7102.31</v>
      </c>
      <c r="G71" s="29">
        <v>6.36</v>
      </c>
      <c r="H71" s="29">
        <v>7.17</v>
      </c>
    </row>
    <row r="72" spans="2:8">
      <c r="B72" s="27" t="s">
        <v>168</v>
      </c>
      <c r="C72" s="27" t="s">
        <v>169</v>
      </c>
      <c r="D72" s="27" t="s">
        <v>165</v>
      </c>
      <c r="E72" s="32">
        <v>5500000</v>
      </c>
      <c r="F72" s="29">
        <v>5562.73</v>
      </c>
      <c r="G72" s="29">
        <v>4.9800000000000004</v>
      </c>
      <c r="H72" s="29">
        <v>6.54</v>
      </c>
    </row>
    <row r="73" spans="2:8">
      <c r="B73" s="27" t="s">
        <v>170</v>
      </c>
      <c r="C73" s="27" t="s">
        <v>171</v>
      </c>
      <c r="D73" s="27" t="s">
        <v>165</v>
      </c>
      <c r="E73" s="32">
        <v>4500000</v>
      </c>
      <c r="F73" s="29">
        <v>4225.8599999999997</v>
      </c>
      <c r="G73" s="29">
        <v>3.78</v>
      </c>
      <c r="H73" s="29">
        <v>7.44</v>
      </c>
    </row>
    <row r="74" spans="2:8">
      <c r="B74" s="27" t="s">
        <v>172</v>
      </c>
      <c r="C74" s="27" t="s">
        <v>173</v>
      </c>
      <c r="D74" s="27" t="s">
        <v>165</v>
      </c>
      <c r="E74" s="32">
        <v>4000000</v>
      </c>
      <c r="F74" s="29">
        <v>4046.92</v>
      </c>
      <c r="G74" s="29">
        <v>3.62</v>
      </c>
      <c r="H74" s="29">
        <v>6.7</v>
      </c>
    </row>
    <row r="75" spans="2:8">
      <c r="B75" s="27" t="s">
        <v>174</v>
      </c>
      <c r="C75" s="27" t="s">
        <v>175</v>
      </c>
      <c r="D75" s="27" t="s">
        <v>165</v>
      </c>
      <c r="E75" s="32">
        <v>3000000</v>
      </c>
      <c r="F75" s="29">
        <v>3042.26</v>
      </c>
      <c r="G75" s="29">
        <v>2.72</v>
      </c>
      <c r="H75" s="29">
        <v>7.13</v>
      </c>
    </row>
    <row r="76" spans="2:8">
      <c r="B76" s="27" t="s">
        <v>176</v>
      </c>
      <c r="C76" s="27" t="s">
        <v>177</v>
      </c>
      <c r="D76" s="27" t="s">
        <v>165</v>
      </c>
      <c r="E76" s="32">
        <v>2500000</v>
      </c>
      <c r="F76" s="29">
        <v>2501.75</v>
      </c>
      <c r="G76" s="29">
        <v>2.2400000000000002</v>
      </c>
      <c r="H76" s="29">
        <v>6.65</v>
      </c>
    </row>
    <row r="77" spans="2:8">
      <c r="B77" s="27" t="s">
        <v>178</v>
      </c>
      <c r="C77" s="27" t="s">
        <v>179</v>
      </c>
      <c r="D77" s="27" t="s">
        <v>165</v>
      </c>
      <c r="E77" s="32">
        <v>2500000</v>
      </c>
      <c r="F77" s="29">
        <v>2439</v>
      </c>
      <c r="G77" s="29">
        <v>2.1800000000000002</v>
      </c>
      <c r="H77" s="29">
        <v>6.41</v>
      </c>
    </row>
    <row r="78" spans="2:8">
      <c r="B78" s="27" t="s">
        <v>180</v>
      </c>
      <c r="C78" s="27" t="s">
        <v>181</v>
      </c>
      <c r="D78" s="27" t="s">
        <v>165</v>
      </c>
      <c r="E78" s="32">
        <v>2250000</v>
      </c>
      <c r="F78" s="29">
        <v>2263.0500000000002</v>
      </c>
      <c r="G78" s="29">
        <v>2.02</v>
      </c>
      <c r="H78" s="29">
        <v>7.24</v>
      </c>
    </row>
    <row r="79" spans="2:8">
      <c r="B79" s="27" t="s">
        <v>182</v>
      </c>
      <c r="C79" s="27" t="s">
        <v>183</v>
      </c>
      <c r="D79" s="27" t="s">
        <v>165</v>
      </c>
      <c r="E79" s="32">
        <v>1500000</v>
      </c>
      <c r="F79" s="29">
        <v>1431.83</v>
      </c>
      <c r="G79" s="29">
        <v>1.28</v>
      </c>
      <c r="H79" s="29">
        <v>6.95</v>
      </c>
    </row>
    <row r="80" spans="2:8">
      <c r="B80" s="27" t="s">
        <v>184</v>
      </c>
      <c r="C80" s="27" t="s">
        <v>185</v>
      </c>
      <c r="D80" s="27" t="s">
        <v>165</v>
      </c>
      <c r="E80" s="32">
        <v>1000000</v>
      </c>
      <c r="F80" s="29">
        <v>1001.55</v>
      </c>
      <c r="G80" s="29">
        <v>0.9</v>
      </c>
      <c r="H80" s="29">
        <v>6.08</v>
      </c>
    </row>
    <row r="81" spans="2:8">
      <c r="B81" s="27" t="s">
        <v>186</v>
      </c>
      <c r="C81" s="27" t="s">
        <v>187</v>
      </c>
      <c r="D81" s="27" t="s">
        <v>165</v>
      </c>
      <c r="E81" s="32">
        <v>500000</v>
      </c>
      <c r="F81" s="29">
        <v>514.54999999999995</v>
      </c>
      <c r="G81" s="29">
        <v>0.46</v>
      </c>
      <c r="H81" s="29">
        <v>6.81</v>
      </c>
    </row>
    <row r="82" spans="2:8">
      <c r="B82" s="27" t="s">
        <v>188</v>
      </c>
      <c r="C82" s="27" t="s">
        <v>189</v>
      </c>
      <c r="D82" s="27" t="s">
        <v>165</v>
      </c>
      <c r="E82" s="32">
        <v>500000</v>
      </c>
      <c r="F82" s="29">
        <v>500.12</v>
      </c>
      <c r="G82" s="29">
        <v>0.45</v>
      </c>
      <c r="H82" s="29">
        <v>5.14</v>
      </c>
    </row>
    <row r="83" spans="2:8">
      <c r="B83" s="27" t="s">
        <v>190</v>
      </c>
      <c r="C83" s="27" t="s">
        <v>191</v>
      </c>
      <c r="D83" s="27" t="s">
        <v>165</v>
      </c>
      <c r="E83" s="32">
        <v>500000</v>
      </c>
      <c r="F83" s="29">
        <v>487.82</v>
      </c>
      <c r="G83" s="29">
        <v>0.44</v>
      </c>
      <c r="H83" s="29">
        <v>6.39</v>
      </c>
    </row>
    <row r="84" spans="2:8">
      <c r="B84" s="52" t="s">
        <v>192</v>
      </c>
      <c r="C84" s="52" t="s">
        <v>193</v>
      </c>
      <c r="D84" s="52" t="s">
        <v>165</v>
      </c>
      <c r="E84" s="53">
        <v>800</v>
      </c>
      <c r="F84" s="54">
        <v>0.8</v>
      </c>
      <c r="G84" s="54">
        <v>0</v>
      </c>
      <c r="H84" s="54">
        <v>7.73</v>
      </c>
    </row>
    <row r="85" spans="2:8">
      <c r="B85" s="55" t="s">
        <v>125</v>
      </c>
      <c r="C85" s="55"/>
      <c r="D85" s="55"/>
      <c r="E85" s="56"/>
      <c r="F85" s="57">
        <f>SUM(F70:F84)</f>
        <v>42256.300000000017</v>
      </c>
      <c r="G85" s="57">
        <f>SUM(G70:G84)</f>
        <v>37.820000000000007</v>
      </c>
      <c r="H85" s="57"/>
    </row>
    <row r="86" spans="2:8">
      <c r="B86" s="47" t="s">
        <v>194</v>
      </c>
      <c r="C86" s="27"/>
      <c r="D86" s="27"/>
      <c r="E86" s="28"/>
      <c r="F86" s="29"/>
      <c r="G86" s="29"/>
      <c r="H86" s="29"/>
    </row>
    <row r="87" spans="2:8">
      <c r="B87" s="27" t="s">
        <v>194</v>
      </c>
      <c r="C87" s="27"/>
      <c r="D87" s="27"/>
      <c r="E87" s="28"/>
      <c r="F87" s="29">
        <v>10070.98</v>
      </c>
      <c r="G87" s="29">
        <v>9.01</v>
      </c>
      <c r="H87" s="29"/>
    </row>
    <row r="88" spans="2:8">
      <c r="B88" s="35" t="s">
        <v>124</v>
      </c>
      <c r="C88" s="35"/>
      <c r="D88" s="35"/>
      <c r="E88" s="36"/>
      <c r="F88" s="37">
        <f>SUM(F86:F87)</f>
        <v>10070.98</v>
      </c>
      <c r="G88" s="37">
        <f>SUM(G86:G87)</f>
        <v>9.01</v>
      </c>
      <c r="H88" s="48"/>
    </row>
    <row r="89" spans="2:8">
      <c r="B89" s="58" t="s">
        <v>125</v>
      </c>
      <c r="C89" s="58"/>
      <c r="D89" s="58"/>
      <c r="E89" s="59"/>
      <c r="F89" s="60">
        <f>F88</f>
        <v>10070.98</v>
      </c>
      <c r="G89" s="60">
        <f>G88</f>
        <v>9.01</v>
      </c>
      <c r="H89" s="60"/>
    </row>
    <row r="90" spans="2:8">
      <c r="B90" s="61" t="s">
        <v>195</v>
      </c>
      <c r="C90" s="61"/>
      <c r="D90" s="61"/>
      <c r="E90" s="62"/>
      <c r="F90" s="63">
        <f>F91-(+F48+F68+F85+F89)</f>
        <v>1460.9199999999837</v>
      </c>
      <c r="G90" s="63">
        <f>G91-(+G48+G68+G85+G89)</f>
        <v>1.2899999999999778</v>
      </c>
      <c r="H90" s="63"/>
    </row>
    <row r="91" spans="2:8">
      <c r="B91" s="61" t="s">
        <v>196</v>
      </c>
      <c r="C91" s="61"/>
      <c r="D91" s="61"/>
      <c r="E91" s="62"/>
      <c r="F91" s="63">
        <v>111757.79</v>
      </c>
      <c r="G91" s="63">
        <v>100</v>
      </c>
      <c r="H91" s="63"/>
    </row>
    <row r="93" spans="2:8">
      <c r="B93" s="64" t="s">
        <v>197</v>
      </c>
    </row>
  </sheetData>
  <mergeCells count="4">
    <mergeCell ref="B1:H1"/>
    <mergeCell ref="K5:K12"/>
    <mergeCell ref="L5:L12"/>
    <mergeCell ref="M5:M12"/>
  </mergeCells>
  <printOptions horizontalCentered="1"/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2022-07-07 12:06:17</KDate>
  <Classification>Public</Classification>
  <Subclassification/>
  <HostName>MUMCMP00935</HostName>
  <Domain_User>CANARAROBECOMF/628</Domain_User>
  <IPAdd>192.9.198.194</IPAdd>
  <FilePath>Book15</FilePath>
  <KID>C025A5607E97637927923771239373</KID>
  <UniqueName/>
  <Suggested/>
  <Justification/>
</Klassify>
</file>

<file path=customXml/itemProps1.xml><?xml version="1.0" encoding="utf-8"?>
<ds:datastoreItem xmlns:ds="http://schemas.openxmlformats.org/officeDocument/2006/customXml" ds:itemID="{0423DA77-6E41-483B-BF2A-14D7288EDD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2022-07-07T06:35:59Z</dcterms:created>
  <dcterms:modified xsi:type="dcterms:W3CDTF">2022-07-07T06:36:17Z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C025A5607E97637927923771239373</vt:lpwstr>
  </property>
</Properties>
</file>