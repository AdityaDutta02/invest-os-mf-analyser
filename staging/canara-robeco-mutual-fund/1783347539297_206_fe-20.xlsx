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FE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7" i="1"/>
  <c r="G38" i="1" s="1"/>
  <c r="G43" i="1" s="1"/>
  <c r="F37" i="1"/>
  <c r="F38" i="1" s="1"/>
  <c r="F43" i="1" s="1"/>
</calcChain>
</file>

<file path=xl/sharedStrings.xml><?xml version="1.0" encoding="utf-8"?>
<sst xmlns="http://schemas.openxmlformats.org/spreadsheetml/2006/main" count="145" uniqueCount="106">
  <si>
    <t>CANARA ROBECO FOCUSED EQUITY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</si>
  <si>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</si>
  <si>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</si>
  <si>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</si>
  <si>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</si>
  <si>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</si>
  <si>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</si>
  <si>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</si>
  <si>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</si>
  <si>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Dec'23</t>
  </si>
  <si>
    <t>Benchmark Risk-o-meter Level- Dec'23</t>
  </si>
  <si>
    <t>Scheme Risk-o-meter Level- Nov'23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</si>
  <si>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</si>
  <si>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</si>
  <si>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</si>
  <si>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</si>
  <si>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</si>
  <si>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</si>
  <si>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</si>
  <si>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</si>
  <si>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</si>
  <si>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</si>
  <si>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</si>
  <si>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Trent Ltd</t>
  </si>
  <si>
    <t>INE849A01020</t>
  </si>
  <si>
    <t>Retailing</t>
  </si>
  <si>
    <t>Infosys Ltd</t>
  </si>
  <si>
    <t>INE009A01021</t>
  </si>
  <si>
    <t>IT - Software</t>
  </si>
  <si>
    <t>Larsen &amp; Toubro Ltd</t>
  </si>
  <si>
    <t>INE018A01030</t>
  </si>
  <si>
    <t>Construction</t>
  </si>
  <si>
    <t>Bajaj Finance Ltd</t>
  </si>
  <si>
    <t>INE296A01024</t>
  </si>
  <si>
    <t>Finance</t>
  </si>
  <si>
    <t>Benchmark: S&amp;P BSE 500 TRI</t>
  </si>
  <si>
    <t>Bharti Airtel Ltd</t>
  </si>
  <si>
    <t>INE397D01024</t>
  </si>
  <si>
    <t>Telecom - Services</t>
  </si>
  <si>
    <t>Tata Consultancy Services Ltd</t>
  </si>
  <si>
    <t>INE467B01029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</si>
  <si>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</si>
  <si>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</si>
  <si>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</si>
  <si>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</si>
  <si>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</si>
  <si>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</si>
  <si>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</si>
  <si>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</si>
  <si>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</si>
  <si>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Mid Cap</t>
  </si>
  <si>
    <t>State Bank of India</t>
  </si>
  <si>
    <t>INE062A01020</t>
  </si>
  <si>
    <t>Max Healthcare Institute Ltd</t>
  </si>
  <si>
    <t>INE027H01010</t>
  </si>
  <si>
    <t>Healthcare Services</t>
  </si>
  <si>
    <t>Titan Co Ltd</t>
  </si>
  <si>
    <t>INE280A01028</t>
  </si>
  <si>
    <t>Consumer Durables</t>
  </si>
  <si>
    <t>Axis Bank Ltd</t>
  </si>
  <si>
    <t>INE238A01034</t>
  </si>
  <si>
    <t>SBI Life Insurance Co Ltd</t>
  </si>
  <si>
    <t>INE123W01016</t>
  </si>
  <si>
    <t>Insurance</t>
  </si>
  <si>
    <t>Sun Pharmaceutical Industries Ltd</t>
  </si>
  <si>
    <t>INE044A01036</t>
  </si>
  <si>
    <t>Pharmaceuticals &amp; Biotechnology</t>
  </si>
  <si>
    <t>Mankind Pharma Ltd</t>
  </si>
  <si>
    <t>INE634S01028</t>
  </si>
  <si>
    <t>ZF Commercial Vehicle Control Systems India Ltd</t>
  </si>
  <si>
    <t>INE342J01019</t>
  </si>
  <si>
    <t>NTPC Ltd</t>
  </si>
  <si>
    <t>INE733E01010</t>
  </si>
  <si>
    <t>Power</t>
  </si>
  <si>
    <t>Maruti Suzuki India Ltd</t>
  </si>
  <si>
    <t>INE585B01010</t>
  </si>
  <si>
    <t>Automobiles</t>
  </si>
  <si>
    <t>Navin Fluorine International Ltd</t>
  </si>
  <si>
    <t>INE048G01026</t>
  </si>
  <si>
    <t>Chemicals &amp; Petrochemicals</t>
  </si>
  <si>
    <t>Small Cap</t>
  </si>
  <si>
    <t>J.B. Chemicals &amp; Pharmaceuticals Ltd</t>
  </si>
  <si>
    <t>INE572A01036</t>
  </si>
  <si>
    <t>ICICI Lombard General Insurance Co Ltd</t>
  </si>
  <si>
    <t>INE765G01017</t>
  </si>
  <si>
    <t>Westlife Foodworld Ltd</t>
  </si>
  <si>
    <t>INE274F01020</t>
  </si>
  <si>
    <t>Leisure Services</t>
  </si>
  <si>
    <t>Power Finance Corporation Ltd</t>
  </si>
  <si>
    <t>INE134E01011</t>
  </si>
  <si>
    <t>Hindustan Unilever Ltd</t>
  </si>
  <si>
    <t>INE030A01027</t>
  </si>
  <si>
    <t>Diversified Fmcg</t>
  </si>
  <si>
    <t>Inox India Ltd</t>
  </si>
  <si>
    <t>INE616N01034</t>
  </si>
  <si>
    <t>Industrial Products</t>
  </si>
  <si>
    <t>PI Industries Ltd</t>
  </si>
  <si>
    <t>INE603J01030</t>
  </si>
  <si>
    <t>Fertilizers &amp; Agrochemicals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</si>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</sst>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9" fillId="3" borderId="0" xfId="0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4719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9510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6988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1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5703125" style="3" bestFit="1" customWidth="1"/>
    <col min="4" max="4" width="27.8554687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1082500</v>
      </c>
      <c r="F7" s="23">
        <v>18502.63</v>
      </c>
      <c r="G7" s="23">
        <v>8.64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1475000</v>
      </c>
      <c r="F8" s="23">
        <v>14699.85</v>
      </c>
      <c r="G8" s="23">
        <v>6.87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451500</v>
      </c>
      <c r="F9" s="23">
        <v>11671.05</v>
      </c>
      <c r="G9" s="23">
        <v>5.45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365000</v>
      </c>
      <c r="F10" s="23">
        <v>11150.57</v>
      </c>
      <c r="G10" s="23">
        <v>5.21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677000</v>
      </c>
      <c r="F11" s="23">
        <v>10445.43</v>
      </c>
      <c r="G11" s="23">
        <v>4.88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31</v>
      </c>
      <c r="E12" s="26">
        <v>278761</v>
      </c>
      <c r="F12" s="23">
        <v>9829.11</v>
      </c>
      <c r="G12" s="23">
        <v>4.59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32</v>
      </c>
      <c r="C13" s="21" t="s">
        <v>33</v>
      </c>
      <c r="D13" s="21" t="s">
        <v>34</v>
      </c>
      <c r="E13" s="26">
        <v>127000</v>
      </c>
      <c r="F13" s="23">
        <v>9306.24</v>
      </c>
      <c r="G13" s="23">
        <v>4.3499999999999996</v>
      </c>
      <c r="H13" s="23" t="s">
        <v>17</v>
      </c>
      <c r="I13" s="27"/>
      <c r="J13" s="27"/>
      <c r="K13" s="29" t="s">
        <v>35</v>
      </c>
      <c r="L13" s="27"/>
    </row>
    <row r="14" spans="2:12" x14ac:dyDescent="0.2">
      <c r="B14" s="25" t="s">
        <v>36</v>
      </c>
      <c r="C14" s="21" t="s">
        <v>37</v>
      </c>
      <c r="D14" s="21" t="s">
        <v>38</v>
      </c>
      <c r="E14" s="26">
        <v>824800</v>
      </c>
      <c r="F14" s="23">
        <v>8513.59</v>
      </c>
      <c r="G14" s="23">
        <v>3.98</v>
      </c>
      <c r="H14" s="23" t="s">
        <v>17</v>
      </c>
      <c r="I14" s="27"/>
      <c r="J14" s="27"/>
      <c r="K14" s="27"/>
      <c r="L14" s="27"/>
    </row>
    <row r="15" spans="2:12" x14ac:dyDescent="0.2">
      <c r="B15" s="25" t="s">
        <v>39</v>
      </c>
      <c r="C15" s="21" t="s">
        <v>40</v>
      </c>
      <c r="D15" s="21" t="s">
        <v>28</v>
      </c>
      <c r="E15" s="26">
        <v>223402</v>
      </c>
      <c r="F15" s="23">
        <v>8474.5300000000007</v>
      </c>
      <c r="G15" s="23">
        <v>3.96</v>
      </c>
      <c r="H15" s="23" t="s">
        <v>17</v>
      </c>
      <c r="I15" s="27"/>
      <c r="J15" s="27"/>
      <c r="K15" s="27"/>
      <c r="L15" s="27"/>
    </row>
    <row r="16" spans="2:12" x14ac:dyDescent="0.2">
      <c r="B16" s="25" t="s">
        <v>41</v>
      </c>
      <c r="C16" s="21" t="s">
        <v>42</v>
      </c>
      <c r="D16" s="21" t="s">
        <v>43</v>
      </c>
      <c r="E16" s="26">
        <v>78500</v>
      </c>
      <c r="F16" s="23">
        <v>8244.89</v>
      </c>
      <c r="G16" s="23">
        <v>3.85</v>
      </c>
      <c r="H16" s="23" t="s">
        <v>17</v>
      </c>
      <c r="I16" s="27"/>
      <c r="J16" s="27"/>
      <c r="K16" s="27"/>
      <c r="L16" s="27"/>
    </row>
    <row r="17" spans="2:12" x14ac:dyDescent="0.2">
      <c r="B17" s="25" t="s">
        <v>44</v>
      </c>
      <c r="C17" s="21" t="s">
        <v>45</v>
      </c>
      <c r="D17" s="21" t="s">
        <v>46</v>
      </c>
      <c r="E17" s="26">
        <v>4275000</v>
      </c>
      <c r="F17" s="23">
        <v>7874.55</v>
      </c>
      <c r="G17" s="23">
        <v>3.68</v>
      </c>
      <c r="H17" s="23" t="s">
        <v>17</v>
      </c>
      <c r="I17" s="27"/>
      <c r="J17" s="27"/>
      <c r="K17" s="27"/>
      <c r="L17" s="27"/>
    </row>
    <row r="18" spans="2:12" x14ac:dyDescent="0.2">
      <c r="B18" s="25" t="s">
        <v>47</v>
      </c>
      <c r="C18" s="21" t="s">
        <v>48</v>
      </c>
      <c r="D18" s="21" t="s">
        <v>49</v>
      </c>
      <c r="E18" s="26">
        <v>991418</v>
      </c>
      <c r="F18" s="23">
        <v>6817.49</v>
      </c>
      <c r="G18" s="23">
        <v>3.19</v>
      </c>
      <c r="H18" s="23" t="s">
        <v>50</v>
      </c>
      <c r="I18" s="27"/>
      <c r="J18" s="27"/>
      <c r="K18" s="27"/>
      <c r="L18" s="27"/>
    </row>
    <row r="19" spans="2:12" x14ac:dyDescent="0.2">
      <c r="B19" s="25" t="s">
        <v>51</v>
      </c>
      <c r="C19" s="21" t="s">
        <v>52</v>
      </c>
      <c r="D19" s="21" t="s">
        <v>16</v>
      </c>
      <c r="E19" s="26">
        <v>1020000</v>
      </c>
      <c r="F19" s="23">
        <v>6548.91</v>
      </c>
      <c r="G19" s="23">
        <v>3.06</v>
      </c>
      <c r="H19" s="23" t="s">
        <v>17</v>
      </c>
      <c r="I19" s="27"/>
      <c r="J19" s="27"/>
      <c r="K19" s="27"/>
      <c r="L19" s="27"/>
    </row>
    <row r="20" spans="2:12" x14ac:dyDescent="0.2">
      <c r="B20" s="25" t="s">
        <v>53</v>
      </c>
      <c r="C20" s="21" t="s">
        <v>54</v>
      </c>
      <c r="D20" s="21" t="s">
        <v>55</v>
      </c>
      <c r="E20" s="26">
        <v>914034</v>
      </c>
      <c r="F20" s="23">
        <v>6272.56</v>
      </c>
      <c r="G20" s="23">
        <v>2.93</v>
      </c>
      <c r="H20" s="23" t="s">
        <v>50</v>
      </c>
      <c r="I20" s="27"/>
      <c r="J20" s="27"/>
      <c r="K20" s="27"/>
      <c r="L20" s="27"/>
    </row>
    <row r="21" spans="2:12" x14ac:dyDescent="0.2">
      <c r="B21" s="25" t="s">
        <v>56</v>
      </c>
      <c r="C21" s="21" t="s">
        <v>57</v>
      </c>
      <c r="D21" s="21" t="s">
        <v>58</v>
      </c>
      <c r="E21" s="26">
        <v>150000</v>
      </c>
      <c r="F21" s="23">
        <v>5513.18</v>
      </c>
      <c r="G21" s="23">
        <v>2.58</v>
      </c>
      <c r="H21" s="23" t="s">
        <v>17</v>
      </c>
      <c r="I21" s="27"/>
      <c r="J21" s="27"/>
      <c r="K21" s="27"/>
      <c r="L21" s="27"/>
    </row>
    <row r="22" spans="2:12" x14ac:dyDescent="0.2">
      <c r="B22" s="25" t="s">
        <v>59</v>
      </c>
      <c r="C22" s="21" t="s">
        <v>60</v>
      </c>
      <c r="D22" s="21" t="s">
        <v>16</v>
      </c>
      <c r="E22" s="26">
        <v>500000</v>
      </c>
      <c r="F22" s="23">
        <v>5511.5</v>
      </c>
      <c r="G22" s="23">
        <v>2.58</v>
      </c>
      <c r="H22" s="23" t="s">
        <v>17</v>
      </c>
      <c r="I22" s="27"/>
      <c r="J22" s="27"/>
      <c r="K22" s="27"/>
      <c r="L22" s="27"/>
    </row>
    <row r="23" spans="2:12" x14ac:dyDescent="0.2">
      <c r="B23" s="25" t="s">
        <v>61</v>
      </c>
      <c r="C23" s="21" t="s">
        <v>62</v>
      </c>
      <c r="D23" s="21" t="s">
        <v>63</v>
      </c>
      <c r="E23" s="26">
        <v>365000</v>
      </c>
      <c r="F23" s="23">
        <v>5228.99</v>
      </c>
      <c r="G23" s="23">
        <v>2.44</v>
      </c>
      <c r="H23" s="23" t="s">
        <v>17</v>
      </c>
      <c r="I23" s="27"/>
      <c r="J23" s="27"/>
      <c r="K23" s="27"/>
      <c r="L23" s="27"/>
    </row>
    <row r="24" spans="2:12" x14ac:dyDescent="0.2">
      <c r="B24" s="25" t="s">
        <v>64</v>
      </c>
      <c r="C24" s="21" t="s">
        <v>65</v>
      </c>
      <c r="D24" s="21" t="s">
        <v>66</v>
      </c>
      <c r="E24" s="26">
        <v>410000</v>
      </c>
      <c r="F24" s="23">
        <v>5163.75</v>
      </c>
      <c r="G24" s="23">
        <v>2.41</v>
      </c>
      <c r="H24" s="23" t="s">
        <v>17</v>
      </c>
      <c r="I24" s="27"/>
      <c r="J24" s="27"/>
      <c r="K24" s="27"/>
      <c r="L24" s="27"/>
    </row>
    <row r="25" spans="2:12" x14ac:dyDescent="0.2">
      <c r="B25" s="25" t="s">
        <v>67</v>
      </c>
      <c r="C25" s="21" t="s">
        <v>68</v>
      </c>
      <c r="D25" s="21" t="s">
        <v>66</v>
      </c>
      <c r="E25" s="26">
        <v>235544</v>
      </c>
      <c r="F25" s="23">
        <v>4669.66</v>
      </c>
      <c r="G25" s="23">
        <v>2.1800000000000002</v>
      </c>
      <c r="H25" s="23" t="s">
        <v>17</v>
      </c>
      <c r="I25" s="27"/>
      <c r="J25" s="27"/>
      <c r="K25" s="27"/>
      <c r="L25" s="27"/>
    </row>
    <row r="26" spans="2:12" x14ac:dyDescent="0.2">
      <c r="B26" s="25" t="s">
        <v>69</v>
      </c>
      <c r="C26" s="21" t="s">
        <v>70</v>
      </c>
      <c r="D26" s="21" t="s">
        <v>49</v>
      </c>
      <c r="E26" s="26">
        <v>27240</v>
      </c>
      <c r="F26" s="23">
        <v>4360.28</v>
      </c>
      <c r="G26" s="23">
        <v>2.04</v>
      </c>
      <c r="H26" s="23" t="s">
        <v>50</v>
      </c>
      <c r="I26" s="27"/>
      <c r="J26" s="27"/>
      <c r="K26" s="27"/>
      <c r="L26" s="27"/>
    </row>
    <row r="27" spans="2:12" x14ac:dyDescent="0.2">
      <c r="B27" s="25" t="s">
        <v>71</v>
      </c>
      <c r="C27" s="21" t="s">
        <v>72</v>
      </c>
      <c r="D27" s="21" t="s">
        <v>73</v>
      </c>
      <c r="E27" s="26">
        <v>1350000</v>
      </c>
      <c r="F27" s="23">
        <v>4200.53</v>
      </c>
      <c r="G27" s="23">
        <v>1.96</v>
      </c>
      <c r="H27" s="23" t="s">
        <v>17</v>
      </c>
      <c r="I27" s="27"/>
      <c r="J27" s="27"/>
      <c r="K27" s="27"/>
      <c r="L27" s="27"/>
    </row>
    <row r="28" spans="2:12" x14ac:dyDescent="0.2">
      <c r="B28" s="25" t="s">
        <v>74</v>
      </c>
      <c r="C28" s="21" t="s">
        <v>75</v>
      </c>
      <c r="D28" s="21" t="s">
        <v>76</v>
      </c>
      <c r="E28" s="26">
        <v>37900</v>
      </c>
      <c r="F28" s="23">
        <v>3904.59</v>
      </c>
      <c r="G28" s="23">
        <v>1.82</v>
      </c>
      <c r="H28" s="23" t="s">
        <v>17</v>
      </c>
      <c r="I28" s="27"/>
      <c r="J28" s="27"/>
      <c r="K28" s="27"/>
      <c r="L28" s="27"/>
    </row>
    <row r="29" spans="2:12" x14ac:dyDescent="0.2">
      <c r="B29" s="25" t="s">
        <v>77</v>
      </c>
      <c r="C29" s="21" t="s">
        <v>78</v>
      </c>
      <c r="D29" s="21" t="s">
        <v>79</v>
      </c>
      <c r="E29" s="26">
        <v>98969</v>
      </c>
      <c r="F29" s="23">
        <v>3813.47</v>
      </c>
      <c r="G29" s="23">
        <v>1.78</v>
      </c>
      <c r="H29" s="23" t="s">
        <v>80</v>
      </c>
      <c r="I29" s="27"/>
      <c r="J29" s="27"/>
      <c r="K29" s="27"/>
      <c r="L29" s="27"/>
    </row>
    <row r="30" spans="2:12" x14ac:dyDescent="0.2">
      <c r="B30" s="25" t="s">
        <v>81</v>
      </c>
      <c r="C30" s="21" t="s">
        <v>82</v>
      </c>
      <c r="D30" s="21" t="s">
        <v>66</v>
      </c>
      <c r="E30" s="26">
        <v>215797</v>
      </c>
      <c r="F30" s="23">
        <v>3505.95</v>
      </c>
      <c r="G30" s="23">
        <v>1.64</v>
      </c>
      <c r="H30" s="23" t="s">
        <v>80</v>
      </c>
      <c r="I30" s="27"/>
      <c r="J30" s="27"/>
      <c r="K30" s="27"/>
      <c r="L30" s="27"/>
    </row>
    <row r="31" spans="2:12" x14ac:dyDescent="0.2">
      <c r="B31" s="25" t="s">
        <v>83</v>
      </c>
      <c r="C31" s="21" t="s">
        <v>84</v>
      </c>
      <c r="D31" s="21" t="s">
        <v>63</v>
      </c>
      <c r="E31" s="26">
        <v>245000</v>
      </c>
      <c r="F31" s="23">
        <v>3479.25</v>
      </c>
      <c r="G31" s="23">
        <v>1.63</v>
      </c>
      <c r="H31" s="23" t="s">
        <v>17</v>
      </c>
      <c r="I31" s="27"/>
      <c r="J31" s="27"/>
      <c r="K31" s="27"/>
      <c r="L31" s="27"/>
    </row>
    <row r="32" spans="2:12" x14ac:dyDescent="0.2">
      <c r="B32" s="25" t="s">
        <v>85</v>
      </c>
      <c r="C32" s="21" t="s">
        <v>86</v>
      </c>
      <c r="D32" s="21" t="s">
        <v>87</v>
      </c>
      <c r="E32" s="26">
        <v>390000</v>
      </c>
      <c r="F32" s="23">
        <v>3185.72</v>
      </c>
      <c r="G32" s="23">
        <v>1.49</v>
      </c>
      <c r="H32" s="23" t="s">
        <v>80</v>
      </c>
      <c r="I32" s="27"/>
      <c r="J32" s="27"/>
      <c r="K32" s="27"/>
      <c r="L32" s="27"/>
    </row>
    <row r="33" spans="2:12" x14ac:dyDescent="0.2">
      <c r="B33" s="25" t="s">
        <v>88</v>
      </c>
      <c r="C33" s="21" t="s">
        <v>89</v>
      </c>
      <c r="D33" s="21" t="s">
        <v>34</v>
      </c>
      <c r="E33" s="26">
        <v>825000</v>
      </c>
      <c r="F33" s="23">
        <v>3156.45</v>
      </c>
      <c r="G33" s="23">
        <v>1.47</v>
      </c>
      <c r="H33" s="23" t="s">
        <v>17</v>
      </c>
      <c r="I33" s="27"/>
      <c r="J33" s="27"/>
      <c r="K33" s="27"/>
      <c r="L33" s="27"/>
    </row>
    <row r="34" spans="2:12" x14ac:dyDescent="0.2">
      <c r="B34" s="25" t="s">
        <v>90</v>
      </c>
      <c r="C34" s="21" t="s">
        <v>91</v>
      </c>
      <c r="D34" s="21" t="s">
        <v>92</v>
      </c>
      <c r="E34" s="26">
        <v>118000</v>
      </c>
      <c r="F34" s="23">
        <v>3143.46</v>
      </c>
      <c r="G34" s="23">
        <v>1.47</v>
      </c>
      <c r="H34" s="23" t="s">
        <v>17</v>
      </c>
      <c r="I34" s="27"/>
      <c r="J34" s="27"/>
      <c r="K34" s="27"/>
      <c r="L34" s="27"/>
    </row>
    <row r="35" spans="2:12" x14ac:dyDescent="0.2">
      <c r="B35" s="25" t="s">
        <v>93</v>
      </c>
      <c r="C35" s="21" t="s">
        <v>94</v>
      </c>
      <c r="D35" s="21" t="s">
        <v>95</v>
      </c>
      <c r="E35" s="26">
        <v>339301</v>
      </c>
      <c r="F35" s="23">
        <v>2994.67</v>
      </c>
      <c r="G35" s="23">
        <v>1.4</v>
      </c>
      <c r="H35" s="23" t="s">
        <v>80</v>
      </c>
      <c r="I35" s="27"/>
      <c r="J35" s="27"/>
      <c r="K35" s="27"/>
      <c r="L35" s="27"/>
    </row>
    <row r="36" spans="2:12" x14ac:dyDescent="0.2">
      <c r="B36" s="25" t="s">
        <v>96</v>
      </c>
      <c r="C36" s="21" t="s">
        <v>97</v>
      </c>
      <c r="D36" s="21" t="s">
        <v>98</v>
      </c>
      <c r="E36" s="26">
        <v>48794</v>
      </c>
      <c r="F36" s="23">
        <v>1715.55</v>
      </c>
      <c r="G36" s="23">
        <v>0.8</v>
      </c>
      <c r="H36" s="23" t="s">
        <v>50</v>
      </c>
      <c r="I36" s="27"/>
      <c r="J36" s="27"/>
      <c r="K36" s="27"/>
      <c r="L36" s="27"/>
    </row>
    <row r="37" spans="2:12" x14ac:dyDescent="0.2">
      <c r="B37" s="30" t="s">
        <v>99</v>
      </c>
      <c r="C37" s="31"/>
      <c r="D37" s="31"/>
      <c r="E37" s="32"/>
      <c r="F37" s="33">
        <f>SUM(F7:F36)</f>
        <v>201898.4</v>
      </c>
      <c r="G37" s="33">
        <f>SUM(G7:G36)</f>
        <v>94.329999999999984</v>
      </c>
      <c r="H37" s="33"/>
      <c r="I37" s="27"/>
      <c r="J37" s="27"/>
      <c r="K37" s="27"/>
      <c r="L37" s="27"/>
    </row>
    <row r="38" spans="2:12" x14ac:dyDescent="0.2">
      <c r="B38" s="34" t="s">
        <v>100</v>
      </c>
      <c r="C38" s="34"/>
      <c r="D38" s="34"/>
      <c r="E38" s="35"/>
      <c r="F38" s="36">
        <f>F37</f>
        <v>201898.4</v>
      </c>
      <c r="G38" s="36">
        <f>G37</f>
        <v>94.329999999999984</v>
      </c>
      <c r="H38" s="36"/>
      <c r="I38" s="27"/>
      <c r="J38" s="27"/>
      <c r="K38" s="27"/>
      <c r="L38" s="27"/>
    </row>
    <row r="39" spans="2:12" x14ac:dyDescent="0.2">
      <c r="B39" s="37" t="s">
        <v>101</v>
      </c>
      <c r="C39" s="38"/>
      <c r="D39" s="38"/>
      <c r="E39" s="39"/>
      <c r="F39" s="40"/>
      <c r="G39" s="40"/>
      <c r="H39" s="40"/>
      <c r="I39" s="27"/>
      <c r="J39" s="27"/>
      <c r="K39" s="27"/>
      <c r="L39" s="27"/>
    </row>
    <row r="40" spans="2:12" x14ac:dyDescent="0.2">
      <c r="B40" s="25" t="s">
        <v>101</v>
      </c>
      <c r="C40" s="25"/>
      <c r="D40" s="21"/>
      <c r="E40" s="22"/>
      <c r="F40" s="23">
        <v>9806.7999999999993</v>
      </c>
      <c r="G40" s="23">
        <v>4.58</v>
      </c>
      <c r="H40" s="23"/>
      <c r="I40" s="27"/>
      <c r="J40" s="27"/>
      <c r="K40" s="27"/>
      <c r="L40" s="27"/>
    </row>
    <row r="41" spans="2:12" x14ac:dyDescent="0.2">
      <c r="B41" s="30" t="s">
        <v>99</v>
      </c>
      <c r="C41" s="31"/>
      <c r="D41" s="31"/>
      <c r="E41" s="32"/>
      <c r="F41" s="33">
        <f>SUM(F39:F40)</f>
        <v>9806.7999999999993</v>
      </c>
      <c r="G41" s="33">
        <f>SUM(G39:G40)</f>
        <v>4.58</v>
      </c>
      <c r="H41" s="33"/>
      <c r="I41" s="27"/>
      <c r="J41" s="27"/>
      <c r="K41" s="27"/>
      <c r="L41" s="27"/>
    </row>
    <row r="42" spans="2:12" x14ac:dyDescent="0.2">
      <c r="B42" s="41" t="s">
        <v>100</v>
      </c>
      <c r="C42" s="41"/>
      <c r="D42" s="41"/>
      <c r="E42" s="42"/>
      <c r="F42" s="43">
        <f>F41</f>
        <v>9806.7999999999993</v>
      </c>
      <c r="G42" s="43">
        <f>G41</f>
        <v>4.58</v>
      </c>
      <c r="H42" s="43"/>
      <c r="I42" s="27"/>
      <c r="J42" s="27"/>
      <c r="K42" s="27"/>
      <c r="L42" s="27"/>
    </row>
    <row r="43" spans="2:12" x14ac:dyDescent="0.2">
      <c r="B43" s="44" t="s">
        <v>102</v>
      </c>
      <c r="C43" s="44"/>
      <c r="D43" s="44"/>
      <c r="E43" s="45"/>
      <c r="F43" s="46">
        <f>F44-(+F38+F42)</f>
        <v>2323.5900000000256</v>
      </c>
      <c r="G43" s="46">
        <f>G44-(+G38+G42)</f>
        <v>1.0900000000000176</v>
      </c>
      <c r="H43" s="46"/>
      <c r="I43" s="27"/>
      <c r="J43" s="27"/>
      <c r="K43" s="27"/>
      <c r="L43" s="27"/>
    </row>
    <row r="44" spans="2:12" x14ac:dyDescent="0.2">
      <c r="B44" s="44" t="s">
        <v>103</v>
      </c>
      <c r="C44" s="44"/>
      <c r="D44" s="44"/>
      <c r="E44" s="45"/>
      <c r="F44" s="46">
        <v>214028.79</v>
      </c>
      <c r="G44" s="46">
        <v>100</v>
      </c>
      <c r="H44" s="46"/>
      <c r="I44" s="27"/>
      <c r="J44" s="27"/>
      <c r="K44" s="27"/>
      <c r="L44" s="27"/>
    </row>
    <row r="45" spans="2:12" x14ac:dyDescent="0.2">
      <c r="I45" s="27"/>
      <c r="J45" s="27"/>
      <c r="K45" s="27"/>
      <c r="L45" s="27"/>
    </row>
    <row r="46" spans="2:12" ht="12.75" thickBot="1" x14ac:dyDescent="0.25">
      <c r="B46" s="49"/>
      <c r="I46" s="27"/>
      <c r="J46" s="27"/>
      <c r="K46" s="27"/>
      <c r="L46" s="27"/>
    </row>
    <row r="47" spans="2:12" ht="13.5" thickTop="1" thickBot="1" x14ac:dyDescent="0.25">
      <c r="B47" s="50" t="s">
        <v>104</v>
      </c>
      <c r="C47" s="51" t="s">
        <v>105</v>
      </c>
      <c r="I47" s="27"/>
      <c r="J47" s="27"/>
      <c r="K47" s="27"/>
      <c r="L47" s="27"/>
    </row>
    <row r="48" spans="2:12" ht="12.75" thickTop="1" x14ac:dyDescent="0.2">
      <c r="I48" s="27"/>
      <c r="J48" s="27"/>
      <c r="K48" s="27"/>
      <c r="L48" s="27"/>
    </row>
    <row r="49" spans="9:12" x14ac:dyDescent="0.2">
      <c r="I49" s="27"/>
      <c r="J49" s="27"/>
      <c r="K49" s="27"/>
      <c r="L49" s="27"/>
    </row>
    <row r="50" spans="9:12" x14ac:dyDescent="0.2">
      <c r="I50" s="27"/>
      <c r="J50" s="27"/>
      <c r="K50" s="27"/>
      <c r="L50" s="27"/>
    </row>
    <row r="51" spans="9:12" x14ac:dyDescent="0.2">
      <c r="I51" s="27"/>
      <c r="J51" s="27"/>
      <c r="K51" s="27"/>
      <c r="L51" s="27"/>
    </row>
    <row r="52" spans="9:12" x14ac:dyDescent="0.2">
      <c r="I52" s="27"/>
      <c r="J52" s="27"/>
      <c r="K52" s="27"/>
      <c r="L52" s="27"/>
    </row>
    <row r="53" spans="9:12" x14ac:dyDescent="0.2">
      <c r="I53" s="27"/>
      <c r="J53" s="27"/>
      <c r="K53" s="27"/>
      <c r="L53" s="27"/>
    </row>
    <row r="54" spans="9:12" x14ac:dyDescent="0.2">
      <c r="I54" s="27"/>
      <c r="J54" s="27"/>
      <c r="K54" s="27"/>
      <c r="L54" s="27"/>
    </row>
    <row r="55" spans="9:12" x14ac:dyDescent="0.2">
      <c r="I55" s="27"/>
      <c r="J55" s="27"/>
      <c r="K55" s="27"/>
      <c r="L55" s="27"/>
    </row>
    <row r="56" spans="9:12" x14ac:dyDescent="0.2">
      <c r="I56" s="27"/>
      <c r="J56" s="27"/>
      <c r="K56" s="27"/>
      <c r="L56" s="27"/>
    </row>
    <row r="57" spans="9:12" x14ac:dyDescent="0.2">
      <c r="I57" s="27"/>
      <c r="J57" s="27"/>
      <c r="K57" s="27"/>
      <c r="L57" s="27"/>
    </row>
    <row r="58" spans="9:12" x14ac:dyDescent="0.2">
      <c r="I58" s="27"/>
      <c r="J58" s="27"/>
      <c r="K58" s="27"/>
      <c r="L58" s="27"/>
    </row>
    <row r="59" spans="9:12" x14ac:dyDescent="0.2">
      <c r="I59" s="27"/>
      <c r="J59" s="27"/>
      <c r="K59" s="27"/>
      <c r="L59" s="27"/>
    </row>
    <row r="60" spans="9:12" x14ac:dyDescent="0.2">
      <c r="I60" s="27"/>
      <c r="J60" s="27"/>
      <c r="K60" s="27"/>
      <c r="L60" s="27"/>
    </row>
    <row r="61" spans="9:12" x14ac:dyDescent="0.2">
      <c r="I61" s="27"/>
      <c r="J61" s="27"/>
      <c r="K61" s="27"/>
      <c r="L61" s="27"/>
    </row>
    <row r="62" spans="9:12" x14ac:dyDescent="0.2">
      <c r="I62" s="27"/>
      <c r="J62" s="27"/>
      <c r="K62" s="27"/>
      <c r="L62" s="27"/>
    </row>
    <row r="63" spans="9:12" x14ac:dyDescent="0.2">
      <c r="I63" s="27"/>
      <c r="J63" s="27"/>
      <c r="K63" s="27"/>
      <c r="L63" s="27"/>
    </row>
    <row r="64" spans="9:12" x14ac:dyDescent="0.2">
      <c r="I64" s="27"/>
      <c r="J64" s="27"/>
      <c r="K64" s="27"/>
      <c r="L64" s="27"/>
    </row>
    <row r="65" spans="9:12" x14ac:dyDescent="0.2">
      <c r="I65" s="27"/>
      <c r="J65" s="27"/>
      <c r="K65" s="27"/>
      <c r="L65" s="27"/>
    </row>
    <row r="66" spans="9:12" x14ac:dyDescent="0.2">
      <c r="I66" s="27"/>
      <c r="J66" s="27"/>
      <c r="K66" s="27"/>
      <c r="L66" s="27"/>
    </row>
    <row r="67" spans="9:12" x14ac:dyDescent="0.2">
      <c r="I67" s="27"/>
      <c r="J67" s="27"/>
      <c r="K67" s="27"/>
      <c r="L67" s="27"/>
    </row>
    <row r="68" spans="9:12" x14ac:dyDescent="0.2">
      <c r="I68" s="27"/>
      <c r="J68" s="27"/>
      <c r="K68" s="27"/>
      <c r="L68" s="27"/>
    </row>
    <row r="69" spans="9:12" x14ac:dyDescent="0.2">
      <c r="I69" s="27"/>
      <c r="J69" s="27"/>
      <c r="K69" s="27"/>
      <c r="L69" s="27"/>
    </row>
    <row r="70" spans="9:12" x14ac:dyDescent="0.2">
      <c r="I70" s="27"/>
      <c r="J70" s="27"/>
      <c r="K70" s="27"/>
      <c r="L70" s="27"/>
    </row>
    <row r="71" spans="9:12" x14ac:dyDescent="0.2">
      <c r="I71" s="27"/>
      <c r="J71" s="27"/>
      <c r="K71" s="27"/>
      <c r="L71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15:54:15</KDate>
  <Classification>Public</Classification>
  <Subclassification/>
  <HostName>MUMCMP00935</HostName>
  <Domain_User>CANARAROBECOMF/628</Domain_User>
  <IPAdd>192.9.198.194</IPAdd>
  <FilePath>Book8</FilePath>
  <KID>C025A5607E97638399804552806221</KID>
  <UniqueName/>
  <Suggested/>
  <Justification/>
</Klassify>
</file>

<file path=customXml/itemProps1.xml><?xml version="1.0" encoding="utf-8"?>
<ds:datastoreItem xmlns:ds="http://schemas.openxmlformats.org/officeDocument/2006/customXml" ds:itemID="{8A573606-C2ED-4EAB-B199-FC653D512C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2024-01-04T10:24:09Z</dcterms:created>
  <dcterms:modified xsi:type="dcterms:W3CDTF">2024-01-04T10:24:15Z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C025A5607E97638399804552806221</vt:lpwstr>
  </property>
</Properties>
</file>