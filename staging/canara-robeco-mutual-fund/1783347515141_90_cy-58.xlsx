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August 2023\"/>
    </mc:Choice>
  </mc:AlternateContent>
  <bookViews>
    <workbookView xWindow="0" yWindow="0" windowWidth="20490" windowHeight="7620"/>
  </bookViews>
  <sheets>
    <sheet name="CY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4" i="1" l="1"/>
  <c r="G45" i="1" s="1"/>
  <c r="F44" i="1"/>
  <c r="F45" i="1" s="1"/>
  <c r="G41" i="1"/>
  <c r="F41" i="1"/>
  <c r="G31" i="1"/>
  <c r="F31" i="1"/>
  <c r="G28" i="1"/>
  <c r="G32" i="1" s="1"/>
  <c r="F28" i="1"/>
  <c r="G25" i="1"/>
  <c r="F25" i="1"/>
  <c r="F32" i="1" s="1"/>
  <c r="G20" i="1"/>
  <c r="G46" i="1" s="1"/>
  <c r="G19" i="1"/>
  <c r="F19" i="1"/>
  <c r="F20" i="1" s="1"/>
  <c r="F46" i="1" s="1"/>
</calcChain>
</file>

<file path=xl/sharedStrings.xml><?xml version="1.0" encoding="utf-8"?>
<sst xmlns="http://schemas.openxmlformats.org/spreadsheetml/2006/main" count="117" uniqueCount="92">
  <si>
    <t>CANARA ROBECO SHORT DURATION FUND</t>
  </si>
  <si>
    <t>Monthly Portfolio Statement as on August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</si>
  <si>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</si>
  <si>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</si>
  <si>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</si>
  <si>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</si>
  <si>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</si>
  <si>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</si>
  <si>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</si>
  <si>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Aug'23</t>
  </si>
  <si>
    <t>Benchmark Risk-o-meter Level- Aug'23</t>
  </si>
  <si>
    <t>Scheme Risk-o-meter Level- Jul'23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</si>
  <si>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</si>
  <si>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</si>
  <si>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</si>
  <si>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</si>
  <si>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</si>
  <si>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</si>
  <si>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</si>
  <si>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</si>
  <si>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8.23% REC Ltd (23/01/2025) **</t>
  </si>
  <si>
    <t>INE020B08898</t>
  </si>
  <si>
    <t>CRISIL AAA</t>
  </si>
  <si>
    <t>Relatively Low (Class I)</t>
  </si>
  <si>
    <t>8.40% Power Grid Corporation of India Ltd (27/05/2024) **</t>
  </si>
  <si>
    <t>INE752E07MQ8</t>
  </si>
  <si>
    <t>7.75% Small Industries Development Bank Of India (27/10/2025) **</t>
  </si>
  <si>
    <t>INE556F08KD0</t>
  </si>
  <si>
    <t>CARE AAA</t>
  </si>
  <si>
    <t>Moderate 
(Class II)</t>
  </si>
  <si>
    <t>B-II</t>
  </si>
  <si>
    <t>7.57% National Bank For Agriculture &amp; Rural Development (19/03/2026) **</t>
  </si>
  <si>
    <t>INE261F08DW2</t>
  </si>
  <si>
    <t>7.50% Grasim industries Ltd (10/06/2027) **</t>
  </si>
  <si>
    <t>INE047A08190</t>
  </si>
  <si>
    <t>Relatively High (Class III)</t>
  </si>
  <si>
    <t>7.38% LIC Housing Finance Ltd (18/08/2025) **</t>
  </si>
  <si>
    <t>INE115A07PZ0</t>
  </si>
  <si>
    <t>5.84% Bajaj Housing Finance Ltd (21/02/2024)</t>
  </si>
  <si>
    <t>INE377Y07292</t>
  </si>
  <si>
    <t>Benchmark: CRISIL Short Duration Debt B-II Index</t>
  </si>
  <si>
    <t>6.00% Bajaj Finance Ltd (10/09/2024) **</t>
  </si>
  <si>
    <t>INE296A07RK6</t>
  </si>
  <si>
    <t>7.16% Power Finance Corporation Ltd (24/04/2025) **</t>
  </si>
  <si>
    <t>INE134E08KP3</t>
  </si>
  <si>
    <t>5.42% HDB Financial Services Ltd (17/01/2024) **</t>
  </si>
  <si>
    <t>INE756I07EA1</t>
  </si>
  <si>
    <t>7.42% Power Finance Corporation Ltd (19/11/2024) **</t>
  </si>
  <si>
    <t>INE134E08KH0</t>
  </si>
  <si>
    <t>7.13% Power Finance Corporation Ltd (08/08/2025) **</t>
  </si>
  <si>
    <t>INE134E08LO4</t>
  </si>
  <si>
    <t>Sub Total</t>
  </si>
  <si>
    <t>Total</t>
  </si>
  <si>
    <t>Money Market Instruments</t>
  </si>
  <si>
    <t>Certificate of Deposit</t>
  </si>
  <si>
    <t>Kotak Mahindra Bank Ltd (08/09/2023) ** #</t>
  </si>
  <si>
    <t>INE237A163Q9</t>
  </si>
  <si>
    <t>CRISIL A1+</t>
  </si>
  <si>
    <t>Axis Bank Ltd (14/02/2024) #</t>
  </si>
  <si>
    <t>INE238AD6348</t>
  </si>
  <si>
    <t>Commercial Paper</t>
  </si>
  <si>
    <t>Reliance Jio Infocomm Ltd (29/09/2023) ** #</t>
  </si>
  <si>
    <t>INE110L14RD7</t>
  </si>
  <si>
    <t>CARE A1+</t>
  </si>
  <si>
    <t>Treasury Bill</t>
  </si>
  <si>
    <t>364 DAYS TREASURY BILLS 01-FEB-24</t>
  </si>
  <si>
    <t>IN002022Z440</t>
  </si>
  <si>
    <t xml:space="preserve"> Sovereign</t>
  </si>
  <si>
    <t>Government Bonds</t>
  </si>
  <si>
    <t>7.26% GOI 06-FEB-33</t>
  </si>
  <si>
    <t>IN0020220151</t>
  </si>
  <si>
    <t>Sovereign</t>
  </si>
  <si>
    <t>7.38% GOI 20-JUN-27</t>
  </si>
  <si>
    <t>IN0020220037</t>
  </si>
  <si>
    <t>7.06% GOI 2028 (10-APR-2028)</t>
  </si>
  <si>
    <t>IN0020230010</t>
  </si>
  <si>
    <t>5.63% INDIA GOVERNMENT 12-APR-26</t>
  </si>
  <si>
    <t>IN0020210012</t>
  </si>
  <si>
    <t>7.89% MAHARASHTRA SDL 08-JUN-32</t>
  </si>
  <si>
    <t>IN2220220098</t>
  </si>
  <si>
    <t>7.58% TAMIL NADU SDL 24-AUG-26</t>
  </si>
  <si>
    <t>IN3120160095</t>
  </si>
  <si>
    <t>7.86% Karnataka SDL 15-Mar-27</t>
  </si>
  <si>
    <t>IN1920160117</t>
  </si>
  <si>
    <t>TREPS</t>
  </si>
  <si>
    <t>Net Receivables / (Payables)</t>
  </si>
  <si>
    <t>Grand Total</t>
  </si>
  <si>
    <t>** 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</si>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</sst>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43" fontId="3" fillId="3" borderId="12" xfId="1" applyFont="1" applyFill="1" applyBorder="1" applyAlignment="1">
      <alignment horizontal="center"/>
    </xf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43" fontId="3" fillId="3" borderId="0" xfId="1" applyFont="1" applyFill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43" fontId="3" fillId="3" borderId="13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4" xfId="0" applyFont="1" applyFill="1" applyBorder="1"/>
    <xf numFmtId="0" fontId="9" fillId="3" borderId="14" xfId="0" applyNumberFormat="1" applyFont="1" applyFill="1" applyBorder="1"/>
    <xf numFmtId="4" fontId="9" fillId="3" borderId="15" xfId="0" applyNumberFormat="1" applyFont="1" applyFill="1" applyBorder="1"/>
    <xf numFmtId="4" fontId="9" fillId="3" borderId="14" xfId="0" applyNumberFormat="1" applyFont="1" applyFill="1" applyBorder="1"/>
    <xf numFmtId="0" fontId="9" fillId="3" borderId="0" xfId="0" applyFont="1" applyFill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3" borderId="11" xfId="0" applyNumberFormat="1" applyFont="1" applyFill="1" applyBorder="1"/>
    <xf numFmtId="4" fontId="9" fillId="3" borderId="17" xfId="0" applyNumberFormat="1" applyFont="1" applyFill="1" applyBorder="1"/>
    <xf numFmtId="4" fontId="9" fillId="3" borderId="11" xfId="0" applyNumberFormat="1" applyFont="1" applyFill="1" applyBorder="1"/>
    <xf numFmtId="0" fontId="3" fillId="3" borderId="18" xfId="0" applyFont="1" applyFill="1" applyBorder="1"/>
    <xf numFmtId="3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7" xfId="0" applyFont="1" applyFill="1" applyBorder="1"/>
    <xf numFmtId="0" fontId="9" fillId="3" borderId="17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10" xfId="0" applyFont="1" applyFill="1" applyBorder="1"/>
    <xf numFmtId="0" fontId="9" fillId="3" borderId="10" xfId="0" applyNumberFormat="1" applyFont="1" applyFill="1" applyBorder="1"/>
    <xf numFmtId="4" fontId="9" fillId="3" borderId="10" xfId="0" applyNumberFormat="1" applyFont="1" applyFill="1" applyBorder="1"/>
    <xf numFmtId="0" fontId="3" fillId="3" borderId="0" xfId="0" applyNumberFormat="1" applyFont="1" applyFill="1"/>
    <xf numFmtId="0" fontId="10" fillId="5" borderId="20" xfId="0" applyFont="1" applyFill="1" applyBorder="1"/>
    <xf numFmtId="2" fontId="9" fillId="3" borderId="21" xfId="0" applyNumberFormat="1" applyFont="1" applyFill="1" applyBorder="1"/>
    <xf numFmtId="10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57151</xdr:colOff>
      <xdr:row>4</xdr:row>
      <xdr:rowOff>119898</xdr:rowOff>
    </xdr:from>
    <xdr:to>
      <xdr:col>10</xdr:col>
      <xdr:colOff>2135189</xdr:colOff>
      <xdr:row>10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11001" y="1129548"/>
          <a:ext cx="2078038" cy="1299327"/>
        </a:xfrm>
        <a:prstGeom prst="rect">
          <a:avLst/>
        </a:prstGeom>
      </xdr:spPr>
    </xdr:pic>
    <xdr:clientData/>
  </xdr:twoCellAnchor>
  <xdr:oneCellAnchor>
    <xdr:from>
      <xdr:col>9</xdr:col>
      <xdr:colOff>66675</xdr:colOff>
      <xdr:row>4</xdr:row>
      <xdr:rowOff>180975</xdr:rowOff>
    </xdr:from>
    <xdr:ext cx="1981200" cy="1219199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15500" y="1190625"/>
          <a:ext cx="1981200" cy="1219199"/>
        </a:xfrm>
        <a:prstGeom prst="rect">
          <a:avLst/>
        </a:prstGeom>
      </xdr:spPr>
    </xdr:pic>
    <xdr:clientData/>
  </xdr:oneCellAnchor>
  <xdr:oneCellAnchor>
    <xdr:from>
      <xdr:col>11</xdr:col>
      <xdr:colOff>66675</xdr:colOff>
      <xdr:row>4</xdr:row>
      <xdr:rowOff>180975</xdr:rowOff>
    </xdr:from>
    <xdr:ext cx="1981200" cy="1219199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49375" y="1190625"/>
          <a:ext cx="1981200" cy="121919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03"/>
  <sheetViews>
    <sheetView tabSelected="1" topLeftCell="B1" workbookViewId="0">
      <selection activeCell="B1" sqref="B1:H1"/>
    </sheetView>
  </sheetViews>
  <sheetFormatPr defaultRowHeight="12"/>
  <cols>
    <col min="1" max="1" width="9.140625" style="3"/>
    <col min="2" max="2" width="60.28515625" style="3" bestFit="1" customWidth="1"/>
    <col min="3" max="3" width="13.85546875" style="3" bestFit="1" customWidth="1"/>
    <col min="4" max="4" width="14.140625" style="3" bestFit="1" customWidth="1"/>
    <col min="5" max="5" width="8.85546875" style="63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0" width="31.5703125" style="3" customWidth="1"/>
    <col min="11" max="11" width="33.42578125" style="3" customWidth="1"/>
    <col min="12" max="12" width="31.42578125" style="3" customWidth="1"/>
    <col min="13" max="13" width="4.7109375" style="3" customWidth="1"/>
    <col min="14" max="16384" width="9.14062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4" t="s">
        <v>1</v>
      </c>
      <c r="C3" s="5"/>
      <c r="D3" s="6"/>
      <c r="E3" s="7"/>
      <c r="F3" s="8"/>
      <c r="G3" s="8"/>
    </row>
    <row r="4" spans="2:17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  <c r="N4" s="16" t="s">
        <v>12</v>
      </c>
      <c r="O4" s="17"/>
      <c r="P4" s="17"/>
      <c r="Q4" s="18"/>
    </row>
    <row r="5" spans="2:17" ht="24">
      <c r="B5" s="19" t="s">
        <v>13</v>
      </c>
      <c r="C5" s="20"/>
      <c r="D5" s="20"/>
      <c r="E5" s="21"/>
      <c r="F5" s="22"/>
      <c r="G5" s="22"/>
      <c r="H5" s="22"/>
      <c r="J5" s="23"/>
      <c r="K5" s="23"/>
      <c r="L5" s="23"/>
      <c r="N5" s="24" t="s">
        <v>14</v>
      </c>
      <c r="O5" s="25" t="s">
        <v>15</v>
      </c>
      <c r="P5" s="25" t="s">
        <v>16</v>
      </c>
      <c r="Q5" s="25" t="s">
        <v>17</v>
      </c>
    </row>
    <row r="6" spans="2:17" ht="36">
      <c r="B6" s="26" t="s">
        <v>18</v>
      </c>
      <c r="C6" s="27"/>
      <c r="D6" s="27"/>
      <c r="E6" s="28"/>
      <c r="F6" s="29"/>
      <c r="G6" s="29"/>
      <c r="H6" s="29"/>
      <c r="J6" s="30"/>
      <c r="K6" s="30"/>
      <c r="L6" s="30"/>
      <c r="N6" s="31" t="s">
        <v>19</v>
      </c>
      <c r="O6" s="25"/>
      <c r="P6" s="25"/>
      <c r="Q6" s="25"/>
    </row>
    <row r="7" spans="2:17">
      <c r="B7" s="27" t="s">
        <v>20</v>
      </c>
      <c r="C7" s="27" t="s">
        <v>21</v>
      </c>
      <c r="D7" s="27" t="s">
        <v>22</v>
      </c>
      <c r="E7" s="32">
        <v>250</v>
      </c>
      <c r="F7" s="29">
        <v>2523.41</v>
      </c>
      <c r="G7" s="29">
        <v>5.52</v>
      </c>
      <c r="H7" s="29">
        <v>7.5</v>
      </c>
      <c r="J7" s="30"/>
      <c r="K7" s="30"/>
      <c r="L7" s="30"/>
      <c r="M7" s="33"/>
      <c r="N7" s="34" t="s">
        <v>23</v>
      </c>
      <c r="O7" s="35"/>
      <c r="P7" s="35"/>
      <c r="Q7" s="35"/>
    </row>
    <row r="8" spans="2:17">
      <c r="B8" s="27" t="s">
        <v>24</v>
      </c>
      <c r="C8" s="27" t="s">
        <v>25</v>
      </c>
      <c r="D8" s="27" t="s">
        <v>22</v>
      </c>
      <c r="E8" s="32">
        <v>250</v>
      </c>
      <c r="F8" s="29">
        <v>2515.9899999999998</v>
      </c>
      <c r="G8" s="29">
        <v>5.51</v>
      </c>
      <c r="H8" s="29">
        <v>7.32</v>
      </c>
      <c r="J8" s="30"/>
      <c r="K8" s="30"/>
      <c r="L8" s="30"/>
      <c r="M8" s="33"/>
      <c r="N8" s="34"/>
      <c r="O8" s="36"/>
      <c r="P8" s="36"/>
      <c r="Q8" s="36"/>
    </row>
    <row r="9" spans="2:17">
      <c r="B9" s="27" t="s">
        <v>26</v>
      </c>
      <c r="C9" s="27" t="s">
        <v>27</v>
      </c>
      <c r="D9" s="27" t="s">
        <v>28</v>
      </c>
      <c r="E9" s="32">
        <v>250</v>
      </c>
      <c r="F9" s="29">
        <v>2505.6999999999998</v>
      </c>
      <c r="G9" s="29">
        <v>5.49</v>
      </c>
      <c r="H9" s="29">
        <v>7.62</v>
      </c>
      <c r="J9" s="30"/>
      <c r="K9" s="30"/>
      <c r="L9" s="30"/>
      <c r="M9" s="33"/>
      <c r="N9" s="34" t="s">
        <v>29</v>
      </c>
      <c r="O9" s="35"/>
      <c r="P9" s="37" t="s">
        <v>30</v>
      </c>
      <c r="Q9" s="35"/>
    </row>
    <row r="10" spans="2:17">
      <c r="B10" s="27" t="s">
        <v>31</v>
      </c>
      <c r="C10" s="27" t="s">
        <v>32</v>
      </c>
      <c r="D10" s="27" t="s">
        <v>22</v>
      </c>
      <c r="E10" s="32">
        <v>2500</v>
      </c>
      <c r="F10" s="29">
        <v>2494.36</v>
      </c>
      <c r="G10" s="29">
        <v>5.46</v>
      </c>
      <c r="H10" s="29">
        <v>7.64</v>
      </c>
      <c r="J10" s="30"/>
      <c r="K10" s="30"/>
      <c r="L10" s="30"/>
      <c r="M10" s="33"/>
      <c r="N10" s="34"/>
      <c r="O10" s="36"/>
      <c r="P10" s="38"/>
      <c r="Q10" s="36"/>
    </row>
    <row r="11" spans="2:17">
      <c r="B11" s="27" t="s">
        <v>33</v>
      </c>
      <c r="C11" s="27" t="s">
        <v>34</v>
      </c>
      <c r="D11" s="27" t="s">
        <v>22</v>
      </c>
      <c r="E11" s="32">
        <v>250</v>
      </c>
      <c r="F11" s="29">
        <v>2491.67</v>
      </c>
      <c r="G11" s="29">
        <v>5.45</v>
      </c>
      <c r="H11" s="29">
        <v>7.59</v>
      </c>
      <c r="J11" s="30"/>
      <c r="K11" s="30"/>
      <c r="L11" s="30"/>
      <c r="M11" s="33"/>
      <c r="N11" s="34" t="s">
        <v>35</v>
      </c>
      <c r="O11" s="35"/>
      <c r="P11" s="35"/>
      <c r="Q11" s="35"/>
    </row>
    <row r="12" spans="2:17">
      <c r="B12" s="27" t="s">
        <v>36</v>
      </c>
      <c r="C12" s="27" t="s">
        <v>37</v>
      </c>
      <c r="D12" s="27" t="s">
        <v>22</v>
      </c>
      <c r="E12" s="32">
        <v>250</v>
      </c>
      <c r="F12" s="29">
        <v>2483.2800000000002</v>
      </c>
      <c r="G12" s="29">
        <v>5.44</v>
      </c>
      <c r="H12" s="29">
        <v>7.76</v>
      </c>
      <c r="J12" s="39"/>
      <c r="K12" s="39"/>
      <c r="L12" s="39"/>
      <c r="M12" s="33"/>
      <c r="N12" s="34"/>
      <c r="O12" s="36"/>
      <c r="P12" s="36"/>
      <c r="Q12" s="36"/>
    </row>
    <row r="13" spans="2:17">
      <c r="B13" s="27" t="s">
        <v>38</v>
      </c>
      <c r="C13" s="27" t="s">
        <v>39</v>
      </c>
      <c r="D13" s="27" t="s">
        <v>22</v>
      </c>
      <c r="E13" s="32">
        <v>250</v>
      </c>
      <c r="F13" s="29">
        <v>2480.13</v>
      </c>
      <c r="G13" s="29">
        <v>5.43</v>
      </c>
      <c r="H13" s="29">
        <v>7.35</v>
      </c>
      <c r="J13" s="40"/>
      <c r="K13" s="40" t="s">
        <v>40</v>
      </c>
      <c r="L13" s="33"/>
      <c r="M13" s="33"/>
    </row>
    <row r="14" spans="2:17">
      <c r="B14" s="27" t="s">
        <v>41</v>
      </c>
      <c r="C14" s="27" t="s">
        <v>42</v>
      </c>
      <c r="D14" s="27" t="s">
        <v>22</v>
      </c>
      <c r="E14" s="32">
        <v>250</v>
      </c>
      <c r="F14" s="29">
        <v>2456.31</v>
      </c>
      <c r="G14" s="29">
        <v>5.38</v>
      </c>
      <c r="H14" s="29">
        <v>7.84</v>
      </c>
      <c r="J14" s="33"/>
      <c r="K14" s="33"/>
      <c r="L14" s="33"/>
      <c r="M14" s="33"/>
    </row>
    <row r="15" spans="2:17">
      <c r="B15" s="27" t="s">
        <v>43</v>
      </c>
      <c r="C15" s="27" t="s">
        <v>44</v>
      </c>
      <c r="D15" s="27" t="s">
        <v>22</v>
      </c>
      <c r="E15" s="32">
        <v>200</v>
      </c>
      <c r="F15" s="29">
        <v>1987.45</v>
      </c>
      <c r="G15" s="29">
        <v>4.3499999999999996</v>
      </c>
      <c r="H15" s="29">
        <v>7.54</v>
      </c>
      <c r="J15" s="33"/>
      <c r="K15" s="33"/>
      <c r="L15" s="33"/>
      <c r="M15" s="33"/>
    </row>
    <row r="16" spans="2:17">
      <c r="B16" s="27" t="s">
        <v>45</v>
      </c>
      <c r="C16" s="27" t="s">
        <v>46</v>
      </c>
      <c r="D16" s="27" t="s">
        <v>22</v>
      </c>
      <c r="E16" s="32">
        <v>150</v>
      </c>
      <c r="F16" s="29">
        <v>1486.29</v>
      </c>
      <c r="G16" s="29">
        <v>3.25</v>
      </c>
      <c r="H16" s="29">
        <v>7.65</v>
      </c>
      <c r="J16" s="33"/>
      <c r="K16" s="33"/>
      <c r="L16" s="33"/>
      <c r="M16" s="33"/>
    </row>
    <row r="17" spans="2:13">
      <c r="B17" s="27" t="s">
        <v>47</v>
      </c>
      <c r="C17" s="27" t="s">
        <v>48</v>
      </c>
      <c r="D17" s="27" t="s">
        <v>22</v>
      </c>
      <c r="E17" s="32">
        <v>100</v>
      </c>
      <c r="F17" s="29">
        <v>998.93</v>
      </c>
      <c r="G17" s="29">
        <v>2.19</v>
      </c>
      <c r="H17" s="29">
        <v>7.48</v>
      </c>
      <c r="J17" s="33"/>
      <c r="K17" s="33"/>
      <c r="L17" s="33"/>
      <c r="M17" s="33"/>
    </row>
    <row r="18" spans="2:13">
      <c r="B18" s="27" t="s">
        <v>49</v>
      </c>
      <c r="C18" s="27" t="s">
        <v>50</v>
      </c>
      <c r="D18" s="27" t="s">
        <v>22</v>
      </c>
      <c r="E18" s="32">
        <v>50</v>
      </c>
      <c r="F18" s="29">
        <v>496.15</v>
      </c>
      <c r="G18" s="29">
        <v>1.0900000000000001</v>
      </c>
      <c r="H18" s="29">
        <v>7.57</v>
      </c>
      <c r="J18" s="33"/>
      <c r="K18" s="33"/>
      <c r="L18" s="33"/>
      <c r="M18" s="33"/>
    </row>
    <row r="19" spans="2:13">
      <c r="B19" s="41" t="s">
        <v>51</v>
      </c>
      <c r="C19" s="41"/>
      <c r="D19" s="41"/>
      <c r="E19" s="42"/>
      <c r="F19" s="43">
        <f>SUM(F6:F18)</f>
        <v>24919.670000000006</v>
      </c>
      <c r="G19" s="43">
        <f>SUM(G6:G18)</f>
        <v>54.56</v>
      </c>
      <c r="H19" s="44"/>
      <c r="I19" s="45"/>
      <c r="J19" s="33"/>
      <c r="K19" s="33"/>
      <c r="L19" s="33"/>
      <c r="M19" s="33"/>
    </row>
    <row r="20" spans="2:13">
      <c r="B20" s="46" t="s">
        <v>52</v>
      </c>
      <c r="C20" s="46"/>
      <c r="D20" s="46"/>
      <c r="E20" s="47"/>
      <c r="F20" s="48">
        <f>F19</f>
        <v>24919.670000000006</v>
      </c>
      <c r="G20" s="48">
        <f>G19</f>
        <v>54.56</v>
      </c>
      <c r="H20" s="48"/>
      <c r="I20" s="45"/>
      <c r="J20" s="33"/>
      <c r="K20" s="33"/>
      <c r="L20" s="33"/>
      <c r="M20" s="33"/>
    </row>
    <row r="21" spans="2:13">
      <c r="B21" s="26" t="s">
        <v>53</v>
      </c>
      <c r="C21" s="27"/>
      <c r="D21" s="27"/>
      <c r="E21" s="28"/>
      <c r="F21" s="29"/>
      <c r="G21" s="29"/>
      <c r="H21" s="29"/>
      <c r="J21" s="33"/>
      <c r="K21" s="33"/>
      <c r="L21" s="33"/>
      <c r="M21" s="33"/>
    </row>
    <row r="22" spans="2:13">
      <c r="B22" s="26" t="s">
        <v>54</v>
      </c>
      <c r="C22" s="27"/>
      <c r="D22" s="27"/>
      <c r="E22" s="28"/>
      <c r="F22" s="29"/>
      <c r="G22" s="29"/>
      <c r="H22" s="29"/>
      <c r="J22" s="33"/>
      <c r="K22" s="33"/>
      <c r="L22" s="33"/>
      <c r="M22" s="33"/>
    </row>
    <row r="23" spans="2:13">
      <c r="B23" s="27" t="s">
        <v>55</v>
      </c>
      <c r="C23" s="27" t="s">
        <v>56</v>
      </c>
      <c r="D23" s="27" t="s">
        <v>57</v>
      </c>
      <c r="E23" s="32">
        <v>500</v>
      </c>
      <c r="F23" s="29">
        <v>2496.67</v>
      </c>
      <c r="G23" s="29">
        <v>5.47</v>
      </c>
      <c r="H23" s="29">
        <v>6.95</v>
      </c>
      <c r="J23" s="33"/>
      <c r="K23" s="33"/>
      <c r="L23" s="33"/>
      <c r="M23" s="33"/>
    </row>
    <row r="24" spans="2:13">
      <c r="B24" s="27" t="s">
        <v>58</v>
      </c>
      <c r="C24" s="27" t="s">
        <v>59</v>
      </c>
      <c r="D24" s="27" t="s">
        <v>57</v>
      </c>
      <c r="E24" s="32">
        <v>500</v>
      </c>
      <c r="F24" s="29">
        <v>2420.1999999999998</v>
      </c>
      <c r="G24" s="29">
        <v>5.3</v>
      </c>
      <c r="H24" s="29">
        <v>7.25</v>
      </c>
      <c r="J24" s="33"/>
      <c r="K24" s="33"/>
      <c r="L24" s="33"/>
      <c r="M24" s="33"/>
    </row>
    <row r="25" spans="2:13">
      <c r="B25" s="26" t="s">
        <v>51</v>
      </c>
      <c r="C25" s="26"/>
      <c r="D25" s="26"/>
      <c r="E25" s="49"/>
      <c r="F25" s="50">
        <f>SUM(F22:F24)</f>
        <v>4916.87</v>
      </c>
      <c r="G25" s="50">
        <f>SUM(G22:G24)</f>
        <v>10.77</v>
      </c>
      <c r="H25" s="51"/>
      <c r="I25" s="45"/>
      <c r="J25" s="33"/>
      <c r="K25" s="33"/>
      <c r="L25" s="33"/>
      <c r="M25" s="33"/>
    </row>
    <row r="26" spans="2:13">
      <c r="B26" s="26" t="s">
        <v>60</v>
      </c>
      <c r="C26" s="27"/>
      <c r="D26" s="27"/>
      <c r="E26" s="28"/>
      <c r="F26" s="29"/>
      <c r="G26" s="29"/>
      <c r="H26" s="29"/>
      <c r="J26" s="33"/>
      <c r="K26" s="33"/>
      <c r="L26" s="33"/>
      <c r="M26" s="33"/>
    </row>
    <row r="27" spans="2:13">
      <c r="B27" s="27" t="s">
        <v>61</v>
      </c>
      <c r="C27" s="27" t="s">
        <v>62</v>
      </c>
      <c r="D27" s="27" t="s">
        <v>63</v>
      </c>
      <c r="E27" s="32">
        <v>500</v>
      </c>
      <c r="F27" s="29">
        <v>2486.62</v>
      </c>
      <c r="G27" s="29">
        <v>5.44</v>
      </c>
      <c r="H27" s="29">
        <v>7.01</v>
      </c>
      <c r="J27" s="33"/>
      <c r="K27" s="33"/>
      <c r="L27" s="33"/>
      <c r="M27" s="33"/>
    </row>
    <row r="28" spans="2:13">
      <c r="B28" s="26" t="s">
        <v>51</v>
      </c>
      <c r="C28" s="26"/>
      <c r="D28" s="26"/>
      <c r="E28" s="49"/>
      <c r="F28" s="50">
        <f>SUM(F26:F27)</f>
        <v>2486.62</v>
      </c>
      <c r="G28" s="50">
        <f>SUM(G26:G27)</f>
        <v>5.44</v>
      </c>
      <c r="H28" s="51"/>
      <c r="I28" s="45"/>
      <c r="J28" s="33"/>
      <c r="K28" s="33"/>
      <c r="L28" s="33"/>
      <c r="M28" s="33"/>
    </row>
    <row r="29" spans="2:13">
      <c r="B29" s="26" t="s">
        <v>64</v>
      </c>
      <c r="C29" s="27"/>
      <c r="D29" s="27"/>
      <c r="E29" s="28"/>
      <c r="F29" s="29"/>
      <c r="G29" s="29"/>
      <c r="H29" s="29"/>
      <c r="J29" s="33"/>
      <c r="K29" s="33"/>
      <c r="L29" s="33"/>
      <c r="M29" s="33"/>
    </row>
    <row r="30" spans="2:13">
      <c r="B30" s="27" t="s">
        <v>65</v>
      </c>
      <c r="C30" s="27" t="s">
        <v>66</v>
      </c>
      <c r="D30" s="27" t="s">
        <v>67</v>
      </c>
      <c r="E30" s="32">
        <v>250000</v>
      </c>
      <c r="F30" s="29">
        <v>242.9</v>
      </c>
      <c r="G30" s="29">
        <v>0.53</v>
      </c>
      <c r="H30" s="29">
        <v>6.98</v>
      </c>
      <c r="J30" s="33"/>
      <c r="K30" s="33"/>
      <c r="L30" s="33"/>
      <c r="M30" s="33"/>
    </row>
    <row r="31" spans="2:13">
      <c r="B31" s="41" t="s">
        <v>51</v>
      </c>
      <c r="C31" s="41"/>
      <c r="D31" s="41"/>
      <c r="E31" s="42"/>
      <c r="F31" s="43">
        <f>SUM(F29:F30)</f>
        <v>242.9</v>
      </c>
      <c r="G31" s="43">
        <f>SUM(G29:G30)</f>
        <v>0.53</v>
      </c>
      <c r="H31" s="44"/>
      <c r="I31" s="45"/>
      <c r="J31" s="33"/>
      <c r="K31" s="33"/>
      <c r="L31" s="33"/>
      <c r="M31" s="33"/>
    </row>
    <row r="32" spans="2:13">
      <c r="B32" s="46" t="s">
        <v>52</v>
      </c>
      <c r="C32" s="46"/>
      <c r="D32" s="46"/>
      <c r="E32" s="47"/>
      <c r="F32" s="48">
        <f>F25+F28+F31</f>
        <v>7646.3899999999994</v>
      </c>
      <c r="G32" s="48">
        <f>G25+G28+G31</f>
        <v>16.740000000000002</v>
      </c>
      <c r="H32" s="48"/>
      <c r="I32" s="45"/>
      <c r="J32" s="33"/>
      <c r="K32" s="33"/>
      <c r="L32" s="33"/>
      <c r="M32" s="33"/>
    </row>
    <row r="33" spans="2:13">
      <c r="B33" s="26" t="s">
        <v>68</v>
      </c>
      <c r="C33" s="27"/>
      <c r="D33" s="27"/>
      <c r="E33" s="28"/>
      <c r="F33" s="29"/>
      <c r="G33" s="29"/>
      <c r="H33" s="29"/>
      <c r="J33" s="33"/>
      <c r="K33" s="33"/>
      <c r="L33" s="33"/>
      <c r="M33" s="33"/>
    </row>
    <row r="34" spans="2:13">
      <c r="B34" s="27" t="s">
        <v>69</v>
      </c>
      <c r="C34" s="27" t="s">
        <v>70</v>
      </c>
      <c r="D34" s="27" t="s">
        <v>71</v>
      </c>
      <c r="E34" s="32">
        <v>3000000</v>
      </c>
      <c r="F34" s="29">
        <v>3018.83</v>
      </c>
      <c r="G34" s="29">
        <v>6.61</v>
      </c>
      <c r="H34" s="29">
        <v>7.29</v>
      </c>
      <c r="J34" s="33"/>
      <c r="K34" s="33"/>
      <c r="L34" s="33"/>
      <c r="M34" s="33"/>
    </row>
    <row r="35" spans="2:13">
      <c r="B35" s="27" t="s">
        <v>72</v>
      </c>
      <c r="C35" s="27" t="s">
        <v>73</v>
      </c>
      <c r="D35" s="27" t="s">
        <v>71</v>
      </c>
      <c r="E35" s="32">
        <v>2500000</v>
      </c>
      <c r="F35" s="29">
        <v>2517.39</v>
      </c>
      <c r="G35" s="29">
        <v>5.51</v>
      </c>
      <c r="H35" s="29">
        <v>7.29</v>
      </c>
      <c r="J35" s="33"/>
      <c r="K35" s="33"/>
      <c r="L35" s="33"/>
      <c r="M35" s="33"/>
    </row>
    <row r="36" spans="2:13">
      <c r="B36" s="27" t="s">
        <v>74</v>
      </c>
      <c r="C36" s="27" t="s">
        <v>75</v>
      </c>
      <c r="D36" s="27" t="s">
        <v>71</v>
      </c>
      <c r="E36" s="32">
        <v>2500000</v>
      </c>
      <c r="F36" s="29">
        <v>2490.44</v>
      </c>
      <c r="G36" s="29">
        <v>5.45</v>
      </c>
      <c r="H36" s="29">
        <v>7.28</v>
      </c>
      <c r="J36" s="33"/>
      <c r="K36" s="33"/>
      <c r="L36" s="33"/>
      <c r="M36" s="33"/>
    </row>
    <row r="37" spans="2:13">
      <c r="B37" s="27" t="s">
        <v>76</v>
      </c>
      <c r="C37" s="27" t="s">
        <v>77</v>
      </c>
      <c r="D37" s="27" t="s">
        <v>71</v>
      </c>
      <c r="E37" s="32">
        <v>1500000</v>
      </c>
      <c r="F37" s="29">
        <v>1446.25</v>
      </c>
      <c r="G37" s="29">
        <v>3.17</v>
      </c>
      <c r="H37" s="29">
        <v>7.28</v>
      </c>
      <c r="J37" s="33"/>
      <c r="K37" s="33"/>
      <c r="L37" s="33"/>
      <c r="M37" s="33"/>
    </row>
    <row r="38" spans="2:13">
      <c r="B38" s="27" t="s">
        <v>78</v>
      </c>
      <c r="C38" s="27" t="s">
        <v>79</v>
      </c>
      <c r="D38" s="27" t="s">
        <v>71</v>
      </c>
      <c r="E38" s="32">
        <v>1000000</v>
      </c>
      <c r="F38" s="29">
        <v>1029.48</v>
      </c>
      <c r="G38" s="29">
        <v>2.25</v>
      </c>
      <c r="H38" s="29">
        <v>7.56</v>
      </c>
      <c r="J38" s="33"/>
      <c r="K38" s="33"/>
      <c r="L38" s="33"/>
      <c r="M38" s="33"/>
    </row>
    <row r="39" spans="2:13">
      <c r="B39" s="27" t="s">
        <v>80</v>
      </c>
      <c r="C39" s="27" t="s">
        <v>81</v>
      </c>
      <c r="D39" s="27" t="s">
        <v>71</v>
      </c>
      <c r="E39" s="32">
        <v>500000</v>
      </c>
      <c r="F39" s="29">
        <v>502.59</v>
      </c>
      <c r="G39" s="29">
        <v>1.1000000000000001</v>
      </c>
      <c r="H39" s="29">
        <v>7.52</v>
      </c>
      <c r="J39" s="33"/>
      <c r="K39" s="33"/>
      <c r="L39" s="33"/>
      <c r="M39" s="33"/>
    </row>
    <row r="40" spans="2:13">
      <c r="B40" s="52" t="s">
        <v>82</v>
      </c>
      <c r="C40" s="52" t="s">
        <v>83</v>
      </c>
      <c r="D40" s="52" t="s">
        <v>71</v>
      </c>
      <c r="E40" s="53">
        <v>28300</v>
      </c>
      <c r="F40" s="54">
        <v>28.7</v>
      </c>
      <c r="G40" s="54">
        <v>0.06</v>
      </c>
      <c r="H40" s="54">
        <v>7.53</v>
      </c>
      <c r="J40" s="33"/>
      <c r="K40" s="33"/>
      <c r="L40" s="33"/>
      <c r="M40" s="33"/>
    </row>
    <row r="41" spans="2:13">
      <c r="B41" s="55" t="s">
        <v>52</v>
      </c>
      <c r="C41" s="55"/>
      <c r="D41" s="55"/>
      <c r="E41" s="56"/>
      <c r="F41" s="50">
        <f>SUM(F34:F40)</f>
        <v>11033.68</v>
      </c>
      <c r="G41" s="50">
        <f>SUM(G34:G40)</f>
        <v>24.150000000000002</v>
      </c>
      <c r="H41" s="50"/>
      <c r="I41" s="45"/>
      <c r="J41" s="33"/>
      <c r="K41" s="33"/>
      <c r="L41" s="33"/>
      <c r="M41" s="33"/>
    </row>
    <row r="42" spans="2:13">
      <c r="B42" s="26" t="s">
        <v>84</v>
      </c>
      <c r="C42" s="27"/>
      <c r="D42" s="27"/>
      <c r="E42" s="28"/>
      <c r="F42" s="29"/>
      <c r="G42" s="29"/>
      <c r="H42" s="29"/>
      <c r="J42" s="33"/>
      <c r="K42" s="33"/>
      <c r="L42" s="33"/>
      <c r="M42" s="33"/>
    </row>
    <row r="43" spans="2:13">
      <c r="B43" s="27" t="s">
        <v>84</v>
      </c>
      <c r="C43" s="27"/>
      <c r="D43" s="27"/>
      <c r="E43" s="28"/>
      <c r="F43" s="29">
        <v>1088.0899999999999</v>
      </c>
      <c r="G43" s="29">
        <v>2.38</v>
      </c>
      <c r="H43" s="29"/>
      <c r="J43" s="33"/>
      <c r="K43" s="33"/>
      <c r="L43" s="33"/>
      <c r="M43" s="33"/>
    </row>
    <row r="44" spans="2:13">
      <c r="B44" s="41" t="s">
        <v>51</v>
      </c>
      <c r="C44" s="41"/>
      <c r="D44" s="41"/>
      <c r="E44" s="42"/>
      <c r="F44" s="43">
        <f>SUM(F42:F43)</f>
        <v>1088.0899999999999</v>
      </c>
      <c r="G44" s="43">
        <f>SUM(G42:G43)</f>
        <v>2.38</v>
      </c>
      <c r="H44" s="44"/>
      <c r="I44" s="45"/>
      <c r="J44" s="33"/>
      <c r="K44" s="33"/>
      <c r="L44" s="33"/>
      <c r="M44" s="33"/>
    </row>
    <row r="45" spans="2:13">
      <c r="B45" s="57" t="s">
        <v>52</v>
      </c>
      <c r="C45" s="57"/>
      <c r="D45" s="57"/>
      <c r="E45" s="58"/>
      <c r="F45" s="59">
        <f>F44</f>
        <v>1088.0899999999999</v>
      </c>
      <c r="G45" s="59">
        <f>G44</f>
        <v>2.38</v>
      </c>
      <c r="H45" s="59"/>
      <c r="I45" s="45"/>
      <c r="J45" s="33"/>
      <c r="K45" s="33"/>
      <c r="L45" s="33"/>
      <c r="M45" s="33"/>
    </row>
    <row r="46" spans="2:13">
      <c r="B46" s="60" t="s">
        <v>85</v>
      </c>
      <c r="C46" s="60"/>
      <c r="D46" s="60"/>
      <c r="E46" s="61"/>
      <c r="F46" s="62">
        <f>F47-(+F20+F32+F41+F45)</f>
        <v>992.62999999999738</v>
      </c>
      <c r="G46" s="62">
        <f>G47-(+G20+G32+G41+G45)</f>
        <v>2.1699999999999875</v>
      </c>
      <c r="H46" s="62"/>
      <c r="I46" s="45"/>
      <c r="J46" s="33"/>
      <c r="K46" s="33"/>
      <c r="L46" s="33"/>
      <c r="M46" s="33"/>
    </row>
    <row r="47" spans="2:13">
      <c r="B47" s="60" t="s">
        <v>86</v>
      </c>
      <c r="C47" s="60"/>
      <c r="D47" s="60"/>
      <c r="E47" s="61"/>
      <c r="F47" s="62">
        <v>45680.46</v>
      </c>
      <c r="G47" s="62">
        <v>100</v>
      </c>
      <c r="H47" s="62"/>
      <c r="I47" s="45"/>
      <c r="J47" s="33"/>
      <c r="K47" s="33"/>
      <c r="L47" s="33"/>
      <c r="M47" s="33"/>
    </row>
    <row r="48" spans="2:13">
      <c r="J48" s="33"/>
      <c r="K48" s="33"/>
      <c r="L48" s="33"/>
      <c r="M48" s="33"/>
    </row>
    <row r="49" spans="2:13">
      <c r="B49" s="45" t="s">
        <v>87</v>
      </c>
      <c r="J49" s="33"/>
      <c r="K49" s="33"/>
      <c r="L49" s="33"/>
      <c r="M49" s="33"/>
    </row>
    <row r="50" spans="2:13">
      <c r="B50" s="45" t="s">
        <v>88</v>
      </c>
      <c r="J50" s="33"/>
      <c r="K50" s="33"/>
      <c r="L50" s="33"/>
      <c r="M50" s="33"/>
    </row>
    <row r="51" spans="2:13" ht="12.75" thickBot="1">
      <c r="J51" s="33"/>
      <c r="K51" s="33"/>
      <c r="L51" s="33"/>
      <c r="M51" s="33"/>
    </row>
    <row r="52" spans="2:13" ht="13.5" thickTop="1" thickBot="1">
      <c r="B52" s="64" t="s">
        <v>89</v>
      </c>
      <c r="C52" s="65">
        <v>1.881</v>
      </c>
      <c r="J52" s="33"/>
      <c r="K52" s="33"/>
      <c r="L52" s="33"/>
      <c r="M52" s="33"/>
    </row>
    <row r="53" spans="2:13" ht="13.5" thickTop="1" thickBot="1">
      <c r="J53" s="33"/>
      <c r="K53" s="33"/>
      <c r="L53" s="33"/>
      <c r="M53" s="33"/>
    </row>
    <row r="54" spans="2:13" ht="13.5" thickTop="1" thickBot="1">
      <c r="B54" s="64" t="s">
        <v>90</v>
      </c>
      <c r="C54" s="66">
        <v>7.3899999999999993E-2</v>
      </c>
      <c r="J54" s="33"/>
      <c r="K54" s="33"/>
      <c r="L54" s="33"/>
      <c r="M54" s="33"/>
    </row>
    <row r="55" spans="2:13" ht="13.5" thickTop="1" thickBot="1">
      <c r="J55" s="33"/>
      <c r="K55" s="33"/>
      <c r="L55" s="33"/>
      <c r="M55" s="33"/>
    </row>
    <row r="56" spans="2:13" ht="13.5" thickTop="1" thickBot="1">
      <c r="B56" s="64" t="s">
        <v>91</v>
      </c>
      <c r="C56" s="65">
        <v>2.0230000000000001</v>
      </c>
      <c r="J56" s="33"/>
      <c r="K56" s="33"/>
      <c r="L56" s="33"/>
      <c r="M56" s="33"/>
    </row>
    <row r="57" spans="2:13" ht="12.75" thickTop="1">
      <c r="J57" s="33"/>
      <c r="K57" s="33"/>
      <c r="L57" s="33"/>
      <c r="M57" s="33"/>
    </row>
    <row r="58" spans="2:13">
      <c r="J58" s="33"/>
      <c r="K58" s="33"/>
      <c r="L58" s="33"/>
      <c r="M58" s="33"/>
    </row>
    <row r="59" spans="2:13">
      <c r="J59" s="33"/>
      <c r="K59" s="33"/>
      <c r="L59" s="33"/>
      <c r="M59" s="33"/>
    </row>
    <row r="60" spans="2:13">
      <c r="J60" s="33"/>
      <c r="K60" s="33"/>
      <c r="L60" s="33"/>
      <c r="M60" s="33"/>
    </row>
    <row r="61" spans="2:13">
      <c r="J61" s="33"/>
      <c r="K61" s="33"/>
      <c r="L61" s="33"/>
      <c r="M61" s="33"/>
    </row>
    <row r="62" spans="2:13">
      <c r="J62" s="33"/>
      <c r="K62" s="33"/>
      <c r="L62" s="33"/>
      <c r="M62" s="33"/>
    </row>
    <row r="63" spans="2:13">
      <c r="J63" s="33"/>
      <c r="K63" s="33"/>
      <c r="L63" s="33"/>
      <c r="M63" s="33"/>
    </row>
    <row r="64" spans="2:13">
      <c r="J64" s="33"/>
      <c r="K64" s="33"/>
      <c r="L64" s="33"/>
      <c r="M64" s="33"/>
    </row>
    <row r="65" spans="10:13">
      <c r="J65" s="33"/>
      <c r="K65" s="33"/>
      <c r="L65" s="33"/>
      <c r="M65" s="33"/>
    </row>
    <row r="66" spans="10:13">
      <c r="J66" s="33"/>
      <c r="K66" s="33"/>
      <c r="L66" s="33"/>
      <c r="M66" s="33"/>
    </row>
    <row r="67" spans="10:13">
      <c r="J67" s="33"/>
      <c r="K67" s="33"/>
      <c r="L67" s="33"/>
      <c r="M67" s="33"/>
    </row>
    <row r="68" spans="10:13">
      <c r="J68" s="33"/>
      <c r="K68" s="33"/>
      <c r="L68" s="33"/>
      <c r="M68" s="33"/>
    </row>
    <row r="69" spans="10:13">
      <c r="J69" s="33"/>
      <c r="K69" s="33"/>
      <c r="L69" s="33"/>
      <c r="M69" s="33"/>
    </row>
    <row r="70" spans="10:13">
      <c r="J70" s="33"/>
      <c r="K70" s="33"/>
      <c r="L70" s="33"/>
      <c r="M70" s="33"/>
    </row>
    <row r="71" spans="10:13">
      <c r="J71" s="33"/>
      <c r="K71" s="33"/>
      <c r="L71" s="33"/>
      <c r="M71" s="33"/>
    </row>
    <row r="72" spans="10:13">
      <c r="J72" s="33"/>
      <c r="K72" s="33"/>
      <c r="L72" s="33"/>
      <c r="M72" s="33"/>
    </row>
    <row r="73" spans="10:13">
      <c r="J73" s="33"/>
      <c r="K73" s="33"/>
      <c r="L73" s="33"/>
      <c r="M73" s="33"/>
    </row>
    <row r="74" spans="10:13">
      <c r="J74" s="33"/>
      <c r="K74" s="33"/>
      <c r="L74" s="33"/>
      <c r="M74" s="33"/>
    </row>
    <row r="75" spans="10:13">
      <c r="J75" s="33"/>
      <c r="K75" s="33"/>
      <c r="L75" s="33"/>
      <c r="M75" s="33"/>
    </row>
    <row r="76" spans="10:13">
      <c r="J76" s="33"/>
      <c r="K76" s="33"/>
      <c r="L76" s="33"/>
      <c r="M76" s="33"/>
    </row>
    <row r="77" spans="10:13">
      <c r="J77" s="33"/>
      <c r="K77" s="33"/>
      <c r="L77" s="33"/>
      <c r="M77" s="33"/>
    </row>
    <row r="78" spans="10:13">
      <c r="J78" s="33"/>
      <c r="K78" s="33"/>
      <c r="L78" s="33"/>
      <c r="M78" s="33"/>
    </row>
    <row r="79" spans="10:13">
      <c r="J79" s="33"/>
      <c r="K79" s="33"/>
      <c r="L79" s="33"/>
      <c r="M79" s="33"/>
    </row>
    <row r="80" spans="10:13">
      <c r="J80" s="33"/>
      <c r="K80" s="33"/>
      <c r="L80" s="33"/>
      <c r="M80" s="33"/>
    </row>
    <row r="81" spans="10:13">
      <c r="J81" s="33"/>
      <c r="K81" s="33"/>
      <c r="L81" s="33"/>
      <c r="M81" s="33"/>
    </row>
    <row r="82" spans="10:13">
      <c r="J82" s="33"/>
      <c r="K82" s="33"/>
      <c r="L82" s="33"/>
      <c r="M82" s="33"/>
    </row>
    <row r="83" spans="10:13">
      <c r="J83" s="33"/>
      <c r="K83" s="33"/>
      <c r="L83" s="33"/>
      <c r="M83" s="33"/>
    </row>
    <row r="84" spans="10:13">
      <c r="J84" s="33"/>
      <c r="K84" s="33"/>
      <c r="L84" s="33"/>
      <c r="M84" s="33"/>
    </row>
    <row r="85" spans="10:13">
      <c r="J85" s="33"/>
      <c r="K85" s="33"/>
      <c r="L85" s="33"/>
      <c r="M85" s="33"/>
    </row>
    <row r="86" spans="10:13">
      <c r="J86" s="33"/>
      <c r="K86" s="33"/>
      <c r="L86" s="33"/>
      <c r="M86" s="33"/>
    </row>
    <row r="87" spans="10:13">
      <c r="J87" s="33"/>
      <c r="K87" s="33"/>
      <c r="L87" s="33"/>
      <c r="M87" s="33"/>
    </row>
    <row r="88" spans="10:13">
      <c r="J88" s="33"/>
      <c r="K88" s="33"/>
      <c r="L88" s="33"/>
      <c r="M88" s="33"/>
    </row>
    <row r="89" spans="10:13">
      <c r="J89" s="33"/>
      <c r="K89" s="33"/>
      <c r="L89" s="33"/>
      <c r="M89" s="33"/>
    </row>
    <row r="90" spans="10:13">
      <c r="J90" s="33"/>
      <c r="K90" s="33"/>
      <c r="L90" s="33"/>
      <c r="M90" s="33"/>
    </row>
    <row r="91" spans="10:13">
      <c r="J91" s="33"/>
      <c r="K91" s="33"/>
      <c r="L91" s="33"/>
      <c r="M91" s="33"/>
    </row>
    <row r="92" spans="10:13">
      <c r="J92" s="33"/>
      <c r="K92" s="33"/>
      <c r="L92" s="33"/>
      <c r="M92" s="33"/>
    </row>
    <row r="93" spans="10:13">
      <c r="J93" s="33"/>
      <c r="K93" s="33"/>
      <c r="L93" s="33"/>
      <c r="M93" s="33"/>
    </row>
    <row r="94" spans="10:13">
      <c r="J94" s="33"/>
      <c r="K94" s="33"/>
      <c r="L94" s="33"/>
      <c r="M94" s="33"/>
    </row>
    <row r="95" spans="10:13">
      <c r="J95" s="33"/>
      <c r="K95" s="33"/>
      <c r="L95" s="33"/>
      <c r="M95" s="33"/>
    </row>
    <row r="96" spans="10:13">
      <c r="J96" s="33"/>
      <c r="K96" s="33"/>
      <c r="L96" s="33"/>
      <c r="M96" s="33"/>
    </row>
    <row r="97" spans="10:13">
      <c r="J97" s="33"/>
      <c r="K97" s="33"/>
      <c r="L97" s="33"/>
      <c r="M97" s="33"/>
    </row>
    <row r="98" spans="10:13">
      <c r="J98" s="33"/>
      <c r="K98" s="33"/>
      <c r="L98" s="33"/>
      <c r="M98" s="33"/>
    </row>
    <row r="99" spans="10:13">
      <c r="J99" s="33"/>
      <c r="K99" s="33"/>
      <c r="L99" s="33"/>
      <c r="M99" s="33"/>
    </row>
    <row r="100" spans="10:13">
      <c r="J100" s="33"/>
      <c r="K100" s="33"/>
      <c r="L100" s="33"/>
      <c r="M100" s="33"/>
    </row>
    <row r="101" spans="10:13">
      <c r="J101" s="33"/>
      <c r="K101" s="33"/>
      <c r="L101" s="33"/>
      <c r="M101" s="33"/>
    </row>
    <row r="102" spans="10:13">
      <c r="J102" s="33"/>
      <c r="K102" s="33"/>
      <c r="L102" s="33"/>
      <c r="M102" s="33"/>
    </row>
    <row r="103" spans="10:13">
      <c r="J103" s="33"/>
      <c r="K103" s="33"/>
      <c r="L103" s="33"/>
      <c r="M103" s="33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2023-09-06 14:30:07</KDate>
  <Classification>Public</Classification>
  <Subclassification/>
  <HostName>MUMCMP00935</HostName>
  <Domain_User>CANARAROBECOMF/628</Domain_User>
  <IPAdd>192.9.198.194</IPAdd>
  <FilePath>Book22</FilePath>
  <KID>C025A5607E97638296074075809956</KID>
  <UniqueName/>
  <Suggested/>
  <Justification/>
</Klassify>
</file>

<file path=customXml/itemProps1.xml><?xml version="1.0" encoding="utf-8"?>
<ds:datastoreItem xmlns:ds="http://schemas.openxmlformats.org/officeDocument/2006/customXml" ds:itemID="{C94F6514-2570-4C7B-945E-82A3B87E73C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2023-09-06T09:00:00Z</dcterms:created>
  <dcterms:modified xsi:type="dcterms:W3CDTF">2023-09-06T09:00:08Z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C025A5607E97638296074075809956</vt:lpwstr>
  </property>
</Properties>
</file>