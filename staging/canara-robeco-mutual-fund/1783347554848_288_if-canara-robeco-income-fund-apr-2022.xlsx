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April 2022\"/>
    </mc:Choice>
  </mc:AlternateContent>
  <xr:revisionPtr revIDLastSave="0" documentId="8_{C7619B2E-6DA9-4CF2-AE70-FB1D622675A1}" xr6:coauthVersionLast="47" xr6:coauthVersionMax="47" xr10:uidLastSave="{00000000-0000-0000-0000-000000000000}"/>
  <bookViews>
    <workbookView xWindow="-120" yWindow="-120" windowWidth="20730" windowHeight="11160" xr2:uid="{A4E96AF0-772B-4424-82F7-7804F136B46B}"/>
  </bookViews>
  <sheets>
    <sheet name="I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2" i="1" l="1"/>
  <c r="G31" i="1"/>
  <c r="G32" i="1" s="1"/>
  <c r="F31" i="1"/>
  <c r="G28" i="1"/>
  <c r="F28" i="1"/>
  <c r="G12" i="1"/>
  <c r="G13" i="1" s="1"/>
  <c r="G33" i="1" s="1"/>
  <c r="F12" i="1"/>
  <c r="F13" i="1" s="1"/>
  <c r="F33" i="1" s="1"/>
</calcChain>
</file>

<file path=xl/sharedStrings.xml><?xml version="1.0" encoding="utf-8"?>
<sst xmlns="http://schemas.openxmlformats.org/spreadsheetml/2006/main" count="91" uniqueCount="71">
  <si>
    <t>CANARA ROBECO INCOME FUND</t>
  </si>
  <si>
    <t>Monthly Portfolio Statement as on April 30,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</si>
  <si>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</si>
  <si>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</si>
  <si>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</si>
  <si>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</si>
  <si>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</si>
  <si>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</si>
  <si>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</si>
  <si>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Apr'22</t>
  </si>
  <si>
    <t>Benchmark Risk-o-meter Level- Apr'22</t>
  </si>
  <si>
    <t>Previous Scheme Risk-o-meter Level- Mar'22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</si>
  <si>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</si>
  <si>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</si>
  <si>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</si>
  <si>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</si>
  <si>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</si>
  <si>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</si>
  <si>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</si>
  <si>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</si>
  <si>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8.70% Power Finance Corporation Ltd (14/05/2025) **</t>
  </si>
  <si>
    <t>INE134E08CY2</t>
  </si>
  <si>
    <t>CRISIL AAA</t>
  </si>
  <si>
    <t>Relatively Low (Class I)</t>
  </si>
  <si>
    <t>8.79% LIC Housing Finance Ltd (05/03/2024) **</t>
  </si>
  <si>
    <t>INE115A07NY8</t>
  </si>
  <si>
    <t>7.99% Housing Development Finance Corporation Ltd (11/07/2024) **</t>
  </si>
  <si>
    <t>INE001A07RV7</t>
  </si>
  <si>
    <t>Moderate 
(Class II)</t>
  </si>
  <si>
    <t>8.13% Power Grid Corporation of India Ltd (25/04/2023) **</t>
  </si>
  <si>
    <t>INE752E07NP8</t>
  </si>
  <si>
    <t>7.17% Reliance Industries Ltd (08/11/2022) **</t>
  </si>
  <si>
    <t>INE002A08500</t>
  </si>
  <si>
    <t>Relatively High (Class III)</t>
  </si>
  <si>
    <t>B-III</t>
  </si>
  <si>
    <t>Sub Total</t>
  </si>
  <si>
    <t>Total</t>
  </si>
  <si>
    <t>Benchmark: CRISIL Medium to Long Duration Fund B-III Index</t>
  </si>
  <si>
    <t>Government Bonds</t>
  </si>
  <si>
    <t>7.35% INDIA GOVERNMENT 22-JUN-24</t>
  </si>
  <si>
    <t>IN0020090034</t>
  </si>
  <si>
    <t>Sovereign</t>
  </si>
  <si>
    <t>Note: The risk-o-meter level of  scheme is revised based on the Notice-cum-Addendum No.11., dated 05/05/2022.. However, there is no change in the product labelling of the schemes.</t>
  </si>
  <si>
    <t>7.32% GOI (28/01/2024)</t>
  </si>
  <si>
    <t>IN0020180488</t>
  </si>
  <si>
    <t>7.10% GOI 18-APR-29</t>
  </si>
  <si>
    <t>IN0020220011</t>
  </si>
  <si>
    <t>6.79% GOI (15/05/2027)</t>
  </si>
  <si>
    <t>IN0020170026</t>
  </si>
  <si>
    <t>5.74% GOI (15/11/2026)</t>
  </si>
  <si>
    <t>IN0020210186</t>
  </si>
  <si>
    <t>6.54% GOI 17-JAN-32</t>
  </si>
  <si>
    <t>IN0020210244</t>
  </si>
  <si>
    <t>5.63% GOI (12/04/2026)</t>
  </si>
  <si>
    <t>IN0020210012</t>
  </si>
  <si>
    <t>7.59% GOI (11/01/2026)</t>
  </si>
  <si>
    <t>IN0020150093</t>
  </si>
  <si>
    <t>7.27% INDIA GOVERNMENT 08-APR-26</t>
  </si>
  <si>
    <t>IN0020190016</t>
  </si>
  <si>
    <t>8.08% INDIA GOVERNMENT 02-AUG-22</t>
  </si>
  <si>
    <t>IN0020070028</t>
  </si>
  <si>
    <t>6.18% GOI (04/11/2024)</t>
  </si>
  <si>
    <t>IN0020190396</t>
  </si>
  <si>
    <t>4.48% GOI (02/11/2023)</t>
  </si>
  <si>
    <t>IN0020200211</t>
  </si>
  <si>
    <t>8.47% Maharashtra SDL 10-Feb-26</t>
  </si>
  <si>
    <t>IN2220150188</t>
  </si>
  <si>
    <t>TREPS</t>
  </si>
  <si>
    <t>Net Receivables / (Payables)</t>
  </si>
  <si>
    <t>Grand Total</t>
  </si>
  <si>
    <t>**  Non Traded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</si>
</sst>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i/>
      <sz val="10"/>
      <color theme="1"/>
      <name val="Taz SemiLight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9" fillId="3" borderId="10" xfId="0" applyFont="1" applyFill="1" applyBorder="1"/>
    <xf numFmtId="0" fontId="3" fillId="3" borderId="10" xfId="0" applyFont="1" applyFill="1" applyBorder="1"/>
    <xf numFmtId="4" fontId="3" fillId="3" borderId="10" xfId="0" applyNumberFormat="1" applyFont="1" applyFill="1" applyBorder="1"/>
    <xf numFmtId="0" fontId="9" fillId="0" borderId="5" xfId="0" applyFont="1" applyBorder="1" applyAlignment="1">
      <alignment horizontal="left" vertical="top" wrapText="1"/>
    </xf>
    <xf numFmtId="3" fontId="3" fillId="3" borderId="10" xfId="0" applyNumberFormat="1" applyFont="1" applyFill="1" applyBorder="1"/>
    <xf numFmtId="43" fontId="3" fillId="3" borderId="0" xfId="1" applyFont="1" applyFill="1"/>
    <xf numFmtId="0" fontId="9" fillId="0" borderId="5" xfId="0" applyFont="1" applyBorder="1" applyAlignment="1">
      <alignment horizontal="left" wrapText="1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4" borderId="11" xfId="0" applyFont="1" applyFill="1" applyBorder="1" applyAlignment="1">
      <alignment horizontal="center" vertical="center"/>
    </xf>
    <xf numFmtId="0" fontId="9" fillId="3" borderId="13" xfId="0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4" borderId="12" xfId="0" applyFont="1" applyFill="1" applyBorder="1" applyAlignment="1">
      <alignment horizontal="center" vertical="center"/>
    </xf>
    <xf numFmtId="0" fontId="9" fillId="3" borderId="15" xfId="0" applyFont="1" applyFill="1" applyBorder="1"/>
    <xf numFmtId="4" fontId="9" fillId="3" borderId="15" xfId="0" applyNumberFormat="1" applyFont="1" applyFill="1" applyBorder="1"/>
    <xf numFmtId="0" fontId="10" fillId="5" borderId="0" xfId="0" applyFont="1" applyFill="1" applyAlignment="1">
      <alignment horizontal="left" wrapText="1"/>
    </xf>
    <xf numFmtId="0" fontId="3" fillId="3" borderId="16" xfId="0" applyFont="1" applyFill="1" applyBorder="1"/>
    <xf numFmtId="3" fontId="3" fillId="3" borderId="16" xfId="0" applyNumberFormat="1" applyFont="1" applyFill="1" applyBorder="1"/>
    <xf numFmtId="4" fontId="3" fillId="3" borderId="16" xfId="0" applyNumberFormat="1" applyFont="1" applyFill="1" applyBorder="1"/>
    <xf numFmtId="0" fontId="9" fillId="3" borderId="17" xfId="0" applyFont="1" applyFill="1" applyBorder="1"/>
    <xf numFmtId="4" fontId="9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5" xfId="0" applyFont="1" applyFill="1" applyBorder="1"/>
    <xf numFmtId="4" fontId="9" fillId="3" borderId="5" xfId="0" applyNumberFormat="1" applyFont="1" applyFill="1" applyBorder="1"/>
    <xf numFmtId="0" fontId="9" fillId="3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62443</xdr:colOff>
      <xdr:row>4</xdr:row>
      <xdr:rowOff>183355</xdr:rowOff>
    </xdr:from>
    <xdr:to>
      <xdr:col>11</xdr:col>
      <xdr:colOff>1562100</xdr:colOff>
      <xdr:row>10</xdr:row>
      <xdr:rowOff>152398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717676-E407-426B-9C10-62B9DA145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21193" y="1193005"/>
          <a:ext cx="1499657" cy="1188243"/>
        </a:xfrm>
        <a:prstGeom prst="rect">
          <a:avLst/>
        </a:prstGeom>
      </xdr:spPr>
    </xdr:pic>
    <xdr:clientData/>
  </xdr:twoCellAnchor>
  <xdr:oneCellAnchor>
    <xdr:from>
      <xdr:col>9</xdr:col>
      <xdr:colOff>76200</xdr:colOff>
      <xdr:row>4</xdr:row>
      <xdr:rowOff>197642</xdr:rowOff>
    </xdr:from>
    <xdr:ext cx="1552575" cy="1171576"/>
    <xdr:pic>
      <xdr:nvPicPr>
        <xdr:cNvPr id="3" name="Picture 2">
          <a:extLst>
            <a:ext uri="{FF2B5EF4-FFF2-40B4-BE49-F238E27FC236}">
              <a16:creationId xmlns:a16="http://schemas.microsoft.com/office/drawing/2014/main" id="{545254B8-A6F2-4C26-A1E3-131ECDD4F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86900" y="1207292"/>
          <a:ext cx="1552575" cy="1171576"/>
        </a:xfrm>
        <a:prstGeom prst="rect">
          <a:avLst/>
        </a:prstGeom>
      </xdr:spPr>
    </xdr:pic>
    <xdr:clientData/>
  </xdr:oneCellAnchor>
  <xdr:oneCellAnchor>
    <xdr:from>
      <xdr:col>10</xdr:col>
      <xdr:colOff>144727</xdr:colOff>
      <xdr:row>4</xdr:row>
      <xdr:rowOff>200025</xdr:rowOff>
    </xdr:from>
    <xdr:ext cx="1522147" cy="1171205"/>
    <xdr:pic>
      <xdr:nvPicPr>
        <xdr:cNvPr id="4" name="Picture 3">
          <a:extLst>
            <a:ext uri="{FF2B5EF4-FFF2-40B4-BE49-F238E27FC236}">
              <a16:creationId xmlns:a16="http://schemas.microsoft.com/office/drawing/2014/main" id="{7D95DDCC-EC4A-477C-AF76-3AB35084C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79452" y="1209675"/>
          <a:ext cx="1522147" cy="117120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5F36B-F8C9-4178-9DEF-502E897D2EFA}">
  <dimension ref="B1:Q46"/>
  <sheetViews>
    <sheetView tabSelected="1" topLeftCell="C1" workbookViewId="0">
      <selection activeCell="J15" sqref="J15:L17"/>
    </sheetView>
  </sheetViews>
  <sheetFormatPr defaultRowHeight="12"/>
  <cols>
    <col min="1" max="1" width="9.140625" style="3"/>
    <col min="2" max="2" width="57.140625" style="3" bestFit="1" customWidth="1"/>
    <col min="3" max="3" width="13.5703125" style="3" bestFit="1" customWidth="1"/>
    <col min="4" max="4" width="14.140625" style="3" bestFit="1" customWidth="1"/>
    <col min="5" max="5" width="8.85546875" style="3" bestFit="1" customWidth="1"/>
    <col min="6" max="6" width="15.28515625" style="8" bestFit="1" customWidth="1"/>
    <col min="7" max="7" width="7.42578125" style="8" bestFit="1" customWidth="1"/>
    <col min="8" max="8" width="6.5703125" style="8" bestFit="1" customWidth="1"/>
    <col min="9" max="9" width="9" style="3" bestFit="1" customWidth="1"/>
    <col min="10" max="11" width="25.85546875" style="3" customWidth="1"/>
    <col min="12" max="12" width="26.140625" style="3" customWidth="1"/>
    <col min="13" max="13" width="9.140625" style="3"/>
    <col min="14" max="14" width="11.28515625" style="3" customWidth="1"/>
    <col min="15" max="15" width="12.7109375" style="3" customWidth="1"/>
    <col min="16" max="16" width="12.28515625" style="3" customWidth="1"/>
    <col min="17" max="17" width="12.5703125" style="3" customWidth="1"/>
    <col min="18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4" t="s">
        <v>1</v>
      </c>
      <c r="C3" s="5"/>
      <c r="D3" s="6"/>
      <c r="E3" s="6"/>
      <c r="F3" s="7"/>
      <c r="G3" s="7"/>
    </row>
    <row r="4" spans="2:17" ht="30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  <c r="N4" s="14" t="s">
        <v>12</v>
      </c>
      <c r="O4" s="15"/>
      <c r="P4" s="15"/>
      <c r="Q4" s="16"/>
    </row>
    <row r="5" spans="2:17" ht="24">
      <c r="B5" s="17" t="s">
        <v>13</v>
      </c>
      <c r="C5" s="18"/>
      <c r="D5" s="18"/>
      <c r="E5" s="18"/>
      <c r="F5" s="19"/>
      <c r="G5" s="19"/>
      <c r="H5" s="19"/>
      <c r="J5" s="20"/>
      <c r="K5" s="20"/>
      <c r="L5" s="20"/>
      <c r="N5" s="21" t="s">
        <v>14</v>
      </c>
      <c r="O5" s="22" t="s">
        <v>15</v>
      </c>
      <c r="P5" s="22" t="s">
        <v>16</v>
      </c>
      <c r="Q5" s="22" t="s">
        <v>17</v>
      </c>
    </row>
    <row r="6" spans="2:17" ht="24">
      <c r="B6" s="23" t="s">
        <v>18</v>
      </c>
      <c r="C6" s="24"/>
      <c r="D6" s="24"/>
      <c r="E6" s="24"/>
      <c r="F6" s="25"/>
      <c r="G6" s="25"/>
      <c r="H6" s="25"/>
      <c r="J6" s="20"/>
      <c r="K6" s="20"/>
      <c r="L6" s="20"/>
      <c r="N6" s="26" t="s">
        <v>19</v>
      </c>
      <c r="O6" s="22"/>
      <c r="P6" s="22"/>
      <c r="Q6" s="22"/>
    </row>
    <row r="7" spans="2:17">
      <c r="B7" s="24" t="s">
        <v>20</v>
      </c>
      <c r="C7" s="24" t="s">
        <v>21</v>
      </c>
      <c r="D7" s="24" t="s">
        <v>22</v>
      </c>
      <c r="E7" s="27">
        <v>50</v>
      </c>
      <c r="F7" s="25">
        <v>530.38</v>
      </c>
      <c r="G7" s="25">
        <v>4.09</v>
      </c>
      <c r="H7" s="25">
        <v>6.43</v>
      </c>
      <c r="I7" s="28"/>
      <c r="J7" s="20"/>
      <c r="K7" s="20"/>
      <c r="L7" s="20"/>
      <c r="N7" s="29" t="s">
        <v>23</v>
      </c>
      <c r="O7" s="30"/>
      <c r="P7" s="30"/>
      <c r="Q7" s="30"/>
    </row>
    <row r="8" spans="2:17">
      <c r="B8" s="24" t="s">
        <v>24</v>
      </c>
      <c r="C8" s="24" t="s">
        <v>25</v>
      </c>
      <c r="D8" s="24" t="s">
        <v>22</v>
      </c>
      <c r="E8" s="27">
        <v>50</v>
      </c>
      <c r="F8" s="25">
        <v>522.05999999999995</v>
      </c>
      <c r="G8" s="25">
        <v>4.03</v>
      </c>
      <c r="H8" s="25">
        <v>6.17</v>
      </c>
      <c r="I8" s="28"/>
      <c r="J8" s="20"/>
      <c r="K8" s="20"/>
      <c r="L8" s="20"/>
      <c r="N8" s="29"/>
      <c r="O8" s="31"/>
      <c r="P8" s="31"/>
      <c r="Q8" s="31"/>
    </row>
    <row r="9" spans="2:17">
      <c r="B9" s="24" t="s">
        <v>26</v>
      </c>
      <c r="C9" s="24" t="s">
        <v>27</v>
      </c>
      <c r="D9" s="24" t="s">
        <v>22</v>
      </c>
      <c r="E9" s="27">
        <v>50</v>
      </c>
      <c r="F9" s="25">
        <v>517.15</v>
      </c>
      <c r="G9" s="25">
        <v>3.99</v>
      </c>
      <c r="H9" s="25">
        <v>6.25</v>
      </c>
      <c r="I9" s="28"/>
      <c r="J9" s="20"/>
      <c r="K9" s="20"/>
      <c r="L9" s="20"/>
      <c r="N9" s="29" t="s">
        <v>28</v>
      </c>
      <c r="O9" s="30"/>
      <c r="P9" s="30"/>
      <c r="Q9" s="30"/>
    </row>
    <row r="10" spans="2:17">
      <c r="B10" s="24" t="s">
        <v>29</v>
      </c>
      <c r="C10" s="24" t="s">
        <v>30</v>
      </c>
      <c r="D10" s="24" t="s">
        <v>22</v>
      </c>
      <c r="E10" s="27">
        <v>50</v>
      </c>
      <c r="F10" s="25">
        <v>513.82000000000005</v>
      </c>
      <c r="G10" s="25">
        <v>3.96</v>
      </c>
      <c r="H10" s="25">
        <v>5.18</v>
      </c>
      <c r="I10" s="28"/>
      <c r="J10" s="20"/>
      <c r="K10" s="20"/>
      <c r="L10" s="20"/>
      <c r="N10" s="29"/>
      <c r="O10" s="31"/>
      <c r="P10" s="31"/>
      <c r="Q10" s="31"/>
    </row>
    <row r="11" spans="2:17">
      <c r="B11" s="24" t="s">
        <v>31</v>
      </c>
      <c r="C11" s="24" t="s">
        <v>32</v>
      </c>
      <c r="D11" s="24" t="s">
        <v>22</v>
      </c>
      <c r="E11" s="27">
        <v>50</v>
      </c>
      <c r="F11" s="25">
        <v>505.62</v>
      </c>
      <c r="G11" s="25">
        <v>3.9</v>
      </c>
      <c r="H11" s="25">
        <v>4.82</v>
      </c>
      <c r="I11" s="28"/>
      <c r="J11" s="20"/>
      <c r="K11" s="20"/>
      <c r="L11" s="20"/>
      <c r="N11" s="29" t="s">
        <v>33</v>
      </c>
      <c r="O11" s="30"/>
      <c r="P11" s="32" t="s">
        <v>34</v>
      </c>
      <c r="Q11" s="30"/>
    </row>
    <row r="12" spans="2:17">
      <c r="B12" s="33" t="s">
        <v>35</v>
      </c>
      <c r="C12" s="33"/>
      <c r="D12" s="33"/>
      <c r="E12" s="33"/>
      <c r="F12" s="34">
        <f>SUM(F6:F11)</f>
        <v>2589.0300000000002</v>
      </c>
      <c r="G12" s="34">
        <f>SUM(G6:G11)</f>
        <v>19.97</v>
      </c>
      <c r="H12" s="35"/>
      <c r="I12" s="28"/>
      <c r="J12" s="20"/>
      <c r="K12" s="20"/>
      <c r="L12" s="20"/>
      <c r="N12" s="29"/>
      <c r="O12" s="31"/>
      <c r="P12" s="36"/>
      <c r="Q12" s="31"/>
    </row>
    <row r="13" spans="2:17">
      <c r="B13" s="37" t="s">
        <v>36</v>
      </c>
      <c r="C13" s="37"/>
      <c r="D13" s="37"/>
      <c r="E13" s="37"/>
      <c r="F13" s="38">
        <f>F12</f>
        <v>2589.0300000000002</v>
      </c>
      <c r="G13" s="38">
        <f>G12</f>
        <v>19.97</v>
      </c>
      <c r="H13" s="38"/>
      <c r="I13" s="28"/>
      <c r="J13" s="28"/>
      <c r="K13" s="28" t="s">
        <v>37</v>
      </c>
      <c r="L13" s="28"/>
    </row>
    <row r="14" spans="2:17">
      <c r="B14" s="23" t="s">
        <v>38</v>
      </c>
      <c r="C14" s="24"/>
      <c r="D14" s="24"/>
      <c r="E14" s="24"/>
      <c r="F14" s="25"/>
      <c r="G14" s="25"/>
      <c r="H14" s="25"/>
      <c r="I14" s="28"/>
      <c r="J14" s="28"/>
      <c r="K14" s="28"/>
      <c r="L14" s="28"/>
    </row>
    <row r="15" spans="2:17" ht="17.25" customHeight="1">
      <c r="B15" s="24" t="s">
        <v>39</v>
      </c>
      <c r="C15" s="24" t="s">
        <v>40</v>
      </c>
      <c r="D15" s="24" t="s">
        <v>41</v>
      </c>
      <c r="E15" s="27">
        <v>1000000</v>
      </c>
      <c r="F15" s="25">
        <v>1030.04</v>
      </c>
      <c r="G15" s="25">
        <v>7.94</v>
      </c>
      <c r="H15" s="25">
        <v>5.83</v>
      </c>
      <c r="I15" s="28"/>
      <c r="J15" s="39" t="s">
        <v>42</v>
      </c>
      <c r="K15" s="39"/>
      <c r="L15" s="39"/>
    </row>
    <row r="16" spans="2:17">
      <c r="B16" s="24" t="s">
        <v>43</v>
      </c>
      <c r="C16" s="24" t="s">
        <v>44</v>
      </c>
      <c r="D16" s="24" t="s">
        <v>41</v>
      </c>
      <c r="E16" s="27">
        <v>1000000</v>
      </c>
      <c r="F16" s="25">
        <v>1029.82</v>
      </c>
      <c r="G16" s="25">
        <v>7.94</v>
      </c>
      <c r="H16" s="25">
        <v>5.5</v>
      </c>
      <c r="I16" s="28"/>
      <c r="J16" s="39"/>
      <c r="K16" s="39"/>
      <c r="L16" s="39"/>
    </row>
    <row r="17" spans="2:12">
      <c r="B17" s="24" t="s">
        <v>45</v>
      </c>
      <c r="C17" s="24" t="s">
        <v>46</v>
      </c>
      <c r="D17" s="24" t="s">
        <v>41</v>
      </c>
      <c r="E17" s="27">
        <v>1000000</v>
      </c>
      <c r="F17" s="25">
        <v>1001.11</v>
      </c>
      <c r="G17" s="25">
        <v>7.72</v>
      </c>
      <c r="H17" s="25">
        <v>7.08</v>
      </c>
      <c r="I17" s="28"/>
      <c r="J17" s="39"/>
      <c r="K17" s="39"/>
      <c r="L17" s="39"/>
    </row>
    <row r="18" spans="2:12">
      <c r="B18" s="24" t="s">
        <v>47</v>
      </c>
      <c r="C18" s="24" t="s">
        <v>48</v>
      </c>
      <c r="D18" s="24" t="s">
        <v>41</v>
      </c>
      <c r="E18" s="27">
        <v>1000000</v>
      </c>
      <c r="F18" s="25">
        <v>998.36</v>
      </c>
      <c r="G18" s="25">
        <v>7.7</v>
      </c>
      <c r="H18" s="25">
        <v>6.83</v>
      </c>
      <c r="I18" s="28"/>
      <c r="J18" s="28"/>
      <c r="K18" s="28"/>
      <c r="L18" s="28"/>
    </row>
    <row r="19" spans="2:12">
      <c r="B19" s="24" t="s">
        <v>49</v>
      </c>
      <c r="C19" s="24" t="s">
        <v>50</v>
      </c>
      <c r="D19" s="24" t="s">
        <v>41</v>
      </c>
      <c r="E19" s="27">
        <v>1000000</v>
      </c>
      <c r="F19" s="25">
        <v>964.46</v>
      </c>
      <c r="G19" s="25">
        <v>7.44</v>
      </c>
      <c r="H19" s="25">
        <v>6.66</v>
      </c>
      <c r="I19" s="28"/>
      <c r="J19" s="28"/>
      <c r="K19" s="28"/>
      <c r="L19" s="28"/>
    </row>
    <row r="20" spans="2:12">
      <c r="B20" s="24" t="s">
        <v>51</v>
      </c>
      <c r="C20" s="24" t="s">
        <v>52</v>
      </c>
      <c r="D20" s="24" t="s">
        <v>41</v>
      </c>
      <c r="E20" s="27">
        <v>1000000</v>
      </c>
      <c r="F20" s="25">
        <v>958.55</v>
      </c>
      <c r="G20" s="25">
        <v>7.39</v>
      </c>
      <c r="H20" s="25">
        <v>7.14</v>
      </c>
      <c r="I20" s="28"/>
      <c r="J20" s="28"/>
      <c r="K20" s="28"/>
      <c r="L20" s="28"/>
    </row>
    <row r="21" spans="2:12">
      <c r="B21" s="24" t="s">
        <v>53</v>
      </c>
      <c r="C21" s="24" t="s">
        <v>54</v>
      </c>
      <c r="D21" s="24" t="s">
        <v>41</v>
      </c>
      <c r="E21" s="27">
        <v>750000</v>
      </c>
      <c r="F21" s="25">
        <v>727.72</v>
      </c>
      <c r="G21" s="25">
        <v>5.61</v>
      </c>
      <c r="H21" s="25">
        <v>6.49</v>
      </c>
      <c r="I21" s="28"/>
      <c r="J21" s="28"/>
      <c r="K21" s="28"/>
      <c r="L21" s="28"/>
    </row>
    <row r="22" spans="2:12">
      <c r="B22" s="24" t="s">
        <v>55</v>
      </c>
      <c r="C22" s="24" t="s">
        <v>56</v>
      </c>
      <c r="D22" s="24" t="s">
        <v>41</v>
      </c>
      <c r="E22" s="27">
        <v>500000</v>
      </c>
      <c r="F22" s="25">
        <v>517.35</v>
      </c>
      <c r="G22" s="25">
        <v>3.99</v>
      </c>
      <c r="H22" s="25">
        <v>6.51</v>
      </c>
      <c r="I22" s="28"/>
      <c r="J22" s="28"/>
      <c r="K22" s="28"/>
      <c r="L22" s="28"/>
    </row>
    <row r="23" spans="2:12">
      <c r="B23" s="24" t="s">
        <v>57</v>
      </c>
      <c r="C23" s="24" t="s">
        <v>58</v>
      </c>
      <c r="D23" s="24" t="s">
        <v>41</v>
      </c>
      <c r="E23" s="27">
        <v>500000</v>
      </c>
      <c r="F23" s="25">
        <v>511.29</v>
      </c>
      <c r="G23" s="25">
        <v>3.94</v>
      </c>
      <c r="H23" s="25">
        <v>6.61</v>
      </c>
      <c r="I23" s="28"/>
      <c r="J23" s="28"/>
      <c r="K23" s="28"/>
      <c r="L23" s="28"/>
    </row>
    <row r="24" spans="2:12">
      <c r="B24" s="24" t="s">
        <v>59</v>
      </c>
      <c r="C24" s="24" t="s">
        <v>60</v>
      </c>
      <c r="D24" s="24" t="s">
        <v>41</v>
      </c>
      <c r="E24" s="27">
        <v>500000</v>
      </c>
      <c r="F24" s="25">
        <v>504.81</v>
      </c>
      <c r="G24" s="25">
        <v>3.89</v>
      </c>
      <c r="H24" s="25">
        <v>4.25</v>
      </c>
      <c r="I24" s="28"/>
      <c r="J24" s="28"/>
      <c r="K24" s="28"/>
      <c r="L24" s="28"/>
    </row>
    <row r="25" spans="2:12">
      <c r="B25" s="24" t="s">
        <v>61</v>
      </c>
      <c r="C25" s="24" t="s">
        <v>62</v>
      </c>
      <c r="D25" s="24" t="s">
        <v>41</v>
      </c>
      <c r="E25" s="27">
        <v>500000</v>
      </c>
      <c r="F25" s="25">
        <v>504.24</v>
      </c>
      <c r="G25" s="25">
        <v>3.89</v>
      </c>
      <c r="H25" s="25">
        <v>5.81</v>
      </c>
      <c r="I25" s="28"/>
      <c r="J25" s="28"/>
      <c r="K25" s="28"/>
      <c r="L25" s="28"/>
    </row>
    <row r="26" spans="2:12">
      <c r="B26" s="24" t="s">
        <v>63</v>
      </c>
      <c r="C26" s="24" t="s">
        <v>64</v>
      </c>
      <c r="D26" s="24" t="s">
        <v>41</v>
      </c>
      <c r="E26" s="27">
        <v>500000</v>
      </c>
      <c r="F26" s="25">
        <v>494.2</v>
      </c>
      <c r="G26" s="25">
        <v>3.81</v>
      </c>
      <c r="H26" s="25">
        <v>5.29</v>
      </c>
      <c r="I26" s="28"/>
      <c r="J26" s="28"/>
      <c r="K26" s="28"/>
      <c r="L26" s="28"/>
    </row>
    <row r="27" spans="2:12">
      <c r="B27" s="40" t="s">
        <v>65</v>
      </c>
      <c r="C27" s="40" t="s">
        <v>66</v>
      </c>
      <c r="D27" s="40" t="s">
        <v>41</v>
      </c>
      <c r="E27" s="41">
        <v>28000</v>
      </c>
      <c r="F27" s="42">
        <v>29.53</v>
      </c>
      <c r="G27" s="42">
        <v>0.23</v>
      </c>
      <c r="H27" s="42">
        <v>6.8</v>
      </c>
      <c r="I27" s="28"/>
      <c r="J27" s="28"/>
      <c r="K27" s="28"/>
      <c r="L27" s="28"/>
    </row>
    <row r="28" spans="2:12">
      <c r="B28" s="43" t="s">
        <v>36</v>
      </c>
      <c r="C28" s="43"/>
      <c r="D28" s="43"/>
      <c r="E28" s="43"/>
      <c r="F28" s="44">
        <f>SUM(F15:F27)</f>
        <v>9271.4800000000014</v>
      </c>
      <c r="G28" s="44">
        <f>SUM(G15:G27)</f>
        <v>71.490000000000009</v>
      </c>
      <c r="H28" s="44"/>
      <c r="I28" s="28"/>
      <c r="J28" s="28"/>
      <c r="K28" s="28"/>
      <c r="L28" s="28"/>
    </row>
    <row r="29" spans="2:12">
      <c r="B29" s="23" t="s">
        <v>67</v>
      </c>
      <c r="C29" s="24"/>
      <c r="D29" s="24"/>
      <c r="E29" s="24"/>
      <c r="F29" s="25"/>
      <c r="G29" s="25"/>
      <c r="H29" s="25"/>
      <c r="I29" s="28"/>
      <c r="J29" s="28"/>
      <c r="K29" s="28"/>
      <c r="L29" s="28"/>
    </row>
    <row r="30" spans="2:12">
      <c r="B30" s="24" t="s">
        <v>67</v>
      </c>
      <c r="C30" s="24"/>
      <c r="D30" s="24"/>
      <c r="E30" s="24"/>
      <c r="F30" s="25">
        <v>831</v>
      </c>
      <c r="G30" s="25">
        <v>6.41</v>
      </c>
      <c r="H30" s="25"/>
      <c r="I30" s="28"/>
      <c r="J30" s="28"/>
      <c r="K30" s="28"/>
      <c r="L30" s="28"/>
    </row>
    <row r="31" spans="2:12">
      <c r="B31" s="33" t="s">
        <v>35</v>
      </c>
      <c r="C31" s="33"/>
      <c r="D31" s="33"/>
      <c r="E31" s="33"/>
      <c r="F31" s="34">
        <f>SUM(F29:F30)</f>
        <v>831</v>
      </c>
      <c r="G31" s="34">
        <f>SUM(G29:G30)</f>
        <v>6.41</v>
      </c>
      <c r="H31" s="35"/>
      <c r="I31" s="28"/>
      <c r="J31" s="28"/>
      <c r="K31" s="28"/>
      <c r="L31" s="28"/>
    </row>
    <row r="32" spans="2:12">
      <c r="B32" s="45" t="s">
        <v>36</v>
      </c>
      <c r="C32" s="45"/>
      <c r="D32" s="45"/>
      <c r="E32" s="45"/>
      <c r="F32" s="46">
        <f>F31</f>
        <v>831</v>
      </c>
      <c r="G32" s="46">
        <f>G31</f>
        <v>6.41</v>
      </c>
      <c r="H32" s="46"/>
      <c r="I32" s="28"/>
      <c r="J32" s="28"/>
      <c r="K32" s="28"/>
      <c r="L32" s="28"/>
    </row>
    <row r="33" spans="2:12">
      <c r="B33" s="47" t="s">
        <v>68</v>
      </c>
      <c r="C33" s="47"/>
      <c r="D33" s="47"/>
      <c r="E33" s="47"/>
      <c r="F33" s="48">
        <f>F34-(+F13+F28+F32)</f>
        <v>277.78999999999724</v>
      </c>
      <c r="G33" s="48">
        <f>G34-(+G13+G28+G32)</f>
        <v>2.1299999999999955</v>
      </c>
      <c r="H33" s="48"/>
      <c r="I33" s="28"/>
      <c r="J33" s="28"/>
      <c r="K33" s="28"/>
      <c r="L33" s="28"/>
    </row>
    <row r="34" spans="2:12">
      <c r="B34" s="47" t="s">
        <v>69</v>
      </c>
      <c r="C34" s="47"/>
      <c r="D34" s="47"/>
      <c r="E34" s="47"/>
      <c r="F34" s="48">
        <v>12969.3</v>
      </c>
      <c r="G34" s="48">
        <v>100</v>
      </c>
      <c r="H34" s="48"/>
      <c r="I34" s="28"/>
      <c r="J34" s="28"/>
      <c r="K34" s="28"/>
      <c r="L34" s="28"/>
    </row>
    <row r="35" spans="2:12">
      <c r="I35" s="28"/>
      <c r="J35" s="28"/>
      <c r="K35" s="28"/>
      <c r="L35" s="28"/>
    </row>
    <row r="36" spans="2:12">
      <c r="B36" s="49" t="s">
        <v>70</v>
      </c>
      <c r="I36" s="28"/>
      <c r="J36" s="28"/>
      <c r="K36" s="28"/>
      <c r="L36" s="28"/>
    </row>
    <row r="37" spans="2:12">
      <c r="I37" s="28"/>
      <c r="J37" s="28"/>
      <c r="K37" s="28"/>
      <c r="L37" s="28"/>
    </row>
    <row r="38" spans="2:12">
      <c r="I38" s="28"/>
      <c r="J38" s="28"/>
      <c r="K38" s="28"/>
      <c r="L38" s="28"/>
    </row>
    <row r="39" spans="2:12">
      <c r="I39" s="28"/>
      <c r="J39" s="28"/>
      <c r="K39" s="28"/>
      <c r="L39" s="28"/>
    </row>
    <row r="40" spans="2:12">
      <c r="I40" s="28"/>
      <c r="J40" s="28"/>
      <c r="K40" s="28"/>
      <c r="L40" s="28"/>
    </row>
    <row r="41" spans="2:12">
      <c r="I41" s="28"/>
      <c r="J41" s="28"/>
      <c r="K41" s="28"/>
      <c r="L41" s="28"/>
    </row>
    <row r="42" spans="2:12">
      <c r="I42" s="28"/>
      <c r="J42" s="28"/>
      <c r="K42" s="28"/>
      <c r="L42" s="28"/>
    </row>
    <row r="43" spans="2:12">
      <c r="I43" s="28"/>
      <c r="J43" s="28"/>
      <c r="K43" s="28"/>
      <c r="L43" s="28"/>
    </row>
    <row r="44" spans="2:12">
      <c r="I44" s="28"/>
      <c r="J44" s="28"/>
      <c r="K44" s="28"/>
      <c r="L44" s="28"/>
    </row>
    <row r="45" spans="2:12">
      <c r="I45" s="28"/>
      <c r="J45" s="28"/>
      <c r="K45" s="28"/>
      <c r="L45" s="28"/>
    </row>
    <row r="46" spans="2:12">
      <c r="I46" s="28"/>
      <c r="J46" s="28"/>
      <c r="K46" s="28"/>
      <c r="L46" s="28"/>
    </row>
  </sheetData>
  <mergeCells count="21">
    <mergeCell ref="N11:N12"/>
    <mergeCell ref="O11:O12"/>
    <mergeCell ref="P11:P12"/>
    <mergeCell ref="Q11:Q12"/>
    <mergeCell ref="J15:L17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2022-05-06T06:27:31Z</dcterms:created>
  <dcterms:modified xsi:type="dcterms:W3CDTF">2022-05-06T06:27:31Z</dcterms:modified>
</cp:coreProperties>
</file>