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"/>
    </mc:Choice>
  </mc:AlternateContent>
  <xr:revisionPtr revIDLastSave="0" documentId="8_{62CCB982-E4DD-4DE5-B1C4-E437DE588570}" xr6:coauthVersionLast="47" xr6:coauthVersionMax="47" xr10:uidLastSave="{00000000-0000-0000-0000-000000000000}"/>
  <bookViews>
    <workbookView xWindow="-120" yWindow="-120" windowWidth="20730" windowHeight="11160" xr2:uid="{9CED986B-DBA6-4FA6-A22D-26905D4519D0}"/>
  </bookViews>
  <sheets>
    <sheet name="M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38" i="1"/>
  <c r="F38" i="1"/>
  <c r="F39" i="1" s="1"/>
  <c r="G35" i="1"/>
  <c r="F35" i="1"/>
  <c r="G32" i="1"/>
  <c r="F32" i="1"/>
  <c r="G25" i="1"/>
  <c r="G26" i="1" s="1"/>
  <c r="F25" i="1"/>
  <c r="F26" i="1" s="1"/>
  <c r="G20" i="1"/>
  <c r="G21" i="1" s="1"/>
  <c r="G40" i="1" s="1"/>
  <c r="F20" i="1"/>
  <c r="F21" i="1" s="1"/>
  <c r="F40" i="1" l="1"/>
</calcChain>
</file>

<file path=xl/sharedStrings.xml><?xml version="1.0" encoding="utf-8"?>
<sst xmlns="http://schemas.openxmlformats.org/spreadsheetml/2006/main" count="102" uniqueCount="80">
  <si>
    <t>CANARA ROBECO CORPORATE BOND FUND</t>
  </si>
  <si>
    <t>Monthly Portfolio Statement as on April 30,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</si>
  <si>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</si>
  <si>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</si>
  <si>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</si>
  <si>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</si>
  <si>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</si>
  <si>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</si>
  <si>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</si>
  <si>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Apr'24</t>
  </si>
  <si>
    <t>Benchmark Risk-o-meter Level- Apr'24</t>
  </si>
  <si>
    <t>Scheme Risk-o-meter Level- Mar'24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</si>
  <si>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</si>
  <si>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</si>
  <si>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</si>
  <si>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</si>
  <si>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</si>
  <si>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</si>
  <si>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</si>
  <si>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</si>
  <si>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7.70% Power Finance Corporation Ltd (15/04/2033) **</t>
  </si>
  <si>
    <t>INE134E08MI4</t>
  </si>
  <si>
    <t>CRISIL AAA</t>
  </si>
  <si>
    <t>Relatively Low (Class I)</t>
  </si>
  <si>
    <t>8.23% Kotak Mahindra Prime Ltd (21/12/2026) **</t>
  </si>
  <si>
    <t>INE916DA7SP4</t>
  </si>
  <si>
    <t>7.69% National Bank For Agriculture &amp; Rural Development (29/05/2024)</t>
  </si>
  <si>
    <t>INE261F08BK1</t>
  </si>
  <si>
    <t>Moderate 
(Class II)</t>
  </si>
  <si>
    <t>7.95% HDFC Bank Ltd (21/09/2026) **</t>
  </si>
  <si>
    <t>INE040A08369</t>
  </si>
  <si>
    <t>7.40% LIC Housing Finance Ltd (06/09/2024) **</t>
  </si>
  <si>
    <t>INE115A07ML7</t>
  </si>
  <si>
    <t>Relatively High (Class III)</t>
  </si>
  <si>
    <t>B-III</t>
  </si>
  <si>
    <t>7.63% Grasim industries Ltd (01/12/2027) **</t>
  </si>
  <si>
    <t>INE047A08208</t>
  </si>
  <si>
    <t>7.59% Small Industries Development Bank Of India (10/02/2026) **</t>
  </si>
  <si>
    <t>INE556F08KG3</t>
  </si>
  <si>
    <t>Benchmark: CRISIL Corporate Debt A-II Index</t>
  </si>
  <si>
    <t>7.05% National Housing Bank (18/12/2024) **</t>
  </si>
  <si>
    <t>INE557F08FG1</t>
  </si>
  <si>
    <t>7.51% REC Ltd (31/07/2026) **</t>
  </si>
  <si>
    <t>INE020B08EI8</t>
  </si>
  <si>
    <t>8.45% Indian Railway Finance Corporation Ltd (04/12/2028) **</t>
  </si>
  <si>
    <t>INE053F07AY7</t>
  </si>
  <si>
    <t>8.05% NTPC Ltd (05/05/2026) **</t>
  </si>
  <si>
    <t>INE733E07KA6</t>
  </si>
  <si>
    <t>7.75% Titan Co Ltd (05/05/2025) **</t>
  </si>
  <si>
    <t>INE280A08023</t>
  </si>
  <si>
    <t>7.96% HDB Financial Services Ltd (17/11/2025) **</t>
  </si>
  <si>
    <t>INE756I07EM6</t>
  </si>
  <si>
    <t>CARE AAA</t>
  </si>
  <si>
    <t>Sub Total</t>
  </si>
  <si>
    <t>Total</t>
  </si>
  <si>
    <t>Money Market Instruments</t>
  </si>
  <si>
    <t>Treasury Bill</t>
  </si>
  <si>
    <t>364 DTB (16-JAN-2025)</t>
  </si>
  <si>
    <t>IN002023Z448</t>
  </si>
  <si>
    <t xml:space="preserve"> Sovereign</t>
  </si>
  <si>
    <t>Government Bonds</t>
  </si>
  <si>
    <t>GOI FRB 30-OCT-34</t>
  </si>
  <si>
    <t>IN0020210137</t>
  </si>
  <si>
    <t>Sovereign</t>
  </si>
  <si>
    <t>7.18% GOI 2037 (14-AUG-2033)</t>
  </si>
  <si>
    <t>IN0020230085</t>
  </si>
  <si>
    <t>7.17% GOI 2030 (17-APR-2030)</t>
  </si>
  <si>
    <t>IN0020230036</t>
  </si>
  <si>
    <t>7.10% GOI 18-APR-29</t>
  </si>
  <si>
    <t>IN0020220011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</si>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</sst>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10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10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11" fillId="0" borderId="5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15" xfId="0" applyFont="1" applyFill="1" applyBorder="1"/>
    <xf numFmtId="4" fontId="10" fillId="3" borderId="15" xfId="0" applyNumberFormat="1" applyFont="1" applyFill="1" applyBorder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10" fillId="3" borderId="17" xfId="0" applyFont="1" applyFill="1" applyBorder="1"/>
    <xf numFmtId="4" fontId="10" fillId="3" borderId="17" xfId="0" applyNumberFormat="1" applyFont="1" applyFill="1" applyBorder="1"/>
    <xf numFmtId="0" fontId="10" fillId="3" borderId="18" xfId="0" applyFont="1" applyFill="1" applyBorder="1"/>
    <xf numFmtId="4" fontId="10" fillId="3" borderId="18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0" fillId="3" borderId="0" xfId="0" applyFont="1" applyFill="1"/>
    <xf numFmtId="0" fontId="12" fillId="5" borderId="19" xfId="0" applyFont="1" applyFill="1" applyBorder="1"/>
    <xf numFmtId="2" fontId="10" fillId="3" borderId="20" xfId="0" applyNumberFormat="1" applyFont="1" applyFill="1" applyBorder="1"/>
    <xf numFmtId="10" fontId="10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58306</xdr:colOff>
      <xdr:row>4</xdr:row>
      <xdr:rowOff>95250</xdr:rowOff>
    </xdr:from>
    <xdr:ext cx="1996134" cy="1266825"/>
    <xdr:pic>
      <xdr:nvPicPr>
        <xdr:cNvPr id="2" name="Picture 1">
          <a:extLst>
            <a:ext uri="{FF2B5EF4-FFF2-40B4-BE49-F238E27FC236}">
              <a16:creationId xmlns:a16="http://schemas.microsoft.com/office/drawing/2014/main" id="{C1BF939D-B444-4DF6-8F27-43B3A3E3E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0031" y="1085850"/>
          <a:ext cx="1996134" cy="1266825"/>
        </a:xfrm>
        <a:prstGeom prst="rect">
          <a:avLst/>
        </a:prstGeom>
      </xdr:spPr>
    </xdr:pic>
    <xdr:clientData/>
  </xdr:oneCellAnchor>
  <xdr:oneCellAnchor>
    <xdr:from>
      <xdr:col>11</xdr:col>
      <xdr:colOff>85725</xdr:colOff>
      <xdr:row>4</xdr:row>
      <xdr:rowOff>66675</xdr:rowOff>
    </xdr:from>
    <xdr:ext cx="192109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4B644C75-2D4D-45FF-8FF3-85CF5F74E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11325" y="1057275"/>
          <a:ext cx="1921090" cy="1295400"/>
        </a:xfrm>
        <a:prstGeom prst="rect">
          <a:avLst/>
        </a:prstGeom>
      </xdr:spPr>
    </xdr:pic>
    <xdr:clientData/>
  </xdr:oneCellAnchor>
  <xdr:twoCellAnchor editAs="oneCell">
    <xdr:from>
      <xdr:col>10</xdr:col>
      <xdr:colOff>133351</xdr:colOff>
      <xdr:row>4</xdr:row>
      <xdr:rowOff>38101</xdr:rowOff>
    </xdr:from>
    <xdr:to>
      <xdr:col>10</xdr:col>
      <xdr:colOff>2114551</xdr:colOff>
      <xdr:row>10</xdr:row>
      <xdr:rowOff>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2A5FF2A-36B3-4B2B-9FA7-BB72F0344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30101" y="1028701"/>
          <a:ext cx="1981200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3C00-3C5F-436A-B9F1-6DA18EBDB3CF}">
  <dimension ref="B1:Q50"/>
  <sheetViews>
    <sheetView tabSelected="1" workbookViewId="0">
      <selection activeCell="B1" sqref="B1:H1"/>
    </sheetView>
  </sheetViews>
  <sheetFormatPr defaultRowHeight="12" x14ac:dyDescent="0.2"/>
  <cols>
    <col min="1" max="1" width="9.140625" style="4"/>
    <col min="2" max="2" width="58.28515625" style="4" bestFit="1" customWidth="1"/>
    <col min="3" max="3" width="13.5703125" style="4" bestFit="1" customWidth="1"/>
    <col min="4" max="4" width="22.85546875" style="4" bestFit="1" customWidth="1"/>
    <col min="5" max="5" width="7.7109375" style="4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4"/>
  </cols>
  <sheetData>
    <row r="1" spans="2:17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7" ht="16.5" thickBot="1" x14ac:dyDescent="0.25">
      <c r="B3" s="5" t="s">
        <v>1</v>
      </c>
      <c r="C3" s="6"/>
      <c r="D3" s="7"/>
      <c r="E3" s="7"/>
      <c r="F3" s="8"/>
      <c r="G3" s="8"/>
    </row>
    <row r="4" spans="2:17" ht="28.5" x14ac:dyDescent="0.2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  <c r="N4" s="15" t="s">
        <v>12</v>
      </c>
      <c r="O4" s="16"/>
      <c r="P4" s="16"/>
      <c r="Q4" s="17"/>
    </row>
    <row r="5" spans="2:17" ht="24" x14ac:dyDescent="0.2">
      <c r="B5" s="18" t="s">
        <v>13</v>
      </c>
      <c r="C5" s="19"/>
      <c r="D5" s="19"/>
      <c r="E5" s="19"/>
      <c r="F5" s="20"/>
      <c r="G5" s="20"/>
      <c r="H5" s="20"/>
      <c r="J5" s="21"/>
      <c r="K5" s="21"/>
      <c r="L5" s="21"/>
      <c r="N5" s="22" t="s">
        <v>14</v>
      </c>
      <c r="O5" s="23" t="s">
        <v>15</v>
      </c>
      <c r="P5" s="23" t="s">
        <v>16</v>
      </c>
      <c r="Q5" s="23" t="s">
        <v>17</v>
      </c>
    </row>
    <row r="6" spans="2:17" ht="36" x14ac:dyDescent="0.2">
      <c r="B6" s="24" t="s">
        <v>18</v>
      </c>
      <c r="C6" s="25"/>
      <c r="D6" s="25"/>
      <c r="E6" s="25"/>
      <c r="F6" s="26"/>
      <c r="G6" s="26"/>
      <c r="H6" s="26"/>
      <c r="J6" s="21"/>
      <c r="K6" s="21"/>
      <c r="L6" s="21"/>
      <c r="N6" s="27" t="s">
        <v>19</v>
      </c>
      <c r="O6" s="23"/>
      <c r="P6" s="23"/>
      <c r="Q6" s="23"/>
    </row>
    <row r="7" spans="2:17" x14ac:dyDescent="0.2">
      <c r="B7" s="25" t="s">
        <v>20</v>
      </c>
      <c r="C7" s="25" t="s">
        <v>21</v>
      </c>
      <c r="D7" s="25" t="s">
        <v>22</v>
      </c>
      <c r="E7" s="28">
        <v>1000</v>
      </c>
      <c r="F7" s="26">
        <v>1009.99</v>
      </c>
      <c r="G7" s="26">
        <v>6.83</v>
      </c>
      <c r="H7" s="26">
        <v>7.54</v>
      </c>
      <c r="J7" s="21"/>
      <c r="K7" s="21"/>
      <c r="L7" s="21"/>
      <c r="N7" s="29" t="s">
        <v>23</v>
      </c>
      <c r="O7" s="30"/>
      <c r="P7" s="30"/>
      <c r="Q7" s="30"/>
    </row>
    <row r="8" spans="2:17" x14ac:dyDescent="0.2">
      <c r="B8" s="25" t="s">
        <v>24</v>
      </c>
      <c r="C8" s="25" t="s">
        <v>25</v>
      </c>
      <c r="D8" s="25" t="s">
        <v>22</v>
      </c>
      <c r="E8" s="28">
        <v>1000</v>
      </c>
      <c r="F8" s="26">
        <v>1002.35</v>
      </c>
      <c r="G8" s="26">
        <v>6.78</v>
      </c>
      <c r="H8" s="26">
        <v>8.1300000000000008</v>
      </c>
      <c r="J8" s="21"/>
      <c r="K8" s="21"/>
      <c r="L8" s="21"/>
      <c r="N8" s="29"/>
      <c r="O8" s="31"/>
      <c r="P8" s="31"/>
      <c r="Q8" s="31"/>
    </row>
    <row r="9" spans="2:17" x14ac:dyDescent="0.2">
      <c r="B9" s="25" t="s">
        <v>26</v>
      </c>
      <c r="C9" s="25" t="s">
        <v>27</v>
      </c>
      <c r="D9" s="25" t="s">
        <v>22</v>
      </c>
      <c r="E9" s="28">
        <v>100</v>
      </c>
      <c r="F9" s="26">
        <v>1000.03</v>
      </c>
      <c r="G9" s="26">
        <v>6.76</v>
      </c>
      <c r="H9" s="26">
        <v>7.15</v>
      </c>
      <c r="J9" s="21"/>
      <c r="K9" s="21"/>
      <c r="L9" s="21"/>
      <c r="N9" s="29" t="s">
        <v>28</v>
      </c>
      <c r="O9" s="30"/>
      <c r="P9" s="30"/>
      <c r="Q9" s="30"/>
    </row>
    <row r="10" spans="2:17" x14ac:dyDescent="0.2">
      <c r="B10" s="25" t="s">
        <v>29</v>
      </c>
      <c r="C10" s="25" t="s">
        <v>30</v>
      </c>
      <c r="D10" s="25" t="s">
        <v>22</v>
      </c>
      <c r="E10" s="28">
        <v>100</v>
      </c>
      <c r="F10" s="26">
        <v>999.7</v>
      </c>
      <c r="G10" s="26">
        <v>6.76</v>
      </c>
      <c r="H10" s="26">
        <v>7.93</v>
      </c>
      <c r="J10" s="21"/>
      <c r="K10" s="21"/>
      <c r="L10" s="21"/>
      <c r="N10" s="29"/>
      <c r="O10" s="31"/>
      <c r="P10" s="31"/>
      <c r="Q10" s="31"/>
    </row>
    <row r="11" spans="2:17" x14ac:dyDescent="0.2">
      <c r="B11" s="25" t="s">
        <v>31</v>
      </c>
      <c r="C11" s="25" t="s">
        <v>32</v>
      </c>
      <c r="D11" s="25" t="s">
        <v>22</v>
      </c>
      <c r="E11" s="28">
        <v>100</v>
      </c>
      <c r="F11" s="26">
        <v>997.58</v>
      </c>
      <c r="G11" s="26">
        <v>6.74</v>
      </c>
      <c r="H11" s="26">
        <v>7.74</v>
      </c>
      <c r="J11" s="21"/>
      <c r="K11" s="21"/>
      <c r="L11" s="21"/>
      <c r="N11" s="29" t="s">
        <v>33</v>
      </c>
      <c r="O11" s="30"/>
      <c r="P11" s="32" t="s">
        <v>34</v>
      </c>
      <c r="Q11" s="30"/>
    </row>
    <row r="12" spans="2:17" x14ac:dyDescent="0.2">
      <c r="B12" s="25" t="s">
        <v>35</v>
      </c>
      <c r="C12" s="25" t="s">
        <v>36</v>
      </c>
      <c r="D12" s="25" t="s">
        <v>22</v>
      </c>
      <c r="E12" s="28">
        <v>100</v>
      </c>
      <c r="F12" s="26">
        <v>997.35</v>
      </c>
      <c r="G12" s="26">
        <v>6.74</v>
      </c>
      <c r="H12" s="26">
        <v>7.69</v>
      </c>
      <c r="J12" s="21"/>
      <c r="K12" s="21"/>
      <c r="L12" s="21"/>
      <c r="N12" s="29"/>
      <c r="O12" s="31"/>
      <c r="P12" s="33"/>
      <c r="Q12" s="31"/>
    </row>
    <row r="13" spans="2:17" x14ac:dyDescent="0.2">
      <c r="B13" s="25" t="s">
        <v>37</v>
      </c>
      <c r="C13" s="25" t="s">
        <v>38</v>
      </c>
      <c r="D13" s="25" t="s">
        <v>22</v>
      </c>
      <c r="E13" s="28">
        <v>1000</v>
      </c>
      <c r="F13" s="26">
        <v>995.9</v>
      </c>
      <c r="G13" s="26">
        <v>6.73</v>
      </c>
      <c r="H13" s="26">
        <v>7.82</v>
      </c>
      <c r="K13" s="4" t="s">
        <v>39</v>
      </c>
    </row>
    <row r="14" spans="2:17" x14ac:dyDescent="0.2">
      <c r="B14" s="25" t="s">
        <v>40</v>
      </c>
      <c r="C14" s="25" t="s">
        <v>41</v>
      </c>
      <c r="D14" s="25" t="s">
        <v>22</v>
      </c>
      <c r="E14" s="28">
        <v>100</v>
      </c>
      <c r="F14" s="26">
        <v>995.56</v>
      </c>
      <c r="G14" s="26">
        <v>6.73</v>
      </c>
      <c r="H14" s="26">
        <v>7.59</v>
      </c>
    </row>
    <row r="15" spans="2:17" x14ac:dyDescent="0.2">
      <c r="B15" s="25" t="s">
        <v>42</v>
      </c>
      <c r="C15" s="25" t="s">
        <v>43</v>
      </c>
      <c r="D15" s="25" t="s">
        <v>22</v>
      </c>
      <c r="E15" s="28">
        <v>1000</v>
      </c>
      <c r="F15" s="26">
        <v>995.09</v>
      </c>
      <c r="G15" s="26">
        <v>6.73</v>
      </c>
      <c r="H15" s="26">
        <v>7.73</v>
      </c>
    </row>
    <row r="16" spans="2:17" x14ac:dyDescent="0.2">
      <c r="B16" s="25" t="s">
        <v>44</v>
      </c>
      <c r="C16" s="25" t="s">
        <v>45</v>
      </c>
      <c r="D16" s="25" t="s">
        <v>22</v>
      </c>
      <c r="E16" s="28">
        <v>50</v>
      </c>
      <c r="F16" s="26">
        <v>516.01</v>
      </c>
      <c r="G16" s="26">
        <v>3.49</v>
      </c>
      <c r="H16" s="26">
        <v>7.59</v>
      </c>
    </row>
    <row r="17" spans="2:8" x14ac:dyDescent="0.2">
      <c r="B17" s="25" t="s">
        <v>46</v>
      </c>
      <c r="C17" s="25" t="s">
        <v>47</v>
      </c>
      <c r="D17" s="25" t="s">
        <v>22</v>
      </c>
      <c r="E17" s="28">
        <v>50</v>
      </c>
      <c r="F17" s="26">
        <v>503.86</v>
      </c>
      <c r="G17" s="26">
        <v>3.41</v>
      </c>
      <c r="H17" s="26">
        <v>7.62</v>
      </c>
    </row>
    <row r="18" spans="2:8" x14ac:dyDescent="0.2">
      <c r="B18" s="25" t="s">
        <v>48</v>
      </c>
      <c r="C18" s="25" t="s">
        <v>49</v>
      </c>
      <c r="D18" s="25" t="s">
        <v>22</v>
      </c>
      <c r="E18" s="28">
        <v>500</v>
      </c>
      <c r="F18" s="26">
        <v>500.44</v>
      </c>
      <c r="G18" s="26">
        <v>3.38</v>
      </c>
      <c r="H18" s="26">
        <v>7.65</v>
      </c>
    </row>
    <row r="19" spans="2:8" x14ac:dyDescent="0.2">
      <c r="B19" s="25" t="s">
        <v>50</v>
      </c>
      <c r="C19" s="25" t="s">
        <v>51</v>
      </c>
      <c r="D19" s="25" t="s">
        <v>52</v>
      </c>
      <c r="E19" s="28">
        <v>50</v>
      </c>
      <c r="F19" s="26">
        <v>497.72</v>
      </c>
      <c r="G19" s="26">
        <v>3.36</v>
      </c>
      <c r="H19" s="26">
        <v>8.23</v>
      </c>
    </row>
    <row r="20" spans="2:8" x14ac:dyDescent="0.2">
      <c r="B20" s="34" t="s">
        <v>53</v>
      </c>
      <c r="C20" s="34"/>
      <c r="D20" s="34"/>
      <c r="E20" s="34"/>
      <c r="F20" s="35">
        <f>SUM(F6:F19)</f>
        <v>11011.58</v>
      </c>
      <c r="G20" s="35">
        <f>SUM(G6:G19)</f>
        <v>74.44</v>
      </c>
      <c r="H20" s="36"/>
    </row>
    <row r="21" spans="2:8" x14ac:dyDescent="0.2">
      <c r="B21" s="37" t="s">
        <v>54</v>
      </c>
      <c r="C21" s="37"/>
      <c r="D21" s="37"/>
      <c r="E21" s="37"/>
      <c r="F21" s="38">
        <f>F20</f>
        <v>11011.58</v>
      </c>
      <c r="G21" s="38">
        <f>G20</f>
        <v>74.44</v>
      </c>
      <c r="H21" s="38"/>
    </row>
    <row r="22" spans="2:8" x14ac:dyDescent="0.2">
      <c r="B22" s="24" t="s">
        <v>55</v>
      </c>
      <c r="C22" s="25"/>
      <c r="D22" s="25"/>
      <c r="E22" s="25"/>
      <c r="F22" s="26"/>
      <c r="G22" s="26"/>
      <c r="H22" s="26"/>
    </row>
    <row r="23" spans="2:8" x14ac:dyDescent="0.2">
      <c r="B23" s="24" t="s">
        <v>56</v>
      </c>
      <c r="C23" s="25"/>
      <c r="D23" s="25"/>
      <c r="E23" s="25"/>
      <c r="F23" s="26"/>
      <c r="G23" s="26"/>
      <c r="H23" s="26"/>
    </row>
    <row r="24" spans="2:8" x14ac:dyDescent="0.2">
      <c r="B24" s="25" t="s">
        <v>57</v>
      </c>
      <c r="C24" s="25" t="s">
        <v>58</v>
      </c>
      <c r="D24" s="25" t="s">
        <v>59</v>
      </c>
      <c r="E24" s="28">
        <v>250000</v>
      </c>
      <c r="F24" s="26">
        <v>238.03</v>
      </c>
      <c r="G24" s="26">
        <v>1.61</v>
      </c>
      <c r="H24" s="26">
        <v>7.06</v>
      </c>
    </row>
    <row r="25" spans="2:8" x14ac:dyDescent="0.2">
      <c r="B25" s="34" t="s">
        <v>53</v>
      </c>
      <c r="C25" s="34"/>
      <c r="D25" s="34"/>
      <c r="E25" s="34"/>
      <c r="F25" s="35">
        <f>SUM(F23:F24)</f>
        <v>238.03</v>
      </c>
      <c r="G25" s="35">
        <f>SUM(G23:G24)</f>
        <v>1.61</v>
      </c>
      <c r="H25" s="36"/>
    </row>
    <row r="26" spans="2:8" x14ac:dyDescent="0.2">
      <c r="B26" s="37" t="s">
        <v>54</v>
      </c>
      <c r="C26" s="37"/>
      <c r="D26" s="37"/>
      <c r="E26" s="37"/>
      <c r="F26" s="38">
        <f>+F25</f>
        <v>238.03</v>
      </c>
      <c r="G26" s="38">
        <f>+G25</f>
        <v>1.61</v>
      </c>
      <c r="H26" s="38"/>
    </row>
    <row r="27" spans="2:8" x14ac:dyDescent="0.2">
      <c r="B27" s="24" t="s">
        <v>60</v>
      </c>
      <c r="C27" s="25"/>
      <c r="D27" s="25"/>
      <c r="E27" s="25"/>
      <c r="F27" s="26"/>
      <c r="G27" s="26"/>
      <c r="H27" s="26"/>
    </row>
    <row r="28" spans="2:8" x14ac:dyDescent="0.2">
      <c r="B28" s="25" t="s">
        <v>61</v>
      </c>
      <c r="C28" s="25" t="s">
        <v>62</v>
      </c>
      <c r="D28" s="25" t="s">
        <v>63</v>
      </c>
      <c r="E28" s="28">
        <v>500000</v>
      </c>
      <c r="F28" s="26">
        <v>501.99</v>
      </c>
      <c r="G28" s="26">
        <v>3.39</v>
      </c>
      <c r="H28" s="26">
        <v>7.94</v>
      </c>
    </row>
    <row r="29" spans="2:8" x14ac:dyDescent="0.2">
      <c r="B29" s="25" t="s">
        <v>64</v>
      </c>
      <c r="C29" s="25" t="s">
        <v>65</v>
      </c>
      <c r="D29" s="25" t="s">
        <v>63</v>
      </c>
      <c r="E29" s="28">
        <v>500000</v>
      </c>
      <c r="F29" s="26">
        <v>499.42</v>
      </c>
      <c r="G29" s="26">
        <v>3.38</v>
      </c>
      <c r="H29" s="26">
        <v>7.32</v>
      </c>
    </row>
    <row r="30" spans="2:8" x14ac:dyDescent="0.2">
      <c r="B30" s="25" t="s">
        <v>66</v>
      </c>
      <c r="C30" s="25" t="s">
        <v>67</v>
      </c>
      <c r="D30" s="25" t="s">
        <v>63</v>
      </c>
      <c r="E30" s="28">
        <v>500000</v>
      </c>
      <c r="F30" s="26">
        <v>498.96</v>
      </c>
      <c r="G30" s="26">
        <v>3.37</v>
      </c>
      <c r="H30" s="26">
        <v>7.34</v>
      </c>
    </row>
    <row r="31" spans="2:8" x14ac:dyDescent="0.2">
      <c r="B31" s="39" t="s">
        <v>68</v>
      </c>
      <c r="C31" s="39" t="s">
        <v>69</v>
      </c>
      <c r="D31" s="39" t="s">
        <v>63</v>
      </c>
      <c r="E31" s="40">
        <v>500000</v>
      </c>
      <c r="F31" s="41">
        <v>497.97</v>
      </c>
      <c r="G31" s="41">
        <v>3.37</v>
      </c>
      <c r="H31" s="41">
        <v>7.33</v>
      </c>
    </row>
    <row r="32" spans="2:8" x14ac:dyDescent="0.2">
      <c r="B32" s="42" t="s">
        <v>54</v>
      </c>
      <c r="C32" s="42"/>
      <c r="D32" s="42"/>
      <c r="E32" s="42"/>
      <c r="F32" s="43">
        <f>SUM(F28:F31)</f>
        <v>1998.3400000000001</v>
      </c>
      <c r="G32" s="43">
        <f>SUM(G28:G31)</f>
        <v>13.510000000000002</v>
      </c>
      <c r="H32" s="43"/>
    </row>
    <row r="33" spans="2:8" x14ac:dyDescent="0.2">
      <c r="B33" s="24" t="s">
        <v>70</v>
      </c>
      <c r="C33" s="25"/>
      <c r="D33" s="25"/>
      <c r="E33" s="25"/>
      <c r="F33" s="26"/>
      <c r="G33" s="26"/>
      <c r="H33" s="26"/>
    </row>
    <row r="34" spans="2:8" x14ac:dyDescent="0.2">
      <c r="B34" s="39" t="s">
        <v>71</v>
      </c>
      <c r="C34" s="39" t="s">
        <v>72</v>
      </c>
      <c r="D34" s="39" t="s">
        <v>70</v>
      </c>
      <c r="E34" s="40">
        <v>488.87599999999998</v>
      </c>
      <c r="F34" s="41">
        <v>49.93</v>
      </c>
      <c r="G34" s="41">
        <v>0.34</v>
      </c>
      <c r="H34" s="41">
        <v>6.94</v>
      </c>
    </row>
    <row r="35" spans="2:8" x14ac:dyDescent="0.2">
      <c r="B35" s="42" t="s">
        <v>54</v>
      </c>
      <c r="C35" s="42"/>
      <c r="D35" s="42"/>
      <c r="E35" s="42"/>
      <c r="F35" s="43">
        <f>SUM(F34:F34)</f>
        <v>49.93</v>
      </c>
      <c r="G35" s="43">
        <f>SUM(G34:G34)</f>
        <v>0.34</v>
      </c>
      <c r="H35" s="43"/>
    </row>
    <row r="36" spans="2:8" x14ac:dyDescent="0.2">
      <c r="B36" s="24" t="s">
        <v>73</v>
      </c>
      <c r="C36" s="25"/>
      <c r="D36" s="25"/>
      <c r="E36" s="25"/>
      <c r="F36" s="26"/>
      <c r="G36" s="26"/>
      <c r="H36" s="26"/>
    </row>
    <row r="37" spans="2:8" x14ac:dyDescent="0.2">
      <c r="B37" s="25" t="s">
        <v>73</v>
      </c>
      <c r="C37" s="25"/>
      <c r="D37" s="25"/>
      <c r="E37" s="25"/>
      <c r="F37" s="26">
        <v>1042.28</v>
      </c>
      <c r="G37" s="26">
        <v>7.05</v>
      </c>
      <c r="H37" s="26"/>
    </row>
    <row r="38" spans="2:8" x14ac:dyDescent="0.2">
      <c r="B38" s="34" t="s">
        <v>53</v>
      </c>
      <c r="C38" s="34"/>
      <c r="D38" s="34"/>
      <c r="E38" s="34"/>
      <c r="F38" s="35">
        <f>SUM(F36:F37)</f>
        <v>1042.28</v>
      </c>
      <c r="G38" s="35">
        <f>SUM(G36:G37)</f>
        <v>7.05</v>
      </c>
      <c r="H38" s="36"/>
    </row>
    <row r="39" spans="2:8" x14ac:dyDescent="0.2">
      <c r="B39" s="44" t="s">
        <v>54</v>
      </c>
      <c r="C39" s="44"/>
      <c r="D39" s="44"/>
      <c r="E39" s="44"/>
      <c r="F39" s="45">
        <f>F38</f>
        <v>1042.28</v>
      </c>
      <c r="G39" s="45">
        <f>G38</f>
        <v>7.05</v>
      </c>
      <c r="H39" s="45"/>
    </row>
    <row r="40" spans="2:8" x14ac:dyDescent="0.2">
      <c r="B40" s="46" t="s">
        <v>74</v>
      </c>
      <c r="C40" s="46"/>
      <c r="D40" s="46"/>
      <c r="E40" s="46"/>
      <c r="F40" s="47">
        <f>F41-(+F21+F26+F32+F35+F39)</f>
        <v>451.53999999999905</v>
      </c>
      <c r="G40" s="47">
        <f>G41-(+G21+G26+G32+G35+G39)</f>
        <v>3.0499999999999972</v>
      </c>
      <c r="H40" s="47"/>
    </row>
    <row r="41" spans="2:8" x14ac:dyDescent="0.2">
      <c r="B41" s="46" t="s">
        <v>75</v>
      </c>
      <c r="C41" s="46"/>
      <c r="D41" s="46"/>
      <c r="E41" s="46"/>
      <c r="F41" s="47">
        <v>14791.7</v>
      </c>
      <c r="G41" s="47">
        <v>100</v>
      </c>
      <c r="H41" s="47"/>
    </row>
    <row r="43" spans="2:8" x14ac:dyDescent="0.2">
      <c r="B43" s="48" t="s">
        <v>76</v>
      </c>
    </row>
    <row r="44" spans="2:8" ht="12.75" thickBot="1" x14ac:dyDescent="0.25"/>
    <row r="45" spans="2:8" ht="13.5" thickTop="1" thickBot="1" x14ac:dyDescent="0.25">
      <c r="B45" s="49" t="s">
        <v>77</v>
      </c>
      <c r="C45" s="50">
        <v>2.0743</v>
      </c>
    </row>
    <row r="46" spans="2:8" ht="13.5" thickTop="1" thickBot="1" x14ac:dyDescent="0.25"/>
    <row r="47" spans="2:8" ht="13.5" thickTop="1" thickBot="1" x14ac:dyDescent="0.25">
      <c r="B47" s="49" t="s">
        <v>78</v>
      </c>
      <c r="C47" s="51">
        <v>7.5499999999999998E-2</v>
      </c>
    </row>
    <row r="48" spans="2:8" ht="13.5" thickTop="1" thickBot="1" x14ac:dyDescent="0.25"/>
    <row r="49" spans="2:3" ht="13.5" thickTop="1" thickBot="1" x14ac:dyDescent="0.25">
      <c r="B49" s="49" t="s">
        <v>79</v>
      </c>
      <c r="C49" s="50">
        <v>2.2107999999999999</v>
      </c>
    </row>
    <row r="50" spans="2:3" ht="12.75" thickTop="1" x14ac:dyDescent="0.2"/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2024-05-07 12:23:40</KDate>
  <Classification>Public</Classification>
  <Subclassification/>
  <HostName>MUMCMP00935</HostName>
  <Domain_User>CANARAROBECOMF/628</Domain_User>
  <IPAdd>192.9.198.194</IPAdd>
  <FilePath>Book23</FilePath>
  <KID>C025A5607E97638506814200775021</KID>
  <UniqueName/>
  <Suggested/>
  <Justification/>
</Klassify>
</file>

<file path=customXml/itemProps1.xml><?xml version="1.0" encoding="utf-8"?>
<ds:datastoreItem xmlns:ds="http://schemas.openxmlformats.org/officeDocument/2006/customXml" ds:itemID="{4F90C94C-BDD9-44EA-8BDA-D0CAC28CCBC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2024-05-07T06:53:36Z</dcterms:created>
  <dcterms:modified xsi:type="dcterms:W3CDTF">2024-05-07T06:53:40Z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C025A5607E97638506814200775021</vt:lpwstr>
  </property>
</Properties>
</file>