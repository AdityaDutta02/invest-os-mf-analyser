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D323FF1B-4B35-4B6C-AA99-B54F96E03EF7}" xr6:coauthVersionLast="47" xr6:coauthVersionMax="47" xr10:uidLastSave="{00000000-0000-0000-0000-000000000000}"/>
  <bookViews>
    <workbookView xWindow="-120" yWindow="-120" windowWidth="20730" windowHeight="11160" xr2:uid="{A7E51627-5600-4509-B833-A37F4DEC370D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F18" i="1"/>
  <c r="F19" i="1" s="1"/>
  <c r="F20" i="1" s="1"/>
  <c r="G15" i="1"/>
  <c r="G20" i="1" s="1"/>
  <c r="F15" i="1"/>
</calcChain>
</file>

<file path=xl/sharedStrings.xml><?xml version="1.0" encoding="utf-8"?>
<sst xmlns="http://schemas.openxmlformats.org/spreadsheetml/2006/main" count="59" uniqueCount="49">
  <si>
    <t>CANARA ROBECO DYNAMIC BOND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</si>
  <si>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</si>
  <si>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</si>
  <si>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</si>
  <si>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</si>
  <si>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</si>
  <si>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</si>
  <si>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</si>
  <si>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</si>
  <si>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Apr'22</t>
  </si>
  <si>
    <t>Benchmark Risk-o-meter Level- Apr'22</t>
  </si>
  <si>
    <t>Previous Scheme Risk-o-meter Level- Mar'22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</si>
  <si>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</si>
  <si>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</si>
  <si>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</si>
  <si>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</si>
  <si>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</si>
  <si>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</si>
  <si>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7.59% GOI (11/01/2026)</t>
  </si>
  <si>
    <t>IN0020150093</t>
  </si>
  <si>
    <t>Sovereign</t>
  </si>
  <si>
    <t>Interest Rate Risk ↓</t>
  </si>
  <si>
    <t>7.32% GOI (28/01/2024)</t>
  </si>
  <si>
    <t>IN0020180488</t>
  </si>
  <si>
    <t>Relatively Low (Class I)</t>
  </si>
  <si>
    <t>5.63% GOI (12/04/2026)</t>
  </si>
  <si>
    <t>IN0020210012</t>
  </si>
  <si>
    <t>7.35% INDIA GOVERNMENT 22-JUN-24</t>
  </si>
  <si>
    <t>IN0020090034</t>
  </si>
  <si>
    <t>Moderate 
(Class II)</t>
  </si>
  <si>
    <t>7.10% GOI 18-APR-29</t>
  </si>
  <si>
    <t>IN0020220011</t>
  </si>
  <si>
    <t>5.74% GOI (15/11/2026)</t>
  </si>
  <si>
    <t>IN0020210186</t>
  </si>
  <si>
    <t>Relatively High (Class III)</t>
  </si>
  <si>
    <t>B-III</t>
  </si>
  <si>
    <t>6.54% GOI 17-JAN-32</t>
  </si>
  <si>
    <t>IN0020210244</t>
  </si>
  <si>
    <t>7.17% GOI (08/01/2028)</t>
  </si>
  <si>
    <t>IN0020170174</t>
  </si>
  <si>
    <t>Benchmark: CRISIL Dynamic Bond Fund B-III Index</t>
  </si>
  <si>
    <t>6.68% GOI (17/09/2031)</t>
  </si>
  <si>
    <t>IN0020170042</t>
  </si>
  <si>
    <t>Total</t>
  </si>
  <si>
    <t>Note: The risk-o-meter level of  scheme is revised based on the Notice-cum-Addendum No.11., dated 05/05/2022.. However, there is no change in the product labelling of the schemes.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</si>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</sst>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0" xfId="0" applyFont="1" applyFill="1" applyBorder="1"/>
    <xf numFmtId="3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4" fontId="9" fillId="3" borderId="14" xfId="0" applyNumberFormat="1" applyFont="1" applyFill="1" applyBorder="1"/>
    <xf numFmtId="0" fontId="10" fillId="5" borderId="0" xfId="0" applyFont="1" applyFill="1" applyAlignment="1">
      <alignment horizontal="left" wrapText="1"/>
    </xf>
    <xf numFmtId="0" fontId="9" fillId="3" borderId="10" xfId="0" applyFont="1" applyFill="1" applyBorder="1"/>
    <xf numFmtId="0" fontId="9" fillId="3" borderId="15" xfId="0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23814</xdr:colOff>
      <xdr:row>4</xdr:row>
      <xdr:rowOff>216695</xdr:rowOff>
    </xdr:from>
    <xdr:to>
      <xdr:col>12</xdr:col>
      <xdr:colOff>1</xdr:colOff>
      <xdr:row>11</xdr:row>
      <xdr:rowOff>45245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05F93-98CB-4411-9D7A-D01D927A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0764" y="1226345"/>
          <a:ext cx="2005012" cy="1200150"/>
        </a:xfrm>
        <a:prstGeom prst="rect">
          <a:avLst/>
        </a:prstGeom>
      </xdr:spPr>
    </xdr:pic>
    <xdr:clientData/>
  </xdr:twoCellAnchor>
  <xdr:oneCellAnchor>
    <xdr:from>
      <xdr:col>9</xdr:col>
      <xdr:colOff>55827</xdr:colOff>
      <xdr:row>4</xdr:row>
      <xdr:rowOff>178065</xdr:rowOff>
    </xdr:from>
    <xdr:ext cx="1990725" cy="1171576"/>
    <xdr:pic>
      <xdr:nvPicPr>
        <xdr:cNvPr id="3" name="Picture 2">
          <a:extLst>
            <a:ext uri="{FF2B5EF4-FFF2-40B4-BE49-F238E27FC236}">
              <a16:creationId xmlns:a16="http://schemas.microsoft.com/office/drawing/2014/main" id="{929BCA37-52A1-4FEE-A792-C9ACEA40F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5077" y="1187715"/>
          <a:ext cx="1990725" cy="1171576"/>
        </a:xfrm>
        <a:prstGeom prst="rect">
          <a:avLst/>
        </a:prstGeom>
      </xdr:spPr>
    </xdr:pic>
    <xdr:clientData/>
  </xdr:oneCellAnchor>
  <xdr:oneCellAnchor>
    <xdr:from>
      <xdr:col>10</xdr:col>
      <xdr:colOff>233362</xdr:colOff>
      <xdr:row>4</xdr:row>
      <xdr:rowOff>164306</xdr:rowOff>
    </xdr:from>
    <xdr:ext cx="1797843" cy="1186925"/>
    <xdr:pic>
      <xdr:nvPicPr>
        <xdr:cNvPr id="4" name="Picture 3">
          <a:extLst>
            <a:ext uri="{FF2B5EF4-FFF2-40B4-BE49-F238E27FC236}">
              <a16:creationId xmlns:a16="http://schemas.microsoft.com/office/drawing/2014/main" id="{11C9796D-49CF-41F8-B3EA-79838AD42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8112" y="1173956"/>
          <a:ext cx="1797843" cy="1186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F558-91F1-4217-8DB8-4B31884A5013}">
  <dimension ref="B1:Q46"/>
  <sheetViews>
    <sheetView tabSelected="1" workbookViewId="0">
      <selection activeCell="J15" sqref="J15:L17"/>
    </sheetView>
  </sheetViews>
  <sheetFormatPr defaultRowHeight="12"/>
  <cols>
    <col min="1" max="1" width="9.140625" style="3"/>
    <col min="2" max="2" width="54.4257812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10" style="3" bestFit="1" customWidth="1"/>
    <col min="10" max="10" width="31.42578125" style="3" customWidth="1"/>
    <col min="11" max="11" width="35.42578125" style="3" customWidth="1"/>
    <col min="12" max="12" width="30.42578125" style="3" customWidth="1"/>
    <col min="13" max="13" width="9.140625" style="3"/>
    <col min="14" max="14" width="10.7109375" style="3" customWidth="1"/>
    <col min="15" max="15" width="13.42578125" style="3" customWidth="1"/>
    <col min="16" max="16" width="13" style="3" customWidth="1"/>
    <col min="17" max="17" width="12.710937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N4" s="14" t="s">
        <v>12</v>
      </c>
      <c r="O4" s="15"/>
      <c r="P4" s="15"/>
      <c r="Q4" s="16"/>
    </row>
    <row r="5" spans="2:17" ht="24">
      <c r="B5" s="17" t="s">
        <v>13</v>
      </c>
      <c r="C5" s="18"/>
      <c r="D5" s="18"/>
      <c r="E5" s="18"/>
      <c r="F5" s="19"/>
      <c r="G5" s="19"/>
      <c r="H5" s="19"/>
      <c r="J5" s="20"/>
      <c r="K5" s="20"/>
      <c r="L5" s="20"/>
      <c r="N5" s="21" t="s">
        <v>14</v>
      </c>
      <c r="O5" s="22" t="s">
        <v>15</v>
      </c>
      <c r="P5" s="22" t="s">
        <v>16</v>
      </c>
      <c r="Q5" s="22" t="s">
        <v>17</v>
      </c>
    </row>
    <row r="6" spans="2:17" ht="24">
      <c r="B6" s="23" t="s">
        <v>18</v>
      </c>
      <c r="C6" s="23" t="s">
        <v>19</v>
      </c>
      <c r="D6" s="23" t="s">
        <v>20</v>
      </c>
      <c r="E6" s="24">
        <v>1500000</v>
      </c>
      <c r="F6" s="25">
        <v>1552.04</v>
      </c>
      <c r="G6" s="25">
        <v>13.06</v>
      </c>
      <c r="H6" s="25">
        <v>6.51</v>
      </c>
      <c r="J6" s="20"/>
      <c r="K6" s="20"/>
      <c r="L6" s="20"/>
      <c r="N6" s="26" t="s">
        <v>21</v>
      </c>
      <c r="O6" s="22"/>
      <c r="P6" s="22"/>
      <c r="Q6" s="22"/>
    </row>
    <row r="7" spans="2:17">
      <c r="B7" s="23" t="s">
        <v>22</v>
      </c>
      <c r="C7" s="23" t="s">
        <v>23</v>
      </c>
      <c r="D7" s="23" t="s">
        <v>20</v>
      </c>
      <c r="E7" s="24">
        <v>1500000</v>
      </c>
      <c r="F7" s="25">
        <v>1544.73</v>
      </c>
      <c r="G7" s="25">
        <v>13</v>
      </c>
      <c r="H7" s="25">
        <v>5.5</v>
      </c>
      <c r="I7" s="27"/>
      <c r="J7" s="20"/>
      <c r="K7" s="20"/>
      <c r="L7" s="20"/>
      <c r="N7" s="28" t="s">
        <v>24</v>
      </c>
      <c r="O7" s="29"/>
      <c r="P7" s="29"/>
      <c r="Q7" s="29"/>
    </row>
    <row r="8" spans="2:17">
      <c r="B8" s="23" t="s">
        <v>25</v>
      </c>
      <c r="C8" s="23" t="s">
        <v>26</v>
      </c>
      <c r="D8" s="23" t="s">
        <v>20</v>
      </c>
      <c r="E8" s="24">
        <v>1500000</v>
      </c>
      <c r="F8" s="25">
        <v>1455.43</v>
      </c>
      <c r="G8" s="25">
        <v>12.25</v>
      </c>
      <c r="H8" s="25">
        <v>6.49</v>
      </c>
      <c r="I8" s="27"/>
      <c r="J8" s="20"/>
      <c r="K8" s="20"/>
      <c r="L8" s="20"/>
      <c r="N8" s="28"/>
      <c r="O8" s="30"/>
      <c r="P8" s="30"/>
      <c r="Q8" s="30"/>
    </row>
    <row r="9" spans="2:17">
      <c r="B9" s="23" t="s">
        <v>27</v>
      </c>
      <c r="C9" s="23" t="s">
        <v>28</v>
      </c>
      <c r="D9" s="23" t="s">
        <v>20</v>
      </c>
      <c r="E9" s="24">
        <v>1000000</v>
      </c>
      <c r="F9" s="25">
        <v>1030.04</v>
      </c>
      <c r="G9" s="25">
        <v>8.67</v>
      </c>
      <c r="H9" s="25">
        <v>5.83</v>
      </c>
      <c r="I9" s="27"/>
      <c r="J9" s="20"/>
      <c r="K9" s="20"/>
      <c r="L9" s="20"/>
      <c r="N9" s="28" t="s">
        <v>29</v>
      </c>
      <c r="O9" s="29"/>
      <c r="P9" s="29"/>
      <c r="Q9" s="29"/>
    </row>
    <row r="10" spans="2:17">
      <c r="B10" s="23" t="s">
        <v>30</v>
      </c>
      <c r="C10" s="23" t="s">
        <v>31</v>
      </c>
      <c r="D10" s="23" t="s">
        <v>20</v>
      </c>
      <c r="E10" s="24">
        <v>1000000</v>
      </c>
      <c r="F10" s="25">
        <v>1001.11</v>
      </c>
      <c r="G10" s="25">
        <v>8.42</v>
      </c>
      <c r="H10" s="25">
        <v>7.08</v>
      </c>
      <c r="I10" s="27"/>
      <c r="J10" s="20"/>
      <c r="K10" s="20"/>
      <c r="L10" s="20"/>
      <c r="N10" s="28"/>
      <c r="O10" s="30"/>
      <c r="P10" s="30"/>
      <c r="Q10" s="30"/>
    </row>
    <row r="11" spans="2:17">
      <c r="B11" s="23" t="s">
        <v>32</v>
      </c>
      <c r="C11" s="23" t="s">
        <v>33</v>
      </c>
      <c r="D11" s="23" t="s">
        <v>20</v>
      </c>
      <c r="E11" s="24">
        <v>1000000</v>
      </c>
      <c r="F11" s="25">
        <v>964.46</v>
      </c>
      <c r="G11" s="25">
        <v>8.1199999999999992</v>
      </c>
      <c r="H11" s="25">
        <v>6.66</v>
      </c>
      <c r="I11" s="27"/>
      <c r="J11" s="20"/>
      <c r="K11" s="20"/>
      <c r="L11" s="20"/>
      <c r="N11" s="28" t="s">
        <v>34</v>
      </c>
      <c r="O11" s="29"/>
      <c r="P11" s="31" t="s">
        <v>35</v>
      </c>
      <c r="Q11" s="29"/>
    </row>
    <row r="12" spans="2:17">
      <c r="B12" s="23" t="s">
        <v>36</v>
      </c>
      <c r="C12" s="23" t="s">
        <v>37</v>
      </c>
      <c r="D12" s="23" t="s">
        <v>20</v>
      </c>
      <c r="E12" s="24">
        <v>1000000</v>
      </c>
      <c r="F12" s="25">
        <v>958.55</v>
      </c>
      <c r="G12" s="25">
        <v>8.07</v>
      </c>
      <c r="H12" s="25">
        <v>7.14</v>
      </c>
      <c r="I12" s="27"/>
      <c r="J12" s="20"/>
      <c r="K12" s="20"/>
      <c r="L12" s="20"/>
      <c r="N12" s="28"/>
      <c r="O12" s="30"/>
      <c r="P12" s="32"/>
      <c r="Q12" s="30"/>
    </row>
    <row r="13" spans="2:17">
      <c r="B13" s="23" t="s">
        <v>38</v>
      </c>
      <c r="C13" s="23" t="s">
        <v>39</v>
      </c>
      <c r="D13" s="23" t="s">
        <v>20</v>
      </c>
      <c r="E13" s="24">
        <v>500000</v>
      </c>
      <c r="F13" s="25">
        <v>505.46</v>
      </c>
      <c r="G13" s="25">
        <v>4.25</v>
      </c>
      <c r="H13" s="25">
        <v>6.93</v>
      </c>
      <c r="I13" s="27"/>
      <c r="J13" s="27"/>
      <c r="K13" s="27" t="s">
        <v>40</v>
      </c>
      <c r="L13" s="27"/>
    </row>
    <row r="14" spans="2:17" ht="12" customHeight="1">
      <c r="B14" s="33" t="s">
        <v>41</v>
      </c>
      <c r="C14" s="33" t="s">
        <v>42</v>
      </c>
      <c r="D14" s="33" t="s">
        <v>20</v>
      </c>
      <c r="E14" s="34">
        <v>23200</v>
      </c>
      <c r="F14" s="35">
        <v>22.37</v>
      </c>
      <c r="G14" s="35">
        <v>0.19</v>
      </c>
      <c r="H14" s="35">
        <v>7.21</v>
      </c>
      <c r="I14" s="27"/>
      <c r="J14" s="27"/>
      <c r="K14" s="27"/>
      <c r="L14" s="27"/>
    </row>
    <row r="15" spans="2:17" ht="12" customHeight="1">
      <c r="B15" s="36" t="s">
        <v>43</v>
      </c>
      <c r="C15" s="36"/>
      <c r="D15" s="36"/>
      <c r="E15" s="36"/>
      <c r="F15" s="37">
        <f>SUM(F6:F14)</f>
        <v>9034.1899999999987</v>
      </c>
      <c r="G15" s="37">
        <f>SUM(G6:G14)</f>
        <v>76.03</v>
      </c>
      <c r="H15" s="37"/>
      <c r="I15" s="27"/>
      <c r="J15" s="38" t="s">
        <v>44</v>
      </c>
      <c r="K15" s="38"/>
      <c r="L15" s="38"/>
    </row>
    <row r="16" spans="2:17" ht="12" customHeight="1">
      <c r="B16" s="39" t="s">
        <v>45</v>
      </c>
      <c r="C16" s="23"/>
      <c r="D16" s="23"/>
      <c r="E16" s="23"/>
      <c r="F16" s="25"/>
      <c r="G16" s="25"/>
      <c r="H16" s="25"/>
      <c r="I16" s="27"/>
      <c r="J16" s="38"/>
      <c r="K16" s="38"/>
      <c r="L16" s="38"/>
    </row>
    <row r="17" spans="2:12">
      <c r="B17" s="23" t="s">
        <v>45</v>
      </c>
      <c r="C17" s="23"/>
      <c r="D17" s="23"/>
      <c r="E17" s="23"/>
      <c r="F17" s="25">
        <v>186.07</v>
      </c>
      <c r="G17" s="25">
        <v>1.57</v>
      </c>
      <c r="H17" s="25"/>
      <c r="I17" s="27"/>
      <c r="J17" s="38"/>
      <c r="K17" s="38"/>
      <c r="L17" s="38"/>
    </row>
    <row r="18" spans="2:12">
      <c r="B18" s="40" t="s">
        <v>46</v>
      </c>
      <c r="C18" s="40"/>
      <c r="D18" s="40"/>
      <c r="E18" s="40"/>
      <c r="F18" s="41">
        <f>SUM(F16:F17)</f>
        <v>186.07</v>
      </c>
      <c r="G18" s="41">
        <f>SUM(G16:G17)</f>
        <v>1.57</v>
      </c>
      <c r="H18" s="42"/>
      <c r="I18" s="27"/>
      <c r="J18" s="27"/>
      <c r="K18" s="27"/>
      <c r="L18" s="27"/>
    </row>
    <row r="19" spans="2:12">
      <c r="B19" s="43" t="s">
        <v>43</v>
      </c>
      <c r="C19" s="43"/>
      <c r="D19" s="43"/>
      <c r="E19" s="43"/>
      <c r="F19" s="44">
        <f>F18</f>
        <v>186.07</v>
      </c>
      <c r="G19" s="44">
        <f>G18</f>
        <v>1.57</v>
      </c>
      <c r="H19" s="44"/>
      <c r="I19" s="27"/>
      <c r="J19" s="27"/>
      <c r="K19" s="27"/>
      <c r="L19" s="27"/>
    </row>
    <row r="20" spans="2:12">
      <c r="B20" s="45" t="s">
        <v>47</v>
      </c>
      <c r="C20" s="45"/>
      <c r="D20" s="45"/>
      <c r="E20" s="45"/>
      <c r="F20" s="46">
        <f>F21-(+F15+F19)</f>
        <v>2663.1500000000015</v>
      </c>
      <c r="G20" s="46">
        <f>G21-(+G15+G19)</f>
        <v>22.400000000000006</v>
      </c>
      <c r="H20" s="46"/>
      <c r="I20" s="27"/>
      <c r="J20" s="27"/>
      <c r="K20" s="27"/>
      <c r="L20" s="27"/>
    </row>
    <row r="21" spans="2:12">
      <c r="B21" s="45" t="s">
        <v>48</v>
      </c>
      <c r="C21" s="45"/>
      <c r="D21" s="45"/>
      <c r="E21" s="45"/>
      <c r="F21" s="46">
        <v>11883.41</v>
      </c>
      <c r="G21" s="46">
        <v>100</v>
      </c>
      <c r="H21" s="46"/>
      <c r="I21" s="27"/>
      <c r="J21" s="27"/>
      <c r="K21" s="27"/>
      <c r="L21" s="27"/>
    </row>
    <row r="22" spans="2:12">
      <c r="I22" s="27"/>
      <c r="J22" s="27"/>
      <c r="K22" s="27"/>
      <c r="L22" s="27"/>
    </row>
    <row r="23" spans="2:12">
      <c r="B23" s="47"/>
      <c r="I23" s="27"/>
      <c r="J23" s="27"/>
      <c r="K23" s="27"/>
      <c r="L23" s="27"/>
    </row>
    <row r="24" spans="2:12">
      <c r="I24" s="27"/>
      <c r="J24" s="27"/>
      <c r="K24" s="27"/>
      <c r="L24" s="27"/>
    </row>
    <row r="25" spans="2:12">
      <c r="I25" s="27"/>
      <c r="J25" s="27"/>
      <c r="K25" s="27"/>
      <c r="L25" s="27"/>
    </row>
    <row r="26" spans="2:12">
      <c r="I26" s="27"/>
      <c r="J26" s="27"/>
      <c r="K26" s="27"/>
      <c r="L26" s="27"/>
    </row>
    <row r="27" spans="2:12">
      <c r="I27" s="27"/>
      <c r="J27" s="27"/>
      <c r="K27" s="27"/>
      <c r="L27" s="27"/>
    </row>
    <row r="28" spans="2:12">
      <c r="I28" s="27"/>
      <c r="J28" s="27"/>
      <c r="K28" s="27"/>
      <c r="L28" s="27"/>
    </row>
    <row r="29" spans="2:12">
      <c r="I29" s="27"/>
      <c r="J29" s="27"/>
      <c r="K29" s="27"/>
      <c r="L29" s="27"/>
    </row>
    <row r="30" spans="2:12">
      <c r="I30" s="27"/>
      <c r="J30" s="27"/>
      <c r="K30" s="27"/>
      <c r="L30" s="27"/>
    </row>
    <row r="31" spans="2:12">
      <c r="I31" s="27"/>
      <c r="J31" s="27"/>
      <c r="K31" s="27"/>
      <c r="L31" s="27"/>
    </row>
    <row r="32" spans="2:12">
      <c r="I32" s="27"/>
      <c r="J32" s="27"/>
      <c r="K32" s="27"/>
      <c r="L32" s="27"/>
    </row>
    <row r="33" spans="9:12">
      <c r="I33" s="27"/>
      <c r="J33" s="27"/>
      <c r="K33" s="27"/>
      <c r="L33" s="27"/>
    </row>
    <row r="34" spans="9:12">
      <c r="I34" s="27"/>
      <c r="J34" s="27"/>
      <c r="K34" s="27"/>
      <c r="L34" s="27"/>
    </row>
    <row r="35" spans="9:12">
      <c r="I35" s="27"/>
      <c r="J35" s="27"/>
      <c r="K35" s="27"/>
      <c r="L35" s="27"/>
    </row>
    <row r="36" spans="9:12">
      <c r="I36" s="27"/>
      <c r="J36" s="27"/>
      <c r="K36" s="27"/>
      <c r="L36" s="27"/>
    </row>
    <row r="37" spans="9:12">
      <c r="I37" s="27"/>
      <c r="J37" s="27"/>
      <c r="K37" s="27"/>
      <c r="L37" s="27"/>
    </row>
    <row r="38" spans="9:12">
      <c r="I38" s="27"/>
      <c r="J38" s="27"/>
      <c r="K38" s="27"/>
      <c r="L38" s="27"/>
    </row>
    <row r="39" spans="9:12">
      <c r="I39" s="27"/>
      <c r="J39" s="27"/>
      <c r="K39" s="27"/>
      <c r="L39" s="27"/>
    </row>
    <row r="40" spans="9:12">
      <c r="I40" s="27"/>
      <c r="J40" s="27"/>
      <c r="K40" s="27"/>
      <c r="L40" s="27"/>
    </row>
    <row r="41" spans="9:12">
      <c r="I41" s="27"/>
      <c r="J41" s="27"/>
      <c r="K41" s="27"/>
      <c r="L41" s="27"/>
    </row>
    <row r="42" spans="9:12">
      <c r="I42" s="27"/>
      <c r="J42" s="27"/>
      <c r="K42" s="27"/>
      <c r="L42" s="27"/>
    </row>
    <row r="43" spans="9:12">
      <c r="I43" s="27"/>
      <c r="J43" s="27"/>
      <c r="K43" s="27"/>
      <c r="L43" s="27"/>
    </row>
    <row r="44" spans="9:12">
      <c r="I44" s="27"/>
      <c r="J44" s="27"/>
      <c r="K44" s="27"/>
      <c r="L44" s="27"/>
    </row>
    <row r="45" spans="9:12">
      <c r="I45" s="27"/>
      <c r="J45" s="27"/>
      <c r="K45" s="27"/>
      <c r="L45" s="27"/>
    </row>
    <row r="46" spans="9:12">
      <c r="I46" s="27"/>
      <c r="J46" s="27"/>
      <c r="K46" s="27"/>
      <c r="L46" s="27"/>
    </row>
  </sheetData>
  <mergeCells count="21">
    <mergeCell ref="N11:N12"/>
    <mergeCell ref="O11:O12"/>
    <mergeCell ref="P11:P12"/>
    <mergeCell ref="Q11:Q12"/>
    <mergeCell ref="J15:L17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2022-05-06T06:27:23Z</dcterms:created>
  <dcterms:modified xsi:type="dcterms:W3CDTF">2022-05-06T06:27:24Z</dcterms:modified>
</cp:coreProperties>
</file>