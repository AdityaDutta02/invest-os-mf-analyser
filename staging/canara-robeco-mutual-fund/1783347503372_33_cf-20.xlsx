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C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/>
  <c r="G48" i="1" s="1"/>
  <c r="F47" i="1"/>
  <c r="F48" i="1" s="1"/>
  <c r="G43" i="1"/>
  <c r="G44" i="1" s="1"/>
  <c r="F43" i="1"/>
  <c r="F44" i="1" s="1"/>
  <c r="F49" i="1" l="1"/>
  <c r="G49" i="1"/>
</calcChain>
</file>

<file path=xl/sharedStrings.xml><?xml version="1.0" encoding="utf-8"?>
<sst xmlns="http://schemas.openxmlformats.org/spreadsheetml/2006/main" count="167" uniqueCount="113">
  <si>
    <t>CANARA ROBECO CONSUMER TRENDS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</si>
  <si>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</si>
  <si>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</si>
  <si>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</si>
  <si>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</si>
  <si>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</si>
  <si>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</si>
  <si>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</si>
  <si>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</si>
  <si>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</si>
  <si>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</si>
  <si>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</si>
  <si>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</si>
  <si>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</si>
  <si>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</si>
  <si>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</si>
  <si>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</si>
  <si>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</si>
  <si>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ITC Ltd</t>
  </si>
  <si>
    <t>INE154A01025</t>
  </si>
  <si>
    <t>Diversified Fmcg</t>
  </si>
  <si>
    <t>Hindustan Unilever Ltd</t>
  </si>
  <si>
    <t>INE030A01027</t>
  </si>
  <si>
    <t>Maruti Suzuki India Ltd</t>
  </si>
  <si>
    <t>INE585B01010</t>
  </si>
  <si>
    <t>Automobiles</t>
  </si>
  <si>
    <t>Axis Bank Ltd</t>
  </si>
  <si>
    <t>INE238A01034</t>
  </si>
  <si>
    <t>State Bank of India</t>
  </si>
  <si>
    <t>INE062A01020</t>
  </si>
  <si>
    <t>Titan Co Ltd</t>
  </si>
  <si>
    <t>INE280A01028</t>
  </si>
  <si>
    <t>Consumer Durables</t>
  </si>
  <si>
    <t>Benchmark: S&amp;P BSE 100 TRI</t>
  </si>
  <si>
    <t>HDFC Bank Ltd</t>
  </si>
  <si>
    <t>INE040A01034</t>
  </si>
  <si>
    <t>Indian Hotels Co Ltd</t>
  </si>
  <si>
    <t>INE053A01029</t>
  </si>
  <si>
    <t>Leisure Services</t>
  </si>
  <si>
    <t>Mid Cap</t>
  </si>
  <si>
    <t>Bata India Ltd</t>
  </si>
  <si>
    <t>INE176A01028</t>
  </si>
  <si>
    <t>Page Industries Ltd</t>
  </si>
  <si>
    <t>INE761H01022</t>
  </si>
  <si>
    <t>Textiles &amp; Apparels</t>
  </si>
  <si>
    <t>Bharti Airtel Ltd</t>
  </si>
  <si>
    <t>INE397D01024</t>
  </si>
  <si>
    <t>Telecom - Services</t>
  </si>
  <si>
    <t>Godrej Consumer Products Ltd</t>
  </si>
  <si>
    <t>INE102D01028</t>
  </si>
  <si>
    <t>Personal Products</t>
  </si>
  <si>
    <t>Trent Ltd</t>
  </si>
  <si>
    <t>INE849A01020</t>
  </si>
  <si>
    <t>Retailing</t>
  </si>
  <si>
    <t>United Breweries Ltd</t>
  </si>
  <si>
    <t>INE686F01025</t>
  </si>
  <si>
    <t>Beverages</t>
  </si>
  <si>
    <t>Bajaj Finance Ltd</t>
  </si>
  <si>
    <t>INE296A01024</t>
  </si>
  <si>
    <t>Finance</t>
  </si>
  <si>
    <t>United Spirits Ltd</t>
  </si>
  <si>
    <t>INE854D01024</t>
  </si>
  <si>
    <t>SBI Cards and Payment Services Ltd</t>
  </si>
  <si>
    <t>INE018E01016</t>
  </si>
  <si>
    <t>Tata Consumer Products Ltd</t>
  </si>
  <si>
    <t>INE192A01025</t>
  </si>
  <si>
    <t>Agricultural Food &amp; Other Products</t>
  </si>
  <si>
    <t>ZF Commercial Vehicle Control Systems India Ltd</t>
  </si>
  <si>
    <t>INE342J01019</t>
  </si>
  <si>
    <t>Auto Components</t>
  </si>
  <si>
    <t>Small Cap</t>
  </si>
  <si>
    <t>IndusInd Bank Ltd</t>
  </si>
  <si>
    <t>INE095A01012</t>
  </si>
  <si>
    <t>Westlife Development Ltd</t>
  </si>
  <si>
    <t>INE274F01020</t>
  </si>
  <si>
    <t>City Union Bank Ltd</t>
  </si>
  <si>
    <t>INE491A01021</t>
  </si>
  <si>
    <t>KEI Industries Ltd</t>
  </si>
  <si>
    <t>INE878B01027</t>
  </si>
  <si>
    <t>Industrial Products</t>
  </si>
  <si>
    <t>J.B. Chemicals &amp; Pharmaceuticals Ltd</t>
  </si>
  <si>
    <t>INE572A01028</t>
  </si>
  <si>
    <t>Pharmaceuticals &amp; Biotechnology</t>
  </si>
  <si>
    <t>Havells India Ltd</t>
  </si>
  <si>
    <t>INE176B01034</t>
  </si>
  <si>
    <t>Polycab India Ltd</t>
  </si>
  <si>
    <t>INE455K01017</t>
  </si>
  <si>
    <t>Apollo Hospitals Enterprise Ltd</t>
  </si>
  <si>
    <t>INE437A01024</t>
  </si>
  <si>
    <t>Healthcare Services</t>
  </si>
  <si>
    <t>Voltas Ltd</t>
  </si>
  <si>
    <t>INE226A01021</t>
  </si>
  <si>
    <t>Avenue Supermarts Ltd</t>
  </si>
  <si>
    <t>INE192R01011</t>
  </si>
  <si>
    <t>SBI Life Insurance Co Ltd</t>
  </si>
  <si>
    <t>INE123W01016</t>
  </si>
  <si>
    <t>Insurance</t>
  </si>
  <si>
    <t>Varun Beverages Ltd</t>
  </si>
  <si>
    <t>INE200M01013</t>
  </si>
  <si>
    <t>Tata Motors Ltd</t>
  </si>
  <si>
    <t>INE155A01022</t>
  </si>
  <si>
    <t>Uno Minda Ltd</t>
  </si>
  <si>
    <t>INE405E01023</t>
  </si>
  <si>
    <t>Kansai Nerolac Paints Ltd</t>
  </si>
  <si>
    <t>INE531A01024</t>
  </si>
  <si>
    <t>Ashok Leyland Ltd</t>
  </si>
  <si>
    <t>INE208A01029</t>
  </si>
  <si>
    <t>Agricultural, Commercial &amp; Construction Vehicles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</si>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</sst>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3" fontId="3" fillId="3" borderId="5" xfId="0" applyNumberFormat="1" applyFont="1" applyFill="1" applyBorder="1"/>
    <xf numFmtId="43" fontId="3" fillId="3" borderId="0" xfId="1" applyFont="1" applyFill="1" applyAlignment="1"/>
    <xf numFmtId="0" fontId="3" fillId="3" borderId="0" xfId="0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288130</xdr:colOff>
      <xdr:row>4</xdr:row>
      <xdr:rowOff>19050</xdr:rowOff>
    </xdr:from>
    <xdr:to>
      <xdr:col>10</xdr:col>
      <xdr:colOff>2000249</xdr:colOff>
      <xdr:row>11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3C2B4-31FF-43F4-BF0C-9533F5856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2680" y="1114425"/>
          <a:ext cx="1712119" cy="1190625"/>
        </a:xfrm>
        <a:prstGeom prst="rect">
          <a:avLst/>
        </a:prstGeom>
      </xdr:spPr>
    </xdr:pic>
    <xdr:clientData/>
  </xdr:twoCellAnchor>
  <xdr:twoCellAnchor editAs="oneCell">
    <xdr:from>
      <xdr:col>9</xdr:col>
      <xdr:colOff>34340</xdr:colOff>
      <xdr:row>4</xdr:row>
      <xdr:rowOff>49630</xdr:rowOff>
    </xdr:from>
    <xdr:to>
      <xdr:col>9</xdr:col>
      <xdr:colOff>1914525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4F96B-5E92-4B9F-90F3-E9D0B4803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11965" y="1145005"/>
          <a:ext cx="1880185" cy="1121945"/>
        </a:xfrm>
        <a:prstGeom prst="rect">
          <a:avLst/>
        </a:prstGeom>
      </xdr:spPr>
    </xdr:pic>
    <xdr:clientData/>
  </xdr:twoCellAnchor>
  <xdr:oneCellAnchor>
    <xdr:from>
      <xdr:col>11</xdr:col>
      <xdr:colOff>467337</xdr:colOff>
      <xdr:row>4</xdr:row>
      <xdr:rowOff>43787</xdr:rowOff>
    </xdr:from>
    <xdr:ext cx="1742463" cy="1145896"/>
    <xdr:pic>
      <xdr:nvPicPr>
        <xdr:cNvPr id="4" name="Picture 3">
          <a:extLst>
            <a:ext uri="{FF2B5EF4-FFF2-40B4-BE49-F238E27FC236}">
              <a16:creationId xmlns:a16="http://schemas.microsoft.com/office/drawing/2014/main" id="{622EE557-354E-4EDF-BD26-AD5A09D39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8362" y="1139162"/>
          <a:ext cx="1742463" cy="11458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2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40.42578125" style="3" bestFit="1" customWidth="1"/>
    <col min="5" max="5" width="8.85546875" style="31" bestFit="1" customWidth="1"/>
    <col min="6" max="6" width="15.28515625" style="32" bestFit="1" customWidth="1"/>
    <col min="7" max="7" width="7.42578125" style="32" bestFit="1" customWidth="1"/>
    <col min="8" max="8" width="9.140625" style="3"/>
    <col min="9" max="9" width="10" style="4" bestFit="1" customWidth="1"/>
    <col min="10" max="10" width="31" style="4" bestFit="1" customWidth="1"/>
    <col min="11" max="11" width="34.140625" style="4" bestFit="1" customWidth="1"/>
    <col min="12" max="12" width="39.28515625" style="4" bestFit="1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6.75" thickBot="1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7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2"/>
      <c r="J6" s="20"/>
      <c r="K6" s="20"/>
      <c r="L6" s="20"/>
    </row>
    <row r="7" spans="2:12">
      <c r="B7" s="22" t="s">
        <v>14</v>
      </c>
      <c r="C7" s="22" t="s">
        <v>15</v>
      </c>
      <c r="D7" s="22" t="s">
        <v>16</v>
      </c>
      <c r="E7" s="25">
        <v>650000</v>
      </c>
      <c r="F7" s="24">
        <v>5906.55</v>
      </c>
      <c r="G7" s="24">
        <v>6.1</v>
      </c>
      <c r="H7" s="22" t="s">
        <v>17</v>
      </c>
      <c r="J7" s="20"/>
      <c r="K7" s="20"/>
      <c r="L7" s="20"/>
    </row>
    <row r="8" spans="2:12">
      <c r="B8" s="22" t="s">
        <v>18</v>
      </c>
      <c r="C8" s="22" t="s">
        <v>19</v>
      </c>
      <c r="D8" s="22" t="s">
        <v>20</v>
      </c>
      <c r="E8" s="25">
        <v>1600000</v>
      </c>
      <c r="F8" s="24">
        <v>5579.2</v>
      </c>
      <c r="G8" s="24">
        <v>5.76</v>
      </c>
      <c r="H8" s="22" t="s">
        <v>17</v>
      </c>
      <c r="J8" s="20"/>
      <c r="K8" s="20"/>
      <c r="L8" s="20"/>
    </row>
    <row r="9" spans="2:12">
      <c r="B9" s="22" t="s">
        <v>21</v>
      </c>
      <c r="C9" s="22" t="s">
        <v>22</v>
      </c>
      <c r="D9" s="22" t="s">
        <v>20</v>
      </c>
      <c r="E9" s="25">
        <v>195000</v>
      </c>
      <c r="F9" s="24">
        <v>4973.87</v>
      </c>
      <c r="G9" s="24">
        <v>5.14</v>
      </c>
      <c r="H9" s="22" t="s">
        <v>17</v>
      </c>
      <c r="J9" s="20"/>
      <c r="K9" s="20"/>
      <c r="L9" s="20"/>
    </row>
    <row r="10" spans="2:12">
      <c r="B10" s="22" t="s">
        <v>23</v>
      </c>
      <c r="C10" s="22" t="s">
        <v>24</v>
      </c>
      <c r="D10" s="22" t="s">
        <v>25</v>
      </c>
      <c r="E10" s="25">
        <v>48000</v>
      </c>
      <c r="F10" s="24">
        <v>4573.25</v>
      </c>
      <c r="G10" s="24">
        <v>4.72</v>
      </c>
      <c r="H10" s="22" t="s">
        <v>17</v>
      </c>
      <c r="J10" s="20"/>
      <c r="K10" s="20"/>
      <c r="L10" s="20"/>
    </row>
    <row r="11" spans="2:12">
      <c r="B11" s="22" t="s">
        <v>26</v>
      </c>
      <c r="C11" s="22" t="s">
        <v>27</v>
      </c>
      <c r="D11" s="22" t="s">
        <v>16</v>
      </c>
      <c r="E11" s="25">
        <v>460000</v>
      </c>
      <c r="F11" s="24">
        <v>4167.6000000000004</v>
      </c>
      <c r="G11" s="24">
        <v>4.3099999999999996</v>
      </c>
      <c r="H11" s="22" t="s">
        <v>17</v>
      </c>
      <c r="J11" s="20"/>
      <c r="K11" s="20"/>
      <c r="L11" s="20"/>
    </row>
    <row r="12" spans="2:12">
      <c r="B12" s="22" t="s">
        <v>28</v>
      </c>
      <c r="C12" s="22" t="s">
        <v>29</v>
      </c>
      <c r="D12" s="22" t="s">
        <v>16</v>
      </c>
      <c r="E12" s="25">
        <v>700000</v>
      </c>
      <c r="F12" s="24">
        <v>4016.6</v>
      </c>
      <c r="G12" s="24">
        <v>4.1500000000000004</v>
      </c>
      <c r="H12" s="22" t="s">
        <v>17</v>
      </c>
      <c r="J12" s="20"/>
      <c r="K12" s="20"/>
      <c r="L12" s="20"/>
    </row>
    <row r="13" spans="2:12">
      <c r="B13" s="22" t="s">
        <v>30</v>
      </c>
      <c r="C13" s="22" t="s">
        <v>31</v>
      </c>
      <c r="D13" s="22" t="s">
        <v>32</v>
      </c>
      <c r="E13" s="25">
        <v>135000</v>
      </c>
      <c r="F13" s="24">
        <v>3728.03</v>
      </c>
      <c r="G13" s="24">
        <v>3.85</v>
      </c>
      <c r="H13" s="22" t="s">
        <v>17</v>
      </c>
      <c r="J13" s="26"/>
      <c r="K13" s="26" t="s">
        <v>33</v>
      </c>
      <c r="L13" s="27"/>
    </row>
    <row r="14" spans="2:12">
      <c r="B14" s="22" t="s">
        <v>34</v>
      </c>
      <c r="C14" s="22" t="s">
        <v>35</v>
      </c>
      <c r="D14" s="22" t="s">
        <v>16</v>
      </c>
      <c r="E14" s="25">
        <v>247000</v>
      </c>
      <c r="F14" s="24">
        <v>3696.85</v>
      </c>
      <c r="G14" s="24">
        <v>3.82</v>
      </c>
      <c r="H14" s="22" t="s">
        <v>17</v>
      </c>
    </row>
    <row r="15" spans="2:12">
      <c r="B15" s="22" t="s">
        <v>36</v>
      </c>
      <c r="C15" s="22" t="s">
        <v>37</v>
      </c>
      <c r="D15" s="22" t="s">
        <v>38</v>
      </c>
      <c r="E15" s="25">
        <v>942500</v>
      </c>
      <c r="F15" s="24">
        <v>3146.07</v>
      </c>
      <c r="G15" s="24">
        <v>3.25</v>
      </c>
      <c r="H15" s="22" t="s">
        <v>39</v>
      </c>
    </row>
    <row r="16" spans="2:12">
      <c r="B16" s="22" t="s">
        <v>40</v>
      </c>
      <c r="C16" s="22" t="s">
        <v>41</v>
      </c>
      <c r="D16" s="22" t="s">
        <v>32</v>
      </c>
      <c r="E16" s="25">
        <v>160000</v>
      </c>
      <c r="F16" s="24">
        <v>2925.36</v>
      </c>
      <c r="G16" s="24">
        <v>3.02</v>
      </c>
      <c r="H16" s="22" t="s">
        <v>39</v>
      </c>
    </row>
    <row r="17" spans="2:8">
      <c r="B17" s="22" t="s">
        <v>42</v>
      </c>
      <c r="C17" s="22" t="s">
        <v>43</v>
      </c>
      <c r="D17" s="22" t="s">
        <v>44</v>
      </c>
      <c r="E17" s="25">
        <v>5800</v>
      </c>
      <c r="F17" s="24">
        <v>2886.58</v>
      </c>
      <c r="G17" s="24">
        <v>2.98</v>
      </c>
      <c r="H17" s="22" t="s">
        <v>39</v>
      </c>
    </row>
    <row r="18" spans="2:8">
      <c r="B18" s="22" t="s">
        <v>45</v>
      </c>
      <c r="C18" s="22" t="s">
        <v>46</v>
      </c>
      <c r="D18" s="22" t="s">
        <v>47</v>
      </c>
      <c r="E18" s="25">
        <v>345000</v>
      </c>
      <c r="F18" s="24">
        <v>2870.4</v>
      </c>
      <c r="G18" s="24">
        <v>2.97</v>
      </c>
      <c r="H18" s="22" t="s">
        <v>17</v>
      </c>
    </row>
    <row r="19" spans="2:8">
      <c r="B19" s="22" t="s">
        <v>48</v>
      </c>
      <c r="C19" s="22" t="s">
        <v>49</v>
      </c>
      <c r="D19" s="22" t="s">
        <v>50</v>
      </c>
      <c r="E19" s="25">
        <v>330000</v>
      </c>
      <c r="F19" s="24">
        <v>2736.69</v>
      </c>
      <c r="G19" s="24">
        <v>2.83</v>
      </c>
      <c r="H19" s="22" t="s">
        <v>17</v>
      </c>
    </row>
    <row r="20" spans="2:8">
      <c r="B20" s="22" t="s">
        <v>51</v>
      </c>
      <c r="C20" s="22" t="s">
        <v>52</v>
      </c>
      <c r="D20" s="22" t="s">
        <v>53</v>
      </c>
      <c r="E20" s="25">
        <v>160000</v>
      </c>
      <c r="F20" s="24">
        <v>2444.64</v>
      </c>
      <c r="G20" s="24">
        <v>2.5299999999999998</v>
      </c>
      <c r="H20" s="22" t="s">
        <v>39</v>
      </c>
    </row>
    <row r="21" spans="2:8">
      <c r="B21" s="22" t="s">
        <v>54</v>
      </c>
      <c r="C21" s="22" t="s">
        <v>55</v>
      </c>
      <c r="D21" s="22" t="s">
        <v>56</v>
      </c>
      <c r="E21" s="25">
        <v>145000</v>
      </c>
      <c r="F21" s="24">
        <v>2396.63</v>
      </c>
      <c r="G21" s="24">
        <v>2.48</v>
      </c>
      <c r="H21" s="22" t="s">
        <v>39</v>
      </c>
    </row>
    <row r="22" spans="2:8">
      <c r="B22" s="22" t="s">
        <v>57</v>
      </c>
      <c r="C22" s="22" t="s">
        <v>58</v>
      </c>
      <c r="D22" s="22" t="s">
        <v>59</v>
      </c>
      <c r="E22" s="25">
        <v>33000</v>
      </c>
      <c r="F22" s="24">
        <v>2357.5500000000002</v>
      </c>
      <c r="G22" s="24">
        <v>2.44</v>
      </c>
      <c r="H22" s="22" t="s">
        <v>17</v>
      </c>
    </row>
    <row r="23" spans="2:8">
      <c r="B23" s="22" t="s">
        <v>60</v>
      </c>
      <c r="C23" s="22" t="s">
        <v>61</v>
      </c>
      <c r="D23" s="22" t="s">
        <v>56</v>
      </c>
      <c r="E23" s="25">
        <v>245000</v>
      </c>
      <c r="F23" s="24">
        <v>2196.06</v>
      </c>
      <c r="G23" s="24">
        <v>2.27</v>
      </c>
      <c r="H23" s="22" t="s">
        <v>17</v>
      </c>
    </row>
    <row r="24" spans="2:8">
      <c r="B24" s="22" t="s">
        <v>62</v>
      </c>
      <c r="C24" s="22" t="s">
        <v>63</v>
      </c>
      <c r="D24" s="22" t="s">
        <v>59</v>
      </c>
      <c r="E24" s="25">
        <v>265000</v>
      </c>
      <c r="F24" s="24">
        <v>2190.62</v>
      </c>
      <c r="G24" s="24">
        <v>2.2599999999999998</v>
      </c>
      <c r="H24" s="22" t="s">
        <v>17</v>
      </c>
    </row>
    <row r="25" spans="2:8">
      <c r="B25" s="22" t="s">
        <v>64</v>
      </c>
      <c r="C25" s="22" t="s">
        <v>65</v>
      </c>
      <c r="D25" s="22" t="s">
        <v>66</v>
      </c>
      <c r="E25" s="25">
        <v>276000</v>
      </c>
      <c r="F25" s="24">
        <v>2125.61</v>
      </c>
      <c r="G25" s="24">
        <v>2.2000000000000002</v>
      </c>
      <c r="H25" s="22" t="s">
        <v>17</v>
      </c>
    </row>
    <row r="26" spans="2:8">
      <c r="B26" s="22" t="s">
        <v>67</v>
      </c>
      <c r="C26" s="22" t="s">
        <v>68</v>
      </c>
      <c r="D26" s="22" t="s">
        <v>69</v>
      </c>
      <c r="E26" s="25">
        <v>20500</v>
      </c>
      <c r="F26" s="24">
        <v>2096.88</v>
      </c>
      <c r="G26" s="24">
        <v>2.17</v>
      </c>
      <c r="H26" s="22" t="s">
        <v>70</v>
      </c>
    </row>
    <row r="27" spans="2:8">
      <c r="B27" s="22" t="s">
        <v>71</v>
      </c>
      <c r="C27" s="22" t="s">
        <v>72</v>
      </c>
      <c r="D27" s="22" t="s">
        <v>16</v>
      </c>
      <c r="E27" s="25">
        <v>180000</v>
      </c>
      <c r="F27" s="24">
        <v>2056.77</v>
      </c>
      <c r="G27" s="24">
        <v>2.12</v>
      </c>
      <c r="H27" s="22" t="s">
        <v>17</v>
      </c>
    </row>
    <row r="28" spans="2:8">
      <c r="B28" s="22" t="s">
        <v>73</v>
      </c>
      <c r="C28" s="22" t="s">
        <v>74</v>
      </c>
      <c r="D28" s="22" t="s">
        <v>38</v>
      </c>
      <c r="E28" s="25">
        <v>275000</v>
      </c>
      <c r="F28" s="24">
        <v>2056.4499999999998</v>
      </c>
      <c r="G28" s="24">
        <v>2.12</v>
      </c>
      <c r="H28" s="22" t="s">
        <v>70</v>
      </c>
    </row>
    <row r="29" spans="2:8">
      <c r="B29" s="22" t="s">
        <v>75</v>
      </c>
      <c r="C29" s="22" t="s">
        <v>76</v>
      </c>
      <c r="D29" s="22" t="s">
        <v>16</v>
      </c>
      <c r="E29" s="25">
        <v>1100000</v>
      </c>
      <c r="F29" s="24">
        <v>2046</v>
      </c>
      <c r="G29" s="24">
        <v>2.11</v>
      </c>
      <c r="H29" s="22" t="s">
        <v>70</v>
      </c>
    </row>
    <row r="30" spans="2:8">
      <c r="B30" s="22" t="s">
        <v>77</v>
      </c>
      <c r="C30" s="22" t="s">
        <v>78</v>
      </c>
      <c r="D30" s="22" t="s">
        <v>79</v>
      </c>
      <c r="E30" s="25">
        <v>122500</v>
      </c>
      <c r="F30" s="24">
        <v>1978.62</v>
      </c>
      <c r="G30" s="24">
        <v>2.04</v>
      </c>
      <c r="H30" s="22" t="s">
        <v>70</v>
      </c>
    </row>
    <row r="31" spans="2:8">
      <c r="B31" s="22" t="s">
        <v>80</v>
      </c>
      <c r="C31" s="22" t="s">
        <v>81</v>
      </c>
      <c r="D31" s="22" t="s">
        <v>82</v>
      </c>
      <c r="E31" s="25">
        <v>91000</v>
      </c>
      <c r="F31" s="24">
        <v>1795.89</v>
      </c>
      <c r="G31" s="24">
        <v>1.86</v>
      </c>
      <c r="H31" s="22" t="s">
        <v>70</v>
      </c>
    </row>
    <row r="32" spans="2:8">
      <c r="B32" s="22" t="s">
        <v>83</v>
      </c>
      <c r="C32" s="22" t="s">
        <v>84</v>
      </c>
      <c r="D32" s="22" t="s">
        <v>32</v>
      </c>
      <c r="E32" s="25">
        <v>145000</v>
      </c>
      <c r="F32" s="24">
        <v>1763.64</v>
      </c>
      <c r="G32" s="24">
        <v>1.82</v>
      </c>
      <c r="H32" s="22" t="s">
        <v>17</v>
      </c>
    </row>
    <row r="33" spans="2:8">
      <c r="B33" s="22" t="s">
        <v>85</v>
      </c>
      <c r="C33" s="22" t="s">
        <v>86</v>
      </c>
      <c r="D33" s="22" t="s">
        <v>79</v>
      </c>
      <c r="E33" s="25">
        <v>63000</v>
      </c>
      <c r="F33" s="24">
        <v>1749.79</v>
      </c>
      <c r="G33" s="24">
        <v>1.81</v>
      </c>
      <c r="H33" s="22" t="s">
        <v>39</v>
      </c>
    </row>
    <row r="34" spans="2:8">
      <c r="B34" s="22" t="s">
        <v>87</v>
      </c>
      <c r="C34" s="22" t="s">
        <v>88</v>
      </c>
      <c r="D34" s="22" t="s">
        <v>89</v>
      </c>
      <c r="E34" s="25">
        <v>35000</v>
      </c>
      <c r="F34" s="24">
        <v>1581.13</v>
      </c>
      <c r="G34" s="24">
        <v>1.63</v>
      </c>
      <c r="H34" s="22" t="s">
        <v>17</v>
      </c>
    </row>
    <row r="35" spans="2:8">
      <c r="B35" s="22" t="s">
        <v>90</v>
      </c>
      <c r="C35" s="22" t="s">
        <v>91</v>
      </c>
      <c r="D35" s="22" t="s">
        <v>32</v>
      </c>
      <c r="E35" s="25">
        <v>180000</v>
      </c>
      <c r="F35" s="24">
        <v>1577.16</v>
      </c>
      <c r="G35" s="24">
        <v>1.63</v>
      </c>
      <c r="H35" s="22" t="s">
        <v>39</v>
      </c>
    </row>
    <row r="36" spans="2:8">
      <c r="B36" s="22" t="s">
        <v>92</v>
      </c>
      <c r="C36" s="22" t="s">
        <v>93</v>
      </c>
      <c r="D36" s="22" t="s">
        <v>53</v>
      </c>
      <c r="E36" s="25">
        <v>35250</v>
      </c>
      <c r="F36" s="24">
        <v>1523.12</v>
      </c>
      <c r="G36" s="24">
        <v>1.57</v>
      </c>
      <c r="H36" s="22" t="s">
        <v>17</v>
      </c>
    </row>
    <row r="37" spans="2:8">
      <c r="B37" s="22" t="s">
        <v>94</v>
      </c>
      <c r="C37" s="22" t="s">
        <v>95</v>
      </c>
      <c r="D37" s="22" t="s">
        <v>96</v>
      </c>
      <c r="E37" s="25">
        <v>120000</v>
      </c>
      <c r="F37" s="24">
        <v>1519.14</v>
      </c>
      <c r="G37" s="24">
        <v>1.57</v>
      </c>
      <c r="H37" s="22" t="s">
        <v>17</v>
      </c>
    </row>
    <row r="38" spans="2:8">
      <c r="B38" s="22" t="s">
        <v>97</v>
      </c>
      <c r="C38" s="22" t="s">
        <v>98</v>
      </c>
      <c r="D38" s="22" t="s">
        <v>56</v>
      </c>
      <c r="E38" s="25">
        <v>135000</v>
      </c>
      <c r="F38" s="24">
        <v>1416.22</v>
      </c>
      <c r="G38" s="24">
        <v>1.46</v>
      </c>
      <c r="H38" s="22" t="s">
        <v>39</v>
      </c>
    </row>
    <row r="39" spans="2:8">
      <c r="B39" s="22" t="s">
        <v>99</v>
      </c>
      <c r="C39" s="22" t="s">
        <v>100</v>
      </c>
      <c r="D39" s="22" t="s">
        <v>25</v>
      </c>
      <c r="E39" s="25">
        <v>330000</v>
      </c>
      <c r="F39" s="24">
        <v>1362.08</v>
      </c>
      <c r="G39" s="24">
        <v>1.41</v>
      </c>
      <c r="H39" s="22" t="s">
        <v>17</v>
      </c>
    </row>
    <row r="40" spans="2:8">
      <c r="B40" s="22" t="s">
        <v>101</v>
      </c>
      <c r="C40" s="22" t="s">
        <v>102</v>
      </c>
      <c r="D40" s="22" t="s">
        <v>69</v>
      </c>
      <c r="E40" s="25">
        <v>230000</v>
      </c>
      <c r="F40" s="24">
        <v>1234.4100000000001</v>
      </c>
      <c r="G40" s="24">
        <v>1.28</v>
      </c>
      <c r="H40" s="22" t="s">
        <v>39</v>
      </c>
    </row>
    <row r="41" spans="2:8">
      <c r="B41" s="22" t="s">
        <v>103</v>
      </c>
      <c r="C41" s="22" t="s">
        <v>104</v>
      </c>
      <c r="D41" s="22" t="s">
        <v>32</v>
      </c>
      <c r="E41" s="25">
        <v>230000</v>
      </c>
      <c r="F41" s="24">
        <v>1117.8</v>
      </c>
      <c r="G41" s="24">
        <v>1.1499999999999999</v>
      </c>
      <c r="H41" s="22" t="s">
        <v>39</v>
      </c>
    </row>
    <row r="42" spans="2:8">
      <c r="B42" s="22" t="s">
        <v>105</v>
      </c>
      <c r="C42" s="22" t="s">
        <v>106</v>
      </c>
      <c r="D42" s="22" t="s">
        <v>107</v>
      </c>
      <c r="E42" s="25">
        <v>650000</v>
      </c>
      <c r="F42" s="24">
        <v>996.45</v>
      </c>
      <c r="G42" s="24">
        <v>1.03</v>
      </c>
      <c r="H42" s="22" t="s">
        <v>39</v>
      </c>
    </row>
    <row r="43" spans="2:8">
      <c r="B43" s="21" t="s">
        <v>108</v>
      </c>
      <c r="C43" s="21"/>
      <c r="D43" s="21"/>
      <c r="E43" s="28"/>
      <c r="F43" s="29">
        <f>SUM(F7:F42)</f>
        <v>92789.71</v>
      </c>
      <c r="G43" s="29">
        <f>SUM(G7:G42)</f>
        <v>95.859999999999985</v>
      </c>
      <c r="H43" s="22"/>
    </row>
    <row r="44" spans="2:8">
      <c r="B44" s="21" t="s">
        <v>109</v>
      </c>
      <c r="C44" s="21"/>
      <c r="D44" s="21"/>
      <c r="E44" s="28"/>
      <c r="F44" s="29">
        <f>F43</f>
        <v>92789.71</v>
      </c>
      <c r="G44" s="29">
        <f>G43</f>
        <v>95.859999999999985</v>
      </c>
      <c r="H44" s="22"/>
    </row>
    <row r="45" spans="2:8">
      <c r="B45" s="21" t="s">
        <v>110</v>
      </c>
      <c r="C45" s="22"/>
      <c r="D45" s="22"/>
      <c r="E45" s="23"/>
      <c r="F45" s="24"/>
      <c r="G45" s="24"/>
      <c r="H45" s="22"/>
    </row>
    <row r="46" spans="2:8">
      <c r="B46" s="22" t="s">
        <v>110</v>
      </c>
      <c r="C46" s="22"/>
      <c r="D46" s="22"/>
      <c r="E46" s="23"/>
      <c r="F46" s="24">
        <v>4431.72</v>
      </c>
      <c r="G46" s="24">
        <v>4.58</v>
      </c>
      <c r="H46" s="22"/>
    </row>
    <row r="47" spans="2:8">
      <c r="B47" s="21" t="s">
        <v>108</v>
      </c>
      <c r="C47" s="21"/>
      <c r="D47" s="21"/>
      <c r="E47" s="28"/>
      <c r="F47" s="29">
        <f>SUM(F45:F46)</f>
        <v>4431.72</v>
      </c>
      <c r="G47" s="29">
        <f>SUM(G45:G46)</f>
        <v>4.58</v>
      </c>
      <c r="H47" s="22"/>
    </row>
    <row r="48" spans="2:8">
      <c r="B48" s="21" t="s">
        <v>109</v>
      </c>
      <c r="C48" s="21"/>
      <c r="D48" s="21"/>
      <c r="E48" s="28"/>
      <c r="F48" s="29">
        <f>F47</f>
        <v>4431.72</v>
      </c>
      <c r="G48" s="29">
        <f>G47</f>
        <v>4.58</v>
      </c>
      <c r="H48" s="22"/>
    </row>
    <row r="49" spans="2:8">
      <c r="B49" s="21" t="s">
        <v>111</v>
      </c>
      <c r="C49" s="21"/>
      <c r="D49" s="21"/>
      <c r="E49" s="28"/>
      <c r="F49" s="29">
        <f>F50-(+F44+F48)</f>
        <v>-422.09000000001106</v>
      </c>
      <c r="G49" s="29">
        <f>G50-(+G44+G48)</f>
        <v>-0.43999999999998352</v>
      </c>
      <c r="H49" s="22"/>
    </row>
    <row r="50" spans="2:8">
      <c r="B50" s="21" t="s">
        <v>112</v>
      </c>
      <c r="C50" s="21"/>
      <c r="D50" s="21"/>
      <c r="E50" s="28"/>
      <c r="F50" s="29">
        <v>96799.34</v>
      </c>
      <c r="G50" s="29">
        <v>100</v>
      </c>
      <c r="H50" s="22"/>
    </row>
    <row r="52" spans="2:8">
      <c r="B52" s="30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15:34:34</KDate>
  <Classification>Public</Classification>
  <Subclassification/>
  <HostName>MUMCMP00935</HostName>
  <Domain_User>CANARAROBECOMF/628</Domain_User>
  <IPAdd>192.9.198.194</IPAdd>
  <FilePath>Book5</FilePath>
  <KID>C025A5607E97638034320744923532</KID>
  <UniqueName/>
  <Suggested/>
  <Justification/>
</Klassify>
</file>

<file path=customXml/itemProps1.xml><?xml version="1.0" encoding="utf-8"?>
<ds:datastoreItem xmlns:ds="http://schemas.openxmlformats.org/officeDocument/2006/customXml" ds:itemID="{3C7DA97F-D572-4659-A374-0B8F4A08A2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2022-11-07T10:04:28Z</dcterms:created>
  <dcterms:modified xsi:type="dcterms:W3CDTF">2022-11-07T10:04:34Z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C025A5607E97638034320744923532</vt:lpwstr>
  </property>
</Properties>
</file>