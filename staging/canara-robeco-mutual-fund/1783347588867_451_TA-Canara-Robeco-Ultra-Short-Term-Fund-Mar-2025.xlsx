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4-25\Mar 25\"/>
    </mc:Choice>
  </mc:AlternateContent>
  <xr:revisionPtr revIDLastSave="0" documentId="8_{C0BF0BA1-C111-4DE7-8BD8-12A3BA5556D2}" xr6:coauthVersionLast="47" xr6:coauthVersionMax="47" xr10:uidLastSave="{00000000-0000-0000-0000-000000000000}"/>
  <bookViews>
    <workbookView xWindow="-120" yWindow="-120" windowWidth="20730" windowHeight="11040" xr2:uid="{F895248B-8395-4629-923A-8202AB2B6487}"/>
  </bookViews>
  <sheets>
    <sheet name="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" l="1"/>
  <c r="G42" i="1" s="1"/>
  <c r="F41" i="1"/>
  <c r="F42" i="1" s="1"/>
  <c r="G38" i="1"/>
  <c r="F38" i="1"/>
  <c r="G35" i="1"/>
  <c r="F35" i="1"/>
  <c r="G31" i="1"/>
  <c r="F31" i="1"/>
  <c r="G27" i="1"/>
  <c r="G32" i="1" s="1"/>
  <c r="F27" i="1"/>
  <c r="F32" i="1" s="1"/>
  <c r="F15" i="1"/>
  <c r="G14" i="1"/>
  <c r="G15" i="1" s="1"/>
  <c r="F14" i="1"/>
  <c r="G43" i="1" l="1"/>
  <c r="F4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<sst xmlns="http://schemas.openxmlformats.org/spreadsheetml/2006/main" count="109" uniqueCount="87">
  <si>
    <t>CANARA ROBECO ULTRA SHORT TERM FUND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</si>
  <si>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</si>
  <si>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</si>
  <si>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</si>
  <si>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</si>
  <si>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</si>
  <si>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</si>
  <si>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</si>
  <si>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</si>
  <si>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March'25</t>
  </si>
  <si>
    <t>Benchmark Risk-O-Meter Level- March'25</t>
  </si>
  <si>
    <t>Scheme Risk-O-Meter Level- February'25</t>
  </si>
  <si>
    <t>Benchmark Risk-O-Meter Level- February'25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</si>
  <si>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</si>
  <si>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</si>
  <si>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</si>
  <si>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</si>
  <si>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</si>
  <si>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</si>
  <si>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</si>
  <si>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</si>
  <si>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5.70% National Bank For Agriculture &amp; Rural Development (31/07/2025) **</t>
  </si>
  <si>
    <t>INE261F08DK7</t>
  </si>
  <si>
    <t>CRISIL AAA</t>
  </si>
  <si>
    <t>Relatively Low (Class I)</t>
  </si>
  <si>
    <t>B-I</t>
  </si>
  <si>
    <t>6.25% LIC Housing Finance Ltd (20/06/2025) **</t>
  </si>
  <si>
    <t>INE115A07PU1</t>
  </si>
  <si>
    <t>7.83% Bajaj Housing Finance Ltd (12/12/2025) **</t>
  </si>
  <si>
    <t>INE377Y07391</t>
  </si>
  <si>
    <t>Moderate 
(Class II)</t>
  </si>
  <si>
    <t>7.92% Kotak Mahindra Prime Ltd (20/11/2025) **</t>
  </si>
  <si>
    <t>INE916DA7SD0</t>
  </si>
  <si>
    <t>7.90% Bajaj Finance Ltd (17/11/2025) **</t>
  </si>
  <si>
    <t>INE296A07SF4</t>
  </si>
  <si>
    <t>Relatively High (Class III)</t>
  </si>
  <si>
    <t>8.25% Kotak Mahindra Prime Ltd (20/06/2025) **</t>
  </si>
  <si>
    <t>INE916DA7SG3</t>
  </si>
  <si>
    <t>7.59% Power Finance Corporation Ltd (03/11/2025) **</t>
  </si>
  <si>
    <t>INE134E08LU1</t>
  </si>
  <si>
    <t>Benchmark: CRISIL Ultra Short Duration Debt A-I Index</t>
  </si>
  <si>
    <t>Sub Total</t>
  </si>
  <si>
    <t>Total</t>
  </si>
  <si>
    <t>Money Market Instruments</t>
  </si>
  <si>
    <t>Certificate of Deposit</t>
  </si>
  <si>
    <t>Kotak Mahindra Bank Ltd (11/12/2025) ** #</t>
  </si>
  <si>
    <t>INE237A160Z6</t>
  </si>
  <si>
    <t>CRISIL A1+</t>
  </si>
  <si>
    <t>ICICI Bank Ltd (27/06/2025) ** #</t>
  </si>
  <si>
    <t>INE090AD6162</t>
  </si>
  <si>
    <t>Axis Bank Ltd (05/09/2025) ** #</t>
  </si>
  <si>
    <t>INE238AD6892</t>
  </si>
  <si>
    <t>HDFC Bank Ltd (15/09/2025) #</t>
  </si>
  <si>
    <t>INE040A16FN8</t>
  </si>
  <si>
    <t>CARE A1+</t>
  </si>
  <si>
    <t>ICICI Bank Ltd (14/11/2025) ** #</t>
  </si>
  <si>
    <t>INE090AD6204</t>
  </si>
  <si>
    <t>ICRA A1+</t>
  </si>
  <si>
    <t>Union Bank of India (10/12/2025) ** #</t>
  </si>
  <si>
    <t>INE692A16IF6</t>
  </si>
  <si>
    <t>IND A1+</t>
  </si>
  <si>
    <t>Axis Bank Ltd (04/03/2026) ** #</t>
  </si>
  <si>
    <t>INE238AD6AN0</t>
  </si>
  <si>
    <t>Indian Bank (12/03/2026) #</t>
  </si>
  <si>
    <t>INE562A16OI3</t>
  </si>
  <si>
    <t>HDFC Bank Ltd (12/03/2026) ** #</t>
  </si>
  <si>
    <t>INE040A16GN6</t>
  </si>
  <si>
    <t>Commercial Paper</t>
  </si>
  <si>
    <t>Small Industries Development Bank Of India (26/06/2025) **</t>
  </si>
  <si>
    <t>INE556F14KM9</t>
  </si>
  <si>
    <t>Aditya Birla Finance Ltd (17/09/2025) **</t>
  </si>
  <si>
    <t>INE860H144D4</t>
  </si>
  <si>
    <t>Government Bonds</t>
  </si>
  <si>
    <t>GOI FRB 2033 (22-SEP-2033)</t>
  </si>
  <si>
    <t>IN0020200120</t>
  </si>
  <si>
    <t>Sovereign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</si>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</sst>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5" xfId="1" applyFont="1" applyFill="1" applyBorder="1" applyAlignment="1">
      <alignment horizontal="center" vertical="center"/>
    </xf>
    <xf numFmtId="164" fontId="3" fillId="3" borderId="10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164" fontId="3" fillId="3" borderId="12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center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9" fillId="4" borderId="13" xfId="0" applyFont="1" applyFill="1" applyBorder="1" applyAlignment="1">
      <alignment horizontal="center" vertical="center"/>
    </xf>
    <xf numFmtId="164" fontId="3" fillId="3" borderId="13" xfId="1" applyFont="1" applyFill="1" applyBorder="1" applyAlignment="1">
      <alignment horizontal="center" vertical="center"/>
    </xf>
    <xf numFmtId="164" fontId="3" fillId="3" borderId="0" xfId="1" applyFont="1" applyFill="1" applyAlignment="1"/>
    <xf numFmtId="164" fontId="3" fillId="3" borderId="0" xfId="1" applyFont="1" applyFill="1"/>
    <xf numFmtId="0" fontId="9" fillId="3" borderId="14" xfId="0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3" borderId="0" xfId="0" applyFont="1" applyFill="1"/>
    <xf numFmtId="0" fontId="9" fillId="3" borderId="16" xfId="0" applyFont="1" applyFill="1" applyBorder="1"/>
    <xf numFmtId="4" fontId="9" fillId="3" borderId="16" xfId="0" applyNumberFormat="1" applyFont="1" applyFill="1" applyBorder="1"/>
    <xf numFmtId="4" fontId="9" fillId="3" borderId="17" xfId="0" applyNumberFormat="1" applyFont="1" applyFill="1" applyBorder="1"/>
    <xf numFmtId="4" fontId="9" fillId="3" borderId="11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7" xfId="0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0" fontId="10" fillId="5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E5470-87CA-4015-BC97-57161A4812BE}">
  <dimension ref="B1:R54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60.28515625" style="3" bestFit="1" customWidth="1"/>
    <col min="3" max="3" width="13.7109375" style="3" bestFit="1" customWidth="1"/>
    <col min="4" max="4" width="22.85546875" style="3" bestFit="1" customWidth="1"/>
    <col min="5" max="5" width="7.71093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9" width="9.140625" style="3"/>
    <col min="10" max="10" width="31.5703125" style="3" customWidth="1"/>
    <col min="11" max="11" width="35.5703125" style="3" customWidth="1"/>
    <col min="12" max="13" width="31.42578125" style="3" customWidth="1"/>
    <col min="14" max="14" width="9.140625" style="3"/>
    <col min="15" max="15" width="12.5703125" style="3" customWidth="1"/>
    <col min="16" max="16384" width="9.140625" style="3"/>
  </cols>
  <sheetData>
    <row r="1" spans="2:18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8" ht="16.5" thickBot="1" x14ac:dyDescent="0.25">
      <c r="B3" s="4" t="s">
        <v>1</v>
      </c>
      <c r="C3" s="5"/>
      <c r="D3" s="6"/>
      <c r="E3" s="6"/>
      <c r="F3" s="7"/>
      <c r="G3" s="7"/>
    </row>
    <row r="4" spans="2:18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O4" s="14" t="s">
        <v>13</v>
      </c>
      <c r="P4" s="15"/>
      <c r="Q4" s="15"/>
      <c r="R4" s="16"/>
    </row>
    <row r="5" spans="2:18" x14ac:dyDescent="0.2">
      <c r="B5" s="17" t="s">
        <v>14</v>
      </c>
      <c r="C5" s="18"/>
      <c r="D5" s="18"/>
      <c r="E5" s="18"/>
      <c r="F5" s="19"/>
      <c r="G5" s="19"/>
      <c r="H5" s="19"/>
      <c r="J5" s="20" t="e" vm="1">
        <v>#VALUE!</v>
      </c>
      <c r="K5" s="21" t="e" vm="2">
        <v>#VALUE!</v>
      </c>
      <c r="L5" s="20" t="e" vm="1">
        <v>#VALUE!</v>
      </c>
      <c r="M5" s="21" t="e" vm="2">
        <v>#VALUE!</v>
      </c>
      <c r="O5" s="22" t="s">
        <v>15</v>
      </c>
      <c r="P5" s="23" t="s">
        <v>16</v>
      </c>
      <c r="Q5" s="23" t="s">
        <v>17</v>
      </c>
      <c r="R5" s="23" t="s">
        <v>18</v>
      </c>
    </row>
    <row r="6" spans="2:18" ht="24" x14ac:dyDescent="0.2">
      <c r="B6" s="24" t="s">
        <v>19</v>
      </c>
      <c r="C6" s="25"/>
      <c r="D6" s="25"/>
      <c r="E6" s="25"/>
      <c r="F6" s="26"/>
      <c r="G6" s="26"/>
      <c r="H6" s="26"/>
      <c r="J6" s="27"/>
      <c r="K6" s="21"/>
      <c r="L6" s="27"/>
      <c r="M6" s="21"/>
      <c r="O6" s="28" t="s">
        <v>20</v>
      </c>
      <c r="P6" s="29"/>
      <c r="Q6" s="29"/>
      <c r="R6" s="29"/>
    </row>
    <row r="7" spans="2:18" x14ac:dyDescent="0.2">
      <c r="B7" s="25" t="s">
        <v>21</v>
      </c>
      <c r="C7" s="25" t="s">
        <v>22</v>
      </c>
      <c r="D7" s="25" t="s">
        <v>23</v>
      </c>
      <c r="E7" s="30">
        <v>350</v>
      </c>
      <c r="F7" s="26">
        <v>3478.72</v>
      </c>
      <c r="G7" s="26">
        <v>6.76</v>
      </c>
      <c r="H7" s="26">
        <v>7.3</v>
      </c>
      <c r="J7" s="27"/>
      <c r="K7" s="21"/>
      <c r="L7" s="27"/>
      <c r="M7" s="21"/>
      <c r="O7" s="31" t="s">
        <v>24</v>
      </c>
      <c r="P7" s="32"/>
      <c r="Q7" s="33" t="s">
        <v>25</v>
      </c>
      <c r="R7" s="32"/>
    </row>
    <row r="8" spans="2:18" x14ac:dyDescent="0.2">
      <c r="B8" s="25" t="s">
        <v>26</v>
      </c>
      <c r="C8" s="25" t="s">
        <v>27</v>
      </c>
      <c r="D8" s="25" t="s">
        <v>23</v>
      </c>
      <c r="E8" s="30">
        <v>300</v>
      </c>
      <c r="F8" s="26">
        <v>2991.41</v>
      </c>
      <c r="G8" s="26">
        <v>5.82</v>
      </c>
      <c r="H8" s="26">
        <v>7.23</v>
      </c>
      <c r="J8" s="27"/>
      <c r="K8" s="21"/>
      <c r="L8" s="27"/>
      <c r="M8" s="21"/>
      <c r="O8" s="31"/>
      <c r="P8" s="34"/>
      <c r="Q8" s="35"/>
      <c r="R8" s="34"/>
    </row>
    <row r="9" spans="2:18" x14ac:dyDescent="0.2">
      <c r="B9" s="25" t="s">
        <v>28</v>
      </c>
      <c r="C9" s="25" t="s">
        <v>29</v>
      </c>
      <c r="D9" s="25" t="s">
        <v>23</v>
      </c>
      <c r="E9" s="30">
        <v>250</v>
      </c>
      <c r="F9" s="26">
        <v>2504.7199999999998</v>
      </c>
      <c r="G9" s="26">
        <v>4.87</v>
      </c>
      <c r="H9" s="26">
        <v>7.38</v>
      </c>
      <c r="J9" s="27"/>
      <c r="K9" s="21"/>
      <c r="L9" s="27"/>
      <c r="M9" s="21"/>
      <c r="O9" s="31" t="s">
        <v>30</v>
      </c>
      <c r="P9" s="32"/>
      <c r="Q9" s="32"/>
      <c r="R9" s="32"/>
    </row>
    <row r="10" spans="2:18" x14ac:dyDescent="0.2">
      <c r="B10" s="25" t="s">
        <v>31</v>
      </c>
      <c r="C10" s="25" t="s">
        <v>32</v>
      </c>
      <c r="D10" s="25" t="s">
        <v>23</v>
      </c>
      <c r="E10" s="30">
        <v>2500</v>
      </c>
      <c r="F10" s="26">
        <v>2503.0500000000002</v>
      </c>
      <c r="G10" s="26">
        <v>4.87</v>
      </c>
      <c r="H10" s="26">
        <v>7.5</v>
      </c>
      <c r="J10" s="27"/>
      <c r="K10" s="21"/>
      <c r="L10" s="27"/>
      <c r="M10" s="21"/>
      <c r="O10" s="31"/>
      <c r="P10" s="34"/>
      <c r="Q10" s="34"/>
      <c r="R10" s="34"/>
    </row>
    <row r="11" spans="2:18" x14ac:dyDescent="0.2">
      <c r="B11" s="25" t="s">
        <v>33</v>
      </c>
      <c r="C11" s="25" t="s">
        <v>34</v>
      </c>
      <c r="D11" s="25" t="s">
        <v>23</v>
      </c>
      <c r="E11" s="30">
        <v>100</v>
      </c>
      <c r="F11" s="26">
        <v>1001.18</v>
      </c>
      <c r="G11" s="26">
        <v>1.95</v>
      </c>
      <c r="H11" s="26">
        <v>7.49</v>
      </c>
      <c r="J11" s="27"/>
      <c r="K11" s="21"/>
      <c r="L11" s="27"/>
      <c r="M11" s="21"/>
      <c r="O11" s="31" t="s">
        <v>35</v>
      </c>
      <c r="P11" s="32"/>
      <c r="Q11" s="32"/>
      <c r="R11" s="32"/>
    </row>
    <row r="12" spans="2:18" x14ac:dyDescent="0.2">
      <c r="B12" s="25" t="s">
        <v>36</v>
      </c>
      <c r="C12" s="25" t="s">
        <v>37</v>
      </c>
      <c r="D12" s="25" t="s">
        <v>23</v>
      </c>
      <c r="E12" s="30">
        <v>500</v>
      </c>
      <c r="F12" s="26">
        <v>500.29</v>
      </c>
      <c r="G12" s="26">
        <v>0.97</v>
      </c>
      <c r="H12" s="26">
        <v>7.5</v>
      </c>
      <c r="J12" s="36"/>
      <c r="K12" s="21"/>
      <c r="L12" s="36"/>
      <c r="M12" s="21"/>
      <c r="O12" s="31"/>
      <c r="P12" s="34"/>
      <c r="Q12" s="34"/>
      <c r="R12" s="34"/>
    </row>
    <row r="13" spans="2:18" x14ac:dyDescent="0.2">
      <c r="B13" s="25" t="s">
        <v>38</v>
      </c>
      <c r="C13" s="25" t="s">
        <v>39</v>
      </c>
      <c r="D13" s="25" t="s">
        <v>23</v>
      </c>
      <c r="E13" s="30">
        <v>50</v>
      </c>
      <c r="F13" s="26">
        <v>500.27</v>
      </c>
      <c r="G13" s="26">
        <v>0.97</v>
      </c>
      <c r="H13" s="26">
        <v>7.27</v>
      </c>
      <c r="J13" s="37"/>
      <c r="K13" s="37" t="s">
        <v>40</v>
      </c>
      <c r="L13" s="38"/>
      <c r="M13" s="38"/>
    </row>
    <row r="14" spans="2:18" x14ac:dyDescent="0.2">
      <c r="B14" s="39" t="s">
        <v>41</v>
      </c>
      <c r="C14" s="39"/>
      <c r="D14" s="39"/>
      <c r="E14" s="39"/>
      <c r="F14" s="40">
        <f>SUM(F6:F13)</f>
        <v>13479.64</v>
      </c>
      <c r="G14" s="40">
        <f>SUM(G6:G13)</f>
        <v>26.209999999999997</v>
      </c>
      <c r="H14" s="41"/>
      <c r="I14" s="42"/>
    </row>
    <row r="15" spans="2:18" x14ac:dyDescent="0.2">
      <c r="B15" s="43" t="s">
        <v>42</v>
      </c>
      <c r="C15" s="43"/>
      <c r="D15" s="43"/>
      <c r="E15" s="43"/>
      <c r="F15" s="44">
        <f>F14</f>
        <v>13479.64</v>
      </c>
      <c r="G15" s="44">
        <f>G14</f>
        <v>26.209999999999997</v>
      </c>
      <c r="H15" s="44"/>
      <c r="I15" s="42"/>
    </row>
    <row r="16" spans="2:18" x14ac:dyDescent="0.2">
      <c r="B16" s="24" t="s">
        <v>43</v>
      </c>
      <c r="C16" s="25"/>
      <c r="D16" s="25"/>
      <c r="E16" s="25"/>
      <c r="F16" s="26"/>
      <c r="G16" s="26"/>
      <c r="H16" s="26"/>
    </row>
    <row r="17" spans="2:9" x14ac:dyDescent="0.2">
      <c r="B17" s="24" t="s">
        <v>44</v>
      </c>
      <c r="C17" s="25"/>
      <c r="D17" s="25"/>
      <c r="E17" s="25"/>
      <c r="F17" s="26"/>
      <c r="G17" s="26"/>
      <c r="H17" s="26"/>
    </row>
    <row r="18" spans="2:9" x14ac:dyDescent="0.2">
      <c r="B18" s="25" t="s">
        <v>45</v>
      </c>
      <c r="C18" s="25" t="s">
        <v>46</v>
      </c>
      <c r="D18" s="25" t="s">
        <v>47</v>
      </c>
      <c r="E18" s="30">
        <v>1000</v>
      </c>
      <c r="F18" s="26">
        <v>4763.33</v>
      </c>
      <c r="G18" s="26">
        <v>9.26</v>
      </c>
      <c r="H18" s="26">
        <v>7.14</v>
      </c>
    </row>
    <row r="19" spans="2:9" x14ac:dyDescent="0.2">
      <c r="B19" s="25" t="s">
        <v>48</v>
      </c>
      <c r="C19" s="25" t="s">
        <v>49</v>
      </c>
      <c r="D19" s="25" t="s">
        <v>47</v>
      </c>
      <c r="E19" s="30">
        <v>500</v>
      </c>
      <c r="F19" s="26">
        <v>2459.0300000000002</v>
      </c>
      <c r="G19" s="26">
        <v>4.78</v>
      </c>
      <c r="H19" s="26">
        <v>6.99</v>
      </c>
    </row>
    <row r="20" spans="2:9" x14ac:dyDescent="0.2">
      <c r="B20" s="25" t="s">
        <v>50</v>
      </c>
      <c r="C20" s="25" t="s">
        <v>51</v>
      </c>
      <c r="D20" s="25" t="s">
        <v>47</v>
      </c>
      <c r="E20" s="30">
        <v>500</v>
      </c>
      <c r="F20" s="26">
        <v>2424.4</v>
      </c>
      <c r="G20" s="26">
        <v>4.71</v>
      </c>
      <c r="H20" s="26">
        <v>7.25</v>
      </c>
    </row>
    <row r="21" spans="2:9" x14ac:dyDescent="0.2">
      <c r="B21" s="25" t="s">
        <v>52</v>
      </c>
      <c r="C21" s="25" t="s">
        <v>53</v>
      </c>
      <c r="D21" s="25" t="s">
        <v>54</v>
      </c>
      <c r="E21" s="30">
        <v>500</v>
      </c>
      <c r="F21" s="26">
        <v>2419.7399999999998</v>
      </c>
      <c r="G21" s="26">
        <v>4.71</v>
      </c>
      <c r="H21" s="26">
        <v>7.25</v>
      </c>
    </row>
    <row r="22" spans="2:9" x14ac:dyDescent="0.2">
      <c r="B22" s="25" t="s">
        <v>55</v>
      </c>
      <c r="C22" s="25" t="s">
        <v>56</v>
      </c>
      <c r="D22" s="25" t="s">
        <v>57</v>
      </c>
      <c r="E22" s="30">
        <v>500</v>
      </c>
      <c r="F22" s="26">
        <v>2394.0700000000002</v>
      </c>
      <c r="G22" s="26">
        <v>4.66</v>
      </c>
      <c r="H22" s="26">
        <v>7.12</v>
      </c>
    </row>
    <row r="23" spans="2:9" x14ac:dyDescent="0.2">
      <c r="B23" s="25" t="s">
        <v>58</v>
      </c>
      <c r="C23" s="25" t="s">
        <v>59</v>
      </c>
      <c r="D23" s="25" t="s">
        <v>60</v>
      </c>
      <c r="E23" s="30">
        <v>500</v>
      </c>
      <c r="F23" s="26">
        <v>2381.6799999999998</v>
      </c>
      <c r="G23" s="26">
        <v>4.63</v>
      </c>
      <c r="H23" s="26">
        <v>7.17</v>
      </c>
    </row>
    <row r="24" spans="2:9" x14ac:dyDescent="0.2">
      <c r="B24" s="25" t="s">
        <v>61</v>
      </c>
      <c r="C24" s="25" t="s">
        <v>62</v>
      </c>
      <c r="D24" s="25" t="s">
        <v>47</v>
      </c>
      <c r="E24" s="30">
        <v>500</v>
      </c>
      <c r="F24" s="26">
        <v>2343.66</v>
      </c>
      <c r="G24" s="26">
        <v>4.5599999999999996</v>
      </c>
      <c r="H24" s="26">
        <v>7.23</v>
      </c>
    </row>
    <row r="25" spans="2:9" x14ac:dyDescent="0.2">
      <c r="B25" s="25" t="s">
        <v>63</v>
      </c>
      <c r="C25" s="25" t="s">
        <v>64</v>
      </c>
      <c r="D25" s="25" t="s">
        <v>47</v>
      </c>
      <c r="E25" s="30">
        <v>500</v>
      </c>
      <c r="F25" s="26">
        <v>2341.64</v>
      </c>
      <c r="G25" s="26">
        <v>4.55</v>
      </c>
      <c r="H25" s="26">
        <v>7.16</v>
      </c>
    </row>
    <row r="26" spans="2:9" x14ac:dyDescent="0.2">
      <c r="B26" s="25" t="s">
        <v>65</v>
      </c>
      <c r="C26" s="25" t="s">
        <v>66</v>
      </c>
      <c r="D26" s="25" t="s">
        <v>54</v>
      </c>
      <c r="E26" s="30">
        <v>500</v>
      </c>
      <c r="F26" s="26">
        <v>2340.71</v>
      </c>
      <c r="G26" s="26">
        <v>4.55</v>
      </c>
      <c r="H26" s="26">
        <v>7.2</v>
      </c>
    </row>
    <row r="27" spans="2:9" x14ac:dyDescent="0.2">
      <c r="B27" s="24" t="s">
        <v>41</v>
      </c>
      <c r="C27" s="24"/>
      <c r="D27" s="24"/>
      <c r="E27" s="24"/>
      <c r="F27" s="45">
        <f>SUM(F17:F26)</f>
        <v>23868.26</v>
      </c>
      <c r="G27" s="45">
        <f>SUM(G17:G26)</f>
        <v>46.41</v>
      </c>
      <c r="H27" s="46"/>
      <c r="I27" s="42"/>
    </row>
    <row r="28" spans="2:9" x14ac:dyDescent="0.2">
      <c r="B28" s="24" t="s">
        <v>67</v>
      </c>
      <c r="C28" s="25"/>
      <c r="D28" s="25"/>
      <c r="E28" s="25"/>
      <c r="F28" s="26"/>
      <c r="G28" s="26"/>
      <c r="H28" s="26"/>
    </row>
    <row r="29" spans="2:9" x14ac:dyDescent="0.2">
      <c r="B29" s="25" t="s">
        <v>68</v>
      </c>
      <c r="C29" s="25" t="s">
        <v>69</v>
      </c>
      <c r="D29" s="25" t="s">
        <v>54</v>
      </c>
      <c r="E29" s="30">
        <v>1000</v>
      </c>
      <c r="F29" s="26">
        <v>4918.3</v>
      </c>
      <c r="G29" s="26">
        <v>9.56</v>
      </c>
      <c r="H29" s="26">
        <v>7.05</v>
      </c>
    </row>
    <row r="30" spans="2:9" x14ac:dyDescent="0.2">
      <c r="B30" s="25" t="s">
        <v>70</v>
      </c>
      <c r="C30" s="25" t="s">
        <v>71</v>
      </c>
      <c r="D30" s="25" t="s">
        <v>57</v>
      </c>
      <c r="E30" s="30">
        <v>1000</v>
      </c>
      <c r="F30" s="26">
        <v>4833.1499999999996</v>
      </c>
      <c r="G30" s="26">
        <v>9.4</v>
      </c>
      <c r="H30" s="26">
        <v>7.46</v>
      </c>
    </row>
    <row r="31" spans="2:9" x14ac:dyDescent="0.2">
      <c r="B31" s="39" t="s">
        <v>41</v>
      </c>
      <c r="C31" s="39"/>
      <c r="D31" s="39"/>
      <c r="E31" s="39"/>
      <c r="F31" s="40">
        <f>SUM(F28:F30)</f>
        <v>9751.4500000000007</v>
      </c>
      <c r="G31" s="40">
        <f>SUM(G28:G30)</f>
        <v>18.96</v>
      </c>
      <c r="H31" s="41"/>
      <c r="I31" s="42"/>
    </row>
    <row r="32" spans="2:9" x14ac:dyDescent="0.2">
      <c r="B32" s="43" t="s">
        <v>42</v>
      </c>
      <c r="C32" s="43"/>
      <c r="D32" s="43"/>
      <c r="E32" s="43"/>
      <c r="F32" s="44">
        <f>F27+F31</f>
        <v>33619.71</v>
      </c>
      <c r="G32" s="44">
        <f>G27+G31</f>
        <v>65.37</v>
      </c>
      <c r="H32" s="44"/>
      <c r="I32" s="42"/>
    </row>
    <row r="33" spans="2:9" x14ac:dyDescent="0.2">
      <c r="B33" s="24" t="s">
        <v>72</v>
      </c>
      <c r="C33" s="25"/>
      <c r="D33" s="25"/>
      <c r="E33" s="25"/>
      <c r="F33" s="26"/>
      <c r="G33" s="26"/>
      <c r="H33" s="26"/>
    </row>
    <row r="34" spans="2:9" x14ac:dyDescent="0.2">
      <c r="B34" s="47" t="s">
        <v>73</v>
      </c>
      <c r="C34" s="47" t="s">
        <v>74</v>
      </c>
      <c r="D34" s="47" t="s">
        <v>75</v>
      </c>
      <c r="E34" s="48">
        <v>500000</v>
      </c>
      <c r="F34" s="49">
        <v>514.47</v>
      </c>
      <c r="G34" s="49">
        <v>1</v>
      </c>
      <c r="H34" s="49">
        <v>7.34</v>
      </c>
    </row>
    <row r="35" spans="2:9" x14ac:dyDescent="0.2">
      <c r="B35" s="50" t="s">
        <v>42</v>
      </c>
      <c r="C35" s="50"/>
      <c r="D35" s="50"/>
      <c r="E35" s="50"/>
      <c r="F35" s="45">
        <f>SUM(F34:F34)</f>
        <v>514.47</v>
      </c>
      <c r="G35" s="45">
        <f>SUM(G34:G34)</f>
        <v>1</v>
      </c>
      <c r="H35" s="45"/>
      <c r="I35" s="42"/>
    </row>
    <row r="36" spans="2:9" x14ac:dyDescent="0.2">
      <c r="B36" s="24" t="s">
        <v>76</v>
      </c>
      <c r="C36" s="25"/>
      <c r="D36" s="25"/>
      <c r="E36" s="25"/>
      <c r="F36" s="26"/>
      <c r="G36" s="26"/>
      <c r="H36" s="26"/>
    </row>
    <row r="37" spans="2:9" x14ac:dyDescent="0.2">
      <c r="B37" s="47" t="s">
        <v>77</v>
      </c>
      <c r="C37" s="47" t="s">
        <v>78</v>
      </c>
      <c r="D37" s="47" t="s">
        <v>76</v>
      </c>
      <c r="E37" s="48">
        <v>1529.0239999999999</v>
      </c>
      <c r="F37" s="49">
        <v>168.72</v>
      </c>
      <c r="G37" s="49">
        <v>0.33</v>
      </c>
      <c r="H37" s="49">
        <v>6.46</v>
      </c>
    </row>
    <row r="38" spans="2:9" x14ac:dyDescent="0.2">
      <c r="B38" s="50" t="s">
        <v>42</v>
      </c>
      <c r="C38" s="50"/>
      <c r="D38" s="50"/>
      <c r="E38" s="50"/>
      <c r="F38" s="45">
        <f>SUM(F37:F37)</f>
        <v>168.72</v>
      </c>
      <c r="G38" s="45">
        <f>SUM(G37:G37)</f>
        <v>0.33</v>
      </c>
      <c r="H38" s="45"/>
      <c r="I38" s="42"/>
    </row>
    <row r="39" spans="2:9" x14ac:dyDescent="0.2">
      <c r="B39" s="24" t="s">
        <v>79</v>
      </c>
      <c r="C39" s="25"/>
      <c r="D39" s="25"/>
      <c r="E39" s="25"/>
      <c r="F39" s="26"/>
      <c r="G39" s="26"/>
      <c r="H39" s="26"/>
    </row>
    <row r="40" spans="2:9" x14ac:dyDescent="0.2">
      <c r="B40" s="25" t="s">
        <v>79</v>
      </c>
      <c r="C40" s="25"/>
      <c r="D40" s="25"/>
      <c r="E40" s="25"/>
      <c r="F40" s="26">
        <v>2970.42</v>
      </c>
      <c r="G40" s="26">
        <v>5.78</v>
      </c>
      <c r="H40" s="26"/>
    </row>
    <row r="41" spans="2:9" x14ac:dyDescent="0.2">
      <c r="B41" s="39" t="s">
        <v>41</v>
      </c>
      <c r="C41" s="39"/>
      <c r="D41" s="39"/>
      <c r="E41" s="39"/>
      <c r="F41" s="40">
        <f>SUM(F39:F40)</f>
        <v>2970.42</v>
      </c>
      <c r="G41" s="40">
        <f>SUM(G39:G40)</f>
        <v>5.78</v>
      </c>
      <c r="H41" s="41"/>
      <c r="I41" s="42"/>
    </row>
    <row r="42" spans="2:9" x14ac:dyDescent="0.2">
      <c r="B42" s="51" t="s">
        <v>42</v>
      </c>
      <c r="C42" s="51"/>
      <c r="D42" s="51"/>
      <c r="E42" s="51"/>
      <c r="F42" s="52">
        <f>F41</f>
        <v>2970.42</v>
      </c>
      <c r="G42" s="52">
        <f>G41</f>
        <v>5.78</v>
      </c>
      <c r="H42" s="52"/>
      <c r="I42" s="42"/>
    </row>
    <row r="43" spans="2:9" x14ac:dyDescent="0.2">
      <c r="B43" s="53" t="s">
        <v>80</v>
      </c>
      <c r="C43" s="53"/>
      <c r="D43" s="53"/>
      <c r="E43" s="53"/>
      <c r="F43" s="54">
        <f>F44-(+F15+F32+F35+F38+F42)</f>
        <v>670.02999999999884</v>
      </c>
      <c r="G43" s="54">
        <f>G44-(+G15+G32+G35+G38+G42)</f>
        <v>1.3100000000000023</v>
      </c>
      <c r="H43" s="54"/>
      <c r="I43" s="42"/>
    </row>
    <row r="44" spans="2:9" x14ac:dyDescent="0.2">
      <c r="B44" s="53" t="s">
        <v>81</v>
      </c>
      <c r="C44" s="53"/>
      <c r="D44" s="53"/>
      <c r="E44" s="53"/>
      <c r="F44" s="54">
        <v>51422.99</v>
      </c>
      <c r="G44" s="54">
        <v>100</v>
      </c>
      <c r="H44" s="54"/>
      <c r="I44" s="42"/>
    </row>
    <row r="46" spans="2:9" x14ac:dyDescent="0.2">
      <c r="B46" s="42" t="s">
        <v>82</v>
      </c>
    </row>
    <row r="47" spans="2:9" x14ac:dyDescent="0.2">
      <c r="B47" s="42" t="s">
        <v>83</v>
      </c>
    </row>
    <row r="48" spans="2:9" ht="12.75" thickBot="1" x14ac:dyDescent="0.25"/>
    <row r="49" spans="2:3" ht="13.5" thickTop="1" thickBot="1" x14ac:dyDescent="0.25">
      <c r="B49" s="55" t="s">
        <v>84</v>
      </c>
      <c r="C49" s="56">
        <v>0.47110000000000002</v>
      </c>
    </row>
    <row r="50" spans="2:3" ht="13.5" thickTop="1" thickBot="1" x14ac:dyDescent="0.25"/>
    <row r="51" spans="2:3" ht="13.5" thickTop="1" thickBot="1" x14ac:dyDescent="0.25">
      <c r="B51" s="55" t="s">
        <v>85</v>
      </c>
      <c r="C51" s="57">
        <v>7.1900000000000006E-2</v>
      </c>
    </row>
    <row r="52" spans="2:3" ht="13.5" thickTop="1" thickBot="1" x14ac:dyDescent="0.25"/>
    <row r="53" spans="2:3" ht="13.5" thickTop="1" thickBot="1" x14ac:dyDescent="0.25">
      <c r="B53" s="55" t="s">
        <v>86</v>
      </c>
      <c r="C53" s="56">
        <v>0.50449999999999995</v>
      </c>
    </row>
    <row r="54" spans="2:3" ht="12.75" thickTop="1" x14ac:dyDescent="0.2"/>
  </sheetData>
  <mergeCells count="21">
    <mergeCell ref="O11:O12"/>
    <mergeCell ref="P11:P12"/>
    <mergeCell ref="Q11:Q12"/>
    <mergeCell ref="R11:R12"/>
    <mergeCell ref="P7:P8"/>
    <mergeCell ref="Q7:Q8"/>
    <mergeCell ref="R7:R8"/>
    <mergeCell ref="O9:O10"/>
    <mergeCell ref="P9:P10"/>
    <mergeCell ref="Q9:Q10"/>
    <mergeCell ref="R9:R10"/>
    <mergeCell ref="B1:H1"/>
    <mergeCell ref="O4:R4"/>
    <mergeCell ref="J5:J12"/>
    <mergeCell ref="K5:K12"/>
    <mergeCell ref="L5:L12"/>
    <mergeCell ref="M5:M12"/>
    <mergeCell ref="P5:P6"/>
    <mergeCell ref="Q5:Q6"/>
    <mergeCell ref="R5:R6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2025-04-04 15:27:41</KDate>
  <Classification>MIS Internal</Classification>
  <Subclassification/>
  <HostName>MUMCMP01323</HostName>
  <Domain_User>CANARAROBECOMF/628</Domain_User>
  <IPAdd>192.9.198.194</IPAdd>
  <FilePath>Book21</FilePath>
  <KID>109819A0F0A5638793772616124021</KID>
  <UniqueName/>
  <Suggested/>
  <Justification/>
</Klassify>
</file>

<file path=customXml/itemProps1.xml><?xml version="1.0" encoding="utf-8"?>
<ds:datastoreItem xmlns:ds="http://schemas.openxmlformats.org/officeDocument/2006/customXml" ds:itemID="{0EBCC776-5A0D-49BF-A190-18CB8BA488D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2025-04-04T09:57:31Z</dcterms:created>
  <dcterms:modified xsi:type="dcterms:W3CDTF">2025-04-04T09:57:41Z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109819A0F0A5638793772616124021</vt:lpwstr>
  </property>
</Properties>
</file>