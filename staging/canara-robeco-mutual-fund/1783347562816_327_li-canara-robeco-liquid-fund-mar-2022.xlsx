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1-22\Mar 22\"/>
    </mc:Choice>
  </mc:AlternateContent>
  <bookViews>
    <workbookView xWindow="0" yWindow="0" windowWidth="20490" windowHeight="7350"/>
  </bookViews>
  <sheets>
    <sheet name="L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2" i="1" l="1"/>
  <c r="G33" i="1" s="1"/>
  <c r="F32" i="1"/>
  <c r="F33" i="1" s="1"/>
  <c r="G29" i="1"/>
  <c r="F29" i="1"/>
  <c r="G24" i="1"/>
  <c r="F24" i="1"/>
  <c r="G20" i="1"/>
  <c r="F20" i="1"/>
  <c r="G11" i="1"/>
  <c r="G25" i="1" s="1"/>
  <c r="G34" i="1" s="1"/>
  <c r="F11" i="1"/>
  <c r="F25" i="1" s="1"/>
  <c r="F34" i="1" s="1"/>
</calcChain>
</file>

<file path=xl/sharedStrings.xml><?xml version="1.0" encoding="utf-8"?>
<sst xmlns="http://schemas.openxmlformats.org/spreadsheetml/2006/main" count="86" uniqueCount="71">
  <si>
    <t>CANARA ROBECO LIQUID FUND</t>
  </si>
  <si>
    <t>Monthly Portfolio Statement as on March 31, 2022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</si>
  <si>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</si>
  <si>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</si>
  <si>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</si>
  <si>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</si>
  <si>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</si>
  <si>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</si>
  <si>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</si>
  <si>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Level-Mar'22</t>
  </si>
  <si>
    <t>Benchmark Risk-o-meter Level- Mar'22</t>
  </si>
  <si>
    <t>Previous Scheme Risk-o-meter Level- Feb'22</t>
  </si>
  <si>
    <t>Potential Risk Class (PRC) Matrix</t>
  </si>
  <si>
    <t>Money Market Instruments</t>
  </si>
  <si>
    <t>Credit Risk →</t>
  </si>
  <si>
    <t>Relatively Low (Class A)</t>
  </si>
  <si>
    <t>Moderate (Class B)</t>
  </si>
  <si>
    <t>Relatively High (Class C)</t>
  </si>
  <si>
    <t>Certificate of Deposit</t>
  </si>
  <si>
    <t>Interest Rate Risk ↓</t>
  </si>
  <si>
    <t>Bank of Baroda (11/04/2022) #</t>
  </si>
  <si>
    <t>INE028A16CJ8</t>
  </si>
  <si>
    <t>IND A1+</t>
  </si>
  <si>
    <t>Relatively Low (Class I)</t>
  </si>
  <si>
    <t>A-I</t>
  </si>
  <si>
    <t>Axis Bank Ltd (27/04/2022) ** #</t>
  </si>
  <si>
    <t>INE238A168W5</t>
  </si>
  <si>
    <t>CRISIL A1+</t>
  </si>
  <si>
    <t>Indian Bank (13/05/2022) ** #</t>
  </si>
  <si>
    <t>INE562A16KG5</t>
  </si>
  <si>
    <t>Moderate 
(Class II)</t>
  </si>
  <si>
    <t>HDFC Bank Ltd (28/04/2022) ** #</t>
  </si>
  <si>
    <t>INE040A16CR6</t>
  </si>
  <si>
    <t>CARE A1+</t>
  </si>
  <si>
    <t>Sub Total</t>
  </si>
  <si>
    <t>Relatively High (Class III)</t>
  </si>
  <si>
    <t>Commercial Paper</t>
  </si>
  <si>
    <t xml:space="preserve">National Bank For Agriculture &amp; Rural Development (13/04/2022) </t>
  </si>
  <si>
    <t>INE261F14IK4</t>
  </si>
  <si>
    <t>ICRA A1+</t>
  </si>
  <si>
    <t>Benchmark: CRISIL Liquid Fund Index</t>
  </si>
  <si>
    <t xml:space="preserve">Export-Import Bank Of India (05/04/2022) </t>
  </si>
  <si>
    <t>INE514E14QE5</t>
  </si>
  <si>
    <t xml:space="preserve">Bajaj Finance Ltd (08/04/2022) ** </t>
  </si>
  <si>
    <t>INE296A14SU9</t>
  </si>
  <si>
    <t xml:space="preserve">Reliance Jio Infocomm Ltd (11/04/2022) ** </t>
  </si>
  <si>
    <t>INE110L14QM0</t>
  </si>
  <si>
    <t xml:space="preserve">Reliance Jio Infocomm Ltd (18/04/2022) ** </t>
  </si>
  <si>
    <t>INE110L14QN8</t>
  </si>
  <si>
    <t xml:space="preserve">Hindustan Petroleum Corporation Ltd (12/04/2022) ** </t>
  </si>
  <si>
    <t>INE094A14IJ2</t>
  </si>
  <si>
    <t xml:space="preserve">ICICI Securities Ltd (12/04/2022) ** </t>
  </si>
  <si>
    <t>INE763G14KT4</t>
  </si>
  <si>
    <t>Treasury Bill</t>
  </si>
  <si>
    <t>91 DAYS TREASURY BILLS 14-APR-22</t>
  </si>
  <si>
    <t>IN002021X488</t>
  </si>
  <si>
    <t xml:space="preserve"> Sovereign</t>
  </si>
  <si>
    <t>182 DAYS TREASURY BILLS 14-APR-22</t>
  </si>
  <si>
    <t>IN002021Y296</t>
  </si>
  <si>
    <t>Total</t>
  </si>
  <si>
    <t>Government Bonds</t>
  </si>
  <si>
    <t>5.09% GOI (13/04/2022)</t>
  </si>
  <si>
    <t>IN0020200021</t>
  </si>
  <si>
    <t>Sovereign</t>
  </si>
  <si>
    <t>8.35% GOI (14/05/2022)</t>
  </si>
  <si>
    <t>IN0020020072</t>
  </si>
  <si>
    <t>TREPS</t>
  </si>
  <si>
    <t>Net Receivables / (Payables)</t>
  </si>
  <si>
    <t>Grand Total</t>
  </si>
  <si>
    <t>**  Non Traded Security</t>
  </si>
  <si>
    <t># 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</si>
</sst>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43" fontId="3" fillId="3" borderId="0" xfId="1" applyFont="1" applyFill="1"/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3" borderId="9" xfId="0" applyFont="1" applyFill="1" applyBorder="1"/>
    <xf numFmtId="0" fontId="3" fillId="3" borderId="9" xfId="0" applyFont="1" applyFill="1" applyBorder="1"/>
    <xf numFmtId="0" fontId="3" fillId="3" borderId="9" xfId="0" applyNumberFormat="1" applyFont="1" applyFill="1" applyBorder="1"/>
    <xf numFmtId="4" fontId="3" fillId="3" borderId="9" xfId="0" applyNumberFormat="1" applyFont="1" applyFill="1" applyBorder="1"/>
    <xf numFmtId="43" fontId="3" fillId="3" borderId="5" xfId="1" applyFont="1" applyFill="1" applyBorder="1" applyAlignment="1">
      <alignment horizontal="center"/>
    </xf>
    <xf numFmtId="0" fontId="9" fillId="0" borderId="5" xfId="0" applyFont="1" applyBorder="1" applyAlignment="1">
      <alignment horizontal="center" wrapText="1"/>
    </xf>
    <xf numFmtId="0" fontId="9" fillId="0" borderId="5" xfId="0" applyFont="1" applyBorder="1" applyAlignment="1">
      <alignment horizontal="center" wrapText="1"/>
    </xf>
    <xf numFmtId="0" fontId="9" fillId="3" borderId="10" xfId="0" applyFont="1" applyFill="1" applyBorder="1"/>
    <xf numFmtId="0" fontId="3" fillId="3" borderId="10" xfId="0" applyFont="1" applyFill="1" applyBorder="1"/>
    <xf numFmtId="0" fontId="3" fillId="3" borderId="10" xfId="0" applyNumberFormat="1" applyFont="1" applyFill="1" applyBorder="1"/>
    <xf numFmtId="4" fontId="3" fillId="3" borderId="10" xfId="0" applyNumberFormat="1" applyFont="1" applyFill="1" applyBorder="1"/>
    <xf numFmtId="0" fontId="9" fillId="0" borderId="5" xfId="0" applyFont="1" applyBorder="1" applyAlignment="1">
      <alignment horizontal="left" vertical="top" wrapText="1"/>
    </xf>
    <xf numFmtId="3" fontId="3" fillId="3" borderId="10" xfId="0" applyNumberFormat="1" applyFont="1" applyFill="1" applyBorder="1"/>
    <xf numFmtId="0" fontId="9" fillId="0" borderId="5" xfId="0" applyFont="1" applyBorder="1" applyAlignment="1">
      <alignment horizontal="left" wrapText="1"/>
    </xf>
    <xf numFmtId="0" fontId="9" fillId="4" borderId="11" xfId="0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/>
    </xf>
    <xf numFmtId="0" fontId="9" fillId="4" borderId="12" xfId="0" applyFont="1" applyFill="1" applyBorder="1" applyAlignment="1">
      <alignment horizontal="center" vertical="center"/>
    </xf>
    <xf numFmtId="0" fontId="9" fillId="0" borderId="12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9" fillId="3" borderId="10" xfId="0" applyNumberFormat="1" applyFont="1" applyFill="1" applyBorder="1"/>
    <xf numFmtId="4" fontId="9" fillId="3" borderId="13" xfId="0" applyNumberFormat="1" applyFont="1" applyFill="1" applyBorder="1"/>
    <xf numFmtId="4" fontId="9" fillId="3" borderId="10" xfId="0" applyNumberFormat="1" applyFont="1" applyFill="1" applyBorder="1"/>
    <xf numFmtId="0" fontId="9" fillId="3" borderId="14" xfId="0" applyFont="1" applyFill="1" applyBorder="1"/>
    <xf numFmtId="0" fontId="9" fillId="3" borderId="14" xfId="0" applyNumberFormat="1" applyFont="1" applyFill="1" applyBorder="1"/>
    <xf numFmtId="4" fontId="9" fillId="3" borderId="15" xfId="0" applyNumberFormat="1" applyFont="1" applyFill="1" applyBorder="1"/>
    <xf numFmtId="4" fontId="9" fillId="3" borderId="14" xfId="0" applyNumberFormat="1" applyFont="1" applyFill="1" applyBorder="1"/>
    <xf numFmtId="0" fontId="9" fillId="3" borderId="16" xfId="0" applyFont="1" applyFill="1" applyBorder="1"/>
    <xf numFmtId="0" fontId="9" fillId="3" borderId="16" xfId="0" applyNumberFormat="1" applyFont="1" applyFill="1" applyBorder="1"/>
    <xf numFmtId="4" fontId="9" fillId="3" borderId="16" xfId="0" applyNumberFormat="1" applyFont="1" applyFill="1" applyBorder="1"/>
    <xf numFmtId="0" fontId="3" fillId="3" borderId="17" xfId="0" applyFont="1" applyFill="1" applyBorder="1"/>
    <xf numFmtId="3" fontId="3" fillId="3" borderId="17" xfId="0" applyNumberFormat="1" applyFont="1" applyFill="1" applyBorder="1"/>
    <xf numFmtId="4" fontId="3" fillId="3" borderId="17" xfId="0" applyNumberFormat="1" applyFont="1" applyFill="1" applyBorder="1"/>
    <xf numFmtId="0" fontId="9" fillId="3" borderId="13" xfId="0" applyFont="1" applyFill="1" applyBorder="1"/>
    <xf numFmtId="0" fontId="9" fillId="3" borderId="13" xfId="0" applyNumberFormat="1" applyFont="1" applyFill="1" applyBorder="1"/>
    <xf numFmtId="0" fontId="9" fillId="3" borderId="18" xfId="0" applyFont="1" applyFill="1" applyBorder="1"/>
    <xf numFmtId="0" fontId="9" fillId="3" borderId="18" xfId="0" applyNumberFormat="1" applyFont="1" applyFill="1" applyBorder="1"/>
    <xf numFmtId="4" fontId="9" fillId="3" borderId="18" xfId="0" applyNumberFormat="1" applyFont="1" applyFill="1" applyBorder="1"/>
    <xf numFmtId="0" fontId="9" fillId="3" borderId="5" xfId="0" applyFont="1" applyFill="1" applyBorder="1"/>
    <xf numFmtId="0" fontId="9" fillId="3" borderId="5" xfId="0" applyNumberFormat="1" applyFont="1" applyFill="1" applyBorder="1"/>
    <xf numFmtId="4" fontId="9" fillId="3" borderId="5" xfId="0" applyNumberFormat="1" applyFont="1" applyFill="1" applyBorder="1"/>
    <xf numFmtId="0" fontId="9" fillId="3" borderId="0" xfId="0" applyFont="1" applyFill="1"/>
    <xf numFmtId="0" fontId="3" fillId="3" borderId="0" xfId="0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24384</xdr:colOff>
      <xdr:row>4</xdr:row>
      <xdr:rowOff>57150</xdr:rowOff>
    </xdr:from>
    <xdr:ext cx="1652015" cy="124777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97434" y="1066800"/>
          <a:ext cx="1652015" cy="1247775"/>
        </a:xfrm>
        <a:prstGeom prst="rect">
          <a:avLst/>
        </a:prstGeom>
      </xdr:spPr>
    </xdr:pic>
    <xdr:clientData/>
  </xdr:oneCellAnchor>
  <xdr:twoCellAnchor editAs="oneCell">
    <xdr:from>
      <xdr:col>9</xdr:col>
      <xdr:colOff>76200</xdr:colOff>
      <xdr:row>4</xdr:row>
      <xdr:rowOff>92321</xdr:rowOff>
    </xdr:from>
    <xdr:to>
      <xdr:col>9</xdr:col>
      <xdr:colOff>1695450</xdr:colOff>
      <xdr:row>11</xdr:row>
      <xdr:rowOff>57151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63100" y="1101971"/>
          <a:ext cx="1619250" cy="1184030"/>
        </a:xfrm>
        <a:prstGeom prst="rect">
          <a:avLst/>
        </a:prstGeom>
      </xdr:spPr>
    </xdr:pic>
    <xdr:clientData/>
  </xdr:twoCellAnchor>
  <xdr:twoCellAnchor editAs="oneCell">
    <xdr:from>
      <xdr:col>10</xdr:col>
      <xdr:colOff>59508</xdr:colOff>
      <xdr:row>4</xdr:row>
      <xdr:rowOff>85725</xdr:rowOff>
    </xdr:from>
    <xdr:to>
      <xdr:col>10</xdr:col>
      <xdr:colOff>1724026</xdr:colOff>
      <xdr:row>11</xdr:row>
      <xdr:rowOff>66675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60908" y="1095375"/>
          <a:ext cx="1664518" cy="1200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8"/>
  <sheetViews>
    <sheetView tabSelected="1" workbookViewId="0">
      <selection activeCell="L19" sqref="L19"/>
    </sheetView>
  </sheetViews>
  <sheetFormatPr defaultRowHeight="12"/>
  <cols>
    <col min="1" max="1" width="9.140625" style="4"/>
    <col min="2" max="2" width="56.28515625" style="4" bestFit="1" customWidth="1"/>
    <col min="3" max="3" width="13.5703125" style="4" bestFit="1" customWidth="1"/>
    <col min="4" max="4" width="14.140625" style="4" bestFit="1" customWidth="1"/>
    <col min="5" max="5" width="9.85546875" style="62" bestFit="1" customWidth="1"/>
    <col min="6" max="6" width="15.28515625" style="10" bestFit="1" customWidth="1"/>
    <col min="7" max="7" width="7.42578125" style="10" bestFit="1" customWidth="1"/>
    <col min="8" max="8" width="6.5703125" style="10" bestFit="1" customWidth="1"/>
    <col min="9" max="9" width="10" style="3" bestFit="1" customWidth="1"/>
    <col min="10" max="10" width="25.7109375" style="3" customWidth="1"/>
    <col min="11" max="11" width="26.5703125" style="3" customWidth="1"/>
    <col min="12" max="12" width="26.140625" style="3" customWidth="1"/>
    <col min="13" max="13" width="9.140625" style="4"/>
    <col min="14" max="14" width="15.28515625" style="4" customWidth="1"/>
    <col min="15" max="15" width="12.5703125" style="4" customWidth="1"/>
    <col min="16" max="16" width="13.7109375" style="4" customWidth="1"/>
    <col min="17" max="17" width="12.7109375" style="4" customWidth="1"/>
    <col min="18" max="16384" width="9.140625" style="4"/>
  </cols>
  <sheetData>
    <row r="1" spans="2:17" ht="21" customHeight="1">
      <c r="B1" s="1" t="s">
        <v>0</v>
      </c>
      <c r="C1" s="2"/>
      <c r="D1" s="2"/>
      <c r="E1" s="2"/>
      <c r="F1" s="2"/>
      <c r="G1" s="2"/>
      <c r="H1" s="2"/>
    </row>
    <row r="3" spans="2:17" ht="16.5" thickBot="1">
      <c r="B3" s="5" t="s">
        <v>1</v>
      </c>
      <c r="C3" s="6"/>
      <c r="D3" s="7"/>
      <c r="E3" s="8"/>
      <c r="F3" s="9"/>
      <c r="G3" s="9"/>
    </row>
    <row r="4" spans="2:17" ht="30">
      <c r="B4" s="11" t="s">
        <v>2</v>
      </c>
      <c r="C4" s="12" t="s">
        <v>3</v>
      </c>
      <c r="D4" s="12" t="s">
        <v>4</v>
      </c>
      <c r="E4" s="13" t="s">
        <v>5</v>
      </c>
      <c r="F4" s="14" t="s">
        <v>6</v>
      </c>
      <c r="G4" s="15" t="s">
        <v>7</v>
      </c>
      <c r="H4" s="15" t="s">
        <v>8</v>
      </c>
      <c r="J4" s="16" t="s">
        <v>9</v>
      </c>
      <c r="K4" s="16" t="s">
        <v>10</v>
      </c>
      <c r="L4" s="16" t="s">
        <v>11</v>
      </c>
      <c r="N4" s="17" t="s">
        <v>12</v>
      </c>
      <c r="O4" s="18"/>
      <c r="P4" s="18"/>
      <c r="Q4" s="19"/>
    </row>
    <row r="5" spans="2:17">
      <c r="B5" s="20" t="s">
        <v>13</v>
      </c>
      <c r="C5" s="21"/>
      <c r="D5" s="21"/>
      <c r="E5" s="22"/>
      <c r="F5" s="23"/>
      <c r="G5" s="23"/>
      <c r="H5" s="23"/>
      <c r="J5" s="24"/>
      <c r="K5" s="24"/>
      <c r="L5" s="24"/>
      <c r="N5" s="25" t="s">
        <v>14</v>
      </c>
      <c r="O5" s="26" t="s">
        <v>15</v>
      </c>
      <c r="P5" s="26" t="s">
        <v>16</v>
      </c>
      <c r="Q5" s="26" t="s">
        <v>17</v>
      </c>
    </row>
    <row r="6" spans="2:17" ht="24">
      <c r="B6" s="27" t="s">
        <v>18</v>
      </c>
      <c r="C6" s="28"/>
      <c r="D6" s="28"/>
      <c r="E6" s="29"/>
      <c r="F6" s="30"/>
      <c r="G6" s="30"/>
      <c r="H6" s="30"/>
      <c r="J6" s="24"/>
      <c r="K6" s="24"/>
      <c r="L6" s="24"/>
      <c r="N6" s="31" t="s">
        <v>19</v>
      </c>
      <c r="O6" s="26"/>
      <c r="P6" s="26"/>
      <c r="Q6" s="26"/>
    </row>
    <row r="7" spans="2:17">
      <c r="B7" s="28" t="s">
        <v>20</v>
      </c>
      <c r="C7" s="28" t="s">
        <v>21</v>
      </c>
      <c r="D7" s="28" t="s">
        <v>22</v>
      </c>
      <c r="E7" s="32">
        <v>3000</v>
      </c>
      <c r="F7" s="30">
        <v>14984.75</v>
      </c>
      <c r="G7" s="30">
        <v>8.2899999999999991</v>
      </c>
      <c r="H7" s="30">
        <v>3.72</v>
      </c>
      <c r="J7" s="24"/>
      <c r="K7" s="24"/>
      <c r="L7" s="24"/>
      <c r="N7" s="33" t="s">
        <v>23</v>
      </c>
      <c r="O7" s="34" t="s">
        <v>24</v>
      </c>
      <c r="P7" s="35"/>
      <c r="Q7" s="36"/>
    </row>
    <row r="8" spans="2:17">
      <c r="B8" s="28" t="s">
        <v>25</v>
      </c>
      <c r="C8" s="28" t="s">
        <v>26</v>
      </c>
      <c r="D8" s="28" t="s">
        <v>27</v>
      </c>
      <c r="E8" s="32">
        <v>2000</v>
      </c>
      <c r="F8" s="30">
        <v>9973.5400000000009</v>
      </c>
      <c r="G8" s="30">
        <v>5.52</v>
      </c>
      <c r="H8" s="30">
        <v>3.72</v>
      </c>
      <c r="J8" s="24"/>
      <c r="K8" s="24"/>
      <c r="L8" s="24"/>
      <c r="N8" s="33"/>
      <c r="O8" s="37"/>
      <c r="P8" s="38"/>
      <c r="Q8" s="39"/>
    </row>
    <row r="9" spans="2:17">
      <c r="B9" s="28" t="s">
        <v>28</v>
      </c>
      <c r="C9" s="28" t="s">
        <v>29</v>
      </c>
      <c r="D9" s="28" t="s">
        <v>27</v>
      </c>
      <c r="E9" s="32">
        <v>2000</v>
      </c>
      <c r="F9" s="30">
        <v>9957.0300000000007</v>
      </c>
      <c r="G9" s="30">
        <v>5.51</v>
      </c>
      <c r="H9" s="30">
        <v>3.75</v>
      </c>
      <c r="J9" s="24"/>
      <c r="K9" s="24"/>
      <c r="L9" s="24"/>
      <c r="N9" s="33" t="s">
        <v>30</v>
      </c>
      <c r="O9" s="36"/>
      <c r="P9" s="36"/>
      <c r="Q9" s="36"/>
    </row>
    <row r="10" spans="2:17">
      <c r="B10" s="28" t="s">
        <v>31</v>
      </c>
      <c r="C10" s="28" t="s">
        <v>32</v>
      </c>
      <c r="D10" s="28" t="s">
        <v>33</v>
      </c>
      <c r="E10" s="32">
        <v>1500</v>
      </c>
      <c r="F10" s="30">
        <v>7479.39</v>
      </c>
      <c r="G10" s="30">
        <v>4.1399999999999997</v>
      </c>
      <c r="H10" s="30">
        <v>3.73</v>
      </c>
      <c r="J10" s="24"/>
      <c r="K10" s="24"/>
      <c r="L10" s="24"/>
      <c r="N10" s="33"/>
      <c r="O10" s="39"/>
      <c r="P10" s="39"/>
      <c r="Q10" s="39"/>
    </row>
    <row r="11" spans="2:17">
      <c r="B11" s="27" t="s">
        <v>34</v>
      </c>
      <c r="C11" s="27"/>
      <c r="D11" s="27"/>
      <c r="E11" s="40"/>
      <c r="F11" s="41">
        <f>SUM(F6:F10)</f>
        <v>42394.71</v>
      </c>
      <c r="G11" s="41">
        <f>SUM(G6:G10)</f>
        <v>23.46</v>
      </c>
      <c r="H11" s="42"/>
      <c r="J11" s="24"/>
      <c r="K11" s="24"/>
      <c r="L11" s="24"/>
      <c r="N11" s="33" t="s">
        <v>35</v>
      </c>
      <c r="O11" s="36"/>
      <c r="P11" s="36"/>
      <c r="Q11" s="36"/>
    </row>
    <row r="12" spans="2:17">
      <c r="B12" s="27" t="s">
        <v>36</v>
      </c>
      <c r="C12" s="28"/>
      <c r="D12" s="28"/>
      <c r="E12" s="29"/>
      <c r="F12" s="30"/>
      <c r="G12" s="30"/>
      <c r="H12" s="30"/>
      <c r="J12" s="24"/>
      <c r="K12" s="24"/>
      <c r="L12" s="24"/>
      <c r="N12" s="33"/>
      <c r="O12" s="39"/>
      <c r="P12" s="39"/>
      <c r="Q12" s="39"/>
    </row>
    <row r="13" spans="2:17">
      <c r="B13" s="28" t="s">
        <v>37</v>
      </c>
      <c r="C13" s="28" t="s">
        <v>38</v>
      </c>
      <c r="D13" s="28" t="s">
        <v>39</v>
      </c>
      <c r="E13" s="32">
        <v>2500</v>
      </c>
      <c r="F13" s="30">
        <v>12483.99</v>
      </c>
      <c r="G13" s="30">
        <v>6.9</v>
      </c>
      <c r="H13" s="30">
        <v>3.9</v>
      </c>
      <c r="K13" s="3" t="s">
        <v>40</v>
      </c>
    </row>
    <row r="14" spans="2:17">
      <c r="B14" s="28" t="s">
        <v>41</v>
      </c>
      <c r="C14" s="28" t="s">
        <v>42</v>
      </c>
      <c r="D14" s="28" t="s">
        <v>27</v>
      </c>
      <c r="E14" s="32">
        <v>2000</v>
      </c>
      <c r="F14" s="30">
        <v>9996.06</v>
      </c>
      <c r="G14" s="30">
        <v>5.53</v>
      </c>
      <c r="H14" s="30">
        <v>3.6</v>
      </c>
    </row>
    <row r="15" spans="2:17">
      <c r="B15" s="28" t="s">
        <v>43</v>
      </c>
      <c r="C15" s="28" t="s">
        <v>44</v>
      </c>
      <c r="D15" s="28" t="s">
        <v>27</v>
      </c>
      <c r="E15" s="32">
        <v>2000</v>
      </c>
      <c r="F15" s="30">
        <v>9992.14</v>
      </c>
      <c r="G15" s="30">
        <v>5.53</v>
      </c>
      <c r="H15" s="30">
        <v>4.0999999999999996</v>
      </c>
    </row>
    <row r="16" spans="2:17">
      <c r="B16" s="28" t="s">
        <v>45</v>
      </c>
      <c r="C16" s="28" t="s">
        <v>46</v>
      </c>
      <c r="D16" s="28" t="s">
        <v>27</v>
      </c>
      <c r="E16" s="32">
        <v>1500</v>
      </c>
      <c r="F16" s="30">
        <v>7492</v>
      </c>
      <c r="G16" s="30">
        <v>4.1399999999999997</v>
      </c>
      <c r="H16" s="30">
        <v>3.9</v>
      </c>
    </row>
    <row r="17" spans="2:8">
      <c r="B17" s="28" t="s">
        <v>47</v>
      </c>
      <c r="C17" s="28" t="s">
        <v>48</v>
      </c>
      <c r="D17" s="28" t="s">
        <v>33</v>
      </c>
      <c r="E17" s="32">
        <v>1000</v>
      </c>
      <c r="F17" s="30">
        <v>4990.9399999999996</v>
      </c>
      <c r="G17" s="30">
        <v>2.76</v>
      </c>
      <c r="H17" s="30">
        <v>3.9</v>
      </c>
    </row>
    <row r="18" spans="2:8">
      <c r="B18" s="28" t="s">
        <v>49</v>
      </c>
      <c r="C18" s="28" t="s">
        <v>50</v>
      </c>
      <c r="D18" s="28" t="s">
        <v>27</v>
      </c>
      <c r="E18" s="32">
        <v>500</v>
      </c>
      <c r="F18" s="30">
        <v>2497.1999999999998</v>
      </c>
      <c r="G18" s="30">
        <v>1.38</v>
      </c>
      <c r="H18" s="30">
        <v>3.72</v>
      </c>
    </row>
    <row r="19" spans="2:8">
      <c r="B19" s="28" t="s">
        <v>51</v>
      </c>
      <c r="C19" s="28" t="s">
        <v>52</v>
      </c>
      <c r="D19" s="28" t="s">
        <v>27</v>
      </c>
      <c r="E19" s="32">
        <v>500</v>
      </c>
      <c r="F19" s="30">
        <v>2496.8000000000002</v>
      </c>
      <c r="G19" s="30">
        <v>1.38</v>
      </c>
      <c r="H19" s="30">
        <v>4.25</v>
      </c>
    </row>
    <row r="20" spans="2:8">
      <c r="B20" s="27" t="s">
        <v>34</v>
      </c>
      <c r="C20" s="27"/>
      <c r="D20" s="27"/>
      <c r="E20" s="40"/>
      <c r="F20" s="41">
        <f>SUM(F12:F19)</f>
        <v>49949.130000000005</v>
      </c>
      <c r="G20" s="41">
        <f>SUM(G12:G19)</f>
        <v>27.619999999999997</v>
      </c>
      <c r="H20" s="42"/>
    </row>
    <row r="21" spans="2:8">
      <c r="B21" s="27" t="s">
        <v>53</v>
      </c>
      <c r="C21" s="28"/>
      <c r="D21" s="28"/>
      <c r="E21" s="29"/>
      <c r="F21" s="30"/>
      <c r="G21" s="30"/>
      <c r="H21" s="30"/>
    </row>
    <row r="22" spans="2:8">
      <c r="B22" s="28" t="s">
        <v>54</v>
      </c>
      <c r="C22" s="28" t="s">
        <v>55</v>
      </c>
      <c r="D22" s="28" t="s">
        <v>56</v>
      </c>
      <c r="E22" s="32">
        <v>15000000</v>
      </c>
      <c r="F22" s="30">
        <v>14982.95</v>
      </c>
      <c r="G22" s="30">
        <v>8.2899999999999991</v>
      </c>
      <c r="H22" s="30">
        <v>3.2</v>
      </c>
    </row>
    <row r="23" spans="2:8">
      <c r="B23" s="28" t="s">
        <v>57</v>
      </c>
      <c r="C23" s="28" t="s">
        <v>58</v>
      </c>
      <c r="D23" s="28" t="s">
        <v>56</v>
      </c>
      <c r="E23" s="32">
        <v>6000000</v>
      </c>
      <c r="F23" s="30">
        <v>5993.05</v>
      </c>
      <c r="G23" s="30">
        <v>3.31</v>
      </c>
      <c r="H23" s="30">
        <v>3.26</v>
      </c>
    </row>
    <row r="24" spans="2:8">
      <c r="B24" s="43" t="s">
        <v>34</v>
      </c>
      <c r="C24" s="43"/>
      <c r="D24" s="43"/>
      <c r="E24" s="44"/>
      <c r="F24" s="45">
        <f>SUM(F21:F23)</f>
        <v>20976</v>
      </c>
      <c r="G24" s="45">
        <f>SUM(G21:G23)</f>
        <v>11.6</v>
      </c>
      <c r="H24" s="46"/>
    </row>
    <row r="25" spans="2:8">
      <c r="B25" s="47" t="s">
        <v>59</v>
      </c>
      <c r="C25" s="47"/>
      <c r="D25" s="47"/>
      <c r="E25" s="48"/>
      <c r="F25" s="49">
        <f>F11+F20+F24</f>
        <v>113319.84</v>
      </c>
      <c r="G25" s="49">
        <f>G11+G20+G24</f>
        <v>62.68</v>
      </c>
      <c r="H25" s="49"/>
    </row>
    <row r="26" spans="2:8">
      <c r="B26" s="27" t="s">
        <v>60</v>
      </c>
      <c r="C26" s="28"/>
      <c r="D26" s="28"/>
      <c r="E26" s="29"/>
      <c r="F26" s="30"/>
      <c r="G26" s="30"/>
      <c r="H26" s="30"/>
    </row>
    <row r="27" spans="2:8">
      <c r="B27" s="28" t="s">
        <v>61</v>
      </c>
      <c r="C27" s="28" t="s">
        <v>62</v>
      </c>
      <c r="D27" s="28" t="s">
        <v>63</v>
      </c>
      <c r="E27" s="32">
        <v>20000000</v>
      </c>
      <c r="F27" s="30">
        <v>20011.36</v>
      </c>
      <c r="G27" s="30">
        <v>11.07</v>
      </c>
      <c r="H27" s="30">
        <v>3.42</v>
      </c>
    </row>
    <row r="28" spans="2:8">
      <c r="B28" s="50" t="s">
        <v>64</v>
      </c>
      <c r="C28" s="50" t="s">
        <v>65</v>
      </c>
      <c r="D28" s="50" t="s">
        <v>63</v>
      </c>
      <c r="E28" s="51">
        <v>10000000</v>
      </c>
      <c r="F28" s="52">
        <v>10055.74</v>
      </c>
      <c r="G28" s="52">
        <v>5.56</v>
      </c>
      <c r="H28" s="52">
        <v>3.63</v>
      </c>
    </row>
    <row r="29" spans="2:8">
      <c r="B29" s="53" t="s">
        <v>59</v>
      </c>
      <c r="C29" s="53"/>
      <c r="D29" s="53"/>
      <c r="E29" s="54"/>
      <c r="F29" s="41">
        <f>SUM(F27:F28)</f>
        <v>30067.1</v>
      </c>
      <c r="G29" s="41">
        <f>SUM(G27:G28)</f>
        <v>16.63</v>
      </c>
      <c r="H29" s="41"/>
    </row>
    <row r="30" spans="2:8">
      <c r="B30" s="27" t="s">
        <v>66</v>
      </c>
      <c r="C30" s="28"/>
      <c r="D30" s="28"/>
      <c r="E30" s="29"/>
      <c r="F30" s="30"/>
      <c r="G30" s="30"/>
      <c r="H30" s="30"/>
    </row>
    <row r="31" spans="2:8">
      <c r="B31" s="28" t="s">
        <v>66</v>
      </c>
      <c r="C31" s="28"/>
      <c r="D31" s="28"/>
      <c r="E31" s="29"/>
      <c r="F31" s="30">
        <v>31209.21</v>
      </c>
      <c r="G31" s="30">
        <v>17.260000000000002</v>
      </c>
      <c r="H31" s="30"/>
    </row>
    <row r="32" spans="2:8">
      <c r="B32" s="43" t="s">
        <v>34</v>
      </c>
      <c r="C32" s="43"/>
      <c r="D32" s="43"/>
      <c r="E32" s="44"/>
      <c r="F32" s="45">
        <f>SUM(F30:F31)</f>
        <v>31209.21</v>
      </c>
      <c r="G32" s="45">
        <f>SUM(G30:G31)</f>
        <v>17.260000000000002</v>
      </c>
      <c r="H32" s="46"/>
    </row>
    <row r="33" spans="2:8">
      <c r="B33" s="55" t="s">
        <v>59</v>
      </c>
      <c r="C33" s="55"/>
      <c r="D33" s="55"/>
      <c r="E33" s="56"/>
      <c r="F33" s="57">
        <f>F32</f>
        <v>31209.21</v>
      </c>
      <c r="G33" s="57">
        <f>G32</f>
        <v>17.260000000000002</v>
      </c>
      <c r="H33" s="57"/>
    </row>
    <row r="34" spans="2:8">
      <c r="B34" s="58" t="s">
        <v>67</v>
      </c>
      <c r="C34" s="58"/>
      <c r="D34" s="58"/>
      <c r="E34" s="59"/>
      <c r="F34" s="60">
        <f>F35-(+F25+F29+F33)</f>
        <v>6227.570000000007</v>
      </c>
      <c r="G34" s="60">
        <f>G35-(+G25+G29+G33)</f>
        <v>3.4299999999999926</v>
      </c>
      <c r="H34" s="60"/>
    </row>
    <row r="35" spans="2:8">
      <c r="B35" s="58" t="s">
        <v>68</v>
      </c>
      <c r="C35" s="58"/>
      <c r="D35" s="58"/>
      <c r="E35" s="59"/>
      <c r="F35" s="60">
        <v>180823.72</v>
      </c>
      <c r="G35" s="60">
        <v>100</v>
      </c>
      <c r="H35" s="60"/>
    </row>
    <row r="37" spans="2:8">
      <c r="B37" s="61" t="s">
        <v>69</v>
      </c>
    </row>
    <row r="38" spans="2:8">
      <c r="B38" s="61" t="s">
        <v>70</v>
      </c>
    </row>
  </sheetData>
  <mergeCells count="20">
    <mergeCell ref="N11:N12"/>
    <mergeCell ref="O11:O12"/>
    <mergeCell ref="P11:P12"/>
    <mergeCell ref="Q11:Q12"/>
    <mergeCell ref="P7:P8"/>
    <mergeCell ref="Q7:Q8"/>
    <mergeCell ref="N9:N10"/>
    <mergeCell ref="O9:O10"/>
    <mergeCell ref="P9:P10"/>
    <mergeCell ref="Q9:Q10"/>
    <mergeCell ref="B1:H1"/>
    <mergeCell ref="N4:Q4"/>
    <mergeCell ref="J5:J12"/>
    <mergeCell ref="K5:K12"/>
    <mergeCell ref="L5:L12"/>
    <mergeCell ref="O5:O6"/>
    <mergeCell ref="P5:P6"/>
    <mergeCell ref="Q5:Q6"/>
    <mergeCell ref="N7:N8"/>
    <mergeCell ref="O7:O8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2022-04-08T12:33:37Z</dcterms:created>
  <dcterms:modified xsi:type="dcterms:W3CDTF">2022-04-08T12:33:40Z</dcterms:modified>
</cp:coreProperties>
</file>