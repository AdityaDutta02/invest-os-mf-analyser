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Feb 22\"/>
    </mc:Choice>
  </mc:AlternateContent>
  <bookViews>
    <workbookView xWindow="0" yWindow="0" windowWidth="20490" windowHeight="7350"/>
  </bookViews>
  <sheets>
    <sheet name="F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9" i="1" l="1"/>
  <c r="G60" i="1" s="1"/>
  <c r="F59" i="1"/>
  <c r="F60" i="1" s="1"/>
  <c r="G56" i="1"/>
  <c r="F56" i="1"/>
  <c r="G50" i="1"/>
  <c r="F50" i="1"/>
  <c r="G45" i="1"/>
  <c r="F45" i="1"/>
  <c r="G41" i="1"/>
  <c r="G51" i="1" s="1"/>
  <c r="F41" i="1"/>
  <c r="F51" i="1" s="1"/>
  <c r="G34" i="1"/>
  <c r="G35" i="1" s="1"/>
  <c r="F34" i="1"/>
  <c r="F35" i="1" s="1"/>
  <c r="F61" i="1" s="1"/>
  <c r="G61" i="1" l="1"/>
</calcChain>
</file>

<file path=xl/sharedStrings.xml><?xml version="1.0" encoding="utf-8"?>
<sst xmlns="http://schemas.openxmlformats.org/spreadsheetml/2006/main" count="159" uniqueCount="119">
  <si>
    <t>CANARA ROBECO SAVINGS FUND</t>
  </si>
  <si>
    <t>Monthly Portfolio Statement as on February 28,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</si>
  <si>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</si>
  <si>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</si>
  <si>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</si>
  <si>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</si>
  <si>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</si>
  <si>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</si>
  <si>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</si>
  <si>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Feb'22</t>
  </si>
  <si>
    <t>Benchmark Risk-o-meter Level- Feb'22</t>
  </si>
  <si>
    <t>Previous Scheme Risk-o-meter Level- Jan'22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</si>
  <si>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</si>
  <si>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</si>
  <si>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</si>
  <si>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</si>
  <si>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</si>
  <si>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</si>
  <si>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</si>
  <si>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</si>
  <si>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8.50% National Bank For Agriculture &amp; Rural Development (31/01/2023) **</t>
  </si>
  <si>
    <t>INE261F08AT4</t>
  </si>
  <si>
    <t>CRISIL AAA</t>
  </si>
  <si>
    <t>Relatively Low (Class I)</t>
  </si>
  <si>
    <t>B-I</t>
  </si>
  <si>
    <t>7.00% Reliance Industries Ltd (31/08/2022) **</t>
  </si>
  <si>
    <t>INE002A08476</t>
  </si>
  <si>
    <t>4.66% Bajaj Finance Ltd (02/12/2022) **</t>
  </si>
  <si>
    <t>INE296A07RM2</t>
  </si>
  <si>
    <t>Moderate 
(Class II)</t>
  </si>
  <si>
    <t>7.45% REC Ltd (30/11/2022) **</t>
  </si>
  <si>
    <t>INE020B08AP1</t>
  </si>
  <si>
    <t>7.35% Power Finance Corporation Ltd (15/10/2022) **</t>
  </si>
  <si>
    <t>INE134E08KG2</t>
  </si>
  <si>
    <t>Relatively High (Class III)</t>
  </si>
  <si>
    <t>7.10% Bajaj Finance Ltd (10/02/2023) **</t>
  </si>
  <si>
    <t>INE296A07RB5</t>
  </si>
  <si>
    <t>7.85% LIC Housing Finance Ltd (23/09/2022) **</t>
  </si>
  <si>
    <t>INE115A07OG3</t>
  </si>
  <si>
    <t>Benchmark: CRISIL Low Duration Debt Index</t>
  </si>
  <si>
    <t>7.18% National Bank For Agriculture &amp; Rural Development (08/08/2022) **</t>
  </si>
  <si>
    <t>INE261F08BN5</t>
  </si>
  <si>
    <t>7.10% Power Finance Corporation Ltd (08/08/2022) **</t>
  </si>
  <si>
    <t>INE134E08JD1</t>
  </si>
  <si>
    <t>7.00% Larsen &amp; Toubro Ltd (25/04/2022) **</t>
  </si>
  <si>
    <t>INE018A08AX1</t>
  </si>
  <si>
    <t>6.60% REC Ltd (21/03/2022)</t>
  </si>
  <si>
    <t>INE020B08CV5</t>
  </si>
  <si>
    <t>4.95% Housing Development Finance Corporation Ltd (09/09/2022) **</t>
  </si>
  <si>
    <t>INE001A07SQ5</t>
  </si>
  <si>
    <t>5.40% Housing Development Finance Corporation Ltd (11/08/2023)</t>
  </si>
  <si>
    <t>INE001A07SP7</t>
  </si>
  <si>
    <t>7.17% Reliance Industries Ltd (08/11/2022) **</t>
  </si>
  <si>
    <t>INE002A08500</t>
  </si>
  <si>
    <t>7.87% Housing Development Finance Corporation Ltd (18/07/2022) **</t>
  </si>
  <si>
    <t>INE001A07RW5</t>
  </si>
  <si>
    <t>4.58% Small Industries Development Bank Of India (18/12/2023) **</t>
  </si>
  <si>
    <t>INE556F08JR2</t>
  </si>
  <si>
    <t>ICRA AAA</t>
  </si>
  <si>
    <t>7.49% Power Grid Corporation of India Ltd (25/10/2024) **</t>
  </si>
  <si>
    <t>INE752E08593</t>
  </si>
  <si>
    <t>7.85% LIC Housing Finance Ltd (16/12/2022) **</t>
  </si>
  <si>
    <t>INE115A07MS2</t>
  </si>
  <si>
    <t>6.75% Power Finance Corporation Ltd (22/05/2023) **</t>
  </si>
  <si>
    <t>INE134E08KS7</t>
  </si>
  <si>
    <t>7.45% LIC Housing Finance Ltd (17/10/2022) **</t>
  </si>
  <si>
    <t>INE115A07MO1</t>
  </si>
  <si>
    <t>8.5383% BAJAJ FINANCE LTD 07-JUN-22 **</t>
  </si>
  <si>
    <t>INE296A07QU7</t>
  </si>
  <si>
    <t>8.02% Larsen &amp; Toubro Ltd (22/05/2022)</t>
  </si>
  <si>
    <t>INE018A08AS1</t>
  </si>
  <si>
    <t>7.24% REC Ltd (31/12/2022) **</t>
  </si>
  <si>
    <t>INE020B08CG6</t>
  </si>
  <si>
    <t>6.98% National Bank For Agriculture &amp; Rural Development (19/09/2022) **</t>
  </si>
  <si>
    <t>INE261F08BO3</t>
  </si>
  <si>
    <t>6.99% Small Industries Development Bank Of India (08/08/2022) **</t>
  </si>
  <si>
    <t>INE556F08JN1</t>
  </si>
  <si>
    <t>CARE AAA</t>
  </si>
  <si>
    <t>8.13% Power Grid Corporation of India Ltd (25/04/2022) **</t>
  </si>
  <si>
    <t>INE752E07NO1</t>
  </si>
  <si>
    <t>Sub Total</t>
  </si>
  <si>
    <t>Total</t>
  </si>
  <si>
    <t>Money Market Instruments</t>
  </si>
  <si>
    <t>Certificate of Deposit</t>
  </si>
  <si>
    <t>Bank of Baroda (18/04/2022) ** #</t>
  </si>
  <si>
    <t>INE028A16CK6</t>
  </si>
  <si>
    <t>IND A1+</t>
  </si>
  <si>
    <t>Axis Bank Ltd (28/04/2022) ** #</t>
  </si>
  <si>
    <t>INE238A167W7</t>
  </si>
  <si>
    <t>CRISIL A1+</t>
  </si>
  <si>
    <t>Axis Bank Ltd (19/09/2022) #</t>
  </si>
  <si>
    <t>INE238A160X0</t>
  </si>
  <si>
    <t>Commercial Paper</t>
  </si>
  <si>
    <t xml:space="preserve">Reliance Jio Infocomm Ltd (18/04/2022) ** </t>
  </si>
  <si>
    <t>INE110L14QN8</t>
  </si>
  <si>
    <t>CARE A1+</t>
  </si>
  <si>
    <t xml:space="preserve">LIC Housing Finance Ltd (07/07/2022) ** </t>
  </si>
  <si>
    <t>INE115A14DE7</t>
  </si>
  <si>
    <t>Treasury Bill</t>
  </si>
  <si>
    <t>364 DAYS INDIA TREASURY BILLS 05-MAY-22</t>
  </si>
  <si>
    <t>IN002021Z053</t>
  </si>
  <si>
    <t xml:space="preserve"> Sovereign</t>
  </si>
  <si>
    <t>182 DAYS TREASURY BILLS 11-AUG-22</t>
  </si>
  <si>
    <t>IN002021Y486</t>
  </si>
  <si>
    <t>364 DAYS TREASURY BILLS 22-DEC-22</t>
  </si>
  <si>
    <t>IN002021Z392</t>
  </si>
  <si>
    <t>Government Bonds</t>
  </si>
  <si>
    <t>6.84% GOI (19/12/2022)</t>
  </si>
  <si>
    <t>IN0020160050</t>
  </si>
  <si>
    <t>Sovereign</t>
  </si>
  <si>
    <t>3.96% GOI (09/11/2022)</t>
  </si>
  <si>
    <t>IN0020200260</t>
  </si>
  <si>
    <t>8.35% GOI (14/05/2022)</t>
  </si>
  <si>
    <t>IN0020020072</t>
  </si>
  <si>
    <t>TREPS</t>
  </si>
  <si>
    <t>Net Receivables / (Payables)</t>
  </si>
  <si>
    <t>Grand Total</t>
  </si>
  <si>
    <t>**  Non Traded Security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</si>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</sst>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0" fontId="3" fillId="3" borderId="5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3" fillId="3" borderId="12" xfId="0" applyFont="1" applyFill="1" applyBorder="1" applyAlignment="1">
      <alignment horizontal="center"/>
    </xf>
    <xf numFmtId="0" fontId="9" fillId="0" borderId="5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5" xfId="0" applyFont="1" applyBorder="1" applyAlignment="1">
      <alignment horizontal="left" wrapText="1"/>
    </xf>
    <xf numFmtId="0" fontId="3" fillId="0" borderId="10" xfId="0" applyFont="1" applyBorder="1" applyAlignment="1">
      <alignment horizontal="center"/>
    </xf>
    <xf numFmtId="0" fontId="9" fillId="4" borderId="10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9" fillId="4" borderId="1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/>
    </xf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11" xfId="0" applyNumberFormat="1" applyFont="1" applyFill="1" applyBorder="1"/>
    <xf numFmtId="4" fontId="9" fillId="3" borderId="17" xfId="0" applyNumberFormat="1" applyFont="1" applyFill="1" applyBorder="1"/>
    <xf numFmtId="4" fontId="9" fillId="3" borderId="11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77065</xdr:colOff>
      <xdr:row>4</xdr:row>
      <xdr:rowOff>154133</xdr:rowOff>
    </xdr:from>
    <xdr:ext cx="1732560" cy="988867"/>
    <xdr:pic>
      <xdr:nvPicPr>
        <xdr:cNvPr id="2" name="Picture 1">
          <a:extLst>
            <a:ext uri="{FF2B5EF4-FFF2-40B4-BE49-F238E27FC236}">
              <a16:creationId xmlns:a16="http://schemas.microsoft.com/office/drawing/2014/main" id="{F528590D-5F52-4741-8285-463AD74A7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49715" y="1163783"/>
          <a:ext cx="1732560" cy="988867"/>
        </a:xfrm>
        <a:prstGeom prst="rect">
          <a:avLst/>
        </a:prstGeom>
      </xdr:spPr>
    </xdr:pic>
    <xdr:clientData/>
  </xdr:oneCellAnchor>
  <xdr:oneCellAnchor>
    <xdr:from>
      <xdr:col>10</xdr:col>
      <xdr:colOff>108240</xdr:colOff>
      <xdr:row>4</xdr:row>
      <xdr:rowOff>77931</xdr:rowOff>
    </xdr:from>
    <xdr:ext cx="1831396" cy="1142355"/>
    <xdr:pic>
      <xdr:nvPicPr>
        <xdr:cNvPr id="3" name="Picture 2">
          <a:extLst>
            <a:ext uri="{FF2B5EF4-FFF2-40B4-BE49-F238E27FC236}">
              <a16:creationId xmlns:a16="http://schemas.microsoft.com/office/drawing/2014/main" id="{3949DE30-C049-424B-861B-35BEC84A6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90640" y="1087581"/>
          <a:ext cx="1831396" cy="1142355"/>
        </a:xfrm>
        <a:prstGeom prst="rect">
          <a:avLst/>
        </a:prstGeom>
      </xdr:spPr>
    </xdr:pic>
    <xdr:clientData/>
  </xdr:oneCellAnchor>
  <xdr:oneCellAnchor>
    <xdr:from>
      <xdr:col>11</xdr:col>
      <xdr:colOff>77932</xdr:colOff>
      <xdr:row>4</xdr:row>
      <xdr:rowOff>121227</xdr:rowOff>
    </xdr:from>
    <xdr:ext cx="1850900" cy="1056410"/>
    <xdr:pic>
      <xdr:nvPicPr>
        <xdr:cNvPr id="4" name="Picture 3">
          <a:extLst>
            <a:ext uri="{FF2B5EF4-FFF2-40B4-BE49-F238E27FC236}">
              <a16:creationId xmlns:a16="http://schemas.microsoft.com/office/drawing/2014/main" id="{F528590D-5F52-4741-8285-463AD74A7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98682" y="1130877"/>
          <a:ext cx="1850900" cy="10564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65"/>
  <sheetViews>
    <sheetView tabSelected="1" topLeftCell="F1" zoomScaleNormal="100" workbookViewId="0">
      <selection activeCell="K13" sqref="K13"/>
    </sheetView>
  </sheetViews>
  <sheetFormatPr defaultRowHeight="12"/>
  <cols>
    <col min="1" max="1" width="9.140625" style="4"/>
    <col min="2" max="2" width="60.28515625" style="4" bestFit="1" customWidth="1"/>
    <col min="3" max="3" width="13.85546875" style="4" bestFit="1" customWidth="1"/>
    <col min="4" max="4" width="14.140625" style="4" bestFit="1" customWidth="1"/>
    <col min="5" max="5" width="9.85546875" style="63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10" style="3" bestFit="1" customWidth="1"/>
    <col min="10" max="10" width="27.140625" style="3" customWidth="1"/>
    <col min="11" max="11" width="30.5703125" style="3" customWidth="1"/>
    <col min="12" max="12" width="29.42578125" style="3" customWidth="1"/>
    <col min="13" max="16384" width="9.140625" style="4"/>
  </cols>
  <sheetData>
    <row r="1" spans="2:18" ht="21" customHeight="1">
      <c r="B1" s="1" t="s">
        <v>0</v>
      </c>
      <c r="C1" s="2"/>
      <c r="D1" s="2"/>
      <c r="E1" s="2"/>
      <c r="F1" s="2"/>
      <c r="G1" s="2"/>
      <c r="H1" s="2"/>
    </row>
    <row r="3" spans="2:18" ht="16.5" thickBot="1">
      <c r="B3" s="5" t="s">
        <v>1</v>
      </c>
      <c r="C3" s="6"/>
      <c r="D3" s="7"/>
      <c r="E3" s="8"/>
      <c r="F3" s="9"/>
      <c r="G3" s="9"/>
    </row>
    <row r="4" spans="2:18" ht="30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  <c r="N4" s="17" t="s">
        <v>12</v>
      </c>
      <c r="O4" s="18"/>
      <c r="P4" s="18"/>
      <c r="Q4" s="19"/>
    </row>
    <row r="5" spans="2:18" ht="24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5"/>
      <c r="N5" s="26" t="s">
        <v>14</v>
      </c>
      <c r="O5" s="27" t="s">
        <v>15</v>
      </c>
      <c r="P5" s="27" t="s">
        <v>16</v>
      </c>
      <c r="Q5" s="27" t="s">
        <v>17</v>
      </c>
    </row>
    <row r="6" spans="2:18" ht="36">
      <c r="B6" s="28" t="s">
        <v>18</v>
      </c>
      <c r="C6" s="29"/>
      <c r="D6" s="29"/>
      <c r="E6" s="30"/>
      <c r="F6" s="31"/>
      <c r="G6" s="31"/>
      <c r="H6" s="31"/>
      <c r="J6" s="24"/>
      <c r="K6" s="24"/>
      <c r="L6" s="32"/>
      <c r="N6" s="33" t="s">
        <v>19</v>
      </c>
      <c r="O6" s="27"/>
      <c r="P6" s="27"/>
      <c r="Q6" s="27"/>
    </row>
    <row r="7" spans="2:18">
      <c r="B7" s="29" t="s">
        <v>20</v>
      </c>
      <c r="C7" s="29" t="s">
        <v>21</v>
      </c>
      <c r="D7" s="29" t="s">
        <v>22</v>
      </c>
      <c r="E7" s="34">
        <v>500</v>
      </c>
      <c r="F7" s="31">
        <v>5156.41</v>
      </c>
      <c r="G7" s="31">
        <v>4.7300000000000004</v>
      </c>
      <c r="H7" s="31">
        <v>4.93</v>
      </c>
      <c r="J7" s="24"/>
      <c r="K7" s="24"/>
      <c r="L7" s="32"/>
      <c r="N7" s="35" t="s">
        <v>23</v>
      </c>
      <c r="O7" s="36"/>
      <c r="P7" s="37" t="s">
        <v>24</v>
      </c>
      <c r="Q7" s="36"/>
    </row>
    <row r="8" spans="2:18">
      <c r="B8" s="29" t="s">
        <v>25</v>
      </c>
      <c r="C8" s="29" t="s">
        <v>26</v>
      </c>
      <c r="D8" s="29" t="s">
        <v>22</v>
      </c>
      <c r="E8" s="34">
        <v>500</v>
      </c>
      <c r="F8" s="31">
        <v>5056.29</v>
      </c>
      <c r="G8" s="31">
        <v>4.6399999999999997</v>
      </c>
      <c r="H8" s="31">
        <v>4.5599999999999996</v>
      </c>
      <c r="J8" s="24"/>
      <c r="K8" s="24"/>
      <c r="L8" s="32"/>
      <c r="N8" s="35"/>
      <c r="O8" s="38"/>
      <c r="P8" s="39"/>
      <c r="Q8" s="38"/>
    </row>
    <row r="9" spans="2:18">
      <c r="B9" s="29" t="s">
        <v>27</v>
      </c>
      <c r="C9" s="29" t="s">
        <v>28</v>
      </c>
      <c r="D9" s="29" t="s">
        <v>22</v>
      </c>
      <c r="E9" s="34">
        <v>400</v>
      </c>
      <c r="F9" s="31">
        <v>3989.34</v>
      </c>
      <c r="G9" s="31">
        <v>3.66</v>
      </c>
      <c r="H9" s="31">
        <v>4.97</v>
      </c>
      <c r="J9" s="24"/>
      <c r="K9" s="24"/>
      <c r="L9" s="32"/>
      <c r="N9" s="35" t="s">
        <v>29</v>
      </c>
      <c r="O9" s="36"/>
      <c r="P9" s="36"/>
      <c r="Q9" s="36"/>
    </row>
    <row r="10" spans="2:18">
      <c r="B10" s="29" t="s">
        <v>30</v>
      </c>
      <c r="C10" s="29" t="s">
        <v>31</v>
      </c>
      <c r="D10" s="29" t="s">
        <v>22</v>
      </c>
      <c r="E10" s="34">
        <v>300</v>
      </c>
      <c r="F10" s="31">
        <v>3056.46</v>
      </c>
      <c r="G10" s="31">
        <v>2.8</v>
      </c>
      <c r="H10" s="31">
        <v>4.7699999999999996</v>
      </c>
      <c r="J10" s="24"/>
      <c r="K10" s="24"/>
      <c r="L10" s="32"/>
      <c r="N10" s="35"/>
      <c r="O10" s="38"/>
      <c r="P10" s="38"/>
      <c r="Q10" s="38"/>
    </row>
    <row r="11" spans="2:18">
      <c r="B11" s="29" t="s">
        <v>32</v>
      </c>
      <c r="C11" s="29" t="s">
        <v>33</v>
      </c>
      <c r="D11" s="29" t="s">
        <v>22</v>
      </c>
      <c r="E11" s="34">
        <v>300</v>
      </c>
      <c r="F11" s="31">
        <v>3045.41</v>
      </c>
      <c r="G11" s="31">
        <v>2.79</v>
      </c>
      <c r="H11" s="31">
        <v>4.74</v>
      </c>
      <c r="J11" s="24"/>
      <c r="K11" s="24"/>
      <c r="L11" s="32"/>
      <c r="N11" s="35" t="s">
        <v>34</v>
      </c>
      <c r="O11" s="36"/>
      <c r="P11" s="36"/>
      <c r="Q11" s="36"/>
    </row>
    <row r="12" spans="2:18">
      <c r="B12" s="29" t="s">
        <v>35</v>
      </c>
      <c r="C12" s="29" t="s">
        <v>36</v>
      </c>
      <c r="D12" s="29" t="s">
        <v>22</v>
      </c>
      <c r="E12" s="34">
        <v>250</v>
      </c>
      <c r="F12" s="31">
        <v>2543.86</v>
      </c>
      <c r="G12" s="31">
        <v>2.33</v>
      </c>
      <c r="H12" s="31">
        <v>5.15</v>
      </c>
      <c r="J12" s="24"/>
      <c r="K12" s="24"/>
      <c r="L12" s="40"/>
      <c r="N12" s="35"/>
      <c r="O12" s="38"/>
      <c r="P12" s="38"/>
      <c r="Q12" s="38"/>
      <c r="R12" s="3"/>
    </row>
    <row r="13" spans="2:18">
      <c r="B13" s="29" t="s">
        <v>37</v>
      </c>
      <c r="C13" s="29" t="s">
        <v>38</v>
      </c>
      <c r="D13" s="29" t="s">
        <v>22</v>
      </c>
      <c r="E13" s="34">
        <v>250</v>
      </c>
      <c r="F13" s="31">
        <v>2540.5100000000002</v>
      </c>
      <c r="G13" s="31">
        <v>2.33</v>
      </c>
      <c r="H13" s="31">
        <v>4.75</v>
      </c>
      <c r="K13" s="4" t="s">
        <v>39</v>
      </c>
    </row>
    <row r="14" spans="2:18">
      <c r="B14" s="29" t="s">
        <v>40</v>
      </c>
      <c r="C14" s="29" t="s">
        <v>41</v>
      </c>
      <c r="D14" s="29" t="s">
        <v>22</v>
      </c>
      <c r="E14" s="34">
        <v>250</v>
      </c>
      <c r="F14" s="31">
        <v>2526.1799999999998</v>
      </c>
      <c r="G14" s="31">
        <v>2.3199999999999998</v>
      </c>
      <c r="H14" s="31">
        <v>4.57</v>
      </c>
    </row>
    <row r="15" spans="2:18">
      <c r="B15" s="29" t="s">
        <v>42</v>
      </c>
      <c r="C15" s="29" t="s">
        <v>43</v>
      </c>
      <c r="D15" s="29" t="s">
        <v>22</v>
      </c>
      <c r="E15" s="34">
        <v>250</v>
      </c>
      <c r="F15" s="31">
        <v>2525.2800000000002</v>
      </c>
      <c r="G15" s="31">
        <v>2.3199999999999998</v>
      </c>
      <c r="H15" s="31">
        <v>4.58</v>
      </c>
    </row>
    <row r="16" spans="2:18">
      <c r="B16" s="29" t="s">
        <v>44</v>
      </c>
      <c r="C16" s="29" t="s">
        <v>45</v>
      </c>
      <c r="D16" s="29" t="s">
        <v>22</v>
      </c>
      <c r="E16" s="34">
        <v>250</v>
      </c>
      <c r="F16" s="31">
        <v>2510.7399999999998</v>
      </c>
      <c r="G16" s="31">
        <v>2.2999999999999998</v>
      </c>
      <c r="H16" s="31">
        <v>3.95</v>
      </c>
    </row>
    <row r="17" spans="2:8">
      <c r="B17" s="29" t="s">
        <v>46</v>
      </c>
      <c r="C17" s="29" t="s">
        <v>47</v>
      </c>
      <c r="D17" s="29" t="s">
        <v>22</v>
      </c>
      <c r="E17" s="34">
        <v>250</v>
      </c>
      <c r="F17" s="31">
        <v>2503.6799999999998</v>
      </c>
      <c r="G17" s="31">
        <v>2.2999999999999998</v>
      </c>
      <c r="H17" s="31">
        <v>3.8</v>
      </c>
    </row>
    <row r="18" spans="2:8">
      <c r="B18" s="29" t="s">
        <v>48</v>
      </c>
      <c r="C18" s="29" t="s">
        <v>49</v>
      </c>
      <c r="D18" s="29" t="s">
        <v>22</v>
      </c>
      <c r="E18" s="34">
        <v>250</v>
      </c>
      <c r="F18" s="31">
        <v>2501.33</v>
      </c>
      <c r="G18" s="31">
        <v>2.29</v>
      </c>
      <c r="H18" s="31">
        <v>4.74</v>
      </c>
    </row>
    <row r="19" spans="2:8">
      <c r="B19" s="29" t="s">
        <v>50</v>
      </c>
      <c r="C19" s="29" t="s">
        <v>51</v>
      </c>
      <c r="D19" s="29" t="s">
        <v>22</v>
      </c>
      <c r="E19" s="34">
        <v>250</v>
      </c>
      <c r="F19" s="31">
        <v>2500.15</v>
      </c>
      <c r="G19" s="31">
        <v>2.29</v>
      </c>
      <c r="H19" s="31">
        <v>5.37</v>
      </c>
    </row>
    <row r="20" spans="2:8">
      <c r="B20" s="29" t="s">
        <v>52</v>
      </c>
      <c r="C20" s="29" t="s">
        <v>53</v>
      </c>
      <c r="D20" s="29" t="s">
        <v>22</v>
      </c>
      <c r="E20" s="34">
        <v>200</v>
      </c>
      <c r="F20" s="31">
        <v>2030.18</v>
      </c>
      <c r="G20" s="31">
        <v>1.86</v>
      </c>
      <c r="H20" s="31">
        <v>4.8099999999999996</v>
      </c>
    </row>
    <row r="21" spans="2:8">
      <c r="B21" s="29" t="s">
        <v>54</v>
      </c>
      <c r="C21" s="29" t="s">
        <v>55</v>
      </c>
      <c r="D21" s="29" t="s">
        <v>22</v>
      </c>
      <c r="E21" s="34">
        <v>150</v>
      </c>
      <c r="F21" s="31">
        <v>1516.74</v>
      </c>
      <c r="G21" s="31">
        <v>1.39</v>
      </c>
      <c r="H21" s="31">
        <v>4.68</v>
      </c>
    </row>
    <row r="22" spans="2:8">
      <c r="B22" s="29" t="s">
        <v>56</v>
      </c>
      <c r="C22" s="29" t="s">
        <v>57</v>
      </c>
      <c r="D22" s="29" t="s">
        <v>58</v>
      </c>
      <c r="E22" s="34">
        <v>150</v>
      </c>
      <c r="F22" s="31">
        <v>1484.38</v>
      </c>
      <c r="G22" s="31">
        <v>1.36</v>
      </c>
      <c r="H22" s="31">
        <v>5.19</v>
      </c>
    </row>
    <row r="23" spans="2:8">
      <c r="B23" s="29" t="s">
        <v>59</v>
      </c>
      <c r="C23" s="29" t="s">
        <v>60</v>
      </c>
      <c r="D23" s="29" t="s">
        <v>22</v>
      </c>
      <c r="E23" s="34">
        <v>400</v>
      </c>
      <c r="F23" s="31">
        <v>1258.58</v>
      </c>
      <c r="G23" s="31">
        <v>1.1499999999999999</v>
      </c>
      <c r="H23" s="31">
        <v>5.45</v>
      </c>
    </row>
    <row r="24" spans="2:8">
      <c r="B24" s="29" t="s">
        <v>61</v>
      </c>
      <c r="C24" s="29" t="s">
        <v>62</v>
      </c>
      <c r="D24" s="29" t="s">
        <v>22</v>
      </c>
      <c r="E24" s="34">
        <v>100</v>
      </c>
      <c r="F24" s="31">
        <v>1021.56</v>
      </c>
      <c r="G24" s="31">
        <v>0.94</v>
      </c>
      <c r="H24" s="31">
        <v>4.96</v>
      </c>
    </row>
    <row r="25" spans="2:8">
      <c r="B25" s="29" t="s">
        <v>63</v>
      </c>
      <c r="C25" s="29" t="s">
        <v>64</v>
      </c>
      <c r="D25" s="29" t="s">
        <v>22</v>
      </c>
      <c r="E25" s="34">
        <v>100</v>
      </c>
      <c r="F25" s="31">
        <v>1019.54</v>
      </c>
      <c r="G25" s="31">
        <v>0.93</v>
      </c>
      <c r="H25" s="31">
        <v>5.04</v>
      </c>
    </row>
    <row r="26" spans="2:8">
      <c r="B26" s="29" t="s">
        <v>65</v>
      </c>
      <c r="C26" s="29" t="s">
        <v>66</v>
      </c>
      <c r="D26" s="29" t="s">
        <v>22</v>
      </c>
      <c r="E26" s="34">
        <v>100</v>
      </c>
      <c r="F26" s="31">
        <v>1014.43</v>
      </c>
      <c r="G26" s="31">
        <v>0.93</v>
      </c>
      <c r="H26" s="31">
        <v>4.96</v>
      </c>
    </row>
    <row r="27" spans="2:8">
      <c r="B27" s="29" t="s">
        <v>67</v>
      </c>
      <c r="C27" s="29" t="s">
        <v>68</v>
      </c>
      <c r="D27" s="29" t="s">
        <v>22</v>
      </c>
      <c r="E27" s="34">
        <v>100</v>
      </c>
      <c r="F27" s="31">
        <v>1010.07</v>
      </c>
      <c r="G27" s="31">
        <v>0.93</v>
      </c>
      <c r="H27" s="31">
        <v>4.5</v>
      </c>
    </row>
    <row r="28" spans="2:8">
      <c r="B28" s="29" t="s">
        <v>67</v>
      </c>
      <c r="C28" s="29" t="s">
        <v>68</v>
      </c>
      <c r="D28" s="29" t="s">
        <v>22</v>
      </c>
      <c r="E28" s="34">
        <v>100</v>
      </c>
      <c r="F28" s="31">
        <v>1010.07</v>
      </c>
      <c r="G28" s="31">
        <v>0.93</v>
      </c>
      <c r="H28" s="31">
        <v>4.5</v>
      </c>
    </row>
    <row r="29" spans="2:8">
      <c r="B29" s="29" t="s">
        <v>69</v>
      </c>
      <c r="C29" s="29" t="s">
        <v>70</v>
      </c>
      <c r="D29" s="29" t="s">
        <v>22</v>
      </c>
      <c r="E29" s="34">
        <v>100</v>
      </c>
      <c r="F29" s="31">
        <v>1008.47</v>
      </c>
      <c r="G29" s="31">
        <v>0.92</v>
      </c>
      <c r="H29" s="31">
        <v>4.01</v>
      </c>
    </row>
    <row r="30" spans="2:8">
      <c r="B30" s="29" t="s">
        <v>71</v>
      </c>
      <c r="C30" s="29" t="s">
        <v>72</v>
      </c>
      <c r="D30" s="29" t="s">
        <v>22</v>
      </c>
      <c r="E30" s="34">
        <v>50</v>
      </c>
      <c r="F30" s="31">
        <v>509.47</v>
      </c>
      <c r="G30" s="31">
        <v>0.47</v>
      </c>
      <c r="H30" s="31">
        <v>4.83</v>
      </c>
    </row>
    <row r="31" spans="2:8">
      <c r="B31" s="29" t="s">
        <v>73</v>
      </c>
      <c r="C31" s="29" t="s">
        <v>74</v>
      </c>
      <c r="D31" s="29" t="s">
        <v>22</v>
      </c>
      <c r="E31" s="34">
        <v>50</v>
      </c>
      <c r="F31" s="31">
        <v>505.98</v>
      </c>
      <c r="G31" s="31">
        <v>0.46</v>
      </c>
      <c r="H31" s="31">
        <v>4.63</v>
      </c>
    </row>
    <row r="32" spans="2:8">
      <c r="B32" s="29" t="s">
        <v>75</v>
      </c>
      <c r="C32" s="29" t="s">
        <v>76</v>
      </c>
      <c r="D32" s="29" t="s">
        <v>77</v>
      </c>
      <c r="E32" s="34">
        <v>50</v>
      </c>
      <c r="F32" s="31">
        <v>505</v>
      </c>
      <c r="G32" s="31">
        <v>0.46</v>
      </c>
      <c r="H32" s="31">
        <v>4.5</v>
      </c>
    </row>
    <row r="33" spans="2:8">
      <c r="B33" s="29" t="s">
        <v>78</v>
      </c>
      <c r="C33" s="29" t="s">
        <v>79</v>
      </c>
      <c r="D33" s="29" t="s">
        <v>22</v>
      </c>
      <c r="E33" s="34">
        <v>50</v>
      </c>
      <c r="F33" s="31">
        <v>502.99</v>
      </c>
      <c r="G33" s="31">
        <v>0.46</v>
      </c>
      <c r="H33" s="31">
        <v>3.94</v>
      </c>
    </row>
    <row r="34" spans="2:8">
      <c r="B34" s="41" t="s">
        <v>80</v>
      </c>
      <c r="C34" s="41"/>
      <c r="D34" s="41"/>
      <c r="E34" s="42"/>
      <c r="F34" s="43">
        <f>SUM(F6:F33)</f>
        <v>54853.1</v>
      </c>
      <c r="G34" s="43">
        <f>SUM(G6:G33)</f>
        <v>50.29</v>
      </c>
      <c r="H34" s="44"/>
    </row>
    <row r="35" spans="2:8">
      <c r="B35" s="45" t="s">
        <v>81</v>
      </c>
      <c r="C35" s="45"/>
      <c r="D35" s="45"/>
      <c r="E35" s="46"/>
      <c r="F35" s="47">
        <f>F34</f>
        <v>54853.1</v>
      </c>
      <c r="G35" s="47">
        <f>G34</f>
        <v>50.29</v>
      </c>
      <c r="H35" s="47"/>
    </row>
    <row r="36" spans="2:8">
      <c r="B36" s="28" t="s">
        <v>82</v>
      </c>
      <c r="C36" s="29"/>
      <c r="D36" s="29"/>
      <c r="E36" s="30"/>
      <c r="F36" s="31"/>
      <c r="G36" s="31"/>
      <c r="H36" s="31"/>
    </row>
    <row r="37" spans="2:8">
      <c r="B37" s="28" t="s">
        <v>83</v>
      </c>
      <c r="C37" s="29"/>
      <c r="D37" s="29"/>
      <c r="E37" s="30"/>
      <c r="F37" s="31"/>
      <c r="G37" s="31"/>
      <c r="H37" s="31"/>
    </row>
    <row r="38" spans="2:8">
      <c r="B38" s="29" t="s">
        <v>84</v>
      </c>
      <c r="C38" s="29" t="s">
        <v>85</v>
      </c>
      <c r="D38" s="29" t="s">
        <v>86</v>
      </c>
      <c r="E38" s="34">
        <v>1000</v>
      </c>
      <c r="F38" s="31">
        <v>4975.1400000000003</v>
      </c>
      <c r="G38" s="31">
        <v>4.5599999999999996</v>
      </c>
      <c r="H38" s="31">
        <v>3.8</v>
      </c>
    </row>
    <row r="39" spans="2:8">
      <c r="B39" s="29" t="s">
        <v>87</v>
      </c>
      <c r="C39" s="29" t="s">
        <v>88</v>
      </c>
      <c r="D39" s="29" t="s">
        <v>89</v>
      </c>
      <c r="E39" s="34">
        <v>500</v>
      </c>
      <c r="F39" s="31">
        <v>2484.7199999999998</v>
      </c>
      <c r="G39" s="31">
        <v>2.2799999999999998</v>
      </c>
      <c r="H39" s="31">
        <v>3.87</v>
      </c>
    </row>
    <row r="40" spans="2:8">
      <c r="B40" s="29" t="s">
        <v>90</v>
      </c>
      <c r="C40" s="29" t="s">
        <v>91</v>
      </c>
      <c r="D40" s="29" t="s">
        <v>89</v>
      </c>
      <c r="E40" s="34">
        <v>500</v>
      </c>
      <c r="F40" s="31">
        <v>2439.58</v>
      </c>
      <c r="G40" s="31">
        <v>2.2400000000000002</v>
      </c>
      <c r="H40" s="31">
        <v>4.47</v>
      </c>
    </row>
    <row r="41" spans="2:8">
      <c r="B41" s="28" t="s">
        <v>80</v>
      </c>
      <c r="C41" s="28"/>
      <c r="D41" s="28"/>
      <c r="E41" s="48"/>
      <c r="F41" s="49">
        <f>SUM(F37:F40)</f>
        <v>9899.44</v>
      </c>
      <c r="G41" s="49">
        <f>SUM(G37:G40)</f>
        <v>9.08</v>
      </c>
      <c r="H41" s="50"/>
    </row>
    <row r="42" spans="2:8">
      <c r="B42" s="28" t="s">
        <v>92</v>
      </c>
      <c r="C42" s="29"/>
      <c r="D42" s="29"/>
      <c r="E42" s="30"/>
      <c r="F42" s="31"/>
      <c r="G42" s="31"/>
      <c r="H42" s="31"/>
    </row>
    <row r="43" spans="2:8">
      <c r="B43" s="29" t="s">
        <v>93</v>
      </c>
      <c r="C43" s="29" t="s">
        <v>94</v>
      </c>
      <c r="D43" s="29" t="s">
        <v>95</v>
      </c>
      <c r="E43" s="34">
        <v>500</v>
      </c>
      <c r="F43" s="31">
        <v>2487.13</v>
      </c>
      <c r="G43" s="31">
        <v>2.2799999999999998</v>
      </c>
      <c r="H43" s="31">
        <v>3.93</v>
      </c>
    </row>
    <row r="44" spans="2:8">
      <c r="B44" s="29" t="s">
        <v>96</v>
      </c>
      <c r="C44" s="29" t="s">
        <v>97</v>
      </c>
      <c r="D44" s="29" t="s">
        <v>89</v>
      </c>
      <c r="E44" s="34">
        <v>500</v>
      </c>
      <c r="F44" s="31">
        <v>2460.9499999999998</v>
      </c>
      <c r="G44" s="31">
        <v>2.2599999999999998</v>
      </c>
      <c r="H44" s="31">
        <v>4.5199999999999996</v>
      </c>
    </row>
    <row r="45" spans="2:8">
      <c r="B45" s="28" t="s">
        <v>80</v>
      </c>
      <c r="C45" s="28"/>
      <c r="D45" s="28"/>
      <c r="E45" s="48"/>
      <c r="F45" s="49">
        <f>SUM(F42:F44)</f>
        <v>4948.08</v>
      </c>
      <c r="G45" s="49">
        <f>SUM(G42:G44)</f>
        <v>4.5399999999999991</v>
      </c>
      <c r="H45" s="50"/>
    </row>
    <row r="46" spans="2:8">
      <c r="B46" s="28" t="s">
        <v>98</v>
      </c>
      <c r="C46" s="29"/>
      <c r="D46" s="29"/>
      <c r="E46" s="30"/>
      <c r="F46" s="31"/>
      <c r="G46" s="31"/>
      <c r="H46" s="31"/>
    </row>
    <row r="47" spans="2:8">
      <c r="B47" s="29" t="s">
        <v>99</v>
      </c>
      <c r="C47" s="29" t="s">
        <v>100</v>
      </c>
      <c r="D47" s="29" t="s">
        <v>101</v>
      </c>
      <c r="E47" s="34">
        <v>7500000</v>
      </c>
      <c r="F47" s="31">
        <v>7450.91</v>
      </c>
      <c r="G47" s="31">
        <v>6.83</v>
      </c>
      <c r="H47" s="31">
        <v>3.7</v>
      </c>
    </row>
    <row r="48" spans="2:8">
      <c r="B48" s="29" t="s">
        <v>102</v>
      </c>
      <c r="C48" s="29" t="s">
        <v>103</v>
      </c>
      <c r="D48" s="29" t="s">
        <v>101</v>
      </c>
      <c r="E48" s="34">
        <v>2500000</v>
      </c>
      <c r="F48" s="31">
        <v>2453.9699999999998</v>
      </c>
      <c r="G48" s="31">
        <v>2.25</v>
      </c>
      <c r="H48" s="31">
        <v>4.2</v>
      </c>
    </row>
    <row r="49" spans="2:8">
      <c r="B49" s="29" t="s">
        <v>104</v>
      </c>
      <c r="C49" s="29" t="s">
        <v>105</v>
      </c>
      <c r="D49" s="29" t="s">
        <v>101</v>
      </c>
      <c r="E49" s="34">
        <v>2500000</v>
      </c>
      <c r="F49" s="31">
        <v>2414.25</v>
      </c>
      <c r="G49" s="31">
        <v>2.21</v>
      </c>
      <c r="H49" s="31">
        <v>4.38</v>
      </c>
    </row>
    <row r="50" spans="2:8">
      <c r="B50" s="41" t="s">
        <v>80</v>
      </c>
      <c r="C50" s="41"/>
      <c r="D50" s="41"/>
      <c r="E50" s="42"/>
      <c r="F50" s="43">
        <f>SUM(F46:F49)</f>
        <v>12319.13</v>
      </c>
      <c r="G50" s="43">
        <f>SUM(G46:G49)</f>
        <v>11.29</v>
      </c>
      <c r="H50" s="44"/>
    </row>
    <row r="51" spans="2:8">
      <c r="B51" s="45" t="s">
        <v>81</v>
      </c>
      <c r="C51" s="45"/>
      <c r="D51" s="45"/>
      <c r="E51" s="46"/>
      <c r="F51" s="47">
        <f>F41+F45+F50</f>
        <v>27166.65</v>
      </c>
      <c r="G51" s="47">
        <f>G41+G45+G50</f>
        <v>24.909999999999997</v>
      </c>
      <c r="H51" s="47"/>
    </row>
    <row r="52" spans="2:8">
      <c r="B52" s="28" t="s">
        <v>106</v>
      </c>
      <c r="C52" s="29"/>
      <c r="D52" s="29"/>
      <c r="E52" s="30"/>
      <c r="F52" s="31"/>
      <c r="G52" s="31"/>
      <c r="H52" s="31"/>
    </row>
    <row r="53" spans="2:8">
      <c r="B53" s="29" t="s">
        <v>107</v>
      </c>
      <c r="C53" s="29" t="s">
        <v>108</v>
      </c>
      <c r="D53" s="29" t="s">
        <v>109</v>
      </c>
      <c r="E53" s="34">
        <v>13500000</v>
      </c>
      <c r="F53" s="31">
        <v>13755.02</v>
      </c>
      <c r="G53" s="31">
        <v>12.61</v>
      </c>
      <c r="H53" s="31">
        <v>4.41</v>
      </c>
    </row>
    <row r="54" spans="2:8">
      <c r="B54" s="29" t="s">
        <v>110</v>
      </c>
      <c r="C54" s="29" t="s">
        <v>111</v>
      </c>
      <c r="D54" s="29" t="s">
        <v>109</v>
      </c>
      <c r="E54" s="34">
        <v>5000000</v>
      </c>
      <c r="F54" s="31">
        <v>4984.7</v>
      </c>
      <c r="G54" s="31">
        <v>4.57</v>
      </c>
      <c r="H54" s="31">
        <v>4.41</v>
      </c>
    </row>
    <row r="55" spans="2:8">
      <c r="B55" s="51" t="s">
        <v>112</v>
      </c>
      <c r="C55" s="51" t="s">
        <v>113</v>
      </c>
      <c r="D55" s="51" t="s">
        <v>109</v>
      </c>
      <c r="E55" s="52">
        <v>2500000</v>
      </c>
      <c r="F55" s="53">
        <v>2522.69</v>
      </c>
      <c r="G55" s="53">
        <v>2.31</v>
      </c>
      <c r="H55" s="53">
        <v>3.84</v>
      </c>
    </row>
    <row r="56" spans="2:8">
      <c r="B56" s="54" t="s">
        <v>81</v>
      </c>
      <c r="C56" s="54"/>
      <c r="D56" s="54"/>
      <c r="E56" s="55"/>
      <c r="F56" s="49">
        <f>SUM(F53:F55)</f>
        <v>21262.41</v>
      </c>
      <c r="G56" s="49">
        <f>SUM(G53:G55)</f>
        <v>19.489999999999998</v>
      </c>
      <c r="H56" s="49"/>
    </row>
    <row r="57" spans="2:8">
      <c r="B57" s="28" t="s">
        <v>114</v>
      </c>
      <c r="C57" s="29"/>
      <c r="D57" s="29"/>
      <c r="E57" s="30"/>
      <c r="F57" s="31"/>
      <c r="G57" s="31"/>
      <c r="H57" s="31"/>
    </row>
    <row r="58" spans="2:8">
      <c r="B58" s="29" t="s">
        <v>114</v>
      </c>
      <c r="C58" s="29"/>
      <c r="D58" s="29"/>
      <c r="E58" s="30"/>
      <c r="F58" s="31">
        <v>4989.93</v>
      </c>
      <c r="G58" s="31">
        <v>4.58</v>
      </c>
      <c r="H58" s="31"/>
    </row>
    <row r="59" spans="2:8">
      <c r="B59" s="41" t="s">
        <v>80</v>
      </c>
      <c r="C59" s="41"/>
      <c r="D59" s="41"/>
      <c r="E59" s="42"/>
      <c r="F59" s="43">
        <f>SUM(F57:F58)</f>
        <v>4989.93</v>
      </c>
      <c r="G59" s="43">
        <f>SUM(G57:G58)</f>
        <v>4.58</v>
      </c>
      <c r="H59" s="44"/>
    </row>
    <row r="60" spans="2:8">
      <c r="B60" s="56" t="s">
        <v>81</v>
      </c>
      <c r="C60" s="56"/>
      <c r="D60" s="56"/>
      <c r="E60" s="57"/>
      <c r="F60" s="58">
        <f>F59</f>
        <v>4989.93</v>
      </c>
      <c r="G60" s="58">
        <f>G59</f>
        <v>4.58</v>
      </c>
      <c r="H60" s="58"/>
    </row>
    <row r="61" spans="2:8">
      <c r="B61" s="59" t="s">
        <v>115</v>
      </c>
      <c r="C61" s="59"/>
      <c r="D61" s="59"/>
      <c r="E61" s="60"/>
      <c r="F61" s="61">
        <f>F62-(+F35+F51+F56+F60)</f>
        <v>771.52999999999884</v>
      </c>
      <c r="G61" s="61">
        <f>G62-(+G35+G51+G56+G60)</f>
        <v>0.73000000000001819</v>
      </c>
      <c r="H61" s="61"/>
    </row>
    <row r="62" spans="2:8">
      <c r="B62" s="59" t="s">
        <v>116</v>
      </c>
      <c r="C62" s="59"/>
      <c r="D62" s="59"/>
      <c r="E62" s="60"/>
      <c r="F62" s="61">
        <v>109043.62</v>
      </c>
      <c r="G62" s="61">
        <v>100</v>
      </c>
      <c r="H62" s="61"/>
    </row>
    <row r="64" spans="2:8">
      <c r="B64" s="62" t="s">
        <v>117</v>
      </c>
    </row>
    <row r="65" spans="2:2">
      <c r="B65" s="62" t="s">
        <v>118</v>
      </c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2022-03-07T09:31:59Z</dcterms:created>
  <dcterms:modified xsi:type="dcterms:W3CDTF">2022-03-07T09:32:02Z</dcterms:modified>
</cp:coreProperties>
</file>