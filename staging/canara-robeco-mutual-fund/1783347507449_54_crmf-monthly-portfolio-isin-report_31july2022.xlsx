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0730" windowHeight="11160" tabRatio="749"/>
  </bookViews>
  <sheets>
    <sheet name="IN" sheetId="1" r:id="rId1"/>
    <sheet name="DV" sheetId="2" r:id="rId2"/>
    <sheet name="ET" sheetId="3" r:id="rId3"/>
    <sheet name="EQ" sheetId="4" r:id="rId4"/>
    <sheet name="CF" sheetId="5" r:id="rId5"/>
    <sheet name="LC" sheetId="6" r:id="rId6"/>
    <sheet name="FE" sheetId="8" r:id="rId7"/>
    <sheet name="SC" sheetId="7" r:id="rId8"/>
    <sheet name="VF" sheetId="9" r:id="rId9"/>
    <sheet name="GB" sheetId="10" r:id="rId10"/>
    <sheet name="DB" sheetId="11" r:id="rId11"/>
    <sheet name="GL" sheetId="12" r:id="rId12"/>
    <sheet name="IF" sheetId="13" r:id="rId13"/>
    <sheet name="FR" sheetId="14" r:id="rId14"/>
    <sheet name="MI" sheetId="15" r:id="rId15"/>
    <sheet name="GI" sheetId="16" r:id="rId16"/>
    <sheet name="LI" sheetId="17" r:id="rId17"/>
    <sheet name="TA" sheetId="18" r:id="rId18"/>
    <sheet name="OF" sheetId="19" r:id="rId19"/>
    <sheet name="CY" sheetId="20" r:id="rId20"/>
    <sheet name="MO" sheetId="21" r:id="rId2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5" i="21" l="1"/>
  <c r="G34" i="21"/>
  <c r="G35" i="21" s="1"/>
  <c r="F34" i="21"/>
  <c r="G31" i="21"/>
  <c r="F31" i="21"/>
  <c r="G25" i="21"/>
  <c r="G26" i="21"/>
  <c r="G36" i="21" s="1"/>
  <c r="F25" i="21"/>
  <c r="F26" i="21" s="1"/>
  <c r="F36" i="21" s="1"/>
  <c r="G42" i="20"/>
  <c r="F42" i="20"/>
  <c r="F43" i="20" s="1"/>
  <c r="G39" i="20"/>
  <c r="F39" i="20"/>
  <c r="G27" i="20"/>
  <c r="F27" i="20"/>
  <c r="G26" i="20"/>
  <c r="F26" i="20"/>
  <c r="G22" i="20"/>
  <c r="F22" i="20"/>
  <c r="F44" i="20" s="1"/>
  <c r="G21" i="20"/>
  <c r="F21" i="20"/>
  <c r="G7" i="19"/>
  <c r="G8" i="19" s="1"/>
  <c r="G9" i="19" s="1"/>
  <c r="F7" i="19"/>
  <c r="F8" i="19" s="1"/>
  <c r="F9" i="19" s="1"/>
  <c r="F42" i="18"/>
  <c r="G41" i="18"/>
  <c r="G42" i="18" s="1"/>
  <c r="F41" i="18"/>
  <c r="G38" i="18"/>
  <c r="F38" i="18"/>
  <c r="G33" i="18"/>
  <c r="F33" i="18"/>
  <c r="G28" i="18"/>
  <c r="G34" i="18" s="1"/>
  <c r="F28" i="18"/>
  <c r="F34" i="18" s="1"/>
  <c r="F22" i="18"/>
  <c r="F43" i="18" s="1"/>
  <c r="G21" i="18"/>
  <c r="G22" i="18" s="1"/>
  <c r="F21" i="18"/>
  <c r="G49" i="17"/>
  <c r="G48" i="17"/>
  <c r="F48" i="17"/>
  <c r="F49" i="17" s="1"/>
  <c r="G45" i="17"/>
  <c r="F45" i="17"/>
  <c r="G41" i="17"/>
  <c r="F41" i="17"/>
  <c r="G33" i="17"/>
  <c r="F33" i="17"/>
  <c r="F42" i="17" s="1"/>
  <c r="G21" i="17"/>
  <c r="G42" i="17" s="1"/>
  <c r="F21" i="17"/>
  <c r="F16" i="17"/>
  <c r="G15" i="17"/>
  <c r="G16" i="17" s="1"/>
  <c r="F15" i="17"/>
  <c r="G13" i="16"/>
  <c r="G12" i="16"/>
  <c r="F12" i="16"/>
  <c r="F13" i="16" s="1"/>
  <c r="F14" i="16" s="1"/>
  <c r="G9" i="16"/>
  <c r="G14" i="16" s="1"/>
  <c r="F9" i="16"/>
  <c r="G90" i="15"/>
  <c r="G89" i="15"/>
  <c r="F89" i="15"/>
  <c r="F90" i="15" s="1"/>
  <c r="G86" i="15"/>
  <c r="F86" i="15"/>
  <c r="F68" i="15"/>
  <c r="G67" i="15"/>
  <c r="G68" i="15" s="1"/>
  <c r="F67" i="15"/>
  <c r="F47" i="15"/>
  <c r="G46" i="15"/>
  <c r="G47" i="15" s="1"/>
  <c r="F46" i="15"/>
  <c r="G61" i="14"/>
  <c r="G60" i="14"/>
  <c r="F60" i="14"/>
  <c r="F61" i="14" s="1"/>
  <c r="G57" i="14"/>
  <c r="F57" i="14"/>
  <c r="G49" i="14"/>
  <c r="F49" i="14"/>
  <c r="G43" i="14"/>
  <c r="G50" i="14" s="1"/>
  <c r="F43" i="14"/>
  <c r="F50" i="14" s="1"/>
  <c r="G35" i="14"/>
  <c r="G34" i="14"/>
  <c r="F34" i="14"/>
  <c r="F35" i="14" s="1"/>
  <c r="F62" i="14" s="1"/>
  <c r="F29" i="13"/>
  <c r="G28" i="13"/>
  <c r="G29" i="13" s="1"/>
  <c r="F28" i="13"/>
  <c r="G25" i="13"/>
  <c r="F25" i="13"/>
  <c r="G12" i="13"/>
  <c r="G30" i="13" s="1"/>
  <c r="G11" i="13"/>
  <c r="F11" i="13"/>
  <c r="F12" i="13" s="1"/>
  <c r="F30" i="13" s="1"/>
  <c r="G19" i="12"/>
  <c r="F19" i="12"/>
  <c r="F20" i="12" s="1"/>
  <c r="F21" i="12" s="1"/>
  <c r="G16" i="12"/>
  <c r="F16" i="12"/>
  <c r="F19" i="11"/>
  <c r="G18" i="11"/>
  <c r="G19" i="11" s="1"/>
  <c r="G20" i="11" s="1"/>
  <c r="F18" i="11"/>
  <c r="G15" i="11"/>
  <c r="F15" i="11"/>
  <c r="F20" i="11" s="1"/>
  <c r="F119" i="10"/>
  <c r="G118" i="10"/>
  <c r="G119" i="10" s="1"/>
  <c r="F118" i="10"/>
  <c r="G115" i="10"/>
  <c r="F115" i="10"/>
  <c r="G94" i="10"/>
  <c r="F94" i="10"/>
  <c r="G91" i="10"/>
  <c r="G95" i="10" s="1"/>
  <c r="F91" i="10"/>
  <c r="F95" i="10" s="1"/>
  <c r="F86" i="10"/>
  <c r="G85" i="10"/>
  <c r="G86" i="10" s="1"/>
  <c r="F85" i="10"/>
  <c r="F59" i="10"/>
  <c r="F120" i="10" s="1"/>
  <c r="G58" i="10"/>
  <c r="G59" i="10" s="1"/>
  <c r="F58" i="10"/>
  <c r="G52" i="9"/>
  <c r="G53" i="9" s="1"/>
  <c r="F52" i="9"/>
  <c r="F53" i="9" s="1"/>
  <c r="G48" i="9"/>
  <c r="G49" i="9" s="1"/>
  <c r="F48" i="9"/>
  <c r="F49" i="9" s="1"/>
  <c r="G40" i="8"/>
  <c r="G41" i="8" s="1"/>
  <c r="F40" i="8"/>
  <c r="F41" i="8" s="1"/>
  <c r="G36" i="8"/>
  <c r="G37" i="8" s="1"/>
  <c r="F36" i="8"/>
  <c r="F37" i="8" s="1"/>
  <c r="F42" i="8" s="1"/>
  <c r="G78" i="7"/>
  <c r="G79" i="7" s="1"/>
  <c r="F78" i="7"/>
  <c r="F79" i="7" s="1"/>
  <c r="G74" i="7"/>
  <c r="G75" i="7" s="1"/>
  <c r="F74" i="7"/>
  <c r="F75" i="7" s="1"/>
  <c r="G57" i="6"/>
  <c r="G56" i="6"/>
  <c r="F56" i="6"/>
  <c r="F57" i="6" s="1"/>
  <c r="G53" i="6"/>
  <c r="G58" i="6" s="1"/>
  <c r="G52" i="6"/>
  <c r="F52" i="6"/>
  <c r="F53" i="6" s="1"/>
  <c r="G46" i="5"/>
  <c r="G47" i="5" s="1"/>
  <c r="F46" i="5"/>
  <c r="F47" i="5" s="1"/>
  <c r="G42" i="5"/>
  <c r="G43" i="5" s="1"/>
  <c r="F42" i="5"/>
  <c r="F43" i="5" s="1"/>
  <c r="G70" i="4"/>
  <c r="G71" i="4" s="1"/>
  <c r="F70" i="4"/>
  <c r="F71" i="4" s="1"/>
  <c r="G66" i="4"/>
  <c r="G67" i="4" s="1"/>
  <c r="F66" i="4"/>
  <c r="F67" i="4" s="1"/>
  <c r="F72" i="4" s="1"/>
  <c r="G65" i="3"/>
  <c r="G66" i="3" s="1"/>
  <c r="F65" i="3"/>
  <c r="F66" i="3" s="1"/>
  <c r="G61" i="3"/>
  <c r="G62" i="3" s="1"/>
  <c r="F61" i="3"/>
  <c r="F62" i="3" s="1"/>
  <c r="F67" i="3" s="1"/>
  <c r="G67" i="2"/>
  <c r="G68" i="2" s="1"/>
  <c r="F67" i="2"/>
  <c r="F68" i="2" s="1"/>
  <c r="G64" i="2"/>
  <c r="G63" i="2"/>
  <c r="F63" i="2"/>
  <c r="F64" i="2" s="1"/>
  <c r="G40" i="1"/>
  <c r="G41" i="1" s="1"/>
  <c r="F40" i="1"/>
  <c r="F41" i="1" s="1"/>
  <c r="G36" i="1"/>
  <c r="G37" i="1" s="1"/>
  <c r="F36" i="1"/>
  <c r="F37" i="1" s="1"/>
  <c r="F42" i="1" s="1"/>
  <c r="G20" i="12"/>
  <c r="G43" i="20"/>
  <c r="G21" i="12"/>
  <c r="G44" i="20"/>
  <c r="G50" i="17" l="1"/>
  <c r="G42" i="1"/>
  <c r="G62" i="14"/>
  <c r="F91" i="15"/>
  <c r="F50" i="17"/>
  <c r="G120" i="10"/>
  <c r="G91" i="15"/>
  <c r="F58" i="6"/>
  <c r="G43" i="18"/>
  <c r="F69" i="2"/>
  <c r="G72" i="4"/>
  <c r="F54" i="9"/>
  <c r="G54" i="9"/>
  <c r="G42" i="8"/>
  <c r="F80" i="7"/>
  <c r="G80" i="7"/>
  <c r="F48" i="5"/>
  <c r="G48" i="5"/>
  <c r="G67" i="3"/>
  <c r="G69" i="2"/>
</calcChain>
</file>

<file path=xl/sharedStrings.xml><?xml version="1.0" encoding="utf-8"?>
<sst xmlns="http://schemas.openxmlformats.org/spreadsheetml/2006/main" count="3398" uniqueCount="728">
  <si>
    <t>Name of the Instrument</t>
  </si>
  <si>
    <t>ISIN</t>
  </si>
  <si>
    <t>Quantity</t>
  </si>
  <si>
    <t>Market/Fair Value
 (Rs. in Lacs)</t>
  </si>
  <si>
    <t>% to Net
 Assets</t>
  </si>
  <si>
    <t>Industry / Rating</t>
  </si>
  <si>
    <t>Yield %</t>
  </si>
  <si>
    <t>Monthly Portfolio Statement as on July 31, 2022</t>
  </si>
  <si>
    <t>CANARA ROBECO INFRASTRUCTURE</t>
  </si>
  <si>
    <t>CANARA ROBECO FLEXICAP FUND</t>
  </si>
  <si>
    <t>CANARA ROBECO EQUITY TAX SAVER FUND</t>
  </si>
  <si>
    <t>CANARA ROBECO EMERGING EQUITIES</t>
  </si>
  <si>
    <t>CANARA ROBECO CONSUMER TRENDS FUND</t>
  </si>
  <si>
    <t>CANARA ROBECO BLUE CHIP EQUITY FUND</t>
  </si>
  <si>
    <t>CANARA ROBECO SMALL CAP FUND</t>
  </si>
  <si>
    <t>CANARA ROBECO FOCUSED EQUITY FUND</t>
  </si>
  <si>
    <t>CANARA ROBECO VALUE FUND</t>
  </si>
  <si>
    <t>CANARA ROBECO EQUITY HYBRID FUND</t>
  </si>
  <si>
    <t>CANARA ROBECO DYNAMIC BOND FUND</t>
  </si>
  <si>
    <t>CANARA ROBECO GILT FUND</t>
  </si>
  <si>
    <t>CANARA ROBECO INCOME FUND</t>
  </si>
  <si>
    <t>CANARA ROBECO SAVINGS FUND</t>
  </si>
  <si>
    <t>CANARA ROBECO CONSERVATIVE HYBRID FUND</t>
  </si>
  <si>
    <t>CANARA ROBECO GILT 1988</t>
  </si>
  <si>
    <t>CANARA ROBECO LIQUID FUND</t>
  </si>
  <si>
    <t>CANARA ROBECO ULTRA SHORT TERM FUND</t>
  </si>
  <si>
    <t>CANARA ROBECO OVERNIGHT FUND</t>
  </si>
  <si>
    <t>CANARA ROBECO SHORT DURATION FUND</t>
  </si>
  <si>
    <t>CANARA ROBECO CORPORATE BOND FUND</t>
  </si>
  <si>
    <t>Equity &amp; Equity related</t>
  </si>
  <si>
    <t>(a) Listed / awaiting listing on Stock Exchanges</t>
  </si>
  <si>
    <t>Bharat Electronics Ltd</t>
  </si>
  <si>
    <t>INE263A01024</t>
  </si>
  <si>
    <t>Aerospace &amp; Defense</t>
  </si>
  <si>
    <t>Larsen &amp; Toubro Ltd</t>
  </si>
  <si>
    <t>INE018A01030</t>
  </si>
  <si>
    <t>Construction</t>
  </si>
  <si>
    <t>Schaeffler India Ltd</t>
  </si>
  <si>
    <t>INE513A01022</t>
  </si>
  <si>
    <t>Auto Components</t>
  </si>
  <si>
    <t>Siemens Ltd</t>
  </si>
  <si>
    <t>INE003A01024</t>
  </si>
  <si>
    <t>Electrical Equipment</t>
  </si>
  <si>
    <t>ICICI Bank Ltd</t>
  </si>
  <si>
    <t>INE090A01021</t>
  </si>
  <si>
    <t>Banks</t>
  </si>
  <si>
    <t>Timken India Ltd</t>
  </si>
  <si>
    <t>INE325A01013</t>
  </si>
  <si>
    <t>Industrial Products</t>
  </si>
  <si>
    <t>Thermax Ltd</t>
  </si>
  <si>
    <t>INE152A01029</t>
  </si>
  <si>
    <t>ABB India Ltd</t>
  </si>
  <si>
    <t>INE117A01022</t>
  </si>
  <si>
    <t>State Bank of India</t>
  </si>
  <si>
    <t>INE062A01020</t>
  </si>
  <si>
    <t>KNR Constructions Ltd</t>
  </si>
  <si>
    <t>INE634I01029</t>
  </si>
  <si>
    <t>NTPC Ltd</t>
  </si>
  <si>
    <t>INE733E01010</t>
  </si>
  <si>
    <t>Power</t>
  </si>
  <si>
    <t>Power Grid Corporation of India Ltd</t>
  </si>
  <si>
    <t>INE752E01010</t>
  </si>
  <si>
    <t>Grindwell Norton Ltd</t>
  </si>
  <si>
    <t>INE536A01023</t>
  </si>
  <si>
    <t>Brigade Enterprises Ltd</t>
  </si>
  <si>
    <t>INE791I01019</t>
  </si>
  <si>
    <t>Realty</t>
  </si>
  <si>
    <t>Ahluwalia Contracts (India) Ltd</t>
  </si>
  <si>
    <t>INE758C01029</t>
  </si>
  <si>
    <t>TCI Express Ltd</t>
  </si>
  <si>
    <t>INE586V01016</t>
  </si>
  <si>
    <t>Transport Services</t>
  </si>
  <si>
    <t>Honeywell Automation India Ltd</t>
  </si>
  <si>
    <t>INE671A01010</t>
  </si>
  <si>
    <t>Industrial Manufacturing</t>
  </si>
  <si>
    <t>Container Corporation Of India Ltd</t>
  </si>
  <si>
    <t>INE111A01025</t>
  </si>
  <si>
    <t>Bosch Ltd</t>
  </si>
  <si>
    <t>INE323A01026</t>
  </si>
  <si>
    <t>PNC Infratech Ltd</t>
  </si>
  <si>
    <t>INE195J01029</t>
  </si>
  <si>
    <t>Reliance Industries Ltd</t>
  </si>
  <si>
    <t>INE002A01018</t>
  </si>
  <si>
    <t>Petroleum Products</t>
  </si>
  <si>
    <t>GAIL (India) Ltd</t>
  </si>
  <si>
    <t>INE129A01019</t>
  </si>
  <si>
    <t>Gas</t>
  </si>
  <si>
    <t>Indian Oil Corporation Ltd</t>
  </si>
  <si>
    <t>INE242A01010</t>
  </si>
  <si>
    <t>Hindalco Industries Ltd</t>
  </si>
  <si>
    <t>INE038A01020</t>
  </si>
  <si>
    <t>Non - Ferrous Metals</t>
  </si>
  <si>
    <t>Tata Steel Ltd</t>
  </si>
  <si>
    <t>INE081A01020</t>
  </si>
  <si>
    <t>Ferrous Metals</t>
  </si>
  <si>
    <t>J.K. Cement Ltd</t>
  </si>
  <si>
    <t>INE823G01014</t>
  </si>
  <si>
    <t>Cement &amp; Cement Products</t>
  </si>
  <si>
    <t>Ambuja Cements Ltd</t>
  </si>
  <si>
    <t>INE079A01024</t>
  </si>
  <si>
    <t>Gujarat Gas Ltd</t>
  </si>
  <si>
    <t>INE844O01030</t>
  </si>
  <si>
    <t>Ultratech Cement Ltd</t>
  </si>
  <si>
    <t>INE481G01011</t>
  </si>
  <si>
    <t>Sub Total</t>
  </si>
  <si>
    <t>Total</t>
  </si>
  <si>
    <t>TREPS</t>
  </si>
  <si>
    <t>Grand Total</t>
  </si>
  <si>
    <t>Net Receivables / (Payables)</t>
  </si>
  <si>
    <t>HDFC Bank Ltd</t>
  </si>
  <si>
    <t>INE040A01034</t>
  </si>
  <si>
    <t>Infosys Ltd</t>
  </si>
  <si>
    <t>INE009A01021</t>
  </si>
  <si>
    <t>IT - Software</t>
  </si>
  <si>
    <t>Axis Bank Ltd</t>
  </si>
  <si>
    <t>INE238A01034</t>
  </si>
  <si>
    <t>Bajaj Finance Ltd</t>
  </si>
  <si>
    <t>INE296A01024</t>
  </si>
  <si>
    <t>Finance</t>
  </si>
  <si>
    <t>Hindustan Unilever Ltd</t>
  </si>
  <si>
    <t>INE030A01027</t>
  </si>
  <si>
    <t>Diversified Fmcg</t>
  </si>
  <si>
    <t>Bharti Airtel Ltd</t>
  </si>
  <si>
    <t>INE397D01024</t>
  </si>
  <si>
    <t>Telecom - Services</t>
  </si>
  <si>
    <t>Maruti Suzuki India Ltd</t>
  </si>
  <si>
    <t>INE585B01010</t>
  </si>
  <si>
    <t>Automobiles</t>
  </si>
  <si>
    <t>Tata Consultancy Services Ltd</t>
  </si>
  <si>
    <t>INE467B01029</t>
  </si>
  <si>
    <t>Sun Pharmaceutical Industries Ltd</t>
  </si>
  <si>
    <t>INE044A01036</t>
  </si>
  <si>
    <t>Pharmaceuticals &amp; Biotechnology</t>
  </si>
  <si>
    <t>Kotak Mahindra Bank Ltd</t>
  </si>
  <si>
    <t>INE237A01028</t>
  </si>
  <si>
    <t>Avenue Supermarts Ltd</t>
  </si>
  <si>
    <t>INE192R01011</t>
  </si>
  <si>
    <t>Retailing</t>
  </si>
  <si>
    <t>Navin Fluorine International Ltd</t>
  </si>
  <si>
    <t>INE048G01026</t>
  </si>
  <si>
    <t>Chemicals &amp; Petrochemicals</t>
  </si>
  <si>
    <t>Tata Motors Ltd</t>
  </si>
  <si>
    <t>INE155A01022</t>
  </si>
  <si>
    <t>Minda Industries Ltd</t>
  </si>
  <si>
    <t>INE405E01023</t>
  </si>
  <si>
    <t>Titan Co Ltd</t>
  </si>
  <si>
    <t>INE280A01028</t>
  </si>
  <si>
    <t>Consumer Durables</t>
  </si>
  <si>
    <t>Max Healthcare Institute Ltd</t>
  </si>
  <si>
    <t>INE027H01010</t>
  </si>
  <si>
    <t>Healthcare Services</t>
  </si>
  <si>
    <t>Indian Hotels Co Ltd</t>
  </si>
  <si>
    <t>INE053A01029</t>
  </si>
  <si>
    <t>Leisure Services</t>
  </si>
  <si>
    <t>Max Financial Services Ltd</t>
  </si>
  <si>
    <t>INE180A01020</t>
  </si>
  <si>
    <t>Insurance</t>
  </si>
  <si>
    <t>Cholamandalam Investment and Finance Co Ltd</t>
  </si>
  <si>
    <t>INE121A01024</t>
  </si>
  <si>
    <t>Vinati Organics Ltd</t>
  </si>
  <si>
    <t>INE410B01037</t>
  </si>
  <si>
    <t>PI Industries Ltd</t>
  </si>
  <si>
    <t>INE603J01030</t>
  </si>
  <si>
    <t>Fertilizers &amp; Agrochemicals</t>
  </si>
  <si>
    <t>Tata Consumer Products Ltd</t>
  </si>
  <si>
    <t>INE192A01025</t>
  </si>
  <si>
    <t>Agricultural Food &amp; Other Products</t>
  </si>
  <si>
    <t>Atul Ltd</t>
  </si>
  <si>
    <t>INE100A01010</t>
  </si>
  <si>
    <t>Oberoi Realty Ltd</t>
  </si>
  <si>
    <t>INE093I01010</t>
  </si>
  <si>
    <t>Bharat Forge Ltd</t>
  </si>
  <si>
    <t>INE465A01025</t>
  </si>
  <si>
    <t>Mphasis Ltd</t>
  </si>
  <si>
    <t>INE356A01018</t>
  </si>
  <si>
    <t>Abbott India Ltd</t>
  </si>
  <si>
    <t>INE358A01014</t>
  </si>
  <si>
    <t>Sona Blw Precision Forgings Ltd</t>
  </si>
  <si>
    <t>INE073K01018</t>
  </si>
  <si>
    <t>Polycab India Ltd</t>
  </si>
  <si>
    <t>INE455K01017</t>
  </si>
  <si>
    <t>Housing Development Finance Corporation Ltd</t>
  </si>
  <si>
    <t>INE001A01036</t>
  </si>
  <si>
    <t>Can Fin Homes Ltd</t>
  </si>
  <si>
    <t>INE477A01020</t>
  </si>
  <si>
    <t>Bata India Ltd</t>
  </si>
  <si>
    <t>INE176A01028</t>
  </si>
  <si>
    <t>SBI Cards and Payment Services Ltd</t>
  </si>
  <si>
    <t>INE018E01016</t>
  </si>
  <si>
    <t>Voltas Ltd</t>
  </si>
  <si>
    <t>INE226A01021</t>
  </si>
  <si>
    <t>Gland Pharma Ltd</t>
  </si>
  <si>
    <t>INE068V01023</t>
  </si>
  <si>
    <t>HDFC Life Insurance Co Ltd</t>
  </si>
  <si>
    <t>INE795G01014</t>
  </si>
  <si>
    <t>HCL Technologies Ltd</t>
  </si>
  <si>
    <t>INE860A01027</t>
  </si>
  <si>
    <t>Asian Paints Ltd</t>
  </si>
  <si>
    <t>INE021A01026</t>
  </si>
  <si>
    <t>KEI Industries Ltd</t>
  </si>
  <si>
    <t>INE878B01027</t>
  </si>
  <si>
    <t>IPCA Laboratories Ltd</t>
  </si>
  <si>
    <t>INE571A01038</t>
  </si>
  <si>
    <t>Jubilant Foodworks Ltd</t>
  </si>
  <si>
    <t>INE797F01020</t>
  </si>
  <si>
    <t>Balkrishna Industries Ltd</t>
  </si>
  <si>
    <t>INE787D01026</t>
  </si>
  <si>
    <t>Divi's Laboratories Ltd</t>
  </si>
  <si>
    <t>INE361B01024</t>
  </si>
  <si>
    <t>Bharti Airtel Ltd - Partly Paid</t>
  </si>
  <si>
    <t>IN9397D01014</t>
  </si>
  <si>
    <t>United Spirits Ltd</t>
  </si>
  <si>
    <t>INE854D01024</t>
  </si>
  <si>
    <t>Beverages</t>
  </si>
  <si>
    <t>Page Industries Ltd</t>
  </si>
  <si>
    <t>INE761H01022</t>
  </si>
  <si>
    <t>Textiles &amp; Apparels</t>
  </si>
  <si>
    <t>Trent Ltd</t>
  </si>
  <si>
    <t>INE849A01020</t>
  </si>
  <si>
    <t>ZF Commercial Vehicle Control Systems India Ltd</t>
  </si>
  <si>
    <t>INE342J01019</t>
  </si>
  <si>
    <t>J.B. Chemicals &amp; Pharmaceuticals Ltd</t>
  </si>
  <si>
    <t>INE572A01028</t>
  </si>
  <si>
    <t>Godrej Consumer Products Ltd</t>
  </si>
  <si>
    <t>INE102D01028</t>
  </si>
  <si>
    <t>Personal Products</t>
  </si>
  <si>
    <t>SBI Life Insurance Co Ltd</t>
  </si>
  <si>
    <t>INE123W01016</t>
  </si>
  <si>
    <t>Bajaj Auto Ltd</t>
  </si>
  <si>
    <t>INE917I01010</t>
  </si>
  <si>
    <t>Aditya Birla Fashion and Retail Ltd</t>
  </si>
  <si>
    <t>INE647O01011</t>
  </si>
  <si>
    <t>City Union Bank Ltd</t>
  </si>
  <si>
    <t>INE491A01021</t>
  </si>
  <si>
    <t>Century Textile &amp; Industries Ltd</t>
  </si>
  <si>
    <t>INE055A01016</t>
  </si>
  <si>
    <t>Paper, Forest &amp; Jute Products</t>
  </si>
  <si>
    <t>TVS Motor Co Ltd</t>
  </si>
  <si>
    <t>INE494B01023</t>
  </si>
  <si>
    <t>AIA Engineering Ltd</t>
  </si>
  <si>
    <t>INE212H01026</t>
  </si>
  <si>
    <t>Ashok Leyland Ltd</t>
  </si>
  <si>
    <t>INE208A01029</t>
  </si>
  <si>
    <t>Agricultural, Commercial &amp; Construction Vehicles</t>
  </si>
  <si>
    <t>Whirlpool Of India Ltd</t>
  </si>
  <si>
    <t>INE716A01013</t>
  </si>
  <si>
    <t>Kansai Nerolac Paints Ltd</t>
  </si>
  <si>
    <t>INE531A01024</t>
  </si>
  <si>
    <t>Tata Communications Ltd</t>
  </si>
  <si>
    <t>INE151A01013</t>
  </si>
  <si>
    <t>LIC Housing Finance Ltd</t>
  </si>
  <si>
    <t>INE115A01026</t>
  </si>
  <si>
    <t>The Ramco Cements Ltd</t>
  </si>
  <si>
    <t>INE331A01037</t>
  </si>
  <si>
    <t>ITC Ltd</t>
  </si>
  <si>
    <t>INE154A01025</t>
  </si>
  <si>
    <t>United Breweries Ltd</t>
  </si>
  <si>
    <t>INE686F01025</t>
  </si>
  <si>
    <t>Havells India Ltd</t>
  </si>
  <si>
    <t>INE176B01034</t>
  </si>
  <si>
    <t>Westlife Development Ltd</t>
  </si>
  <si>
    <t>INE274F01020</t>
  </si>
  <si>
    <t>Apollo Hospitals Enterprise Ltd</t>
  </si>
  <si>
    <t>INE437A01024</t>
  </si>
  <si>
    <t>Varun Beverages Ltd</t>
  </si>
  <si>
    <t>INE200M01013</t>
  </si>
  <si>
    <t>Mahindra &amp; Mahindra Ltd</t>
  </si>
  <si>
    <t>INE101A01026</t>
  </si>
  <si>
    <t>Cipla Ltd</t>
  </si>
  <si>
    <t>INE059A01026</t>
  </si>
  <si>
    <t>Cera Sanitaryware Ltd</t>
  </si>
  <si>
    <t>INE739E01017</t>
  </si>
  <si>
    <t>MindTree Ltd</t>
  </si>
  <si>
    <t>INE018I01017</t>
  </si>
  <si>
    <t>VRL Logistics Ltd</t>
  </si>
  <si>
    <t>INE366I01010</t>
  </si>
  <si>
    <t>Creditaccess Grameen Ltd</t>
  </si>
  <si>
    <t>INE741K01010</t>
  </si>
  <si>
    <t>K.P.R. Mill Ltd</t>
  </si>
  <si>
    <t>INE930H01031</t>
  </si>
  <si>
    <t>Persistent Systems Ltd</t>
  </si>
  <si>
    <t>INE262H01013</t>
  </si>
  <si>
    <t>NOCIL Ltd</t>
  </si>
  <si>
    <t>INE163A01018</t>
  </si>
  <si>
    <t>Great Eastern Shipping Co Ltd</t>
  </si>
  <si>
    <t>INE017A01032</t>
  </si>
  <si>
    <t>EID Parry India Ltd</t>
  </si>
  <si>
    <t>INE126A01031</t>
  </si>
  <si>
    <t>Suven Pharmaceuticals Ltd</t>
  </si>
  <si>
    <t>INE03QK01018</t>
  </si>
  <si>
    <t>V.I.P. Industries Ltd</t>
  </si>
  <si>
    <t>INE054A01027</t>
  </si>
  <si>
    <t>Shriram City Union Finance Ltd</t>
  </si>
  <si>
    <t>INE722A01011</t>
  </si>
  <si>
    <t>Mahindra Lifespace Developers Ltd</t>
  </si>
  <si>
    <t>INE813A01018</t>
  </si>
  <si>
    <t>Mold Tek Packaging Ltd</t>
  </si>
  <si>
    <t>INE893J01029</t>
  </si>
  <si>
    <t>PVR Ltd</t>
  </si>
  <si>
    <t>INE191H01014</t>
  </si>
  <si>
    <t>Entertainment</t>
  </si>
  <si>
    <t>Greenpanel Industries Ltd</t>
  </si>
  <si>
    <t>INE08ZM01014</t>
  </si>
  <si>
    <t>Galaxy Surfactants Ltd</t>
  </si>
  <si>
    <t>INE600K01018</t>
  </si>
  <si>
    <t>Rhi Magnesita India Ltd</t>
  </si>
  <si>
    <t>INE743M01012</t>
  </si>
  <si>
    <t>Balrampur Chini Mills Ltd</t>
  </si>
  <si>
    <t>INE119A01028</t>
  </si>
  <si>
    <t>ICRA Ltd</t>
  </si>
  <si>
    <t>INE725G01011</t>
  </si>
  <si>
    <t>Capital Markets</t>
  </si>
  <si>
    <t>Teamlease Services Ltd</t>
  </si>
  <si>
    <t>INE985S01024</t>
  </si>
  <si>
    <t>Commercial Services &amp; Supplies</t>
  </si>
  <si>
    <t>KEC International Ltd</t>
  </si>
  <si>
    <t>INE389H01022</t>
  </si>
  <si>
    <t>Computer Age Management Services Ltd</t>
  </si>
  <si>
    <t>INE596I01012</t>
  </si>
  <si>
    <t>V-Guard Industries Ltd</t>
  </si>
  <si>
    <t>INE951I01027</t>
  </si>
  <si>
    <t>Indian Bank</t>
  </si>
  <si>
    <t>INE562A01011</t>
  </si>
  <si>
    <t>Equitas Holdings Ltd</t>
  </si>
  <si>
    <t>INE988K01017</t>
  </si>
  <si>
    <t>Angel One Ltd</t>
  </si>
  <si>
    <t>INE732I01013</t>
  </si>
  <si>
    <t>Vedant Fashions Ltd</t>
  </si>
  <si>
    <t>INE825V01034</t>
  </si>
  <si>
    <t>Rallis India Ltd</t>
  </si>
  <si>
    <t>INE613A01020</t>
  </si>
  <si>
    <t>Sobha Ltd</t>
  </si>
  <si>
    <t>INE671H01015</t>
  </si>
  <si>
    <t>V-Mart Retail Ltd</t>
  </si>
  <si>
    <t>INE665J01013</t>
  </si>
  <si>
    <t>Clean Science And Technology Ltd</t>
  </si>
  <si>
    <t>INE227W01023</t>
  </si>
  <si>
    <t>UTI Asset Management Co Ltd</t>
  </si>
  <si>
    <t>INE094J01016</t>
  </si>
  <si>
    <t>Subros Ltd</t>
  </si>
  <si>
    <t>INE287B01021</t>
  </si>
  <si>
    <t>DCB Bank Ltd</t>
  </si>
  <si>
    <t>INE503A01015</t>
  </si>
  <si>
    <t>Greenply Industries Ltd</t>
  </si>
  <si>
    <t>INE461C01038</t>
  </si>
  <si>
    <t>National Aluminium Co Ltd</t>
  </si>
  <si>
    <t>INE139A01034</t>
  </si>
  <si>
    <t>Greenlam Industries Ltd</t>
  </si>
  <si>
    <t>INE544R01021</t>
  </si>
  <si>
    <t>Indian Energy Exchange Ltd</t>
  </si>
  <si>
    <t>INE022Q01020</t>
  </si>
  <si>
    <t>Anand Rathi Wealth Ltd</t>
  </si>
  <si>
    <t>INE463V01026</t>
  </si>
  <si>
    <t>BSE Ltd</t>
  </si>
  <si>
    <t>INE118H01025</t>
  </si>
  <si>
    <t>EPL Ltd</t>
  </si>
  <si>
    <t>INE255A01020</t>
  </si>
  <si>
    <t>Fine Organic Industries Ltd</t>
  </si>
  <si>
    <t>INE686Y01026</t>
  </si>
  <si>
    <t>Central Depository Services (India) Ltd</t>
  </si>
  <si>
    <t>INE736A01011</t>
  </si>
  <si>
    <t>Deepak Nitrite Ltd</t>
  </si>
  <si>
    <t>INE288B01029</t>
  </si>
  <si>
    <t>Prudent Corporate Advisory Services Ltd</t>
  </si>
  <si>
    <t>INE00F201020</t>
  </si>
  <si>
    <t>Gulf Oil Lubricants India Ltd</t>
  </si>
  <si>
    <t>INE635Q01029</t>
  </si>
  <si>
    <t>Federal Bank Ltd</t>
  </si>
  <si>
    <t>INE171A01029</t>
  </si>
  <si>
    <t>Hindustan Petroleum Corporation Ltd</t>
  </si>
  <si>
    <t>INE094A01015</t>
  </si>
  <si>
    <t>JK Lakshmi Cement Ltd</t>
  </si>
  <si>
    <t>INE786A01032</t>
  </si>
  <si>
    <t>Grasim Industries Ltd</t>
  </si>
  <si>
    <t>INE047A01021</t>
  </si>
  <si>
    <t>Debt Instruments</t>
  </si>
  <si>
    <t>6.99% Housing Development Finance Corporation Ltd (13/02/2023) **</t>
  </si>
  <si>
    <t>INE001A07SH4</t>
  </si>
  <si>
    <t>CRISIL AAA</t>
  </si>
  <si>
    <t>4.96% LIC Housing Finance Ltd (14/09/2023) **</t>
  </si>
  <si>
    <t>INE115A07OZ3</t>
  </si>
  <si>
    <t>CARE AAA</t>
  </si>
  <si>
    <t>7.69% National Bank For Agriculture &amp; Rural Development (29/05/2024) **</t>
  </si>
  <si>
    <t>INE261F08BK1</t>
  </si>
  <si>
    <t>5.32% LIC Housing Finance Ltd (30/11/2023) **</t>
  </si>
  <si>
    <t>INE115A07PO4</t>
  </si>
  <si>
    <t>8.50% National Bank For Agriculture &amp; Rural Development (31/01/2023) **</t>
  </si>
  <si>
    <t>INE261F08AT4</t>
  </si>
  <si>
    <t>7.25% Larsen &amp; Toubro Ltd (24/04/2023)</t>
  </si>
  <si>
    <t>INE018A08AY9</t>
  </si>
  <si>
    <t>7.21% Housing Development Finance Corporation Ltd (30/12/2022) **</t>
  </si>
  <si>
    <t>INE001A07SD3</t>
  </si>
  <si>
    <t>7.50% Housing Development Finance Corporation Ltd (08/01/2025) **</t>
  </si>
  <si>
    <t>INE001A07SE1</t>
  </si>
  <si>
    <t>7.17% Reliance Industries Ltd (08/11/2022) **</t>
  </si>
  <si>
    <t>INE002A08500</t>
  </si>
  <si>
    <t>5.35% LIC Housing Finance Ltd (20/03/2023)</t>
  </si>
  <si>
    <t>INE115A07PC9</t>
  </si>
  <si>
    <t>7.99% Housing Development Finance Corporation Ltd (11/07/2024) **</t>
  </si>
  <si>
    <t>INE001A07RV7</t>
  </si>
  <si>
    <t>7.39% LIC Housing Finance Ltd (30/08/2022) **</t>
  </si>
  <si>
    <t>INE115A07MJ1</t>
  </si>
  <si>
    <t>7.45% REC Ltd (30/11/2022) **</t>
  </si>
  <si>
    <t>INE020B08AP1</t>
  </si>
  <si>
    <t>8.33% LIC Housing Finance Ltd (31/05/2024) **</t>
  </si>
  <si>
    <t>INE115A07OE8</t>
  </si>
  <si>
    <t>7.79% LIC Housing Finance Ltd (18/10/2024) **</t>
  </si>
  <si>
    <t>INE115A07OM1</t>
  </si>
  <si>
    <t>7.09% REC Ltd (13/12/2022) **</t>
  </si>
  <si>
    <t>INE020B08CD3</t>
  </si>
  <si>
    <t>6.27% Small Industries Development Bank Of India (27/02/2023) **</t>
  </si>
  <si>
    <t>INE556F08JP6</t>
  </si>
  <si>
    <t>ICRA AAA</t>
  </si>
  <si>
    <t>7.33% LIC Housing Finance Ltd (12/02/2025) **</t>
  </si>
  <si>
    <t>INE115A07OS8</t>
  </si>
  <si>
    <t>7.85% Power Finance Corporation Ltd (03/04/2028) **</t>
  </si>
  <si>
    <t>INE134E08JP5</t>
  </si>
  <si>
    <t>8.13% Power Grid Corporation of India Ltd (25/04/2024) **</t>
  </si>
  <si>
    <t>INE752E07NQ6</t>
  </si>
  <si>
    <t>7.75% LIC Housing Finance Ltd (23/07/2024) **</t>
  </si>
  <si>
    <t>INE115A07OL3</t>
  </si>
  <si>
    <t>5.72% LIC Housing Finance Ltd (22/02/2024) **</t>
  </si>
  <si>
    <t>INE115A07PB1</t>
  </si>
  <si>
    <t>8.22% National Bank For Agriculture &amp; Rural Development (13/12/2028) **</t>
  </si>
  <si>
    <t>INE261F08AV0</t>
  </si>
  <si>
    <t>Money Market Instruments</t>
  </si>
  <si>
    <t>Certificate of Deposit</t>
  </si>
  <si>
    <t>Axis Bank Ltd (09/12/2022) ** #</t>
  </si>
  <si>
    <t>INE238A166X7</t>
  </si>
  <si>
    <t>CRISIL A1+</t>
  </si>
  <si>
    <t>HDFC Bank Ltd (06/03/2023) ** #</t>
  </si>
  <si>
    <t>INE040A16CX4</t>
  </si>
  <si>
    <t>CARE A1+</t>
  </si>
  <si>
    <t>Commercial Paper</t>
  </si>
  <si>
    <t>INE556F14ID2</t>
  </si>
  <si>
    <t>Government Bonds</t>
  </si>
  <si>
    <t>5.74% GOI (15/11/2026)</t>
  </si>
  <si>
    <t>IN0020210186</t>
  </si>
  <si>
    <t>Sovereign</t>
  </si>
  <si>
    <t>5.63% GOI (12/04/2026)</t>
  </si>
  <si>
    <t>IN0020210012</t>
  </si>
  <si>
    <t>7.32% GOI (28/01/2024)</t>
  </si>
  <si>
    <t>IN0020180488</t>
  </si>
  <si>
    <t>7.35% INDIA GOVERNMENT 22-JUN-24</t>
  </si>
  <si>
    <t>IN0020090034</t>
  </si>
  <si>
    <t>4.48% GOI (02/11/2023)</t>
  </si>
  <si>
    <t>IN0020200211</t>
  </si>
  <si>
    <t>7.38% GOI 20-JUN-27</t>
  </si>
  <si>
    <t>IN0020220037</t>
  </si>
  <si>
    <t>7.16% INDIA GOVERNMENT 20-MAY-23</t>
  </si>
  <si>
    <t>IN0020130012</t>
  </si>
  <si>
    <t>6.54% GOI 17-JAN-32</t>
  </si>
  <si>
    <t>IN0020210244</t>
  </si>
  <si>
    <t>5.22% INDIA GOVERNMENT 15-JUN-25</t>
  </si>
  <si>
    <t>IN0020200112</t>
  </si>
  <si>
    <t>6.69% GOI 27-JUN-24</t>
  </si>
  <si>
    <t>IN0020220052</t>
  </si>
  <si>
    <t>6.18% INDIA GOVERNMENT 04-NOV-24</t>
  </si>
  <si>
    <t>IN0020190396</t>
  </si>
  <si>
    <t>5.15% INDIA GOVERNMENT 09-NOV-25</t>
  </si>
  <si>
    <t>IN0020200278</t>
  </si>
  <si>
    <t>6.84% GUJARAT SDL 08-SEP-31</t>
  </si>
  <si>
    <t>IN1520210106</t>
  </si>
  <si>
    <t>7.59% GOI (11/01/2026)</t>
  </si>
  <si>
    <t>IN0020150093</t>
  </si>
  <si>
    <t>7.54% GOI 23-MAY-36</t>
  </si>
  <si>
    <t>IN0020220029</t>
  </si>
  <si>
    <t>6.79% GOI (15/05/2027)</t>
  </si>
  <si>
    <t>IN0020170026</t>
  </si>
  <si>
    <t>8.24% GOI (15/02/2027)</t>
  </si>
  <si>
    <t>IN0020060078</t>
  </si>
  <si>
    <t>8.15% GOI (24/11/2026)</t>
  </si>
  <si>
    <t>IN0020140060</t>
  </si>
  <si>
    <t>#  Unlisted Security</t>
  </si>
  <si>
    <t>7.27% INDIA GOVERNMENT 08-APR-26</t>
  </si>
  <si>
    <t>IN0020190016</t>
  </si>
  <si>
    <t>7.10% GOI 18-APR-29</t>
  </si>
  <si>
    <t>IN0020220011</t>
  </si>
  <si>
    <t>6.68% GOI (17/09/2031)</t>
  </si>
  <si>
    <t>IN0020170042</t>
  </si>
  <si>
    <t>4.56% GOI 29-NOV-23</t>
  </si>
  <si>
    <t>IN0020210210</t>
  </si>
  <si>
    <t>8.34% UTTAR PRADESH SDL 13-JAN-26</t>
  </si>
  <si>
    <t>IN3320150359</t>
  </si>
  <si>
    <t>7.26% INDIA GOVERNMENT 14-JAN-29</t>
  </si>
  <si>
    <t>IN0020180454</t>
  </si>
  <si>
    <t>8.13% GOI (22/06/2045)</t>
  </si>
  <si>
    <t>IN0020150044</t>
  </si>
  <si>
    <t>8.70% Power Finance Corporation Ltd (14/05/2025) **</t>
  </si>
  <si>
    <t>INE134E08CY2</t>
  </si>
  <si>
    <t>8.79% LIC Housing Finance Ltd (05/03/2024) **</t>
  </si>
  <si>
    <t>INE115A07NY8</t>
  </si>
  <si>
    <t>8.13% Power Grid Corporation of India Ltd (25/04/2023) **</t>
  </si>
  <si>
    <t>INE752E07NP8</t>
  </si>
  <si>
    <t>8.47% Maharashtra SDL 10-Feb-26</t>
  </si>
  <si>
    <t>IN2220150188</t>
  </si>
  <si>
    <t>8.0818% KOTAK MAHINDRA PRIME LTD 28-DEC-22 **</t>
  </si>
  <si>
    <t>INE916DA7QF9</t>
  </si>
  <si>
    <t>6.19% Indian Railway Finance Corporation Ltd (28/04/2023) **</t>
  </si>
  <si>
    <t>INE053F07CC9</t>
  </si>
  <si>
    <t>7.00% Reliance Industries Ltd (31/08/2022) **</t>
  </si>
  <si>
    <t>INE002A08476</t>
  </si>
  <si>
    <t>4.66% Bajaj Finance Ltd (02/12/2022) **</t>
  </si>
  <si>
    <t>INE296A07RM2</t>
  </si>
  <si>
    <t>7.57% HDB Financial Services Ltd (16/02/2023) **</t>
  </si>
  <si>
    <t>INE756I07CY5</t>
  </si>
  <si>
    <t>7.35% Power Finance Corporation Ltd (15/10/2022) **</t>
  </si>
  <si>
    <t>INE134E08KG2</t>
  </si>
  <si>
    <t>7.10% Bajaj Finance Ltd (10/02/2023) **</t>
  </si>
  <si>
    <t>INE296A07RB5</t>
  </si>
  <si>
    <t>6.59% Indian Railway Finance Corporation Ltd (14/04/2023) **</t>
  </si>
  <si>
    <t>INE053F07BZ2</t>
  </si>
  <si>
    <t>7.10% Power Finance Corporation Ltd (08/08/2022) **</t>
  </si>
  <si>
    <t>INE134E08JD1</t>
  </si>
  <si>
    <t>4.95% Housing Development Finance Corporation Ltd (09/09/2022) **</t>
  </si>
  <si>
    <t>INE001A07SQ5</t>
  </si>
  <si>
    <t>5.05% Indian Oil Corporation Ltd (25/11/2022) **</t>
  </si>
  <si>
    <t>INE242A08460</t>
  </si>
  <si>
    <t>5.40% Housing Development Finance Corporation Ltd (11/08/2023) **</t>
  </si>
  <si>
    <t>INE001A07SP7</t>
  </si>
  <si>
    <t>7.86% LIC Housing Finance Ltd (19/09/2023) **</t>
  </si>
  <si>
    <t>INE115A07KJ5</t>
  </si>
  <si>
    <t>7.6351% KOTAK MAHINDRA PRIME LTD 23-FEB-23 **</t>
  </si>
  <si>
    <t>INE916DA7QG7</t>
  </si>
  <si>
    <t>4.58% Small Industries Development Bank Of India (18/12/2023) **</t>
  </si>
  <si>
    <t>INE556F08JR2</t>
  </si>
  <si>
    <t>7.49% Power Grid Corporation of India Ltd (25/10/2024) **</t>
  </si>
  <si>
    <t>INE752E08593</t>
  </si>
  <si>
    <t>9.02% REC Ltd (19/11/2022) **</t>
  </si>
  <si>
    <t>INE020B08807</t>
  </si>
  <si>
    <t>7.85% LIC Housing Finance Ltd (16/12/2022) **</t>
  </si>
  <si>
    <t>INE115A07MS2</t>
  </si>
  <si>
    <t>7.45% LIC Housing Finance Ltd (17/10/2022) **</t>
  </si>
  <si>
    <t>INE115A07MO1</t>
  </si>
  <si>
    <t>7.24% REC Ltd (31/12/2022)</t>
  </si>
  <si>
    <t>INE020B08CG6</t>
  </si>
  <si>
    <t>6.98% National Bank For Agriculture &amp; Rural Development (19/09/2022)</t>
  </si>
  <si>
    <t>INE261F08BO3</t>
  </si>
  <si>
    <t>6.99% Small Industries Development Bank Of India (08/08/2022) **</t>
  </si>
  <si>
    <t>INE556F08JN1</t>
  </si>
  <si>
    <t>Kotak Mahindra Bank Ltd (13/02/2023) ** #</t>
  </si>
  <si>
    <t>INE237A165P6</t>
  </si>
  <si>
    <t>Axis Bank Ltd (19/09/2022) ** #</t>
  </si>
  <si>
    <t>INE238A160X0</t>
  </si>
  <si>
    <t>Axis Bank Ltd (16/11/2022) ** #</t>
  </si>
  <si>
    <t>INE238A169W3</t>
  </si>
  <si>
    <t>National Bank For Agriculture &amp; Rural Development (14/02/2023) #</t>
  </si>
  <si>
    <t>INE261F16645</t>
  </si>
  <si>
    <t>IND A1+</t>
  </si>
  <si>
    <t>Treasury Bill</t>
  </si>
  <si>
    <t>364 DAYS TREASURY BILLS 19-JAN-23</t>
  </si>
  <si>
    <t>IN002021Z442</t>
  </si>
  <si>
    <t xml:space="preserve"> Sovereign</t>
  </si>
  <si>
    <t>364 DAYS TREASURY BILLS 08-DEC-22</t>
  </si>
  <si>
    <t>IN002021Z376</t>
  </si>
  <si>
    <t>364 DAYS TREASURY BILLS 08-JUN-23</t>
  </si>
  <si>
    <t>IN002022Z101</t>
  </si>
  <si>
    <t>364 DAYS TREASURY BILLS 22-DEC-22</t>
  </si>
  <si>
    <t>IN002021Z392</t>
  </si>
  <si>
    <t>7.75% TAMIL NADU SDL UDAY 22-FEB-23</t>
  </si>
  <si>
    <t>IN3120160244</t>
  </si>
  <si>
    <t>9.37% GUJARAT SDL 04-DEC-23</t>
  </si>
  <si>
    <t>IN1520130130</t>
  </si>
  <si>
    <t>Britannia Industries Ltd</t>
  </si>
  <si>
    <t>INE216A01030</t>
  </si>
  <si>
    <t>Food Products</t>
  </si>
  <si>
    <t>CG Power and Industrial Solutions Ltd</t>
  </si>
  <si>
    <t>INE067A01029</t>
  </si>
  <si>
    <t>7.5549% HDB FINANCIAL SERVICES 20-JAN-23 **</t>
  </si>
  <si>
    <t>INE756I07CZ2</t>
  </si>
  <si>
    <t>7.28% Housing Development Finance Corporation Ltd (26/09/2022) **</t>
  </si>
  <si>
    <t>INE001A07RZ8</t>
  </si>
  <si>
    <t>5.4022% BAJAJ FINANCE LTD 10-APR-23 **</t>
  </si>
  <si>
    <t>INE296A07RQ3</t>
  </si>
  <si>
    <t>5.70% Bajaj Finance Ltd (11/08/2023) **</t>
  </si>
  <si>
    <t>INE296A07RG4</t>
  </si>
  <si>
    <t>5.39% Sundaram Finance Ltd (21/06/2024) **</t>
  </si>
  <si>
    <t>INE660A07QX8</t>
  </si>
  <si>
    <t>7.40% LIC Housing Finance Ltd (06/09/2024) **</t>
  </si>
  <si>
    <t>INE115A07ML7</t>
  </si>
  <si>
    <t>6.30% INDIA GOVERNMENT 09-APR-23</t>
  </si>
  <si>
    <t>IN0020030014</t>
  </si>
  <si>
    <t>9.25% MAHARASHTRA SDL 09-OCT-23</t>
  </si>
  <si>
    <t>IN2220130099</t>
  </si>
  <si>
    <t>7.72% GOI (26/10/2055)</t>
  </si>
  <si>
    <t>IN0020150077</t>
  </si>
  <si>
    <t>7.18% National Bank For Agriculture &amp; Rural Development (08/08/2022) **</t>
  </si>
  <si>
    <t>INE261F08BN5</t>
  </si>
  <si>
    <t>7.55% REC Ltd (26/09/2022) **</t>
  </si>
  <si>
    <t>INE020B08CB7</t>
  </si>
  <si>
    <t>8.45% Power Finance Corporation Ltd (11/08/2022) **</t>
  </si>
  <si>
    <t>INE134E08JU5</t>
  </si>
  <si>
    <t>Axis Bank Ltd (29/08/2022) #</t>
  </si>
  <si>
    <t>INE238A169Y9</t>
  </si>
  <si>
    <t>HDFC Bank Ltd (06/10/2022) ** #</t>
  </si>
  <si>
    <t>INE040A16DA0</t>
  </si>
  <si>
    <t>INE081A14CT1</t>
  </si>
  <si>
    <t>INE929O14610</t>
  </si>
  <si>
    <t>INE110L14QY5</t>
  </si>
  <si>
    <t>INE242A14WU5</t>
  </si>
  <si>
    <t>ICRA A1+</t>
  </si>
  <si>
    <t>INE261F14IS7</t>
  </si>
  <si>
    <t>INE700G14CJ4</t>
  </si>
  <si>
    <t>INE306N14TL6</t>
  </si>
  <si>
    <t>INE115A14DI8</t>
  </si>
  <si>
    <t>INE094A14JA9</t>
  </si>
  <si>
    <t>INE929O14586</t>
  </si>
  <si>
    <t>182 DAYS TREASURY BILLS 25-AUG-22</t>
  </si>
  <si>
    <t>IN002021Y502</t>
  </si>
  <si>
    <t>182 DAYS TREASURY BILLS 15-SEP-22</t>
  </si>
  <si>
    <t>IN002021Y536</t>
  </si>
  <si>
    <t>182 DAYS TREASURY BILLS 04-AUG-22</t>
  </si>
  <si>
    <t>IN002021Y478</t>
  </si>
  <si>
    <t>91 DAYS TREASURY BILLS 11-AUG-22</t>
  </si>
  <si>
    <t>IN002022X064</t>
  </si>
  <si>
    <t>91 DAYS TREASURY BILLS 04-AUG-22</t>
  </si>
  <si>
    <t>IN002022X056</t>
  </si>
  <si>
    <t>182 DAYS TREASURY BILLS 01-SEP-22</t>
  </si>
  <si>
    <t>IN002021Y510</t>
  </si>
  <si>
    <t>8.08% INDIA GOVERNMENT 02-AUG-22</t>
  </si>
  <si>
    <t>IN0020070028</t>
  </si>
  <si>
    <t>6.72% National Bank For Agriculture &amp; Rural Development (14/04/2023) **</t>
  </si>
  <si>
    <t>INE261F08BW6</t>
  </si>
  <si>
    <t>7.42% Sundaram Finance Ltd (03/04/2023) **</t>
  </si>
  <si>
    <t>INE660A07QF5</t>
  </si>
  <si>
    <t>7.03% REC Ltd (07/09/2022) **</t>
  </si>
  <si>
    <t>INE020B08AK2</t>
  </si>
  <si>
    <t>7.35% Power Finance Corporation Ltd (22/11/2022) **</t>
  </si>
  <si>
    <t>INE134E08JF6</t>
  </si>
  <si>
    <t>HDFC Bank Ltd (17/08/2022) #</t>
  </si>
  <si>
    <t>INE040A16CI5</t>
  </si>
  <si>
    <t>ICICI Bank Ltd (22/08/2022) ** #</t>
  </si>
  <si>
    <t>INE090A165X6</t>
  </si>
  <si>
    <t>Small Industries Development Bank of India (22/02/2023) ** #</t>
  </si>
  <si>
    <t>INE556F16937</t>
  </si>
  <si>
    <t>182 DAYS TREASURY BILLS 08-DEC-22</t>
  </si>
  <si>
    <t>IN002022Y104</t>
  </si>
  <si>
    <t>182 DAYS TREASURY BILLS 05-JAN-23</t>
  </si>
  <si>
    <t>IN002022Y146</t>
  </si>
  <si>
    <t>8.21% RAJASTHAN SDL UDAY 31-MAR-23</t>
  </si>
  <si>
    <t>IN2920150421</t>
  </si>
  <si>
    <t>8.91% UTTAR PRADESH SDL 20-SEP-22</t>
  </si>
  <si>
    <t>IN3320120063</t>
  </si>
  <si>
    <t>5.32% National Housing Bank (01/09/2023)</t>
  </si>
  <si>
    <t>INE557F08FK3</t>
  </si>
  <si>
    <t>6.50% Power Finance Corporation Ltd (17/09/2025) **</t>
  </si>
  <si>
    <t>INE134E08LD7</t>
  </si>
  <si>
    <t>5.00% Kotak Mahindra Prime Ltd (20/12/2023) **</t>
  </si>
  <si>
    <t>INE916DA7QS2</t>
  </si>
  <si>
    <t>7.16% Power Finance Corporation Ltd (24/04/2025) **</t>
  </si>
  <si>
    <t>INE134E08KP3</t>
  </si>
  <si>
    <t>7.05% National Housing Bank (18/12/2024) **</t>
  </si>
  <si>
    <t>INE557F08FG1</t>
  </si>
  <si>
    <t>8.72% ANDHRA PRADESH SDL 06-FEB-23</t>
  </si>
  <si>
    <t>IN1020120185</t>
  </si>
  <si>
    <t>8.62% MAHARASHTRA SDL 06-MAR-23</t>
  </si>
  <si>
    <t>IN2220120116</t>
  </si>
  <si>
    <t>7.58% TAMIL NADU SDL 24-AUG-26</t>
  </si>
  <si>
    <t>IN3120160095</t>
  </si>
  <si>
    <t>7.86% Karnataka SDL 15-Mar-27</t>
  </si>
  <si>
    <t>IN1920160117</t>
  </si>
  <si>
    <t>8.83% Indian Railway Finance Corporation Ltd (25/03/2023) **</t>
  </si>
  <si>
    <t>INE053F07603</t>
  </si>
  <si>
    <t>8.73% NTPC Ltd (07/03/2023) **</t>
  </si>
  <si>
    <t>INE733E07JC4</t>
  </si>
  <si>
    <t>6.72% Power Finance Corporation Ltd (09/06/2023)</t>
  </si>
  <si>
    <t>INE134E08KW9</t>
  </si>
  <si>
    <t>9.35% Power Grid Corporation of India Ltd (29/08/2023) **</t>
  </si>
  <si>
    <t>INE752E07IT0</t>
  </si>
  <si>
    <t>7.60% Grasim Industries Ltd (04/06/2024) **</t>
  </si>
  <si>
    <t>INE047A08158</t>
  </si>
  <si>
    <t>5.10% Sundaram Finance Ltd (01/12/2023) **</t>
  </si>
  <si>
    <t>INE660A07QQ2</t>
  </si>
  <si>
    <t>8.84% MAHARASHTRA SDL 17-OCT-22</t>
  </si>
  <si>
    <t>IN2220120058</t>
  </si>
  <si>
    <t>**  Non Traded Security</t>
  </si>
  <si>
    <t>Small Industries Development Bank Of India (31/10/2022) **</t>
  </si>
  <si>
    <t xml:space="preserve">Tata Steel Ltd (30/08/2022) ** </t>
  </si>
  <si>
    <t xml:space="preserve">Reliance Retail Ventures Ltd (09/09/2022) ** </t>
  </si>
  <si>
    <t xml:space="preserve">Reliance Jio Infocomm Ltd (28/10/2022) ** </t>
  </si>
  <si>
    <t xml:space="preserve">Indian Oil Corporation Ltd (12/09/2022) ** </t>
  </si>
  <si>
    <t xml:space="preserve">National Bank For Agriculture &amp; Rural Development (30/08/2022) ** </t>
  </si>
  <si>
    <t xml:space="preserve">HDFC Securities Ltd (28/09/2022) ** </t>
  </si>
  <si>
    <t xml:space="preserve">Tata Capital Financial Services Ltd (10/08/2022) ** </t>
  </si>
  <si>
    <t xml:space="preserve">LIC Housing Finance Ltd (12/08/2022) ** </t>
  </si>
  <si>
    <t xml:space="preserve">Hindustan Petroleum Corporation Ltd (30/08/2022) ** </t>
  </si>
  <si>
    <t xml:space="preserve">Reliance Retail Ventures Ltd (07/09/2022) ** </t>
  </si>
  <si>
    <t>Market Capitalization</t>
  </si>
  <si>
    <t>Large Cap</t>
  </si>
  <si>
    <t>Mid Cap</t>
  </si>
  <si>
    <t>Small Cap</t>
  </si>
  <si>
    <t>Benchmark: S&amp;P BSE India Infrastructure TRI</t>
  </si>
  <si>
    <t>Scheme Risk-o-meter Level- Jul'22</t>
  </si>
  <si>
    <t>Benchmark Risk-o-meter Level- Jul'22</t>
  </si>
  <si>
    <t>Previous Scheme Risk-o-meter Level- Jun'22</t>
  </si>
  <si>
    <t>Benchmark: S&amp;P BSE 500 TRI</t>
  </si>
  <si>
    <t>Benchmark: S&amp;P BSE 500 Index TRI</t>
  </si>
  <si>
    <t>Benchmark: Nifty Large Midcap 250 TRI</t>
  </si>
  <si>
    <t>Benchmark: S&amp;P BSE 100 TRI</t>
  </si>
  <si>
    <t>Benchmark: Nifty Smallcap 250 Index TRI</t>
  </si>
  <si>
    <t>Benchmark: CRISIL Hybrid 35+65 - Aggressive Index</t>
  </si>
  <si>
    <t>Potential Risk Class (PRC) Matrix</t>
  </si>
  <si>
    <t>Credit Risk →</t>
  </si>
  <si>
    <t>Relatively Low (Class A)</t>
  </si>
  <si>
    <t>Moderate (Class B)</t>
  </si>
  <si>
    <t>Relatively High (Class C)</t>
  </si>
  <si>
    <t>Interest Rate Risk ↓</t>
  </si>
  <si>
    <t>Relatively Low (Class I)</t>
  </si>
  <si>
    <t>Moderate 
(Class II)</t>
  </si>
  <si>
    <t>Relatively High (Class III)</t>
  </si>
  <si>
    <t>B-III</t>
  </si>
  <si>
    <t>Benchmark: CRISIL Dynamic Bond Fund B-III Index</t>
  </si>
  <si>
    <t>A-III</t>
  </si>
  <si>
    <t>Benchmark: CRISIL Dynamic Gilt Index</t>
  </si>
  <si>
    <t>Benchmark: CRISIL Medium to Long Duration Fund B-III Index</t>
  </si>
  <si>
    <t>B-I</t>
  </si>
  <si>
    <t>Benchmark: CRISIL Low Duration Fund B-I Index</t>
  </si>
  <si>
    <t>Benchmark: CRISIL Hybrid 85+15 - Conservative Index</t>
  </si>
  <si>
    <t>A-I</t>
  </si>
  <si>
    <t>Benchmark: CRISIL Liquid Fund A-I Index</t>
  </si>
  <si>
    <t>Benchmark: CRISIL Ultra Short Duration Fund B-I Index</t>
  </si>
  <si>
    <t>Relatively High 
(Class C)</t>
  </si>
  <si>
    <t>Moderate (Class II)</t>
  </si>
  <si>
    <t>Benchmark: CRISIL Overnight Fund A-I Index</t>
  </si>
  <si>
    <t>B-II</t>
  </si>
  <si>
    <t>Benchmark: CRISIL Short Duration Fund B-II Index</t>
  </si>
  <si>
    <t>Benchmark: CRISIL Corporate Bond Fund B-III Index</t>
  </si>
  <si>
    <t>Note: The risk-o-meter level of  scheme is revised based on the Notice-cum-Addendum No.26., dated 05/08/2022.. However, there is no change in the product labelling of the schemes.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</si>
</sst>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b/>
      <sz val="9"/>
      <color indexed="72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Taz SemiLight"/>
      <family val="2"/>
    </font>
    <font>
      <i/>
      <sz val="10"/>
      <color theme="1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98">
    <xf numFmtId="0" fontId="0" fillId="0" borderId="0" xfId="0"/>
    <xf numFmtId="0" fontId="7" fillId="2" borderId="0" xfId="0" applyFont="1" applyFill="1"/>
    <xf numFmtId="0" fontId="3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NumberFormat="1" applyFont="1" applyFill="1" applyAlignment="1">
      <alignment horizontal="left" vertical="top" wrapText="1"/>
    </xf>
    <xf numFmtId="4" fontId="5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0" fontId="7" fillId="2" borderId="0" xfId="0" applyNumberFormat="1" applyFont="1" applyFill="1"/>
    <xf numFmtId="4" fontId="7" fillId="2" borderId="0" xfId="0" applyNumberFormat="1" applyFont="1" applyFill="1"/>
    <xf numFmtId="0" fontId="8" fillId="2" borderId="0" xfId="0" applyFont="1" applyFill="1"/>
    <xf numFmtId="4" fontId="8" fillId="2" borderId="0" xfId="0" applyNumberFormat="1" applyFont="1" applyFill="1"/>
    <xf numFmtId="4" fontId="8" fillId="2" borderId="4" xfId="0" applyNumberFormat="1" applyFont="1" applyFill="1" applyBorder="1"/>
    <xf numFmtId="0" fontId="8" fillId="2" borderId="5" xfId="0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4" fontId="7" fillId="2" borderId="6" xfId="0" applyNumberFormat="1" applyFont="1" applyFill="1" applyBorder="1"/>
    <xf numFmtId="4" fontId="7" fillId="2" borderId="7" xfId="0" applyNumberFormat="1" applyFont="1" applyFill="1" applyBorder="1"/>
    <xf numFmtId="0" fontId="8" fillId="2" borderId="8" xfId="0" applyFont="1" applyFill="1" applyBorder="1"/>
    <xf numFmtId="0" fontId="7" fillId="2" borderId="9" xfId="0" applyFont="1" applyFill="1" applyBorder="1"/>
    <xf numFmtId="0" fontId="7" fillId="2" borderId="9" xfId="0" applyNumberFormat="1" applyFont="1" applyFill="1" applyBorder="1"/>
    <xf numFmtId="4" fontId="7" fillId="2" borderId="9" xfId="0" applyNumberFormat="1" applyFont="1" applyFill="1" applyBorder="1"/>
    <xf numFmtId="4" fontId="7" fillId="2" borderId="10" xfId="0" applyNumberFormat="1" applyFont="1" applyFill="1" applyBorder="1"/>
    <xf numFmtId="0" fontId="7" fillId="2" borderId="8" xfId="0" applyFont="1" applyFill="1" applyBorder="1"/>
    <xf numFmtId="3" fontId="7" fillId="2" borderId="9" xfId="0" applyNumberFormat="1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0" fontId="8" fillId="2" borderId="12" xfId="0" applyNumberFormat="1" applyFont="1" applyFill="1" applyBorder="1"/>
    <xf numFmtId="4" fontId="8" fillId="2" borderId="13" xfId="0" applyNumberFormat="1" applyFont="1" applyFill="1" applyBorder="1"/>
    <xf numFmtId="4" fontId="8" fillId="2" borderId="14" xfId="0" applyNumberFormat="1" applyFont="1" applyFill="1" applyBorder="1"/>
    <xf numFmtId="0" fontId="8" fillId="2" borderId="15" xfId="0" applyFont="1" applyFill="1" applyBorder="1"/>
    <xf numFmtId="0" fontId="8" fillId="2" borderId="15" xfId="0" applyNumberFormat="1" applyFont="1" applyFill="1" applyBorder="1"/>
    <xf numFmtId="4" fontId="8" fillId="2" borderId="15" xfId="0" applyNumberFormat="1" applyFont="1" applyFill="1" applyBorder="1"/>
    <xf numFmtId="0" fontId="8" fillId="2" borderId="16" xfId="0" applyFont="1" applyFill="1" applyBorder="1"/>
    <xf numFmtId="0" fontId="8" fillId="2" borderId="16" xfId="0" applyNumberFormat="1" applyFont="1" applyFill="1" applyBorder="1"/>
    <xf numFmtId="4" fontId="8" fillId="2" borderId="16" xfId="0" applyNumberFormat="1" applyFont="1" applyFill="1" applyBorder="1"/>
    <xf numFmtId="0" fontId="8" fillId="2" borderId="17" xfId="0" applyFont="1" applyFill="1" applyBorder="1"/>
    <xf numFmtId="0" fontId="7" fillId="2" borderId="18" xfId="0" applyFont="1" applyFill="1" applyBorder="1"/>
    <xf numFmtId="0" fontId="7" fillId="2" borderId="18" xfId="0" applyNumberFormat="1" applyFont="1" applyFill="1" applyBorder="1"/>
    <xf numFmtId="4" fontId="7" fillId="2" borderId="18" xfId="0" applyNumberFormat="1" applyFont="1" applyFill="1" applyBorder="1"/>
    <xf numFmtId="0" fontId="8" fillId="2" borderId="4" xfId="0" applyFont="1" applyFill="1" applyBorder="1"/>
    <xf numFmtId="0" fontId="8" fillId="2" borderId="4" xfId="0" applyNumberFormat="1" applyFont="1" applyFill="1" applyBorder="1"/>
    <xf numFmtId="0" fontId="8" fillId="2" borderId="18" xfId="0" applyFont="1" applyFill="1" applyBorder="1"/>
    <xf numFmtId="0" fontId="8" fillId="2" borderId="9" xfId="0" applyFont="1" applyFill="1" applyBorder="1"/>
    <xf numFmtId="4" fontId="8" fillId="2" borderId="12" xfId="0" applyNumberFormat="1" applyFont="1" applyFill="1" applyBorder="1"/>
    <xf numFmtId="0" fontId="8" fillId="2" borderId="19" xfId="0" applyFont="1" applyFill="1" applyBorder="1"/>
    <xf numFmtId="0" fontId="8" fillId="2" borderId="19" xfId="0" applyNumberFormat="1" applyFont="1" applyFill="1" applyBorder="1"/>
    <xf numFmtId="4" fontId="8" fillId="2" borderId="19" xfId="0" applyNumberFormat="1" applyFont="1" applyFill="1" applyBorder="1"/>
    <xf numFmtId="0" fontId="8" fillId="2" borderId="9" xfId="0" applyNumberFormat="1" applyFont="1" applyFill="1" applyBorder="1"/>
    <xf numFmtId="4" fontId="8" fillId="2" borderId="20" xfId="0" applyNumberFormat="1" applyFont="1" applyFill="1" applyBorder="1"/>
    <xf numFmtId="4" fontId="8" fillId="2" borderId="9" xfId="0" applyNumberFormat="1" applyFont="1" applyFill="1" applyBorder="1"/>
    <xf numFmtId="0" fontId="7" fillId="2" borderId="21" xfId="0" applyFont="1" applyFill="1" applyBorder="1"/>
    <xf numFmtId="3" fontId="7" fillId="2" borderId="21" xfId="0" applyNumberFormat="1" applyFont="1" applyFill="1" applyBorder="1"/>
    <xf numFmtId="4" fontId="7" fillId="2" borderId="21" xfId="0" applyNumberFormat="1" applyFont="1" applyFill="1" applyBorder="1"/>
    <xf numFmtId="0" fontId="8" fillId="2" borderId="20" xfId="0" applyFont="1" applyFill="1" applyBorder="1"/>
    <xf numFmtId="0" fontId="8" fillId="2" borderId="20" xfId="0" applyNumberFormat="1" applyFont="1" applyFill="1" applyBorder="1"/>
    <xf numFmtId="0" fontId="8" fillId="2" borderId="6" xfId="0" applyFont="1" applyFill="1" applyBorder="1"/>
    <xf numFmtId="0" fontId="1" fillId="3" borderId="0" xfId="0" applyFont="1" applyFill="1" applyBorder="1" applyAlignment="1">
      <alignment horizontal="center" vertical="center" wrapText="1"/>
    </xf>
    <xf numFmtId="43" fontId="7" fillId="2" borderId="0" xfId="1" applyFont="1" applyFill="1"/>
    <xf numFmtId="4" fontId="7" fillId="2" borderId="0" xfId="0" applyNumberFormat="1" applyFont="1" applyFill="1" applyBorder="1"/>
    <xf numFmtId="4" fontId="8" fillId="2" borderId="0" xfId="0" applyNumberFormat="1" applyFont="1" applyFill="1" applyBorder="1"/>
    <xf numFmtId="0" fontId="1" fillId="3" borderId="0" xfId="0" applyFont="1" applyFill="1" applyBorder="1" applyAlignment="1">
      <alignment horizontal="center" vertical="center" wrapText="1"/>
    </xf>
    <xf numFmtId="4" fontId="2" fillId="2" borderId="23" xfId="0" applyNumberFormat="1" applyFont="1" applyFill="1" applyBorder="1" applyAlignment="1">
      <alignment horizontal="center" vertical="center" wrapText="1"/>
    </xf>
    <xf numFmtId="4" fontId="2" fillId="2" borderId="24" xfId="0" applyNumberFormat="1" applyFont="1" applyFill="1" applyBorder="1" applyAlignment="1">
      <alignment horizontal="center" vertical="center" wrapText="1"/>
    </xf>
    <xf numFmtId="4" fontId="7" fillId="2" borderId="25" xfId="0" applyNumberFormat="1" applyFont="1" applyFill="1" applyBorder="1"/>
    <xf numFmtId="4" fontId="7" fillId="2" borderId="26" xfId="0" applyNumberFormat="1" applyFont="1" applyFill="1" applyBorder="1"/>
    <xf numFmtId="4" fontId="7" fillId="2" borderId="27" xfId="0" applyNumberFormat="1" applyFont="1" applyFill="1" applyBorder="1"/>
    <xf numFmtId="4" fontId="7" fillId="2" borderId="28" xfId="0" applyNumberFormat="1" applyFont="1" applyFill="1" applyBorder="1"/>
    <xf numFmtId="0" fontId="7" fillId="2" borderId="27" xfId="0" applyFont="1" applyFill="1" applyBorder="1"/>
    <xf numFmtId="0" fontId="9" fillId="0" borderId="4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left" vertical="top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43" fontId="7" fillId="2" borderId="4" xfId="1" applyFont="1" applyFill="1" applyBorder="1" applyAlignment="1">
      <alignment horizontal="center"/>
    </xf>
    <xf numFmtId="43" fontId="7" fillId="2" borderId="29" xfId="1" applyFont="1" applyFill="1" applyBorder="1" applyAlignment="1">
      <alignment horizontal="center"/>
    </xf>
    <xf numFmtId="43" fontId="7" fillId="2" borderId="30" xfId="1" applyFont="1" applyFill="1" applyBorder="1" applyAlignment="1">
      <alignment horizontal="center"/>
    </xf>
    <xf numFmtId="43" fontId="7" fillId="2" borderId="31" xfId="1" applyFont="1" applyFill="1" applyBorder="1" applyAlignment="1">
      <alignment horizontal="center"/>
    </xf>
    <xf numFmtId="0" fontId="8" fillId="0" borderId="4" xfId="0" applyFont="1" applyBorder="1" applyAlignment="1">
      <alignment horizontal="left" wrapText="1"/>
    </xf>
    <xf numFmtId="0" fontId="7" fillId="0" borderId="2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8" fillId="4" borderId="29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left" wrapText="1"/>
    </xf>
    <xf numFmtId="0" fontId="8" fillId="0" borderId="32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0" borderId="34" xfId="0" applyFont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29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6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51196</xdr:colOff>
      <xdr:row>4</xdr:row>
      <xdr:rowOff>57150</xdr:rowOff>
    </xdr:from>
    <xdr:to>
      <xdr:col>10</xdr:col>
      <xdr:colOff>1695450</xdr:colOff>
      <xdr:row>11</xdr:row>
      <xdr:rowOff>104775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3671" y="1047750"/>
          <a:ext cx="1644254" cy="1114425"/>
        </a:xfrm>
        <a:prstGeom prst="rect">
          <a:avLst/>
        </a:prstGeom>
      </xdr:spPr>
    </xdr:pic>
    <xdr:clientData/>
  </xdr:twoCellAnchor>
  <xdr:twoCellAnchor editAs="oneCell">
    <xdr:from>
      <xdr:col>9</xdr:col>
      <xdr:colOff>49203</xdr:colOff>
      <xdr:row>4</xdr:row>
      <xdr:rowOff>57150</xdr:rowOff>
    </xdr:from>
    <xdr:to>
      <xdr:col>9</xdr:col>
      <xdr:colOff>1724025</xdr:colOff>
      <xdr:row>11</xdr:row>
      <xdr:rowOff>95250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45703" y="1047750"/>
          <a:ext cx="1674822" cy="1104900"/>
        </a:xfrm>
        <a:prstGeom prst="rect">
          <a:avLst/>
        </a:prstGeom>
      </xdr:spPr>
    </xdr:pic>
    <xdr:clientData/>
  </xdr:twoCellAnchor>
  <xdr:oneCellAnchor>
    <xdr:from>
      <xdr:col>11</xdr:col>
      <xdr:colOff>39831</xdr:colOff>
      <xdr:row>4</xdr:row>
      <xdr:rowOff>57150</xdr:rowOff>
    </xdr:from>
    <xdr:ext cx="1665144" cy="1104900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60631" y="1047750"/>
          <a:ext cx="1665144" cy="11049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41673</xdr:colOff>
      <xdr:row>4</xdr:row>
      <xdr:rowOff>41427</xdr:rowOff>
    </xdr:from>
    <xdr:to>
      <xdr:col>10</xdr:col>
      <xdr:colOff>1685925</xdr:colOff>
      <xdr:row>11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4123" y="1127277"/>
          <a:ext cx="1644252" cy="1120623"/>
        </a:xfrm>
        <a:prstGeom prst="rect">
          <a:avLst/>
        </a:prstGeom>
      </xdr:spPr>
    </xdr:pic>
    <xdr:clientData/>
  </xdr:twoCellAnchor>
  <xdr:twoCellAnchor editAs="oneCell">
    <xdr:from>
      <xdr:col>9</xdr:col>
      <xdr:colOff>24816</xdr:colOff>
      <xdr:row>4</xdr:row>
      <xdr:rowOff>21055</xdr:rowOff>
    </xdr:from>
    <xdr:to>
      <xdr:col>9</xdr:col>
      <xdr:colOff>1724025</xdr:colOff>
      <xdr:row>11</xdr:row>
      <xdr:rowOff>125594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73716" y="1106905"/>
          <a:ext cx="1699209" cy="1171339"/>
        </a:xfrm>
        <a:prstGeom prst="rect">
          <a:avLst/>
        </a:prstGeom>
      </xdr:spPr>
    </xdr:pic>
    <xdr:clientData/>
  </xdr:twoCellAnchor>
  <xdr:oneCellAnchor>
    <xdr:from>
      <xdr:col>11</xdr:col>
      <xdr:colOff>10340</xdr:colOff>
      <xdr:row>4</xdr:row>
      <xdr:rowOff>64090</xdr:rowOff>
    </xdr:from>
    <xdr:ext cx="1774839" cy="1059859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07315" y="1149940"/>
          <a:ext cx="1774839" cy="105985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57149</xdr:colOff>
      <xdr:row>4</xdr:row>
      <xdr:rowOff>66676</xdr:rowOff>
    </xdr:from>
    <xdr:to>
      <xdr:col>10</xdr:col>
      <xdr:colOff>1895475</xdr:colOff>
      <xdr:row>11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399" y="1057276"/>
          <a:ext cx="1838326" cy="1038224"/>
        </a:xfrm>
        <a:prstGeom prst="rect">
          <a:avLst/>
        </a:prstGeom>
      </xdr:spPr>
    </xdr:pic>
    <xdr:clientData/>
  </xdr:twoCellAnchor>
  <xdr:twoCellAnchor editAs="oneCell">
    <xdr:from>
      <xdr:col>9</xdr:col>
      <xdr:colOff>62390</xdr:colOff>
      <xdr:row>4</xdr:row>
      <xdr:rowOff>66766</xdr:rowOff>
    </xdr:from>
    <xdr:to>
      <xdr:col>9</xdr:col>
      <xdr:colOff>1914525</xdr:colOff>
      <xdr:row>11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16065" y="1057366"/>
          <a:ext cx="1852135" cy="1076234"/>
        </a:xfrm>
        <a:prstGeom prst="rect">
          <a:avLst/>
        </a:prstGeom>
      </xdr:spPr>
    </xdr:pic>
    <xdr:clientData/>
  </xdr:twoCellAnchor>
  <xdr:oneCellAnchor>
    <xdr:from>
      <xdr:col>11</xdr:col>
      <xdr:colOff>36340</xdr:colOff>
      <xdr:row>4</xdr:row>
      <xdr:rowOff>36815</xdr:rowOff>
    </xdr:from>
    <xdr:ext cx="1782935" cy="113476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0990" y="1027415"/>
          <a:ext cx="1782935" cy="113476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78580</xdr:colOff>
      <xdr:row>4</xdr:row>
      <xdr:rowOff>66675</xdr:rowOff>
    </xdr:from>
    <xdr:to>
      <xdr:col>10</xdr:col>
      <xdr:colOff>1790699</xdr:colOff>
      <xdr:row>11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70705" y="1057275"/>
          <a:ext cx="1712119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34340</xdr:colOff>
      <xdr:row>4</xdr:row>
      <xdr:rowOff>49630</xdr:rowOff>
    </xdr:from>
    <xdr:to>
      <xdr:col>9</xdr:col>
      <xdr:colOff>1914525</xdr:colOff>
      <xdr:row>11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9065" y="1040230"/>
          <a:ext cx="1880185" cy="1121945"/>
        </a:xfrm>
        <a:prstGeom prst="rect">
          <a:avLst/>
        </a:prstGeom>
      </xdr:spPr>
    </xdr:pic>
    <xdr:clientData/>
  </xdr:twoCellAnchor>
  <xdr:oneCellAnchor>
    <xdr:from>
      <xdr:col>11</xdr:col>
      <xdr:colOff>95862</xdr:colOff>
      <xdr:row>4</xdr:row>
      <xdr:rowOff>15212</xdr:rowOff>
    </xdr:from>
    <xdr:ext cx="1742463" cy="1145896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69187" y="1005812"/>
          <a:ext cx="1742463" cy="114589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78580</xdr:colOff>
      <xdr:row>4</xdr:row>
      <xdr:rowOff>66675</xdr:rowOff>
    </xdr:from>
    <xdr:to>
      <xdr:col>10</xdr:col>
      <xdr:colOff>1790699</xdr:colOff>
      <xdr:row>11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65930" y="1057275"/>
          <a:ext cx="1712119" cy="1123950"/>
        </a:xfrm>
        <a:prstGeom prst="rect">
          <a:avLst/>
        </a:prstGeom>
      </xdr:spPr>
    </xdr:pic>
    <xdr:clientData/>
  </xdr:twoCellAnchor>
  <xdr:twoCellAnchor editAs="oneCell">
    <xdr:from>
      <xdr:col>9</xdr:col>
      <xdr:colOff>34340</xdr:colOff>
      <xdr:row>4</xdr:row>
      <xdr:rowOff>49630</xdr:rowOff>
    </xdr:from>
    <xdr:to>
      <xdr:col>9</xdr:col>
      <xdr:colOff>1914525</xdr:colOff>
      <xdr:row>11</xdr:row>
      <xdr:rowOff>104775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9065" y="1040230"/>
          <a:ext cx="1880185" cy="1121945"/>
        </a:xfrm>
        <a:prstGeom prst="rect">
          <a:avLst/>
        </a:prstGeom>
      </xdr:spPr>
    </xdr:pic>
    <xdr:clientData/>
  </xdr:twoCellAnchor>
  <xdr:oneCellAnchor>
    <xdr:from>
      <xdr:col>11</xdr:col>
      <xdr:colOff>95862</xdr:colOff>
      <xdr:row>4</xdr:row>
      <xdr:rowOff>15212</xdr:rowOff>
    </xdr:from>
    <xdr:ext cx="1742463" cy="1145896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54887" y="1005812"/>
          <a:ext cx="1742463" cy="114589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85727</xdr:colOff>
      <xdr:row>4</xdr:row>
      <xdr:rowOff>28576</xdr:rowOff>
    </xdr:from>
    <xdr:to>
      <xdr:col>10</xdr:col>
      <xdr:colOff>1647825</xdr:colOff>
      <xdr:row>11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3902" y="1019176"/>
          <a:ext cx="1562098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</xdr:row>
      <xdr:rowOff>19049</xdr:rowOff>
    </xdr:from>
    <xdr:to>
      <xdr:col>9</xdr:col>
      <xdr:colOff>1695450</xdr:colOff>
      <xdr:row>11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1009649"/>
          <a:ext cx="1657350" cy="1123951"/>
        </a:xfrm>
        <a:prstGeom prst="rect">
          <a:avLst/>
        </a:prstGeom>
      </xdr:spPr>
    </xdr:pic>
    <xdr:clientData/>
  </xdr:twoCellAnchor>
  <xdr:oneCellAnchor>
    <xdr:from>
      <xdr:col>11</xdr:col>
      <xdr:colOff>66675</xdr:colOff>
      <xdr:row>4</xdr:row>
      <xdr:rowOff>57149</xdr:rowOff>
    </xdr:from>
    <xdr:ext cx="1581150" cy="109537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0325" y="1047749"/>
          <a:ext cx="1581150" cy="1095375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74195</xdr:colOff>
      <xdr:row>4</xdr:row>
      <xdr:rowOff>47972</xdr:rowOff>
    </xdr:from>
    <xdr:ext cx="1621255" cy="1123603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7345" y="1038572"/>
          <a:ext cx="1621255" cy="1123603"/>
        </a:xfrm>
        <a:prstGeom prst="rect">
          <a:avLst/>
        </a:prstGeom>
      </xdr:spPr>
    </xdr:pic>
    <xdr:clientData/>
  </xdr:oneCellAnchor>
  <xdr:twoCellAnchor editAs="oneCell">
    <xdr:from>
      <xdr:col>10</xdr:col>
      <xdr:colOff>96629</xdr:colOff>
      <xdr:row>4</xdr:row>
      <xdr:rowOff>51949</xdr:rowOff>
    </xdr:from>
    <xdr:to>
      <xdr:col>10</xdr:col>
      <xdr:colOff>1685925</xdr:colOff>
      <xdr:row>11</xdr:row>
      <xdr:rowOff>104775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36229" y="1042549"/>
          <a:ext cx="1589296" cy="1119626"/>
        </a:xfrm>
        <a:prstGeom prst="rect">
          <a:avLst/>
        </a:prstGeom>
      </xdr:spPr>
    </xdr:pic>
    <xdr:clientData/>
  </xdr:twoCellAnchor>
  <xdr:twoCellAnchor editAs="oneCell">
    <xdr:from>
      <xdr:col>9</xdr:col>
      <xdr:colOff>84551</xdr:colOff>
      <xdr:row>4</xdr:row>
      <xdr:rowOff>59155</xdr:rowOff>
    </xdr:from>
    <xdr:to>
      <xdr:col>9</xdr:col>
      <xdr:colOff>1704974</xdr:colOff>
      <xdr:row>11</xdr:row>
      <xdr:rowOff>95251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90601" y="1049755"/>
          <a:ext cx="1620423" cy="110289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85725</xdr:colOff>
      <xdr:row>4</xdr:row>
      <xdr:rowOff>31853</xdr:rowOff>
    </xdr:from>
    <xdr:ext cx="1600199" cy="113284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30325" y="1022453"/>
          <a:ext cx="1600199" cy="1132845"/>
        </a:xfrm>
        <a:prstGeom prst="rect">
          <a:avLst/>
        </a:prstGeom>
      </xdr:spPr>
    </xdr:pic>
    <xdr:clientData/>
  </xdr:oneCellAnchor>
  <xdr:twoCellAnchor editAs="oneCell">
    <xdr:from>
      <xdr:col>10</xdr:col>
      <xdr:colOff>47743</xdr:colOff>
      <xdr:row>4</xdr:row>
      <xdr:rowOff>56524</xdr:rowOff>
    </xdr:from>
    <xdr:to>
      <xdr:col>10</xdr:col>
      <xdr:colOff>1714500</xdr:colOff>
      <xdr:row>11</xdr:row>
      <xdr:rowOff>93685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5443" y="1047124"/>
          <a:ext cx="1666757" cy="1103961"/>
        </a:xfrm>
        <a:prstGeom prst="rect">
          <a:avLst/>
        </a:prstGeom>
      </xdr:spPr>
    </xdr:pic>
    <xdr:clientData/>
  </xdr:twoCellAnchor>
  <xdr:twoCellAnchor editAs="oneCell">
    <xdr:from>
      <xdr:col>9</xdr:col>
      <xdr:colOff>96986</xdr:colOff>
      <xdr:row>4</xdr:row>
      <xdr:rowOff>54717</xdr:rowOff>
    </xdr:from>
    <xdr:to>
      <xdr:col>9</xdr:col>
      <xdr:colOff>1666875</xdr:colOff>
      <xdr:row>11</xdr:row>
      <xdr:rowOff>123824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3986" y="1045317"/>
          <a:ext cx="1569889" cy="113590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55810</xdr:colOff>
      <xdr:row>4</xdr:row>
      <xdr:rowOff>79527</xdr:rowOff>
    </xdr:from>
    <xdr:to>
      <xdr:col>10</xdr:col>
      <xdr:colOff>1714499</xdr:colOff>
      <xdr:row>11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3535" y="1070127"/>
          <a:ext cx="1658689" cy="1092048"/>
        </a:xfrm>
        <a:prstGeom prst="rect">
          <a:avLst/>
        </a:prstGeom>
      </xdr:spPr>
    </xdr:pic>
    <xdr:clientData/>
  </xdr:twoCellAnchor>
  <xdr:twoCellAnchor editAs="oneCell">
    <xdr:from>
      <xdr:col>9</xdr:col>
      <xdr:colOff>41995</xdr:colOff>
      <xdr:row>4</xdr:row>
      <xdr:rowOff>104776</xdr:rowOff>
    </xdr:from>
    <xdr:to>
      <xdr:col>9</xdr:col>
      <xdr:colOff>1771650</xdr:colOff>
      <xdr:row>11</xdr:row>
      <xdr:rowOff>104776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57570" y="1095376"/>
          <a:ext cx="1729655" cy="1066800"/>
        </a:xfrm>
        <a:prstGeom prst="rect">
          <a:avLst/>
        </a:prstGeom>
      </xdr:spPr>
    </xdr:pic>
    <xdr:clientData/>
  </xdr:twoCellAnchor>
  <xdr:oneCellAnchor>
    <xdr:from>
      <xdr:col>11</xdr:col>
      <xdr:colOff>48861</xdr:colOff>
      <xdr:row>4</xdr:row>
      <xdr:rowOff>103399</xdr:rowOff>
    </xdr:from>
    <xdr:ext cx="1703739" cy="1020551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17286" y="1093999"/>
          <a:ext cx="1703739" cy="102055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4</xdr:row>
      <xdr:rowOff>57150</xdr:rowOff>
    </xdr:from>
    <xdr:ext cx="1724026" cy="10763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35300" y="1047750"/>
          <a:ext cx="1724026" cy="1076325"/>
        </a:xfrm>
        <a:prstGeom prst="rect">
          <a:avLst/>
        </a:prstGeom>
      </xdr:spPr>
    </xdr:pic>
    <xdr:clientData/>
  </xdr:oneCellAnchor>
  <xdr:oneCellAnchor>
    <xdr:from>
      <xdr:col>10</xdr:col>
      <xdr:colOff>47625</xdr:colOff>
      <xdr:row>4</xdr:row>
      <xdr:rowOff>57150</xdr:rowOff>
    </xdr:from>
    <xdr:ext cx="1666875" cy="11239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8175" y="1047750"/>
          <a:ext cx="1666875" cy="1123950"/>
        </a:xfrm>
        <a:prstGeom prst="rect">
          <a:avLst/>
        </a:prstGeom>
      </xdr:spPr>
    </xdr:pic>
    <xdr:clientData/>
  </xdr:oneCellAnchor>
  <xdr:twoCellAnchor editAs="oneCell">
    <xdr:from>
      <xdr:col>11</xdr:col>
      <xdr:colOff>47625</xdr:colOff>
      <xdr:row>4</xdr:row>
      <xdr:rowOff>76200</xdr:rowOff>
    </xdr:from>
    <xdr:to>
      <xdr:col>11</xdr:col>
      <xdr:colOff>1704974</xdr:colOff>
      <xdr:row>11</xdr:row>
      <xdr:rowOff>95249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9850" y="1066800"/>
          <a:ext cx="1657349" cy="10858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85726</xdr:colOff>
      <xdr:row>4</xdr:row>
      <xdr:rowOff>142875</xdr:rowOff>
    </xdr:from>
    <xdr:ext cx="2114549" cy="1336399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68101" y="1133475"/>
          <a:ext cx="2114549" cy="1336399"/>
        </a:xfrm>
        <a:prstGeom prst="rect">
          <a:avLst/>
        </a:prstGeom>
      </xdr:spPr>
    </xdr:pic>
    <xdr:clientData/>
  </xdr:oneCellAnchor>
  <xdr:oneCellAnchor>
    <xdr:from>
      <xdr:col>9</xdr:col>
      <xdr:colOff>109539</xdr:colOff>
      <xdr:row>4</xdr:row>
      <xdr:rowOff>159544</xdr:rowOff>
    </xdr:from>
    <xdr:ext cx="1928811" cy="130730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3064" y="1150144"/>
          <a:ext cx="1928811" cy="1307305"/>
        </a:xfrm>
        <a:prstGeom prst="rect">
          <a:avLst/>
        </a:prstGeom>
      </xdr:spPr>
    </xdr:pic>
    <xdr:clientData/>
  </xdr:oneCellAnchor>
  <xdr:twoCellAnchor editAs="oneCell">
    <xdr:from>
      <xdr:col>11</xdr:col>
      <xdr:colOff>152400</xdr:colOff>
      <xdr:row>4</xdr:row>
      <xdr:rowOff>9526</xdr:rowOff>
    </xdr:from>
    <xdr:to>
      <xdr:col>11</xdr:col>
      <xdr:colOff>2019300</xdr:colOff>
      <xdr:row>11</xdr:row>
      <xdr:rowOff>10600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73150" y="1000126"/>
          <a:ext cx="1866900" cy="15250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161926</xdr:colOff>
      <xdr:row>4</xdr:row>
      <xdr:rowOff>104776</xdr:rowOff>
    </xdr:from>
    <xdr:to>
      <xdr:col>10</xdr:col>
      <xdr:colOff>1809750</xdr:colOff>
      <xdr:row>10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8551" y="1190626"/>
          <a:ext cx="1647824" cy="1390649"/>
        </a:xfrm>
        <a:prstGeom prst="rect">
          <a:avLst/>
        </a:prstGeom>
      </xdr:spPr>
    </xdr:pic>
    <xdr:clientData/>
  </xdr:twoCellAnchor>
  <xdr:twoCellAnchor editAs="oneCell">
    <xdr:from>
      <xdr:col>9</xdr:col>
      <xdr:colOff>103427</xdr:colOff>
      <xdr:row>4</xdr:row>
      <xdr:rowOff>66676</xdr:rowOff>
    </xdr:from>
    <xdr:to>
      <xdr:col>9</xdr:col>
      <xdr:colOff>1819274</xdr:colOff>
      <xdr:row>10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6952" y="1152526"/>
          <a:ext cx="1715847" cy="1438274"/>
        </a:xfrm>
        <a:prstGeom prst="rect">
          <a:avLst/>
        </a:prstGeom>
      </xdr:spPr>
    </xdr:pic>
    <xdr:clientData/>
  </xdr:twoCellAnchor>
  <xdr:oneCellAnchor>
    <xdr:from>
      <xdr:col>11</xdr:col>
      <xdr:colOff>142874</xdr:colOff>
      <xdr:row>4</xdr:row>
      <xdr:rowOff>76201</xdr:rowOff>
    </xdr:from>
    <xdr:ext cx="1685926" cy="1419224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11174" y="1066801"/>
          <a:ext cx="1685926" cy="1419224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76200</xdr:colOff>
      <xdr:row>4</xdr:row>
      <xdr:rowOff>85725</xdr:rowOff>
    </xdr:from>
    <xdr:ext cx="1552575" cy="132397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6900" y="1076325"/>
          <a:ext cx="1552575" cy="1323975"/>
        </a:xfrm>
        <a:prstGeom prst="rect">
          <a:avLst/>
        </a:prstGeom>
      </xdr:spPr>
    </xdr:pic>
    <xdr:clientData/>
  </xdr:oneCellAnchor>
  <xdr:oneCellAnchor>
    <xdr:from>
      <xdr:col>10</xdr:col>
      <xdr:colOff>76200</xdr:colOff>
      <xdr:row>4</xdr:row>
      <xdr:rowOff>95250</xdr:rowOff>
    </xdr:from>
    <xdr:ext cx="1714499" cy="1295399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72850" y="1085850"/>
          <a:ext cx="1714499" cy="1295399"/>
        </a:xfrm>
        <a:prstGeom prst="rect">
          <a:avLst/>
        </a:prstGeom>
      </xdr:spPr>
    </xdr:pic>
    <xdr:clientData/>
  </xdr:oneCellAnchor>
  <xdr:oneCellAnchor>
    <xdr:from>
      <xdr:col>11</xdr:col>
      <xdr:colOff>104775</xdr:colOff>
      <xdr:row>4</xdr:row>
      <xdr:rowOff>104774</xdr:rowOff>
    </xdr:from>
    <xdr:ext cx="1552575" cy="136207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0" y="1095374"/>
          <a:ext cx="1552575" cy="136207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47187</xdr:colOff>
      <xdr:row>4</xdr:row>
      <xdr:rowOff>57151</xdr:rowOff>
    </xdr:from>
    <xdr:ext cx="1638738" cy="1419224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48862" y="1047751"/>
          <a:ext cx="1638738" cy="1419224"/>
        </a:xfrm>
        <a:prstGeom prst="rect">
          <a:avLst/>
        </a:prstGeom>
      </xdr:spPr>
    </xdr:pic>
    <xdr:clientData/>
  </xdr:oneCellAnchor>
  <xdr:twoCellAnchor editAs="oneCell">
    <xdr:from>
      <xdr:col>9</xdr:col>
      <xdr:colOff>66676</xdr:colOff>
      <xdr:row>4</xdr:row>
      <xdr:rowOff>38102</xdr:rowOff>
    </xdr:from>
    <xdr:to>
      <xdr:col>9</xdr:col>
      <xdr:colOff>1685926</xdr:colOff>
      <xdr:row>10</xdr:row>
      <xdr:rowOff>104776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1" y="1028702"/>
          <a:ext cx="1619250" cy="1438274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142876</xdr:colOff>
      <xdr:row>4</xdr:row>
      <xdr:rowOff>34967</xdr:rowOff>
    </xdr:from>
    <xdr:to>
      <xdr:col>10</xdr:col>
      <xdr:colOff>1819276</xdr:colOff>
      <xdr:row>10</xdr:row>
      <xdr:rowOff>114300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82401" y="1025567"/>
          <a:ext cx="1676400" cy="14509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150681</xdr:colOff>
      <xdr:row>4</xdr:row>
      <xdr:rowOff>78842</xdr:rowOff>
    </xdr:from>
    <xdr:to>
      <xdr:col>11</xdr:col>
      <xdr:colOff>1743075</xdr:colOff>
      <xdr:row>11</xdr:row>
      <xdr:rowOff>95249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0456" y="1069442"/>
          <a:ext cx="1592394" cy="1083207"/>
        </a:xfrm>
        <a:prstGeom prst="rect">
          <a:avLst/>
        </a:prstGeom>
      </xdr:spPr>
    </xdr:pic>
    <xdr:clientData/>
  </xdr:twoCellAnchor>
  <xdr:oneCellAnchor>
    <xdr:from>
      <xdr:col>10</xdr:col>
      <xdr:colOff>66675</xdr:colOff>
      <xdr:row>4</xdr:row>
      <xdr:rowOff>87291</xdr:rowOff>
    </xdr:from>
    <xdr:ext cx="1606290" cy="1008083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96675" y="1077891"/>
          <a:ext cx="1606290" cy="1008083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4</xdr:row>
      <xdr:rowOff>76200</xdr:rowOff>
    </xdr:from>
    <xdr:ext cx="1606290" cy="1065233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63800" y="1066800"/>
          <a:ext cx="1606290" cy="1065233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24384</xdr:colOff>
      <xdr:row>4</xdr:row>
      <xdr:rowOff>57149</xdr:rowOff>
    </xdr:from>
    <xdr:ext cx="1652015" cy="14001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21284" y="1047749"/>
          <a:ext cx="1652015" cy="1400175"/>
        </a:xfrm>
        <a:prstGeom prst="rect">
          <a:avLst/>
        </a:prstGeom>
      </xdr:spPr>
    </xdr:pic>
    <xdr:clientData/>
  </xdr:oneCellAnchor>
  <xdr:twoCellAnchor editAs="oneCell">
    <xdr:from>
      <xdr:col>9</xdr:col>
      <xdr:colOff>66675</xdr:colOff>
      <xdr:row>4</xdr:row>
      <xdr:rowOff>57150</xdr:rowOff>
    </xdr:from>
    <xdr:to>
      <xdr:col>9</xdr:col>
      <xdr:colOff>1676401</xdr:colOff>
      <xdr:row>10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82175" y="1047750"/>
          <a:ext cx="1609726" cy="1400175"/>
        </a:xfrm>
        <a:prstGeom prst="rect">
          <a:avLst/>
        </a:prstGeom>
      </xdr:spPr>
    </xdr:pic>
    <xdr:clientData/>
  </xdr:twoCellAnchor>
  <xdr:twoCellAnchor editAs="oneCell">
    <xdr:from>
      <xdr:col>10</xdr:col>
      <xdr:colOff>192318</xdr:colOff>
      <xdr:row>4</xdr:row>
      <xdr:rowOff>90056</xdr:rowOff>
    </xdr:from>
    <xdr:to>
      <xdr:col>10</xdr:col>
      <xdr:colOff>1705516</xdr:colOff>
      <xdr:row>10</xdr:row>
      <xdr:rowOff>28576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79468" y="1080656"/>
          <a:ext cx="1513198" cy="13101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77328</xdr:colOff>
      <xdr:row>4</xdr:row>
      <xdr:rowOff>61224</xdr:rowOff>
    </xdr:from>
    <xdr:to>
      <xdr:col>9</xdr:col>
      <xdr:colOff>1666875</xdr:colOff>
      <xdr:row>11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6628" y="1051824"/>
          <a:ext cx="1589547" cy="1234176"/>
        </a:xfrm>
        <a:prstGeom prst="rect">
          <a:avLst/>
        </a:prstGeom>
      </xdr:spPr>
    </xdr:pic>
    <xdr:clientData/>
  </xdr:twoCellAnchor>
  <xdr:twoCellAnchor editAs="oneCell">
    <xdr:from>
      <xdr:col>10</xdr:col>
      <xdr:colOff>69397</xdr:colOff>
      <xdr:row>4</xdr:row>
      <xdr:rowOff>85725</xdr:rowOff>
    </xdr:from>
    <xdr:to>
      <xdr:col>10</xdr:col>
      <xdr:colOff>1666874</xdr:colOff>
      <xdr:row>11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1772" y="1076325"/>
          <a:ext cx="1597477" cy="1209675"/>
        </a:xfrm>
        <a:prstGeom prst="rect">
          <a:avLst/>
        </a:prstGeom>
      </xdr:spPr>
    </xdr:pic>
    <xdr:clientData/>
  </xdr:twoCellAnchor>
  <xdr:oneCellAnchor>
    <xdr:from>
      <xdr:col>11</xdr:col>
      <xdr:colOff>70820</xdr:colOff>
      <xdr:row>4</xdr:row>
      <xdr:rowOff>66673</xdr:rowOff>
    </xdr:from>
    <xdr:ext cx="1615105" cy="1504951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5320" y="1057273"/>
          <a:ext cx="1615105" cy="1504951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64115</xdr:colOff>
      <xdr:row>4</xdr:row>
      <xdr:rowOff>76200</xdr:rowOff>
    </xdr:from>
    <xdr:ext cx="1557733" cy="1428749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03665" y="1066800"/>
          <a:ext cx="1557733" cy="1428749"/>
        </a:xfrm>
        <a:prstGeom prst="rect">
          <a:avLst/>
        </a:prstGeom>
      </xdr:spPr>
    </xdr:pic>
    <xdr:clientData/>
  </xdr:oneCellAnchor>
  <xdr:twoCellAnchor editAs="oneCell">
    <xdr:from>
      <xdr:col>8</xdr:col>
      <xdr:colOff>114017</xdr:colOff>
      <xdr:row>4</xdr:row>
      <xdr:rowOff>96752</xdr:rowOff>
    </xdr:from>
    <xdr:to>
      <xdr:col>8</xdr:col>
      <xdr:colOff>1743075</xdr:colOff>
      <xdr:row>10</xdr:row>
      <xdr:rowOff>142876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517" y="1087352"/>
          <a:ext cx="1629058" cy="1112924"/>
        </a:xfrm>
        <a:prstGeom prst="rect">
          <a:avLst/>
        </a:prstGeom>
      </xdr:spPr>
    </xdr:pic>
    <xdr:clientData/>
  </xdr:twoCellAnchor>
  <xdr:twoCellAnchor editAs="oneCell">
    <xdr:from>
      <xdr:col>9</xdr:col>
      <xdr:colOff>91143</xdr:colOff>
      <xdr:row>4</xdr:row>
      <xdr:rowOff>47301</xdr:rowOff>
    </xdr:from>
    <xdr:to>
      <xdr:col>9</xdr:col>
      <xdr:colOff>1676400</xdr:colOff>
      <xdr:row>11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1443" y="1037901"/>
          <a:ext cx="1585257" cy="118142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76184</xdr:colOff>
      <xdr:row>4</xdr:row>
      <xdr:rowOff>51092</xdr:rowOff>
    </xdr:from>
    <xdr:ext cx="1609741" cy="147290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15884" y="1041692"/>
          <a:ext cx="1609741" cy="1472908"/>
        </a:xfrm>
        <a:prstGeom prst="rect">
          <a:avLst/>
        </a:prstGeom>
      </xdr:spPr>
    </xdr:pic>
    <xdr:clientData/>
  </xdr:oneCellAnchor>
  <xdr:twoCellAnchor editAs="oneCell">
    <xdr:from>
      <xdr:col>9</xdr:col>
      <xdr:colOff>77328</xdr:colOff>
      <xdr:row>4</xdr:row>
      <xdr:rowOff>51698</xdr:rowOff>
    </xdr:from>
    <xdr:to>
      <xdr:col>9</xdr:col>
      <xdr:colOff>1800225</xdr:colOff>
      <xdr:row>11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4678" y="1042298"/>
          <a:ext cx="1722897" cy="1481827"/>
        </a:xfrm>
        <a:prstGeom prst="rect">
          <a:avLst/>
        </a:prstGeom>
      </xdr:spPr>
    </xdr:pic>
    <xdr:clientData/>
  </xdr:twoCellAnchor>
  <xdr:twoCellAnchor editAs="oneCell">
    <xdr:from>
      <xdr:col>10</xdr:col>
      <xdr:colOff>44426</xdr:colOff>
      <xdr:row>4</xdr:row>
      <xdr:rowOff>63543</xdr:rowOff>
    </xdr:from>
    <xdr:to>
      <xdr:col>10</xdr:col>
      <xdr:colOff>1647825</xdr:colOff>
      <xdr:row>11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0101" y="1054143"/>
          <a:ext cx="1603399" cy="147950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95894</xdr:colOff>
      <xdr:row>4</xdr:row>
      <xdr:rowOff>48483</xdr:rowOff>
    </xdr:from>
    <xdr:to>
      <xdr:col>9</xdr:col>
      <xdr:colOff>1971675</xdr:colOff>
      <xdr:row>11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4719" y="1039083"/>
          <a:ext cx="1875781" cy="1513617"/>
        </a:xfrm>
        <a:prstGeom prst="rect">
          <a:avLst/>
        </a:prstGeom>
      </xdr:spPr>
    </xdr:pic>
    <xdr:clientData/>
  </xdr:twoCellAnchor>
  <xdr:oneCellAnchor>
    <xdr:from>
      <xdr:col>11</xdr:col>
      <xdr:colOff>86995</xdr:colOff>
      <xdr:row>4</xdr:row>
      <xdr:rowOff>28986</xdr:rowOff>
    </xdr:from>
    <xdr:ext cx="1675130" cy="1571213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31545" y="1019586"/>
          <a:ext cx="1675130" cy="1571213"/>
        </a:xfrm>
        <a:prstGeom prst="rect">
          <a:avLst/>
        </a:prstGeom>
      </xdr:spPr>
    </xdr:pic>
    <xdr:clientData/>
  </xdr:oneCellAnchor>
  <xdr:twoCellAnchor editAs="oneCell">
    <xdr:from>
      <xdr:col>10</xdr:col>
      <xdr:colOff>133350</xdr:colOff>
      <xdr:row>4</xdr:row>
      <xdr:rowOff>47624</xdr:rowOff>
    </xdr:from>
    <xdr:to>
      <xdr:col>10</xdr:col>
      <xdr:colOff>1773369</xdr:colOff>
      <xdr:row>11</xdr:row>
      <xdr:rowOff>38100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11000" y="1038224"/>
          <a:ext cx="1640019" cy="1514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5"/>
  <sheetViews>
    <sheetView tabSelected="1" workbookViewId="0">
      <selection activeCell="B1" sqref="B1:G1"/>
    </sheetView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23.425781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12.140625" style="13" customWidth="1"/>
    <col min="9" max="9" width="9" style="1" bestFit="1" customWidth="1"/>
    <col min="10" max="10" width="29.140625" style="1" customWidth="1"/>
    <col min="11" max="11" width="27.5703125" style="1" customWidth="1"/>
    <col min="12" max="12" width="27.28515625" style="1" customWidth="1"/>
    <col min="13" max="16384" width="9.140625" style="1"/>
  </cols>
  <sheetData>
    <row r="1" spans="2:12" ht="21" customHeight="1">
      <c r="B1" s="77" t="s">
        <v>8</v>
      </c>
      <c r="C1" s="78"/>
      <c r="D1" s="78"/>
      <c r="E1" s="78"/>
      <c r="F1" s="78"/>
      <c r="G1" s="78"/>
      <c r="H1" s="61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67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68"/>
      <c r="H5" s="70"/>
      <c r="J5" s="79"/>
      <c r="K5" s="79"/>
      <c r="L5" s="79"/>
    </row>
    <row r="6" spans="2:12">
      <c r="B6" s="22" t="s">
        <v>30</v>
      </c>
      <c r="C6" s="23"/>
      <c r="D6" s="23"/>
      <c r="E6" s="24"/>
      <c r="F6" s="25"/>
      <c r="G6" s="69"/>
      <c r="H6" s="70"/>
      <c r="J6" s="79"/>
      <c r="K6" s="79"/>
      <c r="L6" s="79"/>
    </row>
    <row r="7" spans="2:12">
      <c r="B7" s="27" t="s">
        <v>31</v>
      </c>
      <c r="C7" s="23" t="s">
        <v>32</v>
      </c>
      <c r="D7" s="23" t="s">
        <v>33</v>
      </c>
      <c r="E7" s="28">
        <v>563000</v>
      </c>
      <c r="F7" s="25">
        <v>1549.38</v>
      </c>
      <c r="G7" s="69">
        <v>6.99</v>
      </c>
      <c r="H7" s="70" t="s">
        <v>688</v>
      </c>
      <c r="I7" s="62"/>
      <c r="J7" s="79"/>
      <c r="K7" s="79"/>
      <c r="L7" s="79"/>
    </row>
    <row r="8" spans="2:12">
      <c r="B8" s="27" t="s">
        <v>34</v>
      </c>
      <c r="C8" s="23" t="s">
        <v>35</v>
      </c>
      <c r="D8" s="23" t="s">
        <v>36</v>
      </c>
      <c r="E8" s="28">
        <v>84300</v>
      </c>
      <c r="F8" s="25">
        <v>1524.19</v>
      </c>
      <c r="G8" s="69">
        <v>6.88</v>
      </c>
      <c r="H8" s="70" t="s">
        <v>688</v>
      </c>
      <c r="I8" s="62"/>
      <c r="J8" s="79"/>
      <c r="K8" s="79"/>
      <c r="L8" s="79"/>
    </row>
    <row r="9" spans="2:12">
      <c r="B9" s="27" t="s">
        <v>37</v>
      </c>
      <c r="C9" s="23" t="s">
        <v>38</v>
      </c>
      <c r="D9" s="23" t="s">
        <v>39</v>
      </c>
      <c r="E9" s="28">
        <v>53950</v>
      </c>
      <c r="F9" s="25">
        <v>1500.08</v>
      </c>
      <c r="G9" s="69">
        <v>6.77</v>
      </c>
      <c r="H9" s="70" t="s">
        <v>689</v>
      </c>
      <c r="I9" s="62"/>
      <c r="J9" s="79"/>
      <c r="K9" s="79"/>
      <c r="L9" s="79"/>
    </row>
    <row r="10" spans="2:12">
      <c r="B10" s="27" t="s">
        <v>40</v>
      </c>
      <c r="C10" s="23" t="s">
        <v>41</v>
      </c>
      <c r="D10" s="23" t="s">
        <v>42</v>
      </c>
      <c r="E10" s="28">
        <v>53050</v>
      </c>
      <c r="F10" s="25">
        <v>1429.27</v>
      </c>
      <c r="G10" s="69">
        <v>6.45</v>
      </c>
      <c r="H10" s="70" t="s">
        <v>688</v>
      </c>
      <c r="I10" s="62"/>
      <c r="J10" s="79"/>
      <c r="K10" s="79"/>
      <c r="L10" s="79"/>
    </row>
    <row r="11" spans="2:12">
      <c r="B11" s="27" t="s">
        <v>43</v>
      </c>
      <c r="C11" s="23" t="s">
        <v>44</v>
      </c>
      <c r="D11" s="23" t="s">
        <v>45</v>
      </c>
      <c r="E11" s="28">
        <v>172500</v>
      </c>
      <c r="F11" s="25">
        <v>1412.09</v>
      </c>
      <c r="G11" s="69">
        <v>6.37</v>
      </c>
      <c r="H11" s="70" t="s">
        <v>688</v>
      </c>
      <c r="I11" s="62"/>
      <c r="J11" s="79"/>
      <c r="K11" s="79"/>
      <c r="L11" s="79"/>
    </row>
    <row r="12" spans="2:12">
      <c r="B12" s="27" t="s">
        <v>46</v>
      </c>
      <c r="C12" s="23" t="s">
        <v>47</v>
      </c>
      <c r="D12" s="23" t="s">
        <v>48</v>
      </c>
      <c r="E12" s="28">
        <v>39750</v>
      </c>
      <c r="F12" s="25">
        <v>1181.17</v>
      </c>
      <c r="G12" s="69">
        <v>5.33</v>
      </c>
      <c r="H12" s="70" t="s">
        <v>690</v>
      </c>
      <c r="I12" s="62"/>
      <c r="J12" s="79"/>
      <c r="K12" s="79"/>
      <c r="L12" s="79"/>
    </row>
    <row r="13" spans="2:12">
      <c r="B13" s="27" t="s">
        <v>49</v>
      </c>
      <c r="C13" s="23" t="s">
        <v>50</v>
      </c>
      <c r="D13" s="23" t="s">
        <v>42</v>
      </c>
      <c r="E13" s="28">
        <v>52794</v>
      </c>
      <c r="F13" s="25">
        <v>1086.53</v>
      </c>
      <c r="G13" s="69">
        <v>4.9000000000000004</v>
      </c>
      <c r="H13" s="70" t="s">
        <v>689</v>
      </c>
      <c r="I13" s="62"/>
      <c r="J13" s="62"/>
      <c r="K13" s="74" t="s">
        <v>691</v>
      </c>
    </row>
    <row r="14" spans="2:12">
      <c r="B14" s="27" t="s">
        <v>51</v>
      </c>
      <c r="C14" s="23" t="s">
        <v>52</v>
      </c>
      <c r="D14" s="23" t="s">
        <v>42</v>
      </c>
      <c r="E14" s="28">
        <v>38750</v>
      </c>
      <c r="F14" s="25">
        <v>1060.26</v>
      </c>
      <c r="G14" s="69">
        <v>4.79</v>
      </c>
      <c r="H14" s="70" t="s">
        <v>689</v>
      </c>
      <c r="I14" s="62"/>
      <c r="J14" s="62"/>
      <c r="K14" s="62"/>
      <c r="L14" s="62"/>
    </row>
    <row r="15" spans="2:12">
      <c r="B15" s="27" t="s">
        <v>53</v>
      </c>
      <c r="C15" s="23" t="s">
        <v>54</v>
      </c>
      <c r="D15" s="23" t="s">
        <v>45</v>
      </c>
      <c r="E15" s="28">
        <v>194500</v>
      </c>
      <c r="F15" s="25">
        <v>1027.6400000000001</v>
      </c>
      <c r="G15" s="69">
        <v>4.6399999999999997</v>
      </c>
      <c r="H15" s="70" t="s">
        <v>688</v>
      </c>
      <c r="I15" s="62"/>
      <c r="J15" s="62"/>
      <c r="K15" s="62"/>
      <c r="L15" s="62"/>
    </row>
    <row r="16" spans="2:12">
      <c r="B16" s="27" t="s">
        <v>55</v>
      </c>
      <c r="C16" s="23" t="s">
        <v>56</v>
      </c>
      <c r="D16" s="23" t="s">
        <v>36</v>
      </c>
      <c r="E16" s="28">
        <v>382874</v>
      </c>
      <c r="F16" s="25">
        <v>1009.26</v>
      </c>
      <c r="G16" s="69">
        <v>4.5599999999999996</v>
      </c>
      <c r="H16" s="70" t="s">
        <v>690</v>
      </c>
      <c r="I16" s="62"/>
      <c r="J16" s="62"/>
      <c r="K16" s="62"/>
      <c r="L16" s="62"/>
    </row>
    <row r="17" spans="2:12">
      <c r="B17" s="27" t="s">
        <v>57</v>
      </c>
      <c r="C17" s="23" t="s">
        <v>58</v>
      </c>
      <c r="D17" s="23" t="s">
        <v>59</v>
      </c>
      <c r="E17" s="28">
        <v>559600</v>
      </c>
      <c r="F17" s="25">
        <v>855.91</v>
      </c>
      <c r="G17" s="69">
        <v>3.86</v>
      </c>
      <c r="H17" s="70" t="s">
        <v>688</v>
      </c>
      <c r="I17" s="62"/>
      <c r="J17" s="62"/>
      <c r="K17" s="62"/>
      <c r="L17" s="62"/>
    </row>
    <row r="18" spans="2:12">
      <c r="B18" s="27" t="s">
        <v>60</v>
      </c>
      <c r="C18" s="23" t="s">
        <v>61</v>
      </c>
      <c r="D18" s="23" t="s">
        <v>59</v>
      </c>
      <c r="E18" s="28">
        <v>339410</v>
      </c>
      <c r="F18" s="25">
        <v>726.17</v>
      </c>
      <c r="G18" s="69">
        <v>3.28</v>
      </c>
      <c r="H18" s="70" t="s">
        <v>688</v>
      </c>
      <c r="I18" s="62"/>
      <c r="J18" s="62"/>
      <c r="K18" s="62"/>
      <c r="L18" s="62"/>
    </row>
    <row r="19" spans="2:12">
      <c r="B19" s="27" t="s">
        <v>62</v>
      </c>
      <c r="C19" s="23" t="s">
        <v>63</v>
      </c>
      <c r="D19" s="23" t="s">
        <v>48</v>
      </c>
      <c r="E19" s="28">
        <v>38500</v>
      </c>
      <c r="F19" s="25">
        <v>676.41</v>
      </c>
      <c r="G19" s="69">
        <v>3.05</v>
      </c>
      <c r="H19" s="70" t="s">
        <v>689</v>
      </c>
      <c r="I19" s="62"/>
      <c r="J19" s="62"/>
      <c r="K19" s="62"/>
      <c r="L19" s="62"/>
    </row>
    <row r="20" spans="2:12">
      <c r="B20" s="27" t="s">
        <v>64</v>
      </c>
      <c r="C20" s="23" t="s">
        <v>65</v>
      </c>
      <c r="D20" s="23" t="s">
        <v>66</v>
      </c>
      <c r="E20" s="28">
        <v>135000</v>
      </c>
      <c r="F20" s="25">
        <v>666.29</v>
      </c>
      <c r="G20" s="69">
        <v>3.01</v>
      </c>
      <c r="H20" s="70" t="s">
        <v>690</v>
      </c>
      <c r="I20" s="62"/>
      <c r="J20" s="62"/>
      <c r="K20" s="62"/>
      <c r="L20" s="62"/>
    </row>
    <row r="21" spans="2:12">
      <c r="B21" s="27" t="s">
        <v>67</v>
      </c>
      <c r="C21" s="23" t="s">
        <v>68</v>
      </c>
      <c r="D21" s="23" t="s">
        <v>36</v>
      </c>
      <c r="E21" s="28">
        <v>131772</v>
      </c>
      <c r="F21" s="25">
        <v>620.58000000000004</v>
      </c>
      <c r="G21" s="69">
        <v>2.8</v>
      </c>
      <c r="H21" s="70" t="s">
        <v>690</v>
      </c>
      <c r="I21" s="62"/>
      <c r="J21" s="62"/>
      <c r="K21" s="62"/>
      <c r="L21" s="62"/>
    </row>
    <row r="22" spans="2:12">
      <c r="B22" s="27" t="s">
        <v>69</v>
      </c>
      <c r="C22" s="23" t="s">
        <v>70</v>
      </c>
      <c r="D22" s="23" t="s">
        <v>71</v>
      </c>
      <c r="E22" s="28">
        <v>33243</v>
      </c>
      <c r="F22" s="25">
        <v>588.42999999999995</v>
      </c>
      <c r="G22" s="69">
        <v>2.66</v>
      </c>
      <c r="H22" s="70" t="s">
        <v>690</v>
      </c>
      <c r="I22" s="62"/>
      <c r="J22" s="62"/>
      <c r="K22" s="62"/>
      <c r="L22" s="62"/>
    </row>
    <row r="23" spans="2:12">
      <c r="B23" s="27" t="s">
        <v>72</v>
      </c>
      <c r="C23" s="23" t="s">
        <v>73</v>
      </c>
      <c r="D23" s="23" t="s">
        <v>74</v>
      </c>
      <c r="E23" s="28">
        <v>1410</v>
      </c>
      <c r="F23" s="25">
        <v>566.58000000000004</v>
      </c>
      <c r="G23" s="69">
        <v>2.56</v>
      </c>
      <c r="H23" s="70" t="s">
        <v>689</v>
      </c>
      <c r="I23" s="62"/>
      <c r="J23" s="62"/>
      <c r="K23" s="62"/>
      <c r="L23" s="62"/>
    </row>
    <row r="24" spans="2:12">
      <c r="B24" s="27" t="s">
        <v>75</v>
      </c>
      <c r="C24" s="23" t="s">
        <v>76</v>
      </c>
      <c r="D24" s="23" t="s">
        <v>71</v>
      </c>
      <c r="E24" s="28">
        <v>66000</v>
      </c>
      <c r="F24" s="25">
        <v>470.42</v>
      </c>
      <c r="G24" s="69">
        <v>2.12</v>
      </c>
      <c r="H24" s="70" t="s">
        <v>689</v>
      </c>
      <c r="I24" s="62"/>
      <c r="J24" s="62"/>
      <c r="K24" s="62"/>
      <c r="L24" s="62"/>
    </row>
    <row r="25" spans="2:12">
      <c r="B25" s="27" t="s">
        <v>77</v>
      </c>
      <c r="C25" s="23" t="s">
        <v>78</v>
      </c>
      <c r="D25" s="23" t="s">
        <v>39</v>
      </c>
      <c r="E25" s="28">
        <v>2650</v>
      </c>
      <c r="F25" s="25">
        <v>453.57</v>
      </c>
      <c r="G25" s="69">
        <v>2.0499999999999998</v>
      </c>
      <c r="H25" s="70" t="s">
        <v>689</v>
      </c>
      <c r="I25" s="62"/>
      <c r="J25" s="62"/>
      <c r="K25" s="62"/>
      <c r="L25" s="62"/>
    </row>
    <row r="26" spans="2:12">
      <c r="B26" s="27" t="s">
        <v>79</v>
      </c>
      <c r="C26" s="23" t="s">
        <v>80</v>
      </c>
      <c r="D26" s="23" t="s">
        <v>36</v>
      </c>
      <c r="E26" s="28">
        <v>176000</v>
      </c>
      <c r="F26" s="25">
        <v>449.68</v>
      </c>
      <c r="G26" s="69">
        <v>2.0299999999999998</v>
      </c>
      <c r="H26" s="70" t="s">
        <v>690</v>
      </c>
      <c r="I26" s="62"/>
      <c r="J26" s="62"/>
      <c r="K26" s="62"/>
      <c r="L26" s="62"/>
    </row>
    <row r="27" spans="2:12">
      <c r="B27" s="27" t="s">
        <v>81</v>
      </c>
      <c r="C27" s="23" t="s">
        <v>82</v>
      </c>
      <c r="D27" s="23" t="s">
        <v>83</v>
      </c>
      <c r="E27" s="28">
        <v>16750</v>
      </c>
      <c r="F27" s="25">
        <v>420.33</v>
      </c>
      <c r="G27" s="69">
        <v>1.9</v>
      </c>
      <c r="H27" s="70" t="s">
        <v>688</v>
      </c>
      <c r="I27" s="62"/>
      <c r="J27" s="62"/>
      <c r="K27" s="62"/>
      <c r="L27" s="62"/>
    </row>
    <row r="28" spans="2:12">
      <c r="B28" s="27" t="s">
        <v>84</v>
      </c>
      <c r="C28" s="23" t="s">
        <v>85</v>
      </c>
      <c r="D28" s="23" t="s">
        <v>86</v>
      </c>
      <c r="E28" s="28">
        <v>262159</v>
      </c>
      <c r="F28" s="25">
        <v>384.33</v>
      </c>
      <c r="G28" s="69">
        <v>1.73</v>
      </c>
      <c r="H28" s="70" t="s">
        <v>688</v>
      </c>
      <c r="I28" s="62"/>
      <c r="J28" s="62"/>
      <c r="K28" s="62"/>
      <c r="L28" s="62"/>
    </row>
    <row r="29" spans="2:12">
      <c r="B29" s="27" t="s">
        <v>87</v>
      </c>
      <c r="C29" s="23" t="s">
        <v>88</v>
      </c>
      <c r="D29" s="23" t="s">
        <v>83</v>
      </c>
      <c r="E29" s="28">
        <v>427500</v>
      </c>
      <c r="F29" s="25">
        <v>311.86</v>
      </c>
      <c r="G29" s="69">
        <v>1.41</v>
      </c>
      <c r="H29" s="70" t="s">
        <v>688</v>
      </c>
      <c r="I29" s="62"/>
      <c r="J29" s="62"/>
      <c r="K29" s="62"/>
      <c r="L29" s="62"/>
    </row>
    <row r="30" spans="2:12">
      <c r="B30" s="27" t="s">
        <v>89</v>
      </c>
      <c r="C30" s="23" t="s">
        <v>90</v>
      </c>
      <c r="D30" s="23" t="s">
        <v>91</v>
      </c>
      <c r="E30" s="28">
        <v>74800</v>
      </c>
      <c r="F30" s="25">
        <v>310.45999999999998</v>
      </c>
      <c r="G30" s="69">
        <v>1.4</v>
      </c>
      <c r="H30" s="70" t="s">
        <v>688</v>
      </c>
      <c r="I30" s="62"/>
      <c r="J30" s="62"/>
      <c r="K30" s="62"/>
      <c r="L30" s="62"/>
    </row>
    <row r="31" spans="2:12">
      <c r="B31" s="27" t="s">
        <v>92</v>
      </c>
      <c r="C31" s="23" t="s">
        <v>93</v>
      </c>
      <c r="D31" s="23" t="s">
        <v>94</v>
      </c>
      <c r="E31" s="28">
        <v>227500</v>
      </c>
      <c r="F31" s="25">
        <v>244.79</v>
      </c>
      <c r="G31" s="69">
        <v>1.1000000000000001</v>
      </c>
      <c r="H31" s="70" t="s">
        <v>688</v>
      </c>
      <c r="I31" s="62"/>
      <c r="J31" s="62"/>
      <c r="K31" s="62"/>
      <c r="L31" s="62"/>
    </row>
    <row r="32" spans="2:12">
      <c r="B32" s="27" t="s">
        <v>95</v>
      </c>
      <c r="C32" s="23" t="s">
        <v>96</v>
      </c>
      <c r="D32" s="23" t="s">
        <v>97</v>
      </c>
      <c r="E32" s="28">
        <v>9500</v>
      </c>
      <c r="F32" s="25">
        <v>237.89</v>
      </c>
      <c r="G32" s="69">
        <v>1.07</v>
      </c>
      <c r="H32" s="70" t="s">
        <v>689</v>
      </c>
      <c r="I32" s="62"/>
      <c r="J32" s="62"/>
      <c r="K32" s="62"/>
      <c r="L32" s="62"/>
    </row>
    <row r="33" spans="2:12">
      <c r="B33" s="27" t="s">
        <v>98</v>
      </c>
      <c r="C33" s="23" t="s">
        <v>99</v>
      </c>
      <c r="D33" s="23" t="s">
        <v>97</v>
      </c>
      <c r="E33" s="28">
        <v>55750</v>
      </c>
      <c r="F33" s="25">
        <v>208.95</v>
      </c>
      <c r="G33" s="69">
        <v>0.94</v>
      </c>
      <c r="H33" s="70" t="s">
        <v>688</v>
      </c>
      <c r="I33" s="62"/>
      <c r="J33" s="62"/>
      <c r="K33" s="62"/>
      <c r="L33" s="62"/>
    </row>
    <row r="34" spans="2:12">
      <c r="B34" s="27" t="s">
        <v>100</v>
      </c>
      <c r="C34" s="23" t="s">
        <v>101</v>
      </c>
      <c r="D34" s="23" t="s">
        <v>86</v>
      </c>
      <c r="E34" s="28">
        <v>44726</v>
      </c>
      <c r="F34" s="25">
        <v>199.1</v>
      </c>
      <c r="G34" s="69">
        <v>0.9</v>
      </c>
      <c r="H34" s="70" t="s">
        <v>689</v>
      </c>
      <c r="I34" s="62"/>
      <c r="J34" s="62"/>
      <c r="K34" s="62"/>
      <c r="L34" s="62"/>
    </row>
    <row r="35" spans="2:12" ht="12.75" thickBot="1">
      <c r="B35" s="27" t="s">
        <v>102</v>
      </c>
      <c r="C35" s="23" t="s">
        <v>103</v>
      </c>
      <c r="D35" s="23" t="s">
        <v>97</v>
      </c>
      <c r="E35" s="28">
        <v>2750</v>
      </c>
      <c r="F35" s="25">
        <v>179.98</v>
      </c>
      <c r="G35" s="69">
        <v>0.81</v>
      </c>
      <c r="H35" s="71" t="s">
        <v>688</v>
      </c>
      <c r="I35" s="62"/>
      <c r="J35" s="62"/>
      <c r="K35" s="62"/>
      <c r="L35" s="62"/>
    </row>
    <row r="36" spans="2:12">
      <c r="B36" s="29" t="s">
        <v>104</v>
      </c>
      <c r="C36" s="30"/>
      <c r="D36" s="30"/>
      <c r="E36" s="31"/>
      <c r="F36" s="32">
        <f>SUM(F7:F35)</f>
        <v>21351.600000000002</v>
      </c>
      <c r="G36" s="32">
        <f>SUM(G7:G35)</f>
        <v>96.36</v>
      </c>
      <c r="H36" s="64"/>
      <c r="I36" s="62"/>
      <c r="J36" s="62"/>
      <c r="K36" s="62"/>
      <c r="L36" s="62"/>
    </row>
    <row r="37" spans="2:12">
      <c r="B37" s="37" t="s">
        <v>105</v>
      </c>
      <c r="C37" s="37"/>
      <c r="D37" s="37"/>
      <c r="E37" s="38"/>
      <c r="F37" s="39">
        <f>F36</f>
        <v>21351.600000000002</v>
      </c>
      <c r="G37" s="39">
        <f>G36</f>
        <v>96.36</v>
      </c>
      <c r="H37" s="15"/>
      <c r="I37" s="62"/>
      <c r="J37" s="62"/>
      <c r="K37" s="62"/>
      <c r="L37" s="62"/>
    </row>
    <row r="38" spans="2:12">
      <c r="B38" s="40" t="s">
        <v>106</v>
      </c>
      <c r="C38" s="41"/>
      <c r="D38" s="41"/>
      <c r="E38" s="42"/>
      <c r="F38" s="43"/>
      <c r="G38" s="43"/>
      <c r="H38" s="63"/>
      <c r="I38" s="62"/>
      <c r="J38" s="62"/>
      <c r="K38" s="62"/>
      <c r="L38" s="62"/>
    </row>
    <row r="39" spans="2:12">
      <c r="B39" s="27" t="s">
        <v>106</v>
      </c>
      <c r="C39" s="27"/>
      <c r="D39" s="23"/>
      <c r="E39" s="24"/>
      <c r="F39" s="25">
        <v>973.99</v>
      </c>
      <c r="G39" s="25">
        <v>4.3999999999999995</v>
      </c>
      <c r="H39" s="63"/>
      <c r="I39" s="62"/>
      <c r="J39" s="62"/>
      <c r="K39" s="62"/>
      <c r="L39" s="62"/>
    </row>
    <row r="40" spans="2:12">
      <c r="B40" s="29" t="s">
        <v>104</v>
      </c>
      <c r="C40" s="30"/>
      <c r="D40" s="30"/>
      <c r="E40" s="31"/>
      <c r="F40" s="32">
        <f>SUM(F38:F39)</f>
        <v>973.99</v>
      </c>
      <c r="G40" s="32">
        <f>SUM(G38:G39)</f>
        <v>4.3999999999999995</v>
      </c>
      <c r="H40" s="64"/>
      <c r="I40" s="62"/>
      <c r="J40" s="62"/>
      <c r="K40" s="62"/>
      <c r="L40" s="62"/>
    </row>
    <row r="41" spans="2:12">
      <c r="B41" s="34" t="s">
        <v>105</v>
      </c>
      <c r="C41" s="34"/>
      <c r="D41" s="34"/>
      <c r="E41" s="35"/>
      <c r="F41" s="36">
        <f>F40</f>
        <v>973.99</v>
      </c>
      <c r="G41" s="36">
        <f>G40</f>
        <v>4.3999999999999995</v>
      </c>
      <c r="H41" s="64"/>
      <c r="I41" s="62"/>
      <c r="J41" s="62"/>
      <c r="K41" s="62"/>
      <c r="L41" s="62"/>
    </row>
    <row r="42" spans="2:12">
      <c r="B42" s="44" t="s">
        <v>108</v>
      </c>
      <c r="C42" s="44"/>
      <c r="D42" s="44"/>
      <c r="E42" s="45"/>
      <c r="F42" s="16">
        <f>F43-(+F37+F41)</f>
        <v>-172.01000000000204</v>
      </c>
      <c r="G42" s="16">
        <f>G43-(+G37+G41)</f>
        <v>-0.76000000000000512</v>
      </c>
      <c r="H42" s="64"/>
      <c r="I42" s="62"/>
      <c r="J42" s="62"/>
      <c r="K42" s="62"/>
      <c r="L42" s="62"/>
    </row>
    <row r="43" spans="2:12">
      <c r="B43" s="44" t="s">
        <v>107</v>
      </c>
      <c r="C43" s="44"/>
      <c r="D43" s="44"/>
      <c r="E43" s="45"/>
      <c r="F43" s="16">
        <v>22153.58</v>
      </c>
      <c r="G43" s="16">
        <v>100</v>
      </c>
      <c r="H43" s="64"/>
      <c r="I43" s="62"/>
      <c r="J43" s="62"/>
      <c r="K43" s="62"/>
      <c r="L43" s="62"/>
    </row>
    <row r="45" spans="2:12">
      <c r="B45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2"/>
  <sheetViews>
    <sheetView topLeftCell="C1" workbookViewId="0">
      <selection activeCell="J60" sqref="J60"/>
    </sheetView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28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12.42578125" style="1" customWidth="1"/>
    <col min="9" max="9" width="10" style="1" bestFit="1" customWidth="1"/>
    <col min="10" max="10" width="26" style="1" customWidth="1"/>
    <col min="11" max="11" width="28.7109375" style="1" customWidth="1"/>
    <col min="12" max="12" width="28.5703125" style="1" customWidth="1"/>
    <col min="13" max="16384" width="9.140625" style="1"/>
  </cols>
  <sheetData>
    <row r="1" spans="2:12" ht="21" customHeight="1">
      <c r="B1" s="77" t="s">
        <v>9</v>
      </c>
      <c r="C1" s="78"/>
      <c r="D1" s="78"/>
      <c r="E1" s="78"/>
      <c r="F1" s="78"/>
      <c r="G1" s="78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67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68"/>
      <c r="H5" s="72"/>
      <c r="J5" s="79"/>
      <c r="K5" s="79"/>
      <c r="L5" s="79"/>
    </row>
    <row r="6" spans="2:12">
      <c r="B6" s="22" t="s">
        <v>30</v>
      </c>
      <c r="C6" s="23"/>
      <c r="D6" s="23"/>
      <c r="E6" s="24"/>
      <c r="F6" s="25"/>
      <c r="G6" s="69"/>
      <c r="H6" s="72"/>
      <c r="J6" s="79"/>
      <c r="K6" s="79"/>
      <c r="L6" s="79"/>
    </row>
    <row r="7" spans="2:12">
      <c r="B7" s="27" t="s">
        <v>43</v>
      </c>
      <c r="C7" s="23" t="s">
        <v>44</v>
      </c>
      <c r="D7" s="23" t="s">
        <v>45</v>
      </c>
      <c r="E7" s="28">
        <v>7775550</v>
      </c>
      <c r="F7" s="25">
        <v>63650.65</v>
      </c>
      <c r="G7" s="69">
        <v>8.02</v>
      </c>
      <c r="H7" s="70" t="s">
        <v>688</v>
      </c>
      <c r="I7" s="62"/>
      <c r="J7" s="79"/>
      <c r="K7" s="79"/>
      <c r="L7" s="79"/>
    </row>
    <row r="8" spans="2:12">
      <c r="B8" s="27" t="s">
        <v>109</v>
      </c>
      <c r="C8" s="23" t="s">
        <v>110</v>
      </c>
      <c r="D8" s="23" t="s">
        <v>45</v>
      </c>
      <c r="E8" s="28">
        <v>4052340</v>
      </c>
      <c r="F8" s="25">
        <v>58118.66</v>
      </c>
      <c r="G8" s="69">
        <v>7.33</v>
      </c>
      <c r="H8" s="70" t="s">
        <v>688</v>
      </c>
      <c r="I8" s="62"/>
      <c r="J8" s="79"/>
      <c r="K8" s="79"/>
      <c r="L8" s="79"/>
    </row>
    <row r="9" spans="2:12">
      <c r="B9" s="27" t="s">
        <v>111</v>
      </c>
      <c r="C9" s="23" t="s">
        <v>112</v>
      </c>
      <c r="D9" s="23" t="s">
        <v>113</v>
      </c>
      <c r="E9" s="28">
        <v>2882188</v>
      </c>
      <c r="F9" s="25">
        <v>44665.27</v>
      </c>
      <c r="G9" s="69">
        <v>5.63</v>
      </c>
      <c r="H9" s="70" t="s">
        <v>688</v>
      </c>
      <c r="I9" s="62"/>
      <c r="J9" s="79"/>
      <c r="K9" s="79"/>
      <c r="L9" s="79"/>
    </row>
    <row r="10" spans="2:12">
      <c r="B10" s="27" t="s">
        <v>81</v>
      </c>
      <c r="C10" s="23" t="s">
        <v>82</v>
      </c>
      <c r="D10" s="23" t="s">
        <v>83</v>
      </c>
      <c r="E10" s="28">
        <v>1707400</v>
      </c>
      <c r="F10" s="25">
        <v>42846.35</v>
      </c>
      <c r="G10" s="69">
        <v>5.4</v>
      </c>
      <c r="H10" s="70" t="s">
        <v>688</v>
      </c>
      <c r="I10" s="62"/>
      <c r="J10" s="79"/>
      <c r="K10" s="79"/>
      <c r="L10" s="79"/>
    </row>
    <row r="11" spans="2:12">
      <c r="B11" s="27" t="s">
        <v>53</v>
      </c>
      <c r="C11" s="23" t="s">
        <v>54</v>
      </c>
      <c r="D11" s="23" t="s">
        <v>45</v>
      </c>
      <c r="E11" s="28">
        <v>5725000</v>
      </c>
      <c r="F11" s="25">
        <v>30248.04</v>
      </c>
      <c r="G11" s="69">
        <v>3.81</v>
      </c>
      <c r="H11" s="70" t="s">
        <v>688</v>
      </c>
      <c r="I11" s="62"/>
      <c r="J11" s="79"/>
      <c r="K11" s="79"/>
      <c r="L11" s="79"/>
    </row>
    <row r="12" spans="2:12">
      <c r="B12" s="27" t="s">
        <v>114</v>
      </c>
      <c r="C12" s="23" t="s">
        <v>115</v>
      </c>
      <c r="D12" s="23" t="s">
        <v>45</v>
      </c>
      <c r="E12" s="28">
        <v>3633600</v>
      </c>
      <c r="F12" s="25">
        <v>26334.52</v>
      </c>
      <c r="G12" s="69">
        <v>3.32</v>
      </c>
      <c r="H12" s="70" t="s">
        <v>688</v>
      </c>
      <c r="I12" s="62"/>
      <c r="J12" s="79"/>
      <c r="K12" s="79"/>
      <c r="L12" s="79"/>
    </row>
    <row r="13" spans="2:12">
      <c r="B13" s="27" t="s">
        <v>116</v>
      </c>
      <c r="C13" s="23" t="s">
        <v>117</v>
      </c>
      <c r="D13" s="23" t="s">
        <v>118</v>
      </c>
      <c r="E13" s="28">
        <v>346535</v>
      </c>
      <c r="F13" s="25">
        <v>24982.05</v>
      </c>
      <c r="G13" s="69">
        <v>3.15</v>
      </c>
      <c r="H13" s="70" t="s">
        <v>688</v>
      </c>
      <c r="I13" s="62"/>
      <c r="J13" s="62"/>
      <c r="K13" s="1" t="s">
        <v>695</v>
      </c>
    </row>
    <row r="14" spans="2:12">
      <c r="B14" s="27" t="s">
        <v>34</v>
      </c>
      <c r="C14" s="23" t="s">
        <v>35</v>
      </c>
      <c r="D14" s="23" t="s">
        <v>36</v>
      </c>
      <c r="E14" s="28">
        <v>1277157</v>
      </c>
      <c r="F14" s="25">
        <v>23091.64</v>
      </c>
      <c r="G14" s="69">
        <v>2.91</v>
      </c>
      <c r="H14" s="70" t="s">
        <v>688</v>
      </c>
      <c r="I14" s="62"/>
      <c r="J14" s="62"/>
      <c r="K14" s="62"/>
      <c r="L14" s="62"/>
    </row>
    <row r="15" spans="2:12">
      <c r="B15" s="27" t="s">
        <v>119</v>
      </c>
      <c r="C15" s="23" t="s">
        <v>120</v>
      </c>
      <c r="D15" s="23" t="s">
        <v>121</v>
      </c>
      <c r="E15" s="28">
        <v>837400</v>
      </c>
      <c r="F15" s="25">
        <v>22085.59</v>
      </c>
      <c r="G15" s="69">
        <v>2.78</v>
      </c>
      <c r="H15" s="70" t="s">
        <v>688</v>
      </c>
      <c r="I15" s="62"/>
      <c r="J15" s="62"/>
      <c r="K15" s="62"/>
      <c r="L15" s="62"/>
    </row>
    <row r="16" spans="2:12">
      <c r="B16" s="27" t="s">
        <v>122</v>
      </c>
      <c r="C16" s="23" t="s">
        <v>123</v>
      </c>
      <c r="D16" s="23" t="s">
        <v>124</v>
      </c>
      <c r="E16" s="28">
        <v>3047334</v>
      </c>
      <c r="F16" s="25">
        <v>20659.400000000001</v>
      </c>
      <c r="G16" s="69">
        <v>2.6</v>
      </c>
      <c r="H16" s="70" t="s">
        <v>688</v>
      </c>
      <c r="I16" s="62"/>
      <c r="J16" s="62"/>
      <c r="K16" s="62"/>
      <c r="L16" s="62"/>
    </row>
    <row r="17" spans="2:12">
      <c r="B17" s="27" t="s">
        <v>125</v>
      </c>
      <c r="C17" s="23" t="s">
        <v>126</v>
      </c>
      <c r="D17" s="23" t="s">
        <v>127</v>
      </c>
      <c r="E17" s="28">
        <v>230826</v>
      </c>
      <c r="F17" s="25">
        <v>20251.63</v>
      </c>
      <c r="G17" s="69">
        <v>2.5499999999999998</v>
      </c>
      <c r="H17" s="70" t="s">
        <v>688</v>
      </c>
      <c r="I17" s="62"/>
      <c r="J17" s="62"/>
      <c r="K17" s="62"/>
      <c r="L17" s="62"/>
    </row>
    <row r="18" spans="2:12">
      <c r="B18" s="27" t="s">
        <v>128</v>
      </c>
      <c r="C18" s="23" t="s">
        <v>129</v>
      </c>
      <c r="D18" s="23" t="s">
        <v>113</v>
      </c>
      <c r="E18" s="28">
        <v>552813</v>
      </c>
      <c r="F18" s="25">
        <v>18253.330000000002</v>
      </c>
      <c r="G18" s="69">
        <v>2.2999999999999998</v>
      </c>
      <c r="H18" s="70" t="s">
        <v>688</v>
      </c>
      <c r="I18" s="62"/>
      <c r="J18" s="62"/>
      <c r="K18" s="62"/>
      <c r="L18" s="62"/>
    </row>
    <row r="19" spans="2:12">
      <c r="B19" s="27" t="s">
        <v>130</v>
      </c>
      <c r="C19" s="23" t="s">
        <v>131</v>
      </c>
      <c r="D19" s="23" t="s">
        <v>132</v>
      </c>
      <c r="E19" s="28">
        <v>1780000</v>
      </c>
      <c r="F19" s="25">
        <v>16788.96</v>
      </c>
      <c r="G19" s="69">
        <v>2.12</v>
      </c>
      <c r="H19" s="70" t="s">
        <v>688</v>
      </c>
      <c r="I19" s="62"/>
      <c r="J19" s="62"/>
      <c r="K19" s="62"/>
      <c r="L19" s="62"/>
    </row>
    <row r="20" spans="2:12">
      <c r="B20" s="27" t="s">
        <v>133</v>
      </c>
      <c r="C20" s="23" t="s">
        <v>134</v>
      </c>
      <c r="D20" s="23" t="s">
        <v>45</v>
      </c>
      <c r="E20" s="28">
        <v>876651</v>
      </c>
      <c r="F20" s="25">
        <v>15870.45</v>
      </c>
      <c r="G20" s="69">
        <v>2</v>
      </c>
      <c r="H20" s="70" t="s">
        <v>688</v>
      </c>
      <c r="I20" s="62"/>
      <c r="J20" s="62"/>
      <c r="K20" s="62"/>
      <c r="L20" s="62"/>
    </row>
    <row r="21" spans="2:12">
      <c r="B21" s="27" t="s">
        <v>102</v>
      </c>
      <c r="C21" s="23" t="s">
        <v>103</v>
      </c>
      <c r="D21" s="23" t="s">
        <v>97</v>
      </c>
      <c r="E21" s="28">
        <v>211471</v>
      </c>
      <c r="F21" s="25">
        <v>13840.35</v>
      </c>
      <c r="G21" s="69">
        <v>1.74</v>
      </c>
      <c r="H21" s="70" t="s">
        <v>688</v>
      </c>
      <c r="I21" s="62"/>
      <c r="J21" s="62"/>
      <c r="K21" s="62"/>
      <c r="L21" s="62"/>
    </row>
    <row r="22" spans="2:12">
      <c r="B22" s="27" t="s">
        <v>135</v>
      </c>
      <c r="C22" s="23" t="s">
        <v>136</v>
      </c>
      <c r="D22" s="23" t="s">
        <v>137</v>
      </c>
      <c r="E22" s="28">
        <v>301500</v>
      </c>
      <c r="F22" s="25">
        <v>12795.21</v>
      </c>
      <c r="G22" s="69">
        <v>1.61</v>
      </c>
      <c r="H22" s="70" t="s">
        <v>688</v>
      </c>
      <c r="I22" s="62"/>
      <c r="J22" s="62"/>
      <c r="K22" s="62"/>
      <c r="L22" s="62"/>
    </row>
    <row r="23" spans="2:12">
      <c r="B23" s="27" t="s">
        <v>138</v>
      </c>
      <c r="C23" s="23" t="s">
        <v>139</v>
      </c>
      <c r="D23" s="23" t="s">
        <v>140</v>
      </c>
      <c r="E23" s="28">
        <v>275709</v>
      </c>
      <c r="F23" s="25">
        <v>12085.29</v>
      </c>
      <c r="G23" s="69">
        <v>1.52</v>
      </c>
      <c r="H23" s="70" t="s">
        <v>689</v>
      </c>
      <c r="I23" s="62"/>
      <c r="J23" s="62"/>
      <c r="K23" s="62"/>
      <c r="L23" s="62"/>
    </row>
    <row r="24" spans="2:12">
      <c r="B24" s="27" t="s">
        <v>141</v>
      </c>
      <c r="C24" s="23" t="s">
        <v>142</v>
      </c>
      <c r="D24" s="23" t="s">
        <v>127</v>
      </c>
      <c r="E24" s="28">
        <v>2667500</v>
      </c>
      <c r="F24" s="25">
        <v>11993.08</v>
      </c>
      <c r="G24" s="69">
        <v>1.51</v>
      </c>
      <c r="H24" s="70" t="s">
        <v>688</v>
      </c>
      <c r="I24" s="62"/>
      <c r="J24" s="62"/>
      <c r="K24" s="62"/>
      <c r="L24" s="62"/>
    </row>
    <row r="25" spans="2:12">
      <c r="B25" s="27" t="s">
        <v>31</v>
      </c>
      <c r="C25" s="23" t="s">
        <v>32</v>
      </c>
      <c r="D25" s="23" t="s">
        <v>33</v>
      </c>
      <c r="E25" s="28">
        <v>4150000</v>
      </c>
      <c r="F25" s="25">
        <v>11420.8</v>
      </c>
      <c r="G25" s="69">
        <v>1.44</v>
      </c>
      <c r="H25" s="70" t="s">
        <v>688</v>
      </c>
      <c r="I25" s="62"/>
      <c r="J25" s="62"/>
      <c r="K25" s="62"/>
      <c r="L25" s="62"/>
    </row>
    <row r="26" spans="2:12">
      <c r="B26" s="27" t="s">
        <v>143</v>
      </c>
      <c r="C26" s="23" t="s">
        <v>144</v>
      </c>
      <c r="D26" s="23" t="s">
        <v>39</v>
      </c>
      <c r="E26" s="28">
        <v>2235250</v>
      </c>
      <c r="F26" s="25">
        <v>11372.95</v>
      </c>
      <c r="G26" s="69">
        <v>1.43</v>
      </c>
      <c r="H26" s="70" t="s">
        <v>689</v>
      </c>
      <c r="I26" s="62"/>
      <c r="J26" s="62"/>
      <c r="K26" s="62"/>
      <c r="L26" s="62"/>
    </row>
    <row r="27" spans="2:12">
      <c r="B27" s="27" t="s">
        <v>145</v>
      </c>
      <c r="C27" s="23" t="s">
        <v>146</v>
      </c>
      <c r="D27" s="23" t="s">
        <v>147</v>
      </c>
      <c r="E27" s="28">
        <v>463800</v>
      </c>
      <c r="F27" s="25">
        <v>10908.81</v>
      </c>
      <c r="G27" s="69">
        <v>1.38</v>
      </c>
      <c r="H27" s="70" t="s">
        <v>688</v>
      </c>
      <c r="I27" s="62"/>
      <c r="J27" s="62"/>
      <c r="K27" s="62"/>
      <c r="L27" s="62"/>
    </row>
    <row r="28" spans="2:12">
      <c r="B28" s="27" t="s">
        <v>148</v>
      </c>
      <c r="C28" s="23" t="s">
        <v>149</v>
      </c>
      <c r="D28" s="23" t="s">
        <v>150</v>
      </c>
      <c r="E28" s="28">
        <v>2865880</v>
      </c>
      <c r="F28" s="25">
        <v>10593.73</v>
      </c>
      <c r="G28" s="69">
        <v>1.34</v>
      </c>
      <c r="H28" s="70" t="s">
        <v>689</v>
      </c>
      <c r="I28" s="62"/>
      <c r="J28" s="62"/>
      <c r="K28" s="62"/>
      <c r="L28" s="62"/>
    </row>
    <row r="29" spans="2:12">
      <c r="B29" s="27" t="s">
        <v>151</v>
      </c>
      <c r="C29" s="23" t="s">
        <v>152</v>
      </c>
      <c r="D29" s="23" t="s">
        <v>153</v>
      </c>
      <c r="E29" s="28">
        <v>3860623</v>
      </c>
      <c r="F29" s="25">
        <v>10147.65</v>
      </c>
      <c r="G29" s="69">
        <v>1.28</v>
      </c>
      <c r="H29" s="70" t="s">
        <v>689</v>
      </c>
      <c r="I29" s="62"/>
      <c r="J29" s="62"/>
      <c r="K29" s="62"/>
      <c r="L29" s="62"/>
    </row>
    <row r="30" spans="2:12">
      <c r="B30" s="27" t="s">
        <v>154</v>
      </c>
      <c r="C30" s="23" t="s">
        <v>155</v>
      </c>
      <c r="D30" s="23" t="s">
        <v>156</v>
      </c>
      <c r="E30" s="28">
        <v>1170000</v>
      </c>
      <c r="F30" s="25">
        <v>10064.93</v>
      </c>
      <c r="G30" s="69">
        <v>1.27</v>
      </c>
      <c r="H30" s="70" t="s">
        <v>689</v>
      </c>
      <c r="I30" s="62"/>
      <c r="J30" s="62"/>
      <c r="K30" s="62"/>
      <c r="L30" s="62"/>
    </row>
    <row r="31" spans="2:12">
      <c r="B31" s="27" t="s">
        <v>157</v>
      </c>
      <c r="C31" s="23" t="s">
        <v>158</v>
      </c>
      <c r="D31" s="23" t="s">
        <v>118</v>
      </c>
      <c r="E31" s="28">
        <v>1375000</v>
      </c>
      <c r="F31" s="25">
        <v>9634.6299999999992</v>
      </c>
      <c r="G31" s="69">
        <v>1.21</v>
      </c>
      <c r="H31" s="70" t="s">
        <v>688</v>
      </c>
      <c r="I31" s="62"/>
      <c r="J31" s="62"/>
      <c r="K31" s="62"/>
      <c r="L31" s="62"/>
    </row>
    <row r="32" spans="2:12">
      <c r="B32" s="27" t="s">
        <v>159</v>
      </c>
      <c r="C32" s="23" t="s">
        <v>160</v>
      </c>
      <c r="D32" s="23" t="s">
        <v>140</v>
      </c>
      <c r="E32" s="28">
        <v>438956</v>
      </c>
      <c r="F32" s="25">
        <v>9581.5300000000007</v>
      </c>
      <c r="G32" s="69">
        <v>1.21</v>
      </c>
      <c r="H32" s="70" t="s">
        <v>689</v>
      </c>
      <c r="I32" s="62"/>
      <c r="J32" s="62"/>
      <c r="K32" s="62"/>
      <c r="L32" s="62"/>
    </row>
    <row r="33" spans="2:12">
      <c r="B33" s="27" t="s">
        <v>51</v>
      </c>
      <c r="C33" s="23" t="s">
        <v>52</v>
      </c>
      <c r="D33" s="23" t="s">
        <v>42</v>
      </c>
      <c r="E33" s="28">
        <v>346000</v>
      </c>
      <c r="F33" s="25">
        <v>9467.08</v>
      </c>
      <c r="G33" s="69">
        <v>1.19</v>
      </c>
      <c r="H33" s="70" t="s">
        <v>689</v>
      </c>
      <c r="I33" s="62"/>
      <c r="J33" s="62"/>
      <c r="K33" s="62"/>
      <c r="L33" s="62"/>
    </row>
    <row r="34" spans="2:12">
      <c r="B34" s="27" t="s">
        <v>161</v>
      </c>
      <c r="C34" s="23" t="s">
        <v>162</v>
      </c>
      <c r="D34" s="23" t="s">
        <v>163</v>
      </c>
      <c r="E34" s="28">
        <v>296473</v>
      </c>
      <c r="F34" s="25">
        <v>9160.7199999999993</v>
      </c>
      <c r="G34" s="69">
        <v>1.1499999999999999</v>
      </c>
      <c r="H34" s="70" t="s">
        <v>689</v>
      </c>
      <c r="I34" s="62"/>
      <c r="J34" s="62"/>
      <c r="K34" s="62"/>
      <c r="L34" s="62"/>
    </row>
    <row r="35" spans="2:12">
      <c r="B35" s="27" t="s">
        <v>164</v>
      </c>
      <c r="C35" s="23" t="s">
        <v>165</v>
      </c>
      <c r="D35" s="23" t="s">
        <v>166</v>
      </c>
      <c r="E35" s="28">
        <v>1125000</v>
      </c>
      <c r="F35" s="25">
        <v>9131.06</v>
      </c>
      <c r="G35" s="69">
        <v>1.1499999999999999</v>
      </c>
      <c r="H35" s="70" t="s">
        <v>688</v>
      </c>
      <c r="I35" s="62"/>
      <c r="J35" s="62"/>
      <c r="K35" s="62"/>
      <c r="L35" s="62"/>
    </row>
    <row r="36" spans="2:12">
      <c r="B36" s="27" t="s">
        <v>167</v>
      </c>
      <c r="C36" s="23" t="s">
        <v>168</v>
      </c>
      <c r="D36" s="23" t="s">
        <v>140</v>
      </c>
      <c r="E36" s="28">
        <v>102452</v>
      </c>
      <c r="F36" s="25">
        <v>9104.86</v>
      </c>
      <c r="G36" s="69">
        <v>1.1499999999999999</v>
      </c>
      <c r="H36" s="70" t="s">
        <v>689</v>
      </c>
      <c r="I36" s="62"/>
      <c r="J36" s="62"/>
      <c r="K36" s="62"/>
      <c r="L36" s="62"/>
    </row>
    <row r="37" spans="2:12">
      <c r="B37" s="27" t="s">
        <v>169</v>
      </c>
      <c r="C37" s="23" t="s">
        <v>170</v>
      </c>
      <c r="D37" s="23" t="s">
        <v>66</v>
      </c>
      <c r="E37" s="28">
        <v>980000</v>
      </c>
      <c r="F37" s="25">
        <v>8919.4699999999993</v>
      </c>
      <c r="G37" s="69">
        <v>1.1200000000000001</v>
      </c>
      <c r="H37" s="70" t="s">
        <v>689</v>
      </c>
      <c r="I37" s="62"/>
      <c r="J37" s="62"/>
      <c r="K37" s="62"/>
      <c r="L37" s="62"/>
    </row>
    <row r="38" spans="2:12">
      <c r="B38" s="27" t="s">
        <v>171</v>
      </c>
      <c r="C38" s="23" t="s">
        <v>172</v>
      </c>
      <c r="D38" s="23" t="s">
        <v>48</v>
      </c>
      <c r="E38" s="28">
        <v>1176750</v>
      </c>
      <c r="F38" s="25">
        <v>8625.58</v>
      </c>
      <c r="G38" s="69">
        <v>1.0900000000000001</v>
      </c>
      <c r="H38" s="70" t="s">
        <v>689</v>
      </c>
      <c r="I38" s="62"/>
      <c r="J38" s="62"/>
      <c r="K38" s="62"/>
      <c r="L38" s="62"/>
    </row>
    <row r="39" spans="2:12">
      <c r="B39" s="27" t="s">
        <v>173</v>
      </c>
      <c r="C39" s="23" t="s">
        <v>174</v>
      </c>
      <c r="D39" s="23" t="s">
        <v>113</v>
      </c>
      <c r="E39" s="28">
        <v>373215</v>
      </c>
      <c r="F39" s="25">
        <v>8583.2000000000007</v>
      </c>
      <c r="G39" s="69">
        <v>1.08</v>
      </c>
      <c r="H39" s="70" t="s">
        <v>688</v>
      </c>
      <c r="I39" s="62"/>
      <c r="J39" s="62"/>
      <c r="K39" s="62"/>
      <c r="L39" s="62"/>
    </row>
    <row r="40" spans="2:12">
      <c r="B40" s="27" t="s">
        <v>175</v>
      </c>
      <c r="C40" s="23" t="s">
        <v>176</v>
      </c>
      <c r="D40" s="23" t="s">
        <v>132</v>
      </c>
      <c r="E40" s="28">
        <v>42110</v>
      </c>
      <c r="F40" s="25">
        <v>8428.36</v>
      </c>
      <c r="G40" s="69">
        <v>1.06</v>
      </c>
      <c r="H40" s="70" t="s">
        <v>689</v>
      </c>
      <c r="I40" s="62"/>
      <c r="J40" s="62"/>
      <c r="K40" s="62"/>
      <c r="L40" s="62"/>
    </row>
    <row r="41" spans="2:12">
      <c r="B41" s="27" t="s">
        <v>95</v>
      </c>
      <c r="C41" s="23" t="s">
        <v>96</v>
      </c>
      <c r="D41" s="23" t="s">
        <v>97</v>
      </c>
      <c r="E41" s="28">
        <v>334625</v>
      </c>
      <c r="F41" s="25">
        <v>8379.51</v>
      </c>
      <c r="G41" s="69">
        <v>1.06</v>
      </c>
      <c r="H41" s="70" t="s">
        <v>689</v>
      </c>
      <c r="I41" s="62"/>
      <c r="J41" s="62"/>
      <c r="K41" s="62"/>
      <c r="L41" s="62"/>
    </row>
    <row r="42" spans="2:12">
      <c r="B42" s="27" t="s">
        <v>177</v>
      </c>
      <c r="C42" s="23" t="s">
        <v>178</v>
      </c>
      <c r="D42" s="23" t="s">
        <v>39</v>
      </c>
      <c r="E42" s="28">
        <v>1446430</v>
      </c>
      <c r="F42" s="25">
        <v>8220.7800000000007</v>
      </c>
      <c r="G42" s="69">
        <v>1.04</v>
      </c>
      <c r="H42" s="70" t="s">
        <v>689</v>
      </c>
      <c r="I42" s="62"/>
      <c r="J42" s="62"/>
      <c r="K42" s="62"/>
      <c r="L42" s="62"/>
    </row>
    <row r="43" spans="2:12">
      <c r="B43" s="27" t="s">
        <v>179</v>
      </c>
      <c r="C43" s="23" t="s">
        <v>180</v>
      </c>
      <c r="D43" s="23" t="s">
        <v>48</v>
      </c>
      <c r="E43" s="28">
        <v>350427</v>
      </c>
      <c r="F43" s="25">
        <v>8120.97</v>
      </c>
      <c r="G43" s="69">
        <v>1.02</v>
      </c>
      <c r="H43" s="70" t="s">
        <v>689</v>
      </c>
      <c r="I43" s="62"/>
      <c r="J43" s="62"/>
      <c r="K43" s="62"/>
      <c r="L43" s="62"/>
    </row>
    <row r="44" spans="2:12">
      <c r="B44" s="27" t="s">
        <v>181</v>
      </c>
      <c r="C44" s="23" t="s">
        <v>182</v>
      </c>
      <c r="D44" s="23" t="s">
        <v>118</v>
      </c>
      <c r="E44" s="28">
        <v>340900</v>
      </c>
      <c r="F44" s="25">
        <v>8105.92</v>
      </c>
      <c r="G44" s="69">
        <v>1.02</v>
      </c>
      <c r="H44" s="70" t="s">
        <v>688</v>
      </c>
      <c r="I44" s="62"/>
      <c r="J44" s="62"/>
      <c r="K44" s="62"/>
      <c r="L44" s="62"/>
    </row>
    <row r="45" spans="2:12">
      <c r="B45" s="27" t="s">
        <v>183</v>
      </c>
      <c r="C45" s="23" t="s">
        <v>184</v>
      </c>
      <c r="D45" s="23" t="s">
        <v>118</v>
      </c>
      <c r="E45" s="28">
        <v>1315871</v>
      </c>
      <c r="F45" s="25">
        <v>7843.91</v>
      </c>
      <c r="G45" s="69">
        <v>0.99</v>
      </c>
      <c r="H45" s="70" t="s">
        <v>690</v>
      </c>
      <c r="I45" s="62"/>
      <c r="J45" s="62"/>
      <c r="K45" s="62"/>
      <c r="L45" s="62"/>
    </row>
    <row r="46" spans="2:12">
      <c r="B46" s="27" t="s">
        <v>185</v>
      </c>
      <c r="C46" s="23" t="s">
        <v>186</v>
      </c>
      <c r="D46" s="23" t="s">
        <v>147</v>
      </c>
      <c r="E46" s="28">
        <v>393000</v>
      </c>
      <c r="F46" s="25">
        <v>7709.28</v>
      </c>
      <c r="G46" s="69">
        <v>0.97</v>
      </c>
      <c r="H46" s="70" t="s">
        <v>689</v>
      </c>
      <c r="I46" s="62"/>
      <c r="J46" s="62"/>
      <c r="K46" s="62"/>
      <c r="L46" s="62"/>
    </row>
    <row r="47" spans="2:12">
      <c r="B47" s="27" t="s">
        <v>187</v>
      </c>
      <c r="C47" s="23" t="s">
        <v>188</v>
      </c>
      <c r="D47" s="23" t="s">
        <v>118</v>
      </c>
      <c r="E47" s="28">
        <v>820000</v>
      </c>
      <c r="F47" s="25">
        <v>7701.85</v>
      </c>
      <c r="G47" s="69">
        <v>0.97</v>
      </c>
      <c r="H47" s="70" t="s">
        <v>688</v>
      </c>
      <c r="I47" s="62"/>
      <c r="J47" s="62"/>
      <c r="K47" s="62"/>
      <c r="L47" s="62"/>
    </row>
    <row r="48" spans="2:12">
      <c r="B48" s="27" t="s">
        <v>69</v>
      </c>
      <c r="C48" s="23" t="s">
        <v>70</v>
      </c>
      <c r="D48" s="23" t="s">
        <v>71</v>
      </c>
      <c r="E48" s="28">
        <v>431712</v>
      </c>
      <c r="F48" s="25">
        <v>7641.73</v>
      </c>
      <c r="G48" s="69">
        <v>0.96</v>
      </c>
      <c r="H48" s="70" t="s">
        <v>690</v>
      </c>
      <c r="I48" s="62"/>
      <c r="J48" s="62"/>
      <c r="K48" s="62"/>
      <c r="L48" s="62"/>
    </row>
    <row r="49" spans="2:12">
      <c r="B49" s="27" t="s">
        <v>189</v>
      </c>
      <c r="C49" s="23" t="s">
        <v>190</v>
      </c>
      <c r="D49" s="23" t="s">
        <v>147</v>
      </c>
      <c r="E49" s="28">
        <v>671429</v>
      </c>
      <c r="F49" s="25">
        <v>6746.18</v>
      </c>
      <c r="G49" s="69">
        <v>0.85</v>
      </c>
      <c r="H49" s="70" t="s">
        <v>689</v>
      </c>
      <c r="I49" s="62"/>
      <c r="J49" s="62"/>
      <c r="K49" s="62"/>
      <c r="L49" s="62"/>
    </row>
    <row r="50" spans="2:12">
      <c r="B50" s="27" t="s">
        <v>100</v>
      </c>
      <c r="C50" s="23" t="s">
        <v>101</v>
      </c>
      <c r="D50" s="23" t="s">
        <v>86</v>
      </c>
      <c r="E50" s="28">
        <v>1451413</v>
      </c>
      <c r="F50" s="25">
        <v>6460.96</v>
      </c>
      <c r="G50" s="69">
        <v>0.81</v>
      </c>
      <c r="H50" s="70" t="s">
        <v>689</v>
      </c>
      <c r="I50" s="62"/>
      <c r="J50" s="62"/>
      <c r="K50" s="62"/>
      <c r="L50" s="62"/>
    </row>
    <row r="51" spans="2:12">
      <c r="B51" s="27" t="s">
        <v>191</v>
      </c>
      <c r="C51" s="23" t="s">
        <v>192</v>
      </c>
      <c r="D51" s="23" t="s">
        <v>132</v>
      </c>
      <c r="E51" s="28">
        <v>242434</v>
      </c>
      <c r="F51" s="25">
        <v>5480.34</v>
      </c>
      <c r="G51" s="69">
        <v>0.69</v>
      </c>
      <c r="H51" s="70" t="s">
        <v>688</v>
      </c>
      <c r="I51" s="62"/>
      <c r="J51" s="62"/>
      <c r="K51" s="62"/>
      <c r="L51" s="62"/>
    </row>
    <row r="52" spans="2:12">
      <c r="B52" s="27" t="s">
        <v>72</v>
      </c>
      <c r="C52" s="23" t="s">
        <v>73</v>
      </c>
      <c r="D52" s="23" t="s">
        <v>74</v>
      </c>
      <c r="E52" s="28">
        <v>12347</v>
      </c>
      <c r="F52" s="25">
        <v>4961.3599999999997</v>
      </c>
      <c r="G52" s="69">
        <v>0.63</v>
      </c>
      <c r="H52" s="70" t="s">
        <v>689</v>
      </c>
      <c r="I52" s="62"/>
      <c r="J52" s="62"/>
      <c r="K52" s="62"/>
      <c r="L52" s="62"/>
    </row>
    <row r="53" spans="2:12">
      <c r="B53" s="27" t="s">
        <v>193</v>
      </c>
      <c r="C53" s="23" t="s">
        <v>194</v>
      </c>
      <c r="D53" s="23" t="s">
        <v>156</v>
      </c>
      <c r="E53" s="28">
        <v>820000</v>
      </c>
      <c r="F53" s="25">
        <v>4555.1000000000004</v>
      </c>
      <c r="G53" s="69">
        <v>0.56999999999999995</v>
      </c>
      <c r="H53" s="70" t="s">
        <v>688</v>
      </c>
      <c r="I53" s="62"/>
      <c r="J53" s="62"/>
      <c r="K53" s="62"/>
      <c r="L53" s="62"/>
    </row>
    <row r="54" spans="2:12">
      <c r="B54" s="27" t="s">
        <v>89</v>
      </c>
      <c r="C54" s="23" t="s">
        <v>90</v>
      </c>
      <c r="D54" s="23" t="s">
        <v>91</v>
      </c>
      <c r="E54" s="28">
        <v>1075000</v>
      </c>
      <c r="F54" s="25">
        <v>4461.79</v>
      </c>
      <c r="G54" s="69">
        <v>0.56000000000000005</v>
      </c>
      <c r="H54" s="70" t="s">
        <v>688</v>
      </c>
      <c r="I54" s="62"/>
      <c r="J54" s="62"/>
      <c r="K54" s="62"/>
      <c r="L54" s="62"/>
    </row>
    <row r="55" spans="2:12">
      <c r="B55" s="27" t="s">
        <v>195</v>
      </c>
      <c r="C55" s="23" t="s">
        <v>196</v>
      </c>
      <c r="D55" s="23" t="s">
        <v>113</v>
      </c>
      <c r="E55" s="28">
        <v>445000</v>
      </c>
      <c r="F55" s="25">
        <v>4220.38</v>
      </c>
      <c r="G55" s="69">
        <v>0.53</v>
      </c>
      <c r="H55" s="70" t="s">
        <v>688</v>
      </c>
      <c r="I55" s="62"/>
      <c r="J55" s="62"/>
      <c r="K55" s="62"/>
      <c r="L55" s="62"/>
    </row>
    <row r="56" spans="2:12">
      <c r="B56" s="27" t="s">
        <v>197</v>
      </c>
      <c r="C56" s="23" t="s">
        <v>198</v>
      </c>
      <c r="D56" s="23" t="s">
        <v>147</v>
      </c>
      <c r="E56" s="28">
        <v>109500</v>
      </c>
      <c r="F56" s="25">
        <v>3650.46</v>
      </c>
      <c r="G56" s="69">
        <v>0.46</v>
      </c>
      <c r="H56" s="70" t="s">
        <v>688</v>
      </c>
      <c r="I56" s="62"/>
      <c r="J56" s="62"/>
      <c r="K56" s="62"/>
      <c r="L56" s="62"/>
    </row>
    <row r="57" spans="2:12">
      <c r="B57" s="27" t="s">
        <v>199</v>
      </c>
      <c r="C57" s="23" t="s">
        <v>200</v>
      </c>
      <c r="D57" s="23" t="s">
        <v>48</v>
      </c>
      <c r="E57" s="28">
        <v>280000</v>
      </c>
      <c r="F57" s="25">
        <v>3466.4</v>
      </c>
      <c r="G57" s="69">
        <v>0.44</v>
      </c>
      <c r="H57" s="70" t="s">
        <v>690</v>
      </c>
      <c r="I57" s="62"/>
      <c r="J57" s="62"/>
      <c r="K57" s="62"/>
      <c r="L57" s="62"/>
    </row>
    <row r="58" spans="2:12">
      <c r="B58" s="27" t="s">
        <v>201</v>
      </c>
      <c r="C58" s="23" t="s">
        <v>202</v>
      </c>
      <c r="D58" s="23" t="s">
        <v>132</v>
      </c>
      <c r="E58" s="28">
        <v>326786</v>
      </c>
      <c r="F58" s="25">
        <v>3268.68</v>
      </c>
      <c r="G58" s="69">
        <v>0.41</v>
      </c>
      <c r="H58" s="70" t="s">
        <v>689</v>
      </c>
      <c r="I58" s="62"/>
      <c r="J58" s="62"/>
      <c r="K58" s="62"/>
      <c r="L58" s="62"/>
    </row>
    <row r="59" spans="2:12">
      <c r="B59" s="27" t="s">
        <v>203</v>
      </c>
      <c r="C59" s="23" t="s">
        <v>204</v>
      </c>
      <c r="D59" s="23" t="s">
        <v>153</v>
      </c>
      <c r="E59" s="28">
        <v>263500</v>
      </c>
      <c r="F59" s="25">
        <v>1449.91</v>
      </c>
      <c r="G59" s="69">
        <v>0.18</v>
      </c>
      <c r="H59" s="70" t="s">
        <v>689</v>
      </c>
      <c r="I59" s="62"/>
      <c r="J59" s="62"/>
      <c r="K59" s="62"/>
      <c r="L59" s="62"/>
    </row>
    <row r="60" spans="2:12">
      <c r="B60" s="27" t="s">
        <v>205</v>
      </c>
      <c r="C60" s="23" t="s">
        <v>206</v>
      </c>
      <c r="D60" s="23" t="s">
        <v>39</v>
      </c>
      <c r="E60" s="28">
        <v>42500</v>
      </c>
      <c r="F60" s="25">
        <v>982.28</v>
      </c>
      <c r="G60" s="69">
        <v>0.12</v>
      </c>
      <c r="H60" s="70" t="s">
        <v>689</v>
      </c>
      <c r="I60" s="62"/>
      <c r="J60" s="62"/>
      <c r="K60" s="62"/>
      <c r="L60" s="62"/>
    </row>
    <row r="61" spans="2:12">
      <c r="B61" s="27" t="s">
        <v>207</v>
      </c>
      <c r="C61" s="23" t="s">
        <v>208</v>
      </c>
      <c r="D61" s="23" t="s">
        <v>132</v>
      </c>
      <c r="E61" s="28">
        <v>16532</v>
      </c>
      <c r="F61" s="25">
        <v>633.45000000000005</v>
      </c>
      <c r="G61" s="69">
        <v>0.08</v>
      </c>
      <c r="H61" s="70" t="s">
        <v>688</v>
      </c>
      <c r="I61" s="62"/>
      <c r="J61" s="62"/>
      <c r="K61" s="62"/>
      <c r="L61" s="62"/>
    </row>
    <row r="62" spans="2:12" ht="12.75" thickBot="1">
      <c r="B62" s="27" t="s">
        <v>209</v>
      </c>
      <c r="C62" s="23" t="s">
        <v>210</v>
      </c>
      <c r="D62" s="23" t="s">
        <v>124</v>
      </c>
      <c r="E62" s="28">
        <v>87309</v>
      </c>
      <c r="F62" s="25">
        <v>256.12</v>
      </c>
      <c r="G62" s="69">
        <v>0.03</v>
      </c>
      <c r="H62" s="71" t="s">
        <v>688</v>
      </c>
      <c r="I62" s="62"/>
      <c r="J62" s="62"/>
      <c r="K62" s="62"/>
      <c r="L62" s="62"/>
    </row>
    <row r="63" spans="2:12">
      <c r="B63" s="29" t="s">
        <v>104</v>
      </c>
      <c r="C63" s="30"/>
      <c r="D63" s="30"/>
      <c r="E63" s="31"/>
      <c r="F63" s="32">
        <f>SUM(F7:F62)</f>
        <v>748023.19000000006</v>
      </c>
      <c r="G63" s="32">
        <f>SUM(G7:G62)</f>
        <v>94.239999999999966</v>
      </c>
      <c r="H63" s="14"/>
      <c r="I63" s="62"/>
      <c r="J63" s="62"/>
      <c r="K63" s="62"/>
      <c r="L63" s="62"/>
    </row>
    <row r="64" spans="2:12">
      <c r="B64" s="37" t="s">
        <v>105</v>
      </c>
      <c r="C64" s="37"/>
      <c r="D64" s="37"/>
      <c r="E64" s="38"/>
      <c r="F64" s="39">
        <f>F63</f>
        <v>748023.19000000006</v>
      </c>
      <c r="G64" s="39">
        <f>G63</f>
        <v>94.239999999999966</v>
      </c>
      <c r="H64" s="14"/>
      <c r="I64" s="62"/>
      <c r="J64" s="62"/>
      <c r="K64" s="62"/>
      <c r="L64" s="62"/>
    </row>
    <row r="65" spans="2:12">
      <c r="B65" s="40" t="s">
        <v>106</v>
      </c>
      <c r="C65" s="41"/>
      <c r="D65" s="41"/>
      <c r="E65" s="42"/>
      <c r="F65" s="43"/>
      <c r="G65" s="43"/>
      <c r="I65" s="62"/>
      <c r="J65" s="62"/>
      <c r="K65" s="62"/>
      <c r="L65" s="62"/>
    </row>
    <row r="66" spans="2:12">
      <c r="B66" s="27" t="s">
        <v>106</v>
      </c>
      <c r="C66" s="27"/>
      <c r="D66" s="23"/>
      <c r="E66" s="24"/>
      <c r="F66" s="25">
        <v>47246.8</v>
      </c>
      <c r="G66" s="25">
        <v>5.96</v>
      </c>
      <c r="I66" s="62"/>
      <c r="J66" s="62"/>
      <c r="K66" s="62"/>
      <c r="L66" s="62"/>
    </row>
    <row r="67" spans="2:12">
      <c r="B67" s="29" t="s">
        <v>104</v>
      </c>
      <c r="C67" s="30"/>
      <c r="D67" s="30"/>
      <c r="E67" s="31"/>
      <c r="F67" s="32">
        <f>SUM(F65:F66)</f>
        <v>47246.8</v>
      </c>
      <c r="G67" s="32">
        <f>SUM(G65:G66)</f>
        <v>5.96</v>
      </c>
      <c r="H67" s="14"/>
      <c r="I67" s="62"/>
      <c r="J67" s="62"/>
      <c r="K67" s="62"/>
      <c r="L67" s="62"/>
    </row>
    <row r="68" spans="2:12">
      <c r="B68" s="34" t="s">
        <v>105</v>
      </c>
      <c r="C68" s="34"/>
      <c r="D68" s="34"/>
      <c r="E68" s="35"/>
      <c r="F68" s="36">
        <f>F67</f>
        <v>47246.8</v>
      </c>
      <c r="G68" s="36">
        <f>G67</f>
        <v>5.96</v>
      </c>
      <c r="H68" s="14"/>
      <c r="I68" s="62"/>
      <c r="J68" s="62"/>
      <c r="K68" s="62"/>
      <c r="L68" s="62"/>
    </row>
    <row r="69" spans="2:12">
      <c r="B69" s="44" t="s">
        <v>108</v>
      </c>
      <c r="C69" s="44"/>
      <c r="D69" s="44"/>
      <c r="E69" s="45"/>
      <c r="F69" s="16">
        <f>F70-(+F64+F68)</f>
        <v>-1903.5900000000838</v>
      </c>
      <c r="G69" s="16">
        <f>G70-(+G64+G68)</f>
        <v>-0.19999999999996021</v>
      </c>
      <c r="H69" s="14"/>
      <c r="I69" s="62"/>
      <c r="J69" s="62"/>
      <c r="K69" s="62"/>
      <c r="L69" s="62"/>
    </row>
    <row r="70" spans="2:12">
      <c r="B70" s="44" t="s">
        <v>107</v>
      </c>
      <c r="C70" s="44"/>
      <c r="D70" s="44"/>
      <c r="E70" s="45"/>
      <c r="F70" s="16">
        <v>793366.4</v>
      </c>
      <c r="G70" s="16">
        <v>100</v>
      </c>
      <c r="H70" s="14"/>
      <c r="I70" s="62"/>
      <c r="J70" s="62"/>
      <c r="K70" s="62"/>
      <c r="L70" s="62"/>
    </row>
    <row r="72" spans="2:12">
      <c r="B72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0"/>
  <sheetViews>
    <sheetView topLeftCell="D1" workbookViewId="0">
      <selection activeCell="J5" sqref="J5:J12"/>
    </sheetView>
  </sheetViews>
  <sheetFormatPr defaultRowHeight="12"/>
  <cols>
    <col min="1" max="1" width="9.140625" style="1"/>
    <col min="2" max="2" width="54" style="1" bestFit="1" customWidth="1"/>
    <col min="3" max="3" width="13.5703125" style="1" bestFit="1" customWidth="1"/>
    <col min="4" max="4" width="28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12" style="1" customWidth="1"/>
    <col min="9" max="9" width="10" style="1" bestFit="1" customWidth="1"/>
    <col min="10" max="10" width="29" style="1" customWidth="1"/>
    <col min="11" max="11" width="30.85546875" style="1" customWidth="1"/>
    <col min="12" max="12" width="29.5703125" style="1" customWidth="1"/>
    <col min="13" max="16384" width="9.140625" style="1"/>
  </cols>
  <sheetData>
    <row r="1" spans="2:12" ht="21" customHeight="1">
      <c r="B1" s="77" t="s">
        <v>10</v>
      </c>
      <c r="C1" s="78"/>
      <c r="D1" s="78"/>
      <c r="E1" s="78"/>
      <c r="F1" s="78"/>
      <c r="G1" s="78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20"/>
      <c r="H5" s="72"/>
      <c r="J5" s="79"/>
      <c r="K5" s="79"/>
      <c r="L5" s="79"/>
    </row>
    <row r="6" spans="2:12">
      <c r="B6" s="22" t="s">
        <v>30</v>
      </c>
      <c r="C6" s="23"/>
      <c r="D6" s="23"/>
      <c r="E6" s="24"/>
      <c r="F6" s="25"/>
      <c r="G6" s="25"/>
      <c r="H6" s="72"/>
      <c r="J6" s="79"/>
      <c r="K6" s="79"/>
      <c r="L6" s="79"/>
    </row>
    <row r="7" spans="2:12">
      <c r="B7" s="27" t="s">
        <v>43</v>
      </c>
      <c r="C7" s="23" t="s">
        <v>44</v>
      </c>
      <c r="D7" s="23" t="s">
        <v>45</v>
      </c>
      <c r="E7" s="28">
        <v>3896000</v>
      </c>
      <c r="F7" s="25">
        <v>31892.66</v>
      </c>
      <c r="G7" s="25">
        <v>8.06</v>
      </c>
      <c r="H7" s="70" t="s">
        <v>688</v>
      </c>
      <c r="I7" s="62"/>
      <c r="J7" s="79"/>
      <c r="K7" s="79"/>
      <c r="L7" s="79"/>
    </row>
    <row r="8" spans="2:12">
      <c r="B8" s="27" t="s">
        <v>109</v>
      </c>
      <c r="C8" s="23" t="s">
        <v>110</v>
      </c>
      <c r="D8" s="23" t="s">
        <v>45</v>
      </c>
      <c r="E8" s="28">
        <v>1872184</v>
      </c>
      <c r="F8" s="25">
        <v>26850.86</v>
      </c>
      <c r="G8" s="25">
        <v>6.79</v>
      </c>
      <c r="H8" s="70" t="s">
        <v>688</v>
      </c>
      <c r="I8" s="62"/>
      <c r="J8" s="79"/>
      <c r="K8" s="79"/>
      <c r="L8" s="79"/>
    </row>
    <row r="9" spans="2:12">
      <c r="B9" s="27" t="s">
        <v>111</v>
      </c>
      <c r="C9" s="23" t="s">
        <v>112</v>
      </c>
      <c r="D9" s="23" t="s">
        <v>113</v>
      </c>
      <c r="E9" s="28">
        <v>1671310</v>
      </c>
      <c r="F9" s="25">
        <v>25900.29</v>
      </c>
      <c r="G9" s="25">
        <v>6.55</v>
      </c>
      <c r="H9" s="70" t="s">
        <v>688</v>
      </c>
      <c r="I9" s="62"/>
      <c r="J9" s="79"/>
      <c r="K9" s="79"/>
      <c r="L9" s="79"/>
    </row>
    <row r="10" spans="2:12">
      <c r="B10" s="27" t="s">
        <v>81</v>
      </c>
      <c r="C10" s="23" t="s">
        <v>82</v>
      </c>
      <c r="D10" s="23" t="s">
        <v>83</v>
      </c>
      <c r="E10" s="28">
        <v>698500</v>
      </c>
      <c r="F10" s="25">
        <v>17528.509999999998</v>
      </c>
      <c r="G10" s="25">
        <v>4.43</v>
      </c>
      <c r="H10" s="70" t="s">
        <v>688</v>
      </c>
      <c r="I10" s="62"/>
      <c r="J10" s="79"/>
      <c r="K10" s="79"/>
      <c r="L10" s="79"/>
    </row>
    <row r="11" spans="2:12">
      <c r="B11" s="27" t="s">
        <v>53</v>
      </c>
      <c r="C11" s="23" t="s">
        <v>54</v>
      </c>
      <c r="D11" s="23" t="s">
        <v>45</v>
      </c>
      <c r="E11" s="28">
        <v>2640000</v>
      </c>
      <c r="F11" s="25">
        <v>13948.44</v>
      </c>
      <c r="G11" s="25">
        <v>3.52</v>
      </c>
      <c r="H11" s="70" t="s">
        <v>688</v>
      </c>
      <c r="I11" s="62"/>
      <c r="J11" s="79"/>
      <c r="K11" s="79"/>
      <c r="L11" s="79"/>
    </row>
    <row r="12" spans="2:12">
      <c r="B12" s="27" t="s">
        <v>114</v>
      </c>
      <c r="C12" s="23" t="s">
        <v>115</v>
      </c>
      <c r="D12" s="23" t="s">
        <v>45</v>
      </c>
      <c r="E12" s="28">
        <v>1783000</v>
      </c>
      <c r="F12" s="25">
        <v>12922.29</v>
      </c>
      <c r="G12" s="25">
        <v>3.27</v>
      </c>
      <c r="H12" s="70" t="s">
        <v>688</v>
      </c>
      <c r="I12" s="62"/>
      <c r="J12" s="79"/>
      <c r="K12" s="79"/>
      <c r="L12" s="79"/>
    </row>
    <row r="13" spans="2:12">
      <c r="B13" s="27" t="s">
        <v>128</v>
      </c>
      <c r="C13" s="23" t="s">
        <v>129</v>
      </c>
      <c r="D13" s="23" t="s">
        <v>113</v>
      </c>
      <c r="E13" s="28">
        <v>323712</v>
      </c>
      <c r="F13" s="25">
        <v>10688.65</v>
      </c>
      <c r="G13" s="25">
        <v>2.7</v>
      </c>
      <c r="H13" s="70" t="s">
        <v>688</v>
      </c>
      <c r="I13" s="62"/>
      <c r="J13" s="62"/>
      <c r="K13" s="62" t="s">
        <v>696</v>
      </c>
    </row>
    <row r="14" spans="2:12">
      <c r="B14" s="27" t="s">
        <v>125</v>
      </c>
      <c r="C14" s="23" t="s">
        <v>126</v>
      </c>
      <c r="D14" s="23" t="s">
        <v>127</v>
      </c>
      <c r="E14" s="28">
        <v>109000</v>
      </c>
      <c r="F14" s="25">
        <v>9563.17</v>
      </c>
      <c r="G14" s="25">
        <v>2.42</v>
      </c>
      <c r="H14" s="70" t="s">
        <v>688</v>
      </c>
      <c r="I14" s="62"/>
      <c r="J14" s="62"/>
      <c r="K14" s="62"/>
      <c r="L14" s="62"/>
    </row>
    <row r="15" spans="2:12">
      <c r="B15" s="27" t="s">
        <v>116</v>
      </c>
      <c r="C15" s="23" t="s">
        <v>117</v>
      </c>
      <c r="D15" s="23" t="s">
        <v>118</v>
      </c>
      <c r="E15" s="28">
        <v>130450</v>
      </c>
      <c r="F15" s="25">
        <v>9404.27</v>
      </c>
      <c r="G15" s="25">
        <v>2.38</v>
      </c>
      <c r="H15" s="70" t="s">
        <v>688</v>
      </c>
      <c r="I15" s="62"/>
      <c r="J15" s="62"/>
      <c r="K15" s="62"/>
      <c r="L15" s="62"/>
    </row>
    <row r="16" spans="2:12">
      <c r="B16" s="27" t="s">
        <v>51</v>
      </c>
      <c r="C16" s="23" t="s">
        <v>52</v>
      </c>
      <c r="D16" s="23" t="s">
        <v>42</v>
      </c>
      <c r="E16" s="28">
        <v>337500</v>
      </c>
      <c r="F16" s="25">
        <v>9234.51</v>
      </c>
      <c r="G16" s="25">
        <v>2.33</v>
      </c>
      <c r="H16" s="70" t="s">
        <v>689</v>
      </c>
      <c r="I16" s="62"/>
      <c r="J16" s="62"/>
      <c r="K16" s="62"/>
      <c r="L16" s="62"/>
    </row>
    <row r="17" spans="2:12">
      <c r="B17" s="27" t="s">
        <v>37</v>
      </c>
      <c r="C17" s="23" t="s">
        <v>38</v>
      </c>
      <c r="D17" s="23" t="s">
        <v>39</v>
      </c>
      <c r="E17" s="28">
        <v>330381</v>
      </c>
      <c r="F17" s="25">
        <v>9186.24</v>
      </c>
      <c r="G17" s="25">
        <v>2.3199999999999998</v>
      </c>
      <c r="H17" s="70" t="s">
        <v>689</v>
      </c>
      <c r="I17" s="62"/>
      <c r="J17" s="62"/>
      <c r="K17" s="62"/>
      <c r="L17" s="62"/>
    </row>
    <row r="18" spans="2:12">
      <c r="B18" s="27" t="s">
        <v>119</v>
      </c>
      <c r="C18" s="23" t="s">
        <v>120</v>
      </c>
      <c r="D18" s="23" t="s">
        <v>121</v>
      </c>
      <c r="E18" s="28">
        <v>346690</v>
      </c>
      <c r="F18" s="25">
        <v>9143.6</v>
      </c>
      <c r="G18" s="25">
        <v>2.31</v>
      </c>
      <c r="H18" s="70" t="s">
        <v>688</v>
      </c>
      <c r="I18" s="62"/>
      <c r="J18" s="62"/>
      <c r="K18" s="62"/>
      <c r="L18" s="62"/>
    </row>
    <row r="19" spans="2:12">
      <c r="B19" s="27" t="s">
        <v>122</v>
      </c>
      <c r="C19" s="23" t="s">
        <v>123</v>
      </c>
      <c r="D19" s="23" t="s">
        <v>124</v>
      </c>
      <c r="E19" s="28">
        <v>1265000</v>
      </c>
      <c r="F19" s="25">
        <v>8576.07</v>
      </c>
      <c r="G19" s="25">
        <v>2.17</v>
      </c>
      <c r="H19" s="70" t="s">
        <v>688</v>
      </c>
      <c r="I19" s="62"/>
      <c r="J19" s="62"/>
      <c r="K19" s="62"/>
      <c r="L19" s="62"/>
    </row>
    <row r="20" spans="2:12">
      <c r="B20" s="27" t="s">
        <v>130</v>
      </c>
      <c r="C20" s="23" t="s">
        <v>131</v>
      </c>
      <c r="D20" s="23" t="s">
        <v>132</v>
      </c>
      <c r="E20" s="28">
        <v>845000</v>
      </c>
      <c r="F20" s="25">
        <v>7970.04</v>
      </c>
      <c r="G20" s="25">
        <v>2.0099999999999998</v>
      </c>
      <c r="H20" s="70" t="s">
        <v>688</v>
      </c>
      <c r="I20" s="62"/>
      <c r="J20" s="62"/>
      <c r="K20" s="62"/>
      <c r="L20" s="62"/>
    </row>
    <row r="21" spans="2:12">
      <c r="B21" s="27" t="s">
        <v>211</v>
      </c>
      <c r="C21" s="23" t="s">
        <v>212</v>
      </c>
      <c r="D21" s="23" t="s">
        <v>213</v>
      </c>
      <c r="E21" s="28">
        <v>930000</v>
      </c>
      <c r="F21" s="25">
        <v>7244.7</v>
      </c>
      <c r="G21" s="25">
        <v>1.83</v>
      </c>
      <c r="H21" s="70" t="s">
        <v>688</v>
      </c>
      <c r="I21" s="62"/>
      <c r="J21" s="62"/>
      <c r="K21" s="62"/>
      <c r="L21" s="62"/>
    </row>
    <row r="22" spans="2:12">
      <c r="B22" s="27" t="s">
        <v>133</v>
      </c>
      <c r="C22" s="23" t="s">
        <v>134</v>
      </c>
      <c r="D22" s="23" t="s">
        <v>45</v>
      </c>
      <c r="E22" s="28">
        <v>397500</v>
      </c>
      <c r="F22" s="25">
        <v>7196.14</v>
      </c>
      <c r="G22" s="25">
        <v>1.82</v>
      </c>
      <c r="H22" s="70" t="s">
        <v>688</v>
      </c>
      <c r="I22" s="62"/>
      <c r="J22" s="62"/>
      <c r="K22" s="62"/>
      <c r="L22" s="62"/>
    </row>
    <row r="23" spans="2:12">
      <c r="B23" s="27" t="s">
        <v>181</v>
      </c>
      <c r="C23" s="23" t="s">
        <v>182</v>
      </c>
      <c r="D23" s="23" t="s">
        <v>118</v>
      </c>
      <c r="E23" s="28">
        <v>297500</v>
      </c>
      <c r="F23" s="25">
        <v>7073.96</v>
      </c>
      <c r="G23" s="25">
        <v>1.79</v>
      </c>
      <c r="H23" s="70" t="s">
        <v>688</v>
      </c>
      <c r="I23" s="62"/>
      <c r="J23" s="62"/>
      <c r="K23" s="62"/>
      <c r="L23" s="62"/>
    </row>
    <row r="24" spans="2:12">
      <c r="B24" s="27" t="s">
        <v>138</v>
      </c>
      <c r="C24" s="23" t="s">
        <v>139</v>
      </c>
      <c r="D24" s="23" t="s">
        <v>140</v>
      </c>
      <c r="E24" s="28">
        <v>158349</v>
      </c>
      <c r="F24" s="25">
        <v>6940.99</v>
      </c>
      <c r="G24" s="25">
        <v>1.75</v>
      </c>
      <c r="H24" s="70" t="s">
        <v>689</v>
      </c>
      <c r="I24" s="62"/>
      <c r="J24" s="62"/>
      <c r="K24" s="62"/>
      <c r="L24" s="62"/>
    </row>
    <row r="25" spans="2:12">
      <c r="B25" s="27" t="s">
        <v>34</v>
      </c>
      <c r="C25" s="23" t="s">
        <v>35</v>
      </c>
      <c r="D25" s="23" t="s">
        <v>36</v>
      </c>
      <c r="E25" s="28">
        <v>380000</v>
      </c>
      <c r="F25" s="25">
        <v>6870.59</v>
      </c>
      <c r="G25" s="25">
        <v>1.74</v>
      </c>
      <c r="H25" s="70" t="s">
        <v>688</v>
      </c>
      <c r="I25" s="62"/>
      <c r="J25" s="62"/>
      <c r="K25" s="62"/>
      <c r="L25" s="62"/>
    </row>
    <row r="26" spans="2:12">
      <c r="B26" s="27" t="s">
        <v>169</v>
      </c>
      <c r="C26" s="23" t="s">
        <v>170</v>
      </c>
      <c r="D26" s="23" t="s">
        <v>66</v>
      </c>
      <c r="E26" s="28">
        <v>720000</v>
      </c>
      <c r="F26" s="25">
        <v>6553.08</v>
      </c>
      <c r="G26" s="25">
        <v>1.66</v>
      </c>
      <c r="H26" s="70" t="s">
        <v>689</v>
      </c>
      <c r="I26" s="62"/>
      <c r="J26" s="62"/>
      <c r="K26" s="62"/>
      <c r="L26" s="62"/>
    </row>
    <row r="27" spans="2:12">
      <c r="B27" s="27" t="s">
        <v>151</v>
      </c>
      <c r="C27" s="23" t="s">
        <v>152</v>
      </c>
      <c r="D27" s="23" t="s">
        <v>153</v>
      </c>
      <c r="E27" s="28">
        <v>2379455</v>
      </c>
      <c r="F27" s="25">
        <v>6254.4</v>
      </c>
      <c r="G27" s="25">
        <v>1.58</v>
      </c>
      <c r="H27" s="70" t="s">
        <v>689</v>
      </c>
      <c r="I27" s="62"/>
      <c r="J27" s="62"/>
      <c r="K27" s="62"/>
      <c r="L27" s="62"/>
    </row>
    <row r="28" spans="2:12">
      <c r="B28" s="27" t="s">
        <v>161</v>
      </c>
      <c r="C28" s="23" t="s">
        <v>162</v>
      </c>
      <c r="D28" s="23" t="s">
        <v>163</v>
      </c>
      <c r="E28" s="28">
        <v>201500</v>
      </c>
      <c r="F28" s="25">
        <v>6226.15</v>
      </c>
      <c r="G28" s="25">
        <v>1.57</v>
      </c>
      <c r="H28" s="70" t="s">
        <v>689</v>
      </c>
      <c r="I28" s="62"/>
      <c r="J28" s="62"/>
      <c r="K28" s="62"/>
      <c r="L28" s="62"/>
    </row>
    <row r="29" spans="2:12">
      <c r="B29" s="27" t="s">
        <v>102</v>
      </c>
      <c r="C29" s="23" t="s">
        <v>103</v>
      </c>
      <c r="D29" s="23" t="s">
        <v>97</v>
      </c>
      <c r="E29" s="28">
        <v>93500</v>
      </c>
      <c r="F29" s="25">
        <v>6119.39</v>
      </c>
      <c r="G29" s="25">
        <v>1.55</v>
      </c>
      <c r="H29" s="70" t="s">
        <v>688</v>
      </c>
      <c r="I29" s="62"/>
      <c r="J29" s="62"/>
      <c r="K29" s="62"/>
      <c r="L29" s="62"/>
    </row>
    <row r="30" spans="2:12">
      <c r="B30" s="27" t="s">
        <v>175</v>
      </c>
      <c r="C30" s="23" t="s">
        <v>176</v>
      </c>
      <c r="D30" s="23" t="s">
        <v>132</v>
      </c>
      <c r="E30" s="28">
        <v>30500</v>
      </c>
      <c r="F30" s="25">
        <v>6104.61</v>
      </c>
      <c r="G30" s="25">
        <v>1.54</v>
      </c>
      <c r="H30" s="70" t="s">
        <v>689</v>
      </c>
      <c r="I30" s="62"/>
      <c r="J30" s="62"/>
      <c r="K30" s="62"/>
      <c r="L30" s="62"/>
    </row>
    <row r="31" spans="2:12">
      <c r="B31" s="27" t="s">
        <v>185</v>
      </c>
      <c r="C31" s="23" t="s">
        <v>186</v>
      </c>
      <c r="D31" s="23" t="s">
        <v>147</v>
      </c>
      <c r="E31" s="28">
        <v>299500</v>
      </c>
      <c r="F31" s="25">
        <v>5875.14</v>
      </c>
      <c r="G31" s="25">
        <v>1.48</v>
      </c>
      <c r="H31" s="70" t="s">
        <v>689</v>
      </c>
      <c r="I31" s="62"/>
      <c r="J31" s="62"/>
      <c r="K31" s="62"/>
      <c r="L31" s="62"/>
    </row>
    <row r="32" spans="2:12">
      <c r="B32" s="27" t="s">
        <v>214</v>
      </c>
      <c r="C32" s="23" t="s">
        <v>215</v>
      </c>
      <c r="D32" s="23" t="s">
        <v>216</v>
      </c>
      <c r="E32" s="28">
        <v>12000</v>
      </c>
      <c r="F32" s="25">
        <v>5864.76</v>
      </c>
      <c r="G32" s="25">
        <v>1.48</v>
      </c>
      <c r="H32" s="70" t="s">
        <v>689</v>
      </c>
      <c r="I32" s="62"/>
      <c r="J32" s="62"/>
      <c r="K32" s="62"/>
      <c r="L32" s="62"/>
    </row>
    <row r="33" spans="2:12">
      <c r="B33" s="27" t="s">
        <v>141</v>
      </c>
      <c r="C33" s="23" t="s">
        <v>142</v>
      </c>
      <c r="D33" s="23" t="s">
        <v>127</v>
      </c>
      <c r="E33" s="28">
        <v>1245000</v>
      </c>
      <c r="F33" s="25">
        <v>5597.52</v>
      </c>
      <c r="G33" s="25">
        <v>1.41</v>
      </c>
      <c r="H33" s="70" t="s">
        <v>688</v>
      </c>
      <c r="I33" s="62"/>
      <c r="J33" s="62"/>
      <c r="K33" s="62"/>
      <c r="L33" s="62"/>
    </row>
    <row r="34" spans="2:12">
      <c r="B34" s="27" t="s">
        <v>143</v>
      </c>
      <c r="C34" s="23" t="s">
        <v>144</v>
      </c>
      <c r="D34" s="23" t="s">
        <v>39</v>
      </c>
      <c r="E34" s="28">
        <v>964716</v>
      </c>
      <c r="F34" s="25">
        <v>4908.4799999999996</v>
      </c>
      <c r="G34" s="25">
        <v>1.24</v>
      </c>
      <c r="H34" s="70" t="s">
        <v>689</v>
      </c>
      <c r="I34" s="62"/>
      <c r="J34" s="62"/>
      <c r="K34" s="62"/>
      <c r="L34" s="62"/>
    </row>
    <row r="35" spans="2:12">
      <c r="B35" s="27" t="s">
        <v>157</v>
      </c>
      <c r="C35" s="23" t="s">
        <v>158</v>
      </c>
      <c r="D35" s="23" t="s">
        <v>118</v>
      </c>
      <c r="E35" s="28">
        <v>700000</v>
      </c>
      <c r="F35" s="25">
        <v>4904.8999999999996</v>
      </c>
      <c r="G35" s="25">
        <v>1.24</v>
      </c>
      <c r="H35" s="70" t="s">
        <v>688</v>
      </c>
      <c r="I35" s="62"/>
      <c r="J35" s="62"/>
      <c r="K35" s="62"/>
      <c r="L35" s="62"/>
    </row>
    <row r="36" spans="2:12">
      <c r="B36" s="27" t="s">
        <v>40</v>
      </c>
      <c r="C36" s="23" t="s">
        <v>41</v>
      </c>
      <c r="D36" s="23" t="s">
        <v>42</v>
      </c>
      <c r="E36" s="28">
        <v>180000</v>
      </c>
      <c r="F36" s="25">
        <v>4849.5600000000004</v>
      </c>
      <c r="G36" s="25">
        <v>1.23</v>
      </c>
      <c r="H36" s="70" t="s">
        <v>688</v>
      </c>
      <c r="I36" s="62"/>
      <c r="J36" s="62"/>
      <c r="K36" s="62"/>
      <c r="L36" s="62"/>
    </row>
    <row r="37" spans="2:12">
      <c r="B37" s="27" t="s">
        <v>217</v>
      </c>
      <c r="C37" s="23" t="s">
        <v>218</v>
      </c>
      <c r="D37" s="23" t="s">
        <v>137</v>
      </c>
      <c r="E37" s="28">
        <v>360000</v>
      </c>
      <c r="F37" s="25">
        <v>4566.96</v>
      </c>
      <c r="G37" s="25">
        <v>1.1499999999999999</v>
      </c>
      <c r="H37" s="70" t="s">
        <v>689</v>
      </c>
      <c r="I37" s="62"/>
      <c r="J37" s="62"/>
      <c r="K37" s="62"/>
      <c r="L37" s="62"/>
    </row>
    <row r="38" spans="2:12">
      <c r="B38" s="27" t="s">
        <v>159</v>
      </c>
      <c r="C38" s="23" t="s">
        <v>160</v>
      </c>
      <c r="D38" s="23" t="s">
        <v>140</v>
      </c>
      <c r="E38" s="28">
        <v>205300</v>
      </c>
      <c r="F38" s="25">
        <v>4481.29</v>
      </c>
      <c r="G38" s="25">
        <v>1.1299999999999999</v>
      </c>
      <c r="H38" s="70" t="s">
        <v>689</v>
      </c>
      <c r="I38" s="62"/>
      <c r="J38" s="62"/>
      <c r="K38" s="62"/>
      <c r="L38" s="62"/>
    </row>
    <row r="39" spans="2:12">
      <c r="B39" s="27" t="s">
        <v>31</v>
      </c>
      <c r="C39" s="23" t="s">
        <v>32</v>
      </c>
      <c r="D39" s="23" t="s">
        <v>33</v>
      </c>
      <c r="E39" s="28">
        <v>1575000</v>
      </c>
      <c r="F39" s="25">
        <v>4334.3999999999996</v>
      </c>
      <c r="G39" s="25">
        <v>1.1000000000000001</v>
      </c>
      <c r="H39" s="70" t="s">
        <v>688</v>
      </c>
      <c r="I39" s="62"/>
      <c r="J39" s="62"/>
      <c r="K39" s="62"/>
      <c r="L39" s="62"/>
    </row>
    <row r="40" spans="2:12">
      <c r="B40" s="27" t="s">
        <v>219</v>
      </c>
      <c r="C40" s="23" t="s">
        <v>220</v>
      </c>
      <c r="D40" s="23" t="s">
        <v>39</v>
      </c>
      <c r="E40" s="28">
        <v>50300</v>
      </c>
      <c r="F40" s="25">
        <v>4293.2299999999996</v>
      </c>
      <c r="G40" s="25">
        <v>1.08</v>
      </c>
      <c r="H40" s="70" t="s">
        <v>690</v>
      </c>
      <c r="I40" s="62"/>
      <c r="J40" s="62"/>
      <c r="K40" s="62"/>
      <c r="L40" s="62"/>
    </row>
    <row r="41" spans="2:12">
      <c r="B41" s="27" t="s">
        <v>221</v>
      </c>
      <c r="C41" s="23" t="s">
        <v>222</v>
      </c>
      <c r="D41" s="23" t="s">
        <v>132</v>
      </c>
      <c r="E41" s="28">
        <v>237413</v>
      </c>
      <c r="F41" s="25">
        <v>4202.45</v>
      </c>
      <c r="G41" s="25">
        <v>1.06</v>
      </c>
      <c r="H41" s="70" t="s">
        <v>690</v>
      </c>
      <c r="I41" s="62"/>
      <c r="J41" s="62"/>
      <c r="K41" s="62"/>
      <c r="L41" s="62"/>
    </row>
    <row r="42" spans="2:12">
      <c r="B42" s="27" t="s">
        <v>148</v>
      </c>
      <c r="C42" s="23" t="s">
        <v>149</v>
      </c>
      <c r="D42" s="23" t="s">
        <v>150</v>
      </c>
      <c r="E42" s="28">
        <v>1135000</v>
      </c>
      <c r="F42" s="25">
        <v>4195.53</v>
      </c>
      <c r="G42" s="25">
        <v>1.06</v>
      </c>
      <c r="H42" s="70" t="s">
        <v>689</v>
      </c>
      <c r="I42" s="62"/>
      <c r="J42" s="62"/>
      <c r="K42" s="62"/>
      <c r="L42" s="62"/>
    </row>
    <row r="43" spans="2:12">
      <c r="B43" s="27" t="s">
        <v>197</v>
      </c>
      <c r="C43" s="23" t="s">
        <v>198</v>
      </c>
      <c r="D43" s="23" t="s">
        <v>147</v>
      </c>
      <c r="E43" s="28">
        <v>125700</v>
      </c>
      <c r="F43" s="25">
        <v>4190.5200000000004</v>
      </c>
      <c r="G43" s="25">
        <v>1.06</v>
      </c>
      <c r="H43" s="70" t="s">
        <v>688</v>
      </c>
      <c r="I43" s="62"/>
      <c r="J43" s="62"/>
      <c r="K43" s="62"/>
      <c r="L43" s="62"/>
    </row>
    <row r="44" spans="2:12">
      <c r="B44" s="27" t="s">
        <v>57</v>
      </c>
      <c r="C44" s="23" t="s">
        <v>58</v>
      </c>
      <c r="D44" s="23" t="s">
        <v>59</v>
      </c>
      <c r="E44" s="28">
        <v>2725000</v>
      </c>
      <c r="F44" s="25">
        <v>4167.8900000000003</v>
      </c>
      <c r="G44" s="25">
        <v>1.05</v>
      </c>
      <c r="H44" s="70" t="s">
        <v>688</v>
      </c>
      <c r="I44" s="62"/>
      <c r="J44" s="62"/>
      <c r="K44" s="62"/>
      <c r="L44" s="62"/>
    </row>
    <row r="45" spans="2:12">
      <c r="B45" s="27" t="s">
        <v>145</v>
      </c>
      <c r="C45" s="23" t="s">
        <v>146</v>
      </c>
      <c r="D45" s="23" t="s">
        <v>147</v>
      </c>
      <c r="E45" s="28">
        <v>162500</v>
      </c>
      <c r="F45" s="25">
        <v>3822.08</v>
      </c>
      <c r="G45" s="25">
        <v>0.97</v>
      </c>
      <c r="H45" s="70" t="s">
        <v>688</v>
      </c>
      <c r="I45" s="62"/>
      <c r="J45" s="62"/>
      <c r="K45" s="62"/>
      <c r="L45" s="62"/>
    </row>
    <row r="46" spans="2:12">
      <c r="B46" s="27" t="s">
        <v>89</v>
      </c>
      <c r="C46" s="23" t="s">
        <v>90</v>
      </c>
      <c r="D46" s="23" t="s">
        <v>91</v>
      </c>
      <c r="E46" s="28">
        <v>893000</v>
      </c>
      <c r="F46" s="25">
        <v>3706.4</v>
      </c>
      <c r="G46" s="25">
        <v>0.94</v>
      </c>
      <c r="H46" s="70" t="s">
        <v>688</v>
      </c>
      <c r="I46" s="62"/>
      <c r="J46" s="62"/>
      <c r="K46" s="62"/>
      <c r="L46" s="62"/>
    </row>
    <row r="47" spans="2:12">
      <c r="B47" s="27" t="s">
        <v>173</v>
      </c>
      <c r="C47" s="23" t="s">
        <v>174</v>
      </c>
      <c r="D47" s="23" t="s">
        <v>113</v>
      </c>
      <c r="E47" s="28">
        <v>159000</v>
      </c>
      <c r="F47" s="25">
        <v>3656.68</v>
      </c>
      <c r="G47" s="25">
        <v>0.92</v>
      </c>
      <c r="H47" s="70" t="s">
        <v>688</v>
      </c>
      <c r="I47" s="62"/>
      <c r="J47" s="62"/>
      <c r="K47" s="62"/>
      <c r="L47" s="62"/>
    </row>
    <row r="48" spans="2:12">
      <c r="B48" s="27" t="s">
        <v>72</v>
      </c>
      <c r="C48" s="23" t="s">
        <v>73</v>
      </c>
      <c r="D48" s="23" t="s">
        <v>74</v>
      </c>
      <c r="E48" s="28">
        <v>9016</v>
      </c>
      <c r="F48" s="25">
        <v>3622.88</v>
      </c>
      <c r="G48" s="25">
        <v>0.92</v>
      </c>
      <c r="H48" s="70" t="s">
        <v>689</v>
      </c>
      <c r="I48" s="62"/>
      <c r="J48" s="62"/>
      <c r="K48" s="62"/>
      <c r="L48" s="62"/>
    </row>
    <row r="49" spans="2:12">
      <c r="B49" s="27" t="s">
        <v>223</v>
      </c>
      <c r="C49" s="23" t="s">
        <v>224</v>
      </c>
      <c r="D49" s="23" t="s">
        <v>225</v>
      </c>
      <c r="E49" s="28">
        <v>400640</v>
      </c>
      <c r="F49" s="25">
        <v>3420.46</v>
      </c>
      <c r="G49" s="25">
        <v>0.86</v>
      </c>
      <c r="H49" s="70" t="s">
        <v>688</v>
      </c>
      <c r="I49" s="62"/>
      <c r="J49" s="62"/>
      <c r="K49" s="62"/>
      <c r="L49" s="62"/>
    </row>
    <row r="50" spans="2:12">
      <c r="B50" s="27" t="s">
        <v>154</v>
      </c>
      <c r="C50" s="23" t="s">
        <v>155</v>
      </c>
      <c r="D50" s="23" t="s">
        <v>156</v>
      </c>
      <c r="E50" s="28">
        <v>385000</v>
      </c>
      <c r="F50" s="25">
        <v>3311.96</v>
      </c>
      <c r="G50" s="25">
        <v>0.84</v>
      </c>
      <c r="H50" s="70" t="s">
        <v>689</v>
      </c>
      <c r="I50" s="62"/>
      <c r="J50" s="62"/>
      <c r="K50" s="62"/>
      <c r="L50" s="62"/>
    </row>
    <row r="51" spans="2:12">
      <c r="B51" s="27" t="s">
        <v>226</v>
      </c>
      <c r="C51" s="23" t="s">
        <v>227</v>
      </c>
      <c r="D51" s="23" t="s">
        <v>156</v>
      </c>
      <c r="E51" s="28">
        <v>245000</v>
      </c>
      <c r="F51" s="25">
        <v>3171.28</v>
      </c>
      <c r="G51" s="25">
        <v>0.8</v>
      </c>
      <c r="H51" s="70" t="s">
        <v>688</v>
      </c>
      <c r="I51" s="62"/>
      <c r="J51" s="62"/>
      <c r="K51" s="62"/>
      <c r="L51" s="62"/>
    </row>
    <row r="52" spans="2:12">
      <c r="B52" s="27" t="s">
        <v>228</v>
      </c>
      <c r="C52" s="23" t="s">
        <v>229</v>
      </c>
      <c r="D52" s="23" t="s">
        <v>127</v>
      </c>
      <c r="E52" s="28">
        <v>73000</v>
      </c>
      <c r="F52" s="25">
        <v>2857.55</v>
      </c>
      <c r="G52" s="25">
        <v>0.72</v>
      </c>
      <c r="H52" s="70" t="s">
        <v>688</v>
      </c>
      <c r="I52" s="62"/>
      <c r="J52" s="62"/>
      <c r="K52" s="62"/>
      <c r="L52" s="62"/>
    </row>
    <row r="53" spans="2:12">
      <c r="B53" s="27" t="s">
        <v>69</v>
      </c>
      <c r="C53" s="23" t="s">
        <v>70</v>
      </c>
      <c r="D53" s="23" t="s">
        <v>71</v>
      </c>
      <c r="E53" s="28">
        <v>158575</v>
      </c>
      <c r="F53" s="25">
        <v>2806.94</v>
      </c>
      <c r="G53" s="25">
        <v>0.71</v>
      </c>
      <c r="H53" s="70" t="s">
        <v>690</v>
      </c>
      <c r="I53" s="62"/>
      <c r="J53" s="62"/>
      <c r="K53" s="62"/>
      <c r="L53" s="62"/>
    </row>
    <row r="54" spans="2:12">
      <c r="B54" s="27" t="s">
        <v>189</v>
      </c>
      <c r="C54" s="23" t="s">
        <v>190</v>
      </c>
      <c r="D54" s="23" t="s">
        <v>147</v>
      </c>
      <c r="E54" s="28">
        <v>259624</v>
      </c>
      <c r="F54" s="25">
        <v>2608.5700000000002</v>
      </c>
      <c r="G54" s="25">
        <v>0.66</v>
      </c>
      <c r="H54" s="70" t="s">
        <v>689</v>
      </c>
      <c r="I54" s="62"/>
      <c r="J54" s="62"/>
      <c r="K54" s="62"/>
      <c r="L54" s="62"/>
    </row>
    <row r="55" spans="2:12">
      <c r="B55" s="27" t="s">
        <v>95</v>
      </c>
      <c r="C55" s="23" t="s">
        <v>96</v>
      </c>
      <c r="D55" s="23" t="s">
        <v>97</v>
      </c>
      <c r="E55" s="28">
        <v>100000</v>
      </c>
      <c r="F55" s="25">
        <v>2504.15</v>
      </c>
      <c r="G55" s="25">
        <v>0.63</v>
      </c>
      <c r="H55" s="70" t="s">
        <v>689</v>
      </c>
      <c r="I55" s="62"/>
      <c r="J55" s="62"/>
      <c r="K55" s="62"/>
      <c r="L55" s="62"/>
    </row>
    <row r="56" spans="2:12">
      <c r="B56" s="27" t="s">
        <v>191</v>
      </c>
      <c r="C56" s="23" t="s">
        <v>192</v>
      </c>
      <c r="D56" s="23" t="s">
        <v>132</v>
      </c>
      <c r="E56" s="28">
        <v>107449</v>
      </c>
      <c r="F56" s="25">
        <v>2428.94</v>
      </c>
      <c r="G56" s="25">
        <v>0.61</v>
      </c>
      <c r="H56" s="70" t="s">
        <v>688</v>
      </c>
      <c r="I56" s="62"/>
      <c r="J56" s="62"/>
      <c r="K56" s="62"/>
      <c r="L56" s="62"/>
    </row>
    <row r="57" spans="2:12">
      <c r="B57" s="27" t="s">
        <v>135</v>
      </c>
      <c r="C57" s="23" t="s">
        <v>136</v>
      </c>
      <c r="D57" s="23" t="s">
        <v>137</v>
      </c>
      <c r="E57" s="28">
        <v>43655</v>
      </c>
      <c r="F57" s="25">
        <v>1852.65</v>
      </c>
      <c r="G57" s="25">
        <v>0.47</v>
      </c>
      <c r="H57" s="70" t="s">
        <v>688</v>
      </c>
      <c r="I57" s="62"/>
      <c r="J57" s="62"/>
      <c r="K57" s="62"/>
      <c r="L57" s="62"/>
    </row>
    <row r="58" spans="2:12">
      <c r="B58" s="27" t="s">
        <v>100</v>
      </c>
      <c r="C58" s="23" t="s">
        <v>101</v>
      </c>
      <c r="D58" s="23" t="s">
        <v>86</v>
      </c>
      <c r="E58" s="28">
        <v>336302</v>
      </c>
      <c r="F58" s="25">
        <v>1497.05</v>
      </c>
      <c r="G58" s="25">
        <v>0.38</v>
      </c>
      <c r="H58" s="70" t="s">
        <v>689</v>
      </c>
      <c r="I58" s="62"/>
      <c r="J58" s="62"/>
      <c r="K58" s="62"/>
      <c r="L58" s="62"/>
    </row>
    <row r="59" spans="2:12">
      <c r="B59" s="27" t="s">
        <v>164</v>
      </c>
      <c r="C59" s="23" t="s">
        <v>165</v>
      </c>
      <c r="D59" s="23" t="s">
        <v>166</v>
      </c>
      <c r="E59" s="28">
        <v>44740</v>
      </c>
      <c r="F59" s="25">
        <v>363.13</v>
      </c>
      <c r="G59" s="25">
        <v>0.09</v>
      </c>
      <c r="H59" s="70" t="s">
        <v>688</v>
      </c>
      <c r="I59" s="62"/>
      <c r="J59" s="62"/>
      <c r="K59" s="62"/>
      <c r="L59" s="62"/>
    </row>
    <row r="60" spans="2:12" ht="12.75" thickBot="1">
      <c r="B60" s="27" t="s">
        <v>75</v>
      </c>
      <c r="C60" s="23" t="s">
        <v>76</v>
      </c>
      <c r="D60" s="23" t="s">
        <v>71</v>
      </c>
      <c r="E60" s="28">
        <v>50000</v>
      </c>
      <c r="F60" s="25">
        <v>356.38</v>
      </c>
      <c r="G60" s="25">
        <v>0.09</v>
      </c>
      <c r="H60" s="71" t="s">
        <v>689</v>
      </c>
      <c r="I60" s="62"/>
      <c r="J60" s="62"/>
      <c r="K60" s="62"/>
      <c r="L60" s="62"/>
    </row>
    <row r="61" spans="2:12">
      <c r="B61" s="29" t="s">
        <v>104</v>
      </c>
      <c r="C61" s="30"/>
      <c r="D61" s="30"/>
      <c r="E61" s="31"/>
      <c r="F61" s="32">
        <f>SUM(F7:F60)</f>
        <v>377813.34000000026</v>
      </c>
      <c r="G61" s="32">
        <f>SUM(G7:G60)</f>
        <v>95.469999999999985</v>
      </c>
      <c r="H61" s="14"/>
      <c r="I61" s="62"/>
      <c r="J61" s="62"/>
      <c r="K61" s="62"/>
      <c r="L61" s="62"/>
    </row>
    <row r="62" spans="2:12">
      <c r="B62" s="37" t="s">
        <v>105</v>
      </c>
      <c r="C62" s="37"/>
      <c r="D62" s="37"/>
      <c r="E62" s="38"/>
      <c r="F62" s="39">
        <f>F61</f>
        <v>377813.34000000026</v>
      </c>
      <c r="G62" s="39">
        <f>G61</f>
        <v>95.469999999999985</v>
      </c>
      <c r="H62" s="14"/>
      <c r="I62" s="62"/>
      <c r="J62" s="62"/>
      <c r="K62" s="62"/>
      <c r="L62" s="62"/>
    </row>
    <row r="63" spans="2:12">
      <c r="B63" s="40" t="s">
        <v>106</v>
      </c>
      <c r="C63" s="41"/>
      <c r="D63" s="41"/>
      <c r="E63" s="42"/>
      <c r="F63" s="43"/>
      <c r="G63" s="43"/>
      <c r="I63" s="62"/>
      <c r="J63" s="62"/>
      <c r="K63" s="62"/>
      <c r="L63" s="62"/>
    </row>
    <row r="64" spans="2:12">
      <c r="B64" s="27" t="s">
        <v>106</v>
      </c>
      <c r="C64" s="27"/>
      <c r="D64" s="23"/>
      <c r="E64" s="24"/>
      <c r="F64" s="25">
        <v>19230.39</v>
      </c>
      <c r="G64" s="25">
        <v>4.8600000000000003</v>
      </c>
      <c r="I64" s="62"/>
      <c r="J64" s="62"/>
      <c r="K64" s="62"/>
      <c r="L64" s="62"/>
    </row>
    <row r="65" spans="2:12">
      <c r="B65" s="29" t="s">
        <v>104</v>
      </c>
      <c r="C65" s="30"/>
      <c r="D65" s="30"/>
      <c r="E65" s="31"/>
      <c r="F65" s="32">
        <f>SUM(F63:F64)</f>
        <v>19230.39</v>
      </c>
      <c r="G65" s="32">
        <f>SUM(G63:G64)</f>
        <v>4.8600000000000003</v>
      </c>
      <c r="H65" s="14"/>
      <c r="I65" s="62"/>
      <c r="J65" s="62"/>
      <c r="K65" s="62"/>
      <c r="L65" s="62"/>
    </row>
    <row r="66" spans="2:12">
      <c r="B66" s="34" t="s">
        <v>105</v>
      </c>
      <c r="C66" s="34"/>
      <c r="D66" s="34"/>
      <c r="E66" s="35"/>
      <c r="F66" s="36">
        <f>F65</f>
        <v>19230.39</v>
      </c>
      <c r="G66" s="36">
        <f>G65</f>
        <v>4.8600000000000003</v>
      </c>
      <c r="H66" s="14"/>
      <c r="I66" s="62"/>
      <c r="J66" s="62"/>
      <c r="K66" s="62"/>
      <c r="L66" s="62"/>
    </row>
    <row r="67" spans="2:12">
      <c r="B67" s="44" t="s">
        <v>108</v>
      </c>
      <c r="C67" s="44"/>
      <c r="D67" s="44"/>
      <c r="E67" s="45"/>
      <c r="F67" s="16">
        <f>F68-(+F62+F66)</f>
        <v>-1317.8400000002584</v>
      </c>
      <c r="G67" s="16">
        <f>G68-(+G62+G66)</f>
        <v>-0.32999999999998408</v>
      </c>
      <c r="H67" s="14"/>
      <c r="I67" s="62"/>
      <c r="J67" s="62"/>
      <c r="K67" s="62"/>
      <c r="L67" s="62"/>
    </row>
    <row r="68" spans="2:12">
      <c r="B68" s="44" t="s">
        <v>107</v>
      </c>
      <c r="C68" s="44"/>
      <c r="D68" s="44"/>
      <c r="E68" s="45"/>
      <c r="F68" s="16">
        <v>395725.89</v>
      </c>
      <c r="G68" s="16">
        <v>100</v>
      </c>
      <c r="H68" s="14"/>
      <c r="I68" s="62"/>
      <c r="J68" s="62"/>
      <c r="K68" s="62"/>
      <c r="L68" s="62"/>
    </row>
    <row r="70" spans="2:12">
      <c r="B70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75"/>
  <sheetViews>
    <sheetView topLeftCell="D1" workbookViewId="0">
      <selection activeCell="G11" sqref="G11"/>
    </sheetView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40.425781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12.28515625" style="1" customWidth="1"/>
    <col min="9" max="9" width="10" style="1" bestFit="1" customWidth="1"/>
    <col min="10" max="10" width="30.85546875" style="1" customWidth="1"/>
    <col min="11" max="11" width="29.7109375" style="1" customWidth="1"/>
    <col min="12" max="12" width="26.7109375" style="1" customWidth="1"/>
    <col min="13" max="16384" width="9.140625" style="1"/>
  </cols>
  <sheetData>
    <row r="1" spans="2:12" ht="21" customHeight="1">
      <c r="B1" s="77" t="s">
        <v>11</v>
      </c>
      <c r="C1" s="78"/>
      <c r="D1" s="78"/>
      <c r="E1" s="78"/>
      <c r="F1" s="78"/>
      <c r="G1" s="78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20"/>
      <c r="H5" s="72"/>
      <c r="J5" s="79"/>
      <c r="K5" s="79"/>
      <c r="L5" s="79"/>
    </row>
    <row r="6" spans="2:12">
      <c r="B6" s="22" t="s">
        <v>30</v>
      </c>
      <c r="C6" s="23"/>
      <c r="D6" s="23"/>
      <c r="E6" s="24"/>
      <c r="F6" s="25"/>
      <c r="G6" s="25"/>
      <c r="H6" s="72"/>
      <c r="J6" s="79"/>
      <c r="K6" s="79"/>
      <c r="L6" s="79"/>
    </row>
    <row r="7" spans="2:12">
      <c r="B7" s="27" t="s">
        <v>43</v>
      </c>
      <c r="C7" s="23" t="s">
        <v>44</v>
      </c>
      <c r="D7" s="23" t="s">
        <v>45</v>
      </c>
      <c r="E7" s="28">
        <v>11548000</v>
      </c>
      <c r="F7" s="25">
        <v>94531.93</v>
      </c>
      <c r="G7" s="25">
        <v>6.64</v>
      </c>
      <c r="H7" s="70" t="s">
        <v>688</v>
      </c>
      <c r="I7" s="62"/>
      <c r="J7" s="79"/>
      <c r="K7" s="79"/>
      <c r="L7" s="79"/>
    </row>
    <row r="8" spans="2:12">
      <c r="B8" s="27" t="s">
        <v>109</v>
      </c>
      <c r="C8" s="23" t="s">
        <v>110</v>
      </c>
      <c r="D8" s="23" t="s">
        <v>45</v>
      </c>
      <c r="E8" s="28">
        <v>5686000</v>
      </c>
      <c r="F8" s="25">
        <v>81548.61</v>
      </c>
      <c r="G8" s="25">
        <v>5.73</v>
      </c>
      <c r="H8" s="70" t="s">
        <v>688</v>
      </c>
      <c r="I8" s="62"/>
      <c r="J8" s="79"/>
      <c r="K8" s="79"/>
      <c r="L8" s="79"/>
    </row>
    <row r="9" spans="2:12">
      <c r="B9" s="27" t="s">
        <v>111</v>
      </c>
      <c r="C9" s="23" t="s">
        <v>112</v>
      </c>
      <c r="D9" s="23" t="s">
        <v>113</v>
      </c>
      <c r="E9" s="28">
        <v>4010000</v>
      </c>
      <c r="F9" s="25">
        <v>62142.97</v>
      </c>
      <c r="G9" s="25">
        <v>4.37</v>
      </c>
      <c r="H9" s="70" t="s">
        <v>688</v>
      </c>
      <c r="I9" s="62"/>
      <c r="J9" s="79"/>
      <c r="K9" s="79"/>
      <c r="L9" s="79"/>
    </row>
    <row r="10" spans="2:12">
      <c r="B10" s="27" t="s">
        <v>81</v>
      </c>
      <c r="C10" s="23" t="s">
        <v>82</v>
      </c>
      <c r="D10" s="23" t="s">
        <v>83</v>
      </c>
      <c r="E10" s="28">
        <v>2378000</v>
      </c>
      <c r="F10" s="25">
        <v>59674.720000000001</v>
      </c>
      <c r="G10" s="25">
        <v>4.1900000000000004</v>
      </c>
      <c r="H10" s="70" t="s">
        <v>688</v>
      </c>
      <c r="I10" s="62"/>
      <c r="J10" s="79"/>
      <c r="K10" s="79"/>
      <c r="L10" s="79"/>
    </row>
    <row r="11" spans="2:12">
      <c r="B11" s="27" t="s">
        <v>53</v>
      </c>
      <c r="C11" s="23" t="s">
        <v>54</v>
      </c>
      <c r="D11" s="23" t="s">
        <v>45</v>
      </c>
      <c r="E11" s="28">
        <v>10000000</v>
      </c>
      <c r="F11" s="25">
        <v>52835</v>
      </c>
      <c r="G11" s="25">
        <v>3.71</v>
      </c>
      <c r="H11" s="70" t="s">
        <v>688</v>
      </c>
      <c r="I11" s="62"/>
      <c r="J11" s="79"/>
      <c r="K11" s="79"/>
      <c r="L11" s="79"/>
    </row>
    <row r="12" spans="2:12">
      <c r="B12" s="27" t="s">
        <v>114</v>
      </c>
      <c r="C12" s="23" t="s">
        <v>115</v>
      </c>
      <c r="D12" s="23" t="s">
        <v>45</v>
      </c>
      <c r="E12" s="28">
        <v>5937090</v>
      </c>
      <c r="F12" s="25">
        <v>43029.06</v>
      </c>
      <c r="G12" s="25">
        <v>3.02</v>
      </c>
      <c r="H12" s="70" t="s">
        <v>688</v>
      </c>
      <c r="I12" s="62"/>
      <c r="J12" s="79"/>
      <c r="K12" s="79"/>
      <c r="L12" s="79"/>
    </row>
    <row r="13" spans="2:12">
      <c r="B13" s="27" t="s">
        <v>116</v>
      </c>
      <c r="C13" s="23" t="s">
        <v>117</v>
      </c>
      <c r="D13" s="23" t="s">
        <v>118</v>
      </c>
      <c r="E13" s="28">
        <v>581500</v>
      </c>
      <c r="F13" s="25">
        <v>41920.92</v>
      </c>
      <c r="G13" s="25">
        <v>2.95</v>
      </c>
      <c r="H13" s="70" t="s">
        <v>688</v>
      </c>
      <c r="I13" s="62"/>
      <c r="J13" s="62"/>
      <c r="K13" s="62" t="s">
        <v>697</v>
      </c>
    </row>
    <row r="14" spans="2:12">
      <c r="B14" s="27" t="s">
        <v>143</v>
      </c>
      <c r="C14" s="23" t="s">
        <v>144</v>
      </c>
      <c r="D14" s="23" t="s">
        <v>39</v>
      </c>
      <c r="E14" s="28">
        <v>7073240</v>
      </c>
      <c r="F14" s="25">
        <v>35988.65</v>
      </c>
      <c r="G14" s="25">
        <v>2.5299999999999998</v>
      </c>
      <c r="H14" s="70" t="s">
        <v>689</v>
      </c>
      <c r="I14" s="62"/>
      <c r="J14" s="62"/>
      <c r="K14" s="62"/>
      <c r="L14" s="62"/>
    </row>
    <row r="15" spans="2:12">
      <c r="B15" s="27" t="s">
        <v>122</v>
      </c>
      <c r="C15" s="23" t="s">
        <v>123</v>
      </c>
      <c r="D15" s="23" t="s">
        <v>124</v>
      </c>
      <c r="E15" s="28">
        <v>5230000</v>
      </c>
      <c r="F15" s="25">
        <v>35456.79</v>
      </c>
      <c r="G15" s="25">
        <v>2.4900000000000002</v>
      </c>
      <c r="H15" s="70" t="s">
        <v>688</v>
      </c>
      <c r="I15" s="62"/>
      <c r="J15" s="62"/>
      <c r="K15" s="62"/>
      <c r="L15" s="62"/>
    </row>
    <row r="16" spans="2:12">
      <c r="B16" s="27" t="s">
        <v>157</v>
      </c>
      <c r="C16" s="23" t="s">
        <v>158</v>
      </c>
      <c r="D16" s="23" t="s">
        <v>118</v>
      </c>
      <c r="E16" s="28">
        <v>4848109</v>
      </c>
      <c r="F16" s="25">
        <v>33970.699999999997</v>
      </c>
      <c r="G16" s="25">
        <v>2.39</v>
      </c>
      <c r="H16" s="70" t="s">
        <v>688</v>
      </c>
      <c r="I16" s="62"/>
      <c r="J16" s="62"/>
      <c r="K16" s="62"/>
      <c r="L16" s="62"/>
    </row>
    <row r="17" spans="2:12">
      <c r="B17" s="27" t="s">
        <v>31</v>
      </c>
      <c r="C17" s="23" t="s">
        <v>32</v>
      </c>
      <c r="D17" s="23" t="s">
        <v>33</v>
      </c>
      <c r="E17" s="28">
        <v>11650000</v>
      </c>
      <c r="F17" s="25">
        <v>32060.799999999999</v>
      </c>
      <c r="G17" s="25">
        <v>2.25</v>
      </c>
      <c r="H17" s="70" t="s">
        <v>688</v>
      </c>
      <c r="I17" s="62"/>
      <c r="J17" s="62"/>
      <c r="K17" s="62"/>
      <c r="L17" s="62"/>
    </row>
    <row r="18" spans="2:12">
      <c r="B18" s="27" t="s">
        <v>148</v>
      </c>
      <c r="C18" s="23" t="s">
        <v>149</v>
      </c>
      <c r="D18" s="23" t="s">
        <v>150</v>
      </c>
      <c r="E18" s="28">
        <v>8471129</v>
      </c>
      <c r="F18" s="25">
        <v>31313.53</v>
      </c>
      <c r="G18" s="25">
        <v>2.2000000000000002</v>
      </c>
      <c r="H18" s="70" t="s">
        <v>689</v>
      </c>
      <c r="I18" s="62"/>
      <c r="J18" s="62"/>
      <c r="K18" s="62"/>
      <c r="L18" s="62"/>
    </row>
    <row r="19" spans="2:12">
      <c r="B19" s="27" t="s">
        <v>119</v>
      </c>
      <c r="C19" s="23" t="s">
        <v>120</v>
      </c>
      <c r="D19" s="23" t="s">
        <v>121</v>
      </c>
      <c r="E19" s="28">
        <v>1137000</v>
      </c>
      <c r="F19" s="25">
        <v>29987.24</v>
      </c>
      <c r="G19" s="25">
        <v>2.11</v>
      </c>
      <c r="H19" s="70" t="s">
        <v>688</v>
      </c>
      <c r="I19" s="62"/>
      <c r="J19" s="62"/>
      <c r="K19" s="62"/>
      <c r="L19" s="62"/>
    </row>
    <row r="20" spans="2:12">
      <c r="B20" s="27" t="s">
        <v>151</v>
      </c>
      <c r="C20" s="23" t="s">
        <v>152</v>
      </c>
      <c r="D20" s="23" t="s">
        <v>153</v>
      </c>
      <c r="E20" s="28">
        <v>10657567</v>
      </c>
      <c r="F20" s="25">
        <v>28013.41</v>
      </c>
      <c r="G20" s="25">
        <v>1.97</v>
      </c>
      <c r="H20" s="70" t="s">
        <v>689</v>
      </c>
      <c r="I20" s="62"/>
      <c r="J20" s="62"/>
      <c r="K20" s="62"/>
      <c r="L20" s="62"/>
    </row>
    <row r="21" spans="2:12">
      <c r="B21" s="27" t="s">
        <v>34</v>
      </c>
      <c r="C21" s="23" t="s">
        <v>35</v>
      </c>
      <c r="D21" s="23" t="s">
        <v>36</v>
      </c>
      <c r="E21" s="28">
        <v>1533000</v>
      </c>
      <c r="F21" s="25">
        <v>27717.41</v>
      </c>
      <c r="G21" s="25">
        <v>1.95</v>
      </c>
      <c r="H21" s="70" t="s">
        <v>688</v>
      </c>
      <c r="I21" s="62"/>
      <c r="J21" s="62"/>
      <c r="K21" s="62"/>
      <c r="L21" s="62"/>
    </row>
    <row r="22" spans="2:12">
      <c r="B22" s="27" t="s">
        <v>154</v>
      </c>
      <c r="C22" s="23" t="s">
        <v>155</v>
      </c>
      <c r="D22" s="23" t="s">
        <v>156</v>
      </c>
      <c r="E22" s="28">
        <v>3143502</v>
      </c>
      <c r="F22" s="25">
        <v>27041.98</v>
      </c>
      <c r="G22" s="25">
        <v>1.9</v>
      </c>
      <c r="H22" s="70" t="s">
        <v>689</v>
      </c>
      <c r="I22" s="62"/>
      <c r="J22" s="62"/>
      <c r="K22" s="62"/>
      <c r="L22" s="62"/>
    </row>
    <row r="23" spans="2:12">
      <c r="B23" s="27" t="s">
        <v>125</v>
      </c>
      <c r="C23" s="23" t="s">
        <v>126</v>
      </c>
      <c r="D23" s="23" t="s">
        <v>127</v>
      </c>
      <c r="E23" s="28">
        <v>295000</v>
      </c>
      <c r="F23" s="25">
        <v>25881.97</v>
      </c>
      <c r="G23" s="25">
        <v>1.82</v>
      </c>
      <c r="H23" s="70" t="s">
        <v>688</v>
      </c>
      <c r="I23" s="62"/>
      <c r="J23" s="62"/>
      <c r="K23" s="62"/>
      <c r="L23" s="62"/>
    </row>
    <row r="24" spans="2:12">
      <c r="B24" s="27" t="s">
        <v>102</v>
      </c>
      <c r="C24" s="23" t="s">
        <v>103</v>
      </c>
      <c r="D24" s="23" t="s">
        <v>97</v>
      </c>
      <c r="E24" s="28">
        <v>387161</v>
      </c>
      <c r="F24" s="25">
        <v>25338.91</v>
      </c>
      <c r="G24" s="25">
        <v>1.78</v>
      </c>
      <c r="H24" s="70" t="s">
        <v>688</v>
      </c>
      <c r="I24" s="62"/>
      <c r="J24" s="62"/>
      <c r="K24" s="62"/>
      <c r="L24" s="62"/>
    </row>
    <row r="25" spans="2:12">
      <c r="B25" s="27" t="s">
        <v>130</v>
      </c>
      <c r="C25" s="23" t="s">
        <v>131</v>
      </c>
      <c r="D25" s="23" t="s">
        <v>132</v>
      </c>
      <c r="E25" s="28">
        <v>2650000</v>
      </c>
      <c r="F25" s="25">
        <v>24994.799999999999</v>
      </c>
      <c r="G25" s="25">
        <v>1.76</v>
      </c>
      <c r="H25" s="70" t="s">
        <v>688</v>
      </c>
      <c r="I25" s="62"/>
      <c r="J25" s="62"/>
      <c r="K25" s="62"/>
      <c r="L25" s="62"/>
    </row>
    <row r="26" spans="2:12">
      <c r="B26" s="27" t="s">
        <v>138</v>
      </c>
      <c r="C26" s="23" t="s">
        <v>139</v>
      </c>
      <c r="D26" s="23" t="s">
        <v>140</v>
      </c>
      <c r="E26" s="28">
        <v>560478</v>
      </c>
      <c r="F26" s="25">
        <v>24567.71</v>
      </c>
      <c r="G26" s="25">
        <v>1.73</v>
      </c>
      <c r="H26" s="70" t="s">
        <v>689</v>
      </c>
      <c r="I26" s="62"/>
      <c r="J26" s="62"/>
      <c r="K26" s="62"/>
      <c r="L26" s="62"/>
    </row>
    <row r="27" spans="2:12">
      <c r="B27" s="27" t="s">
        <v>135</v>
      </c>
      <c r="C27" s="23" t="s">
        <v>136</v>
      </c>
      <c r="D27" s="23" t="s">
        <v>137</v>
      </c>
      <c r="E27" s="28">
        <v>556505</v>
      </c>
      <c r="F27" s="25">
        <v>23617.24</v>
      </c>
      <c r="G27" s="25">
        <v>1.66</v>
      </c>
      <c r="H27" s="70" t="s">
        <v>688</v>
      </c>
      <c r="I27" s="62"/>
      <c r="J27" s="62"/>
      <c r="K27" s="62"/>
      <c r="L27" s="62"/>
    </row>
    <row r="28" spans="2:12">
      <c r="B28" s="27" t="s">
        <v>167</v>
      </c>
      <c r="C28" s="23" t="s">
        <v>168</v>
      </c>
      <c r="D28" s="23" t="s">
        <v>140</v>
      </c>
      <c r="E28" s="28">
        <v>263823</v>
      </c>
      <c r="F28" s="25">
        <v>23445.82</v>
      </c>
      <c r="G28" s="25">
        <v>1.65</v>
      </c>
      <c r="H28" s="70" t="s">
        <v>689</v>
      </c>
      <c r="I28" s="62"/>
      <c r="J28" s="62"/>
      <c r="K28" s="62"/>
      <c r="L28" s="62"/>
    </row>
    <row r="29" spans="2:12">
      <c r="B29" s="27" t="s">
        <v>189</v>
      </c>
      <c r="C29" s="23" t="s">
        <v>190</v>
      </c>
      <c r="D29" s="23" t="s">
        <v>147</v>
      </c>
      <c r="E29" s="28">
        <v>2317175</v>
      </c>
      <c r="F29" s="25">
        <v>23281.82</v>
      </c>
      <c r="G29" s="25">
        <v>1.64</v>
      </c>
      <c r="H29" s="70" t="s">
        <v>689</v>
      </c>
      <c r="I29" s="62"/>
      <c r="J29" s="62"/>
      <c r="K29" s="62"/>
      <c r="L29" s="62"/>
    </row>
    <row r="30" spans="2:12">
      <c r="B30" s="27" t="s">
        <v>173</v>
      </c>
      <c r="C30" s="23" t="s">
        <v>174</v>
      </c>
      <c r="D30" s="23" t="s">
        <v>113</v>
      </c>
      <c r="E30" s="28">
        <v>931087</v>
      </c>
      <c r="F30" s="25">
        <v>21413.14</v>
      </c>
      <c r="G30" s="25">
        <v>1.5</v>
      </c>
      <c r="H30" s="70" t="s">
        <v>688</v>
      </c>
      <c r="I30" s="62"/>
      <c r="J30" s="62"/>
      <c r="K30" s="62"/>
      <c r="L30" s="62"/>
    </row>
    <row r="31" spans="2:12">
      <c r="B31" s="27" t="s">
        <v>230</v>
      </c>
      <c r="C31" s="23" t="s">
        <v>231</v>
      </c>
      <c r="D31" s="23" t="s">
        <v>137</v>
      </c>
      <c r="E31" s="28">
        <v>7923869</v>
      </c>
      <c r="F31" s="25">
        <v>21287.47</v>
      </c>
      <c r="G31" s="25">
        <v>1.5</v>
      </c>
      <c r="H31" s="70" t="s">
        <v>689</v>
      </c>
      <c r="I31" s="62"/>
      <c r="J31" s="62"/>
      <c r="K31" s="62"/>
      <c r="L31" s="62"/>
    </row>
    <row r="32" spans="2:12">
      <c r="B32" s="27" t="s">
        <v>161</v>
      </c>
      <c r="C32" s="23" t="s">
        <v>162</v>
      </c>
      <c r="D32" s="23" t="s">
        <v>163</v>
      </c>
      <c r="E32" s="28">
        <v>686383</v>
      </c>
      <c r="F32" s="25">
        <v>21208.55</v>
      </c>
      <c r="G32" s="25">
        <v>1.49</v>
      </c>
      <c r="H32" s="70" t="s">
        <v>689</v>
      </c>
      <c r="I32" s="62"/>
      <c r="J32" s="62"/>
      <c r="K32" s="62"/>
      <c r="L32" s="62"/>
    </row>
    <row r="33" spans="2:12">
      <c r="B33" s="27" t="s">
        <v>179</v>
      </c>
      <c r="C33" s="23" t="s">
        <v>180</v>
      </c>
      <c r="D33" s="23" t="s">
        <v>48</v>
      </c>
      <c r="E33" s="28">
        <v>910180</v>
      </c>
      <c r="F33" s="25">
        <v>21092.97</v>
      </c>
      <c r="G33" s="25">
        <v>1.48</v>
      </c>
      <c r="H33" s="70" t="s">
        <v>689</v>
      </c>
      <c r="I33" s="62"/>
      <c r="J33" s="62"/>
      <c r="K33" s="62"/>
      <c r="L33" s="62"/>
    </row>
    <row r="34" spans="2:12">
      <c r="B34" s="27" t="s">
        <v>133</v>
      </c>
      <c r="C34" s="23" t="s">
        <v>134</v>
      </c>
      <c r="D34" s="23" t="s">
        <v>45</v>
      </c>
      <c r="E34" s="28">
        <v>1134657</v>
      </c>
      <c r="F34" s="25">
        <v>20541.259999999998</v>
      </c>
      <c r="G34" s="25">
        <v>1.44</v>
      </c>
      <c r="H34" s="70" t="s">
        <v>688</v>
      </c>
      <c r="I34" s="62"/>
      <c r="J34" s="62"/>
      <c r="K34" s="62"/>
      <c r="L34" s="62"/>
    </row>
    <row r="35" spans="2:12">
      <c r="B35" s="27" t="s">
        <v>128</v>
      </c>
      <c r="C35" s="23" t="s">
        <v>129</v>
      </c>
      <c r="D35" s="23" t="s">
        <v>113</v>
      </c>
      <c r="E35" s="28">
        <v>621911</v>
      </c>
      <c r="F35" s="25">
        <v>20534.88</v>
      </c>
      <c r="G35" s="25">
        <v>1.44</v>
      </c>
      <c r="H35" s="70" t="s">
        <v>688</v>
      </c>
      <c r="I35" s="62"/>
      <c r="J35" s="62"/>
      <c r="K35" s="62"/>
      <c r="L35" s="62"/>
    </row>
    <row r="36" spans="2:12">
      <c r="B36" s="27" t="s">
        <v>169</v>
      </c>
      <c r="C36" s="23" t="s">
        <v>170</v>
      </c>
      <c r="D36" s="23" t="s">
        <v>66</v>
      </c>
      <c r="E36" s="28">
        <v>2235000</v>
      </c>
      <c r="F36" s="25">
        <v>20341.849999999999</v>
      </c>
      <c r="G36" s="25">
        <v>1.43</v>
      </c>
      <c r="H36" s="70" t="s">
        <v>689</v>
      </c>
      <c r="I36" s="62"/>
      <c r="J36" s="62"/>
      <c r="K36" s="62"/>
      <c r="L36" s="62"/>
    </row>
    <row r="37" spans="2:12">
      <c r="B37" s="27" t="s">
        <v>159</v>
      </c>
      <c r="C37" s="23" t="s">
        <v>160</v>
      </c>
      <c r="D37" s="23" t="s">
        <v>140</v>
      </c>
      <c r="E37" s="28">
        <v>926435</v>
      </c>
      <c r="F37" s="25">
        <v>20222.22</v>
      </c>
      <c r="G37" s="25">
        <v>1.42</v>
      </c>
      <c r="H37" s="70" t="s">
        <v>689</v>
      </c>
      <c r="I37" s="62"/>
      <c r="J37" s="62"/>
      <c r="K37" s="62"/>
      <c r="L37" s="62"/>
    </row>
    <row r="38" spans="2:12">
      <c r="B38" s="27" t="s">
        <v>177</v>
      </c>
      <c r="C38" s="23" t="s">
        <v>178</v>
      </c>
      <c r="D38" s="23" t="s">
        <v>39</v>
      </c>
      <c r="E38" s="28">
        <v>3281563</v>
      </c>
      <c r="F38" s="25">
        <v>18650.759999999998</v>
      </c>
      <c r="G38" s="25">
        <v>1.31</v>
      </c>
      <c r="H38" s="70" t="s">
        <v>689</v>
      </c>
      <c r="I38" s="62"/>
      <c r="J38" s="62"/>
      <c r="K38" s="62"/>
      <c r="L38" s="62"/>
    </row>
    <row r="39" spans="2:12">
      <c r="B39" s="27" t="s">
        <v>51</v>
      </c>
      <c r="C39" s="23" t="s">
        <v>52</v>
      </c>
      <c r="D39" s="23" t="s">
        <v>42</v>
      </c>
      <c r="E39" s="28">
        <v>678500</v>
      </c>
      <c r="F39" s="25">
        <v>18564.78</v>
      </c>
      <c r="G39" s="25">
        <v>1.3</v>
      </c>
      <c r="H39" s="70" t="s">
        <v>689</v>
      </c>
      <c r="I39" s="62"/>
      <c r="J39" s="62"/>
      <c r="K39" s="62"/>
      <c r="L39" s="62"/>
    </row>
    <row r="40" spans="2:12">
      <c r="B40" s="27" t="s">
        <v>141</v>
      </c>
      <c r="C40" s="23" t="s">
        <v>142</v>
      </c>
      <c r="D40" s="23" t="s">
        <v>127</v>
      </c>
      <c r="E40" s="28">
        <v>4000000</v>
      </c>
      <c r="F40" s="25">
        <v>17984</v>
      </c>
      <c r="G40" s="25">
        <v>1.26</v>
      </c>
      <c r="H40" s="70" t="s">
        <v>688</v>
      </c>
      <c r="I40" s="62"/>
      <c r="J40" s="62"/>
      <c r="K40" s="62"/>
      <c r="L40" s="62"/>
    </row>
    <row r="41" spans="2:12">
      <c r="B41" s="27" t="s">
        <v>100</v>
      </c>
      <c r="C41" s="23" t="s">
        <v>101</v>
      </c>
      <c r="D41" s="23" t="s">
        <v>86</v>
      </c>
      <c r="E41" s="28">
        <v>3984300</v>
      </c>
      <c r="F41" s="25">
        <v>17736.11</v>
      </c>
      <c r="G41" s="25">
        <v>1.25</v>
      </c>
      <c r="H41" s="70" t="s">
        <v>689</v>
      </c>
      <c r="I41" s="62"/>
      <c r="J41" s="62"/>
      <c r="K41" s="62"/>
      <c r="L41" s="62"/>
    </row>
    <row r="42" spans="2:12">
      <c r="B42" s="27" t="s">
        <v>164</v>
      </c>
      <c r="C42" s="23" t="s">
        <v>165</v>
      </c>
      <c r="D42" s="23" t="s">
        <v>166</v>
      </c>
      <c r="E42" s="28">
        <v>2155000</v>
      </c>
      <c r="F42" s="25">
        <v>17491.060000000001</v>
      </c>
      <c r="G42" s="25">
        <v>1.23</v>
      </c>
      <c r="H42" s="70" t="s">
        <v>688</v>
      </c>
      <c r="I42" s="62"/>
      <c r="J42" s="62"/>
      <c r="K42" s="62"/>
      <c r="L42" s="62"/>
    </row>
    <row r="43" spans="2:12">
      <c r="B43" s="27" t="s">
        <v>175</v>
      </c>
      <c r="C43" s="23" t="s">
        <v>176</v>
      </c>
      <c r="D43" s="23" t="s">
        <v>132</v>
      </c>
      <c r="E43" s="28">
        <v>84779</v>
      </c>
      <c r="F43" s="25">
        <v>16968.599999999999</v>
      </c>
      <c r="G43" s="25">
        <v>1.19</v>
      </c>
      <c r="H43" s="70" t="s">
        <v>689</v>
      </c>
      <c r="I43" s="62"/>
      <c r="J43" s="62"/>
      <c r="K43" s="62"/>
      <c r="L43" s="62"/>
    </row>
    <row r="44" spans="2:12">
      <c r="B44" s="27" t="s">
        <v>232</v>
      </c>
      <c r="C44" s="23" t="s">
        <v>233</v>
      </c>
      <c r="D44" s="23" t="s">
        <v>45</v>
      </c>
      <c r="E44" s="28">
        <v>10298290</v>
      </c>
      <c r="F44" s="25">
        <v>16564.8</v>
      </c>
      <c r="G44" s="25">
        <v>1.1599999999999999</v>
      </c>
      <c r="H44" s="70" t="s">
        <v>690</v>
      </c>
      <c r="I44" s="62"/>
      <c r="J44" s="62"/>
      <c r="K44" s="62"/>
      <c r="L44" s="62"/>
    </row>
    <row r="45" spans="2:12">
      <c r="B45" s="27" t="s">
        <v>234</v>
      </c>
      <c r="C45" s="23" t="s">
        <v>235</v>
      </c>
      <c r="D45" s="23" t="s">
        <v>236</v>
      </c>
      <c r="E45" s="28">
        <v>1871805</v>
      </c>
      <c r="F45" s="25">
        <v>15714.74</v>
      </c>
      <c r="G45" s="25">
        <v>1.1000000000000001</v>
      </c>
      <c r="H45" s="70" t="s">
        <v>690</v>
      </c>
      <c r="I45" s="62"/>
      <c r="J45" s="62"/>
      <c r="K45" s="62"/>
      <c r="L45" s="62"/>
    </row>
    <row r="46" spans="2:12">
      <c r="B46" s="27" t="s">
        <v>171</v>
      </c>
      <c r="C46" s="23" t="s">
        <v>172</v>
      </c>
      <c r="D46" s="23" t="s">
        <v>48</v>
      </c>
      <c r="E46" s="28">
        <v>2006703</v>
      </c>
      <c r="F46" s="25">
        <v>14709.13</v>
      </c>
      <c r="G46" s="25">
        <v>1.03</v>
      </c>
      <c r="H46" s="70" t="s">
        <v>689</v>
      </c>
      <c r="I46" s="62"/>
      <c r="J46" s="62"/>
      <c r="K46" s="62"/>
      <c r="L46" s="62"/>
    </row>
    <row r="47" spans="2:12">
      <c r="B47" s="27" t="s">
        <v>237</v>
      </c>
      <c r="C47" s="23" t="s">
        <v>238</v>
      </c>
      <c r="D47" s="23" t="s">
        <v>127</v>
      </c>
      <c r="E47" s="28">
        <v>1550000</v>
      </c>
      <c r="F47" s="25">
        <v>14074.78</v>
      </c>
      <c r="G47" s="25">
        <v>0.99</v>
      </c>
      <c r="H47" s="70" t="s">
        <v>689</v>
      </c>
      <c r="I47" s="62"/>
      <c r="J47" s="62"/>
      <c r="K47" s="62"/>
      <c r="L47" s="62"/>
    </row>
    <row r="48" spans="2:12">
      <c r="B48" s="27" t="s">
        <v>191</v>
      </c>
      <c r="C48" s="23" t="s">
        <v>192</v>
      </c>
      <c r="D48" s="23" t="s">
        <v>132</v>
      </c>
      <c r="E48" s="28">
        <v>591709</v>
      </c>
      <c r="F48" s="25">
        <v>13375.88</v>
      </c>
      <c r="G48" s="25">
        <v>0.94</v>
      </c>
      <c r="H48" s="70" t="s">
        <v>688</v>
      </c>
      <c r="I48" s="62"/>
      <c r="J48" s="62"/>
      <c r="K48" s="62"/>
      <c r="L48" s="62"/>
    </row>
    <row r="49" spans="2:12">
      <c r="B49" s="27" t="s">
        <v>69</v>
      </c>
      <c r="C49" s="23" t="s">
        <v>70</v>
      </c>
      <c r="D49" s="23" t="s">
        <v>71</v>
      </c>
      <c r="E49" s="28">
        <v>724370</v>
      </c>
      <c r="F49" s="25">
        <v>12822.07</v>
      </c>
      <c r="G49" s="25">
        <v>0.9</v>
      </c>
      <c r="H49" s="70" t="s">
        <v>690</v>
      </c>
      <c r="I49" s="62"/>
      <c r="J49" s="62"/>
      <c r="K49" s="62"/>
      <c r="L49" s="62"/>
    </row>
    <row r="50" spans="2:12">
      <c r="B50" s="27" t="s">
        <v>201</v>
      </c>
      <c r="C50" s="23" t="s">
        <v>202</v>
      </c>
      <c r="D50" s="23" t="s">
        <v>132</v>
      </c>
      <c r="E50" s="28">
        <v>1272876</v>
      </c>
      <c r="F50" s="25">
        <v>12731.94</v>
      </c>
      <c r="G50" s="25">
        <v>0.89</v>
      </c>
      <c r="H50" s="70" t="s">
        <v>689</v>
      </c>
      <c r="I50" s="62"/>
      <c r="J50" s="62"/>
      <c r="K50" s="62"/>
      <c r="L50" s="62"/>
    </row>
    <row r="51" spans="2:12">
      <c r="B51" s="27" t="s">
        <v>239</v>
      </c>
      <c r="C51" s="23" t="s">
        <v>240</v>
      </c>
      <c r="D51" s="23" t="s">
        <v>48</v>
      </c>
      <c r="E51" s="28">
        <v>506085</v>
      </c>
      <c r="F51" s="25">
        <v>12138.95</v>
      </c>
      <c r="G51" s="25">
        <v>0.85</v>
      </c>
      <c r="H51" s="70" t="s">
        <v>689</v>
      </c>
      <c r="I51" s="62"/>
      <c r="J51" s="62"/>
      <c r="K51" s="62"/>
      <c r="L51" s="62"/>
    </row>
    <row r="52" spans="2:12">
      <c r="B52" s="27" t="s">
        <v>241</v>
      </c>
      <c r="C52" s="23" t="s">
        <v>242</v>
      </c>
      <c r="D52" s="23" t="s">
        <v>243</v>
      </c>
      <c r="E52" s="28">
        <v>8000000</v>
      </c>
      <c r="F52" s="25">
        <v>11920</v>
      </c>
      <c r="G52" s="25">
        <v>0.84</v>
      </c>
      <c r="H52" s="70" t="s">
        <v>689</v>
      </c>
      <c r="I52" s="62"/>
      <c r="J52" s="62"/>
      <c r="K52" s="62"/>
      <c r="L52" s="62"/>
    </row>
    <row r="53" spans="2:12">
      <c r="B53" s="27" t="s">
        <v>205</v>
      </c>
      <c r="C53" s="23" t="s">
        <v>206</v>
      </c>
      <c r="D53" s="23" t="s">
        <v>39</v>
      </c>
      <c r="E53" s="28">
        <v>501072</v>
      </c>
      <c r="F53" s="25">
        <v>11581.03</v>
      </c>
      <c r="G53" s="25">
        <v>0.81</v>
      </c>
      <c r="H53" s="70" t="s">
        <v>689</v>
      </c>
      <c r="I53" s="62"/>
      <c r="J53" s="62"/>
      <c r="K53" s="62"/>
      <c r="L53" s="62"/>
    </row>
    <row r="54" spans="2:12">
      <c r="B54" s="27" t="s">
        <v>72</v>
      </c>
      <c r="C54" s="23" t="s">
        <v>73</v>
      </c>
      <c r="D54" s="23" t="s">
        <v>74</v>
      </c>
      <c r="E54" s="28">
        <v>28778</v>
      </c>
      <c r="F54" s="25">
        <v>11563.79</v>
      </c>
      <c r="G54" s="25">
        <v>0.81</v>
      </c>
      <c r="H54" s="70" t="s">
        <v>689</v>
      </c>
      <c r="I54" s="62"/>
      <c r="J54" s="62"/>
      <c r="K54" s="62"/>
      <c r="L54" s="62"/>
    </row>
    <row r="55" spans="2:12">
      <c r="B55" s="27" t="s">
        <v>244</v>
      </c>
      <c r="C55" s="23" t="s">
        <v>245</v>
      </c>
      <c r="D55" s="23" t="s">
        <v>147</v>
      </c>
      <c r="E55" s="28">
        <v>630416</v>
      </c>
      <c r="F55" s="25">
        <v>11179.8</v>
      </c>
      <c r="G55" s="25">
        <v>0.79</v>
      </c>
      <c r="H55" s="70" t="s">
        <v>689</v>
      </c>
      <c r="I55" s="62"/>
      <c r="J55" s="62"/>
      <c r="K55" s="62"/>
      <c r="L55" s="62"/>
    </row>
    <row r="56" spans="2:12">
      <c r="B56" s="27" t="s">
        <v>246</v>
      </c>
      <c r="C56" s="23" t="s">
        <v>247</v>
      </c>
      <c r="D56" s="23" t="s">
        <v>147</v>
      </c>
      <c r="E56" s="28">
        <v>2483216</v>
      </c>
      <c r="F56" s="25">
        <v>9932.86</v>
      </c>
      <c r="G56" s="25">
        <v>0.7</v>
      </c>
      <c r="H56" s="70" t="s">
        <v>689</v>
      </c>
      <c r="I56" s="62"/>
      <c r="J56" s="62"/>
      <c r="K56" s="62"/>
      <c r="L56" s="62"/>
    </row>
    <row r="57" spans="2:12">
      <c r="B57" s="27" t="s">
        <v>145</v>
      </c>
      <c r="C57" s="23" t="s">
        <v>146</v>
      </c>
      <c r="D57" s="23" t="s">
        <v>147</v>
      </c>
      <c r="E57" s="28">
        <v>420000</v>
      </c>
      <c r="F57" s="25">
        <v>9878.61</v>
      </c>
      <c r="G57" s="25">
        <v>0.69</v>
      </c>
      <c r="H57" s="70" t="s">
        <v>688</v>
      </c>
      <c r="I57" s="62"/>
      <c r="J57" s="62"/>
      <c r="K57" s="62"/>
      <c r="L57" s="62"/>
    </row>
    <row r="58" spans="2:12">
      <c r="B58" s="27" t="s">
        <v>203</v>
      </c>
      <c r="C58" s="23" t="s">
        <v>204</v>
      </c>
      <c r="D58" s="23" t="s">
        <v>153</v>
      </c>
      <c r="E58" s="28">
        <v>1461265</v>
      </c>
      <c r="F58" s="25">
        <v>8040.61</v>
      </c>
      <c r="G58" s="25">
        <v>0.56999999999999995</v>
      </c>
      <c r="H58" s="70" t="s">
        <v>689</v>
      </c>
      <c r="I58" s="62"/>
      <c r="J58" s="62"/>
      <c r="K58" s="62"/>
      <c r="L58" s="62"/>
    </row>
    <row r="59" spans="2:12">
      <c r="B59" s="27" t="s">
        <v>214</v>
      </c>
      <c r="C59" s="23" t="s">
        <v>215</v>
      </c>
      <c r="D59" s="23" t="s">
        <v>216</v>
      </c>
      <c r="E59" s="28">
        <v>12000</v>
      </c>
      <c r="F59" s="25">
        <v>5864.76</v>
      </c>
      <c r="G59" s="25">
        <v>0.41</v>
      </c>
      <c r="H59" s="70" t="s">
        <v>689</v>
      </c>
      <c r="I59" s="62"/>
      <c r="J59" s="62"/>
      <c r="K59" s="62"/>
      <c r="L59" s="62"/>
    </row>
    <row r="60" spans="2:12">
      <c r="B60" s="27" t="s">
        <v>248</v>
      </c>
      <c r="C60" s="23" t="s">
        <v>249</v>
      </c>
      <c r="D60" s="23" t="s">
        <v>124</v>
      </c>
      <c r="E60" s="28">
        <v>350000</v>
      </c>
      <c r="F60" s="25">
        <v>3660.65</v>
      </c>
      <c r="G60" s="25">
        <v>0.26</v>
      </c>
      <c r="H60" s="70" t="s">
        <v>689</v>
      </c>
      <c r="I60" s="62"/>
      <c r="J60" s="62"/>
      <c r="K60" s="62"/>
      <c r="L60" s="62"/>
    </row>
    <row r="61" spans="2:12">
      <c r="B61" s="27" t="s">
        <v>250</v>
      </c>
      <c r="C61" s="23" t="s">
        <v>251</v>
      </c>
      <c r="D61" s="23" t="s">
        <v>118</v>
      </c>
      <c r="E61" s="28">
        <v>850000</v>
      </c>
      <c r="F61" s="25">
        <v>3282.28</v>
      </c>
      <c r="G61" s="25">
        <v>0.23</v>
      </c>
      <c r="H61" s="70" t="s">
        <v>689</v>
      </c>
      <c r="I61" s="62"/>
      <c r="J61" s="62"/>
      <c r="K61" s="62"/>
      <c r="L61" s="62"/>
    </row>
    <row r="62" spans="2:12">
      <c r="B62" s="27" t="s">
        <v>207</v>
      </c>
      <c r="C62" s="23" t="s">
        <v>208</v>
      </c>
      <c r="D62" s="23" t="s">
        <v>132</v>
      </c>
      <c r="E62" s="28">
        <v>64878</v>
      </c>
      <c r="F62" s="25">
        <v>2485.9</v>
      </c>
      <c r="G62" s="25">
        <v>0.17</v>
      </c>
      <c r="H62" s="70" t="s">
        <v>688</v>
      </c>
      <c r="I62" s="62"/>
      <c r="J62" s="62"/>
      <c r="K62" s="62"/>
      <c r="L62" s="62"/>
    </row>
    <row r="63" spans="2:12">
      <c r="B63" s="27" t="s">
        <v>252</v>
      </c>
      <c r="C63" s="23" t="s">
        <v>253</v>
      </c>
      <c r="D63" s="23" t="s">
        <v>97</v>
      </c>
      <c r="E63" s="28">
        <v>224043</v>
      </c>
      <c r="F63" s="25">
        <v>1644.14</v>
      </c>
      <c r="G63" s="25">
        <v>0.12</v>
      </c>
      <c r="H63" s="70" t="s">
        <v>689</v>
      </c>
      <c r="I63" s="62"/>
      <c r="J63" s="62"/>
      <c r="K63" s="62"/>
      <c r="L63" s="62"/>
    </row>
    <row r="64" spans="2:12">
      <c r="B64" s="27" t="s">
        <v>92</v>
      </c>
      <c r="C64" s="23" t="s">
        <v>93</v>
      </c>
      <c r="D64" s="23" t="s">
        <v>94</v>
      </c>
      <c r="E64" s="28">
        <v>550000</v>
      </c>
      <c r="F64" s="25">
        <v>591.79999999999995</v>
      </c>
      <c r="G64" s="25">
        <v>0.04</v>
      </c>
      <c r="H64" s="70" t="s">
        <v>688</v>
      </c>
      <c r="I64" s="62"/>
      <c r="J64" s="62"/>
      <c r="K64" s="62"/>
      <c r="L64" s="62"/>
    </row>
    <row r="65" spans="2:12" ht="12.75" thickBot="1">
      <c r="B65" s="27" t="s">
        <v>209</v>
      </c>
      <c r="C65" s="23" t="s">
        <v>210</v>
      </c>
      <c r="D65" s="23" t="s">
        <v>124</v>
      </c>
      <c r="E65" s="28">
        <v>164285</v>
      </c>
      <c r="F65" s="25">
        <v>481.93</v>
      </c>
      <c r="G65" s="25">
        <v>0.03</v>
      </c>
      <c r="H65" s="71" t="s">
        <v>688</v>
      </c>
      <c r="I65" s="62"/>
      <c r="J65" s="62"/>
      <c r="K65" s="62"/>
      <c r="L65" s="62"/>
    </row>
    <row r="66" spans="2:12">
      <c r="B66" s="29" t="s">
        <v>104</v>
      </c>
      <c r="C66" s="30"/>
      <c r="D66" s="30"/>
      <c r="E66" s="31"/>
      <c r="F66" s="32">
        <f>SUM(F7:F65)</f>
        <v>1366640.0900000003</v>
      </c>
      <c r="G66" s="32">
        <f>SUM(G7:G65)</f>
        <v>96.010000000000019</v>
      </c>
      <c r="H66" s="14"/>
      <c r="I66" s="62"/>
      <c r="J66" s="62"/>
      <c r="K66" s="62"/>
      <c r="L66" s="62"/>
    </row>
    <row r="67" spans="2:12">
      <c r="B67" s="37" t="s">
        <v>105</v>
      </c>
      <c r="C67" s="37"/>
      <c r="D67" s="37"/>
      <c r="E67" s="38"/>
      <c r="F67" s="39">
        <f>F66</f>
        <v>1366640.0900000003</v>
      </c>
      <c r="G67" s="39">
        <f>G66</f>
        <v>96.010000000000019</v>
      </c>
      <c r="H67" s="14"/>
      <c r="I67" s="62"/>
      <c r="J67" s="62"/>
      <c r="K67" s="62"/>
      <c r="L67" s="62"/>
    </row>
    <row r="68" spans="2:12">
      <c r="B68" s="40" t="s">
        <v>106</v>
      </c>
      <c r="C68" s="41"/>
      <c r="D68" s="41"/>
      <c r="E68" s="42"/>
      <c r="F68" s="43"/>
      <c r="G68" s="43"/>
      <c r="I68" s="62"/>
      <c r="J68" s="62"/>
      <c r="K68" s="62"/>
      <c r="L68" s="62"/>
    </row>
    <row r="69" spans="2:12">
      <c r="B69" s="27" t="s">
        <v>106</v>
      </c>
      <c r="C69" s="27"/>
      <c r="D69" s="23"/>
      <c r="E69" s="24"/>
      <c r="F69" s="25">
        <v>60564.57</v>
      </c>
      <c r="G69" s="25">
        <v>4.26</v>
      </c>
      <c r="I69" s="62"/>
      <c r="J69" s="62"/>
      <c r="K69" s="62"/>
      <c r="L69" s="62"/>
    </row>
    <row r="70" spans="2:12">
      <c r="B70" s="29" t="s">
        <v>104</v>
      </c>
      <c r="C70" s="30"/>
      <c r="D70" s="30"/>
      <c r="E70" s="31"/>
      <c r="F70" s="32">
        <f>SUM(F68:F69)</f>
        <v>60564.57</v>
      </c>
      <c r="G70" s="32">
        <f>SUM(G68:G69)</f>
        <v>4.26</v>
      </c>
      <c r="H70" s="14"/>
      <c r="I70" s="62"/>
      <c r="J70" s="62"/>
      <c r="K70" s="62"/>
      <c r="L70" s="62"/>
    </row>
    <row r="71" spans="2:12">
      <c r="B71" s="34" t="s">
        <v>105</v>
      </c>
      <c r="C71" s="34"/>
      <c r="D71" s="34"/>
      <c r="E71" s="35"/>
      <c r="F71" s="36">
        <f>F70</f>
        <v>60564.57</v>
      </c>
      <c r="G71" s="36">
        <f>G70</f>
        <v>4.26</v>
      </c>
      <c r="H71" s="14"/>
      <c r="I71" s="62"/>
      <c r="J71" s="62"/>
      <c r="K71" s="62"/>
      <c r="L71" s="62"/>
    </row>
    <row r="72" spans="2:12">
      <c r="B72" s="44" t="s">
        <v>108</v>
      </c>
      <c r="C72" s="44"/>
      <c r="D72" s="44"/>
      <c r="E72" s="45"/>
      <c r="F72" s="16">
        <f>F73-(+F67+F71)</f>
        <v>-4145.8900000003632</v>
      </c>
      <c r="G72" s="16">
        <f>G73-(+G67+G71)</f>
        <v>-0.27000000000002444</v>
      </c>
      <c r="H72" s="14"/>
      <c r="I72" s="62"/>
      <c r="J72" s="62"/>
      <c r="K72" s="62"/>
      <c r="L72" s="62"/>
    </row>
    <row r="73" spans="2:12">
      <c r="B73" s="44" t="s">
        <v>107</v>
      </c>
      <c r="C73" s="44"/>
      <c r="D73" s="44"/>
      <c r="E73" s="45"/>
      <c r="F73" s="16">
        <v>1423058.77</v>
      </c>
      <c r="G73" s="16">
        <v>100</v>
      </c>
      <c r="H73" s="14"/>
      <c r="I73" s="62"/>
      <c r="J73" s="62"/>
      <c r="K73" s="62"/>
      <c r="L73" s="62"/>
    </row>
    <row r="75" spans="2:12">
      <c r="B75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1"/>
  <sheetViews>
    <sheetView topLeftCell="C1" workbookViewId="0">
      <selection activeCell="J13" sqref="J13"/>
    </sheetView>
  </sheetViews>
  <sheetFormatPr defaultRowHeight="12"/>
  <cols>
    <col min="1" max="1" width="9.140625" style="1"/>
    <col min="2" max="2" width="54" style="1" bestFit="1" customWidth="1"/>
    <col min="3" max="3" width="13.5703125" style="1" bestFit="1" customWidth="1"/>
    <col min="4" max="4" width="40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11.85546875" style="1" customWidth="1"/>
    <col min="9" max="9" width="9" style="1" bestFit="1" customWidth="1"/>
    <col min="10" max="10" width="29.28515625" style="1" customWidth="1"/>
    <col min="11" max="11" width="29.5703125" style="1" customWidth="1"/>
    <col min="12" max="12" width="30.140625" style="1" customWidth="1"/>
    <col min="13" max="16384" width="9.140625" style="1"/>
  </cols>
  <sheetData>
    <row r="1" spans="2:12" ht="21" customHeight="1">
      <c r="B1" s="77" t="s">
        <v>12</v>
      </c>
      <c r="C1" s="78"/>
      <c r="D1" s="78"/>
      <c r="E1" s="78"/>
      <c r="F1" s="78"/>
      <c r="G1" s="78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20"/>
      <c r="H5" s="72"/>
      <c r="J5" s="79"/>
      <c r="K5" s="79"/>
      <c r="L5" s="79"/>
    </row>
    <row r="6" spans="2:12">
      <c r="B6" s="22" t="s">
        <v>30</v>
      </c>
      <c r="C6" s="23"/>
      <c r="D6" s="23"/>
      <c r="E6" s="24"/>
      <c r="F6" s="25"/>
      <c r="G6" s="25"/>
      <c r="H6" s="72"/>
      <c r="J6" s="79"/>
      <c r="K6" s="79"/>
      <c r="L6" s="79"/>
    </row>
    <row r="7" spans="2:12">
      <c r="B7" s="27" t="s">
        <v>43</v>
      </c>
      <c r="C7" s="23" t="s">
        <v>44</v>
      </c>
      <c r="D7" s="23" t="s">
        <v>45</v>
      </c>
      <c r="E7" s="28">
        <v>650000</v>
      </c>
      <c r="F7" s="25">
        <v>5320.9</v>
      </c>
      <c r="G7" s="25">
        <v>6.13</v>
      </c>
      <c r="H7" s="70" t="s">
        <v>688</v>
      </c>
      <c r="I7" s="62"/>
      <c r="J7" s="79"/>
      <c r="K7" s="79"/>
      <c r="L7" s="79"/>
    </row>
    <row r="8" spans="2:12">
      <c r="B8" s="27" t="s">
        <v>119</v>
      </c>
      <c r="C8" s="23" t="s">
        <v>120</v>
      </c>
      <c r="D8" s="23" t="s">
        <v>121</v>
      </c>
      <c r="E8" s="28">
        <v>195000</v>
      </c>
      <c r="F8" s="25">
        <v>5142.93</v>
      </c>
      <c r="G8" s="25">
        <v>5.92</v>
      </c>
      <c r="H8" s="70" t="s">
        <v>688</v>
      </c>
      <c r="I8" s="62"/>
      <c r="J8" s="79"/>
      <c r="K8" s="79"/>
      <c r="L8" s="79"/>
    </row>
    <row r="9" spans="2:12">
      <c r="B9" s="27" t="s">
        <v>254</v>
      </c>
      <c r="C9" s="23" t="s">
        <v>255</v>
      </c>
      <c r="D9" s="23" t="s">
        <v>121</v>
      </c>
      <c r="E9" s="28">
        <v>1600000</v>
      </c>
      <c r="F9" s="25">
        <v>4848.8</v>
      </c>
      <c r="G9" s="25">
        <v>5.59</v>
      </c>
      <c r="H9" s="70" t="s">
        <v>688</v>
      </c>
      <c r="I9" s="62"/>
      <c r="J9" s="79"/>
      <c r="K9" s="79"/>
      <c r="L9" s="79"/>
    </row>
    <row r="10" spans="2:12">
      <c r="B10" s="27" t="s">
        <v>125</v>
      </c>
      <c r="C10" s="23" t="s">
        <v>126</v>
      </c>
      <c r="D10" s="23" t="s">
        <v>127</v>
      </c>
      <c r="E10" s="28">
        <v>48000</v>
      </c>
      <c r="F10" s="25">
        <v>4211.3</v>
      </c>
      <c r="G10" s="25">
        <v>4.8499999999999996</v>
      </c>
      <c r="H10" s="70" t="s">
        <v>688</v>
      </c>
      <c r="I10" s="62"/>
      <c r="J10" s="79"/>
      <c r="K10" s="79"/>
      <c r="L10" s="79"/>
    </row>
    <row r="11" spans="2:12">
      <c r="B11" s="27" t="s">
        <v>53</v>
      </c>
      <c r="C11" s="23" t="s">
        <v>54</v>
      </c>
      <c r="D11" s="23" t="s">
        <v>45</v>
      </c>
      <c r="E11" s="28">
        <v>715000</v>
      </c>
      <c r="F11" s="25">
        <v>3777.7</v>
      </c>
      <c r="G11" s="25">
        <v>4.3499999999999996</v>
      </c>
      <c r="H11" s="70" t="s">
        <v>688</v>
      </c>
      <c r="I11" s="62"/>
      <c r="J11" s="79"/>
      <c r="K11" s="79"/>
      <c r="L11" s="79"/>
    </row>
    <row r="12" spans="2:12">
      <c r="B12" s="27" t="s">
        <v>109</v>
      </c>
      <c r="C12" s="23" t="s">
        <v>110</v>
      </c>
      <c r="D12" s="23" t="s">
        <v>45</v>
      </c>
      <c r="E12" s="28">
        <v>247000</v>
      </c>
      <c r="F12" s="25">
        <v>3542.47</v>
      </c>
      <c r="G12" s="25">
        <v>4.08</v>
      </c>
      <c r="H12" s="70" t="s">
        <v>688</v>
      </c>
      <c r="I12" s="62"/>
      <c r="J12" s="79"/>
      <c r="K12" s="79"/>
      <c r="L12" s="79"/>
    </row>
    <row r="13" spans="2:12">
      <c r="B13" s="27" t="s">
        <v>114</v>
      </c>
      <c r="C13" s="23" t="s">
        <v>115</v>
      </c>
      <c r="D13" s="23" t="s">
        <v>45</v>
      </c>
      <c r="E13" s="28">
        <v>460000</v>
      </c>
      <c r="F13" s="25">
        <v>3333.85</v>
      </c>
      <c r="G13" s="25">
        <v>3.84</v>
      </c>
      <c r="H13" s="70" t="s">
        <v>688</v>
      </c>
      <c r="I13" s="62"/>
      <c r="J13" s="62"/>
      <c r="K13" s="62" t="s">
        <v>698</v>
      </c>
    </row>
    <row r="14" spans="2:12">
      <c r="B14" s="27" t="s">
        <v>145</v>
      </c>
      <c r="C14" s="23" t="s">
        <v>146</v>
      </c>
      <c r="D14" s="23" t="s">
        <v>147</v>
      </c>
      <c r="E14" s="28">
        <v>135000</v>
      </c>
      <c r="F14" s="25">
        <v>3175.27</v>
      </c>
      <c r="G14" s="25">
        <v>3.66</v>
      </c>
      <c r="H14" s="70" t="s">
        <v>688</v>
      </c>
      <c r="I14" s="62"/>
      <c r="J14" s="62"/>
      <c r="K14" s="62"/>
      <c r="L14" s="62"/>
    </row>
    <row r="15" spans="2:12">
      <c r="B15" s="27" t="s">
        <v>185</v>
      </c>
      <c r="C15" s="23" t="s">
        <v>186</v>
      </c>
      <c r="D15" s="23" t="s">
        <v>147</v>
      </c>
      <c r="E15" s="28">
        <v>160000</v>
      </c>
      <c r="F15" s="25">
        <v>3138.64</v>
      </c>
      <c r="G15" s="25">
        <v>3.62</v>
      </c>
      <c r="H15" s="70" t="s">
        <v>689</v>
      </c>
      <c r="I15" s="62"/>
      <c r="J15" s="62"/>
      <c r="K15" s="62"/>
      <c r="L15" s="62"/>
    </row>
    <row r="16" spans="2:12">
      <c r="B16" s="27" t="s">
        <v>214</v>
      </c>
      <c r="C16" s="23" t="s">
        <v>215</v>
      </c>
      <c r="D16" s="23" t="s">
        <v>216</v>
      </c>
      <c r="E16" s="28">
        <v>5800</v>
      </c>
      <c r="F16" s="25">
        <v>2834.63</v>
      </c>
      <c r="G16" s="25">
        <v>3.27</v>
      </c>
      <c r="H16" s="70" t="s">
        <v>689</v>
      </c>
      <c r="I16" s="62"/>
      <c r="J16" s="62"/>
      <c r="K16" s="62"/>
      <c r="L16" s="62"/>
    </row>
    <row r="17" spans="2:12">
      <c r="B17" s="27" t="s">
        <v>223</v>
      </c>
      <c r="C17" s="23" t="s">
        <v>224</v>
      </c>
      <c r="D17" s="23" t="s">
        <v>225</v>
      </c>
      <c r="E17" s="28">
        <v>330000</v>
      </c>
      <c r="F17" s="25">
        <v>2817.38</v>
      </c>
      <c r="G17" s="25">
        <v>3.25</v>
      </c>
      <c r="H17" s="70" t="s">
        <v>688</v>
      </c>
      <c r="I17" s="62"/>
      <c r="J17" s="62"/>
      <c r="K17" s="62"/>
      <c r="L17" s="62"/>
    </row>
    <row r="18" spans="2:12">
      <c r="B18" s="27" t="s">
        <v>151</v>
      </c>
      <c r="C18" s="23" t="s">
        <v>152</v>
      </c>
      <c r="D18" s="23" t="s">
        <v>153</v>
      </c>
      <c r="E18" s="28">
        <v>942500</v>
      </c>
      <c r="F18" s="25">
        <v>2477.36</v>
      </c>
      <c r="G18" s="25">
        <v>2.85</v>
      </c>
      <c r="H18" s="70" t="s">
        <v>689</v>
      </c>
      <c r="I18" s="62"/>
      <c r="J18" s="62"/>
      <c r="K18" s="62"/>
      <c r="L18" s="62"/>
    </row>
    <row r="19" spans="2:12">
      <c r="B19" s="27" t="s">
        <v>116</v>
      </c>
      <c r="C19" s="23" t="s">
        <v>117</v>
      </c>
      <c r="D19" s="23" t="s">
        <v>118</v>
      </c>
      <c r="E19" s="28">
        <v>33000</v>
      </c>
      <c r="F19" s="25">
        <v>2379</v>
      </c>
      <c r="G19" s="25">
        <v>2.74</v>
      </c>
      <c r="H19" s="70" t="s">
        <v>688</v>
      </c>
      <c r="I19" s="62"/>
      <c r="J19" s="62"/>
      <c r="K19" s="62"/>
      <c r="L19" s="62"/>
    </row>
    <row r="20" spans="2:12">
      <c r="B20" s="27" t="s">
        <v>256</v>
      </c>
      <c r="C20" s="23" t="s">
        <v>257</v>
      </c>
      <c r="D20" s="23" t="s">
        <v>213</v>
      </c>
      <c r="E20" s="28">
        <v>145000</v>
      </c>
      <c r="F20" s="25">
        <v>2352.5500000000002</v>
      </c>
      <c r="G20" s="25">
        <v>2.71</v>
      </c>
      <c r="H20" s="70" t="s">
        <v>689</v>
      </c>
      <c r="I20" s="62"/>
      <c r="J20" s="62"/>
      <c r="K20" s="62"/>
      <c r="L20" s="62"/>
    </row>
    <row r="21" spans="2:12">
      <c r="B21" s="27" t="s">
        <v>122</v>
      </c>
      <c r="C21" s="23" t="s">
        <v>123</v>
      </c>
      <c r="D21" s="23" t="s">
        <v>124</v>
      </c>
      <c r="E21" s="28">
        <v>345000</v>
      </c>
      <c r="F21" s="25">
        <v>2338.9299999999998</v>
      </c>
      <c r="G21" s="25">
        <v>2.69</v>
      </c>
      <c r="H21" s="70" t="s">
        <v>688</v>
      </c>
      <c r="I21" s="62"/>
      <c r="J21" s="62"/>
      <c r="K21" s="62"/>
      <c r="L21" s="62"/>
    </row>
    <row r="22" spans="2:12">
      <c r="B22" s="27" t="s">
        <v>187</v>
      </c>
      <c r="C22" s="23" t="s">
        <v>188</v>
      </c>
      <c r="D22" s="23" t="s">
        <v>118</v>
      </c>
      <c r="E22" s="28">
        <v>240000</v>
      </c>
      <c r="F22" s="25">
        <v>2254.1999999999998</v>
      </c>
      <c r="G22" s="25">
        <v>2.6</v>
      </c>
      <c r="H22" s="70" t="s">
        <v>688</v>
      </c>
      <c r="I22" s="62"/>
      <c r="J22" s="62"/>
      <c r="K22" s="62"/>
      <c r="L22" s="62"/>
    </row>
    <row r="23" spans="2:12">
      <c r="B23" s="27" t="s">
        <v>164</v>
      </c>
      <c r="C23" s="23" t="s">
        <v>165</v>
      </c>
      <c r="D23" s="23" t="s">
        <v>166</v>
      </c>
      <c r="E23" s="28">
        <v>276000</v>
      </c>
      <c r="F23" s="25">
        <v>2240.15</v>
      </c>
      <c r="G23" s="25">
        <v>2.58</v>
      </c>
      <c r="H23" s="70" t="s">
        <v>688</v>
      </c>
      <c r="I23" s="62"/>
      <c r="J23" s="62"/>
      <c r="K23" s="62"/>
      <c r="L23" s="62"/>
    </row>
    <row r="24" spans="2:12">
      <c r="B24" s="27" t="s">
        <v>141</v>
      </c>
      <c r="C24" s="23" t="s">
        <v>142</v>
      </c>
      <c r="D24" s="23" t="s">
        <v>127</v>
      </c>
      <c r="E24" s="28">
        <v>455000</v>
      </c>
      <c r="F24" s="25">
        <v>2045.68</v>
      </c>
      <c r="G24" s="25">
        <v>2.36</v>
      </c>
      <c r="H24" s="70" t="s">
        <v>688</v>
      </c>
      <c r="I24" s="62"/>
      <c r="J24" s="62"/>
      <c r="K24" s="62"/>
      <c r="L24" s="62"/>
    </row>
    <row r="25" spans="2:12">
      <c r="B25" s="27" t="s">
        <v>217</v>
      </c>
      <c r="C25" s="23" t="s">
        <v>218</v>
      </c>
      <c r="D25" s="23" t="s">
        <v>137</v>
      </c>
      <c r="E25" s="28">
        <v>160000</v>
      </c>
      <c r="F25" s="25">
        <v>2029.76</v>
      </c>
      <c r="G25" s="25">
        <v>2.34</v>
      </c>
      <c r="H25" s="70" t="s">
        <v>689</v>
      </c>
      <c r="I25" s="62"/>
      <c r="J25" s="62"/>
      <c r="K25" s="62"/>
      <c r="L25" s="62"/>
    </row>
    <row r="26" spans="2:12">
      <c r="B26" s="27" t="s">
        <v>211</v>
      </c>
      <c r="C26" s="23" t="s">
        <v>212</v>
      </c>
      <c r="D26" s="23" t="s">
        <v>213</v>
      </c>
      <c r="E26" s="28">
        <v>245000</v>
      </c>
      <c r="F26" s="25">
        <v>1908.55</v>
      </c>
      <c r="G26" s="25">
        <v>2.2000000000000002</v>
      </c>
      <c r="H26" s="70" t="s">
        <v>688</v>
      </c>
      <c r="I26" s="62"/>
      <c r="J26" s="62"/>
      <c r="K26" s="62"/>
      <c r="L26" s="62"/>
    </row>
    <row r="27" spans="2:12">
      <c r="B27" s="27" t="s">
        <v>258</v>
      </c>
      <c r="C27" s="23" t="s">
        <v>259</v>
      </c>
      <c r="D27" s="23" t="s">
        <v>147</v>
      </c>
      <c r="E27" s="28">
        <v>145000</v>
      </c>
      <c r="F27" s="25">
        <v>1811.56</v>
      </c>
      <c r="G27" s="25">
        <v>2.09</v>
      </c>
      <c r="H27" s="70" t="s">
        <v>688</v>
      </c>
      <c r="I27" s="62"/>
      <c r="J27" s="62"/>
      <c r="K27" s="62"/>
      <c r="L27" s="62"/>
    </row>
    <row r="28" spans="2:12">
      <c r="B28" s="27" t="s">
        <v>189</v>
      </c>
      <c r="C28" s="23" t="s">
        <v>190</v>
      </c>
      <c r="D28" s="23" t="s">
        <v>147</v>
      </c>
      <c r="E28" s="28">
        <v>180000</v>
      </c>
      <c r="F28" s="25">
        <v>1808.55</v>
      </c>
      <c r="G28" s="25">
        <v>2.08</v>
      </c>
      <c r="H28" s="70" t="s">
        <v>689</v>
      </c>
      <c r="I28" s="62"/>
      <c r="J28" s="62"/>
      <c r="K28" s="62"/>
      <c r="L28" s="62"/>
    </row>
    <row r="29" spans="2:12">
      <c r="B29" s="27" t="s">
        <v>232</v>
      </c>
      <c r="C29" s="23" t="s">
        <v>233</v>
      </c>
      <c r="D29" s="23" t="s">
        <v>45</v>
      </c>
      <c r="E29" s="28">
        <v>1100000</v>
      </c>
      <c r="F29" s="25">
        <v>1769.35</v>
      </c>
      <c r="G29" s="25">
        <v>2.04</v>
      </c>
      <c r="H29" s="70" t="s">
        <v>690</v>
      </c>
      <c r="I29" s="62"/>
      <c r="J29" s="62"/>
      <c r="K29" s="62"/>
      <c r="L29" s="62"/>
    </row>
    <row r="30" spans="2:12">
      <c r="B30" s="27" t="s">
        <v>219</v>
      </c>
      <c r="C30" s="23" t="s">
        <v>220</v>
      </c>
      <c r="D30" s="23" t="s">
        <v>39</v>
      </c>
      <c r="E30" s="28">
        <v>20500</v>
      </c>
      <c r="F30" s="25">
        <v>1749.73</v>
      </c>
      <c r="G30" s="25">
        <v>2.02</v>
      </c>
      <c r="H30" s="70" t="s">
        <v>690</v>
      </c>
      <c r="I30" s="62"/>
      <c r="J30" s="62"/>
      <c r="K30" s="62"/>
      <c r="L30" s="62"/>
    </row>
    <row r="31" spans="2:12">
      <c r="B31" s="27" t="s">
        <v>260</v>
      </c>
      <c r="C31" s="23" t="s">
        <v>261</v>
      </c>
      <c r="D31" s="23" t="s">
        <v>153</v>
      </c>
      <c r="E31" s="28">
        <v>275000</v>
      </c>
      <c r="F31" s="25">
        <v>1606.83</v>
      </c>
      <c r="G31" s="25">
        <v>1.85</v>
      </c>
      <c r="H31" s="70" t="s">
        <v>690</v>
      </c>
      <c r="I31" s="62"/>
      <c r="J31" s="62"/>
      <c r="K31" s="62"/>
      <c r="L31" s="62"/>
    </row>
    <row r="32" spans="2:12">
      <c r="B32" s="27" t="s">
        <v>226</v>
      </c>
      <c r="C32" s="23" t="s">
        <v>227</v>
      </c>
      <c r="D32" s="23" t="s">
        <v>156</v>
      </c>
      <c r="E32" s="28">
        <v>120000</v>
      </c>
      <c r="F32" s="25">
        <v>1553.28</v>
      </c>
      <c r="G32" s="25">
        <v>1.79</v>
      </c>
      <c r="H32" s="70" t="s">
        <v>688</v>
      </c>
      <c r="I32" s="62"/>
      <c r="J32" s="62"/>
      <c r="K32" s="62"/>
      <c r="L32" s="62"/>
    </row>
    <row r="33" spans="2:12">
      <c r="B33" s="27" t="s">
        <v>199</v>
      </c>
      <c r="C33" s="23" t="s">
        <v>200</v>
      </c>
      <c r="D33" s="23" t="s">
        <v>48</v>
      </c>
      <c r="E33" s="28">
        <v>122500</v>
      </c>
      <c r="F33" s="25">
        <v>1516.55</v>
      </c>
      <c r="G33" s="25">
        <v>1.75</v>
      </c>
      <c r="H33" s="70" t="s">
        <v>690</v>
      </c>
      <c r="I33" s="62"/>
      <c r="J33" s="62"/>
      <c r="K33" s="62"/>
      <c r="L33" s="62"/>
    </row>
    <row r="34" spans="2:12">
      <c r="B34" s="27" t="s">
        <v>135</v>
      </c>
      <c r="C34" s="23" t="s">
        <v>136</v>
      </c>
      <c r="D34" s="23" t="s">
        <v>137</v>
      </c>
      <c r="E34" s="28">
        <v>35250</v>
      </c>
      <c r="F34" s="25">
        <v>1495.96</v>
      </c>
      <c r="G34" s="25">
        <v>1.72</v>
      </c>
      <c r="H34" s="70" t="s">
        <v>688</v>
      </c>
      <c r="I34" s="62"/>
      <c r="J34" s="62"/>
      <c r="K34" s="62"/>
      <c r="L34" s="62"/>
    </row>
    <row r="35" spans="2:12">
      <c r="B35" s="27" t="s">
        <v>262</v>
      </c>
      <c r="C35" s="23" t="s">
        <v>263</v>
      </c>
      <c r="D35" s="23" t="s">
        <v>150</v>
      </c>
      <c r="E35" s="28">
        <v>35000</v>
      </c>
      <c r="F35" s="25">
        <v>1474.31</v>
      </c>
      <c r="G35" s="25">
        <v>1.7</v>
      </c>
      <c r="H35" s="70" t="s">
        <v>688</v>
      </c>
      <c r="I35" s="62"/>
      <c r="J35" s="62"/>
      <c r="K35" s="62"/>
      <c r="L35" s="62"/>
    </row>
    <row r="36" spans="2:12">
      <c r="B36" s="27" t="s">
        <v>179</v>
      </c>
      <c r="C36" s="23" t="s">
        <v>180</v>
      </c>
      <c r="D36" s="23" t="s">
        <v>48</v>
      </c>
      <c r="E36" s="28">
        <v>63000</v>
      </c>
      <c r="F36" s="25">
        <v>1459.99</v>
      </c>
      <c r="G36" s="25">
        <v>1.68</v>
      </c>
      <c r="H36" s="70" t="s">
        <v>689</v>
      </c>
      <c r="I36" s="62"/>
      <c r="J36" s="62"/>
      <c r="K36" s="62"/>
      <c r="L36" s="62"/>
    </row>
    <row r="37" spans="2:12">
      <c r="B37" s="27" t="s">
        <v>183</v>
      </c>
      <c r="C37" s="23" t="s">
        <v>184</v>
      </c>
      <c r="D37" s="23" t="s">
        <v>118</v>
      </c>
      <c r="E37" s="28">
        <v>220000</v>
      </c>
      <c r="F37" s="25">
        <v>1311.42</v>
      </c>
      <c r="G37" s="25">
        <v>1.51</v>
      </c>
      <c r="H37" s="70" t="s">
        <v>690</v>
      </c>
      <c r="I37" s="62"/>
      <c r="J37" s="62"/>
      <c r="K37" s="62"/>
      <c r="L37" s="62"/>
    </row>
    <row r="38" spans="2:12">
      <c r="B38" s="27" t="s">
        <v>264</v>
      </c>
      <c r="C38" s="23" t="s">
        <v>265</v>
      </c>
      <c r="D38" s="23" t="s">
        <v>213</v>
      </c>
      <c r="E38" s="28">
        <v>135000</v>
      </c>
      <c r="F38" s="25">
        <v>1191.6500000000001</v>
      </c>
      <c r="G38" s="25">
        <v>1.37</v>
      </c>
      <c r="H38" s="70" t="s">
        <v>689</v>
      </c>
      <c r="I38" s="62"/>
      <c r="J38" s="62"/>
      <c r="K38" s="62"/>
      <c r="L38" s="62"/>
    </row>
    <row r="39" spans="2:12">
      <c r="B39" s="27" t="s">
        <v>143</v>
      </c>
      <c r="C39" s="23" t="s">
        <v>144</v>
      </c>
      <c r="D39" s="23" t="s">
        <v>39</v>
      </c>
      <c r="E39" s="28">
        <v>220000</v>
      </c>
      <c r="F39" s="25">
        <v>1119.3599999999999</v>
      </c>
      <c r="G39" s="25">
        <v>1.29</v>
      </c>
      <c r="H39" s="70" t="s">
        <v>689</v>
      </c>
      <c r="I39" s="62"/>
      <c r="J39" s="62"/>
      <c r="K39" s="62"/>
      <c r="L39" s="62"/>
    </row>
    <row r="40" spans="2:12">
      <c r="B40" s="27" t="s">
        <v>241</v>
      </c>
      <c r="C40" s="23" t="s">
        <v>242</v>
      </c>
      <c r="D40" s="23" t="s">
        <v>243</v>
      </c>
      <c r="E40" s="28">
        <v>650000</v>
      </c>
      <c r="F40" s="25">
        <v>968.5</v>
      </c>
      <c r="G40" s="25">
        <v>1.1200000000000001</v>
      </c>
      <c r="H40" s="70" t="s">
        <v>689</v>
      </c>
      <c r="I40" s="62"/>
      <c r="J40" s="62"/>
      <c r="K40" s="62"/>
      <c r="L40" s="62"/>
    </row>
    <row r="41" spans="2:12" ht="12.75" thickBot="1">
      <c r="B41" s="27" t="s">
        <v>246</v>
      </c>
      <c r="C41" s="23" t="s">
        <v>247</v>
      </c>
      <c r="D41" s="23" t="s">
        <v>147</v>
      </c>
      <c r="E41" s="28">
        <v>230000</v>
      </c>
      <c r="F41" s="25">
        <v>920</v>
      </c>
      <c r="G41" s="25">
        <v>1.06</v>
      </c>
      <c r="H41" s="71" t="s">
        <v>689</v>
      </c>
      <c r="I41" s="62"/>
      <c r="J41" s="62"/>
      <c r="K41" s="62"/>
      <c r="L41" s="62"/>
    </row>
    <row r="42" spans="2:12">
      <c r="B42" s="29" t="s">
        <v>104</v>
      </c>
      <c r="C42" s="30"/>
      <c r="D42" s="30"/>
      <c r="E42" s="31"/>
      <c r="F42" s="32">
        <f>SUM(F7:F41)</f>
        <v>83927.090000000011</v>
      </c>
      <c r="G42" s="32">
        <f>SUM(G7:G41)</f>
        <v>96.700000000000045</v>
      </c>
      <c r="H42" s="14"/>
      <c r="I42" s="62"/>
      <c r="J42" s="62"/>
      <c r="K42" s="62"/>
      <c r="L42" s="62"/>
    </row>
    <row r="43" spans="2:12">
      <c r="B43" s="37" t="s">
        <v>105</v>
      </c>
      <c r="C43" s="37"/>
      <c r="D43" s="37"/>
      <c r="E43" s="38"/>
      <c r="F43" s="39">
        <f>F42</f>
        <v>83927.090000000011</v>
      </c>
      <c r="G43" s="39">
        <f>G42</f>
        <v>96.700000000000045</v>
      </c>
      <c r="H43" s="14"/>
      <c r="I43" s="62"/>
      <c r="J43" s="62"/>
      <c r="K43" s="62"/>
      <c r="L43" s="62"/>
    </row>
    <row r="44" spans="2:12">
      <c r="B44" s="40" t="s">
        <v>106</v>
      </c>
      <c r="C44" s="41"/>
      <c r="D44" s="41"/>
      <c r="E44" s="42"/>
      <c r="F44" s="43"/>
      <c r="G44" s="43"/>
      <c r="I44" s="62"/>
      <c r="J44" s="62"/>
      <c r="K44" s="62"/>
      <c r="L44" s="62"/>
    </row>
    <row r="45" spans="2:12">
      <c r="B45" s="27" t="s">
        <v>106</v>
      </c>
      <c r="C45" s="23"/>
      <c r="D45" s="23"/>
      <c r="E45" s="24"/>
      <c r="F45" s="25">
        <v>3127.85</v>
      </c>
      <c r="G45" s="25">
        <v>3.6</v>
      </c>
      <c r="I45" s="62"/>
      <c r="J45" s="62"/>
      <c r="K45" s="62"/>
      <c r="L45" s="62"/>
    </row>
    <row r="46" spans="2:12">
      <c r="B46" s="29" t="s">
        <v>104</v>
      </c>
      <c r="C46" s="30"/>
      <c r="D46" s="30"/>
      <c r="E46" s="31"/>
      <c r="F46" s="32">
        <f>SUM(F44:F45)</f>
        <v>3127.85</v>
      </c>
      <c r="G46" s="32">
        <f>SUM(G44:G45)</f>
        <v>3.6</v>
      </c>
      <c r="H46" s="14"/>
      <c r="I46" s="62"/>
      <c r="J46" s="62"/>
      <c r="K46" s="62"/>
      <c r="L46" s="62"/>
    </row>
    <row r="47" spans="2:12">
      <c r="B47" s="34" t="s">
        <v>105</v>
      </c>
      <c r="C47" s="34"/>
      <c r="D47" s="34"/>
      <c r="E47" s="35"/>
      <c r="F47" s="36">
        <f>F46</f>
        <v>3127.85</v>
      </c>
      <c r="G47" s="36">
        <f>G46</f>
        <v>3.6</v>
      </c>
      <c r="H47" s="14"/>
      <c r="I47" s="62"/>
      <c r="J47" s="62"/>
      <c r="K47" s="62"/>
      <c r="L47" s="62"/>
    </row>
    <row r="48" spans="2:12">
      <c r="B48" s="44" t="s">
        <v>108</v>
      </c>
      <c r="C48" s="44"/>
      <c r="D48" s="44"/>
      <c r="E48" s="45"/>
      <c r="F48" s="16">
        <f>F49-(+F43+F47)</f>
        <v>-237.40000000002328</v>
      </c>
      <c r="G48" s="16">
        <f>G49-(+G43+G47)</f>
        <v>-0.30000000000003979</v>
      </c>
      <c r="H48" s="14"/>
      <c r="I48" s="62"/>
      <c r="J48" s="62"/>
      <c r="K48" s="62"/>
      <c r="L48" s="62"/>
    </row>
    <row r="49" spans="2:12">
      <c r="B49" s="44" t="s">
        <v>107</v>
      </c>
      <c r="C49" s="44"/>
      <c r="D49" s="44"/>
      <c r="E49" s="45"/>
      <c r="F49" s="16">
        <v>86817.54</v>
      </c>
      <c r="G49" s="16">
        <v>100</v>
      </c>
      <c r="H49" s="14"/>
      <c r="I49" s="62"/>
      <c r="J49" s="62"/>
      <c r="K49" s="62"/>
      <c r="L49" s="62"/>
    </row>
    <row r="51" spans="2:12">
      <c r="B51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1"/>
  <sheetViews>
    <sheetView topLeftCell="C1" workbookViewId="0"/>
  </sheetViews>
  <sheetFormatPr defaultRowHeight="12"/>
  <cols>
    <col min="1" max="1" width="9.140625" style="1"/>
    <col min="2" max="2" width="54" style="1" bestFit="1" customWidth="1"/>
    <col min="3" max="3" width="13.28515625" style="1" bestFit="1" customWidth="1"/>
    <col min="4" max="4" width="28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12" style="1" customWidth="1"/>
    <col min="9" max="9" width="10" style="1" bestFit="1" customWidth="1"/>
    <col min="10" max="10" width="27" style="1" customWidth="1"/>
    <col min="11" max="11" width="28.42578125" style="1" customWidth="1"/>
    <col min="12" max="12" width="26.7109375" style="1" customWidth="1"/>
    <col min="13" max="16384" width="9.140625" style="1"/>
  </cols>
  <sheetData>
    <row r="1" spans="2:12" ht="21" customHeight="1">
      <c r="B1" s="77" t="s">
        <v>13</v>
      </c>
      <c r="C1" s="78"/>
      <c r="D1" s="78"/>
      <c r="E1" s="78"/>
      <c r="F1" s="78"/>
      <c r="G1" s="78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20"/>
      <c r="H5" s="72"/>
      <c r="J5" s="80"/>
      <c r="K5" s="80"/>
      <c r="L5" s="80"/>
    </row>
    <row r="6" spans="2:12">
      <c r="B6" s="22" t="s">
        <v>30</v>
      </c>
      <c r="C6" s="23"/>
      <c r="D6" s="23"/>
      <c r="E6" s="24"/>
      <c r="F6" s="25"/>
      <c r="G6" s="25"/>
      <c r="H6" s="72"/>
      <c r="J6" s="81"/>
      <c r="K6" s="81"/>
      <c r="L6" s="81"/>
    </row>
    <row r="7" spans="2:12">
      <c r="B7" s="27" t="s">
        <v>43</v>
      </c>
      <c r="C7" s="23" t="s">
        <v>44</v>
      </c>
      <c r="D7" s="23" t="s">
        <v>45</v>
      </c>
      <c r="E7" s="28">
        <v>8805600</v>
      </c>
      <c r="F7" s="25">
        <v>72082.64</v>
      </c>
      <c r="G7" s="25">
        <v>9.49</v>
      </c>
      <c r="H7" s="70" t="s">
        <v>688</v>
      </c>
      <c r="I7" s="62"/>
      <c r="J7" s="81"/>
      <c r="K7" s="81"/>
      <c r="L7" s="81"/>
    </row>
    <row r="8" spans="2:12">
      <c r="B8" s="27" t="s">
        <v>109</v>
      </c>
      <c r="C8" s="23" t="s">
        <v>110</v>
      </c>
      <c r="D8" s="23" t="s">
        <v>45</v>
      </c>
      <c r="E8" s="28">
        <v>4559700</v>
      </c>
      <c r="F8" s="25">
        <v>65395.22</v>
      </c>
      <c r="G8" s="25">
        <v>8.61</v>
      </c>
      <c r="H8" s="70" t="s">
        <v>688</v>
      </c>
      <c r="I8" s="62"/>
      <c r="J8" s="81"/>
      <c r="K8" s="81"/>
      <c r="L8" s="81"/>
    </row>
    <row r="9" spans="2:12">
      <c r="B9" s="27" t="s">
        <v>81</v>
      </c>
      <c r="C9" s="23" t="s">
        <v>82</v>
      </c>
      <c r="D9" s="23" t="s">
        <v>83</v>
      </c>
      <c r="E9" s="28">
        <v>1998250</v>
      </c>
      <c r="F9" s="25">
        <v>50145.08</v>
      </c>
      <c r="G9" s="25">
        <v>6.6</v>
      </c>
      <c r="H9" s="70" t="s">
        <v>688</v>
      </c>
      <c r="I9" s="62"/>
      <c r="J9" s="81"/>
      <c r="K9" s="81"/>
      <c r="L9" s="81"/>
    </row>
    <row r="10" spans="2:12">
      <c r="B10" s="27" t="s">
        <v>111</v>
      </c>
      <c r="C10" s="23" t="s">
        <v>112</v>
      </c>
      <c r="D10" s="23" t="s">
        <v>113</v>
      </c>
      <c r="E10" s="28">
        <v>3034142</v>
      </c>
      <c r="F10" s="25">
        <v>47020.1</v>
      </c>
      <c r="G10" s="25">
        <v>6.19</v>
      </c>
      <c r="H10" s="70" t="s">
        <v>688</v>
      </c>
      <c r="I10" s="62"/>
      <c r="J10" s="81"/>
      <c r="K10" s="81"/>
      <c r="L10" s="81"/>
    </row>
    <row r="11" spans="2:12">
      <c r="B11" s="27" t="s">
        <v>53</v>
      </c>
      <c r="C11" s="23" t="s">
        <v>54</v>
      </c>
      <c r="D11" s="23" t="s">
        <v>45</v>
      </c>
      <c r="E11" s="28">
        <v>5975000</v>
      </c>
      <c r="F11" s="25">
        <v>31568.91</v>
      </c>
      <c r="G11" s="25">
        <v>4.16</v>
      </c>
      <c r="H11" s="70" t="s">
        <v>688</v>
      </c>
      <c r="I11" s="62"/>
      <c r="J11" s="81"/>
      <c r="K11" s="81"/>
      <c r="L11" s="81"/>
    </row>
    <row r="12" spans="2:12">
      <c r="B12" s="27" t="s">
        <v>114</v>
      </c>
      <c r="C12" s="23" t="s">
        <v>115</v>
      </c>
      <c r="D12" s="23" t="s">
        <v>45</v>
      </c>
      <c r="E12" s="28">
        <v>3809200</v>
      </c>
      <c r="F12" s="25">
        <v>27607.18</v>
      </c>
      <c r="G12" s="25">
        <v>3.64</v>
      </c>
      <c r="H12" s="70" t="s">
        <v>688</v>
      </c>
      <c r="I12" s="62"/>
      <c r="J12" s="82"/>
      <c r="K12" s="82"/>
      <c r="L12" s="82"/>
    </row>
    <row r="13" spans="2:12">
      <c r="B13" s="27" t="s">
        <v>116</v>
      </c>
      <c r="C13" s="23" t="s">
        <v>117</v>
      </c>
      <c r="D13" s="23" t="s">
        <v>118</v>
      </c>
      <c r="E13" s="28">
        <v>362934</v>
      </c>
      <c r="F13" s="25">
        <v>26164.27</v>
      </c>
      <c r="G13" s="25">
        <v>3.45</v>
      </c>
      <c r="H13" s="70" t="s">
        <v>688</v>
      </c>
      <c r="I13" s="62"/>
      <c r="J13" s="62"/>
      <c r="K13" s="62" t="s">
        <v>698</v>
      </c>
    </row>
    <row r="14" spans="2:12">
      <c r="B14" s="27" t="s">
        <v>34</v>
      </c>
      <c r="C14" s="23" t="s">
        <v>35</v>
      </c>
      <c r="D14" s="23" t="s">
        <v>36</v>
      </c>
      <c r="E14" s="28">
        <v>1423185</v>
      </c>
      <c r="F14" s="25">
        <v>25731.9</v>
      </c>
      <c r="G14" s="25">
        <v>3.39</v>
      </c>
      <c r="H14" s="70" t="s">
        <v>688</v>
      </c>
      <c r="I14" s="62"/>
      <c r="J14" s="62"/>
      <c r="K14" s="62"/>
      <c r="L14" s="62"/>
    </row>
    <row r="15" spans="2:12">
      <c r="B15" s="27" t="s">
        <v>122</v>
      </c>
      <c r="C15" s="23" t="s">
        <v>123</v>
      </c>
      <c r="D15" s="23" t="s">
        <v>124</v>
      </c>
      <c r="E15" s="28">
        <v>3633316</v>
      </c>
      <c r="F15" s="25">
        <v>24632.07</v>
      </c>
      <c r="G15" s="25">
        <v>3.24</v>
      </c>
      <c r="H15" s="70" t="s">
        <v>688</v>
      </c>
      <c r="I15" s="62"/>
      <c r="J15" s="62"/>
      <c r="K15" s="62"/>
      <c r="L15" s="62"/>
    </row>
    <row r="16" spans="2:12">
      <c r="B16" s="27" t="s">
        <v>125</v>
      </c>
      <c r="C16" s="23" t="s">
        <v>126</v>
      </c>
      <c r="D16" s="23" t="s">
        <v>127</v>
      </c>
      <c r="E16" s="28">
        <v>257400</v>
      </c>
      <c r="F16" s="25">
        <v>22583.119999999999</v>
      </c>
      <c r="G16" s="25">
        <v>2.97</v>
      </c>
      <c r="H16" s="70" t="s">
        <v>688</v>
      </c>
      <c r="I16" s="62"/>
      <c r="J16" s="62"/>
      <c r="K16" s="62"/>
      <c r="L16" s="62"/>
    </row>
    <row r="17" spans="2:12">
      <c r="B17" s="27" t="s">
        <v>128</v>
      </c>
      <c r="C17" s="23" t="s">
        <v>129</v>
      </c>
      <c r="D17" s="23" t="s">
        <v>113</v>
      </c>
      <c r="E17" s="28">
        <v>670988</v>
      </c>
      <c r="F17" s="25">
        <v>22155.35</v>
      </c>
      <c r="G17" s="25">
        <v>2.92</v>
      </c>
      <c r="H17" s="70" t="s">
        <v>688</v>
      </c>
      <c r="I17" s="62"/>
      <c r="J17" s="62"/>
      <c r="K17" s="62"/>
      <c r="L17" s="62"/>
    </row>
    <row r="18" spans="2:12">
      <c r="B18" s="27" t="s">
        <v>119</v>
      </c>
      <c r="C18" s="23" t="s">
        <v>120</v>
      </c>
      <c r="D18" s="23" t="s">
        <v>121</v>
      </c>
      <c r="E18" s="28">
        <v>820800</v>
      </c>
      <c r="F18" s="25">
        <v>21647.78</v>
      </c>
      <c r="G18" s="25">
        <v>2.85</v>
      </c>
      <c r="H18" s="70" t="s">
        <v>688</v>
      </c>
      <c r="I18" s="62"/>
      <c r="J18" s="62"/>
      <c r="K18" s="62"/>
      <c r="L18" s="62"/>
    </row>
    <row r="19" spans="2:12">
      <c r="B19" s="27" t="s">
        <v>133</v>
      </c>
      <c r="C19" s="23" t="s">
        <v>134</v>
      </c>
      <c r="D19" s="23" t="s">
        <v>45</v>
      </c>
      <c r="E19" s="28">
        <v>1083750</v>
      </c>
      <c r="F19" s="25">
        <v>19619.669999999998</v>
      </c>
      <c r="G19" s="25">
        <v>2.58</v>
      </c>
      <c r="H19" s="70" t="s">
        <v>688</v>
      </c>
      <c r="I19" s="62"/>
      <c r="J19" s="62"/>
      <c r="K19" s="62"/>
      <c r="L19" s="62"/>
    </row>
    <row r="20" spans="2:12">
      <c r="B20" s="27" t="s">
        <v>254</v>
      </c>
      <c r="C20" s="23" t="s">
        <v>255</v>
      </c>
      <c r="D20" s="23" t="s">
        <v>121</v>
      </c>
      <c r="E20" s="28">
        <v>6150000</v>
      </c>
      <c r="F20" s="25">
        <v>18637.580000000002</v>
      </c>
      <c r="G20" s="25">
        <v>2.4500000000000002</v>
      </c>
      <c r="H20" s="70" t="s">
        <v>688</v>
      </c>
      <c r="I20" s="62"/>
      <c r="J20" s="62"/>
      <c r="K20" s="62"/>
      <c r="L20" s="62"/>
    </row>
    <row r="21" spans="2:12">
      <c r="B21" s="27" t="s">
        <v>130</v>
      </c>
      <c r="C21" s="23" t="s">
        <v>131</v>
      </c>
      <c r="D21" s="23" t="s">
        <v>132</v>
      </c>
      <c r="E21" s="28">
        <v>1744500</v>
      </c>
      <c r="F21" s="25">
        <v>16454.12</v>
      </c>
      <c r="G21" s="25">
        <v>2.17</v>
      </c>
      <c r="H21" s="70" t="s">
        <v>688</v>
      </c>
      <c r="I21" s="62"/>
      <c r="J21" s="62"/>
      <c r="K21" s="62"/>
      <c r="L21" s="62"/>
    </row>
    <row r="22" spans="2:12">
      <c r="B22" s="27" t="s">
        <v>102</v>
      </c>
      <c r="C22" s="23" t="s">
        <v>103</v>
      </c>
      <c r="D22" s="23" t="s">
        <v>97</v>
      </c>
      <c r="E22" s="28">
        <v>240652</v>
      </c>
      <c r="F22" s="25">
        <v>15750.19</v>
      </c>
      <c r="G22" s="25">
        <v>2.0699999999999998</v>
      </c>
      <c r="H22" s="70" t="s">
        <v>688</v>
      </c>
      <c r="I22" s="62"/>
      <c r="J22" s="62"/>
      <c r="K22" s="62"/>
      <c r="L22" s="62"/>
    </row>
    <row r="23" spans="2:12">
      <c r="B23" s="27" t="s">
        <v>181</v>
      </c>
      <c r="C23" s="23" t="s">
        <v>182</v>
      </c>
      <c r="D23" s="23" t="s">
        <v>118</v>
      </c>
      <c r="E23" s="28">
        <v>645450</v>
      </c>
      <c r="F23" s="25">
        <v>15347.51</v>
      </c>
      <c r="G23" s="25">
        <v>2.02</v>
      </c>
      <c r="H23" s="70" t="s">
        <v>688</v>
      </c>
      <c r="I23" s="62"/>
      <c r="J23" s="62"/>
      <c r="K23" s="62"/>
      <c r="L23" s="62"/>
    </row>
    <row r="24" spans="2:12">
      <c r="B24" s="27" t="s">
        <v>135</v>
      </c>
      <c r="C24" s="23" t="s">
        <v>136</v>
      </c>
      <c r="D24" s="23" t="s">
        <v>137</v>
      </c>
      <c r="E24" s="28">
        <v>301100</v>
      </c>
      <c r="F24" s="25">
        <v>12778.23</v>
      </c>
      <c r="G24" s="25">
        <v>1.68</v>
      </c>
      <c r="H24" s="70" t="s">
        <v>688</v>
      </c>
      <c r="I24" s="62"/>
      <c r="J24" s="62"/>
      <c r="K24" s="62"/>
      <c r="L24" s="62"/>
    </row>
    <row r="25" spans="2:12">
      <c r="B25" s="27" t="s">
        <v>141</v>
      </c>
      <c r="C25" s="23" t="s">
        <v>142</v>
      </c>
      <c r="D25" s="23" t="s">
        <v>127</v>
      </c>
      <c r="E25" s="28">
        <v>2800000</v>
      </c>
      <c r="F25" s="25">
        <v>12588.8</v>
      </c>
      <c r="G25" s="25">
        <v>1.66</v>
      </c>
      <c r="H25" s="70" t="s">
        <v>688</v>
      </c>
      <c r="I25" s="62"/>
      <c r="J25" s="62"/>
      <c r="K25" s="62"/>
      <c r="L25" s="62"/>
    </row>
    <row r="26" spans="2:12">
      <c r="B26" s="27" t="s">
        <v>57</v>
      </c>
      <c r="C26" s="23" t="s">
        <v>58</v>
      </c>
      <c r="D26" s="23" t="s">
        <v>59</v>
      </c>
      <c r="E26" s="28">
        <v>7400000</v>
      </c>
      <c r="F26" s="25">
        <v>11318.3</v>
      </c>
      <c r="G26" s="25">
        <v>1.49</v>
      </c>
      <c r="H26" s="70" t="s">
        <v>688</v>
      </c>
      <c r="I26" s="62"/>
      <c r="J26" s="62"/>
      <c r="K26" s="62"/>
      <c r="L26" s="62"/>
    </row>
    <row r="27" spans="2:12">
      <c r="B27" s="27" t="s">
        <v>214</v>
      </c>
      <c r="C27" s="23" t="s">
        <v>215</v>
      </c>
      <c r="D27" s="23" t="s">
        <v>216</v>
      </c>
      <c r="E27" s="28">
        <v>22750</v>
      </c>
      <c r="F27" s="25">
        <v>11118.61</v>
      </c>
      <c r="G27" s="25">
        <v>1.46</v>
      </c>
      <c r="H27" s="70" t="s">
        <v>689</v>
      </c>
      <c r="I27" s="62"/>
      <c r="J27" s="62"/>
      <c r="K27" s="62"/>
      <c r="L27" s="62"/>
    </row>
    <row r="28" spans="2:12">
      <c r="B28" s="27" t="s">
        <v>145</v>
      </c>
      <c r="C28" s="23" t="s">
        <v>146</v>
      </c>
      <c r="D28" s="23" t="s">
        <v>147</v>
      </c>
      <c r="E28" s="28">
        <v>472200</v>
      </c>
      <c r="F28" s="25">
        <v>11106.38</v>
      </c>
      <c r="G28" s="25">
        <v>1.46</v>
      </c>
      <c r="H28" s="70" t="s">
        <v>688</v>
      </c>
      <c r="I28" s="62"/>
      <c r="J28" s="62"/>
      <c r="K28" s="62"/>
      <c r="L28" s="62"/>
    </row>
    <row r="29" spans="2:12">
      <c r="B29" s="27" t="s">
        <v>211</v>
      </c>
      <c r="C29" s="23" t="s">
        <v>212</v>
      </c>
      <c r="D29" s="23" t="s">
        <v>213</v>
      </c>
      <c r="E29" s="28">
        <v>1360000</v>
      </c>
      <c r="F29" s="25">
        <v>10594.4</v>
      </c>
      <c r="G29" s="25">
        <v>1.4</v>
      </c>
      <c r="H29" s="70" t="s">
        <v>688</v>
      </c>
      <c r="I29" s="62"/>
      <c r="J29" s="62"/>
      <c r="K29" s="62"/>
      <c r="L29" s="62"/>
    </row>
    <row r="30" spans="2:12">
      <c r="B30" s="27" t="s">
        <v>157</v>
      </c>
      <c r="C30" s="23" t="s">
        <v>158</v>
      </c>
      <c r="D30" s="23" t="s">
        <v>118</v>
      </c>
      <c r="E30" s="28">
        <v>1392952</v>
      </c>
      <c r="F30" s="25">
        <v>9760.41</v>
      </c>
      <c r="G30" s="25">
        <v>1.29</v>
      </c>
      <c r="H30" s="70" t="s">
        <v>688</v>
      </c>
      <c r="I30" s="62"/>
      <c r="J30" s="62"/>
      <c r="K30" s="62"/>
      <c r="L30" s="62"/>
    </row>
    <row r="31" spans="2:12">
      <c r="B31" s="27" t="s">
        <v>51</v>
      </c>
      <c r="C31" s="23" t="s">
        <v>52</v>
      </c>
      <c r="D31" s="23" t="s">
        <v>42</v>
      </c>
      <c r="E31" s="28">
        <v>322500</v>
      </c>
      <c r="F31" s="25">
        <v>8824.08</v>
      </c>
      <c r="G31" s="25">
        <v>1.1599999999999999</v>
      </c>
      <c r="H31" s="70" t="s">
        <v>689</v>
      </c>
      <c r="I31" s="62"/>
      <c r="J31" s="62"/>
      <c r="K31" s="62"/>
      <c r="L31" s="62"/>
    </row>
    <row r="32" spans="2:12">
      <c r="B32" s="27" t="s">
        <v>40</v>
      </c>
      <c r="C32" s="23" t="s">
        <v>41</v>
      </c>
      <c r="D32" s="23" t="s">
        <v>42</v>
      </c>
      <c r="E32" s="28">
        <v>288500</v>
      </c>
      <c r="F32" s="25">
        <v>7772.77</v>
      </c>
      <c r="G32" s="25">
        <v>1.02</v>
      </c>
      <c r="H32" s="70" t="s">
        <v>688</v>
      </c>
      <c r="I32" s="62"/>
      <c r="J32" s="62"/>
      <c r="K32" s="62"/>
      <c r="L32" s="62"/>
    </row>
    <row r="33" spans="2:12">
      <c r="B33" s="27" t="s">
        <v>164</v>
      </c>
      <c r="C33" s="23" t="s">
        <v>165</v>
      </c>
      <c r="D33" s="23" t="s">
        <v>166</v>
      </c>
      <c r="E33" s="28">
        <v>936324</v>
      </c>
      <c r="F33" s="25">
        <v>7599.67</v>
      </c>
      <c r="G33" s="25">
        <v>1</v>
      </c>
      <c r="H33" s="70" t="s">
        <v>688</v>
      </c>
      <c r="I33" s="62"/>
      <c r="J33" s="62"/>
      <c r="K33" s="62"/>
      <c r="L33" s="62"/>
    </row>
    <row r="34" spans="2:12">
      <c r="B34" s="27" t="s">
        <v>161</v>
      </c>
      <c r="C34" s="23" t="s">
        <v>162</v>
      </c>
      <c r="D34" s="23" t="s">
        <v>163</v>
      </c>
      <c r="E34" s="28">
        <v>245185</v>
      </c>
      <c r="F34" s="25">
        <v>7575.97</v>
      </c>
      <c r="G34" s="25">
        <v>1</v>
      </c>
      <c r="H34" s="70" t="s">
        <v>689</v>
      </c>
      <c r="I34" s="62"/>
      <c r="J34" s="62"/>
      <c r="K34" s="62"/>
      <c r="L34" s="62"/>
    </row>
    <row r="35" spans="2:12">
      <c r="B35" s="27" t="s">
        <v>228</v>
      </c>
      <c r="C35" s="23" t="s">
        <v>229</v>
      </c>
      <c r="D35" s="23" t="s">
        <v>127</v>
      </c>
      <c r="E35" s="28">
        <v>190500</v>
      </c>
      <c r="F35" s="25">
        <v>7457.03</v>
      </c>
      <c r="G35" s="25">
        <v>0.98</v>
      </c>
      <c r="H35" s="70" t="s">
        <v>688</v>
      </c>
      <c r="I35" s="62"/>
      <c r="J35" s="62"/>
      <c r="K35" s="62"/>
      <c r="L35" s="62"/>
    </row>
    <row r="36" spans="2:12">
      <c r="B36" s="27" t="s">
        <v>148</v>
      </c>
      <c r="C36" s="23" t="s">
        <v>149</v>
      </c>
      <c r="D36" s="23" t="s">
        <v>150</v>
      </c>
      <c r="E36" s="28">
        <v>1989698</v>
      </c>
      <c r="F36" s="25">
        <v>7354.92</v>
      </c>
      <c r="G36" s="25">
        <v>0.97</v>
      </c>
      <c r="H36" s="70" t="s">
        <v>689</v>
      </c>
      <c r="I36" s="62"/>
      <c r="J36" s="62"/>
      <c r="K36" s="62"/>
      <c r="L36" s="62"/>
    </row>
    <row r="37" spans="2:12">
      <c r="B37" s="27" t="s">
        <v>175</v>
      </c>
      <c r="C37" s="23" t="s">
        <v>176</v>
      </c>
      <c r="D37" s="23" t="s">
        <v>132</v>
      </c>
      <c r="E37" s="28">
        <v>35785</v>
      </c>
      <c r="F37" s="25">
        <v>7162.4</v>
      </c>
      <c r="G37" s="25">
        <v>0.94</v>
      </c>
      <c r="H37" s="70" t="s">
        <v>689</v>
      </c>
      <c r="I37" s="62"/>
      <c r="J37" s="62"/>
      <c r="K37" s="62"/>
      <c r="L37" s="62"/>
    </row>
    <row r="38" spans="2:12">
      <c r="B38" s="27" t="s">
        <v>266</v>
      </c>
      <c r="C38" s="23" t="s">
        <v>267</v>
      </c>
      <c r="D38" s="23" t="s">
        <v>127</v>
      </c>
      <c r="E38" s="28">
        <v>605000</v>
      </c>
      <c r="F38" s="25">
        <v>7044.92</v>
      </c>
      <c r="G38" s="25">
        <v>0.93</v>
      </c>
      <c r="H38" s="70" t="s">
        <v>688</v>
      </c>
      <c r="I38" s="62"/>
      <c r="J38" s="62"/>
      <c r="K38" s="62"/>
      <c r="L38" s="62"/>
    </row>
    <row r="39" spans="2:12">
      <c r="B39" s="27" t="s">
        <v>173</v>
      </c>
      <c r="C39" s="23" t="s">
        <v>174</v>
      </c>
      <c r="D39" s="23" t="s">
        <v>113</v>
      </c>
      <c r="E39" s="28">
        <v>287500</v>
      </c>
      <c r="F39" s="25">
        <v>6611.93</v>
      </c>
      <c r="G39" s="25">
        <v>0.87</v>
      </c>
      <c r="H39" s="70" t="s">
        <v>688</v>
      </c>
      <c r="I39" s="62"/>
      <c r="J39" s="62"/>
      <c r="K39" s="62"/>
      <c r="L39" s="62"/>
    </row>
    <row r="40" spans="2:12">
      <c r="B40" s="27" t="s">
        <v>154</v>
      </c>
      <c r="C40" s="23" t="s">
        <v>155</v>
      </c>
      <c r="D40" s="23" t="s">
        <v>156</v>
      </c>
      <c r="E40" s="28">
        <v>737200</v>
      </c>
      <c r="F40" s="25">
        <v>6341.76</v>
      </c>
      <c r="G40" s="25">
        <v>0.84</v>
      </c>
      <c r="H40" s="70" t="s">
        <v>689</v>
      </c>
      <c r="I40" s="62"/>
      <c r="J40" s="62"/>
      <c r="K40" s="62"/>
      <c r="L40" s="62"/>
    </row>
    <row r="41" spans="2:12">
      <c r="B41" s="27" t="s">
        <v>100</v>
      </c>
      <c r="C41" s="23" t="s">
        <v>101</v>
      </c>
      <c r="D41" s="23" t="s">
        <v>86</v>
      </c>
      <c r="E41" s="28">
        <v>1390994</v>
      </c>
      <c r="F41" s="25">
        <v>6192.01</v>
      </c>
      <c r="G41" s="25">
        <v>0.82</v>
      </c>
      <c r="H41" s="70" t="s">
        <v>689</v>
      </c>
      <c r="I41" s="62"/>
      <c r="J41" s="62"/>
      <c r="K41" s="62"/>
      <c r="L41" s="62"/>
    </row>
    <row r="42" spans="2:12">
      <c r="B42" s="27" t="s">
        <v>195</v>
      </c>
      <c r="C42" s="23" t="s">
        <v>196</v>
      </c>
      <c r="D42" s="23" t="s">
        <v>113</v>
      </c>
      <c r="E42" s="28">
        <v>562000</v>
      </c>
      <c r="F42" s="25">
        <v>5330.01</v>
      </c>
      <c r="G42" s="25">
        <v>0.7</v>
      </c>
      <c r="H42" s="70" t="s">
        <v>688</v>
      </c>
      <c r="I42" s="62"/>
      <c r="J42" s="62"/>
      <c r="K42" s="62"/>
      <c r="L42" s="62"/>
    </row>
    <row r="43" spans="2:12">
      <c r="B43" s="27" t="s">
        <v>197</v>
      </c>
      <c r="C43" s="23" t="s">
        <v>198</v>
      </c>
      <c r="D43" s="23" t="s">
        <v>147</v>
      </c>
      <c r="E43" s="28">
        <v>159600</v>
      </c>
      <c r="F43" s="25">
        <v>5320.67</v>
      </c>
      <c r="G43" s="25">
        <v>0.7</v>
      </c>
      <c r="H43" s="70" t="s">
        <v>688</v>
      </c>
      <c r="I43" s="62"/>
      <c r="J43" s="62"/>
      <c r="K43" s="62"/>
      <c r="L43" s="62"/>
    </row>
    <row r="44" spans="2:12">
      <c r="B44" s="27" t="s">
        <v>193</v>
      </c>
      <c r="C44" s="23" t="s">
        <v>194</v>
      </c>
      <c r="D44" s="23" t="s">
        <v>156</v>
      </c>
      <c r="E44" s="28">
        <v>925000</v>
      </c>
      <c r="F44" s="25">
        <v>5138.38</v>
      </c>
      <c r="G44" s="25">
        <v>0.68</v>
      </c>
      <c r="H44" s="70" t="s">
        <v>688</v>
      </c>
      <c r="I44" s="62"/>
      <c r="J44" s="62"/>
      <c r="K44" s="62"/>
      <c r="L44" s="62"/>
    </row>
    <row r="45" spans="2:12">
      <c r="B45" s="27" t="s">
        <v>191</v>
      </c>
      <c r="C45" s="23" t="s">
        <v>192</v>
      </c>
      <c r="D45" s="23" t="s">
        <v>132</v>
      </c>
      <c r="E45" s="28">
        <v>220600</v>
      </c>
      <c r="F45" s="25">
        <v>4986.7700000000004</v>
      </c>
      <c r="G45" s="25">
        <v>0.66</v>
      </c>
      <c r="H45" s="70" t="s">
        <v>688</v>
      </c>
      <c r="I45" s="62"/>
      <c r="J45" s="62"/>
      <c r="K45" s="62"/>
      <c r="L45" s="62"/>
    </row>
    <row r="46" spans="2:12">
      <c r="B46" s="27" t="s">
        <v>89</v>
      </c>
      <c r="C46" s="23" t="s">
        <v>90</v>
      </c>
      <c r="D46" s="23" t="s">
        <v>91</v>
      </c>
      <c r="E46" s="28">
        <v>1170000</v>
      </c>
      <c r="F46" s="25">
        <v>4856.09</v>
      </c>
      <c r="G46" s="25">
        <v>0.64</v>
      </c>
      <c r="H46" s="70" t="s">
        <v>688</v>
      </c>
      <c r="I46" s="62"/>
      <c r="J46" s="62"/>
      <c r="K46" s="62"/>
      <c r="L46" s="62"/>
    </row>
    <row r="47" spans="2:12">
      <c r="B47" s="27" t="s">
        <v>268</v>
      </c>
      <c r="C47" s="23" t="s">
        <v>269</v>
      </c>
      <c r="D47" s="23" t="s">
        <v>132</v>
      </c>
      <c r="E47" s="28">
        <v>442000</v>
      </c>
      <c r="F47" s="25">
        <v>4320.1099999999997</v>
      </c>
      <c r="G47" s="25">
        <v>0.56999999999999995</v>
      </c>
      <c r="H47" s="70" t="s">
        <v>688</v>
      </c>
      <c r="I47" s="62"/>
      <c r="J47" s="62"/>
      <c r="K47" s="62"/>
      <c r="L47" s="62"/>
    </row>
    <row r="48" spans="2:12">
      <c r="B48" s="27" t="s">
        <v>189</v>
      </c>
      <c r="C48" s="23" t="s">
        <v>190</v>
      </c>
      <c r="D48" s="23" t="s">
        <v>147</v>
      </c>
      <c r="E48" s="28">
        <v>354700</v>
      </c>
      <c r="F48" s="25">
        <v>3563.85</v>
      </c>
      <c r="G48" s="25">
        <v>0.47</v>
      </c>
      <c r="H48" s="70" t="s">
        <v>689</v>
      </c>
      <c r="I48" s="62"/>
      <c r="J48" s="62"/>
      <c r="K48" s="62"/>
      <c r="L48" s="62"/>
    </row>
    <row r="49" spans="2:12">
      <c r="B49" s="27" t="s">
        <v>98</v>
      </c>
      <c r="C49" s="23" t="s">
        <v>99</v>
      </c>
      <c r="D49" s="23" t="s">
        <v>97</v>
      </c>
      <c r="E49" s="28">
        <v>620000</v>
      </c>
      <c r="F49" s="25">
        <v>2323.7600000000002</v>
      </c>
      <c r="G49" s="25">
        <v>0.31</v>
      </c>
      <c r="H49" s="70" t="s">
        <v>688</v>
      </c>
      <c r="I49" s="62"/>
      <c r="J49" s="62"/>
      <c r="K49" s="62"/>
      <c r="L49" s="62"/>
    </row>
    <row r="50" spans="2:12">
      <c r="B50" s="27" t="s">
        <v>207</v>
      </c>
      <c r="C50" s="23" t="s">
        <v>208</v>
      </c>
      <c r="D50" s="23" t="s">
        <v>132</v>
      </c>
      <c r="E50" s="28">
        <v>12981</v>
      </c>
      <c r="F50" s="25">
        <v>497.39</v>
      </c>
      <c r="G50" s="25">
        <v>7.0000000000000007E-2</v>
      </c>
      <c r="H50" s="70" t="s">
        <v>688</v>
      </c>
      <c r="I50" s="62"/>
      <c r="J50" s="62"/>
      <c r="K50" s="62"/>
      <c r="L50" s="62"/>
    </row>
    <row r="51" spans="2:12" ht="12.75" thickBot="1">
      <c r="B51" s="27" t="s">
        <v>92</v>
      </c>
      <c r="C51" s="23" t="s">
        <v>93</v>
      </c>
      <c r="D51" s="23" t="s">
        <v>94</v>
      </c>
      <c r="E51" s="28">
        <v>200000</v>
      </c>
      <c r="F51" s="25">
        <v>215.2</v>
      </c>
      <c r="G51" s="25">
        <v>0.03</v>
      </c>
      <c r="H51" s="71" t="s">
        <v>688</v>
      </c>
      <c r="I51" s="62"/>
      <c r="J51" s="62"/>
      <c r="K51" s="62"/>
      <c r="L51" s="62"/>
    </row>
    <row r="52" spans="2:12">
      <c r="B52" s="29" t="s">
        <v>104</v>
      </c>
      <c r="C52" s="30"/>
      <c r="D52" s="30"/>
      <c r="E52" s="31"/>
      <c r="F52" s="32">
        <f>SUM(F7:F51)</f>
        <v>718297.51000000036</v>
      </c>
      <c r="G52" s="32">
        <f>SUM(G7:G51)</f>
        <v>94.6</v>
      </c>
      <c r="H52" s="14"/>
      <c r="I52" s="62"/>
      <c r="J52" s="62"/>
      <c r="K52" s="62"/>
      <c r="L52" s="62"/>
    </row>
    <row r="53" spans="2:12">
      <c r="B53" s="37" t="s">
        <v>105</v>
      </c>
      <c r="C53" s="37"/>
      <c r="D53" s="37"/>
      <c r="E53" s="38"/>
      <c r="F53" s="39">
        <f>F52</f>
        <v>718297.51000000036</v>
      </c>
      <c r="G53" s="39">
        <f>G52</f>
        <v>94.6</v>
      </c>
      <c r="H53" s="14"/>
      <c r="I53" s="62"/>
      <c r="J53" s="62"/>
      <c r="K53" s="62"/>
      <c r="L53" s="62"/>
    </row>
    <row r="54" spans="2:12">
      <c r="B54" s="40" t="s">
        <v>106</v>
      </c>
      <c r="C54" s="41"/>
      <c r="D54" s="41"/>
      <c r="E54" s="42"/>
      <c r="F54" s="43"/>
      <c r="G54" s="43"/>
      <c r="I54" s="62"/>
      <c r="J54" s="62"/>
      <c r="K54" s="62"/>
      <c r="L54" s="62"/>
    </row>
    <row r="55" spans="2:12">
      <c r="B55" s="27" t="s">
        <v>106</v>
      </c>
      <c r="C55" s="27"/>
      <c r="D55" s="23"/>
      <c r="E55" s="24"/>
      <c r="F55" s="25">
        <v>47459.97</v>
      </c>
      <c r="G55" s="25">
        <v>6.25</v>
      </c>
      <c r="I55" s="62"/>
      <c r="J55" s="62"/>
      <c r="K55" s="62"/>
      <c r="L55" s="62"/>
    </row>
    <row r="56" spans="2:12">
      <c r="B56" s="29" t="s">
        <v>104</v>
      </c>
      <c r="C56" s="30"/>
      <c r="D56" s="30"/>
      <c r="E56" s="31"/>
      <c r="F56" s="32">
        <f>SUM(F54:F55)</f>
        <v>47459.97</v>
      </c>
      <c r="G56" s="32">
        <f>SUM(G54:G55)</f>
        <v>6.25</v>
      </c>
      <c r="H56" s="14"/>
      <c r="I56" s="62"/>
      <c r="J56" s="62"/>
      <c r="K56" s="62"/>
      <c r="L56" s="62"/>
    </row>
    <row r="57" spans="2:12">
      <c r="B57" s="34" t="s">
        <v>105</v>
      </c>
      <c r="C57" s="34"/>
      <c r="D57" s="34"/>
      <c r="E57" s="35"/>
      <c r="F57" s="36">
        <f>F56</f>
        <v>47459.97</v>
      </c>
      <c r="G57" s="36">
        <f>G56</f>
        <v>6.25</v>
      </c>
      <c r="H57" s="14"/>
      <c r="I57" s="62"/>
      <c r="J57" s="62"/>
      <c r="K57" s="62"/>
      <c r="L57" s="62"/>
    </row>
    <row r="58" spans="2:12">
      <c r="B58" s="44" t="s">
        <v>108</v>
      </c>
      <c r="C58" s="44"/>
      <c r="D58" s="44"/>
      <c r="E58" s="45"/>
      <c r="F58" s="16">
        <f>F59-(+F53+F57)</f>
        <v>-6429.1700000002747</v>
      </c>
      <c r="G58" s="16">
        <f>G59-(+G53+G57)</f>
        <v>-0.84999999999999432</v>
      </c>
      <c r="H58" s="14"/>
      <c r="I58" s="62"/>
      <c r="J58" s="62"/>
      <c r="K58" s="62"/>
      <c r="L58" s="62"/>
    </row>
    <row r="59" spans="2:12">
      <c r="B59" s="44" t="s">
        <v>107</v>
      </c>
      <c r="C59" s="44"/>
      <c r="D59" s="44"/>
      <c r="E59" s="45"/>
      <c r="F59" s="16">
        <v>759328.31</v>
      </c>
      <c r="G59" s="16">
        <v>100</v>
      </c>
      <c r="H59" s="14"/>
      <c r="I59" s="62"/>
      <c r="J59" s="62"/>
      <c r="K59" s="62"/>
      <c r="L59" s="62"/>
    </row>
    <row r="61" spans="2:12">
      <c r="B61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45"/>
  <sheetViews>
    <sheetView topLeftCell="C25" workbookViewId="0">
      <selection activeCell="I18" sqref="I18"/>
    </sheetView>
  </sheetViews>
  <sheetFormatPr defaultRowHeight="12"/>
  <cols>
    <col min="1" max="1" width="9.140625" style="1"/>
    <col min="2" max="2" width="54" style="1" bestFit="1" customWidth="1"/>
    <col min="3" max="3" width="13.5703125" style="1" bestFit="1" customWidth="1"/>
    <col min="4" max="4" width="28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11.5703125" style="1" customWidth="1"/>
    <col min="9" max="9" width="10" style="1" bestFit="1" customWidth="1"/>
    <col min="10" max="11" width="26" style="1" customWidth="1"/>
    <col min="12" max="12" width="25.7109375" style="1" customWidth="1"/>
    <col min="13" max="16384" width="9.140625" style="1"/>
  </cols>
  <sheetData>
    <row r="1" spans="2:12" ht="21" customHeight="1">
      <c r="B1" s="77" t="s">
        <v>15</v>
      </c>
      <c r="C1" s="78"/>
      <c r="D1" s="78"/>
      <c r="E1" s="78"/>
      <c r="F1" s="78"/>
      <c r="G1" s="78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6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20"/>
      <c r="H5" s="72"/>
      <c r="J5" s="79"/>
      <c r="K5" s="79"/>
      <c r="L5" s="79"/>
    </row>
    <row r="6" spans="2:12">
      <c r="B6" s="22" t="s">
        <v>30</v>
      </c>
      <c r="C6" s="23"/>
      <c r="D6" s="23"/>
      <c r="E6" s="24"/>
      <c r="F6" s="25"/>
      <c r="G6" s="25"/>
      <c r="H6" s="72"/>
      <c r="J6" s="79"/>
      <c r="K6" s="79"/>
      <c r="L6" s="79"/>
    </row>
    <row r="7" spans="2:12">
      <c r="B7" s="27" t="s">
        <v>43</v>
      </c>
      <c r="C7" s="23" t="s">
        <v>44</v>
      </c>
      <c r="D7" s="23" t="s">
        <v>45</v>
      </c>
      <c r="E7" s="28">
        <v>1800000</v>
      </c>
      <c r="F7" s="25">
        <v>14734.8</v>
      </c>
      <c r="G7" s="25">
        <v>9.19</v>
      </c>
      <c r="H7" s="70" t="s">
        <v>688</v>
      </c>
      <c r="I7" s="62"/>
      <c r="J7" s="79"/>
      <c r="K7" s="79"/>
      <c r="L7" s="79"/>
    </row>
    <row r="8" spans="2:12">
      <c r="B8" s="27" t="s">
        <v>109</v>
      </c>
      <c r="C8" s="23" t="s">
        <v>110</v>
      </c>
      <c r="D8" s="23" t="s">
        <v>45</v>
      </c>
      <c r="E8" s="28">
        <v>997500</v>
      </c>
      <c r="F8" s="25">
        <v>14306.15</v>
      </c>
      <c r="G8" s="25">
        <v>8.92</v>
      </c>
      <c r="H8" s="70" t="s">
        <v>688</v>
      </c>
      <c r="I8" s="62"/>
      <c r="J8" s="79"/>
      <c r="K8" s="79"/>
      <c r="L8" s="79"/>
    </row>
    <row r="9" spans="2:12">
      <c r="B9" s="27" t="s">
        <v>111</v>
      </c>
      <c r="C9" s="23" t="s">
        <v>112</v>
      </c>
      <c r="D9" s="23" t="s">
        <v>113</v>
      </c>
      <c r="E9" s="28">
        <v>707000</v>
      </c>
      <c r="F9" s="25">
        <v>10956.38</v>
      </c>
      <c r="G9" s="25">
        <v>6.83</v>
      </c>
      <c r="H9" s="70" t="s">
        <v>688</v>
      </c>
      <c r="I9" s="62"/>
      <c r="J9" s="79"/>
      <c r="K9" s="79"/>
      <c r="L9" s="79"/>
    </row>
    <row r="10" spans="2:12">
      <c r="B10" s="27" t="s">
        <v>125</v>
      </c>
      <c r="C10" s="23" t="s">
        <v>126</v>
      </c>
      <c r="D10" s="23" t="s">
        <v>127</v>
      </c>
      <c r="E10" s="28">
        <v>81500</v>
      </c>
      <c r="F10" s="25">
        <v>7150.44</v>
      </c>
      <c r="G10" s="25">
        <v>4.46</v>
      </c>
      <c r="H10" s="70" t="s">
        <v>688</v>
      </c>
      <c r="I10" s="62"/>
      <c r="J10" s="79"/>
      <c r="K10" s="79"/>
      <c r="L10" s="79"/>
    </row>
    <row r="11" spans="2:12">
      <c r="B11" s="27" t="s">
        <v>53</v>
      </c>
      <c r="C11" s="23" t="s">
        <v>54</v>
      </c>
      <c r="D11" s="23" t="s">
        <v>45</v>
      </c>
      <c r="E11" s="28">
        <v>1335000</v>
      </c>
      <c r="F11" s="25">
        <v>7053.47</v>
      </c>
      <c r="G11" s="25">
        <v>4.4000000000000004</v>
      </c>
      <c r="H11" s="70" t="s">
        <v>688</v>
      </c>
      <c r="I11" s="62"/>
      <c r="J11" s="79"/>
      <c r="K11" s="79"/>
      <c r="L11" s="79"/>
    </row>
    <row r="12" spans="2:12">
      <c r="B12" s="27" t="s">
        <v>81</v>
      </c>
      <c r="C12" s="23" t="s">
        <v>82</v>
      </c>
      <c r="D12" s="23" t="s">
        <v>83</v>
      </c>
      <c r="E12" s="28">
        <v>265000</v>
      </c>
      <c r="F12" s="25">
        <v>6650.04</v>
      </c>
      <c r="G12" s="25">
        <v>4.1500000000000004</v>
      </c>
      <c r="H12" s="70" t="s">
        <v>688</v>
      </c>
      <c r="I12" s="62"/>
      <c r="J12" s="79"/>
      <c r="K12" s="79"/>
      <c r="L12" s="79"/>
    </row>
    <row r="13" spans="2:12">
      <c r="B13" s="27" t="s">
        <v>119</v>
      </c>
      <c r="C13" s="23" t="s">
        <v>120</v>
      </c>
      <c r="D13" s="23" t="s">
        <v>121</v>
      </c>
      <c r="E13" s="28">
        <v>247000</v>
      </c>
      <c r="F13" s="25">
        <v>6514.38</v>
      </c>
      <c r="G13" s="25">
        <v>4.0599999999999996</v>
      </c>
      <c r="H13" s="70" t="s">
        <v>688</v>
      </c>
      <c r="I13" s="62"/>
      <c r="J13" s="62"/>
      <c r="K13" s="62" t="s">
        <v>695</v>
      </c>
    </row>
    <row r="14" spans="2:12">
      <c r="B14" s="27" t="s">
        <v>116</v>
      </c>
      <c r="C14" s="23" t="s">
        <v>117</v>
      </c>
      <c r="D14" s="23" t="s">
        <v>118</v>
      </c>
      <c r="E14" s="28">
        <v>89000</v>
      </c>
      <c r="F14" s="25">
        <v>6416.1</v>
      </c>
      <c r="G14" s="25">
        <v>4</v>
      </c>
      <c r="H14" s="70" t="s">
        <v>688</v>
      </c>
      <c r="I14" s="62"/>
      <c r="J14" s="62"/>
      <c r="K14" s="62"/>
      <c r="L14" s="62"/>
    </row>
    <row r="15" spans="2:12">
      <c r="B15" s="27" t="s">
        <v>114</v>
      </c>
      <c r="C15" s="23" t="s">
        <v>115</v>
      </c>
      <c r="D15" s="23" t="s">
        <v>45</v>
      </c>
      <c r="E15" s="28">
        <v>870000</v>
      </c>
      <c r="F15" s="25">
        <v>6305.33</v>
      </c>
      <c r="G15" s="25">
        <v>3.93</v>
      </c>
      <c r="H15" s="70" t="s">
        <v>688</v>
      </c>
      <c r="I15" s="62"/>
      <c r="J15" s="62"/>
      <c r="K15" s="62"/>
      <c r="L15" s="62"/>
    </row>
    <row r="16" spans="2:12">
      <c r="B16" s="27" t="s">
        <v>122</v>
      </c>
      <c r="C16" s="23" t="s">
        <v>123</v>
      </c>
      <c r="D16" s="23" t="s">
        <v>124</v>
      </c>
      <c r="E16" s="28">
        <v>920000</v>
      </c>
      <c r="F16" s="25">
        <v>6237.14</v>
      </c>
      <c r="G16" s="25">
        <v>3.89</v>
      </c>
      <c r="H16" s="70" t="s">
        <v>688</v>
      </c>
      <c r="I16" s="62"/>
      <c r="J16" s="62"/>
      <c r="K16" s="62"/>
      <c r="L16" s="62"/>
    </row>
    <row r="17" spans="2:12">
      <c r="B17" s="27" t="s">
        <v>34</v>
      </c>
      <c r="C17" s="23" t="s">
        <v>35</v>
      </c>
      <c r="D17" s="23" t="s">
        <v>36</v>
      </c>
      <c r="E17" s="28">
        <v>330500</v>
      </c>
      <c r="F17" s="25">
        <v>5975.61</v>
      </c>
      <c r="G17" s="25">
        <v>3.73</v>
      </c>
      <c r="H17" s="70" t="s">
        <v>688</v>
      </c>
      <c r="I17" s="62"/>
      <c r="J17" s="62"/>
      <c r="K17" s="62"/>
      <c r="L17" s="62"/>
    </row>
    <row r="18" spans="2:12">
      <c r="B18" s="27" t="s">
        <v>217</v>
      </c>
      <c r="C18" s="23" t="s">
        <v>218</v>
      </c>
      <c r="D18" s="23" t="s">
        <v>137</v>
      </c>
      <c r="E18" s="28">
        <v>405000</v>
      </c>
      <c r="F18" s="25">
        <v>5137.83</v>
      </c>
      <c r="G18" s="25">
        <v>3.2</v>
      </c>
      <c r="H18" s="70" t="s">
        <v>689</v>
      </c>
      <c r="I18" s="62"/>
      <c r="J18" s="62"/>
      <c r="K18" s="62"/>
      <c r="L18" s="62"/>
    </row>
    <row r="19" spans="2:12">
      <c r="B19" s="27" t="s">
        <v>226</v>
      </c>
      <c r="C19" s="23" t="s">
        <v>227</v>
      </c>
      <c r="D19" s="23" t="s">
        <v>156</v>
      </c>
      <c r="E19" s="28">
        <v>385000</v>
      </c>
      <c r="F19" s="25">
        <v>4983.4399999999996</v>
      </c>
      <c r="G19" s="25">
        <v>3.11</v>
      </c>
      <c r="H19" s="70" t="s">
        <v>688</v>
      </c>
      <c r="I19" s="62"/>
      <c r="J19" s="62"/>
      <c r="K19" s="62"/>
      <c r="L19" s="62"/>
    </row>
    <row r="20" spans="2:12">
      <c r="B20" s="27" t="s">
        <v>151</v>
      </c>
      <c r="C20" s="23" t="s">
        <v>152</v>
      </c>
      <c r="D20" s="23" t="s">
        <v>153</v>
      </c>
      <c r="E20" s="28">
        <v>1750000</v>
      </c>
      <c r="F20" s="25">
        <v>4599.88</v>
      </c>
      <c r="G20" s="25">
        <v>2.87</v>
      </c>
      <c r="H20" s="70" t="s">
        <v>689</v>
      </c>
      <c r="I20" s="62"/>
      <c r="J20" s="62"/>
      <c r="K20" s="62"/>
      <c r="L20" s="62"/>
    </row>
    <row r="21" spans="2:12">
      <c r="B21" s="27" t="s">
        <v>143</v>
      </c>
      <c r="C21" s="23" t="s">
        <v>144</v>
      </c>
      <c r="D21" s="23" t="s">
        <v>39</v>
      </c>
      <c r="E21" s="28">
        <v>781418</v>
      </c>
      <c r="F21" s="25">
        <v>3975.85</v>
      </c>
      <c r="G21" s="25">
        <v>2.48</v>
      </c>
      <c r="H21" s="70" t="s">
        <v>689</v>
      </c>
      <c r="I21" s="62"/>
      <c r="J21" s="62"/>
      <c r="K21" s="62"/>
      <c r="L21" s="62"/>
    </row>
    <row r="22" spans="2:12">
      <c r="B22" s="27" t="s">
        <v>219</v>
      </c>
      <c r="C22" s="23" t="s">
        <v>220</v>
      </c>
      <c r="D22" s="23" t="s">
        <v>39</v>
      </c>
      <c r="E22" s="28">
        <v>46066</v>
      </c>
      <c r="F22" s="25">
        <v>3931.85</v>
      </c>
      <c r="G22" s="25">
        <v>2.4500000000000002</v>
      </c>
      <c r="H22" s="70" t="s">
        <v>690</v>
      </c>
      <c r="I22" s="62"/>
      <c r="J22" s="62"/>
      <c r="K22" s="62"/>
      <c r="L22" s="62"/>
    </row>
    <row r="23" spans="2:12">
      <c r="B23" s="27" t="s">
        <v>175</v>
      </c>
      <c r="C23" s="23" t="s">
        <v>176</v>
      </c>
      <c r="D23" s="23" t="s">
        <v>132</v>
      </c>
      <c r="E23" s="28">
        <v>19500</v>
      </c>
      <c r="F23" s="25">
        <v>3902.94</v>
      </c>
      <c r="G23" s="25">
        <v>2.4300000000000002</v>
      </c>
      <c r="H23" s="70" t="s">
        <v>689</v>
      </c>
      <c r="I23" s="62"/>
      <c r="J23" s="62"/>
      <c r="K23" s="62"/>
      <c r="L23" s="62"/>
    </row>
    <row r="24" spans="2:12">
      <c r="B24" s="27" t="s">
        <v>102</v>
      </c>
      <c r="C24" s="23" t="s">
        <v>103</v>
      </c>
      <c r="D24" s="23" t="s">
        <v>97</v>
      </c>
      <c r="E24" s="28">
        <v>57000</v>
      </c>
      <c r="F24" s="25">
        <v>3730.54</v>
      </c>
      <c r="G24" s="25">
        <v>2.33</v>
      </c>
      <c r="H24" s="70" t="s">
        <v>688</v>
      </c>
      <c r="I24" s="62"/>
      <c r="J24" s="62"/>
      <c r="K24" s="62"/>
      <c r="L24" s="62"/>
    </row>
    <row r="25" spans="2:12">
      <c r="B25" s="27" t="s">
        <v>138</v>
      </c>
      <c r="C25" s="23" t="s">
        <v>139</v>
      </c>
      <c r="D25" s="23" t="s">
        <v>140</v>
      </c>
      <c r="E25" s="28">
        <v>84469</v>
      </c>
      <c r="F25" s="25">
        <v>3702.57</v>
      </c>
      <c r="G25" s="25">
        <v>2.31</v>
      </c>
      <c r="H25" s="70" t="s">
        <v>689</v>
      </c>
      <c r="I25" s="62"/>
      <c r="J25" s="62"/>
      <c r="K25" s="62"/>
      <c r="L25" s="62"/>
    </row>
    <row r="26" spans="2:12">
      <c r="B26" s="27" t="s">
        <v>135</v>
      </c>
      <c r="C26" s="23" t="s">
        <v>136</v>
      </c>
      <c r="D26" s="23" t="s">
        <v>137</v>
      </c>
      <c r="E26" s="28">
        <v>85200</v>
      </c>
      <c r="F26" s="25">
        <v>3615.76</v>
      </c>
      <c r="G26" s="25">
        <v>2.25</v>
      </c>
      <c r="H26" s="70" t="s">
        <v>688</v>
      </c>
      <c r="I26" s="62"/>
      <c r="J26" s="62"/>
      <c r="K26" s="62"/>
      <c r="L26" s="62"/>
    </row>
    <row r="27" spans="2:12">
      <c r="B27" s="27" t="s">
        <v>37</v>
      </c>
      <c r="C27" s="23" t="s">
        <v>38</v>
      </c>
      <c r="D27" s="23" t="s">
        <v>39</v>
      </c>
      <c r="E27" s="28">
        <v>128835</v>
      </c>
      <c r="F27" s="25">
        <v>3582.26</v>
      </c>
      <c r="G27" s="25">
        <v>2.23</v>
      </c>
      <c r="H27" s="70" t="s">
        <v>689</v>
      </c>
      <c r="I27" s="62"/>
      <c r="J27" s="62"/>
      <c r="K27" s="62"/>
      <c r="L27" s="62"/>
    </row>
    <row r="28" spans="2:12">
      <c r="B28" s="27" t="s">
        <v>128</v>
      </c>
      <c r="C28" s="23" t="s">
        <v>129</v>
      </c>
      <c r="D28" s="23" t="s">
        <v>113</v>
      </c>
      <c r="E28" s="28">
        <v>100444</v>
      </c>
      <c r="F28" s="25">
        <v>3316.56</v>
      </c>
      <c r="G28" s="25">
        <v>2.0699999999999998</v>
      </c>
      <c r="H28" s="70" t="s">
        <v>688</v>
      </c>
      <c r="I28" s="62"/>
      <c r="J28" s="62"/>
      <c r="K28" s="62"/>
      <c r="L28" s="62"/>
    </row>
    <row r="29" spans="2:12">
      <c r="B29" s="27" t="s">
        <v>148</v>
      </c>
      <c r="C29" s="23" t="s">
        <v>149</v>
      </c>
      <c r="D29" s="23" t="s">
        <v>150</v>
      </c>
      <c r="E29" s="28">
        <v>890373</v>
      </c>
      <c r="F29" s="25">
        <v>3291.26</v>
      </c>
      <c r="G29" s="25">
        <v>2.0499999999999998</v>
      </c>
      <c r="H29" s="70" t="s">
        <v>689</v>
      </c>
      <c r="I29" s="62"/>
      <c r="J29" s="62"/>
      <c r="K29" s="62"/>
      <c r="L29" s="62"/>
    </row>
    <row r="30" spans="2:12">
      <c r="B30" s="27" t="s">
        <v>161</v>
      </c>
      <c r="C30" s="23" t="s">
        <v>162</v>
      </c>
      <c r="D30" s="23" t="s">
        <v>163</v>
      </c>
      <c r="E30" s="28">
        <v>105000</v>
      </c>
      <c r="F30" s="25">
        <v>3244.4</v>
      </c>
      <c r="G30" s="25">
        <v>2.02</v>
      </c>
      <c r="H30" s="70" t="s">
        <v>689</v>
      </c>
      <c r="I30" s="62"/>
      <c r="J30" s="62"/>
      <c r="K30" s="62"/>
      <c r="L30" s="62"/>
    </row>
    <row r="31" spans="2:12">
      <c r="B31" s="27" t="s">
        <v>145</v>
      </c>
      <c r="C31" s="23" t="s">
        <v>146</v>
      </c>
      <c r="D31" s="23" t="s">
        <v>147</v>
      </c>
      <c r="E31" s="28">
        <v>132000</v>
      </c>
      <c r="F31" s="25">
        <v>3104.71</v>
      </c>
      <c r="G31" s="25">
        <v>1.94</v>
      </c>
      <c r="H31" s="70" t="s">
        <v>688</v>
      </c>
      <c r="I31" s="62"/>
      <c r="J31" s="62"/>
      <c r="K31" s="62"/>
      <c r="L31" s="62"/>
    </row>
    <row r="32" spans="2:12">
      <c r="B32" s="27" t="s">
        <v>164</v>
      </c>
      <c r="C32" s="23" t="s">
        <v>165</v>
      </c>
      <c r="D32" s="23" t="s">
        <v>166</v>
      </c>
      <c r="E32" s="28">
        <v>290000</v>
      </c>
      <c r="F32" s="25">
        <v>2353.79</v>
      </c>
      <c r="G32" s="25">
        <v>1.47</v>
      </c>
      <c r="H32" s="70" t="s">
        <v>688</v>
      </c>
      <c r="I32" s="62"/>
      <c r="J32" s="62"/>
      <c r="K32" s="62"/>
      <c r="L32" s="62"/>
    </row>
    <row r="33" spans="2:12">
      <c r="B33" s="27" t="s">
        <v>191</v>
      </c>
      <c r="C33" s="23" t="s">
        <v>192</v>
      </c>
      <c r="D33" s="23" t="s">
        <v>132</v>
      </c>
      <c r="E33" s="28">
        <v>72700</v>
      </c>
      <c r="F33" s="25">
        <v>1643.42</v>
      </c>
      <c r="G33" s="25">
        <v>1.02</v>
      </c>
      <c r="H33" s="70" t="s">
        <v>688</v>
      </c>
      <c r="I33" s="62"/>
      <c r="J33" s="62"/>
      <c r="K33" s="62"/>
      <c r="L33" s="62"/>
    </row>
    <row r="34" spans="2:12">
      <c r="B34" s="27" t="s">
        <v>69</v>
      </c>
      <c r="C34" s="23" t="s">
        <v>70</v>
      </c>
      <c r="D34" s="23" t="s">
        <v>71</v>
      </c>
      <c r="E34" s="28">
        <v>92057</v>
      </c>
      <c r="F34" s="25">
        <v>1629.5</v>
      </c>
      <c r="G34" s="25">
        <v>1.02</v>
      </c>
      <c r="H34" s="70" t="s">
        <v>690</v>
      </c>
      <c r="I34" s="62"/>
      <c r="J34" s="62"/>
      <c r="K34" s="62"/>
      <c r="L34" s="62"/>
    </row>
    <row r="35" spans="2:12" ht="12.75" thickBot="1">
      <c r="B35" s="27" t="s">
        <v>100</v>
      </c>
      <c r="C35" s="23" t="s">
        <v>101</v>
      </c>
      <c r="D35" s="23" t="s">
        <v>86</v>
      </c>
      <c r="E35" s="28">
        <v>305950</v>
      </c>
      <c r="F35" s="25">
        <v>1361.94</v>
      </c>
      <c r="G35" s="25">
        <v>0.85</v>
      </c>
      <c r="H35" s="71" t="s">
        <v>689</v>
      </c>
      <c r="I35" s="62"/>
      <c r="J35" s="62"/>
      <c r="K35" s="62"/>
      <c r="L35" s="62"/>
    </row>
    <row r="36" spans="2:12">
      <c r="B36" s="29" t="s">
        <v>104</v>
      </c>
      <c r="C36" s="30"/>
      <c r="D36" s="30"/>
      <c r="E36" s="31"/>
      <c r="F36" s="32">
        <f>SUM(F7:F35)</f>
        <v>153408.34000000005</v>
      </c>
      <c r="G36" s="32">
        <f>SUM(G7:G35)</f>
        <v>95.659999999999982</v>
      </c>
      <c r="H36" s="14"/>
      <c r="I36" s="62"/>
      <c r="J36" s="62"/>
      <c r="K36" s="62"/>
      <c r="L36" s="62"/>
    </row>
    <row r="37" spans="2:12">
      <c r="B37" s="37" t="s">
        <v>105</v>
      </c>
      <c r="C37" s="37"/>
      <c r="D37" s="37"/>
      <c r="E37" s="38"/>
      <c r="F37" s="39">
        <f>F36</f>
        <v>153408.34000000005</v>
      </c>
      <c r="G37" s="39">
        <f>G36</f>
        <v>95.659999999999982</v>
      </c>
      <c r="H37" s="14"/>
      <c r="I37" s="62"/>
      <c r="J37" s="62"/>
      <c r="K37" s="62"/>
      <c r="L37" s="62"/>
    </row>
    <row r="38" spans="2:12">
      <c r="B38" s="40" t="s">
        <v>106</v>
      </c>
      <c r="C38" s="41"/>
      <c r="D38" s="41"/>
      <c r="E38" s="42"/>
      <c r="F38" s="43"/>
      <c r="G38" s="43"/>
      <c r="I38" s="62"/>
      <c r="J38" s="62"/>
      <c r="K38" s="62"/>
      <c r="L38" s="62"/>
    </row>
    <row r="39" spans="2:12">
      <c r="B39" s="27" t="s">
        <v>106</v>
      </c>
      <c r="C39" s="27"/>
      <c r="D39" s="23"/>
      <c r="E39" s="24"/>
      <c r="F39" s="25">
        <v>7868.23</v>
      </c>
      <c r="G39" s="25">
        <v>4.9000000000000004</v>
      </c>
      <c r="I39" s="62"/>
      <c r="J39" s="62"/>
      <c r="K39" s="62"/>
      <c r="L39" s="62"/>
    </row>
    <row r="40" spans="2:12">
      <c r="B40" s="29" t="s">
        <v>104</v>
      </c>
      <c r="C40" s="30"/>
      <c r="D40" s="30"/>
      <c r="E40" s="31"/>
      <c r="F40" s="32">
        <f>SUM(F38:F39)</f>
        <v>7868.23</v>
      </c>
      <c r="G40" s="32">
        <f>SUM(G38:G39)</f>
        <v>4.9000000000000004</v>
      </c>
      <c r="H40" s="14"/>
      <c r="I40" s="62"/>
      <c r="J40" s="62"/>
      <c r="K40" s="62"/>
      <c r="L40" s="62"/>
    </row>
    <row r="41" spans="2:12">
      <c r="B41" s="34" t="s">
        <v>105</v>
      </c>
      <c r="C41" s="34"/>
      <c r="D41" s="34"/>
      <c r="E41" s="35"/>
      <c r="F41" s="36">
        <f>F40</f>
        <v>7868.23</v>
      </c>
      <c r="G41" s="36">
        <f>G40</f>
        <v>4.9000000000000004</v>
      </c>
      <c r="H41" s="14"/>
      <c r="I41" s="62"/>
      <c r="J41" s="62"/>
      <c r="K41" s="62"/>
      <c r="L41" s="62"/>
    </row>
    <row r="42" spans="2:12">
      <c r="B42" s="44" t="s">
        <v>108</v>
      </c>
      <c r="C42" s="44"/>
      <c r="D42" s="44"/>
      <c r="E42" s="45"/>
      <c r="F42" s="16">
        <f>F43-(+F37+F41)</f>
        <v>-860.04000000006636</v>
      </c>
      <c r="G42" s="16">
        <f>G43-(+G37+G41)</f>
        <v>-0.55999999999998806</v>
      </c>
      <c r="H42" s="14"/>
      <c r="I42" s="62"/>
      <c r="J42" s="62"/>
      <c r="K42" s="62"/>
      <c r="L42" s="62"/>
    </row>
    <row r="43" spans="2:12">
      <c r="B43" s="44" t="s">
        <v>107</v>
      </c>
      <c r="C43" s="44"/>
      <c r="D43" s="44"/>
      <c r="E43" s="45"/>
      <c r="F43" s="16">
        <v>160416.53</v>
      </c>
      <c r="G43" s="16">
        <v>100</v>
      </c>
      <c r="H43" s="14"/>
      <c r="I43" s="62"/>
      <c r="J43" s="62"/>
      <c r="K43" s="62"/>
      <c r="L43" s="62"/>
    </row>
    <row r="45" spans="2:12">
      <c r="B45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3"/>
  <sheetViews>
    <sheetView topLeftCell="C1" workbookViewId="0">
      <selection activeCell="K5" sqref="K5:K12"/>
    </sheetView>
  </sheetViews>
  <sheetFormatPr defaultRowHeight="12"/>
  <cols>
    <col min="1" max="1" width="9.140625" style="1"/>
    <col min="2" max="2" width="54" style="1" bestFit="1" customWidth="1"/>
    <col min="3" max="3" width="13.5703125" style="1" bestFit="1" customWidth="1"/>
    <col min="4" max="4" width="28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9.140625" style="1"/>
    <col min="9" max="9" width="9" style="1" bestFit="1" customWidth="1"/>
    <col min="10" max="10" width="26.85546875" style="1" customWidth="1"/>
    <col min="11" max="11" width="28" style="1" customWidth="1"/>
    <col min="12" max="12" width="26.42578125" style="1" customWidth="1"/>
    <col min="13" max="16384" width="9.140625" style="1"/>
  </cols>
  <sheetData>
    <row r="1" spans="2:12" ht="21" customHeight="1">
      <c r="B1" s="77" t="s">
        <v>14</v>
      </c>
      <c r="C1" s="78"/>
      <c r="D1" s="78"/>
      <c r="E1" s="78"/>
      <c r="F1" s="78"/>
      <c r="G1" s="78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6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20"/>
      <c r="H5" s="72"/>
      <c r="J5" s="79"/>
      <c r="K5" s="79"/>
      <c r="L5" s="79"/>
    </row>
    <row r="6" spans="2:12">
      <c r="B6" s="22" t="s">
        <v>30</v>
      </c>
      <c r="C6" s="23"/>
      <c r="D6" s="23"/>
      <c r="E6" s="24"/>
      <c r="F6" s="25"/>
      <c r="G6" s="25"/>
      <c r="H6" s="72"/>
      <c r="J6" s="79"/>
      <c r="K6" s="79"/>
      <c r="L6" s="79"/>
    </row>
    <row r="7" spans="2:12">
      <c r="B7" s="27" t="s">
        <v>37</v>
      </c>
      <c r="C7" s="23" t="s">
        <v>38</v>
      </c>
      <c r="D7" s="23" t="s">
        <v>39</v>
      </c>
      <c r="E7" s="28">
        <v>337600</v>
      </c>
      <c r="F7" s="25">
        <v>9386.9699999999993</v>
      </c>
      <c r="G7" s="25">
        <v>3.05</v>
      </c>
      <c r="H7" s="70" t="s">
        <v>689</v>
      </c>
      <c r="I7" s="62"/>
      <c r="J7" s="79"/>
      <c r="K7" s="79"/>
      <c r="L7" s="79"/>
    </row>
    <row r="8" spans="2:12">
      <c r="B8" s="27" t="s">
        <v>232</v>
      </c>
      <c r="C8" s="23" t="s">
        <v>233</v>
      </c>
      <c r="D8" s="23" t="s">
        <v>45</v>
      </c>
      <c r="E8" s="28">
        <v>5031154</v>
      </c>
      <c r="F8" s="25">
        <v>8092.61</v>
      </c>
      <c r="G8" s="25">
        <v>2.63</v>
      </c>
      <c r="H8" s="70" t="s">
        <v>690</v>
      </c>
      <c r="I8" s="62"/>
      <c r="J8" s="79"/>
      <c r="K8" s="79"/>
      <c r="L8" s="79"/>
    </row>
    <row r="9" spans="2:12">
      <c r="B9" s="27" t="s">
        <v>183</v>
      </c>
      <c r="C9" s="23" t="s">
        <v>184</v>
      </c>
      <c r="D9" s="23" t="s">
        <v>118</v>
      </c>
      <c r="E9" s="28">
        <v>1266598</v>
      </c>
      <c r="F9" s="25">
        <v>7550.19</v>
      </c>
      <c r="G9" s="25">
        <v>2.46</v>
      </c>
      <c r="H9" s="70" t="s">
        <v>690</v>
      </c>
      <c r="I9" s="62"/>
      <c r="J9" s="79"/>
      <c r="K9" s="79"/>
      <c r="L9" s="79"/>
    </row>
    <row r="10" spans="2:12">
      <c r="B10" s="27" t="s">
        <v>270</v>
      </c>
      <c r="C10" s="23" t="s">
        <v>271</v>
      </c>
      <c r="D10" s="23" t="s">
        <v>147</v>
      </c>
      <c r="E10" s="28">
        <v>153431</v>
      </c>
      <c r="F10" s="25">
        <v>7252.99</v>
      </c>
      <c r="G10" s="25">
        <v>2.36</v>
      </c>
      <c r="H10" s="70" t="s">
        <v>690</v>
      </c>
      <c r="I10" s="62"/>
      <c r="J10" s="79"/>
      <c r="K10" s="79"/>
      <c r="L10" s="79"/>
    </row>
    <row r="11" spans="2:12">
      <c r="B11" s="27" t="s">
        <v>234</v>
      </c>
      <c r="C11" s="23" t="s">
        <v>235</v>
      </c>
      <c r="D11" s="23" t="s">
        <v>236</v>
      </c>
      <c r="E11" s="28">
        <v>828991</v>
      </c>
      <c r="F11" s="25">
        <v>6959.79</v>
      </c>
      <c r="G11" s="25">
        <v>2.2599999999999998</v>
      </c>
      <c r="H11" s="70" t="s">
        <v>690</v>
      </c>
      <c r="I11" s="62"/>
      <c r="J11" s="79"/>
      <c r="K11" s="79"/>
      <c r="L11" s="79"/>
    </row>
    <row r="12" spans="2:12">
      <c r="B12" s="27" t="s">
        <v>55</v>
      </c>
      <c r="C12" s="23" t="s">
        <v>56</v>
      </c>
      <c r="D12" s="23" t="s">
        <v>36</v>
      </c>
      <c r="E12" s="28">
        <v>2441154</v>
      </c>
      <c r="F12" s="25">
        <v>6434.88</v>
      </c>
      <c r="G12" s="25">
        <v>2.09</v>
      </c>
      <c r="H12" s="70" t="s">
        <v>690</v>
      </c>
      <c r="I12" s="62"/>
      <c r="J12" s="79"/>
      <c r="K12" s="79"/>
      <c r="L12" s="79"/>
    </row>
    <row r="13" spans="2:12">
      <c r="B13" s="27" t="s">
        <v>272</v>
      </c>
      <c r="C13" s="23" t="s">
        <v>273</v>
      </c>
      <c r="D13" s="23" t="s">
        <v>113</v>
      </c>
      <c r="E13" s="28">
        <v>186238</v>
      </c>
      <c r="F13" s="25">
        <v>6357.23</v>
      </c>
      <c r="G13" s="25">
        <v>2.0699999999999998</v>
      </c>
      <c r="H13" s="70" t="s">
        <v>688</v>
      </c>
      <c r="I13" s="62"/>
      <c r="J13" s="62"/>
      <c r="K13" s="62" t="s">
        <v>699</v>
      </c>
    </row>
    <row r="14" spans="2:12">
      <c r="B14" s="27" t="s">
        <v>274</v>
      </c>
      <c r="C14" s="23" t="s">
        <v>275</v>
      </c>
      <c r="D14" s="23" t="s">
        <v>71</v>
      </c>
      <c r="E14" s="28">
        <v>1012791</v>
      </c>
      <c r="F14" s="25">
        <v>6324.88</v>
      </c>
      <c r="G14" s="25">
        <v>2.06</v>
      </c>
      <c r="H14" s="70" t="s">
        <v>690</v>
      </c>
      <c r="I14" s="62"/>
      <c r="J14" s="62"/>
      <c r="K14" s="62"/>
      <c r="L14" s="62"/>
    </row>
    <row r="15" spans="2:12">
      <c r="B15" s="27" t="s">
        <v>46</v>
      </c>
      <c r="C15" s="23" t="s">
        <v>47</v>
      </c>
      <c r="D15" s="23" t="s">
        <v>48</v>
      </c>
      <c r="E15" s="28">
        <v>209771</v>
      </c>
      <c r="F15" s="25">
        <v>6233.35</v>
      </c>
      <c r="G15" s="25">
        <v>2.0299999999999998</v>
      </c>
      <c r="H15" s="70" t="s">
        <v>690</v>
      </c>
      <c r="I15" s="62"/>
      <c r="J15" s="62"/>
      <c r="K15" s="62"/>
      <c r="L15" s="62"/>
    </row>
    <row r="16" spans="2:12">
      <c r="B16" s="27" t="s">
        <v>276</v>
      </c>
      <c r="C16" s="23" t="s">
        <v>277</v>
      </c>
      <c r="D16" s="23" t="s">
        <v>118</v>
      </c>
      <c r="E16" s="28">
        <v>589771</v>
      </c>
      <c r="F16" s="25">
        <v>6230.64</v>
      </c>
      <c r="G16" s="25">
        <v>2.0299999999999998</v>
      </c>
      <c r="H16" s="70" t="s">
        <v>690</v>
      </c>
      <c r="I16" s="62"/>
      <c r="J16" s="62"/>
      <c r="K16" s="62"/>
      <c r="L16" s="62"/>
    </row>
    <row r="17" spans="2:12">
      <c r="B17" s="27" t="s">
        <v>62</v>
      </c>
      <c r="C17" s="23" t="s">
        <v>63</v>
      </c>
      <c r="D17" s="23" t="s">
        <v>48</v>
      </c>
      <c r="E17" s="28">
        <v>352736</v>
      </c>
      <c r="F17" s="25">
        <v>6197.22</v>
      </c>
      <c r="G17" s="25">
        <v>2.02</v>
      </c>
      <c r="H17" s="70" t="s">
        <v>689</v>
      </c>
      <c r="I17" s="62"/>
      <c r="J17" s="62"/>
      <c r="K17" s="62"/>
      <c r="L17" s="62"/>
    </row>
    <row r="18" spans="2:12">
      <c r="B18" s="27" t="s">
        <v>278</v>
      </c>
      <c r="C18" s="23" t="s">
        <v>279</v>
      </c>
      <c r="D18" s="23" t="s">
        <v>216</v>
      </c>
      <c r="E18" s="28">
        <v>1050995</v>
      </c>
      <c r="F18" s="25">
        <v>6183.53</v>
      </c>
      <c r="G18" s="25">
        <v>2.0099999999999998</v>
      </c>
      <c r="H18" s="70" t="s">
        <v>689</v>
      </c>
      <c r="I18" s="62"/>
      <c r="J18" s="62"/>
      <c r="K18" s="62"/>
      <c r="L18" s="62"/>
    </row>
    <row r="19" spans="2:12">
      <c r="B19" s="27" t="s">
        <v>280</v>
      </c>
      <c r="C19" s="23" t="s">
        <v>281</v>
      </c>
      <c r="D19" s="23" t="s">
        <v>113</v>
      </c>
      <c r="E19" s="28">
        <v>165930</v>
      </c>
      <c r="F19" s="25">
        <v>6027.99</v>
      </c>
      <c r="G19" s="25">
        <v>1.96</v>
      </c>
      <c r="H19" s="70" t="s">
        <v>689</v>
      </c>
      <c r="I19" s="62"/>
      <c r="J19" s="62"/>
      <c r="K19" s="62"/>
      <c r="L19" s="62"/>
    </row>
    <row r="20" spans="2:12">
      <c r="B20" s="27" t="s">
        <v>282</v>
      </c>
      <c r="C20" s="23" t="s">
        <v>283</v>
      </c>
      <c r="D20" s="23" t="s">
        <v>140</v>
      </c>
      <c r="E20" s="28">
        <v>2030021</v>
      </c>
      <c r="F20" s="25">
        <v>5616.05</v>
      </c>
      <c r="G20" s="25">
        <v>1.83</v>
      </c>
      <c r="H20" s="70" t="s">
        <v>690</v>
      </c>
      <c r="I20" s="62"/>
      <c r="J20" s="62"/>
      <c r="K20" s="62"/>
      <c r="L20" s="62"/>
    </row>
    <row r="21" spans="2:12">
      <c r="B21" s="27" t="s">
        <v>284</v>
      </c>
      <c r="C21" s="23" t="s">
        <v>285</v>
      </c>
      <c r="D21" s="23" t="s">
        <v>71</v>
      </c>
      <c r="E21" s="28">
        <v>1170363</v>
      </c>
      <c r="F21" s="25">
        <v>5549.86</v>
      </c>
      <c r="G21" s="25">
        <v>1.81</v>
      </c>
      <c r="H21" s="70" t="s">
        <v>690</v>
      </c>
      <c r="I21" s="62"/>
      <c r="J21" s="62"/>
      <c r="K21" s="62"/>
      <c r="L21" s="62"/>
    </row>
    <row r="22" spans="2:12">
      <c r="B22" s="27" t="s">
        <v>286</v>
      </c>
      <c r="C22" s="23" t="s">
        <v>287</v>
      </c>
      <c r="D22" s="23" t="s">
        <v>166</v>
      </c>
      <c r="E22" s="28">
        <v>983529</v>
      </c>
      <c r="F22" s="25">
        <v>5506.29</v>
      </c>
      <c r="G22" s="25">
        <v>1.79</v>
      </c>
      <c r="H22" s="70" t="s">
        <v>690</v>
      </c>
      <c r="I22" s="62"/>
      <c r="J22" s="62"/>
      <c r="K22" s="62"/>
      <c r="L22" s="62"/>
    </row>
    <row r="23" spans="2:12">
      <c r="B23" s="27" t="s">
        <v>151</v>
      </c>
      <c r="C23" s="23" t="s">
        <v>152</v>
      </c>
      <c r="D23" s="23" t="s">
        <v>153</v>
      </c>
      <c r="E23" s="28">
        <v>2020981</v>
      </c>
      <c r="F23" s="25">
        <v>5312.15</v>
      </c>
      <c r="G23" s="25">
        <v>1.73</v>
      </c>
      <c r="H23" s="70" t="s">
        <v>689</v>
      </c>
      <c r="I23" s="62"/>
      <c r="J23" s="62"/>
      <c r="K23" s="62"/>
      <c r="L23" s="62"/>
    </row>
    <row r="24" spans="2:12">
      <c r="B24" s="27" t="s">
        <v>288</v>
      </c>
      <c r="C24" s="23" t="s">
        <v>289</v>
      </c>
      <c r="D24" s="23" t="s">
        <v>132</v>
      </c>
      <c r="E24" s="28">
        <v>1105983</v>
      </c>
      <c r="F24" s="25">
        <v>5290.47</v>
      </c>
      <c r="G24" s="25">
        <v>1.72</v>
      </c>
      <c r="H24" s="70" t="s">
        <v>690</v>
      </c>
      <c r="I24" s="62"/>
      <c r="J24" s="62"/>
      <c r="K24" s="62"/>
      <c r="L24" s="62"/>
    </row>
    <row r="25" spans="2:12">
      <c r="B25" s="27" t="s">
        <v>290</v>
      </c>
      <c r="C25" s="23" t="s">
        <v>291</v>
      </c>
      <c r="D25" s="23" t="s">
        <v>147</v>
      </c>
      <c r="E25" s="28">
        <v>868673</v>
      </c>
      <c r="F25" s="25">
        <v>5243.74</v>
      </c>
      <c r="G25" s="25">
        <v>1.71</v>
      </c>
      <c r="H25" s="70" t="s">
        <v>690</v>
      </c>
      <c r="I25" s="62"/>
      <c r="J25" s="62"/>
      <c r="K25" s="62"/>
      <c r="L25" s="62"/>
    </row>
    <row r="26" spans="2:12">
      <c r="B26" s="27" t="s">
        <v>292</v>
      </c>
      <c r="C26" s="23" t="s">
        <v>293</v>
      </c>
      <c r="D26" s="23" t="s">
        <v>118</v>
      </c>
      <c r="E26" s="28">
        <v>268691</v>
      </c>
      <c r="F26" s="25">
        <v>5217.04</v>
      </c>
      <c r="G26" s="25">
        <v>1.7</v>
      </c>
      <c r="H26" s="70" t="s">
        <v>690</v>
      </c>
      <c r="I26" s="62"/>
      <c r="J26" s="62"/>
      <c r="K26" s="62"/>
      <c r="L26" s="62"/>
    </row>
    <row r="27" spans="2:12">
      <c r="B27" s="27" t="s">
        <v>294</v>
      </c>
      <c r="C27" s="23" t="s">
        <v>295</v>
      </c>
      <c r="D27" s="23" t="s">
        <v>66</v>
      </c>
      <c r="E27" s="28">
        <v>1285450</v>
      </c>
      <c r="F27" s="25">
        <v>5144.37</v>
      </c>
      <c r="G27" s="25">
        <v>1.67</v>
      </c>
      <c r="H27" s="70" t="s">
        <v>690</v>
      </c>
      <c r="I27" s="62"/>
      <c r="J27" s="62"/>
      <c r="K27" s="62"/>
      <c r="L27" s="62"/>
    </row>
    <row r="28" spans="2:12">
      <c r="B28" s="27" t="s">
        <v>296</v>
      </c>
      <c r="C28" s="23" t="s">
        <v>297</v>
      </c>
      <c r="D28" s="23" t="s">
        <v>48</v>
      </c>
      <c r="E28" s="28">
        <v>606099</v>
      </c>
      <c r="F28" s="25">
        <v>4988.5</v>
      </c>
      <c r="G28" s="25">
        <v>1.62</v>
      </c>
      <c r="H28" s="70" t="s">
        <v>690</v>
      </c>
      <c r="I28" s="62"/>
      <c r="J28" s="62"/>
      <c r="K28" s="62"/>
      <c r="L28" s="62"/>
    </row>
    <row r="29" spans="2:12">
      <c r="B29" s="27" t="s">
        <v>298</v>
      </c>
      <c r="C29" s="23" t="s">
        <v>299</v>
      </c>
      <c r="D29" s="23" t="s">
        <v>300</v>
      </c>
      <c r="E29" s="28">
        <v>230800</v>
      </c>
      <c r="F29" s="25">
        <v>4948.93</v>
      </c>
      <c r="G29" s="25">
        <v>1.61</v>
      </c>
      <c r="H29" s="70" t="s">
        <v>690</v>
      </c>
      <c r="I29" s="62"/>
      <c r="J29" s="62"/>
      <c r="K29" s="62"/>
      <c r="L29" s="62"/>
    </row>
    <row r="30" spans="2:12">
      <c r="B30" s="27" t="s">
        <v>230</v>
      </c>
      <c r="C30" s="23" t="s">
        <v>231</v>
      </c>
      <c r="D30" s="23" t="s">
        <v>137</v>
      </c>
      <c r="E30" s="28">
        <v>1817941</v>
      </c>
      <c r="F30" s="25">
        <v>4883.8999999999996</v>
      </c>
      <c r="G30" s="25">
        <v>1.59</v>
      </c>
      <c r="H30" s="70" t="s">
        <v>689</v>
      </c>
      <c r="I30" s="62"/>
      <c r="J30" s="62"/>
      <c r="K30" s="62"/>
      <c r="L30" s="62"/>
    </row>
    <row r="31" spans="2:12">
      <c r="B31" s="27" t="s">
        <v>301</v>
      </c>
      <c r="C31" s="23" t="s">
        <v>302</v>
      </c>
      <c r="D31" s="23" t="s">
        <v>147</v>
      </c>
      <c r="E31" s="28">
        <v>1100533</v>
      </c>
      <c r="F31" s="25">
        <v>4842.8999999999996</v>
      </c>
      <c r="G31" s="25">
        <v>1.58</v>
      </c>
      <c r="H31" s="70" t="s">
        <v>690</v>
      </c>
      <c r="I31" s="62"/>
      <c r="J31" s="62"/>
      <c r="K31" s="62"/>
      <c r="L31" s="62"/>
    </row>
    <row r="32" spans="2:12">
      <c r="B32" s="27" t="s">
        <v>79</v>
      </c>
      <c r="C32" s="23" t="s">
        <v>80</v>
      </c>
      <c r="D32" s="23" t="s">
        <v>36</v>
      </c>
      <c r="E32" s="28">
        <v>1893246</v>
      </c>
      <c r="F32" s="25">
        <v>4837.24</v>
      </c>
      <c r="G32" s="25">
        <v>1.57</v>
      </c>
      <c r="H32" s="70" t="s">
        <v>690</v>
      </c>
      <c r="I32" s="62"/>
      <c r="J32" s="62"/>
      <c r="K32" s="62"/>
      <c r="L32" s="62"/>
    </row>
    <row r="33" spans="2:12">
      <c r="B33" s="27" t="s">
        <v>303</v>
      </c>
      <c r="C33" s="23" t="s">
        <v>304</v>
      </c>
      <c r="D33" s="23" t="s">
        <v>140</v>
      </c>
      <c r="E33" s="28">
        <v>153751</v>
      </c>
      <c r="F33" s="25">
        <v>4738.84</v>
      </c>
      <c r="G33" s="25">
        <v>1.54</v>
      </c>
      <c r="H33" s="70" t="s">
        <v>690</v>
      </c>
      <c r="I33" s="62"/>
      <c r="J33" s="62"/>
      <c r="K33" s="62"/>
      <c r="L33" s="62"/>
    </row>
    <row r="34" spans="2:12">
      <c r="B34" s="27" t="s">
        <v>305</v>
      </c>
      <c r="C34" s="23" t="s">
        <v>306</v>
      </c>
      <c r="D34" s="23" t="s">
        <v>48</v>
      </c>
      <c r="E34" s="28">
        <v>883505</v>
      </c>
      <c r="F34" s="25">
        <v>4596.43</v>
      </c>
      <c r="G34" s="25">
        <v>1.5</v>
      </c>
      <c r="H34" s="70" t="s">
        <v>690</v>
      </c>
      <c r="I34" s="62"/>
      <c r="J34" s="62"/>
      <c r="K34" s="62"/>
      <c r="L34" s="62"/>
    </row>
    <row r="35" spans="2:12">
      <c r="B35" s="27" t="s">
        <v>31</v>
      </c>
      <c r="C35" s="23" t="s">
        <v>32</v>
      </c>
      <c r="D35" s="23" t="s">
        <v>33</v>
      </c>
      <c r="E35" s="28">
        <v>1661122</v>
      </c>
      <c r="F35" s="25">
        <v>4571.41</v>
      </c>
      <c r="G35" s="25">
        <v>1.49</v>
      </c>
      <c r="H35" s="70" t="s">
        <v>688</v>
      </c>
      <c r="I35" s="62"/>
      <c r="J35" s="62"/>
      <c r="K35" s="62"/>
      <c r="L35" s="62"/>
    </row>
    <row r="36" spans="2:12">
      <c r="B36" s="27" t="s">
        <v>307</v>
      </c>
      <c r="C36" s="23" t="s">
        <v>308</v>
      </c>
      <c r="D36" s="23" t="s">
        <v>166</v>
      </c>
      <c r="E36" s="28">
        <v>1149296</v>
      </c>
      <c r="F36" s="25">
        <v>4540.87</v>
      </c>
      <c r="G36" s="25">
        <v>1.48</v>
      </c>
      <c r="H36" s="70" t="s">
        <v>690</v>
      </c>
      <c r="I36" s="62"/>
      <c r="J36" s="62"/>
      <c r="K36" s="62"/>
      <c r="L36" s="62"/>
    </row>
    <row r="37" spans="2:12">
      <c r="B37" s="27" t="s">
        <v>309</v>
      </c>
      <c r="C37" s="23" t="s">
        <v>310</v>
      </c>
      <c r="D37" s="23" t="s">
        <v>311</v>
      </c>
      <c r="E37" s="28">
        <v>109720</v>
      </c>
      <c r="F37" s="25">
        <v>4276.72</v>
      </c>
      <c r="G37" s="25">
        <v>1.39</v>
      </c>
      <c r="H37" s="70" t="s">
        <v>690</v>
      </c>
      <c r="I37" s="62"/>
      <c r="J37" s="62"/>
      <c r="K37" s="62"/>
      <c r="L37" s="62"/>
    </row>
    <row r="38" spans="2:12">
      <c r="B38" s="27" t="s">
        <v>219</v>
      </c>
      <c r="C38" s="23" t="s">
        <v>220</v>
      </c>
      <c r="D38" s="23" t="s">
        <v>39</v>
      </c>
      <c r="E38" s="28">
        <v>49307</v>
      </c>
      <c r="F38" s="25">
        <v>4208.4799999999996</v>
      </c>
      <c r="G38" s="25">
        <v>1.37</v>
      </c>
      <c r="H38" s="70" t="s">
        <v>690</v>
      </c>
      <c r="I38" s="62"/>
      <c r="J38" s="62"/>
      <c r="K38" s="62"/>
      <c r="L38" s="62"/>
    </row>
    <row r="39" spans="2:12">
      <c r="B39" s="27" t="s">
        <v>312</v>
      </c>
      <c r="C39" s="23" t="s">
        <v>313</v>
      </c>
      <c r="D39" s="23" t="s">
        <v>314</v>
      </c>
      <c r="E39" s="28">
        <v>116459</v>
      </c>
      <c r="F39" s="25">
        <v>4076.36</v>
      </c>
      <c r="G39" s="25">
        <v>1.33</v>
      </c>
      <c r="H39" s="70" t="s">
        <v>690</v>
      </c>
      <c r="I39" s="62"/>
      <c r="J39" s="62"/>
      <c r="K39" s="62"/>
      <c r="L39" s="62"/>
    </row>
    <row r="40" spans="2:12">
      <c r="B40" s="27" t="s">
        <v>148</v>
      </c>
      <c r="C40" s="23" t="s">
        <v>149</v>
      </c>
      <c r="D40" s="23" t="s">
        <v>150</v>
      </c>
      <c r="E40" s="28">
        <v>1100862</v>
      </c>
      <c r="F40" s="25">
        <v>4069.34</v>
      </c>
      <c r="G40" s="25">
        <v>1.32</v>
      </c>
      <c r="H40" s="70" t="s">
        <v>689</v>
      </c>
      <c r="I40" s="62"/>
      <c r="J40" s="62"/>
      <c r="K40" s="62"/>
      <c r="L40" s="62"/>
    </row>
    <row r="41" spans="2:12">
      <c r="B41" s="27" t="s">
        <v>315</v>
      </c>
      <c r="C41" s="23" t="s">
        <v>316</v>
      </c>
      <c r="D41" s="23" t="s">
        <v>42</v>
      </c>
      <c r="E41" s="28">
        <v>879917</v>
      </c>
      <c r="F41" s="25">
        <v>4047.18</v>
      </c>
      <c r="G41" s="25">
        <v>1.32</v>
      </c>
      <c r="H41" s="70" t="s">
        <v>690</v>
      </c>
      <c r="I41" s="62"/>
      <c r="J41" s="62"/>
      <c r="K41" s="62"/>
      <c r="L41" s="62"/>
    </row>
    <row r="42" spans="2:12">
      <c r="B42" s="27" t="s">
        <v>102</v>
      </c>
      <c r="C42" s="23" t="s">
        <v>103</v>
      </c>
      <c r="D42" s="23" t="s">
        <v>97</v>
      </c>
      <c r="E42" s="28">
        <v>60694</v>
      </c>
      <c r="F42" s="25">
        <v>3972.3</v>
      </c>
      <c r="G42" s="25">
        <v>1.29</v>
      </c>
      <c r="H42" s="70" t="s">
        <v>688</v>
      </c>
      <c r="I42" s="62"/>
      <c r="J42" s="62"/>
      <c r="K42" s="62"/>
      <c r="L42" s="62"/>
    </row>
    <row r="43" spans="2:12">
      <c r="B43" s="27" t="s">
        <v>317</v>
      </c>
      <c r="C43" s="23" t="s">
        <v>318</v>
      </c>
      <c r="D43" s="23" t="s">
        <v>311</v>
      </c>
      <c r="E43" s="28">
        <v>160496</v>
      </c>
      <c r="F43" s="25">
        <v>3944.43</v>
      </c>
      <c r="G43" s="25">
        <v>1.28</v>
      </c>
      <c r="H43" s="70" t="s">
        <v>690</v>
      </c>
      <c r="I43" s="62"/>
      <c r="J43" s="62"/>
      <c r="K43" s="62"/>
      <c r="L43" s="62"/>
    </row>
    <row r="44" spans="2:12">
      <c r="B44" s="27" t="s">
        <v>319</v>
      </c>
      <c r="C44" s="23" t="s">
        <v>320</v>
      </c>
      <c r="D44" s="23" t="s">
        <v>147</v>
      </c>
      <c r="E44" s="28">
        <v>1742958</v>
      </c>
      <c r="F44" s="25">
        <v>3942.57</v>
      </c>
      <c r="G44" s="25">
        <v>1.28</v>
      </c>
      <c r="H44" s="70" t="s">
        <v>690</v>
      </c>
      <c r="I44" s="62"/>
      <c r="J44" s="62"/>
      <c r="K44" s="62"/>
      <c r="L44" s="62"/>
    </row>
    <row r="45" spans="2:12">
      <c r="B45" s="27" t="s">
        <v>321</v>
      </c>
      <c r="C45" s="23" t="s">
        <v>322</v>
      </c>
      <c r="D45" s="23" t="s">
        <v>45</v>
      </c>
      <c r="E45" s="28">
        <v>2168743</v>
      </c>
      <c r="F45" s="25">
        <v>3827.83</v>
      </c>
      <c r="G45" s="25">
        <v>1.25</v>
      </c>
      <c r="H45" s="70" t="s">
        <v>689</v>
      </c>
      <c r="I45" s="62"/>
      <c r="J45" s="62"/>
      <c r="K45" s="62"/>
      <c r="L45" s="62"/>
    </row>
    <row r="46" spans="2:12">
      <c r="B46" s="27" t="s">
        <v>69</v>
      </c>
      <c r="C46" s="23" t="s">
        <v>70</v>
      </c>
      <c r="D46" s="23" t="s">
        <v>71</v>
      </c>
      <c r="E46" s="28">
        <v>214272</v>
      </c>
      <c r="F46" s="25">
        <v>3792.83</v>
      </c>
      <c r="G46" s="25">
        <v>1.23</v>
      </c>
      <c r="H46" s="70" t="s">
        <v>690</v>
      </c>
      <c r="I46" s="62"/>
      <c r="J46" s="62"/>
      <c r="K46" s="62"/>
      <c r="L46" s="62"/>
    </row>
    <row r="47" spans="2:12">
      <c r="B47" s="27" t="s">
        <v>323</v>
      </c>
      <c r="C47" s="23" t="s">
        <v>324</v>
      </c>
      <c r="D47" s="23" t="s">
        <v>118</v>
      </c>
      <c r="E47" s="28">
        <v>3712562</v>
      </c>
      <c r="F47" s="25">
        <v>3745.98</v>
      </c>
      <c r="G47" s="25">
        <v>1.22</v>
      </c>
      <c r="H47" s="70" t="s">
        <v>690</v>
      </c>
      <c r="I47" s="62"/>
      <c r="J47" s="62"/>
      <c r="K47" s="62"/>
      <c r="L47" s="62"/>
    </row>
    <row r="48" spans="2:12">
      <c r="B48" s="27" t="s">
        <v>325</v>
      </c>
      <c r="C48" s="23" t="s">
        <v>326</v>
      </c>
      <c r="D48" s="23" t="s">
        <v>311</v>
      </c>
      <c r="E48" s="28">
        <v>266897</v>
      </c>
      <c r="F48" s="25">
        <v>3647.95</v>
      </c>
      <c r="G48" s="25">
        <v>1.19</v>
      </c>
      <c r="H48" s="70" t="s">
        <v>690</v>
      </c>
      <c r="I48" s="62"/>
      <c r="J48" s="62"/>
      <c r="K48" s="62"/>
      <c r="L48" s="62"/>
    </row>
    <row r="49" spans="2:12">
      <c r="B49" s="27" t="s">
        <v>327</v>
      </c>
      <c r="C49" s="23" t="s">
        <v>328</v>
      </c>
      <c r="D49" s="23" t="s">
        <v>137</v>
      </c>
      <c r="E49" s="28">
        <v>328213</v>
      </c>
      <c r="F49" s="25">
        <v>3535.84</v>
      </c>
      <c r="G49" s="25">
        <v>1.1499999999999999</v>
      </c>
      <c r="H49" s="70" t="s">
        <v>689</v>
      </c>
      <c r="I49" s="62"/>
      <c r="J49" s="62"/>
      <c r="K49" s="62"/>
      <c r="L49" s="62"/>
    </row>
    <row r="50" spans="2:12">
      <c r="B50" s="27" t="s">
        <v>135</v>
      </c>
      <c r="C50" s="23" t="s">
        <v>136</v>
      </c>
      <c r="D50" s="23" t="s">
        <v>137</v>
      </c>
      <c r="E50" s="28">
        <v>81830</v>
      </c>
      <c r="F50" s="25">
        <v>3472.74</v>
      </c>
      <c r="G50" s="25">
        <v>1.1299999999999999</v>
      </c>
      <c r="H50" s="70" t="s">
        <v>688</v>
      </c>
      <c r="I50" s="62"/>
      <c r="J50" s="62"/>
      <c r="K50" s="62"/>
      <c r="L50" s="62"/>
    </row>
    <row r="51" spans="2:12">
      <c r="B51" s="27" t="s">
        <v>329</v>
      </c>
      <c r="C51" s="23" t="s">
        <v>330</v>
      </c>
      <c r="D51" s="23" t="s">
        <v>163</v>
      </c>
      <c r="E51" s="28">
        <v>1589404</v>
      </c>
      <c r="F51" s="25">
        <v>3377.48</v>
      </c>
      <c r="G51" s="25">
        <v>1.1000000000000001</v>
      </c>
      <c r="H51" s="70" t="s">
        <v>690</v>
      </c>
      <c r="I51" s="62"/>
      <c r="J51" s="62"/>
      <c r="K51" s="62"/>
      <c r="L51" s="62"/>
    </row>
    <row r="52" spans="2:12">
      <c r="B52" s="27" t="s">
        <v>331</v>
      </c>
      <c r="C52" s="23" t="s">
        <v>332</v>
      </c>
      <c r="D52" s="23" t="s">
        <v>66</v>
      </c>
      <c r="E52" s="28">
        <v>472124</v>
      </c>
      <c r="F52" s="25">
        <v>3305.58</v>
      </c>
      <c r="G52" s="25">
        <v>1.08</v>
      </c>
      <c r="H52" s="70" t="s">
        <v>690</v>
      </c>
      <c r="I52" s="62"/>
      <c r="J52" s="62"/>
      <c r="K52" s="62"/>
      <c r="L52" s="62"/>
    </row>
    <row r="53" spans="2:12">
      <c r="B53" s="27" t="s">
        <v>333</v>
      </c>
      <c r="C53" s="23" t="s">
        <v>334</v>
      </c>
      <c r="D53" s="23" t="s">
        <v>137</v>
      </c>
      <c r="E53" s="28">
        <v>113523</v>
      </c>
      <c r="F53" s="25">
        <v>3146.52</v>
      </c>
      <c r="G53" s="25">
        <v>1.02</v>
      </c>
      <c r="H53" s="70" t="s">
        <v>690</v>
      </c>
      <c r="I53" s="62"/>
      <c r="J53" s="62"/>
      <c r="K53" s="62"/>
      <c r="L53" s="62"/>
    </row>
    <row r="54" spans="2:12">
      <c r="B54" s="27" t="s">
        <v>335</v>
      </c>
      <c r="C54" s="23" t="s">
        <v>336</v>
      </c>
      <c r="D54" s="23" t="s">
        <v>140</v>
      </c>
      <c r="E54" s="28">
        <v>185000</v>
      </c>
      <c r="F54" s="25">
        <v>3121.6</v>
      </c>
      <c r="G54" s="25">
        <v>1.02</v>
      </c>
      <c r="H54" s="70" t="s">
        <v>689</v>
      </c>
      <c r="I54" s="62"/>
      <c r="J54" s="62"/>
      <c r="K54" s="62"/>
      <c r="L54" s="62"/>
    </row>
    <row r="55" spans="2:12">
      <c r="B55" s="27" t="s">
        <v>337</v>
      </c>
      <c r="C55" s="23" t="s">
        <v>338</v>
      </c>
      <c r="D55" s="23" t="s">
        <v>311</v>
      </c>
      <c r="E55" s="28">
        <v>449350</v>
      </c>
      <c r="F55" s="25">
        <v>3117.37</v>
      </c>
      <c r="G55" s="25">
        <v>1.01</v>
      </c>
      <c r="H55" s="70" t="s">
        <v>690</v>
      </c>
      <c r="I55" s="62"/>
      <c r="J55" s="62"/>
      <c r="K55" s="62"/>
      <c r="L55" s="62"/>
    </row>
    <row r="56" spans="2:12">
      <c r="B56" s="27" t="s">
        <v>339</v>
      </c>
      <c r="C56" s="23" t="s">
        <v>340</v>
      </c>
      <c r="D56" s="23" t="s">
        <v>39</v>
      </c>
      <c r="E56" s="28">
        <v>911926</v>
      </c>
      <c r="F56" s="25">
        <v>3112.4</v>
      </c>
      <c r="G56" s="25">
        <v>1.01</v>
      </c>
      <c r="H56" s="70" t="s">
        <v>690</v>
      </c>
      <c r="I56" s="62"/>
      <c r="J56" s="62"/>
      <c r="K56" s="62"/>
      <c r="L56" s="62"/>
    </row>
    <row r="57" spans="2:12">
      <c r="B57" s="27" t="s">
        <v>49</v>
      </c>
      <c r="C57" s="23" t="s">
        <v>50</v>
      </c>
      <c r="D57" s="23" t="s">
        <v>42</v>
      </c>
      <c r="E57" s="28">
        <v>149653</v>
      </c>
      <c r="F57" s="25">
        <v>3079.93</v>
      </c>
      <c r="G57" s="25">
        <v>1</v>
      </c>
      <c r="H57" s="70" t="s">
        <v>689</v>
      </c>
      <c r="I57" s="62"/>
      <c r="J57" s="62"/>
      <c r="K57" s="62"/>
      <c r="L57" s="62"/>
    </row>
    <row r="58" spans="2:12">
      <c r="B58" s="27" t="s">
        <v>67</v>
      </c>
      <c r="C58" s="23" t="s">
        <v>68</v>
      </c>
      <c r="D58" s="23" t="s">
        <v>36</v>
      </c>
      <c r="E58" s="28">
        <v>638977</v>
      </c>
      <c r="F58" s="25">
        <v>3009.26</v>
      </c>
      <c r="G58" s="25">
        <v>0.98</v>
      </c>
      <c r="H58" s="70" t="s">
        <v>690</v>
      </c>
      <c r="I58" s="62"/>
      <c r="J58" s="62"/>
      <c r="K58" s="62"/>
      <c r="L58" s="62"/>
    </row>
    <row r="59" spans="2:12">
      <c r="B59" s="27" t="s">
        <v>341</v>
      </c>
      <c r="C59" s="23" t="s">
        <v>342</v>
      </c>
      <c r="D59" s="23" t="s">
        <v>45</v>
      </c>
      <c r="E59" s="28">
        <v>3301169</v>
      </c>
      <c r="F59" s="25">
        <v>2941.34</v>
      </c>
      <c r="G59" s="25">
        <v>0.96</v>
      </c>
      <c r="H59" s="70" t="s">
        <v>690</v>
      </c>
      <c r="I59" s="62"/>
      <c r="J59" s="62"/>
      <c r="K59" s="62"/>
      <c r="L59" s="62"/>
    </row>
    <row r="60" spans="2:12">
      <c r="B60" s="27" t="s">
        <v>343</v>
      </c>
      <c r="C60" s="23" t="s">
        <v>344</v>
      </c>
      <c r="D60" s="23" t="s">
        <v>147</v>
      </c>
      <c r="E60" s="28">
        <v>1491234</v>
      </c>
      <c r="F60" s="25">
        <v>2720.01</v>
      </c>
      <c r="G60" s="25">
        <v>0.88</v>
      </c>
      <c r="H60" s="70" t="s">
        <v>690</v>
      </c>
      <c r="I60" s="62"/>
      <c r="J60" s="62"/>
      <c r="K60" s="62"/>
      <c r="L60" s="62"/>
    </row>
    <row r="61" spans="2:12">
      <c r="B61" s="27" t="s">
        <v>345</v>
      </c>
      <c r="C61" s="23" t="s">
        <v>346</v>
      </c>
      <c r="D61" s="23" t="s">
        <v>91</v>
      </c>
      <c r="E61" s="28">
        <v>3310000</v>
      </c>
      <c r="F61" s="25">
        <v>2575.1799999999998</v>
      </c>
      <c r="G61" s="25">
        <v>0.84</v>
      </c>
      <c r="H61" s="70" t="s">
        <v>689</v>
      </c>
      <c r="I61" s="62"/>
      <c r="J61" s="62"/>
      <c r="K61" s="62"/>
      <c r="L61" s="62"/>
    </row>
    <row r="62" spans="2:12">
      <c r="B62" s="27" t="s">
        <v>347</v>
      </c>
      <c r="C62" s="23" t="s">
        <v>348</v>
      </c>
      <c r="D62" s="23" t="s">
        <v>147</v>
      </c>
      <c r="E62" s="28">
        <v>681673</v>
      </c>
      <c r="F62" s="25">
        <v>2435.2800000000002</v>
      </c>
      <c r="G62" s="25">
        <v>0.79</v>
      </c>
      <c r="H62" s="70" t="s">
        <v>690</v>
      </c>
      <c r="I62" s="62"/>
      <c r="J62" s="62"/>
      <c r="K62" s="62"/>
      <c r="L62" s="62"/>
    </row>
    <row r="63" spans="2:12">
      <c r="B63" s="27" t="s">
        <v>349</v>
      </c>
      <c r="C63" s="23" t="s">
        <v>350</v>
      </c>
      <c r="D63" s="23" t="s">
        <v>311</v>
      </c>
      <c r="E63" s="28">
        <v>1501467</v>
      </c>
      <c r="F63" s="25">
        <v>2396.34</v>
      </c>
      <c r="G63" s="25">
        <v>0.78</v>
      </c>
      <c r="H63" s="70" t="s">
        <v>689</v>
      </c>
      <c r="I63" s="62"/>
      <c r="J63" s="62"/>
      <c r="K63" s="62"/>
      <c r="L63" s="62"/>
    </row>
    <row r="64" spans="2:12">
      <c r="B64" s="27" t="s">
        <v>72</v>
      </c>
      <c r="C64" s="23" t="s">
        <v>73</v>
      </c>
      <c r="D64" s="23" t="s">
        <v>74</v>
      </c>
      <c r="E64" s="28">
        <v>5896</v>
      </c>
      <c r="F64" s="25">
        <v>2369.17</v>
      </c>
      <c r="G64" s="25">
        <v>0.77</v>
      </c>
      <c r="H64" s="70" t="s">
        <v>689</v>
      </c>
      <c r="I64" s="62"/>
      <c r="J64" s="62"/>
      <c r="K64" s="62"/>
      <c r="L64" s="62"/>
    </row>
    <row r="65" spans="2:12">
      <c r="B65" s="27" t="s">
        <v>351</v>
      </c>
      <c r="C65" s="23" t="s">
        <v>352</v>
      </c>
      <c r="D65" s="23" t="s">
        <v>311</v>
      </c>
      <c r="E65" s="28">
        <v>362771</v>
      </c>
      <c r="F65" s="25">
        <v>2325.54</v>
      </c>
      <c r="G65" s="25">
        <v>0.76</v>
      </c>
      <c r="H65" s="70" t="s">
        <v>690</v>
      </c>
      <c r="I65" s="62"/>
      <c r="J65" s="62"/>
      <c r="K65" s="62"/>
      <c r="L65" s="62"/>
    </row>
    <row r="66" spans="2:12">
      <c r="B66" s="27" t="s">
        <v>353</v>
      </c>
      <c r="C66" s="23" t="s">
        <v>354</v>
      </c>
      <c r="D66" s="23" t="s">
        <v>311</v>
      </c>
      <c r="E66" s="28">
        <v>336426</v>
      </c>
      <c r="F66" s="25">
        <v>2282.65</v>
      </c>
      <c r="G66" s="25">
        <v>0.74</v>
      </c>
      <c r="H66" s="70" t="s">
        <v>690</v>
      </c>
      <c r="I66" s="62"/>
      <c r="J66" s="62"/>
      <c r="K66" s="62"/>
      <c r="L66" s="62"/>
    </row>
    <row r="67" spans="2:12">
      <c r="B67" s="27" t="s">
        <v>355</v>
      </c>
      <c r="C67" s="23" t="s">
        <v>356</v>
      </c>
      <c r="D67" s="23" t="s">
        <v>48</v>
      </c>
      <c r="E67" s="28">
        <v>1279685</v>
      </c>
      <c r="F67" s="25">
        <v>2225.37</v>
      </c>
      <c r="G67" s="25">
        <v>0.72</v>
      </c>
      <c r="H67" s="70" t="s">
        <v>690</v>
      </c>
      <c r="I67" s="62"/>
      <c r="J67" s="62"/>
      <c r="K67" s="62"/>
      <c r="L67" s="62"/>
    </row>
    <row r="68" spans="2:12">
      <c r="B68" s="27" t="s">
        <v>357</v>
      </c>
      <c r="C68" s="23" t="s">
        <v>358</v>
      </c>
      <c r="D68" s="23" t="s">
        <v>140</v>
      </c>
      <c r="E68" s="28">
        <v>38712</v>
      </c>
      <c r="F68" s="25">
        <v>2085.2199999999998</v>
      </c>
      <c r="G68" s="25">
        <v>0.68</v>
      </c>
      <c r="H68" s="70" t="s">
        <v>690</v>
      </c>
      <c r="I68" s="62"/>
      <c r="J68" s="62"/>
      <c r="K68" s="62"/>
      <c r="L68" s="62"/>
    </row>
    <row r="69" spans="2:12">
      <c r="B69" s="27" t="s">
        <v>359</v>
      </c>
      <c r="C69" s="23" t="s">
        <v>360</v>
      </c>
      <c r="D69" s="23" t="s">
        <v>311</v>
      </c>
      <c r="E69" s="28">
        <v>165016</v>
      </c>
      <c r="F69" s="25">
        <v>1859.65</v>
      </c>
      <c r="G69" s="25">
        <v>0.6</v>
      </c>
      <c r="H69" s="70" t="s">
        <v>690</v>
      </c>
      <c r="I69" s="62"/>
      <c r="J69" s="62"/>
      <c r="K69" s="62"/>
      <c r="L69" s="62"/>
    </row>
    <row r="70" spans="2:12">
      <c r="B70" s="27" t="s">
        <v>191</v>
      </c>
      <c r="C70" s="23" t="s">
        <v>192</v>
      </c>
      <c r="D70" s="23" t="s">
        <v>132</v>
      </c>
      <c r="E70" s="28">
        <v>78710</v>
      </c>
      <c r="F70" s="25">
        <v>1779.28</v>
      </c>
      <c r="G70" s="25">
        <v>0.57999999999999996</v>
      </c>
      <c r="H70" s="70" t="s">
        <v>688</v>
      </c>
      <c r="I70" s="62"/>
      <c r="J70" s="62"/>
      <c r="K70" s="62"/>
      <c r="L70" s="62"/>
    </row>
    <row r="71" spans="2:12">
      <c r="B71" s="27" t="s">
        <v>361</v>
      </c>
      <c r="C71" s="23" t="s">
        <v>362</v>
      </c>
      <c r="D71" s="23" t="s">
        <v>140</v>
      </c>
      <c r="E71" s="28">
        <v>87175</v>
      </c>
      <c r="F71" s="25">
        <v>1673.24</v>
      </c>
      <c r="G71" s="25">
        <v>0.54</v>
      </c>
      <c r="H71" s="70" t="s">
        <v>689</v>
      </c>
      <c r="I71" s="62"/>
      <c r="J71" s="62"/>
      <c r="K71" s="62"/>
      <c r="L71" s="62"/>
    </row>
    <row r="72" spans="2:12">
      <c r="B72" s="27" t="s">
        <v>363</v>
      </c>
      <c r="C72" s="23" t="s">
        <v>364</v>
      </c>
      <c r="D72" s="23" t="s">
        <v>311</v>
      </c>
      <c r="E72" s="28">
        <v>201012</v>
      </c>
      <c r="F72" s="25">
        <v>1090.49</v>
      </c>
      <c r="G72" s="25">
        <v>0.35</v>
      </c>
      <c r="H72" s="70" t="s">
        <v>690</v>
      </c>
      <c r="I72" s="62"/>
      <c r="J72" s="62"/>
      <c r="K72" s="62"/>
      <c r="L72" s="62"/>
    </row>
    <row r="73" spans="2:12" ht="12.75" thickBot="1">
      <c r="B73" s="27" t="s">
        <v>365</v>
      </c>
      <c r="C73" s="23" t="s">
        <v>366</v>
      </c>
      <c r="D73" s="23" t="s">
        <v>83</v>
      </c>
      <c r="E73" s="28">
        <v>71446</v>
      </c>
      <c r="F73" s="25">
        <v>299.86</v>
      </c>
      <c r="G73" s="25">
        <v>0.1</v>
      </c>
      <c r="H73" s="71" t="s">
        <v>690</v>
      </c>
      <c r="I73" s="62"/>
      <c r="J73" s="62"/>
      <c r="K73" s="62"/>
      <c r="L73" s="62"/>
    </row>
    <row r="74" spans="2:12">
      <c r="B74" s="29" t="s">
        <v>104</v>
      </c>
      <c r="C74" s="30"/>
      <c r="D74" s="30"/>
      <c r="E74" s="31"/>
      <c r="F74" s="32">
        <f>SUM(F7:F73)</f>
        <v>285950.56999999995</v>
      </c>
      <c r="G74" s="32">
        <f>SUM(G7:G73)</f>
        <v>93.029999999999987</v>
      </c>
      <c r="H74" s="14"/>
      <c r="I74" s="62"/>
      <c r="J74" s="62"/>
      <c r="K74" s="62"/>
      <c r="L74" s="62"/>
    </row>
    <row r="75" spans="2:12">
      <c r="B75" s="37" t="s">
        <v>105</v>
      </c>
      <c r="C75" s="37"/>
      <c r="D75" s="37"/>
      <c r="E75" s="38"/>
      <c r="F75" s="39">
        <f>F74</f>
        <v>285950.56999999995</v>
      </c>
      <c r="G75" s="39">
        <f>G74</f>
        <v>93.029999999999987</v>
      </c>
      <c r="H75" s="14"/>
      <c r="I75" s="62"/>
      <c r="J75" s="62"/>
      <c r="K75" s="62"/>
      <c r="L75" s="62"/>
    </row>
    <row r="76" spans="2:12">
      <c r="B76" s="40" t="s">
        <v>106</v>
      </c>
      <c r="C76" s="41"/>
      <c r="D76" s="41"/>
      <c r="E76" s="42"/>
      <c r="F76" s="43"/>
      <c r="G76" s="43"/>
      <c r="I76" s="62"/>
      <c r="J76" s="62"/>
      <c r="K76" s="62"/>
      <c r="L76" s="62"/>
    </row>
    <row r="77" spans="2:12">
      <c r="B77" s="27" t="s">
        <v>106</v>
      </c>
      <c r="C77" s="27"/>
      <c r="D77" s="23"/>
      <c r="E77" s="24"/>
      <c r="F77" s="25">
        <v>22841.49</v>
      </c>
      <c r="G77" s="25">
        <v>7.43</v>
      </c>
      <c r="I77" s="62"/>
      <c r="J77" s="62"/>
      <c r="K77" s="62"/>
      <c r="L77" s="62"/>
    </row>
    <row r="78" spans="2:12">
      <c r="B78" s="29" t="s">
        <v>104</v>
      </c>
      <c r="C78" s="30"/>
      <c r="D78" s="30"/>
      <c r="E78" s="31"/>
      <c r="F78" s="32">
        <f>SUM(F76:F77)</f>
        <v>22841.49</v>
      </c>
      <c r="G78" s="32">
        <f>SUM(G76:G77)</f>
        <v>7.43</v>
      </c>
      <c r="H78" s="14"/>
      <c r="I78" s="62"/>
      <c r="J78" s="62"/>
      <c r="K78" s="62"/>
      <c r="L78" s="62"/>
    </row>
    <row r="79" spans="2:12">
      <c r="B79" s="34" t="s">
        <v>105</v>
      </c>
      <c r="C79" s="34"/>
      <c r="D79" s="34"/>
      <c r="E79" s="35"/>
      <c r="F79" s="36">
        <f>F78</f>
        <v>22841.49</v>
      </c>
      <c r="G79" s="36">
        <f>G78</f>
        <v>7.43</v>
      </c>
      <c r="H79" s="14"/>
      <c r="I79" s="62"/>
      <c r="J79" s="62"/>
      <c r="K79" s="62"/>
      <c r="L79" s="62"/>
    </row>
    <row r="80" spans="2:12">
      <c r="B80" s="44" t="s">
        <v>108</v>
      </c>
      <c r="C80" s="44"/>
      <c r="D80" s="44"/>
      <c r="E80" s="45"/>
      <c r="F80" s="16">
        <f>F81-(+F75+F79)</f>
        <v>-1381.1799999999348</v>
      </c>
      <c r="G80" s="16">
        <f>G81-(+G75+G79)</f>
        <v>-0.45999999999997954</v>
      </c>
      <c r="H80" s="14"/>
      <c r="I80" s="62"/>
      <c r="J80" s="62"/>
      <c r="K80" s="62"/>
      <c r="L80" s="62"/>
    </row>
    <row r="81" spans="2:12">
      <c r="B81" s="44" t="s">
        <v>107</v>
      </c>
      <c r="C81" s="44"/>
      <c r="D81" s="44"/>
      <c r="E81" s="45"/>
      <c r="F81" s="16">
        <v>307410.88</v>
      </c>
      <c r="G81" s="16">
        <v>100</v>
      </c>
      <c r="H81" s="14"/>
      <c r="I81" s="62"/>
      <c r="J81" s="62"/>
      <c r="K81" s="62"/>
      <c r="L81" s="62"/>
    </row>
    <row r="83" spans="2:12">
      <c r="B83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7"/>
  <sheetViews>
    <sheetView topLeftCell="D1" workbookViewId="0">
      <selection activeCell="J42" sqref="J42"/>
    </sheetView>
  </sheetViews>
  <sheetFormatPr defaultRowHeight="12"/>
  <cols>
    <col min="1" max="1" width="9.140625" style="1"/>
    <col min="2" max="2" width="54" style="1" bestFit="1" customWidth="1"/>
    <col min="3" max="3" width="13.5703125" style="1" bestFit="1" customWidth="1"/>
    <col min="4" max="4" width="28.425781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9.140625" style="1"/>
    <col min="9" max="9" width="9" style="1" bestFit="1" customWidth="1"/>
    <col min="10" max="10" width="29.42578125" style="1" customWidth="1"/>
    <col min="11" max="11" width="26.85546875" style="1" customWidth="1"/>
    <col min="12" max="12" width="26.42578125" style="1" customWidth="1"/>
    <col min="13" max="16384" width="9.140625" style="1"/>
  </cols>
  <sheetData>
    <row r="1" spans="2:12" ht="21" customHeight="1">
      <c r="B1" s="77" t="s">
        <v>16</v>
      </c>
      <c r="C1" s="78"/>
      <c r="D1" s="78"/>
      <c r="E1" s="78"/>
      <c r="F1" s="78"/>
      <c r="G1" s="78"/>
    </row>
    <row r="3" spans="2:12" ht="16.5" thickBot="1">
      <c r="B3" s="2" t="s">
        <v>7</v>
      </c>
      <c r="C3" s="3"/>
      <c r="D3" s="4"/>
      <c r="E3" s="5"/>
      <c r="F3" s="6"/>
      <c r="G3" s="6"/>
    </row>
    <row r="4" spans="2:12" ht="36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66" t="s">
        <v>687</v>
      </c>
      <c r="J4" s="73" t="s">
        <v>692</v>
      </c>
      <c r="K4" s="73" t="s">
        <v>693</v>
      </c>
      <c r="L4" s="73" t="s">
        <v>694</v>
      </c>
    </row>
    <row r="5" spans="2:12">
      <c r="B5" s="17" t="s">
        <v>29</v>
      </c>
      <c r="C5" s="18"/>
      <c r="D5" s="18"/>
      <c r="E5" s="19"/>
      <c r="F5" s="20"/>
      <c r="G5" s="20"/>
      <c r="H5" s="72"/>
      <c r="J5" s="79"/>
      <c r="K5" s="79"/>
      <c r="L5" s="79"/>
    </row>
    <row r="6" spans="2:12">
      <c r="B6" s="22" t="s">
        <v>30</v>
      </c>
      <c r="C6" s="23"/>
      <c r="D6" s="23"/>
      <c r="E6" s="24"/>
      <c r="F6" s="25"/>
      <c r="G6" s="25"/>
      <c r="H6" s="72"/>
      <c r="J6" s="79"/>
      <c r="K6" s="79"/>
      <c r="L6" s="79"/>
    </row>
    <row r="7" spans="2:12">
      <c r="B7" s="27" t="s">
        <v>43</v>
      </c>
      <c r="C7" s="23" t="s">
        <v>44</v>
      </c>
      <c r="D7" s="23" t="s">
        <v>45</v>
      </c>
      <c r="E7" s="28">
        <v>700585</v>
      </c>
      <c r="F7" s="25">
        <v>5734.99</v>
      </c>
      <c r="G7" s="25">
        <v>8.06</v>
      </c>
      <c r="H7" s="70" t="s">
        <v>688</v>
      </c>
      <c r="I7" s="62"/>
      <c r="J7" s="79"/>
      <c r="K7" s="79"/>
      <c r="L7" s="79"/>
    </row>
    <row r="8" spans="2:12">
      <c r="B8" s="27" t="s">
        <v>111</v>
      </c>
      <c r="C8" s="23" t="s">
        <v>112</v>
      </c>
      <c r="D8" s="23" t="s">
        <v>113</v>
      </c>
      <c r="E8" s="28">
        <v>335500</v>
      </c>
      <c r="F8" s="25">
        <v>5199.24</v>
      </c>
      <c r="G8" s="25">
        <v>7.31</v>
      </c>
      <c r="H8" s="70" t="s">
        <v>688</v>
      </c>
      <c r="I8" s="62"/>
      <c r="J8" s="79"/>
      <c r="K8" s="79"/>
      <c r="L8" s="79"/>
    </row>
    <row r="9" spans="2:12">
      <c r="B9" s="27" t="s">
        <v>109</v>
      </c>
      <c r="C9" s="23" t="s">
        <v>110</v>
      </c>
      <c r="D9" s="23" t="s">
        <v>45</v>
      </c>
      <c r="E9" s="28">
        <v>264000</v>
      </c>
      <c r="F9" s="25">
        <v>3786.29</v>
      </c>
      <c r="G9" s="25">
        <v>5.32</v>
      </c>
      <c r="H9" s="70" t="s">
        <v>688</v>
      </c>
      <c r="I9" s="62"/>
      <c r="J9" s="79"/>
      <c r="K9" s="79"/>
      <c r="L9" s="79"/>
    </row>
    <row r="10" spans="2:12">
      <c r="B10" s="27" t="s">
        <v>114</v>
      </c>
      <c r="C10" s="23" t="s">
        <v>115</v>
      </c>
      <c r="D10" s="23" t="s">
        <v>45</v>
      </c>
      <c r="E10" s="28">
        <v>407357</v>
      </c>
      <c r="F10" s="25">
        <v>2952.32</v>
      </c>
      <c r="G10" s="25">
        <v>4.1500000000000004</v>
      </c>
      <c r="H10" s="70" t="s">
        <v>688</v>
      </c>
      <c r="I10" s="62"/>
      <c r="J10" s="79"/>
      <c r="K10" s="79"/>
      <c r="L10" s="79"/>
    </row>
    <row r="11" spans="2:12">
      <c r="B11" s="27" t="s">
        <v>81</v>
      </c>
      <c r="C11" s="23" t="s">
        <v>82</v>
      </c>
      <c r="D11" s="23" t="s">
        <v>83</v>
      </c>
      <c r="E11" s="28">
        <v>115299</v>
      </c>
      <c r="F11" s="25">
        <v>2893.37</v>
      </c>
      <c r="G11" s="25">
        <v>4.07</v>
      </c>
      <c r="H11" s="70" t="s">
        <v>688</v>
      </c>
      <c r="I11" s="62"/>
      <c r="J11" s="79"/>
      <c r="K11" s="79"/>
      <c r="L11" s="79"/>
    </row>
    <row r="12" spans="2:12">
      <c r="B12" s="27" t="s">
        <v>53</v>
      </c>
      <c r="C12" s="23" t="s">
        <v>54</v>
      </c>
      <c r="D12" s="23" t="s">
        <v>45</v>
      </c>
      <c r="E12" s="28">
        <v>503915</v>
      </c>
      <c r="F12" s="25">
        <v>2662.43</v>
      </c>
      <c r="G12" s="25">
        <v>3.74</v>
      </c>
      <c r="H12" s="70" t="s">
        <v>688</v>
      </c>
      <c r="I12" s="62"/>
      <c r="J12" s="79"/>
      <c r="K12" s="79"/>
      <c r="L12" s="79"/>
    </row>
    <row r="13" spans="2:12">
      <c r="B13" s="27" t="s">
        <v>254</v>
      </c>
      <c r="C13" s="23" t="s">
        <v>255</v>
      </c>
      <c r="D13" s="23" t="s">
        <v>121</v>
      </c>
      <c r="E13" s="28">
        <v>871880</v>
      </c>
      <c r="F13" s="25">
        <v>2642.23</v>
      </c>
      <c r="G13" s="25">
        <v>3.71</v>
      </c>
      <c r="H13" s="70" t="s">
        <v>688</v>
      </c>
      <c r="I13" s="62"/>
      <c r="J13" s="62"/>
      <c r="K13" s="1" t="s">
        <v>695</v>
      </c>
    </row>
    <row r="14" spans="2:12">
      <c r="B14" s="27" t="s">
        <v>130</v>
      </c>
      <c r="C14" s="23" t="s">
        <v>131</v>
      </c>
      <c r="D14" s="23" t="s">
        <v>132</v>
      </c>
      <c r="E14" s="28">
        <v>271938</v>
      </c>
      <c r="F14" s="25">
        <v>2564.92</v>
      </c>
      <c r="G14" s="25">
        <v>3.61</v>
      </c>
      <c r="H14" s="70" t="s">
        <v>688</v>
      </c>
      <c r="I14" s="62"/>
      <c r="J14" s="62"/>
      <c r="K14" s="62"/>
      <c r="L14" s="62"/>
    </row>
    <row r="15" spans="2:12">
      <c r="B15" s="27" t="s">
        <v>125</v>
      </c>
      <c r="C15" s="23" t="s">
        <v>126</v>
      </c>
      <c r="D15" s="23" t="s">
        <v>127</v>
      </c>
      <c r="E15" s="28">
        <v>28000</v>
      </c>
      <c r="F15" s="25">
        <v>2456.59</v>
      </c>
      <c r="G15" s="25">
        <v>3.45</v>
      </c>
      <c r="H15" s="70" t="s">
        <v>688</v>
      </c>
      <c r="I15" s="62"/>
      <c r="J15" s="62"/>
      <c r="K15" s="62"/>
      <c r="L15" s="62"/>
    </row>
    <row r="16" spans="2:12">
      <c r="B16" s="27" t="s">
        <v>57</v>
      </c>
      <c r="C16" s="23" t="s">
        <v>58</v>
      </c>
      <c r="D16" s="23" t="s">
        <v>59</v>
      </c>
      <c r="E16" s="28">
        <v>1565000</v>
      </c>
      <c r="F16" s="25">
        <v>2393.67</v>
      </c>
      <c r="G16" s="25">
        <v>3.37</v>
      </c>
      <c r="H16" s="70" t="s">
        <v>688</v>
      </c>
      <c r="I16" s="62"/>
      <c r="J16" s="62"/>
      <c r="K16" s="62"/>
      <c r="L16" s="62"/>
    </row>
    <row r="17" spans="2:12">
      <c r="B17" s="27" t="s">
        <v>122</v>
      </c>
      <c r="C17" s="23" t="s">
        <v>123</v>
      </c>
      <c r="D17" s="23" t="s">
        <v>124</v>
      </c>
      <c r="E17" s="28">
        <v>313000</v>
      </c>
      <c r="F17" s="25">
        <v>2121.98</v>
      </c>
      <c r="G17" s="25">
        <v>2.98</v>
      </c>
      <c r="H17" s="70" t="s">
        <v>688</v>
      </c>
      <c r="I17" s="62"/>
      <c r="J17" s="62"/>
      <c r="K17" s="62"/>
      <c r="L17" s="62"/>
    </row>
    <row r="18" spans="2:12">
      <c r="B18" s="27" t="s">
        <v>276</v>
      </c>
      <c r="C18" s="23" t="s">
        <v>277</v>
      </c>
      <c r="D18" s="23" t="s">
        <v>118</v>
      </c>
      <c r="E18" s="28">
        <v>195638</v>
      </c>
      <c r="F18" s="25">
        <v>2066.8200000000002</v>
      </c>
      <c r="G18" s="25">
        <v>2.91</v>
      </c>
      <c r="H18" s="70" t="s">
        <v>690</v>
      </c>
      <c r="I18" s="62"/>
      <c r="J18" s="62"/>
      <c r="K18" s="62"/>
      <c r="L18" s="62"/>
    </row>
    <row r="19" spans="2:12">
      <c r="B19" s="27" t="s">
        <v>31</v>
      </c>
      <c r="C19" s="23" t="s">
        <v>32</v>
      </c>
      <c r="D19" s="23" t="s">
        <v>33</v>
      </c>
      <c r="E19" s="28">
        <v>705261</v>
      </c>
      <c r="F19" s="25">
        <v>1940.88</v>
      </c>
      <c r="G19" s="25">
        <v>2.73</v>
      </c>
      <c r="H19" s="70" t="s">
        <v>688</v>
      </c>
      <c r="I19" s="62"/>
      <c r="J19" s="62"/>
      <c r="K19" s="62"/>
      <c r="L19" s="62"/>
    </row>
    <row r="20" spans="2:12">
      <c r="B20" s="27" t="s">
        <v>221</v>
      </c>
      <c r="C20" s="23" t="s">
        <v>222</v>
      </c>
      <c r="D20" s="23" t="s">
        <v>132</v>
      </c>
      <c r="E20" s="28">
        <v>106342</v>
      </c>
      <c r="F20" s="25">
        <v>1882.36</v>
      </c>
      <c r="G20" s="25">
        <v>2.65</v>
      </c>
      <c r="H20" s="70" t="s">
        <v>690</v>
      </c>
      <c r="I20" s="62"/>
      <c r="J20" s="62"/>
      <c r="K20" s="62"/>
      <c r="L20" s="62"/>
    </row>
    <row r="21" spans="2:12">
      <c r="B21" s="27" t="s">
        <v>181</v>
      </c>
      <c r="C21" s="23" t="s">
        <v>182</v>
      </c>
      <c r="D21" s="23" t="s">
        <v>118</v>
      </c>
      <c r="E21" s="28">
        <v>77838</v>
      </c>
      <c r="F21" s="25">
        <v>1850.83</v>
      </c>
      <c r="G21" s="25">
        <v>2.6</v>
      </c>
      <c r="H21" s="70" t="s">
        <v>688</v>
      </c>
      <c r="I21" s="62"/>
      <c r="J21" s="62"/>
      <c r="K21" s="62"/>
      <c r="L21" s="62"/>
    </row>
    <row r="22" spans="2:12">
      <c r="B22" s="27" t="s">
        <v>264</v>
      </c>
      <c r="C22" s="23" t="s">
        <v>265</v>
      </c>
      <c r="D22" s="23" t="s">
        <v>213</v>
      </c>
      <c r="E22" s="28">
        <v>202492</v>
      </c>
      <c r="F22" s="25">
        <v>1787.4</v>
      </c>
      <c r="G22" s="25">
        <v>2.5099999999999998</v>
      </c>
      <c r="H22" s="70" t="s">
        <v>689</v>
      </c>
      <c r="I22" s="62"/>
      <c r="J22" s="62"/>
      <c r="K22" s="62"/>
      <c r="L22" s="62"/>
    </row>
    <row r="23" spans="2:12">
      <c r="B23" s="27" t="s">
        <v>141</v>
      </c>
      <c r="C23" s="23" t="s">
        <v>142</v>
      </c>
      <c r="D23" s="23" t="s">
        <v>127</v>
      </c>
      <c r="E23" s="28">
        <v>394504</v>
      </c>
      <c r="F23" s="25">
        <v>1773.69</v>
      </c>
      <c r="G23" s="25">
        <v>2.4900000000000002</v>
      </c>
      <c r="H23" s="70" t="s">
        <v>688</v>
      </c>
      <c r="I23" s="62"/>
      <c r="J23" s="62"/>
      <c r="K23" s="62"/>
      <c r="L23" s="62"/>
    </row>
    <row r="24" spans="2:12">
      <c r="B24" s="27" t="s">
        <v>199</v>
      </c>
      <c r="C24" s="23" t="s">
        <v>200</v>
      </c>
      <c r="D24" s="23" t="s">
        <v>48</v>
      </c>
      <c r="E24" s="28">
        <v>138290</v>
      </c>
      <c r="F24" s="25">
        <v>1712.03</v>
      </c>
      <c r="G24" s="25">
        <v>2.41</v>
      </c>
      <c r="H24" s="70" t="s">
        <v>690</v>
      </c>
      <c r="I24" s="62"/>
      <c r="J24" s="62"/>
      <c r="K24" s="62"/>
      <c r="L24" s="62"/>
    </row>
    <row r="25" spans="2:12">
      <c r="B25" s="27" t="s">
        <v>34</v>
      </c>
      <c r="C25" s="23" t="s">
        <v>35</v>
      </c>
      <c r="D25" s="23" t="s">
        <v>36</v>
      </c>
      <c r="E25" s="28">
        <v>92907</v>
      </c>
      <c r="F25" s="25">
        <v>1679.81</v>
      </c>
      <c r="G25" s="25">
        <v>2.36</v>
      </c>
      <c r="H25" s="70" t="s">
        <v>688</v>
      </c>
      <c r="I25" s="62"/>
      <c r="J25" s="62"/>
      <c r="K25" s="62"/>
      <c r="L25" s="62"/>
    </row>
    <row r="26" spans="2:12">
      <c r="B26" s="27" t="s">
        <v>64</v>
      </c>
      <c r="C26" s="23" t="s">
        <v>65</v>
      </c>
      <c r="D26" s="23" t="s">
        <v>66</v>
      </c>
      <c r="E26" s="28">
        <v>318665</v>
      </c>
      <c r="F26" s="25">
        <v>1572.77</v>
      </c>
      <c r="G26" s="25">
        <v>2.21</v>
      </c>
      <c r="H26" s="70" t="s">
        <v>690</v>
      </c>
      <c r="I26" s="62"/>
      <c r="J26" s="62"/>
      <c r="K26" s="62"/>
      <c r="L26" s="62"/>
    </row>
    <row r="27" spans="2:12">
      <c r="B27" s="27" t="s">
        <v>367</v>
      </c>
      <c r="C27" s="23" t="s">
        <v>368</v>
      </c>
      <c r="D27" s="23" t="s">
        <v>45</v>
      </c>
      <c r="E27" s="28">
        <v>1459741</v>
      </c>
      <c r="F27" s="25">
        <v>1556.81</v>
      </c>
      <c r="G27" s="25">
        <v>2.19</v>
      </c>
      <c r="H27" s="70" t="s">
        <v>689</v>
      </c>
      <c r="I27" s="62"/>
      <c r="J27" s="62"/>
      <c r="K27" s="62"/>
      <c r="L27" s="62"/>
    </row>
    <row r="28" spans="2:12">
      <c r="B28" s="27" t="s">
        <v>226</v>
      </c>
      <c r="C28" s="23" t="s">
        <v>227</v>
      </c>
      <c r="D28" s="23" t="s">
        <v>156</v>
      </c>
      <c r="E28" s="28">
        <v>115000</v>
      </c>
      <c r="F28" s="25">
        <v>1488.56</v>
      </c>
      <c r="G28" s="25">
        <v>2.09</v>
      </c>
      <c r="H28" s="70" t="s">
        <v>688</v>
      </c>
      <c r="I28" s="62"/>
      <c r="J28" s="62"/>
      <c r="K28" s="62"/>
      <c r="L28" s="62"/>
    </row>
    <row r="29" spans="2:12">
      <c r="B29" s="27" t="s">
        <v>282</v>
      </c>
      <c r="C29" s="23" t="s">
        <v>283</v>
      </c>
      <c r="D29" s="23" t="s">
        <v>140</v>
      </c>
      <c r="E29" s="28">
        <v>498508</v>
      </c>
      <c r="F29" s="25">
        <v>1379.12</v>
      </c>
      <c r="G29" s="25">
        <v>1.94</v>
      </c>
      <c r="H29" s="70" t="s">
        <v>690</v>
      </c>
      <c r="I29" s="62"/>
      <c r="J29" s="62"/>
      <c r="K29" s="62"/>
      <c r="L29" s="62"/>
    </row>
    <row r="30" spans="2:12">
      <c r="B30" s="27" t="s">
        <v>98</v>
      </c>
      <c r="C30" s="23" t="s">
        <v>99</v>
      </c>
      <c r="D30" s="23" t="s">
        <v>97</v>
      </c>
      <c r="E30" s="28">
        <v>275000</v>
      </c>
      <c r="F30" s="25">
        <v>1030.7</v>
      </c>
      <c r="G30" s="25">
        <v>1.45</v>
      </c>
      <c r="H30" s="70" t="s">
        <v>688</v>
      </c>
      <c r="I30" s="62"/>
      <c r="J30" s="62"/>
      <c r="K30" s="62"/>
      <c r="L30" s="62"/>
    </row>
    <row r="31" spans="2:12">
      <c r="B31" s="27" t="s">
        <v>75</v>
      </c>
      <c r="C31" s="23" t="s">
        <v>76</v>
      </c>
      <c r="D31" s="23" t="s">
        <v>71</v>
      </c>
      <c r="E31" s="28">
        <v>136000</v>
      </c>
      <c r="F31" s="25">
        <v>969.34</v>
      </c>
      <c r="G31" s="25">
        <v>1.36</v>
      </c>
      <c r="H31" s="70" t="s">
        <v>689</v>
      </c>
      <c r="I31" s="62"/>
      <c r="J31" s="62"/>
      <c r="K31" s="62"/>
      <c r="L31" s="62"/>
    </row>
    <row r="32" spans="2:12">
      <c r="B32" s="27" t="s">
        <v>270</v>
      </c>
      <c r="C32" s="23" t="s">
        <v>271</v>
      </c>
      <c r="D32" s="23" t="s">
        <v>147</v>
      </c>
      <c r="E32" s="28">
        <v>20000</v>
      </c>
      <c r="F32" s="25">
        <v>945.44</v>
      </c>
      <c r="G32" s="25">
        <v>1.33</v>
      </c>
      <c r="H32" s="70" t="s">
        <v>690</v>
      </c>
      <c r="I32" s="62"/>
      <c r="J32" s="62"/>
      <c r="K32" s="62"/>
      <c r="L32" s="62"/>
    </row>
    <row r="33" spans="2:12">
      <c r="B33" s="27" t="s">
        <v>228</v>
      </c>
      <c r="C33" s="23" t="s">
        <v>229</v>
      </c>
      <c r="D33" s="23" t="s">
        <v>127</v>
      </c>
      <c r="E33" s="28">
        <v>23925</v>
      </c>
      <c r="F33" s="25">
        <v>936.53</v>
      </c>
      <c r="G33" s="25">
        <v>1.32</v>
      </c>
      <c r="H33" s="70" t="s">
        <v>688</v>
      </c>
      <c r="I33" s="62"/>
      <c r="J33" s="62"/>
      <c r="K33" s="62"/>
      <c r="L33" s="62"/>
    </row>
    <row r="34" spans="2:12">
      <c r="B34" s="27" t="s">
        <v>183</v>
      </c>
      <c r="C34" s="23" t="s">
        <v>184</v>
      </c>
      <c r="D34" s="23" t="s">
        <v>118</v>
      </c>
      <c r="E34" s="28">
        <v>155063</v>
      </c>
      <c r="F34" s="25">
        <v>924.33</v>
      </c>
      <c r="G34" s="25">
        <v>1.3</v>
      </c>
      <c r="H34" s="70" t="s">
        <v>690</v>
      </c>
      <c r="I34" s="62"/>
      <c r="J34" s="62"/>
      <c r="K34" s="62"/>
      <c r="L34" s="62"/>
    </row>
    <row r="35" spans="2:12">
      <c r="B35" s="27" t="s">
        <v>286</v>
      </c>
      <c r="C35" s="23" t="s">
        <v>287</v>
      </c>
      <c r="D35" s="23" t="s">
        <v>166</v>
      </c>
      <c r="E35" s="28">
        <v>130000</v>
      </c>
      <c r="F35" s="25">
        <v>727.81</v>
      </c>
      <c r="G35" s="25">
        <v>1.02</v>
      </c>
      <c r="H35" s="70" t="s">
        <v>690</v>
      </c>
      <c r="I35" s="62"/>
      <c r="J35" s="62"/>
      <c r="K35" s="62"/>
      <c r="L35" s="62"/>
    </row>
    <row r="36" spans="2:12">
      <c r="B36" s="27" t="s">
        <v>268</v>
      </c>
      <c r="C36" s="23" t="s">
        <v>269</v>
      </c>
      <c r="D36" s="23" t="s">
        <v>132</v>
      </c>
      <c r="E36" s="28">
        <v>71831</v>
      </c>
      <c r="F36" s="25">
        <v>702.08</v>
      </c>
      <c r="G36" s="25">
        <v>0.99</v>
      </c>
      <c r="H36" s="70" t="s">
        <v>688</v>
      </c>
      <c r="I36" s="62"/>
      <c r="J36" s="62"/>
      <c r="K36" s="62"/>
      <c r="L36" s="62"/>
    </row>
    <row r="37" spans="2:12">
      <c r="B37" s="27" t="s">
        <v>284</v>
      </c>
      <c r="C37" s="23" t="s">
        <v>285</v>
      </c>
      <c r="D37" s="23" t="s">
        <v>71</v>
      </c>
      <c r="E37" s="28">
        <v>143000</v>
      </c>
      <c r="F37" s="25">
        <v>678.11</v>
      </c>
      <c r="G37" s="25">
        <v>0.95</v>
      </c>
      <c r="H37" s="70" t="s">
        <v>690</v>
      </c>
      <c r="I37" s="62"/>
      <c r="J37" s="62"/>
      <c r="K37" s="62"/>
      <c r="L37" s="62"/>
    </row>
    <row r="38" spans="2:12">
      <c r="B38" s="27" t="s">
        <v>67</v>
      </c>
      <c r="C38" s="23" t="s">
        <v>68</v>
      </c>
      <c r="D38" s="23" t="s">
        <v>36</v>
      </c>
      <c r="E38" s="28">
        <v>140000</v>
      </c>
      <c r="F38" s="25">
        <v>659.33</v>
      </c>
      <c r="G38" s="25">
        <v>0.93</v>
      </c>
      <c r="H38" s="70" t="s">
        <v>690</v>
      </c>
      <c r="I38" s="62"/>
      <c r="J38" s="62"/>
      <c r="K38" s="62"/>
      <c r="L38" s="62"/>
    </row>
    <row r="39" spans="2:12">
      <c r="B39" s="27" t="s">
        <v>195</v>
      </c>
      <c r="C39" s="23" t="s">
        <v>196</v>
      </c>
      <c r="D39" s="23" t="s">
        <v>113</v>
      </c>
      <c r="E39" s="28">
        <v>64430</v>
      </c>
      <c r="F39" s="25">
        <v>611.04999999999995</v>
      </c>
      <c r="G39" s="25">
        <v>0.86</v>
      </c>
      <c r="H39" s="70" t="s">
        <v>688</v>
      </c>
      <c r="I39" s="62"/>
      <c r="J39" s="62"/>
      <c r="K39" s="62"/>
      <c r="L39" s="62"/>
    </row>
    <row r="40" spans="2:12">
      <c r="B40" s="27" t="s">
        <v>278</v>
      </c>
      <c r="C40" s="23" t="s">
        <v>279</v>
      </c>
      <c r="D40" s="23" t="s">
        <v>216</v>
      </c>
      <c r="E40" s="28">
        <v>88547</v>
      </c>
      <c r="F40" s="25">
        <v>520.97</v>
      </c>
      <c r="G40" s="25">
        <v>0.73</v>
      </c>
      <c r="H40" s="70" t="s">
        <v>689</v>
      </c>
      <c r="I40" s="62"/>
      <c r="J40" s="62"/>
      <c r="K40" s="62"/>
      <c r="L40" s="62"/>
    </row>
    <row r="41" spans="2:12">
      <c r="B41" s="27" t="s">
        <v>323</v>
      </c>
      <c r="C41" s="23" t="s">
        <v>324</v>
      </c>
      <c r="D41" s="23" t="s">
        <v>118</v>
      </c>
      <c r="E41" s="28">
        <v>514401</v>
      </c>
      <c r="F41" s="25">
        <v>519.03</v>
      </c>
      <c r="G41" s="25">
        <v>0.73</v>
      </c>
      <c r="H41" s="70" t="s">
        <v>690</v>
      </c>
      <c r="I41" s="62"/>
      <c r="J41" s="62"/>
      <c r="K41" s="62"/>
      <c r="L41" s="62"/>
    </row>
    <row r="42" spans="2:12">
      <c r="B42" s="27" t="s">
        <v>84</v>
      </c>
      <c r="C42" s="23" t="s">
        <v>85</v>
      </c>
      <c r="D42" s="23" t="s">
        <v>86</v>
      </c>
      <c r="E42" s="28">
        <v>347433</v>
      </c>
      <c r="F42" s="25">
        <v>509.34</v>
      </c>
      <c r="G42" s="25">
        <v>0.72</v>
      </c>
      <c r="H42" s="70" t="s">
        <v>688</v>
      </c>
      <c r="I42" s="62"/>
      <c r="J42" s="62"/>
      <c r="K42" s="62"/>
      <c r="L42" s="62"/>
    </row>
    <row r="43" spans="2:12">
      <c r="B43" s="27" t="s">
        <v>369</v>
      </c>
      <c r="C43" s="23" t="s">
        <v>370</v>
      </c>
      <c r="D43" s="23" t="s">
        <v>83</v>
      </c>
      <c r="E43" s="28">
        <v>200000</v>
      </c>
      <c r="F43" s="25">
        <v>482.3</v>
      </c>
      <c r="G43" s="25">
        <v>0.68</v>
      </c>
      <c r="H43" s="70" t="s">
        <v>689</v>
      </c>
      <c r="I43" s="62"/>
      <c r="J43" s="62"/>
      <c r="K43" s="62"/>
      <c r="L43" s="62"/>
    </row>
    <row r="44" spans="2:12">
      <c r="B44" s="27" t="s">
        <v>371</v>
      </c>
      <c r="C44" s="23" t="s">
        <v>372</v>
      </c>
      <c r="D44" s="23" t="s">
        <v>97</v>
      </c>
      <c r="E44" s="28">
        <v>105000</v>
      </c>
      <c r="F44" s="25">
        <v>464.57</v>
      </c>
      <c r="G44" s="25">
        <v>0.65</v>
      </c>
      <c r="H44" s="70" t="s">
        <v>690</v>
      </c>
      <c r="I44" s="62"/>
      <c r="J44" s="62"/>
      <c r="K44" s="62"/>
      <c r="L44" s="62"/>
    </row>
    <row r="45" spans="2:12">
      <c r="B45" s="27" t="s">
        <v>301</v>
      </c>
      <c r="C45" s="23" t="s">
        <v>302</v>
      </c>
      <c r="D45" s="23" t="s">
        <v>147</v>
      </c>
      <c r="E45" s="28">
        <v>34167</v>
      </c>
      <c r="F45" s="25">
        <v>150.35</v>
      </c>
      <c r="G45" s="25">
        <v>0.21</v>
      </c>
      <c r="H45" s="70" t="s">
        <v>690</v>
      </c>
      <c r="I45" s="62"/>
      <c r="J45" s="62"/>
      <c r="K45" s="62"/>
      <c r="L45" s="62"/>
    </row>
    <row r="46" spans="2:12">
      <c r="B46" s="27" t="s">
        <v>373</v>
      </c>
      <c r="C46" s="23" t="s">
        <v>374</v>
      </c>
      <c r="D46" s="23" t="s">
        <v>97</v>
      </c>
      <c r="E46" s="28">
        <v>5000</v>
      </c>
      <c r="F46" s="25">
        <v>78.650000000000006</v>
      </c>
      <c r="G46" s="25">
        <v>0.11</v>
      </c>
      <c r="H46" s="70" t="s">
        <v>688</v>
      </c>
      <c r="I46" s="62"/>
      <c r="J46" s="62"/>
      <c r="K46" s="62"/>
      <c r="L46" s="62"/>
    </row>
    <row r="47" spans="2:12" ht="12.75" thickBot="1">
      <c r="B47" s="27" t="s">
        <v>209</v>
      </c>
      <c r="C47" s="23" t="s">
        <v>210</v>
      </c>
      <c r="D47" s="23" t="s">
        <v>124</v>
      </c>
      <c r="E47" s="28">
        <v>10357</v>
      </c>
      <c r="F47" s="25">
        <v>30.38</v>
      </c>
      <c r="G47" s="25">
        <v>0.04</v>
      </c>
      <c r="H47" s="71" t="s">
        <v>688</v>
      </c>
      <c r="I47" s="62"/>
      <c r="J47" s="62"/>
      <c r="K47" s="62"/>
      <c r="L47" s="62"/>
    </row>
    <row r="48" spans="2:12">
      <c r="B48" s="29" t="s">
        <v>104</v>
      </c>
      <c r="C48" s="30"/>
      <c r="D48" s="30"/>
      <c r="E48" s="31"/>
      <c r="F48" s="32">
        <f>SUM(F7:F47)</f>
        <v>67039.420000000013</v>
      </c>
      <c r="G48" s="32">
        <f>SUM(G7:G47)</f>
        <v>94.24</v>
      </c>
      <c r="H48" s="14"/>
      <c r="I48" s="62"/>
      <c r="J48" s="62"/>
      <c r="K48" s="62"/>
      <c r="L48" s="62"/>
    </row>
    <row r="49" spans="2:12">
      <c r="B49" s="37" t="s">
        <v>105</v>
      </c>
      <c r="C49" s="37"/>
      <c r="D49" s="37"/>
      <c r="E49" s="38"/>
      <c r="F49" s="39">
        <f>F48</f>
        <v>67039.420000000013</v>
      </c>
      <c r="G49" s="39">
        <f>G48</f>
        <v>94.24</v>
      </c>
      <c r="H49" s="14"/>
      <c r="I49" s="62"/>
      <c r="J49" s="62"/>
      <c r="K49" s="62"/>
      <c r="L49" s="62"/>
    </row>
    <row r="50" spans="2:12">
      <c r="B50" s="40" t="s">
        <v>106</v>
      </c>
      <c r="C50" s="41"/>
      <c r="D50" s="41"/>
      <c r="E50" s="42"/>
      <c r="F50" s="43"/>
      <c r="G50" s="43"/>
      <c r="I50" s="62"/>
      <c r="J50" s="62"/>
      <c r="K50" s="62"/>
      <c r="L50" s="62"/>
    </row>
    <row r="51" spans="2:12">
      <c r="B51" s="27" t="s">
        <v>106</v>
      </c>
      <c r="C51" s="27"/>
      <c r="D51" s="23"/>
      <c r="E51" s="24"/>
      <c r="F51" s="25">
        <v>4230.74</v>
      </c>
      <c r="G51" s="25">
        <v>5.95</v>
      </c>
      <c r="I51" s="62"/>
      <c r="J51" s="62"/>
      <c r="K51" s="62"/>
      <c r="L51" s="62"/>
    </row>
    <row r="52" spans="2:12">
      <c r="B52" s="29" t="s">
        <v>104</v>
      </c>
      <c r="C52" s="30"/>
      <c r="D52" s="30"/>
      <c r="E52" s="31"/>
      <c r="F52" s="32">
        <f>SUM(F50:F51)</f>
        <v>4230.74</v>
      </c>
      <c r="G52" s="32">
        <f>SUM(G50:G51)</f>
        <v>5.95</v>
      </c>
      <c r="H52" s="14"/>
      <c r="I52" s="62"/>
      <c r="J52" s="62"/>
      <c r="K52" s="62"/>
      <c r="L52" s="62"/>
    </row>
    <row r="53" spans="2:12">
      <c r="B53" s="34" t="s">
        <v>105</v>
      </c>
      <c r="C53" s="34"/>
      <c r="D53" s="34"/>
      <c r="E53" s="35"/>
      <c r="F53" s="36">
        <f>F52</f>
        <v>4230.74</v>
      </c>
      <c r="G53" s="36">
        <f>G52</f>
        <v>5.95</v>
      </c>
      <c r="H53" s="14"/>
      <c r="I53" s="62"/>
      <c r="J53" s="62"/>
      <c r="K53" s="62"/>
      <c r="L53" s="62"/>
    </row>
    <row r="54" spans="2:12">
      <c r="B54" s="44" t="s">
        <v>108</v>
      </c>
      <c r="C54" s="44"/>
      <c r="D54" s="44"/>
      <c r="E54" s="45"/>
      <c r="F54" s="16">
        <f>F55-(+F49+F53)</f>
        <v>-141.63000000001921</v>
      </c>
      <c r="G54" s="16">
        <f>G55-(+G49+G53)</f>
        <v>-0.18999999999999773</v>
      </c>
      <c r="H54" s="14"/>
      <c r="I54" s="62"/>
      <c r="J54" s="62"/>
      <c r="K54" s="62"/>
      <c r="L54" s="62"/>
    </row>
    <row r="55" spans="2:12">
      <c r="B55" s="44" t="s">
        <v>107</v>
      </c>
      <c r="C55" s="44"/>
      <c r="D55" s="44"/>
      <c r="E55" s="45"/>
      <c r="F55" s="16">
        <v>71128.53</v>
      </c>
      <c r="G55" s="16">
        <v>100</v>
      </c>
      <c r="H55" s="14"/>
      <c r="I55" s="62"/>
      <c r="J55" s="62"/>
      <c r="K55" s="62"/>
      <c r="L55" s="62"/>
    </row>
    <row r="57" spans="2:12">
      <c r="B57" s="1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4"/>
  <sheetViews>
    <sheetView workbookViewId="0">
      <selection activeCell="C57" sqref="C57"/>
    </sheetView>
  </sheetViews>
  <sheetFormatPr defaultRowHeight="12"/>
  <cols>
    <col min="1" max="1" width="9.140625" style="1"/>
    <col min="2" max="2" width="60.28515625" style="1" bestFit="1" customWidth="1"/>
    <col min="3" max="3" width="13.7109375" style="1" bestFit="1" customWidth="1"/>
    <col min="4" max="4" width="40.425781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15.140625" style="13" customWidth="1"/>
    <col min="10" max="10" width="9.140625" style="1"/>
    <col min="11" max="11" width="29.5703125" style="1" customWidth="1"/>
    <col min="12" max="12" width="25.5703125" style="1" customWidth="1"/>
    <col min="13" max="13" width="26.42578125" style="1" customWidth="1"/>
    <col min="14" max="14" width="4.7109375" style="1" bestFit="1" customWidth="1"/>
    <col min="15" max="16384" width="9.140625" style="1"/>
  </cols>
  <sheetData>
    <row r="1" spans="2:14" ht="21" customHeight="1">
      <c r="B1" s="77" t="s">
        <v>17</v>
      </c>
      <c r="C1" s="78"/>
      <c r="D1" s="78"/>
      <c r="E1" s="78"/>
      <c r="F1" s="78"/>
      <c r="G1" s="78"/>
      <c r="H1" s="78"/>
      <c r="I1" s="65"/>
    </row>
    <row r="3" spans="2:14" ht="16.5" thickBot="1">
      <c r="B3" s="2" t="s">
        <v>7</v>
      </c>
      <c r="C3" s="3"/>
      <c r="D3" s="4"/>
      <c r="E3" s="5"/>
      <c r="F3" s="6"/>
      <c r="G3" s="6"/>
    </row>
    <row r="4" spans="2:14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I4" s="66" t="s">
        <v>687</v>
      </c>
      <c r="K4" s="73" t="s">
        <v>692</v>
      </c>
      <c r="L4" s="73" t="s">
        <v>693</v>
      </c>
      <c r="M4" s="73" t="s">
        <v>694</v>
      </c>
    </row>
    <row r="5" spans="2:14">
      <c r="B5" s="17" t="s">
        <v>29</v>
      </c>
      <c r="C5" s="18"/>
      <c r="D5" s="18"/>
      <c r="E5" s="19"/>
      <c r="F5" s="20"/>
      <c r="G5" s="20"/>
      <c r="H5" s="21"/>
      <c r="I5" s="72"/>
      <c r="K5" s="79"/>
      <c r="L5" s="79"/>
      <c r="M5" s="79"/>
    </row>
    <row r="6" spans="2:14">
      <c r="B6" s="22" t="s">
        <v>30</v>
      </c>
      <c r="C6" s="23"/>
      <c r="D6" s="23"/>
      <c r="E6" s="24"/>
      <c r="F6" s="25"/>
      <c r="G6" s="25"/>
      <c r="H6" s="26"/>
      <c r="I6" s="72"/>
      <c r="K6" s="79"/>
      <c r="L6" s="79"/>
      <c r="M6" s="79"/>
    </row>
    <row r="7" spans="2:14">
      <c r="B7" s="27" t="s">
        <v>43</v>
      </c>
      <c r="C7" s="23" t="s">
        <v>44</v>
      </c>
      <c r="D7" s="23" t="s">
        <v>45</v>
      </c>
      <c r="E7" s="28">
        <v>6400000</v>
      </c>
      <c r="F7" s="25">
        <v>52390.400000000001</v>
      </c>
      <c r="G7" s="25">
        <v>6.52</v>
      </c>
      <c r="H7" s="26"/>
      <c r="I7" s="70" t="s">
        <v>688</v>
      </c>
      <c r="K7" s="79"/>
      <c r="L7" s="79"/>
      <c r="M7" s="79"/>
      <c r="N7" s="62"/>
    </row>
    <row r="8" spans="2:14">
      <c r="B8" s="27" t="s">
        <v>109</v>
      </c>
      <c r="C8" s="23" t="s">
        <v>110</v>
      </c>
      <c r="D8" s="23" t="s">
        <v>45</v>
      </c>
      <c r="E8" s="28">
        <v>2950000</v>
      </c>
      <c r="F8" s="25">
        <v>42308.9</v>
      </c>
      <c r="G8" s="25">
        <v>5.27</v>
      </c>
      <c r="H8" s="26"/>
      <c r="I8" s="70" t="s">
        <v>688</v>
      </c>
      <c r="K8" s="79"/>
      <c r="L8" s="79"/>
      <c r="M8" s="79"/>
      <c r="N8" s="62"/>
    </row>
    <row r="9" spans="2:14">
      <c r="B9" s="27" t="s">
        <v>111</v>
      </c>
      <c r="C9" s="23" t="s">
        <v>112</v>
      </c>
      <c r="D9" s="23" t="s">
        <v>113</v>
      </c>
      <c r="E9" s="28">
        <v>2350000</v>
      </c>
      <c r="F9" s="25">
        <v>36417.949999999997</v>
      </c>
      <c r="G9" s="25">
        <v>4.53</v>
      </c>
      <c r="H9" s="26"/>
      <c r="I9" s="70" t="s">
        <v>688</v>
      </c>
      <c r="K9" s="79"/>
      <c r="L9" s="79"/>
      <c r="M9" s="79"/>
      <c r="N9" s="62"/>
    </row>
    <row r="10" spans="2:14">
      <c r="B10" s="27" t="s">
        <v>53</v>
      </c>
      <c r="C10" s="23" t="s">
        <v>54</v>
      </c>
      <c r="D10" s="23" t="s">
        <v>45</v>
      </c>
      <c r="E10" s="28">
        <v>6000000</v>
      </c>
      <c r="F10" s="25">
        <v>31701</v>
      </c>
      <c r="G10" s="25">
        <v>3.95</v>
      </c>
      <c r="H10" s="26"/>
      <c r="I10" s="70" t="s">
        <v>688</v>
      </c>
      <c r="K10" s="79"/>
      <c r="L10" s="79"/>
      <c r="M10" s="79"/>
      <c r="N10" s="62"/>
    </row>
    <row r="11" spans="2:14">
      <c r="B11" s="27" t="s">
        <v>81</v>
      </c>
      <c r="C11" s="23" t="s">
        <v>82</v>
      </c>
      <c r="D11" s="23" t="s">
        <v>83</v>
      </c>
      <c r="E11" s="28">
        <v>1130000</v>
      </c>
      <c r="F11" s="25">
        <v>28356.79</v>
      </c>
      <c r="G11" s="25">
        <v>3.53</v>
      </c>
      <c r="H11" s="26"/>
      <c r="I11" s="70" t="s">
        <v>688</v>
      </c>
      <c r="K11" s="79"/>
      <c r="L11" s="79"/>
      <c r="M11" s="79"/>
      <c r="N11" s="62"/>
    </row>
    <row r="12" spans="2:14">
      <c r="B12" s="27" t="s">
        <v>114</v>
      </c>
      <c r="C12" s="23" t="s">
        <v>115</v>
      </c>
      <c r="D12" s="23" t="s">
        <v>45</v>
      </c>
      <c r="E12" s="28">
        <v>3050000</v>
      </c>
      <c r="F12" s="25">
        <v>22104.880000000001</v>
      </c>
      <c r="G12" s="25">
        <v>2.75</v>
      </c>
      <c r="H12" s="26"/>
      <c r="I12" s="70" t="s">
        <v>688</v>
      </c>
      <c r="K12" s="79"/>
      <c r="L12" s="79"/>
      <c r="M12" s="79"/>
      <c r="N12" s="62"/>
    </row>
    <row r="13" spans="2:14">
      <c r="B13" s="27" t="s">
        <v>116</v>
      </c>
      <c r="C13" s="23" t="s">
        <v>117</v>
      </c>
      <c r="D13" s="23" t="s">
        <v>118</v>
      </c>
      <c r="E13" s="28">
        <v>215000</v>
      </c>
      <c r="F13" s="25">
        <v>15499.57</v>
      </c>
      <c r="G13" s="25">
        <v>1.93</v>
      </c>
      <c r="H13" s="26"/>
      <c r="I13" s="70" t="s">
        <v>688</v>
      </c>
      <c r="K13" s="62"/>
      <c r="L13" s="62" t="s">
        <v>700</v>
      </c>
      <c r="M13" s="62"/>
      <c r="N13" s="62"/>
    </row>
    <row r="14" spans="2:14">
      <c r="B14" s="27" t="s">
        <v>181</v>
      </c>
      <c r="C14" s="23" t="s">
        <v>182</v>
      </c>
      <c r="D14" s="23" t="s">
        <v>118</v>
      </c>
      <c r="E14" s="28">
        <v>650000</v>
      </c>
      <c r="F14" s="25">
        <v>15455.7</v>
      </c>
      <c r="G14" s="25">
        <v>1.92</v>
      </c>
      <c r="H14" s="26"/>
      <c r="I14" s="70" t="s">
        <v>688</v>
      </c>
      <c r="K14" s="62"/>
      <c r="L14" s="62"/>
      <c r="M14" s="62"/>
      <c r="N14" s="62"/>
    </row>
    <row r="15" spans="2:14">
      <c r="B15" s="27" t="s">
        <v>128</v>
      </c>
      <c r="C15" s="23" t="s">
        <v>129</v>
      </c>
      <c r="D15" s="23" t="s">
        <v>113</v>
      </c>
      <c r="E15" s="28">
        <v>450000</v>
      </c>
      <c r="F15" s="25">
        <v>14858.55</v>
      </c>
      <c r="G15" s="25">
        <v>1.85</v>
      </c>
      <c r="H15" s="26"/>
      <c r="I15" s="70" t="s">
        <v>688</v>
      </c>
      <c r="K15" s="62"/>
      <c r="L15" s="62"/>
      <c r="M15" s="62"/>
      <c r="N15" s="62"/>
    </row>
    <row r="16" spans="2:14">
      <c r="B16" s="27" t="s">
        <v>122</v>
      </c>
      <c r="C16" s="23" t="s">
        <v>123</v>
      </c>
      <c r="D16" s="23" t="s">
        <v>124</v>
      </c>
      <c r="E16" s="28">
        <v>2150000</v>
      </c>
      <c r="F16" s="25">
        <v>14575.93</v>
      </c>
      <c r="G16" s="25">
        <v>1.81</v>
      </c>
      <c r="H16" s="26"/>
      <c r="I16" s="70" t="s">
        <v>688</v>
      </c>
      <c r="K16" s="62"/>
      <c r="L16" s="62"/>
      <c r="M16" s="62"/>
      <c r="N16" s="62"/>
    </row>
    <row r="17" spans="2:14">
      <c r="B17" s="27" t="s">
        <v>125</v>
      </c>
      <c r="C17" s="23" t="s">
        <v>126</v>
      </c>
      <c r="D17" s="23" t="s">
        <v>127</v>
      </c>
      <c r="E17" s="28">
        <v>160000</v>
      </c>
      <c r="F17" s="25">
        <v>14037.68</v>
      </c>
      <c r="G17" s="25">
        <v>1.75</v>
      </c>
      <c r="H17" s="26"/>
      <c r="I17" s="70" t="s">
        <v>688</v>
      </c>
      <c r="K17" s="62"/>
      <c r="L17" s="62"/>
      <c r="M17" s="62"/>
      <c r="N17" s="62"/>
    </row>
    <row r="18" spans="2:14">
      <c r="B18" s="27" t="s">
        <v>51</v>
      </c>
      <c r="C18" s="23" t="s">
        <v>52</v>
      </c>
      <c r="D18" s="23" t="s">
        <v>42</v>
      </c>
      <c r="E18" s="28">
        <v>500000</v>
      </c>
      <c r="F18" s="25">
        <v>13680.75</v>
      </c>
      <c r="G18" s="25">
        <v>1.7</v>
      </c>
      <c r="H18" s="26"/>
      <c r="I18" s="70" t="s">
        <v>689</v>
      </c>
      <c r="K18" s="62"/>
      <c r="L18" s="62"/>
      <c r="M18" s="62"/>
      <c r="N18" s="62"/>
    </row>
    <row r="19" spans="2:14">
      <c r="B19" s="27" t="s">
        <v>34</v>
      </c>
      <c r="C19" s="23" t="s">
        <v>35</v>
      </c>
      <c r="D19" s="23" t="s">
        <v>36</v>
      </c>
      <c r="E19" s="28">
        <v>750000</v>
      </c>
      <c r="F19" s="25">
        <v>13560.38</v>
      </c>
      <c r="G19" s="25">
        <v>1.69</v>
      </c>
      <c r="H19" s="26"/>
      <c r="I19" s="70" t="s">
        <v>688</v>
      </c>
      <c r="K19" s="62"/>
      <c r="L19" s="62"/>
      <c r="M19" s="62"/>
      <c r="N19" s="62"/>
    </row>
    <row r="20" spans="2:14">
      <c r="B20" s="27" t="s">
        <v>119</v>
      </c>
      <c r="C20" s="23" t="s">
        <v>120</v>
      </c>
      <c r="D20" s="23" t="s">
        <v>121</v>
      </c>
      <c r="E20" s="28">
        <v>500000</v>
      </c>
      <c r="F20" s="25">
        <v>13187</v>
      </c>
      <c r="G20" s="25">
        <v>1.64</v>
      </c>
      <c r="H20" s="26"/>
      <c r="I20" s="70" t="s">
        <v>688</v>
      </c>
      <c r="K20" s="62"/>
      <c r="L20" s="62"/>
      <c r="M20" s="62"/>
      <c r="N20" s="62"/>
    </row>
    <row r="21" spans="2:14">
      <c r="B21" s="27" t="s">
        <v>254</v>
      </c>
      <c r="C21" s="23" t="s">
        <v>255</v>
      </c>
      <c r="D21" s="23" t="s">
        <v>121</v>
      </c>
      <c r="E21" s="28">
        <v>3850000</v>
      </c>
      <c r="F21" s="25">
        <v>11667.43</v>
      </c>
      <c r="G21" s="25">
        <v>1.45</v>
      </c>
      <c r="H21" s="26"/>
      <c r="I21" s="70" t="s">
        <v>688</v>
      </c>
      <c r="K21" s="62"/>
      <c r="L21" s="62"/>
      <c r="M21" s="62"/>
      <c r="N21" s="62"/>
    </row>
    <row r="22" spans="2:14">
      <c r="B22" s="27" t="s">
        <v>130</v>
      </c>
      <c r="C22" s="23" t="s">
        <v>131</v>
      </c>
      <c r="D22" s="23" t="s">
        <v>132</v>
      </c>
      <c r="E22" s="28">
        <v>1200000</v>
      </c>
      <c r="F22" s="25">
        <v>11318.4</v>
      </c>
      <c r="G22" s="25">
        <v>1.41</v>
      </c>
      <c r="H22" s="26"/>
      <c r="I22" s="70" t="s">
        <v>688</v>
      </c>
      <c r="K22" s="62"/>
      <c r="L22" s="62"/>
      <c r="M22" s="62"/>
      <c r="N22" s="62"/>
    </row>
    <row r="23" spans="2:14">
      <c r="B23" s="27" t="s">
        <v>173</v>
      </c>
      <c r="C23" s="23" t="s">
        <v>174</v>
      </c>
      <c r="D23" s="23" t="s">
        <v>113</v>
      </c>
      <c r="E23" s="28">
        <v>415000</v>
      </c>
      <c r="F23" s="25">
        <v>9544.17</v>
      </c>
      <c r="G23" s="25">
        <v>1.19</v>
      </c>
      <c r="H23" s="26"/>
      <c r="I23" s="70" t="s">
        <v>688</v>
      </c>
      <c r="K23" s="62"/>
      <c r="L23" s="62"/>
      <c r="M23" s="62"/>
      <c r="N23" s="62"/>
    </row>
    <row r="24" spans="2:14">
      <c r="B24" s="27" t="s">
        <v>169</v>
      </c>
      <c r="C24" s="23" t="s">
        <v>170</v>
      </c>
      <c r="D24" s="23" t="s">
        <v>66</v>
      </c>
      <c r="E24" s="28">
        <v>1000000</v>
      </c>
      <c r="F24" s="25">
        <v>9101.5</v>
      </c>
      <c r="G24" s="25">
        <v>1.1299999999999999</v>
      </c>
      <c r="H24" s="26"/>
      <c r="I24" s="70" t="s">
        <v>689</v>
      </c>
      <c r="K24" s="62"/>
      <c r="L24" s="62"/>
      <c r="M24" s="62"/>
      <c r="N24" s="62"/>
    </row>
    <row r="25" spans="2:14">
      <c r="B25" s="27" t="s">
        <v>226</v>
      </c>
      <c r="C25" s="23" t="s">
        <v>227</v>
      </c>
      <c r="D25" s="23" t="s">
        <v>156</v>
      </c>
      <c r="E25" s="28">
        <v>700000</v>
      </c>
      <c r="F25" s="25">
        <v>9060.7999999999993</v>
      </c>
      <c r="G25" s="25">
        <v>1.1299999999999999</v>
      </c>
      <c r="H25" s="26"/>
      <c r="I25" s="70" t="s">
        <v>688</v>
      </c>
      <c r="K25" s="62"/>
      <c r="L25" s="62"/>
      <c r="M25" s="62"/>
      <c r="N25" s="62"/>
    </row>
    <row r="26" spans="2:14">
      <c r="B26" s="27" t="s">
        <v>189</v>
      </c>
      <c r="C26" s="23" t="s">
        <v>190</v>
      </c>
      <c r="D26" s="23" t="s">
        <v>147</v>
      </c>
      <c r="E26" s="28">
        <v>900000</v>
      </c>
      <c r="F26" s="25">
        <v>9042.75</v>
      </c>
      <c r="G26" s="25">
        <v>1.1299999999999999</v>
      </c>
      <c r="H26" s="26"/>
      <c r="I26" s="70" t="s">
        <v>689</v>
      </c>
      <c r="K26" s="62"/>
      <c r="L26" s="62"/>
      <c r="M26" s="62"/>
      <c r="N26" s="62"/>
    </row>
    <row r="27" spans="2:14">
      <c r="B27" s="27" t="s">
        <v>141</v>
      </c>
      <c r="C27" s="23" t="s">
        <v>142</v>
      </c>
      <c r="D27" s="23" t="s">
        <v>127</v>
      </c>
      <c r="E27" s="28">
        <v>2000000</v>
      </c>
      <c r="F27" s="25">
        <v>8992</v>
      </c>
      <c r="G27" s="25">
        <v>1.1200000000000001</v>
      </c>
      <c r="H27" s="26"/>
      <c r="I27" s="70" t="s">
        <v>688</v>
      </c>
      <c r="K27" s="62"/>
      <c r="L27" s="62"/>
      <c r="M27" s="62"/>
      <c r="N27" s="62"/>
    </row>
    <row r="28" spans="2:14">
      <c r="B28" s="27" t="s">
        <v>171</v>
      </c>
      <c r="C28" s="23" t="s">
        <v>172</v>
      </c>
      <c r="D28" s="23" t="s">
        <v>48</v>
      </c>
      <c r="E28" s="28">
        <v>1175000</v>
      </c>
      <c r="F28" s="25">
        <v>8612.75</v>
      </c>
      <c r="G28" s="25">
        <v>1.07</v>
      </c>
      <c r="H28" s="26"/>
      <c r="I28" s="70" t="s">
        <v>689</v>
      </c>
      <c r="K28" s="62"/>
      <c r="L28" s="62"/>
      <c r="M28" s="62"/>
      <c r="N28" s="62"/>
    </row>
    <row r="29" spans="2:14">
      <c r="B29" s="27" t="s">
        <v>211</v>
      </c>
      <c r="C29" s="23" t="s">
        <v>212</v>
      </c>
      <c r="D29" s="23" t="s">
        <v>213</v>
      </c>
      <c r="E29" s="28">
        <v>1100000</v>
      </c>
      <c r="F29" s="25">
        <v>8569</v>
      </c>
      <c r="G29" s="25">
        <v>1.07</v>
      </c>
      <c r="H29" s="26"/>
      <c r="I29" s="70" t="s">
        <v>688</v>
      </c>
      <c r="K29" s="62"/>
      <c r="L29" s="62"/>
      <c r="M29" s="62"/>
      <c r="N29" s="62"/>
    </row>
    <row r="30" spans="2:14">
      <c r="B30" s="27" t="s">
        <v>102</v>
      </c>
      <c r="C30" s="23" t="s">
        <v>103</v>
      </c>
      <c r="D30" s="23" t="s">
        <v>97</v>
      </c>
      <c r="E30" s="28">
        <v>130000</v>
      </c>
      <c r="F30" s="25">
        <v>8508.24</v>
      </c>
      <c r="G30" s="25">
        <v>1.06</v>
      </c>
      <c r="H30" s="26"/>
      <c r="I30" s="70" t="s">
        <v>688</v>
      </c>
      <c r="K30" s="62"/>
      <c r="L30" s="62"/>
      <c r="M30" s="62"/>
      <c r="N30" s="62"/>
    </row>
    <row r="31" spans="2:14">
      <c r="B31" s="27" t="s">
        <v>148</v>
      </c>
      <c r="C31" s="23" t="s">
        <v>149</v>
      </c>
      <c r="D31" s="23" t="s">
        <v>150</v>
      </c>
      <c r="E31" s="28">
        <v>2250000</v>
      </c>
      <c r="F31" s="25">
        <v>8317.1299999999992</v>
      </c>
      <c r="G31" s="25">
        <v>1.04</v>
      </c>
      <c r="H31" s="26"/>
      <c r="I31" s="70" t="s">
        <v>689</v>
      </c>
      <c r="K31" s="62"/>
      <c r="L31" s="62"/>
      <c r="M31" s="62"/>
      <c r="N31" s="62"/>
    </row>
    <row r="32" spans="2:14">
      <c r="B32" s="27" t="s">
        <v>57</v>
      </c>
      <c r="C32" s="23" t="s">
        <v>58</v>
      </c>
      <c r="D32" s="23" t="s">
        <v>59</v>
      </c>
      <c r="E32" s="28">
        <v>5350000</v>
      </c>
      <c r="F32" s="25">
        <v>8182.83</v>
      </c>
      <c r="G32" s="25">
        <v>1.02</v>
      </c>
      <c r="H32" s="26"/>
      <c r="I32" s="70" t="s">
        <v>688</v>
      </c>
      <c r="K32" s="62"/>
      <c r="L32" s="62"/>
      <c r="M32" s="62"/>
      <c r="N32" s="62"/>
    </row>
    <row r="33" spans="2:14">
      <c r="B33" s="27" t="s">
        <v>143</v>
      </c>
      <c r="C33" s="23" t="s">
        <v>144</v>
      </c>
      <c r="D33" s="23" t="s">
        <v>39</v>
      </c>
      <c r="E33" s="28">
        <v>1600000</v>
      </c>
      <c r="F33" s="25">
        <v>8140.8</v>
      </c>
      <c r="G33" s="25">
        <v>1.01</v>
      </c>
      <c r="H33" s="26"/>
      <c r="I33" s="70" t="s">
        <v>689</v>
      </c>
      <c r="K33" s="62"/>
      <c r="L33" s="62"/>
      <c r="M33" s="62"/>
      <c r="N33" s="62"/>
    </row>
    <row r="34" spans="2:14">
      <c r="B34" s="27" t="s">
        <v>95</v>
      </c>
      <c r="C34" s="23" t="s">
        <v>96</v>
      </c>
      <c r="D34" s="23" t="s">
        <v>97</v>
      </c>
      <c r="E34" s="28">
        <v>320000</v>
      </c>
      <c r="F34" s="25">
        <v>8013.28</v>
      </c>
      <c r="G34" s="25">
        <v>1</v>
      </c>
      <c r="H34" s="26"/>
      <c r="I34" s="70" t="s">
        <v>689</v>
      </c>
      <c r="K34" s="62"/>
      <c r="L34" s="62"/>
      <c r="M34" s="62"/>
      <c r="N34" s="62"/>
    </row>
    <row r="35" spans="2:14">
      <c r="B35" s="27" t="s">
        <v>159</v>
      </c>
      <c r="C35" s="23" t="s">
        <v>160</v>
      </c>
      <c r="D35" s="23" t="s">
        <v>140</v>
      </c>
      <c r="E35" s="28">
        <v>365000</v>
      </c>
      <c r="F35" s="25">
        <v>7967.22</v>
      </c>
      <c r="G35" s="25">
        <v>0.99</v>
      </c>
      <c r="H35" s="26"/>
      <c r="I35" s="70" t="s">
        <v>689</v>
      </c>
      <c r="K35" s="62"/>
      <c r="L35" s="62"/>
      <c r="M35" s="62"/>
      <c r="N35" s="62"/>
    </row>
    <row r="36" spans="2:14">
      <c r="B36" s="27" t="s">
        <v>151</v>
      </c>
      <c r="C36" s="23" t="s">
        <v>152</v>
      </c>
      <c r="D36" s="23" t="s">
        <v>153</v>
      </c>
      <c r="E36" s="28">
        <v>3000000</v>
      </c>
      <c r="F36" s="25">
        <v>7885.5</v>
      </c>
      <c r="G36" s="25">
        <v>0.98</v>
      </c>
      <c r="H36" s="26"/>
      <c r="I36" s="70" t="s">
        <v>689</v>
      </c>
      <c r="K36" s="62"/>
      <c r="L36" s="62"/>
      <c r="M36" s="62"/>
      <c r="N36" s="62"/>
    </row>
    <row r="37" spans="2:14">
      <c r="B37" s="27" t="s">
        <v>31</v>
      </c>
      <c r="C37" s="23" t="s">
        <v>32</v>
      </c>
      <c r="D37" s="23" t="s">
        <v>33</v>
      </c>
      <c r="E37" s="28">
        <v>2700000</v>
      </c>
      <c r="F37" s="25">
        <v>7430.4</v>
      </c>
      <c r="G37" s="25">
        <v>0.92</v>
      </c>
      <c r="H37" s="26"/>
      <c r="I37" s="70" t="s">
        <v>688</v>
      </c>
      <c r="K37" s="62"/>
      <c r="L37" s="62"/>
      <c r="M37" s="62"/>
      <c r="N37" s="62"/>
    </row>
    <row r="38" spans="2:14">
      <c r="B38" s="27" t="s">
        <v>161</v>
      </c>
      <c r="C38" s="23" t="s">
        <v>162</v>
      </c>
      <c r="D38" s="23" t="s">
        <v>163</v>
      </c>
      <c r="E38" s="28">
        <v>240000</v>
      </c>
      <c r="F38" s="25">
        <v>7415.76</v>
      </c>
      <c r="G38" s="25">
        <v>0.92</v>
      </c>
      <c r="H38" s="26"/>
      <c r="I38" s="70" t="s">
        <v>689</v>
      </c>
      <c r="K38" s="62"/>
      <c r="L38" s="62"/>
      <c r="M38" s="62"/>
      <c r="N38" s="62"/>
    </row>
    <row r="39" spans="2:14">
      <c r="B39" s="27" t="s">
        <v>199</v>
      </c>
      <c r="C39" s="23" t="s">
        <v>200</v>
      </c>
      <c r="D39" s="23" t="s">
        <v>48</v>
      </c>
      <c r="E39" s="28">
        <v>540000</v>
      </c>
      <c r="F39" s="25">
        <v>6685.2</v>
      </c>
      <c r="G39" s="25">
        <v>0.83</v>
      </c>
      <c r="H39" s="26"/>
      <c r="I39" s="70" t="s">
        <v>690</v>
      </c>
      <c r="K39" s="62"/>
      <c r="L39" s="62"/>
      <c r="M39" s="62"/>
      <c r="N39" s="62"/>
    </row>
    <row r="40" spans="2:14">
      <c r="B40" s="27" t="s">
        <v>157</v>
      </c>
      <c r="C40" s="23" t="s">
        <v>158</v>
      </c>
      <c r="D40" s="23" t="s">
        <v>118</v>
      </c>
      <c r="E40" s="28">
        <v>950000</v>
      </c>
      <c r="F40" s="25">
        <v>6656.65</v>
      </c>
      <c r="G40" s="25">
        <v>0.83</v>
      </c>
      <c r="H40" s="26"/>
      <c r="I40" s="70" t="s">
        <v>688</v>
      </c>
      <c r="K40" s="62"/>
      <c r="L40" s="62"/>
      <c r="M40" s="62"/>
      <c r="N40" s="62"/>
    </row>
    <row r="41" spans="2:14">
      <c r="B41" s="27" t="s">
        <v>175</v>
      </c>
      <c r="C41" s="23" t="s">
        <v>176</v>
      </c>
      <c r="D41" s="23" t="s">
        <v>132</v>
      </c>
      <c r="E41" s="28">
        <v>32425</v>
      </c>
      <c r="F41" s="25">
        <v>6489.9</v>
      </c>
      <c r="G41" s="25">
        <v>0.81</v>
      </c>
      <c r="H41" s="26"/>
      <c r="I41" s="70" t="s">
        <v>689</v>
      </c>
      <c r="K41" s="62"/>
      <c r="L41" s="62"/>
      <c r="M41" s="62"/>
      <c r="N41" s="62"/>
    </row>
    <row r="42" spans="2:14">
      <c r="B42" s="27" t="s">
        <v>167</v>
      </c>
      <c r="C42" s="23" t="s">
        <v>168</v>
      </c>
      <c r="D42" s="23" t="s">
        <v>140</v>
      </c>
      <c r="E42" s="28">
        <v>71709</v>
      </c>
      <c r="F42" s="25">
        <v>6372.74</v>
      </c>
      <c r="G42" s="25">
        <v>0.79</v>
      </c>
      <c r="H42" s="26"/>
      <c r="I42" s="70" t="s">
        <v>689</v>
      </c>
      <c r="K42" s="62"/>
      <c r="L42" s="62"/>
      <c r="M42" s="62"/>
      <c r="N42" s="62"/>
    </row>
    <row r="43" spans="2:14">
      <c r="B43" s="27" t="s">
        <v>138</v>
      </c>
      <c r="C43" s="23" t="s">
        <v>139</v>
      </c>
      <c r="D43" s="23" t="s">
        <v>140</v>
      </c>
      <c r="E43" s="28">
        <v>143000</v>
      </c>
      <c r="F43" s="25">
        <v>6268.19</v>
      </c>
      <c r="G43" s="25">
        <v>0.78</v>
      </c>
      <c r="H43" s="26"/>
      <c r="I43" s="70" t="s">
        <v>689</v>
      </c>
      <c r="K43" s="62"/>
      <c r="L43" s="62"/>
      <c r="M43" s="62"/>
      <c r="N43" s="62"/>
    </row>
    <row r="44" spans="2:14">
      <c r="B44" s="27" t="s">
        <v>187</v>
      </c>
      <c r="C44" s="23" t="s">
        <v>188</v>
      </c>
      <c r="D44" s="23" t="s">
        <v>118</v>
      </c>
      <c r="E44" s="28">
        <v>650000</v>
      </c>
      <c r="F44" s="25">
        <v>6105.13</v>
      </c>
      <c r="G44" s="25">
        <v>0.76</v>
      </c>
      <c r="H44" s="26"/>
      <c r="I44" s="70" t="s">
        <v>688</v>
      </c>
      <c r="K44" s="62"/>
      <c r="L44" s="62"/>
      <c r="M44" s="62"/>
      <c r="N44" s="62"/>
    </row>
    <row r="45" spans="2:14">
      <c r="B45" s="27" t="s">
        <v>219</v>
      </c>
      <c r="C45" s="23" t="s">
        <v>220</v>
      </c>
      <c r="D45" s="23" t="s">
        <v>39</v>
      </c>
      <c r="E45" s="28">
        <v>71000</v>
      </c>
      <c r="F45" s="25">
        <v>6060.03</v>
      </c>
      <c r="G45" s="25">
        <v>0.75</v>
      </c>
      <c r="H45" s="26"/>
      <c r="I45" s="70" t="s">
        <v>690</v>
      </c>
      <c r="K45" s="62"/>
      <c r="L45" s="62"/>
      <c r="M45" s="62"/>
      <c r="N45" s="62"/>
    </row>
    <row r="46" spans="2:14">
      <c r="B46" s="27" t="s">
        <v>145</v>
      </c>
      <c r="C46" s="23" t="s">
        <v>146</v>
      </c>
      <c r="D46" s="23" t="s">
        <v>147</v>
      </c>
      <c r="E46" s="28">
        <v>240000</v>
      </c>
      <c r="F46" s="25">
        <v>5644.92</v>
      </c>
      <c r="G46" s="25">
        <v>0.7</v>
      </c>
      <c r="H46" s="26"/>
      <c r="I46" s="70" t="s">
        <v>688</v>
      </c>
      <c r="K46" s="62"/>
      <c r="L46" s="62"/>
      <c r="M46" s="62"/>
      <c r="N46" s="62"/>
    </row>
    <row r="47" spans="2:14">
      <c r="B47" s="27" t="s">
        <v>89</v>
      </c>
      <c r="C47" s="23" t="s">
        <v>90</v>
      </c>
      <c r="D47" s="23" t="s">
        <v>91</v>
      </c>
      <c r="E47" s="28">
        <v>1350000</v>
      </c>
      <c r="F47" s="25">
        <v>5603.18</v>
      </c>
      <c r="G47" s="25">
        <v>0.7</v>
      </c>
      <c r="H47" s="26"/>
      <c r="I47" s="70" t="s">
        <v>688</v>
      </c>
      <c r="K47" s="62"/>
      <c r="L47" s="62"/>
      <c r="M47" s="62"/>
      <c r="N47" s="62"/>
    </row>
    <row r="48" spans="2:14">
      <c r="B48" s="27" t="s">
        <v>191</v>
      </c>
      <c r="C48" s="23" t="s">
        <v>192</v>
      </c>
      <c r="D48" s="23" t="s">
        <v>132</v>
      </c>
      <c r="E48" s="28">
        <v>243000</v>
      </c>
      <c r="F48" s="25">
        <v>5493.14</v>
      </c>
      <c r="G48" s="25">
        <v>0.68</v>
      </c>
      <c r="H48" s="26"/>
      <c r="I48" s="70" t="s">
        <v>688</v>
      </c>
      <c r="K48" s="62"/>
      <c r="L48" s="62"/>
      <c r="M48" s="62"/>
      <c r="N48" s="62"/>
    </row>
    <row r="49" spans="2:14">
      <c r="B49" s="27" t="s">
        <v>135</v>
      </c>
      <c r="C49" s="23" t="s">
        <v>136</v>
      </c>
      <c r="D49" s="23" t="s">
        <v>137</v>
      </c>
      <c r="E49" s="28">
        <v>118000</v>
      </c>
      <c r="F49" s="25">
        <v>5007.74</v>
      </c>
      <c r="G49" s="25">
        <v>0.62</v>
      </c>
      <c r="H49" s="26"/>
      <c r="I49" s="70" t="s">
        <v>688</v>
      </c>
      <c r="K49" s="62"/>
      <c r="L49" s="62"/>
      <c r="M49" s="62"/>
      <c r="N49" s="62"/>
    </row>
    <row r="50" spans="2:14">
      <c r="B50" s="27" t="s">
        <v>241</v>
      </c>
      <c r="C50" s="23" t="s">
        <v>242</v>
      </c>
      <c r="D50" s="23" t="s">
        <v>243</v>
      </c>
      <c r="E50" s="28">
        <v>2850000</v>
      </c>
      <c r="F50" s="25">
        <v>4246.5</v>
      </c>
      <c r="G50" s="25">
        <v>0.53</v>
      </c>
      <c r="H50" s="26"/>
      <c r="I50" s="70" t="s">
        <v>689</v>
      </c>
      <c r="K50" s="62"/>
      <c r="L50" s="62"/>
      <c r="M50" s="62"/>
      <c r="N50" s="62"/>
    </row>
    <row r="51" spans="2:14">
      <c r="B51" s="27" t="s">
        <v>72</v>
      </c>
      <c r="C51" s="23" t="s">
        <v>73</v>
      </c>
      <c r="D51" s="23" t="s">
        <v>74</v>
      </c>
      <c r="E51" s="28">
        <v>10304</v>
      </c>
      <c r="F51" s="25">
        <v>4140.43</v>
      </c>
      <c r="G51" s="25">
        <v>0.52</v>
      </c>
      <c r="H51" s="26"/>
      <c r="I51" s="70" t="s">
        <v>689</v>
      </c>
      <c r="K51" s="62"/>
      <c r="L51" s="62"/>
      <c r="M51" s="62"/>
      <c r="N51" s="62"/>
    </row>
    <row r="52" spans="2:14">
      <c r="B52" s="27" t="s">
        <v>100</v>
      </c>
      <c r="C52" s="23" t="s">
        <v>101</v>
      </c>
      <c r="D52" s="23" t="s">
        <v>86</v>
      </c>
      <c r="E52" s="28">
        <v>900000</v>
      </c>
      <c r="F52" s="25">
        <v>4006.35</v>
      </c>
      <c r="G52" s="25">
        <v>0.5</v>
      </c>
      <c r="H52" s="26"/>
      <c r="I52" s="70" t="s">
        <v>689</v>
      </c>
      <c r="K52" s="62"/>
      <c r="L52" s="62"/>
      <c r="M52" s="62"/>
      <c r="N52" s="62"/>
    </row>
    <row r="53" spans="2:14">
      <c r="B53" s="27" t="s">
        <v>201</v>
      </c>
      <c r="C53" s="23" t="s">
        <v>202</v>
      </c>
      <c r="D53" s="23" t="s">
        <v>132</v>
      </c>
      <c r="E53" s="28">
        <v>324832</v>
      </c>
      <c r="F53" s="25">
        <v>3249.13</v>
      </c>
      <c r="G53" s="25">
        <v>0.4</v>
      </c>
      <c r="H53" s="26"/>
      <c r="I53" s="70" t="s">
        <v>689</v>
      </c>
      <c r="K53" s="62"/>
      <c r="L53" s="62"/>
      <c r="M53" s="62"/>
      <c r="N53" s="62"/>
    </row>
    <row r="54" spans="2:14">
      <c r="B54" s="27" t="s">
        <v>207</v>
      </c>
      <c r="C54" s="23" t="s">
        <v>208</v>
      </c>
      <c r="D54" s="23" t="s">
        <v>132</v>
      </c>
      <c r="E54" s="28">
        <v>80000</v>
      </c>
      <c r="F54" s="25">
        <v>3065.32</v>
      </c>
      <c r="G54" s="25">
        <v>0.38</v>
      </c>
      <c r="H54" s="26"/>
      <c r="I54" s="70" t="s">
        <v>688</v>
      </c>
      <c r="K54" s="62"/>
      <c r="L54" s="62"/>
      <c r="M54" s="62"/>
      <c r="N54" s="62"/>
    </row>
    <row r="55" spans="2:14">
      <c r="B55" s="27" t="s">
        <v>179</v>
      </c>
      <c r="C55" s="23" t="s">
        <v>180</v>
      </c>
      <c r="D55" s="23" t="s">
        <v>48</v>
      </c>
      <c r="E55" s="28">
        <v>126495</v>
      </c>
      <c r="F55" s="25">
        <v>2931.46</v>
      </c>
      <c r="G55" s="25">
        <v>0.36</v>
      </c>
      <c r="H55" s="26"/>
      <c r="I55" s="70" t="s">
        <v>689</v>
      </c>
      <c r="K55" s="62"/>
      <c r="L55" s="62"/>
      <c r="M55" s="62"/>
      <c r="N55" s="62"/>
    </row>
    <row r="56" spans="2:14">
      <c r="B56" s="27" t="s">
        <v>230</v>
      </c>
      <c r="C56" s="23" t="s">
        <v>231</v>
      </c>
      <c r="D56" s="23" t="s">
        <v>137</v>
      </c>
      <c r="E56" s="28">
        <v>290000</v>
      </c>
      <c r="F56" s="25">
        <v>779.09</v>
      </c>
      <c r="G56" s="25">
        <v>0.1</v>
      </c>
      <c r="H56" s="26"/>
      <c r="I56" s="70" t="s">
        <v>689</v>
      </c>
      <c r="K56" s="62"/>
      <c r="L56" s="62"/>
      <c r="M56" s="62"/>
      <c r="N56" s="62"/>
    </row>
    <row r="57" spans="2:14" ht="12.75" thickBot="1">
      <c r="B57" s="27" t="s">
        <v>209</v>
      </c>
      <c r="C57" s="23" t="s">
        <v>210</v>
      </c>
      <c r="D57" s="23" t="s">
        <v>124</v>
      </c>
      <c r="E57" s="28">
        <v>76536</v>
      </c>
      <c r="F57" s="25">
        <v>224.52</v>
      </c>
      <c r="G57" s="25">
        <v>0.03</v>
      </c>
      <c r="H57" s="26"/>
      <c r="I57" s="71" t="s">
        <v>688</v>
      </c>
      <c r="K57" s="62"/>
      <c r="L57" s="62"/>
      <c r="M57" s="62"/>
      <c r="N57" s="62"/>
    </row>
    <row r="58" spans="2:14">
      <c r="B58" s="29" t="s">
        <v>104</v>
      </c>
      <c r="C58" s="30"/>
      <c r="D58" s="30"/>
      <c r="E58" s="31"/>
      <c r="F58" s="32">
        <f>SUM(F7:F57)</f>
        <v>574935.06000000017</v>
      </c>
      <c r="G58" s="32">
        <f>SUM(G7:G57)</f>
        <v>71.550000000000026</v>
      </c>
      <c r="H58" s="33"/>
      <c r="I58" s="64"/>
      <c r="J58" s="14"/>
      <c r="K58" s="62"/>
      <c r="L58" s="62"/>
      <c r="M58" s="62"/>
      <c r="N58" s="62"/>
    </row>
    <row r="59" spans="2:14">
      <c r="B59" s="37" t="s">
        <v>105</v>
      </c>
      <c r="C59" s="37"/>
      <c r="D59" s="37"/>
      <c r="E59" s="38"/>
      <c r="F59" s="39">
        <f>F58</f>
        <v>574935.06000000017</v>
      </c>
      <c r="G59" s="39">
        <f>G58</f>
        <v>71.550000000000026</v>
      </c>
      <c r="H59" s="15"/>
      <c r="I59" s="15"/>
      <c r="J59" s="14"/>
      <c r="K59" s="62"/>
      <c r="L59" s="62"/>
      <c r="M59" s="62"/>
      <c r="N59" s="62"/>
    </row>
    <row r="60" spans="2:14">
      <c r="B60" s="46" t="s">
        <v>375</v>
      </c>
      <c r="C60" s="41"/>
      <c r="D60" s="41"/>
      <c r="E60" s="42"/>
      <c r="F60" s="43"/>
      <c r="G60" s="43"/>
      <c r="H60" s="43"/>
      <c r="I60" s="63"/>
      <c r="K60" s="62"/>
      <c r="L60" s="62"/>
      <c r="M60" s="62"/>
      <c r="N60" s="62"/>
    </row>
    <row r="61" spans="2:14">
      <c r="B61" s="47" t="s">
        <v>30</v>
      </c>
      <c r="C61" s="23"/>
      <c r="D61" s="23"/>
      <c r="E61" s="24"/>
      <c r="F61" s="25"/>
      <c r="G61" s="25"/>
      <c r="H61" s="25"/>
      <c r="I61" s="63"/>
      <c r="K61" s="62"/>
      <c r="L61" s="62"/>
      <c r="M61" s="62"/>
      <c r="N61" s="62"/>
    </row>
    <row r="62" spans="2:14">
      <c r="B62" s="23" t="s">
        <v>376</v>
      </c>
      <c r="C62" s="23" t="s">
        <v>377</v>
      </c>
      <c r="D62" s="23" t="s">
        <v>378</v>
      </c>
      <c r="E62" s="28">
        <v>500</v>
      </c>
      <c r="F62" s="25">
        <v>5009.9399999999996</v>
      </c>
      <c r="G62" s="25">
        <v>0.62</v>
      </c>
      <c r="H62" s="25">
        <v>6.4</v>
      </c>
      <c r="I62" s="63"/>
      <c r="K62" s="62"/>
      <c r="L62" s="62"/>
      <c r="M62" s="62"/>
      <c r="N62" s="62"/>
    </row>
    <row r="63" spans="2:14">
      <c r="B63" s="23" t="s">
        <v>379</v>
      </c>
      <c r="C63" s="23" t="s">
        <v>380</v>
      </c>
      <c r="D63" s="23" t="s">
        <v>381</v>
      </c>
      <c r="E63" s="28">
        <v>500</v>
      </c>
      <c r="F63" s="25">
        <v>4898.87</v>
      </c>
      <c r="G63" s="25">
        <v>0.61</v>
      </c>
      <c r="H63" s="25">
        <v>6.88</v>
      </c>
      <c r="I63" s="63"/>
      <c r="K63" s="62"/>
      <c r="L63" s="62"/>
      <c r="M63" s="62"/>
      <c r="N63" s="62"/>
    </row>
    <row r="64" spans="2:14">
      <c r="B64" s="23" t="s">
        <v>382</v>
      </c>
      <c r="C64" s="23" t="s">
        <v>383</v>
      </c>
      <c r="D64" s="23" t="s">
        <v>378</v>
      </c>
      <c r="E64" s="28">
        <v>400</v>
      </c>
      <c r="F64" s="25">
        <v>4047.66</v>
      </c>
      <c r="G64" s="25">
        <v>0.5</v>
      </c>
      <c r="H64" s="25">
        <v>6.95</v>
      </c>
      <c r="I64" s="63"/>
      <c r="K64" s="62"/>
      <c r="L64" s="62"/>
      <c r="M64" s="62"/>
      <c r="N64" s="62"/>
    </row>
    <row r="65" spans="2:14">
      <c r="B65" s="23" t="s">
        <v>384</v>
      </c>
      <c r="C65" s="23" t="s">
        <v>385</v>
      </c>
      <c r="D65" s="23" t="s">
        <v>381</v>
      </c>
      <c r="E65" s="28">
        <v>300</v>
      </c>
      <c r="F65" s="25">
        <v>2934.95</v>
      </c>
      <c r="G65" s="25">
        <v>0.37</v>
      </c>
      <c r="H65" s="25">
        <v>7.05</v>
      </c>
      <c r="I65" s="63"/>
      <c r="K65" s="62"/>
      <c r="L65" s="62"/>
      <c r="M65" s="62"/>
      <c r="N65" s="62"/>
    </row>
    <row r="66" spans="2:14">
      <c r="B66" s="23" t="s">
        <v>386</v>
      </c>
      <c r="C66" s="23" t="s">
        <v>387</v>
      </c>
      <c r="D66" s="23" t="s">
        <v>378</v>
      </c>
      <c r="E66" s="28">
        <v>250</v>
      </c>
      <c r="F66" s="25">
        <v>2524.13</v>
      </c>
      <c r="G66" s="25">
        <v>0.31</v>
      </c>
      <c r="H66" s="25">
        <v>6.25</v>
      </c>
      <c r="I66" s="63"/>
      <c r="K66" s="62"/>
      <c r="L66" s="62"/>
      <c r="M66" s="62"/>
      <c r="N66" s="62"/>
    </row>
    <row r="67" spans="2:14">
      <c r="B67" s="23" t="s">
        <v>388</v>
      </c>
      <c r="C67" s="23" t="s">
        <v>389</v>
      </c>
      <c r="D67" s="23" t="s">
        <v>378</v>
      </c>
      <c r="E67" s="28">
        <v>250</v>
      </c>
      <c r="F67" s="25">
        <v>2509.6</v>
      </c>
      <c r="G67" s="25">
        <v>0.31</v>
      </c>
      <c r="H67" s="25">
        <v>6.57</v>
      </c>
      <c r="I67" s="63"/>
      <c r="K67" s="62"/>
      <c r="L67" s="62"/>
      <c r="M67" s="62"/>
      <c r="N67" s="62"/>
    </row>
    <row r="68" spans="2:14">
      <c r="B68" s="23" t="s">
        <v>390</v>
      </c>
      <c r="C68" s="23" t="s">
        <v>391</v>
      </c>
      <c r="D68" s="23" t="s">
        <v>378</v>
      </c>
      <c r="E68" s="28">
        <v>250</v>
      </c>
      <c r="F68" s="25">
        <v>2507.2800000000002</v>
      </c>
      <c r="G68" s="25">
        <v>0.31</v>
      </c>
      <c r="H68" s="25">
        <v>6.23</v>
      </c>
      <c r="I68" s="63"/>
      <c r="K68" s="62"/>
      <c r="L68" s="62"/>
      <c r="M68" s="62"/>
      <c r="N68" s="62"/>
    </row>
    <row r="69" spans="2:14">
      <c r="B69" s="23" t="s">
        <v>392</v>
      </c>
      <c r="C69" s="23" t="s">
        <v>393</v>
      </c>
      <c r="D69" s="23" t="s">
        <v>378</v>
      </c>
      <c r="E69" s="28">
        <v>250</v>
      </c>
      <c r="F69" s="25">
        <v>2505.92</v>
      </c>
      <c r="G69" s="25">
        <v>0.31</v>
      </c>
      <c r="H69" s="25">
        <v>7.36</v>
      </c>
      <c r="I69" s="63"/>
      <c r="K69" s="62"/>
      <c r="L69" s="62"/>
      <c r="M69" s="62"/>
      <c r="N69" s="62"/>
    </row>
    <row r="70" spans="2:14">
      <c r="B70" s="23" t="s">
        <v>394</v>
      </c>
      <c r="C70" s="23" t="s">
        <v>395</v>
      </c>
      <c r="D70" s="23" t="s">
        <v>378</v>
      </c>
      <c r="E70" s="28">
        <v>250</v>
      </c>
      <c r="F70" s="25">
        <v>2505.5100000000002</v>
      </c>
      <c r="G70" s="25">
        <v>0.31</v>
      </c>
      <c r="H70" s="25">
        <v>6.03</v>
      </c>
      <c r="I70" s="63"/>
      <c r="K70" s="62"/>
      <c r="L70" s="62"/>
      <c r="M70" s="62"/>
      <c r="N70" s="62"/>
    </row>
    <row r="71" spans="2:14">
      <c r="B71" s="23" t="s">
        <v>396</v>
      </c>
      <c r="C71" s="23" t="s">
        <v>397</v>
      </c>
      <c r="D71" s="23" t="s">
        <v>381</v>
      </c>
      <c r="E71" s="28">
        <v>250</v>
      </c>
      <c r="F71" s="25">
        <v>2482.12</v>
      </c>
      <c r="G71" s="25">
        <v>0.31</v>
      </c>
      <c r="H71" s="25">
        <v>6.4</v>
      </c>
      <c r="I71" s="63"/>
      <c r="K71" s="62"/>
      <c r="L71" s="62"/>
      <c r="M71" s="62"/>
      <c r="N71" s="62"/>
    </row>
    <row r="72" spans="2:14">
      <c r="B72" s="23" t="s">
        <v>398</v>
      </c>
      <c r="C72" s="23" t="s">
        <v>399</v>
      </c>
      <c r="D72" s="23" t="s">
        <v>378</v>
      </c>
      <c r="E72" s="28">
        <v>200</v>
      </c>
      <c r="F72" s="25">
        <v>2026.71</v>
      </c>
      <c r="G72" s="25">
        <v>0.25</v>
      </c>
      <c r="H72" s="25">
        <v>7.22</v>
      </c>
      <c r="I72" s="63"/>
      <c r="K72" s="62"/>
      <c r="L72" s="62"/>
      <c r="M72" s="62"/>
      <c r="N72" s="62"/>
    </row>
    <row r="73" spans="2:14">
      <c r="B73" s="23" t="s">
        <v>400</v>
      </c>
      <c r="C73" s="23" t="s">
        <v>401</v>
      </c>
      <c r="D73" s="23" t="s">
        <v>378</v>
      </c>
      <c r="E73" s="28">
        <v>200</v>
      </c>
      <c r="F73" s="25">
        <v>2001.83</v>
      </c>
      <c r="G73" s="25">
        <v>0.25</v>
      </c>
      <c r="H73" s="25">
        <v>5.83</v>
      </c>
      <c r="I73" s="63"/>
      <c r="K73" s="62"/>
      <c r="L73" s="62"/>
      <c r="M73" s="62"/>
      <c r="N73" s="62"/>
    </row>
    <row r="74" spans="2:14">
      <c r="B74" s="23" t="s">
        <v>402</v>
      </c>
      <c r="C74" s="23" t="s">
        <v>403</v>
      </c>
      <c r="D74" s="23" t="s">
        <v>378</v>
      </c>
      <c r="E74" s="28">
        <v>150</v>
      </c>
      <c r="F74" s="25">
        <v>1505.56</v>
      </c>
      <c r="G74" s="25">
        <v>0.19</v>
      </c>
      <c r="H74" s="25">
        <v>6.01</v>
      </c>
      <c r="I74" s="63"/>
      <c r="K74" s="62"/>
      <c r="L74" s="62"/>
      <c r="M74" s="62"/>
      <c r="N74" s="62"/>
    </row>
    <row r="75" spans="2:14">
      <c r="B75" s="23" t="s">
        <v>404</v>
      </c>
      <c r="C75" s="23" t="s">
        <v>405</v>
      </c>
      <c r="D75" s="23" t="s">
        <v>378</v>
      </c>
      <c r="E75" s="28">
        <v>100</v>
      </c>
      <c r="F75" s="25">
        <v>1017.5</v>
      </c>
      <c r="G75" s="25">
        <v>0.13</v>
      </c>
      <c r="H75" s="25">
        <v>7.25</v>
      </c>
      <c r="I75" s="63"/>
      <c r="K75" s="62"/>
      <c r="L75" s="62"/>
      <c r="M75" s="62"/>
      <c r="N75" s="62"/>
    </row>
    <row r="76" spans="2:14">
      <c r="B76" s="23" t="s">
        <v>406</v>
      </c>
      <c r="C76" s="23" t="s">
        <v>407</v>
      </c>
      <c r="D76" s="23" t="s">
        <v>378</v>
      </c>
      <c r="E76" s="28">
        <v>100</v>
      </c>
      <c r="F76" s="25">
        <v>1008.33</v>
      </c>
      <c r="G76" s="25">
        <v>0.13</v>
      </c>
      <c r="H76" s="25">
        <v>7.35</v>
      </c>
      <c r="I76" s="63"/>
      <c r="K76" s="62"/>
      <c r="L76" s="62"/>
      <c r="M76" s="62"/>
      <c r="N76" s="62"/>
    </row>
    <row r="77" spans="2:14">
      <c r="B77" s="23" t="s">
        <v>408</v>
      </c>
      <c r="C77" s="23" t="s">
        <v>409</v>
      </c>
      <c r="D77" s="23" t="s">
        <v>378</v>
      </c>
      <c r="E77" s="28">
        <v>100</v>
      </c>
      <c r="F77" s="25">
        <v>1002.77</v>
      </c>
      <c r="G77" s="25">
        <v>0.12</v>
      </c>
      <c r="H77" s="25">
        <v>6.05</v>
      </c>
      <c r="I77" s="63"/>
      <c r="K77" s="62"/>
      <c r="L77" s="62"/>
      <c r="M77" s="62"/>
      <c r="N77" s="62"/>
    </row>
    <row r="78" spans="2:14">
      <c r="B78" s="23" t="s">
        <v>410</v>
      </c>
      <c r="C78" s="23" t="s">
        <v>411</v>
      </c>
      <c r="D78" s="23" t="s">
        <v>412</v>
      </c>
      <c r="E78" s="28">
        <v>100</v>
      </c>
      <c r="F78" s="25">
        <v>998.99</v>
      </c>
      <c r="G78" s="25">
        <v>0.12</v>
      </c>
      <c r="H78" s="25">
        <v>6.29</v>
      </c>
      <c r="I78" s="63"/>
      <c r="K78" s="62"/>
      <c r="L78" s="62"/>
      <c r="M78" s="62"/>
      <c r="N78" s="62"/>
    </row>
    <row r="79" spans="2:14">
      <c r="B79" s="23" t="s">
        <v>413</v>
      </c>
      <c r="C79" s="23" t="s">
        <v>414</v>
      </c>
      <c r="D79" s="23" t="s">
        <v>378</v>
      </c>
      <c r="E79" s="28">
        <v>100</v>
      </c>
      <c r="F79" s="25">
        <v>997.11</v>
      </c>
      <c r="G79" s="25">
        <v>0.12</v>
      </c>
      <c r="H79" s="25">
        <v>7.43</v>
      </c>
      <c r="I79" s="63"/>
      <c r="K79" s="62"/>
      <c r="L79" s="62"/>
      <c r="M79" s="62"/>
      <c r="N79" s="62"/>
    </row>
    <row r="80" spans="2:14">
      <c r="B80" s="23" t="s">
        <v>415</v>
      </c>
      <c r="C80" s="23" t="s">
        <v>416</v>
      </c>
      <c r="D80" s="23" t="s">
        <v>378</v>
      </c>
      <c r="E80" s="28">
        <v>50</v>
      </c>
      <c r="F80" s="25">
        <v>511.42</v>
      </c>
      <c r="G80" s="25">
        <v>0.06</v>
      </c>
      <c r="H80" s="25">
        <v>7.48</v>
      </c>
      <c r="I80" s="63"/>
      <c r="K80" s="62"/>
      <c r="L80" s="62"/>
      <c r="M80" s="62"/>
      <c r="N80" s="62"/>
    </row>
    <row r="81" spans="2:14">
      <c r="B81" s="23" t="s">
        <v>417</v>
      </c>
      <c r="C81" s="23" t="s">
        <v>418</v>
      </c>
      <c r="D81" s="23" t="s">
        <v>378</v>
      </c>
      <c r="E81" s="28">
        <v>50</v>
      </c>
      <c r="F81" s="25">
        <v>509.89</v>
      </c>
      <c r="G81" s="25">
        <v>0.06</v>
      </c>
      <c r="H81" s="25">
        <v>6.85</v>
      </c>
      <c r="I81" s="63"/>
      <c r="K81" s="62"/>
      <c r="L81" s="62"/>
      <c r="M81" s="62"/>
      <c r="N81" s="62"/>
    </row>
    <row r="82" spans="2:14">
      <c r="B82" s="23" t="s">
        <v>419</v>
      </c>
      <c r="C82" s="23" t="s">
        <v>420</v>
      </c>
      <c r="D82" s="23" t="s">
        <v>378</v>
      </c>
      <c r="E82" s="28">
        <v>50</v>
      </c>
      <c r="F82" s="25">
        <v>504.11</v>
      </c>
      <c r="G82" s="25">
        <v>0.06</v>
      </c>
      <c r="H82" s="25">
        <v>7.29</v>
      </c>
      <c r="I82" s="63"/>
      <c r="K82" s="62"/>
      <c r="L82" s="62"/>
      <c r="M82" s="62"/>
      <c r="N82" s="62"/>
    </row>
    <row r="83" spans="2:14">
      <c r="B83" s="23" t="s">
        <v>421</v>
      </c>
      <c r="C83" s="23" t="s">
        <v>422</v>
      </c>
      <c r="D83" s="23" t="s">
        <v>381</v>
      </c>
      <c r="E83" s="28">
        <v>50</v>
      </c>
      <c r="F83" s="25">
        <v>489.6</v>
      </c>
      <c r="G83" s="25">
        <v>0.06</v>
      </c>
      <c r="H83" s="25">
        <v>7.14</v>
      </c>
      <c r="I83" s="63"/>
      <c r="K83" s="62"/>
      <c r="L83" s="62"/>
      <c r="M83" s="62"/>
      <c r="N83" s="62"/>
    </row>
    <row r="84" spans="2:14">
      <c r="B84" s="23" t="s">
        <v>423</v>
      </c>
      <c r="C84" s="23" t="s">
        <v>424</v>
      </c>
      <c r="D84" s="23" t="s">
        <v>378</v>
      </c>
      <c r="E84" s="28">
        <v>12</v>
      </c>
      <c r="F84" s="25">
        <v>125.16</v>
      </c>
      <c r="G84" s="25">
        <v>0.02</v>
      </c>
      <c r="H84" s="25">
        <v>7.49</v>
      </c>
      <c r="I84" s="63"/>
      <c r="K84" s="62"/>
      <c r="L84" s="62"/>
      <c r="M84" s="62"/>
      <c r="N84" s="62"/>
    </row>
    <row r="85" spans="2:14">
      <c r="B85" s="30" t="s">
        <v>104</v>
      </c>
      <c r="C85" s="30"/>
      <c r="D85" s="30"/>
      <c r="E85" s="31"/>
      <c r="F85" s="32">
        <f>SUM(F61:F84)</f>
        <v>44624.959999999999</v>
      </c>
      <c r="G85" s="32">
        <f>SUM(G61:G84)</f>
        <v>5.5299999999999994</v>
      </c>
      <c r="H85" s="48"/>
      <c r="I85" s="64"/>
      <c r="J85" s="14"/>
      <c r="K85" s="62"/>
      <c r="L85" s="62"/>
      <c r="M85" s="62"/>
      <c r="N85" s="62"/>
    </row>
    <row r="86" spans="2:14">
      <c r="B86" s="49" t="s">
        <v>105</v>
      </c>
      <c r="C86" s="49"/>
      <c r="D86" s="49"/>
      <c r="E86" s="50"/>
      <c r="F86" s="51">
        <f>F85</f>
        <v>44624.959999999999</v>
      </c>
      <c r="G86" s="51">
        <f>G85</f>
        <v>5.5299999999999994</v>
      </c>
      <c r="H86" s="51"/>
      <c r="I86" s="64"/>
      <c r="J86" s="14"/>
      <c r="K86" s="62"/>
      <c r="L86" s="62"/>
      <c r="M86" s="62"/>
      <c r="N86" s="62"/>
    </row>
    <row r="87" spans="2:14">
      <c r="B87" s="47" t="s">
        <v>425</v>
      </c>
      <c r="C87" s="23"/>
      <c r="D87" s="23"/>
      <c r="E87" s="24"/>
      <c r="F87" s="25"/>
      <c r="G87" s="25"/>
      <c r="H87" s="25"/>
      <c r="I87" s="63"/>
      <c r="K87" s="62"/>
      <c r="L87" s="62"/>
      <c r="M87" s="62"/>
      <c r="N87" s="62"/>
    </row>
    <row r="88" spans="2:14">
      <c r="B88" s="47" t="s">
        <v>426</v>
      </c>
      <c r="C88" s="23"/>
      <c r="D88" s="23"/>
      <c r="E88" s="24"/>
      <c r="F88" s="25"/>
      <c r="G88" s="25"/>
      <c r="H88" s="25"/>
      <c r="I88" s="63"/>
      <c r="K88" s="62"/>
      <c r="L88" s="62"/>
      <c r="M88" s="62"/>
      <c r="N88" s="62"/>
    </row>
    <row r="89" spans="2:14">
      <c r="B89" s="23" t="s">
        <v>427</v>
      </c>
      <c r="C89" s="23" t="s">
        <v>428</v>
      </c>
      <c r="D89" s="23" t="s">
        <v>429</v>
      </c>
      <c r="E89" s="28">
        <v>1500</v>
      </c>
      <c r="F89" s="25">
        <v>7341.41</v>
      </c>
      <c r="G89" s="25">
        <v>0.91</v>
      </c>
      <c r="H89" s="25">
        <v>6.07</v>
      </c>
      <c r="I89" s="63"/>
      <c r="K89" s="62"/>
      <c r="L89" s="62"/>
      <c r="M89" s="62"/>
      <c r="N89" s="62"/>
    </row>
    <row r="90" spans="2:14">
      <c r="B90" s="23" t="s">
        <v>430</v>
      </c>
      <c r="C90" s="23" t="s">
        <v>431</v>
      </c>
      <c r="D90" s="23" t="s">
        <v>432</v>
      </c>
      <c r="E90" s="28">
        <v>1500</v>
      </c>
      <c r="F90" s="25">
        <v>7229.85</v>
      </c>
      <c r="G90" s="25">
        <v>0.9</v>
      </c>
      <c r="H90" s="25">
        <v>6.29</v>
      </c>
      <c r="I90" s="63"/>
      <c r="K90" s="62"/>
      <c r="L90" s="62"/>
      <c r="M90" s="62"/>
      <c r="N90" s="62"/>
    </row>
    <row r="91" spans="2:14">
      <c r="B91" s="47" t="s">
        <v>104</v>
      </c>
      <c r="C91" s="47"/>
      <c r="D91" s="47"/>
      <c r="E91" s="52"/>
      <c r="F91" s="53">
        <f>SUM(F88:F90)</f>
        <v>14571.26</v>
      </c>
      <c r="G91" s="53">
        <f>SUM(G88:G90)</f>
        <v>1.81</v>
      </c>
      <c r="H91" s="54"/>
      <c r="I91" s="64"/>
      <c r="J91" s="14"/>
      <c r="K91" s="62"/>
      <c r="L91" s="62"/>
      <c r="M91" s="62"/>
      <c r="N91" s="62"/>
    </row>
    <row r="92" spans="2:14">
      <c r="B92" s="47" t="s">
        <v>433</v>
      </c>
      <c r="C92" s="23"/>
      <c r="D92" s="23"/>
      <c r="E92" s="24"/>
      <c r="F92" s="25"/>
      <c r="G92" s="25"/>
      <c r="H92" s="25"/>
      <c r="I92" s="63"/>
      <c r="K92" s="62"/>
      <c r="L92" s="62"/>
      <c r="M92" s="62"/>
      <c r="N92" s="62"/>
    </row>
    <row r="93" spans="2:14">
      <c r="B93" s="23" t="s">
        <v>676</v>
      </c>
      <c r="C93" s="23" t="s">
        <v>434</v>
      </c>
      <c r="D93" s="23" t="s">
        <v>432</v>
      </c>
      <c r="E93" s="28">
        <v>500</v>
      </c>
      <c r="F93" s="25">
        <v>2463.91</v>
      </c>
      <c r="G93" s="25">
        <v>0.31</v>
      </c>
      <c r="H93" s="25">
        <v>5.87</v>
      </c>
      <c r="I93" s="63"/>
      <c r="K93" s="62"/>
      <c r="L93" s="62"/>
      <c r="M93" s="62"/>
      <c r="N93" s="62"/>
    </row>
    <row r="94" spans="2:14">
      <c r="B94" s="30" t="s">
        <v>104</v>
      </c>
      <c r="C94" s="30"/>
      <c r="D94" s="30"/>
      <c r="E94" s="31"/>
      <c r="F94" s="32">
        <f>SUM(F92:F93)</f>
        <v>2463.91</v>
      </c>
      <c r="G94" s="32">
        <f>SUM(G92:G93)</f>
        <v>0.31</v>
      </c>
      <c r="H94" s="48"/>
      <c r="I94" s="64"/>
      <c r="J94" s="14"/>
      <c r="K94" s="62"/>
      <c r="L94" s="62"/>
      <c r="M94" s="62"/>
      <c r="N94" s="62"/>
    </row>
    <row r="95" spans="2:14">
      <c r="B95" s="49" t="s">
        <v>105</v>
      </c>
      <c r="C95" s="49"/>
      <c r="D95" s="49"/>
      <c r="E95" s="50"/>
      <c r="F95" s="51">
        <f>F91+F94</f>
        <v>17035.169999999998</v>
      </c>
      <c r="G95" s="51">
        <f>G91+G94</f>
        <v>2.12</v>
      </c>
      <c r="H95" s="51"/>
      <c r="I95" s="64"/>
      <c r="J95" s="14"/>
      <c r="K95" s="62"/>
      <c r="L95" s="62"/>
      <c r="M95" s="62"/>
      <c r="N95" s="62"/>
    </row>
    <row r="96" spans="2:14">
      <c r="B96" s="47" t="s">
        <v>435</v>
      </c>
      <c r="C96" s="23"/>
      <c r="D96" s="23"/>
      <c r="E96" s="24"/>
      <c r="F96" s="25"/>
      <c r="G96" s="25"/>
      <c r="H96" s="25"/>
      <c r="I96" s="63"/>
      <c r="K96" s="62"/>
      <c r="L96" s="62"/>
      <c r="M96" s="62"/>
      <c r="N96" s="62"/>
    </row>
    <row r="97" spans="2:14">
      <c r="B97" s="23" t="s">
        <v>436</v>
      </c>
      <c r="C97" s="23" t="s">
        <v>437</v>
      </c>
      <c r="D97" s="23" t="s">
        <v>438</v>
      </c>
      <c r="E97" s="28">
        <v>19500000</v>
      </c>
      <c r="F97" s="25">
        <v>18639.41</v>
      </c>
      <c r="G97" s="25">
        <v>2.3199999999999998</v>
      </c>
      <c r="H97" s="25">
        <v>6.94</v>
      </c>
      <c r="I97" s="63"/>
      <c r="K97" s="62"/>
      <c r="L97" s="62"/>
      <c r="M97" s="62"/>
      <c r="N97" s="62"/>
    </row>
    <row r="98" spans="2:14">
      <c r="B98" s="23" t="s">
        <v>439</v>
      </c>
      <c r="C98" s="23" t="s">
        <v>440</v>
      </c>
      <c r="D98" s="23" t="s">
        <v>438</v>
      </c>
      <c r="E98" s="28">
        <v>17000000</v>
      </c>
      <c r="F98" s="25">
        <v>16312.13</v>
      </c>
      <c r="G98" s="25">
        <v>2.0299999999999998</v>
      </c>
      <c r="H98" s="25">
        <v>6.88</v>
      </c>
      <c r="I98" s="63"/>
      <c r="K98" s="62"/>
      <c r="L98" s="62"/>
      <c r="M98" s="62"/>
      <c r="N98" s="62"/>
    </row>
    <row r="99" spans="2:14">
      <c r="B99" s="23" t="s">
        <v>441</v>
      </c>
      <c r="C99" s="23" t="s">
        <v>442</v>
      </c>
      <c r="D99" s="23" t="s">
        <v>438</v>
      </c>
      <c r="E99" s="28">
        <v>14500000</v>
      </c>
      <c r="F99" s="25">
        <v>14683.53</v>
      </c>
      <c r="G99" s="25">
        <v>1.83</v>
      </c>
      <c r="H99" s="25">
        <v>6.42</v>
      </c>
      <c r="I99" s="63"/>
      <c r="K99" s="62"/>
      <c r="L99" s="62"/>
      <c r="M99" s="62"/>
      <c r="N99" s="62"/>
    </row>
    <row r="100" spans="2:14">
      <c r="B100" s="23" t="s">
        <v>443</v>
      </c>
      <c r="C100" s="23" t="s">
        <v>444</v>
      </c>
      <c r="D100" s="23" t="s">
        <v>438</v>
      </c>
      <c r="E100" s="28">
        <v>7500000</v>
      </c>
      <c r="F100" s="25">
        <v>7594.49</v>
      </c>
      <c r="G100" s="25">
        <v>0.95</v>
      </c>
      <c r="H100" s="25">
        <v>6.62</v>
      </c>
      <c r="I100" s="63"/>
      <c r="K100" s="62"/>
      <c r="L100" s="62"/>
      <c r="M100" s="62"/>
      <c r="N100" s="62"/>
    </row>
    <row r="101" spans="2:14">
      <c r="B101" s="23" t="s">
        <v>445</v>
      </c>
      <c r="C101" s="23" t="s">
        <v>446</v>
      </c>
      <c r="D101" s="23" t="s">
        <v>438</v>
      </c>
      <c r="E101" s="28">
        <v>7500000</v>
      </c>
      <c r="F101" s="25">
        <v>7332.32</v>
      </c>
      <c r="G101" s="25">
        <v>0.91</v>
      </c>
      <c r="H101" s="25">
        <v>6.36</v>
      </c>
      <c r="I101" s="63"/>
      <c r="K101" s="62"/>
      <c r="L101" s="62"/>
      <c r="M101" s="62"/>
      <c r="N101" s="62"/>
    </row>
    <row r="102" spans="2:14">
      <c r="B102" s="23" t="s">
        <v>447</v>
      </c>
      <c r="C102" s="23" t="s">
        <v>448</v>
      </c>
      <c r="D102" s="23" t="s">
        <v>438</v>
      </c>
      <c r="E102" s="28">
        <v>5000000</v>
      </c>
      <c r="F102" s="25">
        <v>5071.47</v>
      </c>
      <c r="G102" s="25">
        <v>0.63</v>
      </c>
      <c r="H102" s="25">
        <v>7.03</v>
      </c>
      <c r="I102" s="63"/>
      <c r="K102" s="62"/>
      <c r="L102" s="62"/>
      <c r="M102" s="62"/>
      <c r="N102" s="62"/>
    </row>
    <row r="103" spans="2:14">
      <c r="B103" s="23" t="s">
        <v>449</v>
      </c>
      <c r="C103" s="23" t="s">
        <v>450</v>
      </c>
      <c r="D103" s="23" t="s">
        <v>438</v>
      </c>
      <c r="E103" s="28">
        <v>5000000</v>
      </c>
      <c r="F103" s="25">
        <v>5035.3599999999997</v>
      </c>
      <c r="G103" s="25">
        <v>0.63</v>
      </c>
      <c r="H103" s="25">
        <v>6.23</v>
      </c>
      <c r="I103" s="63"/>
      <c r="K103" s="62"/>
      <c r="L103" s="62"/>
      <c r="M103" s="62"/>
      <c r="N103" s="62"/>
    </row>
    <row r="104" spans="2:14">
      <c r="B104" s="23" t="s">
        <v>451</v>
      </c>
      <c r="C104" s="23" t="s">
        <v>452</v>
      </c>
      <c r="D104" s="23" t="s">
        <v>438</v>
      </c>
      <c r="E104" s="28">
        <v>5000000</v>
      </c>
      <c r="F104" s="25">
        <v>4736.62</v>
      </c>
      <c r="G104" s="25">
        <v>0.59</v>
      </c>
      <c r="H104" s="25">
        <v>7.32</v>
      </c>
      <c r="I104" s="63"/>
      <c r="K104" s="62"/>
      <c r="L104" s="62"/>
      <c r="M104" s="62"/>
      <c r="N104" s="62"/>
    </row>
    <row r="105" spans="2:14">
      <c r="B105" s="23" t="s">
        <v>453</v>
      </c>
      <c r="C105" s="23" t="s">
        <v>454</v>
      </c>
      <c r="D105" s="23" t="s">
        <v>438</v>
      </c>
      <c r="E105" s="28">
        <v>3500000</v>
      </c>
      <c r="F105" s="25">
        <v>3361.75</v>
      </c>
      <c r="G105" s="25">
        <v>0.42</v>
      </c>
      <c r="H105" s="25">
        <v>6.75</v>
      </c>
      <c r="I105" s="63"/>
      <c r="K105" s="62"/>
      <c r="L105" s="62"/>
      <c r="M105" s="62"/>
      <c r="N105" s="62"/>
    </row>
    <row r="106" spans="2:14">
      <c r="B106" s="23" t="s">
        <v>455</v>
      </c>
      <c r="C106" s="23" t="s">
        <v>456</v>
      </c>
      <c r="D106" s="23" t="s">
        <v>438</v>
      </c>
      <c r="E106" s="28">
        <v>2500000</v>
      </c>
      <c r="F106" s="25">
        <v>2504.13</v>
      </c>
      <c r="G106" s="25">
        <v>0.31</v>
      </c>
      <c r="H106" s="25">
        <v>6.59</v>
      </c>
      <c r="I106" s="63"/>
      <c r="K106" s="62"/>
      <c r="L106" s="62"/>
      <c r="M106" s="62"/>
      <c r="N106" s="62"/>
    </row>
    <row r="107" spans="2:14">
      <c r="B107" s="23" t="s">
        <v>457</v>
      </c>
      <c r="C107" s="23" t="s">
        <v>458</v>
      </c>
      <c r="D107" s="23" t="s">
        <v>438</v>
      </c>
      <c r="E107" s="28">
        <v>2000000</v>
      </c>
      <c r="F107" s="25">
        <v>1982.43</v>
      </c>
      <c r="G107" s="25">
        <v>0.25</v>
      </c>
      <c r="H107" s="25">
        <v>6.6</v>
      </c>
      <c r="I107" s="63"/>
      <c r="K107" s="62"/>
      <c r="L107" s="62"/>
      <c r="M107" s="62"/>
      <c r="N107" s="62"/>
    </row>
    <row r="108" spans="2:14">
      <c r="B108" s="23" t="s">
        <v>459</v>
      </c>
      <c r="C108" s="23" t="s">
        <v>460</v>
      </c>
      <c r="D108" s="23" t="s">
        <v>438</v>
      </c>
      <c r="E108" s="28">
        <v>2000000</v>
      </c>
      <c r="F108" s="25">
        <v>1900.98</v>
      </c>
      <c r="G108" s="25">
        <v>0.24</v>
      </c>
      <c r="H108" s="25">
        <v>6.86</v>
      </c>
      <c r="I108" s="63"/>
      <c r="K108" s="62"/>
      <c r="L108" s="62"/>
      <c r="M108" s="62"/>
      <c r="N108" s="62"/>
    </row>
    <row r="109" spans="2:14">
      <c r="B109" s="23" t="s">
        <v>461</v>
      </c>
      <c r="C109" s="23" t="s">
        <v>462</v>
      </c>
      <c r="D109" s="23" t="s">
        <v>438</v>
      </c>
      <c r="E109" s="28">
        <v>2000000</v>
      </c>
      <c r="F109" s="25">
        <v>1896.22</v>
      </c>
      <c r="G109" s="25">
        <v>0.24</v>
      </c>
      <c r="H109" s="25">
        <v>7.64</v>
      </c>
      <c r="I109" s="63"/>
      <c r="K109" s="62"/>
      <c r="L109" s="62"/>
      <c r="M109" s="62"/>
      <c r="N109" s="62"/>
    </row>
    <row r="110" spans="2:14">
      <c r="B110" s="23" t="s">
        <v>463</v>
      </c>
      <c r="C110" s="23" t="s">
        <v>464</v>
      </c>
      <c r="D110" s="23" t="s">
        <v>438</v>
      </c>
      <c r="E110" s="28">
        <v>1500000</v>
      </c>
      <c r="F110" s="25">
        <v>1531.34</v>
      </c>
      <c r="G110" s="25">
        <v>0.19</v>
      </c>
      <c r="H110" s="25">
        <v>6.9</v>
      </c>
      <c r="I110" s="63"/>
      <c r="K110" s="62"/>
      <c r="L110" s="62"/>
      <c r="M110" s="62"/>
      <c r="N110" s="62"/>
    </row>
    <row r="111" spans="2:14">
      <c r="B111" s="23" t="s">
        <v>465</v>
      </c>
      <c r="C111" s="23" t="s">
        <v>466</v>
      </c>
      <c r="D111" s="23" t="s">
        <v>438</v>
      </c>
      <c r="E111" s="28">
        <v>1000000</v>
      </c>
      <c r="F111" s="25">
        <v>1000.87</v>
      </c>
      <c r="G111" s="25">
        <v>0.12</v>
      </c>
      <c r="H111" s="25">
        <v>7.53</v>
      </c>
      <c r="I111" s="63"/>
      <c r="K111" s="62"/>
      <c r="L111" s="62"/>
      <c r="M111" s="62"/>
      <c r="N111" s="62"/>
    </row>
    <row r="112" spans="2:14">
      <c r="B112" s="23" t="s">
        <v>467</v>
      </c>
      <c r="C112" s="23" t="s">
        <v>468</v>
      </c>
      <c r="D112" s="23" t="s">
        <v>438</v>
      </c>
      <c r="E112" s="28">
        <v>1000000</v>
      </c>
      <c r="F112" s="25">
        <v>988.7</v>
      </c>
      <c r="G112" s="25">
        <v>0.12</v>
      </c>
      <c r="H112" s="25">
        <v>7.07</v>
      </c>
      <c r="I112" s="63"/>
      <c r="K112" s="62"/>
      <c r="L112" s="62"/>
      <c r="M112" s="62"/>
      <c r="N112" s="62"/>
    </row>
    <row r="113" spans="2:14">
      <c r="B113" s="23" t="s">
        <v>469</v>
      </c>
      <c r="C113" s="23" t="s">
        <v>470</v>
      </c>
      <c r="D113" s="23" t="s">
        <v>438</v>
      </c>
      <c r="E113" s="28">
        <v>500000</v>
      </c>
      <c r="F113" s="25">
        <v>522.4</v>
      </c>
      <c r="G113" s="25">
        <v>7.0000000000000007E-2</v>
      </c>
      <c r="H113" s="25">
        <v>7.07</v>
      </c>
      <c r="I113" s="63"/>
      <c r="K113" s="62"/>
      <c r="L113" s="62"/>
      <c r="M113" s="62"/>
      <c r="N113" s="62"/>
    </row>
    <row r="114" spans="2:14">
      <c r="B114" s="55" t="s">
        <v>471</v>
      </c>
      <c r="C114" s="55" t="s">
        <v>472</v>
      </c>
      <c r="D114" s="55" t="s">
        <v>438</v>
      </c>
      <c r="E114" s="56">
        <v>500000</v>
      </c>
      <c r="F114" s="57">
        <v>519.97</v>
      </c>
      <c r="G114" s="57">
        <v>0.06</v>
      </c>
      <c r="H114" s="57">
        <v>7.06</v>
      </c>
      <c r="I114" s="63"/>
      <c r="K114" s="62"/>
      <c r="L114" s="62"/>
      <c r="M114" s="62"/>
      <c r="N114" s="62"/>
    </row>
    <row r="115" spans="2:14">
      <c r="B115" s="58" t="s">
        <v>105</v>
      </c>
      <c r="C115" s="58"/>
      <c r="D115" s="58"/>
      <c r="E115" s="59"/>
      <c r="F115" s="53">
        <f>SUM(F97:F114)</f>
        <v>95614.119999999966</v>
      </c>
      <c r="G115" s="53">
        <f>SUM(G97:G114)</f>
        <v>11.91</v>
      </c>
      <c r="H115" s="53"/>
      <c r="I115" s="64"/>
      <c r="J115" s="14"/>
      <c r="K115" s="62"/>
      <c r="L115" s="62"/>
      <c r="M115" s="62"/>
      <c r="N115" s="62"/>
    </row>
    <row r="116" spans="2:14">
      <c r="B116" s="47" t="s">
        <v>106</v>
      </c>
      <c r="C116" s="23"/>
      <c r="D116" s="23"/>
      <c r="E116" s="24"/>
      <c r="F116" s="25"/>
      <c r="G116" s="25"/>
      <c r="H116" s="25"/>
      <c r="I116" s="63"/>
      <c r="K116" s="62"/>
      <c r="L116" s="62"/>
      <c r="M116" s="62"/>
      <c r="N116" s="62"/>
    </row>
    <row r="117" spans="2:14">
      <c r="B117" s="23" t="s">
        <v>106</v>
      </c>
      <c r="C117" s="23"/>
      <c r="D117" s="23"/>
      <c r="E117" s="24"/>
      <c r="F117" s="25">
        <v>70065.289999999994</v>
      </c>
      <c r="G117" s="25">
        <v>8.7200000000000006</v>
      </c>
      <c r="H117" s="25"/>
      <c r="I117" s="63"/>
      <c r="K117" s="62"/>
      <c r="L117" s="62"/>
      <c r="M117" s="62"/>
      <c r="N117" s="62"/>
    </row>
    <row r="118" spans="2:14">
      <c r="B118" s="30" t="s">
        <v>104</v>
      </c>
      <c r="C118" s="30"/>
      <c r="D118" s="30"/>
      <c r="E118" s="31"/>
      <c r="F118" s="32">
        <f>SUM(F116:F117)</f>
        <v>70065.289999999994</v>
      </c>
      <c r="G118" s="32">
        <f>SUM(G116:G117)</f>
        <v>8.7200000000000006</v>
      </c>
      <c r="H118" s="48"/>
      <c r="I118" s="64"/>
      <c r="J118" s="14"/>
      <c r="K118" s="62"/>
      <c r="L118" s="62"/>
      <c r="M118" s="62"/>
      <c r="N118" s="62"/>
    </row>
    <row r="119" spans="2:14">
      <c r="B119" s="34" t="s">
        <v>105</v>
      </c>
      <c r="C119" s="34"/>
      <c r="D119" s="34"/>
      <c r="E119" s="35"/>
      <c r="F119" s="36">
        <f>F118</f>
        <v>70065.289999999994</v>
      </c>
      <c r="G119" s="36">
        <f>G118</f>
        <v>8.7200000000000006</v>
      </c>
      <c r="H119" s="36"/>
      <c r="I119" s="64"/>
      <c r="J119" s="14"/>
      <c r="K119" s="62"/>
      <c r="L119" s="62"/>
      <c r="M119" s="62"/>
      <c r="N119" s="62"/>
    </row>
    <row r="120" spans="2:14">
      <c r="B120" s="44" t="s">
        <v>108</v>
      </c>
      <c r="C120" s="44"/>
      <c r="D120" s="44"/>
      <c r="E120" s="45"/>
      <c r="F120" s="16">
        <f>F121-(+F59+F86+F95+F115+F119)</f>
        <v>1014.6599999997998</v>
      </c>
      <c r="G120" s="16">
        <f>G121-(+G59+G86+G95+G115+G119)</f>
        <v>0.16999999999997328</v>
      </c>
      <c r="H120" s="16"/>
      <c r="I120" s="64"/>
      <c r="J120" s="14"/>
      <c r="K120" s="62"/>
      <c r="L120" s="62"/>
      <c r="M120" s="62"/>
      <c r="N120" s="62"/>
    </row>
    <row r="121" spans="2:14">
      <c r="B121" s="44" t="s">
        <v>107</v>
      </c>
      <c r="C121" s="44"/>
      <c r="D121" s="44"/>
      <c r="E121" s="45"/>
      <c r="F121" s="16">
        <v>803289.26</v>
      </c>
      <c r="G121" s="16">
        <v>100</v>
      </c>
      <c r="H121" s="16"/>
      <c r="I121" s="64"/>
      <c r="J121" s="14"/>
      <c r="K121" s="62"/>
      <c r="L121" s="62"/>
      <c r="M121" s="62"/>
      <c r="N121" s="62"/>
    </row>
    <row r="123" spans="2:14">
      <c r="B123" s="14" t="s">
        <v>675</v>
      </c>
    </row>
    <row r="124" spans="2:14">
      <c r="B124" s="14" t="s">
        <v>473</v>
      </c>
    </row>
  </sheetData>
  <mergeCells count="4">
    <mergeCell ref="B1:H1"/>
    <mergeCell ref="K5:K12"/>
    <mergeCell ref="L5:L12"/>
    <mergeCell ref="M5:M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3"/>
  <sheetViews>
    <sheetView topLeftCell="F1" workbookViewId="0">
      <selection activeCell="J15" sqref="J15:L17"/>
    </sheetView>
  </sheetViews>
  <sheetFormatPr defaultRowHeight="12"/>
  <cols>
    <col min="1" max="1" width="9.140625" style="1"/>
    <col min="2" max="2" width="54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33.42578125" style="1" customWidth="1"/>
    <col min="11" max="11" width="33.5703125" style="1" customWidth="1"/>
    <col min="12" max="12" width="32.42578125" style="1" customWidth="1"/>
    <col min="13" max="16384" width="9.140625" style="1"/>
  </cols>
  <sheetData>
    <row r="1" spans="2:17" ht="21" customHeight="1">
      <c r="B1" s="77" t="s">
        <v>18</v>
      </c>
      <c r="C1" s="78"/>
      <c r="D1" s="78"/>
      <c r="E1" s="78"/>
      <c r="F1" s="78"/>
      <c r="G1" s="78"/>
      <c r="H1" s="78"/>
    </row>
    <row r="3" spans="2:17" ht="16.5" thickBot="1">
      <c r="B3" s="2" t="s">
        <v>7</v>
      </c>
      <c r="C3" s="3"/>
      <c r="D3" s="4"/>
      <c r="E3" s="5"/>
      <c r="F3" s="6"/>
      <c r="G3" s="6"/>
    </row>
    <row r="4" spans="2:17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J4" s="73" t="s">
        <v>692</v>
      </c>
      <c r="K4" s="73" t="s">
        <v>693</v>
      </c>
      <c r="L4" s="73" t="s">
        <v>694</v>
      </c>
      <c r="N4" s="89" t="s">
        <v>701</v>
      </c>
      <c r="O4" s="90"/>
      <c r="P4" s="90"/>
      <c r="Q4" s="91"/>
    </row>
    <row r="5" spans="2:17" ht="24" customHeight="1">
      <c r="B5" s="60" t="s">
        <v>435</v>
      </c>
      <c r="C5" s="18"/>
      <c r="D5" s="18"/>
      <c r="E5" s="19"/>
      <c r="F5" s="20"/>
      <c r="G5" s="20"/>
      <c r="H5" s="20"/>
      <c r="J5" s="79"/>
      <c r="K5" s="79"/>
      <c r="L5" s="79"/>
      <c r="N5" s="75" t="s">
        <v>702</v>
      </c>
      <c r="O5" s="92" t="s">
        <v>703</v>
      </c>
      <c r="P5" s="92" t="s">
        <v>704</v>
      </c>
      <c r="Q5" s="92" t="s">
        <v>705</v>
      </c>
    </row>
    <row r="6" spans="2:17" ht="36">
      <c r="B6" s="23" t="s">
        <v>463</v>
      </c>
      <c r="C6" s="23" t="s">
        <v>464</v>
      </c>
      <c r="D6" s="23" t="s">
        <v>438</v>
      </c>
      <c r="E6" s="28">
        <v>2000000</v>
      </c>
      <c r="F6" s="25">
        <v>2041.79</v>
      </c>
      <c r="G6" s="25">
        <v>16.61</v>
      </c>
      <c r="H6" s="25">
        <v>6.9</v>
      </c>
      <c r="J6" s="79"/>
      <c r="K6" s="79"/>
      <c r="L6" s="79"/>
      <c r="N6" s="76" t="s">
        <v>706</v>
      </c>
      <c r="O6" s="92"/>
      <c r="P6" s="92"/>
      <c r="Q6" s="92"/>
    </row>
    <row r="7" spans="2:17" ht="12" customHeight="1">
      <c r="B7" s="23" t="s">
        <v>455</v>
      </c>
      <c r="C7" s="23" t="s">
        <v>456</v>
      </c>
      <c r="D7" s="23" t="s">
        <v>438</v>
      </c>
      <c r="E7" s="28">
        <v>1500000</v>
      </c>
      <c r="F7" s="25">
        <v>1502.48</v>
      </c>
      <c r="G7" s="25">
        <v>12.22</v>
      </c>
      <c r="H7" s="25">
        <v>6.59</v>
      </c>
      <c r="J7" s="79"/>
      <c r="K7" s="79"/>
      <c r="L7" s="79"/>
      <c r="N7" s="83" t="s">
        <v>707</v>
      </c>
      <c r="O7" s="84"/>
      <c r="P7" s="84"/>
      <c r="Q7" s="84"/>
    </row>
    <row r="8" spans="2:17">
      <c r="B8" s="23" t="s">
        <v>447</v>
      </c>
      <c r="C8" s="23" t="s">
        <v>448</v>
      </c>
      <c r="D8" s="23" t="s">
        <v>438</v>
      </c>
      <c r="E8" s="28">
        <v>1000000</v>
      </c>
      <c r="F8" s="25">
        <v>1014.29</v>
      </c>
      <c r="G8" s="25">
        <v>8.25</v>
      </c>
      <c r="H8" s="25">
        <v>7.03</v>
      </c>
      <c r="J8" s="79"/>
      <c r="K8" s="79"/>
      <c r="L8" s="79"/>
      <c r="N8" s="83"/>
      <c r="O8" s="85"/>
      <c r="P8" s="85"/>
      <c r="Q8" s="85"/>
    </row>
    <row r="9" spans="2:17" ht="12" customHeight="1">
      <c r="B9" s="23" t="s">
        <v>465</v>
      </c>
      <c r="C9" s="23" t="s">
        <v>466</v>
      </c>
      <c r="D9" s="23" t="s">
        <v>438</v>
      </c>
      <c r="E9" s="28">
        <v>1000000</v>
      </c>
      <c r="F9" s="25">
        <v>1000.87</v>
      </c>
      <c r="G9" s="25">
        <v>8.14</v>
      </c>
      <c r="H9" s="25">
        <v>7.53</v>
      </c>
      <c r="J9" s="79"/>
      <c r="K9" s="79"/>
      <c r="L9" s="79"/>
      <c r="N9" s="83" t="s">
        <v>708</v>
      </c>
      <c r="O9" s="84"/>
      <c r="P9" s="84"/>
      <c r="Q9" s="84"/>
    </row>
    <row r="10" spans="2:17">
      <c r="B10" s="23" t="s">
        <v>436</v>
      </c>
      <c r="C10" s="23" t="s">
        <v>437</v>
      </c>
      <c r="D10" s="23" t="s">
        <v>438</v>
      </c>
      <c r="E10" s="28">
        <v>1000000</v>
      </c>
      <c r="F10" s="25">
        <v>955.87</v>
      </c>
      <c r="G10" s="25">
        <v>7.78</v>
      </c>
      <c r="H10" s="25">
        <v>6.94</v>
      </c>
      <c r="J10" s="79"/>
      <c r="K10" s="79"/>
      <c r="L10" s="79"/>
      <c r="N10" s="83"/>
      <c r="O10" s="85"/>
      <c r="P10" s="85"/>
      <c r="Q10" s="85"/>
    </row>
    <row r="11" spans="2:17" ht="12" customHeight="1">
      <c r="B11" s="23" t="s">
        <v>474</v>
      </c>
      <c r="C11" s="23" t="s">
        <v>475</v>
      </c>
      <c r="D11" s="23" t="s">
        <v>438</v>
      </c>
      <c r="E11" s="28">
        <v>500000</v>
      </c>
      <c r="F11" s="25">
        <v>504.97</v>
      </c>
      <c r="G11" s="25">
        <v>4.1100000000000003</v>
      </c>
      <c r="H11" s="25">
        <v>6.96</v>
      </c>
      <c r="J11" s="79"/>
      <c r="K11" s="79"/>
      <c r="L11" s="79"/>
      <c r="N11" s="83" t="s">
        <v>709</v>
      </c>
      <c r="O11" s="84"/>
      <c r="P11" s="86" t="s">
        <v>710</v>
      </c>
      <c r="Q11" s="84"/>
    </row>
    <row r="12" spans="2:17">
      <c r="B12" s="23" t="s">
        <v>476</v>
      </c>
      <c r="C12" s="23" t="s">
        <v>477</v>
      </c>
      <c r="D12" s="23" t="s">
        <v>438</v>
      </c>
      <c r="E12" s="28">
        <v>500000</v>
      </c>
      <c r="F12" s="25">
        <v>496.4</v>
      </c>
      <c r="G12" s="25">
        <v>4.04</v>
      </c>
      <c r="H12" s="25">
        <v>7.23</v>
      </c>
      <c r="J12" s="79"/>
      <c r="K12" s="79"/>
      <c r="L12" s="79"/>
      <c r="N12" s="83"/>
      <c r="O12" s="85"/>
      <c r="P12" s="87"/>
      <c r="Q12" s="85"/>
    </row>
    <row r="13" spans="2:17">
      <c r="B13" s="23" t="s">
        <v>439</v>
      </c>
      <c r="C13" s="23" t="s">
        <v>440</v>
      </c>
      <c r="D13" s="23" t="s">
        <v>438</v>
      </c>
      <c r="E13" s="28">
        <v>500000</v>
      </c>
      <c r="F13" s="25">
        <v>479.77</v>
      </c>
      <c r="G13" s="25">
        <v>3.9</v>
      </c>
      <c r="H13" s="25">
        <v>6.88</v>
      </c>
      <c r="J13" s="62"/>
      <c r="K13" s="62" t="s">
        <v>711</v>
      </c>
      <c r="L13" s="62"/>
    </row>
    <row r="14" spans="2:17">
      <c r="B14" s="55" t="s">
        <v>478</v>
      </c>
      <c r="C14" s="55" t="s">
        <v>479</v>
      </c>
      <c r="D14" s="55" t="s">
        <v>438</v>
      </c>
      <c r="E14" s="56">
        <v>23200</v>
      </c>
      <c r="F14" s="57">
        <v>22.21</v>
      </c>
      <c r="G14" s="57">
        <v>0.18</v>
      </c>
      <c r="H14" s="57">
        <v>7.33</v>
      </c>
      <c r="J14" s="62"/>
      <c r="K14" s="62"/>
      <c r="L14" s="62"/>
    </row>
    <row r="15" spans="2:17" ht="12" customHeight="1">
      <c r="B15" s="58" t="s">
        <v>105</v>
      </c>
      <c r="C15" s="58"/>
      <c r="D15" s="58"/>
      <c r="E15" s="59"/>
      <c r="F15" s="53">
        <f>SUM(F6:F14)</f>
        <v>8018.6499999999987</v>
      </c>
      <c r="G15" s="53">
        <f>SUM(G6:G14)</f>
        <v>65.23</v>
      </c>
      <c r="H15" s="53"/>
      <c r="I15" s="14"/>
      <c r="J15" s="88" t="s">
        <v>727</v>
      </c>
      <c r="K15" s="88"/>
      <c r="L15" s="88"/>
    </row>
    <row r="16" spans="2:17" ht="12" customHeight="1">
      <c r="B16" s="47" t="s">
        <v>106</v>
      </c>
      <c r="C16" s="23"/>
      <c r="D16" s="23"/>
      <c r="E16" s="24"/>
      <c r="F16" s="25"/>
      <c r="G16" s="25"/>
      <c r="H16" s="25"/>
      <c r="J16" s="88"/>
      <c r="K16" s="88"/>
      <c r="L16" s="88"/>
    </row>
    <row r="17" spans="2:13" ht="12" customHeight="1">
      <c r="B17" s="23" t="s">
        <v>106</v>
      </c>
      <c r="C17" s="23"/>
      <c r="D17" s="23"/>
      <c r="E17" s="24"/>
      <c r="F17" s="25">
        <v>4308.38</v>
      </c>
      <c r="G17" s="25">
        <v>35.049999999999997</v>
      </c>
      <c r="H17" s="25"/>
      <c r="J17" s="88"/>
      <c r="K17" s="88"/>
      <c r="L17" s="88"/>
    </row>
    <row r="18" spans="2:13">
      <c r="B18" s="30" t="s">
        <v>104</v>
      </c>
      <c r="C18" s="30"/>
      <c r="D18" s="30"/>
      <c r="E18" s="31"/>
      <c r="F18" s="32">
        <f>SUM(F16:F17)</f>
        <v>4308.38</v>
      </c>
      <c r="G18" s="32">
        <f>SUM(G16:G17)</f>
        <v>35.049999999999997</v>
      </c>
      <c r="H18" s="48"/>
      <c r="I18" s="14"/>
      <c r="J18" s="62"/>
      <c r="K18" s="62"/>
      <c r="L18" s="62"/>
      <c r="M18" s="62"/>
    </row>
    <row r="19" spans="2:13">
      <c r="B19" s="34" t="s">
        <v>105</v>
      </c>
      <c r="C19" s="34"/>
      <c r="D19" s="34"/>
      <c r="E19" s="35"/>
      <c r="F19" s="36">
        <f>F18</f>
        <v>4308.38</v>
      </c>
      <c r="G19" s="36">
        <f>G18</f>
        <v>35.049999999999997</v>
      </c>
      <c r="H19" s="36"/>
      <c r="I19" s="14"/>
      <c r="J19" s="62"/>
      <c r="K19" s="62"/>
      <c r="L19" s="62"/>
      <c r="M19" s="62"/>
    </row>
    <row r="20" spans="2:13">
      <c r="B20" s="44" t="s">
        <v>108</v>
      </c>
      <c r="C20" s="44"/>
      <c r="D20" s="44"/>
      <c r="E20" s="45"/>
      <c r="F20" s="16">
        <f>F21-(+F15+F19)</f>
        <v>-36.3799999999992</v>
      </c>
      <c r="G20" s="16">
        <f>G21-(+G15+G19)</f>
        <v>-0.28000000000000114</v>
      </c>
      <c r="H20" s="16"/>
      <c r="I20" s="14"/>
      <c r="J20" s="62"/>
      <c r="K20" s="62"/>
      <c r="L20" s="62"/>
      <c r="M20" s="62"/>
    </row>
    <row r="21" spans="2:13">
      <c r="B21" s="44" t="s">
        <v>107</v>
      </c>
      <c r="C21" s="44"/>
      <c r="D21" s="44"/>
      <c r="E21" s="45"/>
      <c r="F21" s="16">
        <v>12290.65</v>
      </c>
      <c r="G21" s="16">
        <v>100</v>
      </c>
      <c r="H21" s="16"/>
      <c r="I21" s="14"/>
      <c r="J21" s="62"/>
      <c r="K21" s="62"/>
      <c r="L21" s="62"/>
      <c r="M21" s="62"/>
    </row>
    <row r="22" spans="2:13">
      <c r="J22" s="62"/>
      <c r="K22" s="62"/>
      <c r="L22" s="62"/>
      <c r="M22" s="62"/>
    </row>
    <row r="23" spans="2:13">
      <c r="B23" s="14"/>
      <c r="J23" s="62"/>
      <c r="K23" s="62"/>
      <c r="L23" s="62"/>
      <c r="M23" s="62"/>
    </row>
    <row r="24" spans="2:13">
      <c r="J24" s="62"/>
      <c r="K24" s="62"/>
      <c r="L24" s="62"/>
      <c r="M24" s="62"/>
    </row>
    <row r="25" spans="2:13">
      <c r="J25" s="62"/>
      <c r="K25" s="62"/>
      <c r="L25" s="62"/>
      <c r="M25" s="62"/>
    </row>
    <row r="26" spans="2:13">
      <c r="J26" s="62"/>
      <c r="K26" s="62"/>
      <c r="L26" s="62"/>
      <c r="M26" s="62"/>
    </row>
    <row r="27" spans="2:13">
      <c r="J27" s="62"/>
      <c r="K27" s="62"/>
      <c r="L27" s="62"/>
      <c r="M27" s="62"/>
    </row>
    <row r="28" spans="2:13">
      <c r="J28" s="62"/>
      <c r="K28" s="62"/>
      <c r="L28" s="62"/>
      <c r="M28" s="62"/>
    </row>
    <row r="29" spans="2:13">
      <c r="J29" s="62"/>
      <c r="K29" s="62"/>
      <c r="L29" s="62"/>
      <c r="M29" s="62"/>
    </row>
    <row r="30" spans="2:13">
      <c r="J30" s="62"/>
      <c r="K30" s="62"/>
      <c r="L30" s="62"/>
      <c r="M30" s="62"/>
    </row>
    <row r="31" spans="2:13">
      <c r="J31" s="62"/>
      <c r="K31" s="62"/>
      <c r="L31" s="62"/>
      <c r="M31" s="62"/>
    </row>
    <row r="32" spans="2:13">
      <c r="J32" s="62"/>
      <c r="K32" s="62"/>
      <c r="L32" s="62"/>
      <c r="M32" s="62"/>
    </row>
    <row r="33" spans="10:13">
      <c r="J33" s="62"/>
      <c r="K33" s="62"/>
      <c r="L33" s="62"/>
      <c r="M33" s="62"/>
    </row>
    <row r="34" spans="10:13">
      <c r="J34" s="62"/>
      <c r="K34" s="62"/>
      <c r="L34" s="62"/>
      <c r="M34" s="62"/>
    </row>
    <row r="35" spans="10:13">
      <c r="J35" s="62"/>
      <c r="K35" s="62"/>
      <c r="L35" s="62"/>
      <c r="M35" s="62"/>
    </row>
    <row r="36" spans="10:13">
      <c r="J36" s="62"/>
      <c r="K36" s="62"/>
      <c r="L36" s="62"/>
      <c r="M36" s="62"/>
    </row>
    <row r="37" spans="10:13">
      <c r="J37" s="62"/>
      <c r="K37" s="62"/>
      <c r="L37" s="62"/>
      <c r="M37" s="62"/>
    </row>
    <row r="38" spans="10:13">
      <c r="J38" s="62"/>
      <c r="K38" s="62"/>
      <c r="L38" s="62"/>
      <c r="M38" s="62"/>
    </row>
    <row r="39" spans="10:13">
      <c r="J39" s="62"/>
      <c r="K39" s="62"/>
      <c r="L39" s="62"/>
      <c r="M39" s="62"/>
    </row>
    <row r="40" spans="10:13">
      <c r="J40" s="62"/>
      <c r="K40" s="62"/>
      <c r="L40" s="62"/>
      <c r="M40" s="62"/>
    </row>
    <row r="41" spans="10:13">
      <c r="J41" s="62"/>
      <c r="K41" s="62"/>
      <c r="L41" s="62"/>
      <c r="M41" s="62"/>
    </row>
    <row r="42" spans="10:13">
      <c r="J42" s="62"/>
      <c r="K42" s="62"/>
      <c r="L42" s="62"/>
      <c r="M42" s="62"/>
    </row>
    <row r="43" spans="10:13">
      <c r="J43" s="62"/>
      <c r="K43" s="62"/>
      <c r="L43" s="62"/>
      <c r="M43" s="62"/>
    </row>
  </sheetData>
  <mergeCells count="21"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  <mergeCell ref="P7:P8"/>
    <mergeCell ref="Q7:Q8"/>
    <mergeCell ref="N9:N10"/>
    <mergeCell ref="O9:O10"/>
    <mergeCell ref="P9:P10"/>
    <mergeCell ref="Q9:Q10"/>
    <mergeCell ref="N11:N12"/>
    <mergeCell ref="O11:O12"/>
    <mergeCell ref="P11:P12"/>
    <mergeCell ref="Q11:Q12"/>
    <mergeCell ref="J15:L17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3"/>
  <sheetViews>
    <sheetView topLeftCell="F1" workbookViewId="0">
      <selection activeCell="J5" sqref="J5:J12"/>
    </sheetView>
  </sheetViews>
  <sheetFormatPr defaultRowHeight="12"/>
  <cols>
    <col min="1" max="1" width="9.140625" style="1"/>
    <col min="2" max="2" width="54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29.140625" style="1" customWidth="1"/>
    <col min="11" max="11" width="28.7109375" style="1" customWidth="1"/>
    <col min="12" max="12" width="30.28515625" style="1" customWidth="1"/>
    <col min="13" max="16384" width="9.140625" style="1"/>
  </cols>
  <sheetData>
    <row r="1" spans="2:17" ht="21" customHeight="1">
      <c r="B1" s="77" t="s">
        <v>19</v>
      </c>
      <c r="C1" s="78"/>
      <c r="D1" s="78"/>
      <c r="E1" s="78"/>
      <c r="F1" s="78"/>
      <c r="G1" s="78"/>
      <c r="H1" s="78"/>
    </row>
    <row r="3" spans="2:17" ht="16.5" thickBot="1">
      <c r="B3" s="2" t="s">
        <v>7</v>
      </c>
      <c r="C3" s="3"/>
      <c r="D3" s="4"/>
      <c r="E3" s="5"/>
      <c r="F3" s="6"/>
      <c r="G3" s="6"/>
    </row>
    <row r="4" spans="2:17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J4" s="73" t="s">
        <v>692</v>
      </c>
      <c r="K4" s="73" t="s">
        <v>693</v>
      </c>
      <c r="L4" s="73" t="s">
        <v>694</v>
      </c>
      <c r="N4" s="89" t="s">
        <v>701</v>
      </c>
      <c r="O4" s="90"/>
      <c r="P4" s="90"/>
      <c r="Q4" s="91"/>
    </row>
    <row r="5" spans="2:17" ht="24" customHeight="1">
      <c r="B5" s="60" t="s">
        <v>435</v>
      </c>
      <c r="C5" s="18"/>
      <c r="D5" s="18"/>
      <c r="E5" s="19"/>
      <c r="F5" s="20"/>
      <c r="G5" s="20"/>
      <c r="H5" s="20"/>
      <c r="J5" s="79"/>
      <c r="K5" s="79"/>
      <c r="L5" s="79"/>
      <c r="N5" s="75" t="s">
        <v>702</v>
      </c>
      <c r="O5" s="92" t="s">
        <v>703</v>
      </c>
      <c r="P5" s="92" t="s">
        <v>704</v>
      </c>
      <c r="Q5" s="92" t="s">
        <v>705</v>
      </c>
    </row>
    <row r="6" spans="2:17" ht="36">
      <c r="B6" s="23" t="s">
        <v>463</v>
      </c>
      <c r="C6" s="23" t="s">
        <v>464</v>
      </c>
      <c r="D6" s="23" t="s">
        <v>438</v>
      </c>
      <c r="E6" s="28">
        <v>1000000</v>
      </c>
      <c r="F6" s="25">
        <v>1020.9</v>
      </c>
      <c r="G6" s="25">
        <v>12.07</v>
      </c>
      <c r="H6" s="25">
        <v>6.9</v>
      </c>
      <c r="J6" s="79"/>
      <c r="K6" s="79"/>
      <c r="L6" s="79"/>
      <c r="N6" s="76" t="s">
        <v>706</v>
      </c>
      <c r="O6" s="92"/>
      <c r="P6" s="92"/>
      <c r="Q6" s="92"/>
    </row>
    <row r="7" spans="2:17" ht="12" customHeight="1">
      <c r="B7" s="23" t="s">
        <v>465</v>
      </c>
      <c r="C7" s="23" t="s">
        <v>466</v>
      </c>
      <c r="D7" s="23" t="s">
        <v>438</v>
      </c>
      <c r="E7" s="28">
        <v>1000000</v>
      </c>
      <c r="F7" s="25">
        <v>1000.87</v>
      </c>
      <c r="G7" s="25">
        <v>11.83</v>
      </c>
      <c r="H7" s="25">
        <v>7.53</v>
      </c>
      <c r="J7" s="79"/>
      <c r="K7" s="79"/>
      <c r="L7" s="79"/>
      <c r="N7" s="83" t="s">
        <v>707</v>
      </c>
      <c r="O7" s="84"/>
      <c r="P7" s="84"/>
      <c r="Q7" s="84"/>
    </row>
    <row r="8" spans="2:17">
      <c r="B8" s="23" t="s">
        <v>480</v>
      </c>
      <c r="C8" s="23" t="s">
        <v>481</v>
      </c>
      <c r="D8" s="23" t="s">
        <v>438</v>
      </c>
      <c r="E8" s="28">
        <v>1000000</v>
      </c>
      <c r="F8" s="25">
        <v>977.64</v>
      </c>
      <c r="G8" s="25">
        <v>11.56</v>
      </c>
      <c r="H8" s="25">
        <v>6.34</v>
      </c>
      <c r="J8" s="79"/>
      <c r="K8" s="79"/>
      <c r="L8" s="79"/>
      <c r="N8" s="83"/>
      <c r="O8" s="85"/>
      <c r="P8" s="85"/>
      <c r="Q8" s="85"/>
    </row>
    <row r="9" spans="2:17" ht="12" customHeight="1">
      <c r="B9" s="23" t="s">
        <v>453</v>
      </c>
      <c r="C9" s="23" t="s">
        <v>454</v>
      </c>
      <c r="D9" s="23" t="s">
        <v>438</v>
      </c>
      <c r="E9" s="28">
        <v>1000000</v>
      </c>
      <c r="F9" s="25">
        <v>960.5</v>
      </c>
      <c r="G9" s="25">
        <v>11.35</v>
      </c>
      <c r="H9" s="25">
        <v>6.75</v>
      </c>
      <c r="J9" s="79"/>
      <c r="K9" s="79"/>
      <c r="L9" s="79"/>
      <c r="N9" s="83" t="s">
        <v>708</v>
      </c>
      <c r="O9" s="84"/>
      <c r="P9" s="84"/>
      <c r="Q9" s="84"/>
    </row>
    <row r="10" spans="2:17">
      <c r="B10" s="23" t="s">
        <v>436</v>
      </c>
      <c r="C10" s="23" t="s">
        <v>437</v>
      </c>
      <c r="D10" s="23" t="s">
        <v>438</v>
      </c>
      <c r="E10" s="28">
        <v>1000000</v>
      </c>
      <c r="F10" s="25">
        <v>955.87</v>
      </c>
      <c r="G10" s="25">
        <v>11.3</v>
      </c>
      <c r="H10" s="25">
        <v>6.94</v>
      </c>
      <c r="J10" s="79"/>
      <c r="K10" s="79"/>
      <c r="L10" s="79"/>
      <c r="N10" s="83"/>
      <c r="O10" s="85"/>
      <c r="P10" s="85"/>
      <c r="Q10" s="85"/>
    </row>
    <row r="11" spans="2:17" ht="12" customHeight="1">
      <c r="B11" s="23" t="s">
        <v>482</v>
      </c>
      <c r="C11" s="23" t="s">
        <v>483</v>
      </c>
      <c r="D11" s="23" t="s">
        <v>438</v>
      </c>
      <c r="E11" s="28">
        <v>500000</v>
      </c>
      <c r="F11" s="25">
        <v>517.23</v>
      </c>
      <c r="G11" s="25">
        <v>6.11</v>
      </c>
      <c r="H11" s="25">
        <v>7.19</v>
      </c>
      <c r="J11" s="79"/>
      <c r="K11" s="79"/>
      <c r="L11" s="79"/>
      <c r="N11" s="83" t="s">
        <v>709</v>
      </c>
      <c r="O11" s="86" t="s">
        <v>712</v>
      </c>
      <c r="P11" s="84"/>
      <c r="Q11" s="84"/>
    </row>
    <row r="12" spans="2:17">
      <c r="B12" s="23" t="s">
        <v>474</v>
      </c>
      <c r="C12" s="23" t="s">
        <v>475</v>
      </c>
      <c r="D12" s="23" t="s">
        <v>438</v>
      </c>
      <c r="E12" s="28">
        <v>500000</v>
      </c>
      <c r="F12" s="25">
        <v>504.97</v>
      </c>
      <c r="G12" s="25">
        <v>5.97</v>
      </c>
      <c r="H12" s="25">
        <v>6.96</v>
      </c>
      <c r="J12" s="79"/>
      <c r="K12" s="79"/>
      <c r="L12" s="79"/>
      <c r="N12" s="83"/>
      <c r="O12" s="87"/>
      <c r="P12" s="85"/>
      <c r="Q12" s="85"/>
    </row>
    <row r="13" spans="2:17">
      <c r="B13" s="23" t="s">
        <v>484</v>
      </c>
      <c r="C13" s="23" t="s">
        <v>485</v>
      </c>
      <c r="D13" s="23" t="s">
        <v>438</v>
      </c>
      <c r="E13" s="28">
        <v>500000</v>
      </c>
      <c r="F13" s="25">
        <v>500.82</v>
      </c>
      <c r="G13" s="25">
        <v>5.92</v>
      </c>
      <c r="H13" s="25">
        <v>7.23</v>
      </c>
      <c r="J13" s="62"/>
      <c r="K13" s="62" t="s">
        <v>713</v>
      </c>
      <c r="L13" s="62"/>
    </row>
    <row r="14" spans="2:17">
      <c r="B14" s="23" t="s">
        <v>439</v>
      </c>
      <c r="C14" s="23" t="s">
        <v>440</v>
      </c>
      <c r="D14" s="23" t="s">
        <v>438</v>
      </c>
      <c r="E14" s="28">
        <v>500000</v>
      </c>
      <c r="F14" s="25">
        <v>479.77</v>
      </c>
      <c r="G14" s="25">
        <v>5.67</v>
      </c>
      <c r="H14" s="25">
        <v>6.88</v>
      </c>
      <c r="J14" s="62"/>
      <c r="K14" s="62"/>
      <c r="L14" s="62"/>
      <c r="M14" s="62"/>
    </row>
    <row r="15" spans="2:17">
      <c r="B15" s="55" t="s">
        <v>486</v>
      </c>
      <c r="C15" s="55" t="s">
        <v>487</v>
      </c>
      <c r="D15" s="55" t="s">
        <v>438</v>
      </c>
      <c r="E15" s="56">
        <v>10000</v>
      </c>
      <c r="F15" s="57">
        <v>10.53</v>
      </c>
      <c r="G15" s="57">
        <v>0.12</v>
      </c>
      <c r="H15" s="57">
        <v>7.64</v>
      </c>
      <c r="J15" s="62"/>
      <c r="K15" s="62"/>
      <c r="L15" s="62"/>
      <c r="M15" s="62"/>
    </row>
    <row r="16" spans="2:17">
      <c r="B16" s="58" t="s">
        <v>105</v>
      </c>
      <c r="C16" s="58"/>
      <c r="D16" s="58"/>
      <c r="E16" s="59"/>
      <c r="F16" s="53">
        <f>SUM(F6:F15)</f>
        <v>6929.0999999999995</v>
      </c>
      <c r="G16" s="53">
        <f>SUM(G6:G15)</f>
        <v>81.900000000000006</v>
      </c>
      <c r="H16" s="53"/>
      <c r="I16" s="14"/>
      <c r="J16" s="62"/>
      <c r="K16" s="62"/>
      <c r="L16" s="62"/>
      <c r="M16" s="62"/>
    </row>
    <row r="17" spans="2:13">
      <c r="B17" s="47" t="s">
        <v>106</v>
      </c>
      <c r="C17" s="23"/>
      <c r="D17" s="23"/>
      <c r="E17" s="24"/>
      <c r="F17" s="25"/>
      <c r="G17" s="25"/>
      <c r="H17" s="25"/>
      <c r="J17" s="62"/>
      <c r="K17" s="62"/>
      <c r="L17" s="62"/>
      <c r="M17" s="62"/>
    </row>
    <row r="18" spans="2:13">
      <c r="B18" s="23" t="s">
        <v>106</v>
      </c>
      <c r="C18" s="23"/>
      <c r="D18" s="23"/>
      <c r="E18" s="24"/>
      <c r="F18" s="25">
        <v>1458.5</v>
      </c>
      <c r="G18" s="25">
        <v>17.239999999999998</v>
      </c>
      <c r="H18" s="25"/>
      <c r="J18" s="62"/>
      <c r="K18" s="62"/>
      <c r="L18" s="62"/>
      <c r="M18" s="62"/>
    </row>
    <row r="19" spans="2:13">
      <c r="B19" s="30" t="s">
        <v>104</v>
      </c>
      <c r="C19" s="30"/>
      <c r="D19" s="30"/>
      <c r="E19" s="31"/>
      <c r="F19" s="32">
        <f>SUM(F17:F18)</f>
        <v>1458.5</v>
      </c>
      <c r="G19" s="32">
        <f>SUM(G17:G18)</f>
        <v>17.239999999999998</v>
      </c>
      <c r="H19" s="48"/>
      <c r="I19" s="14"/>
      <c r="J19" s="62"/>
      <c r="K19" s="62"/>
      <c r="L19" s="62"/>
      <c r="M19" s="62"/>
    </row>
    <row r="20" spans="2:13">
      <c r="B20" s="34" t="s">
        <v>105</v>
      </c>
      <c r="C20" s="34"/>
      <c r="D20" s="34"/>
      <c r="E20" s="35"/>
      <c r="F20" s="36">
        <f>F19</f>
        <v>1458.5</v>
      </c>
      <c r="G20" s="36">
        <f>G19</f>
        <v>17.239999999999998</v>
      </c>
      <c r="H20" s="36"/>
      <c r="I20" s="14"/>
      <c r="J20" s="62"/>
      <c r="K20" s="62"/>
      <c r="L20" s="62"/>
      <c r="M20" s="62"/>
    </row>
    <row r="21" spans="2:13">
      <c r="B21" s="44" t="s">
        <v>108</v>
      </c>
      <c r="C21" s="44"/>
      <c r="D21" s="44"/>
      <c r="E21" s="45"/>
      <c r="F21" s="16">
        <f>F22-(+F16+F20)</f>
        <v>72.410000000001673</v>
      </c>
      <c r="G21" s="16">
        <f>G22-(+G16+G20)</f>
        <v>0.85999999999999943</v>
      </c>
      <c r="H21" s="16"/>
      <c r="I21" s="14"/>
      <c r="J21" s="62"/>
      <c r="K21" s="62"/>
      <c r="L21" s="62"/>
      <c r="M21" s="62"/>
    </row>
    <row r="22" spans="2:13">
      <c r="B22" s="44" t="s">
        <v>107</v>
      </c>
      <c r="C22" s="44"/>
      <c r="D22" s="44"/>
      <c r="E22" s="45"/>
      <c r="F22" s="16">
        <v>8460.01</v>
      </c>
      <c r="G22" s="16">
        <v>100</v>
      </c>
      <c r="H22" s="16"/>
      <c r="I22" s="14"/>
      <c r="J22" s="62"/>
      <c r="K22" s="62"/>
      <c r="L22" s="62"/>
      <c r="M22" s="62"/>
    </row>
    <row r="23" spans="2:13">
      <c r="J23" s="62"/>
      <c r="K23" s="62"/>
      <c r="L23" s="62"/>
      <c r="M23" s="62"/>
    </row>
    <row r="24" spans="2:13">
      <c r="B24" s="14"/>
      <c r="J24" s="62"/>
      <c r="K24" s="62"/>
      <c r="L24" s="62"/>
      <c r="M24" s="62"/>
    </row>
    <row r="25" spans="2:13">
      <c r="J25" s="62"/>
      <c r="K25" s="62"/>
      <c r="L25" s="62"/>
      <c r="M25" s="62"/>
    </row>
    <row r="26" spans="2:13">
      <c r="J26" s="62"/>
      <c r="K26" s="62"/>
      <c r="L26" s="62"/>
      <c r="M26" s="62"/>
    </row>
    <row r="27" spans="2:13">
      <c r="J27" s="62"/>
      <c r="K27" s="62"/>
      <c r="L27" s="62"/>
      <c r="M27" s="62"/>
    </row>
    <row r="28" spans="2:13">
      <c r="J28" s="62"/>
      <c r="K28" s="62"/>
      <c r="L28" s="62"/>
      <c r="M28" s="62"/>
    </row>
    <row r="29" spans="2:13">
      <c r="J29" s="62"/>
      <c r="K29" s="62"/>
      <c r="L29" s="62"/>
      <c r="M29" s="62"/>
    </row>
    <row r="30" spans="2:13">
      <c r="J30" s="62"/>
      <c r="K30" s="62"/>
      <c r="L30" s="62"/>
      <c r="M30" s="62"/>
    </row>
    <row r="31" spans="2:13">
      <c r="J31" s="62"/>
      <c r="K31" s="62"/>
      <c r="L31" s="62"/>
      <c r="M31" s="62"/>
    </row>
    <row r="32" spans="2:13">
      <c r="J32" s="62"/>
      <c r="K32" s="62"/>
      <c r="L32" s="62"/>
      <c r="M32" s="62"/>
    </row>
    <row r="33" spans="10:13">
      <c r="J33" s="62"/>
      <c r="K33" s="62"/>
      <c r="L33" s="62"/>
      <c r="M33" s="62"/>
    </row>
    <row r="34" spans="10:13">
      <c r="J34" s="62"/>
      <c r="K34" s="62"/>
      <c r="L34" s="62"/>
      <c r="M34" s="62"/>
    </row>
    <row r="35" spans="10:13">
      <c r="J35" s="62"/>
      <c r="K35" s="62"/>
      <c r="L35" s="62"/>
      <c r="M35" s="62"/>
    </row>
    <row r="36" spans="10:13">
      <c r="J36" s="62"/>
      <c r="K36" s="62"/>
      <c r="L36" s="62"/>
      <c r="M36" s="62"/>
    </row>
    <row r="37" spans="10:13">
      <c r="J37" s="62"/>
      <c r="K37" s="62"/>
      <c r="L37" s="62"/>
      <c r="M37" s="62"/>
    </row>
    <row r="38" spans="10:13">
      <c r="J38" s="62"/>
      <c r="K38" s="62"/>
      <c r="L38" s="62"/>
      <c r="M38" s="62"/>
    </row>
    <row r="39" spans="10:13">
      <c r="J39" s="62"/>
      <c r="K39" s="62"/>
      <c r="L39" s="62"/>
      <c r="M39" s="62"/>
    </row>
    <row r="40" spans="10:13">
      <c r="J40" s="62"/>
      <c r="K40" s="62"/>
      <c r="L40" s="62"/>
      <c r="M40" s="62"/>
    </row>
    <row r="41" spans="10:13">
      <c r="J41" s="62"/>
      <c r="K41" s="62"/>
      <c r="L41" s="62"/>
      <c r="M41" s="62"/>
    </row>
    <row r="42" spans="10:13">
      <c r="J42" s="62"/>
      <c r="K42" s="62"/>
      <c r="L42" s="62"/>
      <c r="M42" s="62"/>
    </row>
    <row r="43" spans="10:13">
      <c r="J43" s="62"/>
      <c r="K43" s="62"/>
      <c r="L43" s="62"/>
      <c r="M43" s="62"/>
    </row>
  </sheetData>
  <mergeCells count="20"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  <mergeCell ref="P7:P8"/>
    <mergeCell ref="Q7:Q8"/>
    <mergeCell ref="N9:N10"/>
    <mergeCell ref="O9:O10"/>
    <mergeCell ref="P9:P10"/>
    <mergeCell ref="Q9:Q10"/>
    <mergeCell ref="N11:N12"/>
    <mergeCell ref="O11:O12"/>
    <mergeCell ref="P11:P12"/>
    <mergeCell ref="Q11:Q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3"/>
  <sheetViews>
    <sheetView workbookViewId="0">
      <selection activeCell="J16" sqref="J16"/>
    </sheetView>
  </sheetViews>
  <sheetFormatPr defaultRowHeight="12"/>
  <cols>
    <col min="1" max="1" width="9.140625" style="1"/>
    <col min="2" max="2" width="57.140625" style="1" bestFit="1" customWidth="1"/>
    <col min="3" max="3" width="13.570312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28.140625" style="1" customWidth="1"/>
    <col min="11" max="11" width="27.7109375" style="1" customWidth="1"/>
    <col min="12" max="12" width="28.7109375" style="1" customWidth="1"/>
    <col min="13" max="16384" width="9.140625" style="1"/>
  </cols>
  <sheetData>
    <row r="1" spans="2:17" ht="21" customHeight="1">
      <c r="B1" s="77" t="s">
        <v>20</v>
      </c>
      <c r="C1" s="78"/>
      <c r="D1" s="78"/>
      <c r="E1" s="78"/>
      <c r="F1" s="78"/>
      <c r="G1" s="78"/>
      <c r="H1" s="78"/>
    </row>
    <row r="3" spans="2:17" ht="16.5" thickBot="1">
      <c r="B3" s="2" t="s">
        <v>7</v>
      </c>
      <c r="C3" s="3"/>
      <c r="D3" s="4"/>
      <c r="E3" s="5"/>
      <c r="F3" s="6"/>
      <c r="G3" s="6"/>
    </row>
    <row r="4" spans="2:17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J4" s="73" t="s">
        <v>692</v>
      </c>
      <c r="K4" s="73" t="s">
        <v>693</v>
      </c>
      <c r="L4" s="73" t="s">
        <v>694</v>
      </c>
      <c r="N4" s="89" t="s">
        <v>701</v>
      </c>
      <c r="O4" s="90"/>
      <c r="P4" s="90"/>
      <c r="Q4" s="91"/>
    </row>
    <row r="5" spans="2:17" ht="24" customHeight="1">
      <c r="B5" s="60" t="s">
        <v>375</v>
      </c>
      <c r="C5" s="18"/>
      <c r="D5" s="18"/>
      <c r="E5" s="19"/>
      <c r="F5" s="20"/>
      <c r="G5" s="20"/>
      <c r="H5" s="20"/>
      <c r="J5" s="79"/>
      <c r="K5" s="79"/>
      <c r="L5" s="79"/>
      <c r="N5" s="75" t="s">
        <v>702</v>
      </c>
      <c r="O5" s="92" t="s">
        <v>703</v>
      </c>
      <c r="P5" s="92" t="s">
        <v>704</v>
      </c>
      <c r="Q5" s="92" t="s">
        <v>705</v>
      </c>
    </row>
    <row r="6" spans="2:17" ht="36">
      <c r="B6" s="47" t="s">
        <v>30</v>
      </c>
      <c r="C6" s="23"/>
      <c r="D6" s="23"/>
      <c r="E6" s="24"/>
      <c r="F6" s="25"/>
      <c r="G6" s="25"/>
      <c r="H6" s="25"/>
      <c r="J6" s="79"/>
      <c r="K6" s="79"/>
      <c r="L6" s="79"/>
      <c r="N6" s="76" t="s">
        <v>706</v>
      </c>
      <c r="O6" s="92"/>
      <c r="P6" s="92"/>
      <c r="Q6" s="92"/>
    </row>
    <row r="7" spans="2:17" ht="12" customHeight="1">
      <c r="B7" s="23" t="s">
        <v>488</v>
      </c>
      <c r="C7" s="23" t="s">
        <v>489</v>
      </c>
      <c r="D7" s="23" t="s">
        <v>378</v>
      </c>
      <c r="E7" s="28">
        <v>50</v>
      </c>
      <c r="F7" s="25">
        <v>518.83000000000004</v>
      </c>
      <c r="G7" s="25">
        <v>4.09</v>
      </c>
      <c r="H7" s="25">
        <v>7.14</v>
      </c>
      <c r="J7" s="79"/>
      <c r="K7" s="79"/>
      <c r="L7" s="79"/>
      <c r="N7" s="83" t="s">
        <v>707</v>
      </c>
      <c r="O7" s="84"/>
      <c r="P7" s="84"/>
      <c r="Q7" s="84"/>
    </row>
    <row r="8" spans="2:17">
      <c r="B8" s="23" t="s">
        <v>490</v>
      </c>
      <c r="C8" s="23" t="s">
        <v>491</v>
      </c>
      <c r="D8" s="23" t="s">
        <v>378</v>
      </c>
      <c r="E8" s="28">
        <v>50</v>
      </c>
      <c r="F8" s="25">
        <v>511.65</v>
      </c>
      <c r="G8" s="25">
        <v>4.03</v>
      </c>
      <c r="H8" s="25">
        <v>7.14</v>
      </c>
      <c r="J8" s="79"/>
      <c r="K8" s="79"/>
      <c r="L8" s="79"/>
      <c r="N8" s="83"/>
      <c r="O8" s="85"/>
      <c r="P8" s="85"/>
      <c r="Q8" s="85"/>
    </row>
    <row r="9" spans="2:17" ht="12" customHeight="1">
      <c r="B9" s="23" t="s">
        <v>398</v>
      </c>
      <c r="C9" s="23" t="s">
        <v>399</v>
      </c>
      <c r="D9" s="23" t="s">
        <v>378</v>
      </c>
      <c r="E9" s="28">
        <v>50</v>
      </c>
      <c r="F9" s="25">
        <v>506.68</v>
      </c>
      <c r="G9" s="25">
        <v>3.99</v>
      </c>
      <c r="H9" s="25">
        <v>7.22</v>
      </c>
      <c r="J9" s="79"/>
      <c r="K9" s="79"/>
      <c r="L9" s="79"/>
      <c r="N9" s="83" t="s">
        <v>708</v>
      </c>
      <c r="O9" s="84"/>
      <c r="P9" s="84"/>
      <c r="Q9" s="84"/>
    </row>
    <row r="10" spans="2:17">
      <c r="B10" s="23" t="s">
        <v>492</v>
      </c>
      <c r="C10" s="23" t="s">
        <v>493</v>
      </c>
      <c r="D10" s="23" t="s">
        <v>378</v>
      </c>
      <c r="E10" s="28">
        <v>50</v>
      </c>
      <c r="F10" s="25">
        <v>505.36</v>
      </c>
      <c r="G10" s="25">
        <v>3.98</v>
      </c>
      <c r="H10" s="25">
        <v>6.46</v>
      </c>
      <c r="J10" s="79"/>
      <c r="K10" s="79"/>
      <c r="L10" s="79"/>
      <c r="N10" s="83"/>
      <c r="O10" s="85"/>
      <c r="P10" s="85"/>
      <c r="Q10" s="85"/>
    </row>
    <row r="11" spans="2:17" ht="12" customHeight="1">
      <c r="B11" s="30" t="s">
        <v>104</v>
      </c>
      <c r="C11" s="30"/>
      <c r="D11" s="30"/>
      <c r="E11" s="31"/>
      <c r="F11" s="32">
        <f>SUM(F6:F10)</f>
        <v>2042.52</v>
      </c>
      <c r="G11" s="32">
        <f>SUM(G6:G10)</f>
        <v>16.09</v>
      </c>
      <c r="H11" s="48"/>
      <c r="I11" s="14"/>
      <c r="J11" s="79"/>
      <c r="K11" s="79"/>
      <c r="L11" s="79"/>
      <c r="N11" s="83" t="s">
        <v>709</v>
      </c>
      <c r="O11" s="84"/>
      <c r="P11" s="86" t="s">
        <v>710</v>
      </c>
      <c r="Q11" s="84"/>
    </row>
    <row r="12" spans="2:17">
      <c r="B12" s="49" t="s">
        <v>105</v>
      </c>
      <c r="C12" s="49"/>
      <c r="D12" s="49"/>
      <c r="E12" s="50"/>
      <c r="F12" s="51">
        <f>F11</f>
        <v>2042.52</v>
      </c>
      <c r="G12" s="51">
        <f>G11</f>
        <v>16.09</v>
      </c>
      <c r="H12" s="51"/>
      <c r="I12" s="14"/>
      <c r="J12" s="79"/>
      <c r="K12" s="79"/>
      <c r="L12" s="79"/>
      <c r="N12" s="83"/>
      <c r="O12" s="85"/>
      <c r="P12" s="87"/>
      <c r="Q12" s="85"/>
    </row>
    <row r="13" spans="2:17">
      <c r="B13" s="47" t="s">
        <v>435</v>
      </c>
      <c r="C13" s="23"/>
      <c r="D13" s="23"/>
      <c r="E13" s="24"/>
      <c r="F13" s="25"/>
      <c r="G13" s="25"/>
      <c r="H13" s="25"/>
      <c r="J13" s="62"/>
      <c r="K13" s="62" t="s">
        <v>714</v>
      </c>
      <c r="L13" s="62"/>
    </row>
    <row r="14" spans="2:17">
      <c r="B14" s="23" t="s">
        <v>463</v>
      </c>
      <c r="C14" s="23" t="s">
        <v>464</v>
      </c>
      <c r="D14" s="23" t="s">
        <v>438</v>
      </c>
      <c r="E14" s="28">
        <v>1500000</v>
      </c>
      <c r="F14" s="25">
        <v>1531.34</v>
      </c>
      <c r="G14" s="25">
        <v>12.07</v>
      </c>
      <c r="H14" s="25">
        <v>6.9</v>
      </c>
      <c r="J14" s="62"/>
      <c r="K14" s="62"/>
      <c r="L14" s="62"/>
      <c r="M14" s="62"/>
    </row>
    <row r="15" spans="2:17">
      <c r="B15" s="23" t="s">
        <v>447</v>
      </c>
      <c r="C15" s="23" t="s">
        <v>448</v>
      </c>
      <c r="D15" s="23" t="s">
        <v>438</v>
      </c>
      <c r="E15" s="28">
        <v>1000000</v>
      </c>
      <c r="F15" s="25">
        <v>1014.29</v>
      </c>
      <c r="G15" s="25">
        <v>7.99</v>
      </c>
      <c r="H15" s="25">
        <v>7.03</v>
      </c>
      <c r="J15" s="62"/>
      <c r="K15" s="62"/>
      <c r="L15" s="62"/>
      <c r="M15" s="62"/>
    </row>
    <row r="16" spans="2:17">
      <c r="B16" s="23" t="s">
        <v>455</v>
      </c>
      <c r="C16" s="23" t="s">
        <v>456</v>
      </c>
      <c r="D16" s="23" t="s">
        <v>438</v>
      </c>
      <c r="E16" s="28">
        <v>1000000</v>
      </c>
      <c r="F16" s="25">
        <v>1001.65</v>
      </c>
      <c r="G16" s="25">
        <v>7.9</v>
      </c>
      <c r="H16" s="25">
        <v>6.59</v>
      </c>
      <c r="J16" s="62"/>
      <c r="K16" s="62"/>
      <c r="L16" s="62"/>
      <c r="M16" s="62"/>
    </row>
    <row r="17" spans="2:13">
      <c r="B17" s="23" t="s">
        <v>465</v>
      </c>
      <c r="C17" s="23" t="s">
        <v>466</v>
      </c>
      <c r="D17" s="23" t="s">
        <v>438</v>
      </c>
      <c r="E17" s="28">
        <v>1000000</v>
      </c>
      <c r="F17" s="25">
        <v>1000.87</v>
      </c>
      <c r="G17" s="25">
        <v>7.89</v>
      </c>
      <c r="H17" s="25">
        <v>7.53</v>
      </c>
      <c r="J17" s="62"/>
      <c r="K17" s="62"/>
      <c r="L17" s="62"/>
      <c r="M17" s="62"/>
    </row>
    <row r="18" spans="2:13">
      <c r="B18" s="23" t="s">
        <v>467</v>
      </c>
      <c r="C18" s="23" t="s">
        <v>468</v>
      </c>
      <c r="D18" s="23" t="s">
        <v>438</v>
      </c>
      <c r="E18" s="28">
        <v>1000000</v>
      </c>
      <c r="F18" s="25">
        <v>988.7</v>
      </c>
      <c r="G18" s="25">
        <v>7.79</v>
      </c>
      <c r="H18" s="25">
        <v>7.07</v>
      </c>
      <c r="J18" s="62"/>
      <c r="K18" s="62"/>
      <c r="L18" s="62"/>
      <c r="M18" s="62"/>
    </row>
    <row r="19" spans="2:13">
      <c r="B19" s="23" t="s">
        <v>439</v>
      </c>
      <c r="C19" s="23" t="s">
        <v>440</v>
      </c>
      <c r="D19" s="23" t="s">
        <v>438</v>
      </c>
      <c r="E19" s="28">
        <v>1000000</v>
      </c>
      <c r="F19" s="25">
        <v>959.54</v>
      </c>
      <c r="G19" s="25">
        <v>7.56</v>
      </c>
      <c r="H19" s="25">
        <v>6.88</v>
      </c>
      <c r="J19" s="62"/>
      <c r="K19" s="62"/>
      <c r="L19" s="62"/>
      <c r="M19" s="62"/>
    </row>
    <row r="20" spans="2:13">
      <c r="B20" s="23" t="s">
        <v>436</v>
      </c>
      <c r="C20" s="23" t="s">
        <v>437</v>
      </c>
      <c r="D20" s="23" t="s">
        <v>438</v>
      </c>
      <c r="E20" s="28">
        <v>1000000</v>
      </c>
      <c r="F20" s="25">
        <v>955.87</v>
      </c>
      <c r="G20" s="25">
        <v>7.53</v>
      </c>
      <c r="H20" s="25">
        <v>6.94</v>
      </c>
      <c r="J20" s="62"/>
      <c r="K20" s="62"/>
      <c r="L20" s="62"/>
      <c r="M20" s="62"/>
    </row>
    <row r="21" spans="2:13">
      <c r="B21" s="23" t="s">
        <v>474</v>
      </c>
      <c r="C21" s="23" t="s">
        <v>475</v>
      </c>
      <c r="D21" s="23" t="s">
        <v>438</v>
      </c>
      <c r="E21" s="28">
        <v>500000</v>
      </c>
      <c r="F21" s="25">
        <v>504.97</v>
      </c>
      <c r="G21" s="25">
        <v>3.98</v>
      </c>
      <c r="H21" s="25">
        <v>6.96</v>
      </c>
      <c r="J21" s="62"/>
      <c r="K21" s="62"/>
      <c r="L21" s="62"/>
      <c r="M21" s="62"/>
    </row>
    <row r="22" spans="2:13">
      <c r="B22" s="23" t="s">
        <v>476</v>
      </c>
      <c r="C22" s="23" t="s">
        <v>477</v>
      </c>
      <c r="D22" s="23" t="s">
        <v>438</v>
      </c>
      <c r="E22" s="28">
        <v>500000</v>
      </c>
      <c r="F22" s="25">
        <v>496.4</v>
      </c>
      <c r="G22" s="25">
        <v>3.91</v>
      </c>
      <c r="H22" s="25">
        <v>7.23</v>
      </c>
      <c r="J22" s="62"/>
      <c r="K22" s="62"/>
      <c r="L22" s="62"/>
      <c r="M22" s="62"/>
    </row>
    <row r="23" spans="2:13">
      <c r="B23" s="23" t="s">
        <v>451</v>
      </c>
      <c r="C23" s="23" t="s">
        <v>452</v>
      </c>
      <c r="D23" s="23" t="s">
        <v>438</v>
      </c>
      <c r="E23" s="28">
        <v>500000</v>
      </c>
      <c r="F23" s="25">
        <v>473.66</v>
      </c>
      <c r="G23" s="25">
        <v>3.73</v>
      </c>
      <c r="H23" s="25">
        <v>7.32</v>
      </c>
      <c r="J23" s="62"/>
      <c r="K23" s="62"/>
      <c r="L23" s="62"/>
      <c r="M23" s="62"/>
    </row>
    <row r="24" spans="2:13">
      <c r="B24" s="55" t="s">
        <v>494</v>
      </c>
      <c r="C24" s="55" t="s">
        <v>495</v>
      </c>
      <c r="D24" s="55" t="s">
        <v>438</v>
      </c>
      <c r="E24" s="56">
        <v>28000</v>
      </c>
      <c r="F24" s="57">
        <v>29.13</v>
      </c>
      <c r="G24" s="57">
        <v>0.23</v>
      </c>
      <c r="H24" s="57">
        <v>7.16</v>
      </c>
      <c r="J24" s="62"/>
      <c r="K24" s="62"/>
      <c r="L24" s="62"/>
      <c r="M24" s="62"/>
    </row>
    <row r="25" spans="2:13">
      <c r="B25" s="58" t="s">
        <v>105</v>
      </c>
      <c r="C25" s="58"/>
      <c r="D25" s="58"/>
      <c r="E25" s="59"/>
      <c r="F25" s="53">
        <f>SUM(F14:F24)</f>
        <v>8956.42</v>
      </c>
      <c r="G25" s="53">
        <f>SUM(G14:G24)</f>
        <v>70.580000000000013</v>
      </c>
      <c r="H25" s="53"/>
      <c r="I25" s="14"/>
      <c r="J25" s="62"/>
      <c r="K25" s="62"/>
      <c r="L25" s="62"/>
      <c r="M25" s="62"/>
    </row>
    <row r="26" spans="2:13">
      <c r="B26" s="47" t="s">
        <v>106</v>
      </c>
      <c r="C26" s="23"/>
      <c r="D26" s="23"/>
      <c r="E26" s="24"/>
      <c r="F26" s="25"/>
      <c r="G26" s="25"/>
      <c r="H26" s="25"/>
      <c r="J26" s="62"/>
      <c r="K26" s="62"/>
      <c r="L26" s="62"/>
      <c r="M26" s="62"/>
    </row>
    <row r="27" spans="2:13">
      <c r="B27" s="23" t="s">
        <v>106</v>
      </c>
      <c r="C27" s="23"/>
      <c r="D27" s="23"/>
      <c r="E27" s="24"/>
      <c r="F27" s="25">
        <v>1545.57</v>
      </c>
      <c r="G27" s="25">
        <v>12.18</v>
      </c>
      <c r="H27" s="25"/>
      <c r="J27" s="62"/>
      <c r="K27" s="62"/>
      <c r="L27" s="62"/>
      <c r="M27" s="62"/>
    </row>
    <row r="28" spans="2:13">
      <c r="B28" s="30" t="s">
        <v>104</v>
      </c>
      <c r="C28" s="30"/>
      <c r="D28" s="30"/>
      <c r="E28" s="31"/>
      <c r="F28" s="32">
        <f>SUM(F26:F27)</f>
        <v>1545.57</v>
      </c>
      <c r="G28" s="32">
        <f>SUM(G26:G27)</f>
        <v>12.18</v>
      </c>
      <c r="H28" s="48"/>
      <c r="I28" s="14"/>
      <c r="J28" s="62"/>
      <c r="K28" s="62"/>
      <c r="L28" s="62"/>
      <c r="M28" s="62"/>
    </row>
    <row r="29" spans="2:13">
      <c r="B29" s="34" t="s">
        <v>105</v>
      </c>
      <c r="C29" s="34"/>
      <c r="D29" s="34"/>
      <c r="E29" s="35"/>
      <c r="F29" s="36">
        <f>F28</f>
        <v>1545.57</v>
      </c>
      <c r="G29" s="36">
        <f>G28</f>
        <v>12.18</v>
      </c>
      <c r="H29" s="36"/>
      <c r="I29" s="14"/>
      <c r="J29" s="62"/>
      <c r="K29" s="62"/>
      <c r="L29" s="62"/>
      <c r="M29" s="62"/>
    </row>
    <row r="30" spans="2:13">
      <c r="B30" s="44" t="s">
        <v>108</v>
      </c>
      <c r="C30" s="44"/>
      <c r="D30" s="44"/>
      <c r="E30" s="45"/>
      <c r="F30" s="16">
        <f>F31-(+F12+F25+F29)</f>
        <v>142.22999999999956</v>
      </c>
      <c r="G30" s="16">
        <f>G31-(+G12+G25+G29)</f>
        <v>1.1499999999999773</v>
      </c>
      <c r="H30" s="16"/>
      <c r="I30" s="14"/>
      <c r="J30" s="62"/>
      <c r="K30" s="62"/>
      <c r="L30" s="62"/>
      <c r="M30" s="62"/>
    </row>
    <row r="31" spans="2:13">
      <c r="B31" s="44" t="s">
        <v>107</v>
      </c>
      <c r="C31" s="44"/>
      <c r="D31" s="44"/>
      <c r="E31" s="45"/>
      <c r="F31" s="16">
        <v>12686.74</v>
      </c>
      <c r="G31" s="16">
        <v>100</v>
      </c>
      <c r="H31" s="16"/>
      <c r="I31" s="14"/>
      <c r="J31" s="62"/>
      <c r="K31" s="62"/>
      <c r="L31" s="62"/>
      <c r="M31" s="62"/>
    </row>
    <row r="32" spans="2:13">
      <c r="J32" s="62"/>
      <c r="K32" s="62"/>
      <c r="L32" s="62"/>
      <c r="M32" s="62"/>
    </row>
    <row r="33" spans="2:13">
      <c r="B33" s="14" t="s">
        <v>675</v>
      </c>
      <c r="J33" s="62"/>
      <c r="K33" s="62"/>
      <c r="L33" s="62"/>
      <c r="M33" s="62"/>
    </row>
    <row r="34" spans="2:13">
      <c r="J34" s="62"/>
      <c r="K34" s="62"/>
      <c r="L34" s="62"/>
      <c r="M34" s="62"/>
    </row>
    <row r="35" spans="2:13">
      <c r="J35" s="62"/>
      <c r="K35" s="62"/>
      <c r="L35" s="62"/>
      <c r="M35" s="62"/>
    </row>
    <row r="36" spans="2:13">
      <c r="J36" s="62"/>
      <c r="K36" s="62"/>
      <c r="L36" s="62"/>
      <c r="M36" s="62"/>
    </row>
    <row r="37" spans="2:13">
      <c r="J37" s="62"/>
      <c r="K37" s="62"/>
      <c r="L37" s="62"/>
      <c r="M37" s="62"/>
    </row>
    <row r="38" spans="2:13">
      <c r="J38" s="62"/>
      <c r="K38" s="62"/>
      <c r="L38" s="62"/>
      <c r="M38" s="62"/>
    </row>
    <row r="39" spans="2:13">
      <c r="J39" s="62"/>
      <c r="K39" s="62"/>
      <c r="L39" s="62"/>
      <c r="M39" s="62"/>
    </row>
    <row r="40" spans="2:13">
      <c r="J40" s="62"/>
      <c r="K40" s="62"/>
      <c r="L40" s="62"/>
      <c r="M40" s="62"/>
    </row>
    <row r="41" spans="2:13">
      <c r="J41" s="62"/>
      <c r="K41" s="62"/>
      <c r="L41" s="62"/>
      <c r="M41" s="62"/>
    </row>
    <row r="42" spans="2:13">
      <c r="J42" s="62"/>
      <c r="K42" s="62"/>
      <c r="L42" s="62"/>
      <c r="M42" s="62"/>
    </row>
    <row r="43" spans="2:13">
      <c r="J43" s="62"/>
      <c r="K43" s="62"/>
      <c r="L43" s="62"/>
      <c r="M43" s="62"/>
    </row>
  </sheetData>
  <mergeCells count="20"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  <mergeCell ref="P7:P8"/>
    <mergeCell ref="Q7:Q8"/>
    <mergeCell ref="N9:N10"/>
    <mergeCell ref="O9:O10"/>
    <mergeCell ref="P9:P10"/>
    <mergeCell ref="Q9:Q10"/>
    <mergeCell ref="N11:N12"/>
    <mergeCell ref="O11:O12"/>
    <mergeCell ref="P11:P12"/>
    <mergeCell ref="Q11:Q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6"/>
  <sheetViews>
    <sheetView topLeftCell="E1" workbookViewId="0">
      <selection activeCell="M13" sqref="M13"/>
    </sheetView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26.85546875" style="1" customWidth="1"/>
    <col min="11" max="11" width="29.5703125" style="1" customWidth="1"/>
    <col min="12" max="12" width="26.5703125" style="1" customWidth="1"/>
    <col min="13" max="16384" width="9.140625" style="1"/>
  </cols>
  <sheetData>
    <row r="1" spans="2:17" ht="21" customHeight="1">
      <c r="B1" s="77" t="s">
        <v>21</v>
      </c>
      <c r="C1" s="78"/>
      <c r="D1" s="78"/>
      <c r="E1" s="78"/>
      <c r="F1" s="78"/>
      <c r="G1" s="78"/>
      <c r="H1" s="78"/>
    </row>
    <row r="3" spans="2:17" ht="16.5" thickBot="1">
      <c r="B3" s="2" t="s">
        <v>7</v>
      </c>
      <c r="C3" s="3"/>
      <c r="D3" s="4"/>
      <c r="E3" s="5"/>
      <c r="F3" s="6"/>
      <c r="G3" s="6"/>
    </row>
    <row r="4" spans="2:17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J4" s="73" t="s">
        <v>692</v>
      </c>
      <c r="K4" s="73" t="s">
        <v>693</v>
      </c>
      <c r="L4" s="73" t="s">
        <v>694</v>
      </c>
      <c r="N4" s="89" t="s">
        <v>701</v>
      </c>
      <c r="O4" s="90"/>
      <c r="P4" s="90"/>
      <c r="Q4" s="91"/>
    </row>
    <row r="5" spans="2:17" ht="24" customHeight="1">
      <c r="B5" s="60" t="s">
        <v>375</v>
      </c>
      <c r="C5" s="18"/>
      <c r="D5" s="18"/>
      <c r="E5" s="19"/>
      <c r="F5" s="20"/>
      <c r="G5" s="20"/>
      <c r="H5" s="20"/>
      <c r="J5" s="79"/>
      <c r="K5" s="79"/>
      <c r="L5" s="79"/>
      <c r="N5" s="75" t="s">
        <v>702</v>
      </c>
      <c r="O5" s="92" t="s">
        <v>703</v>
      </c>
      <c r="P5" s="92" t="s">
        <v>704</v>
      </c>
      <c r="Q5" s="92" t="s">
        <v>705</v>
      </c>
    </row>
    <row r="6" spans="2:17" ht="36">
      <c r="B6" s="47" t="s">
        <v>30</v>
      </c>
      <c r="C6" s="23"/>
      <c r="D6" s="23"/>
      <c r="E6" s="24"/>
      <c r="F6" s="25"/>
      <c r="G6" s="25"/>
      <c r="H6" s="25"/>
      <c r="J6" s="79"/>
      <c r="K6" s="79"/>
      <c r="L6" s="79"/>
      <c r="N6" s="76" t="s">
        <v>706</v>
      </c>
      <c r="O6" s="92"/>
      <c r="P6" s="92"/>
      <c r="Q6" s="92"/>
    </row>
    <row r="7" spans="2:17" ht="12" customHeight="1">
      <c r="B7" s="23" t="s">
        <v>386</v>
      </c>
      <c r="C7" s="23" t="s">
        <v>387</v>
      </c>
      <c r="D7" s="23" t="s">
        <v>378</v>
      </c>
      <c r="E7" s="28">
        <v>500</v>
      </c>
      <c r="F7" s="25">
        <v>5048.26</v>
      </c>
      <c r="G7" s="25">
        <v>4.76</v>
      </c>
      <c r="H7" s="25">
        <v>6.25</v>
      </c>
      <c r="J7" s="79"/>
      <c r="K7" s="79"/>
      <c r="L7" s="79"/>
      <c r="N7" s="83" t="s">
        <v>707</v>
      </c>
      <c r="O7" s="84"/>
      <c r="P7" s="86" t="s">
        <v>715</v>
      </c>
      <c r="Q7" s="84"/>
    </row>
    <row r="8" spans="2:17">
      <c r="B8" s="23" t="s">
        <v>496</v>
      </c>
      <c r="C8" s="23" t="s">
        <v>497</v>
      </c>
      <c r="D8" s="23" t="s">
        <v>378</v>
      </c>
      <c r="E8" s="28">
        <v>500</v>
      </c>
      <c r="F8" s="25">
        <v>5029.46</v>
      </c>
      <c r="G8" s="25">
        <v>4.74</v>
      </c>
      <c r="H8" s="25">
        <v>6.3</v>
      </c>
      <c r="J8" s="79"/>
      <c r="K8" s="79"/>
      <c r="L8" s="79"/>
      <c r="N8" s="83"/>
      <c r="O8" s="85"/>
      <c r="P8" s="87"/>
      <c r="Q8" s="85"/>
    </row>
    <row r="9" spans="2:17" ht="12" customHeight="1">
      <c r="B9" s="23" t="s">
        <v>498</v>
      </c>
      <c r="C9" s="23" t="s">
        <v>499</v>
      </c>
      <c r="D9" s="23" t="s">
        <v>378</v>
      </c>
      <c r="E9" s="28">
        <v>500</v>
      </c>
      <c r="F9" s="25">
        <v>4990.08</v>
      </c>
      <c r="G9" s="25">
        <v>4.7</v>
      </c>
      <c r="H9" s="25">
        <v>6.43</v>
      </c>
      <c r="J9" s="79"/>
      <c r="K9" s="79"/>
      <c r="L9" s="79"/>
      <c r="N9" s="83" t="s">
        <v>708</v>
      </c>
      <c r="O9" s="84"/>
      <c r="P9" s="84"/>
      <c r="Q9" s="84"/>
    </row>
    <row r="10" spans="2:17">
      <c r="B10" s="23" t="s">
        <v>500</v>
      </c>
      <c r="C10" s="23" t="s">
        <v>501</v>
      </c>
      <c r="D10" s="23" t="s">
        <v>378</v>
      </c>
      <c r="E10" s="28">
        <v>400</v>
      </c>
      <c r="F10" s="25">
        <v>4002.67</v>
      </c>
      <c r="G10" s="25">
        <v>3.77</v>
      </c>
      <c r="H10" s="25">
        <v>5.81</v>
      </c>
      <c r="J10" s="79"/>
      <c r="K10" s="79"/>
      <c r="L10" s="79"/>
      <c r="N10" s="83"/>
      <c r="O10" s="85"/>
      <c r="P10" s="85"/>
      <c r="Q10" s="85"/>
    </row>
    <row r="11" spans="2:17" ht="12" customHeight="1">
      <c r="B11" s="23" t="s">
        <v>502</v>
      </c>
      <c r="C11" s="23" t="s">
        <v>503</v>
      </c>
      <c r="D11" s="23" t="s">
        <v>378</v>
      </c>
      <c r="E11" s="28">
        <v>400</v>
      </c>
      <c r="F11" s="25">
        <v>3975.8</v>
      </c>
      <c r="G11" s="25">
        <v>3.75</v>
      </c>
      <c r="H11" s="25">
        <v>6.3</v>
      </c>
      <c r="J11" s="79"/>
      <c r="K11" s="79"/>
      <c r="L11" s="79"/>
      <c r="N11" s="83" t="s">
        <v>709</v>
      </c>
      <c r="O11" s="84"/>
      <c r="P11" s="84"/>
      <c r="Q11" s="84"/>
    </row>
    <row r="12" spans="2:17">
      <c r="B12" s="23" t="s">
        <v>504</v>
      </c>
      <c r="C12" s="23" t="s">
        <v>505</v>
      </c>
      <c r="D12" s="23" t="s">
        <v>378</v>
      </c>
      <c r="E12" s="28">
        <v>350</v>
      </c>
      <c r="F12" s="25">
        <v>3515.79</v>
      </c>
      <c r="G12" s="25">
        <v>3.31</v>
      </c>
      <c r="H12" s="25">
        <v>6.49</v>
      </c>
      <c r="J12" s="79"/>
      <c r="K12" s="79"/>
      <c r="L12" s="79"/>
      <c r="N12" s="83"/>
      <c r="O12" s="85"/>
      <c r="P12" s="85"/>
      <c r="Q12" s="85"/>
    </row>
    <row r="13" spans="2:17">
      <c r="B13" s="23" t="s">
        <v>402</v>
      </c>
      <c r="C13" s="23" t="s">
        <v>403</v>
      </c>
      <c r="D13" s="23" t="s">
        <v>378</v>
      </c>
      <c r="E13" s="28">
        <v>300</v>
      </c>
      <c r="F13" s="25">
        <v>3011.12</v>
      </c>
      <c r="G13" s="25">
        <v>2.84</v>
      </c>
      <c r="H13" s="25">
        <v>6.01</v>
      </c>
      <c r="J13" s="62"/>
      <c r="K13" s="1" t="s">
        <v>716</v>
      </c>
      <c r="L13" s="62"/>
    </row>
    <row r="14" spans="2:17">
      <c r="B14" s="23" t="s">
        <v>506</v>
      </c>
      <c r="C14" s="23" t="s">
        <v>507</v>
      </c>
      <c r="D14" s="23" t="s">
        <v>378</v>
      </c>
      <c r="E14" s="28">
        <v>300</v>
      </c>
      <c r="F14" s="25">
        <v>3007.19</v>
      </c>
      <c r="G14" s="25">
        <v>2.84</v>
      </c>
      <c r="H14" s="25">
        <v>5.83</v>
      </c>
      <c r="J14" s="62"/>
      <c r="K14" s="62"/>
      <c r="L14" s="62"/>
      <c r="M14" s="62"/>
    </row>
    <row r="15" spans="2:17">
      <c r="B15" s="23" t="s">
        <v>388</v>
      </c>
      <c r="C15" s="23" t="s">
        <v>389</v>
      </c>
      <c r="D15" s="23" t="s">
        <v>378</v>
      </c>
      <c r="E15" s="28">
        <v>250</v>
      </c>
      <c r="F15" s="25">
        <v>2509.6</v>
      </c>
      <c r="G15" s="25">
        <v>2.37</v>
      </c>
      <c r="H15" s="25">
        <v>6.57</v>
      </c>
      <c r="J15" s="62"/>
      <c r="K15" s="62"/>
      <c r="L15" s="62"/>
      <c r="M15" s="62"/>
    </row>
    <row r="16" spans="2:17">
      <c r="B16" s="23" t="s">
        <v>508</v>
      </c>
      <c r="C16" s="23" t="s">
        <v>509</v>
      </c>
      <c r="D16" s="23" t="s">
        <v>378</v>
      </c>
      <c r="E16" s="28">
        <v>250</v>
      </c>
      <c r="F16" s="25">
        <v>2505.2199999999998</v>
      </c>
      <c r="G16" s="25">
        <v>2.36</v>
      </c>
      <c r="H16" s="25">
        <v>6.48</v>
      </c>
      <c r="J16" s="62"/>
      <c r="K16" s="62"/>
      <c r="L16" s="62"/>
      <c r="M16" s="62"/>
    </row>
    <row r="17" spans="2:13">
      <c r="B17" s="23" t="s">
        <v>510</v>
      </c>
      <c r="C17" s="23" t="s">
        <v>511</v>
      </c>
      <c r="D17" s="23" t="s">
        <v>381</v>
      </c>
      <c r="E17" s="28">
        <v>250</v>
      </c>
      <c r="F17" s="25">
        <v>2503.13</v>
      </c>
      <c r="G17" s="25">
        <v>2.36</v>
      </c>
      <c r="H17" s="25">
        <v>6.43</v>
      </c>
      <c r="J17" s="62"/>
      <c r="K17" s="62"/>
      <c r="L17" s="62"/>
      <c r="M17" s="62"/>
    </row>
    <row r="18" spans="2:13">
      <c r="B18" s="23" t="s">
        <v>512</v>
      </c>
      <c r="C18" s="23" t="s">
        <v>513</v>
      </c>
      <c r="D18" s="23" t="s">
        <v>378</v>
      </c>
      <c r="E18" s="28">
        <v>250</v>
      </c>
      <c r="F18" s="25">
        <v>2500.48</v>
      </c>
      <c r="G18" s="25">
        <v>2.36</v>
      </c>
      <c r="H18" s="25">
        <v>5.71</v>
      </c>
      <c r="J18" s="62"/>
      <c r="K18" s="62"/>
      <c r="L18" s="62"/>
      <c r="M18" s="62"/>
    </row>
    <row r="19" spans="2:13">
      <c r="B19" s="23" t="s">
        <v>514</v>
      </c>
      <c r="C19" s="23" t="s">
        <v>515</v>
      </c>
      <c r="D19" s="23" t="s">
        <v>378</v>
      </c>
      <c r="E19" s="28">
        <v>250</v>
      </c>
      <c r="F19" s="25">
        <v>2496.9299999999998</v>
      </c>
      <c r="G19" s="25">
        <v>2.35</v>
      </c>
      <c r="H19" s="25">
        <v>5.85</v>
      </c>
      <c r="J19" s="62"/>
      <c r="K19" s="62"/>
      <c r="L19" s="62"/>
      <c r="M19" s="62"/>
    </row>
    <row r="20" spans="2:13">
      <c r="B20" s="23" t="s">
        <v>516</v>
      </c>
      <c r="C20" s="23" t="s">
        <v>517</v>
      </c>
      <c r="D20" s="23" t="s">
        <v>378</v>
      </c>
      <c r="E20" s="28">
        <v>250</v>
      </c>
      <c r="F20" s="25">
        <v>2491.58</v>
      </c>
      <c r="G20" s="25">
        <v>2.35</v>
      </c>
      <c r="H20" s="25">
        <v>6.07</v>
      </c>
      <c r="J20" s="62"/>
      <c r="K20" s="62"/>
      <c r="L20" s="62"/>
      <c r="M20" s="62"/>
    </row>
    <row r="21" spans="2:13">
      <c r="B21" s="23" t="s">
        <v>518</v>
      </c>
      <c r="C21" s="23" t="s">
        <v>519</v>
      </c>
      <c r="D21" s="23" t="s">
        <v>378</v>
      </c>
      <c r="E21" s="28">
        <v>250</v>
      </c>
      <c r="F21" s="25">
        <v>2465.65</v>
      </c>
      <c r="G21" s="25">
        <v>2.3199999999999998</v>
      </c>
      <c r="H21" s="25">
        <v>6.83</v>
      </c>
      <c r="J21" s="62"/>
      <c r="K21" s="62"/>
      <c r="L21" s="62"/>
      <c r="M21" s="62"/>
    </row>
    <row r="22" spans="2:13">
      <c r="B22" s="23" t="s">
        <v>394</v>
      </c>
      <c r="C22" s="23" t="s">
        <v>395</v>
      </c>
      <c r="D22" s="23" t="s">
        <v>378</v>
      </c>
      <c r="E22" s="28">
        <v>200</v>
      </c>
      <c r="F22" s="25">
        <v>2004.4</v>
      </c>
      <c r="G22" s="25">
        <v>1.89</v>
      </c>
      <c r="H22" s="25">
        <v>6.03</v>
      </c>
      <c r="J22" s="62"/>
      <c r="K22" s="62"/>
      <c r="L22" s="62"/>
      <c r="M22" s="62"/>
    </row>
    <row r="23" spans="2:13">
      <c r="B23" s="23" t="s">
        <v>384</v>
      </c>
      <c r="C23" s="23" t="s">
        <v>385</v>
      </c>
      <c r="D23" s="23" t="s">
        <v>381</v>
      </c>
      <c r="E23" s="28">
        <v>200</v>
      </c>
      <c r="F23" s="25">
        <v>1956.64</v>
      </c>
      <c r="G23" s="25">
        <v>1.84</v>
      </c>
      <c r="H23" s="25">
        <v>7.05</v>
      </c>
      <c r="J23" s="62"/>
      <c r="K23" s="62"/>
      <c r="L23" s="62"/>
      <c r="M23" s="62"/>
    </row>
    <row r="24" spans="2:13">
      <c r="B24" s="23" t="s">
        <v>520</v>
      </c>
      <c r="C24" s="23" t="s">
        <v>521</v>
      </c>
      <c r="D24" s="23" t="s">
        <v>378</v>
      </c>
      <c r="E24" s="28">
        <v>150</v>
      </c>
      <c r="F24" s="25">
        <v>1515.08</v>
      </c>
      <c r="G24" s="25">
        <v>1.43</v>
      </c>
      <c r="H24" s="25">
        <v>6.88</v>
      </c>
      <c r="J24" s="62"/>
      <c r="K24" s="62"/>
      <c r="L24" s="62"/>
      <c r="M24" s="62"/>
    </row>
    <row r="25" spans="2:13">
      <c r="B25" s="23" t="s">
        <v>522</v>
      </c>
      <c r="C25" s="23" t="s">
        <v>523</v>
      </c>
      <c r="D25" s="23" t="s">
        <v>378</v>
      </c>
      <c r="E25" s="28">
        <v>150</v>
      </c>
      <c r="F25" s="25">
        <v>1507.91</v>
      </c>
      <c r="G25" s="25">
        <v>1.42</v>
      </c>
      <c r="H25" s="25">
        <v>6.45</v>
      </c>
      <c r="J25" s="62"/>
      <c r="K25" s="62"/>
      <c r="L25" s="62"/>
      <c r="M25" s="62"/>
    </row>
    <row r="26" spans="2:13">
      <c r="B26" s="23" t="s">
        <v>524</v>
      </c>
      <c r="C26" s="23" t="s">
        <v>525</v>
      </c>
      <c r="D26" s="23" t="s">
        <v>412</v>
      </c>
      <c r="E26" s="28">
        <v>150</v>
      </c>
      <c r="F26" s="25">
        <v>1460.7</v>
      </c>
      <c r="G26" s="25">
        <v>1.38</v>
      </c>
      <c r="H26" s="25">
        <v>6.6</v>
      </c>
      <c r="J26" s="62"/>
      <c r="K26" s="62"/>
      <c r="L26" s="62"/>
      <c r="M26" s="62"/>
    </row>
    <row r="27" spans="2:13">
      <c r="B27" s="23" t="s">
        <v>526</v>
      </c>
      <c r="C27" s="23" t="s">
        <v>527</v>
      </c>
      <c r="D27" s="23" t="s">
        <v>378</v>
      </c>
      <c r="E27" s="28">
        <v>400</v>
      </c>
      <c r="F27" s="25">
        <v>1213.18</v>
      </c>
      <c r="G27" s="25">
        <v>1.1399999999999999</v>
      </c>
      <c r="H27" s="25">
        <v>6.92</v>
      </c>
      <c r="J27" s="62"/>
      <c r="K27" s="62"/>
      <c r="L27" s="62"/>
      <c r="M27" s="62"/>
    </row>
    <row r="28" spans="2:13">
      <c r="B28" s="23" t="s">
        <v>528</v>
      </c>
      <c r="C28" s="23" t="s">
        <v>529</v>
      </c>
      <c r="D28" s="23" t="s">
        <v>378</v>
      </c>
      <c r="E28" s="28">
        <v>100</v>
      </c>
      <c r="F28" s="25">
        <v>1007.79</v>
      </c>
      <c r="G28" s="25">
        <v>0.95</v>
      </c>
      <c r="H28" s="25">
        <v>6.01</v>
      </c>
      <c r="J28" s="62"/>
      <c r="K28" s="62"/>
      <c r="L28" s="62"/>
      <c r="M28" s="62"/>
    </row>
    <row r="29" spans="2:13">
      <c r="B29" s="23" t="s">
        <v>530</v>
      </c>
      <c r="C29" s="23" t="s">
        <v>531</v>
      </c>
      <c r="D29" s="23" t="s">
        <v>378</v>
      </c>
      <c r="E29" s="28">
        <v>100</v>
      </c>
      <c r="F29" s="25">
        <v>1004.7</v>
      </c>
      <c r="G29" s="25">
        <v>0.95</v>
      </c>
      <c r="H29" s="25">
        <v>6.27</v>
      </c>
      <c r="J29" s="62"/>
      <c r="K29" s="62"/>
      <c r="L29" s="62"/>
      <c r="M29" s="62"/>
    </row>
    <row r="30" spans="2:13">
      <c r="B30" s="23" t="s">
        <v>532</v>
      </c>
      <c r="C30" s="23" t="s">
        <v>533</v>
      </c>
      <c r="D30" s="23" t="s">
        <v>378</v>
      </c>
      <c r="E30" s="28">
        <v>100</v>
      </c>
      <c r="F30" s="25">
        <v>1002.25</v>
      </c>
      <c r="G30" s="25">
        <v>0.94</v>
      </c>
      <c r="H30" s="25">
        <v>6.01</v>
      </c>
      <c r="J30" s="62"/>
      <c r="K30" s="62"/>
      <c r="L30" s="62"/>
      <c r="M30" s="62"/>
    </row>
    <row r="31" spans="2:13">
      <c r="B31" s="23" t="s">
        <v>534</v>
      </c>
      <c r="C31" s="23" t="s">
        <v>535</v>
      </c>
      <c r="D31" s="23" t="s">
        <v>378</v>
      </c>
      <c r="E31" s="28">
        <v>50</v>
      </c>
      <c r="F31" s="25">
        <v>501.9</v>
      </c>
      <c r="G31" s="25">
        <v>0.47</v>
      </c>
      <c r="H31" s="25">
        <v>6.05</v>
      </c>
      <c r="J31" s="62"/>
      <c r="K31" s="62"/>
      <c r="L31" s="62"/>
      <c r="M31" s="62"/>
    </row>
    <row r="32" spans="2:13">
      <c r="B32" s="23" t="s">
        <v>536</v>
      </c>
      <c r="C32" s="23" t="s">
        <v>537</v>
      </c>
      <c r="D32" s="23" t="s">
        <v>378</v>
      </c>
      <c r="E32" s="28">
        <v>50</v>
      </c>
      <c r="F32" s="25">
        <v>500.55</v>
      </c>
      <c r="G32" s="25">
        <v>0.47</v>
      </c>
      <c r="H32" s="25">
        <v>5.8</v>
      </c>
      <c r="J32" s="62"/>
      <c r="K32" s="62"/>
      <c r="L32" s="62"/>
      <c r="M32" s="62"/>
    </row>
    <row r="33" spans="2:13">
      <c r="B33" s="23" t="s">
        <v>538</v>
      </c>
      <c r="C33" s="23" t="s">
        <v>539</v>
      </c>
      <c r="D33" s="23" t="s">
        <v>381</v>
      </c>
      <c r="E33" s="28">
        <v>50</v>
      </c>
      <c r="F33" s="25">
        <v>500.09</v>
      </c>
      <c r="G33" s="25">
        <v>0.47</v>
      </c>
      <c r="H33" s="25">
        <v>5.64</v>
      </c>
      <c r="J33" s="62"/>
      <c r="K33" s="62"/>
      <c r="L33" s="62"/>
      <c r="M33" s="62"/>
    </row>
    <row r="34" spans="2:13">
      <c r="B34" s="30" t="s">
        <v>104</v>
      </c>
      <c r="C34" s="30"/>
      <c r="D34" s="30"/>
      <c r="E34" s="31"/>
      <c r="F34" s="32">
        <f>SUM(F6:F33)</f>
        <v>64228.150000000009</v>
      </c>
      <c r="G34" s="32">
        <f>SUM(G6:G33)</f>
        <v>60.530000000000008</v>
      </c>
      <c r="H34" s="48"/>
      <c r="I34" s="14"/>
      <c r="J34" s="62"/>
      <c r="K34" s="62"/>
      <c r="L34" s="62"/>
      <c r="M34" s="62"/>
    </row>
    <row r="35" spans="2:13">
      <c r="B35" s="49" t="s">
        <v>105</v>
      </c>
      <c r="C35" s="49"/>
      <c r="D35" s="49"/>
      <c r="E35" s="50"/>
      <c r="F35" s="51">
        <f>F34</f>
        <v>64228.150000000009</v>
      </c>
      <c r="G35" s="51">
        <f>G34</f>
        <v>60.530000000000008</v>
      </c>
      <c r="H35" s="51"/>
      <c r="I35" s="14"/>
      <c r="J35" s="62"/>
      <c r="K35" s="62"/>
      <c r="L35" s="62"/>
      <c r="M35" s="62"/>
    </row>
    <row r="36" spans="2:13">
      <c r="B36" s="47" t="s">
        <v>425</v>
      </c>
      <c r="C36" s="23"/>
      <c r="D36" s="23"/>
      <c r="E36" s="24"/>
      <c r="F36" s="25"/>
      <c r="G36" s="25"/>
      <c r="H36" s="25"/>
      <c r="J36" s="62"/>
      <c r="K36" s="62"/>
      <c r="L36" s="62"/>
      <c r="M36" s="62"/>
    </row>
    <row r="37" spans="2:13">
      <c r="B37" s="47" t="s">
        <v>426</v>
      </c>
      <c r="C37" s="23"/>
      <c r="D37" s="23"/>
      <c r="E37" s="24"/>
      <c r="F37" s="25"/>
      <c r="G37" s="25"/>
      <c r="H37" s="25"/>
      <c r="J37" s="62"/>
      <c r="K37" s="62"/>
      <c r="L37" s="62"/>
      <c r="M37" s="62"/>
    </row>
    <row r="38" spans="2:13">
      <c r="B38" s="23" t="s">
        <v>540</v>
      </c>
      <c r="C38" s="23" t="s">
        <v>541</v>
      </c>
      <c r="D38" s="23" t="s">
        <v>429</v>
      </c>
      <c r="E38" s="28">
        <v>1000</v>
      </c>
      <c r="F38" s="25">
        <v>4839.41</v>
      </c>
      <c r="G38" s="25">
        <v>4.5599999999999996</v>
      </c>
      <c r="H38" s="25">
        <v>6.18</v>
      </c>
      <c r="J38" s="62"/>
      <c r="K38" s="62"/>
      <c r="L38" s="62"/>
      <c r="M38" s="62"/>
    </row>
    <row r="39" spans="2:13">
      <c r="B39" s="23" t="s">
        <v>542</v>
      </c>
      <c r="C39" s="23" t="s">
        <v>543</v>
      </c>
      <c r="D39" s="23" t="s">
        <v>429</v>
      </c>
      <c r="E39" s="28">
        <v>500</v>
      </c>
      <c r="F39" s="25">
        <v>2481.04</v>
      </c>
      <c r="G39" s="25">
        <v>2.34</v>
      </c>
      <c r="H39" s="25">
        <v>5.69</v>
      </c>
      <c r="J39" s="62"/>
      <c r="K39" s="62"/>
      <c r="L39" s="62"/>
      <c r="M39" s="62"/>
    </row>
    <row r="40" spans="2:13">
      <c r="B40" s="23" t="s">
        <v>544</v>
      </c>
      <c r="C40" s="23" t="s">
        <v>545</v>
      </c>
      <c r="D40" s="23" t="s">
        <v>429</v>
      </c>
      <c r="E40" s="28">
        <v>500</v>
      </c>
      <c r="F40" s="25">
        <v>2457.29</v>
      </c>
      <c r="G40" s="25">
        <v>2.3199999999999998</v>
      </c>
      <c r="H40" s="25">
        <v>5.93</v>
      </c>
      <c r="J40" s="62"/>
      <c r="K40" s="62"/>
      <c r="L40" s="62"/>
      <c r="M40" s="62"/>
    </row>
    <row r="41" spans="2:13">
      <c r="B41" s="23" t="s">
        <v>546</v>
      </c>
      <c r="C41" s="23" t="s">
        <v>547</v>
      </c>
      <c r="D41" s="23" t="s">
        <v>548</v>
      </c>
      <c r="E41" s="28">
        <v>500</v>
      </c>
      <c r="F41" s="25">
        <v>2418.5500000000002</v>
      </c>
      <c r="G41" s="25">
        <v>2.2799999999999998</v>
      </c>
      <c r="H41" s="25">
        <v>6.24</v>
      </c>
      <c r="J41" s="62"/>
      <c r="K41" s="62"/>
      <c r="L41" s="62"/>
      <c r="M41" s="62"/>
    </row>
    <row r="42" spans="2:13">
      <c r="B42" s="23" t="s">
        <v>430</v>
      </c>
      <c r="C42" s="23" t="s">
        <v>431</v>
      </c>
      <c r="D42" s="23" t="s">
        <v>432</v>
      </c>
      <c r="E42" s="28">
        <v>500</v>
      </c>
      <c r="F42" s="25">
        <v>2409.9499999999998</v>
      </c>
      <c r="G42" s="25">
        <v>2.27</v>
      </c>
      <c r="H42" s="25">
        <v>6.29</v>
      </c>
      <c r="J42" s="62"/>
      <c r="K42" s="62"/>
      <c r="L42" s="62"/>
      <c r="M42" s="62"/>
    </row>
    <row r="43" spans="2:13">
      <c r="B43" s="47" t="s">
        <v>104</v>
      </c>
      <c r="C43" s="47"/>
      <c r="D43" s="47"/>
      <c r="E43" s="52"/>
      <c r="F43" s="53">
        <f>SUM(F37:F42)</f>
        <v>14606.240000000002</v>
      </c>
      <c r="G43" s="53">
        <f>SUM(G37:G42)</f>
        <v>13.769999999999998</v>
      </c>
      <c r="H43" s="54"/>
      <c r="I43" s="14"/>
      <c r="J43" s="62"/>
      <c r="K43" s="62"/>
      <c r="L43" s="62"/>
      <c r="M43" s="62"/>
    </row>
    <row r="44" spans="2:13">
      <c r="B44" s="47" t="s">
        <v>549</v>
      </c>
      <c r="C44" s="23"/>
      <c r="D44" s="23"/>
      <c r="E44" s="24"/>
      <c r="F44" s="25"/>
      <c r="G44" s="25"/>
      <c r="H44" s="25"/>
      <c r="J44" s="62"/>
      <c r="K44" s="62"/>
      <c r="L44" s="62"/>
      <c r="M44" s="62"/>
    </row>
    <row r="45" spans="2:13">
      <c r="B45" s="23" t="s">
        <v>550</v>
      </c>
      <c r="C45" s="23" t="s">
        <v>551</v>
      </c>
      <c r="D45" s="23" t="s">
        <v>552</v>
      </c>
      <c r="E45" s="28">
        <v>5000000</v>
      </c>
      <c r="F45" s="25">
        <v>4865.18</v>
      </c>
      <c r="G45" s="25">
        <v>4.59</v>
      </c>
      <c r="H45" s="25">
        <v>5.92</v>
      </c>
      <c r="J45" s="62"/>
      <c r="K45" s="62"/>
      <c r="L45" s="62"/>
      <c r="M45" s="62"/>
    </row>
    <row r="46" spans="2:13">
      <c r="B46" s="23" t="s">
        <v>553</v>
      </c>
      <c r="C46" s="23" t="s">
        <v>554</v>
      </c>
      <c r="D46" s="23" t="s">
        <v>552</v>
      </c>
      <c r="E46" s="28">
        <v>2500000</v>
      </c>
      <c r="F46" s="25">
        <v>2450.0700000000002</v>
      </c>
      <c r="G46" s="25">
        <v>2.31</v>
      </c>
      <c r="H46" s="25">
        <v>5.77</v>
      </c>
      <c r="J46" s="62"/>
      <c r="K46" s="62"/>
      <c r="L46" s="62"/>
      <c r="M46" s="62"/>
    </row>
    <row r="47" spans="2:13">
      <c r="B47" s="23" t="s">
        <v>555</v>
      </c>
      <c r="C47" s="23" t="s">
        <v>556</v>
      </c>
      <c r="D47" s="23" t="s">
        <v>552</v>
      </c>
      <c r="E47" s="28">
        <v>2500000</v>
      </c>
      <c r="F47" s="25">
        <v>2373.89</v>
      </c>
      <c r="G47" s="25">
        <v>2.2400000000000002</v>
      </c>
      <c r="H47" s="25">
        <v>6.24</v>
      </c>
      <c r="J47" s="62"/>
      <c r="K47" s="62"/>
      <c r="L47" s="62"/>
      <c r="M47" s="62"/>
    </row>
    <row r="48" spans="2:13">
      <c r="B48" s="23" t="s">
        <v>557</v>
      </c>
      <c r="C48" s="23" t="s">
        <v>558</v>
      </c>
      <c r="D48" s="23" t="s">
        <v>552</v>
      </c>
      <c r="E48" s="28">
        <v>2000000</v>
      </c>
      <c r="F48" s="25">
        <v>1955.94</v>
      </c>
      <c r="G48" s="25">
        <v>1.84</v>
      </c>
      <c r="H48" s="25">
        <v>5.75</v>
      </c>
      <c r="J48" s="62"/>
      <c r="K48" s="62"/>
      <c r="L48" s="62"/>
      <c r="M48" s="62"/>
    </row>
    <row r="49" spans="2:13">
      <c r="B49" s="30" t="s">
        <v>104</v>
      </c>
      <c r="C49" s="30"/>
      <c r="D49" s="30"/>
      <c r="E49" s="31"/>
      <c r="F49" s="32">
        <f>SUM(F44:F48)</f>
        <v>11645.08</v>
      </c>
      <c r="G49" s="32">
        <f>SUM(G44:G48)</f>
        <v>10.98</v>
      </c>
      <c r="H49" s="48"/>
      <c r="I49" s="14"/>
      <c r="J49" s="62"/>
      <c r="K49" s="62"/>
      <c r="L49" s="62"/>
      <c r="M49" s="62"/>
    </row>
    <row r="50" spans="2:13">
      <c r="B50" s="49" t="s">
        <v>105</v>
      </c>
      <c r="C50" s="49"/>
      <c r="D50" s="49"/>
      <c r="E50" s="50"/>
      <c r="F50" s="51">
        <f>F43+F49</f>
        <v>26251.32</v>
      </c>
      <c r="G50" s="51">
        <f>G43+G49</f>
        <v>24.75</v>
      </c>
      <c r="H50" s="51"/>
      <c r="I50" s="14"/>
      <c r="J50" s="62"/>
      <c r="K50" s="62"/>
      <c r="L50" s="62"/>
      <c r="M50" s="62"/>
    </row>
    <row r="51" spans="2:13">
      <c r="B51" s="47" t="s">
        <v>435</v>
      </c>
      <c r="C51" s="23"/>
      <c r="D51" s="23"/>
      <c r="E51" s="24"/>
      <c r="F51" s="25"/>
      <c r="G51" s="25"/>
      <c r="H51" s="25"/>
      <c r="J51" s="62"/>
      <c r="K51" s="62"/>
      <c r="L51" s="62"/>
      <c r="M51" s="62"/>
    </row>
    <row r="52" spans="2:13">
      <c r="B52" s="23" t="s">
        <v>441</v>
      </c>
      <c r="C52" s="23" t="s">
        <v>442</v>
      </c>
      <c r="D52" s="23" t="s">
        <v>438</v>
      </c>
      <c r="E52" s="28">
        <v>3000000</v>
      </c>
      <c r="F52" s="25">
        <v>3037.97</v>
      </c>
      <c r="G52" s="25">
        <v>2.86</v>
      </c>
      <c r="H52" s="25">
        <v>6.42</v>
      </c>
      <c r="J52" s="62"/>
      <c r="K52" s="62"/>
      <c r="L52" s="62"/>
      <c r="M52" s="62"/>
    </row>
    <row r="53" spans="2:13">
      <c r="B53" s="23" t="s">
        <v>449</v>
      </c>
      <c r="C53" s="23" t="s">
        <v>450</v>
      </c>
      <c r="D53" s="23" t="s">
        <v>438</v>
      </c>
      <c r="E53" s="28">
        <v>2500000</v>
      </c>
      <c r="F53" s="25">
        <v>2517.6799999999998</v>
      </c>
      <c r="G53" s="25">
        <v>2.37</v>
      </c>
      <c r="H53" s="25">
        <v>6.23</v>
      </c>
      <c r="J53" s="62"/>
      <c r="K53" s="62"/>
      <c r="L53" s="62"/>
      <c r="M53" s="62"/>
    </row>
    <row r="54" spans="2:13">
      <c r="B54" s="23" t="s">
        <v>559</v>
      </c>
      <c r="C54" s="23" t="s">
        <v>560</v>
      </c>
      <c r="D54" s="23" t="s">
        <v>438</v>
      </c>
      <c r="E54" s="28">
        <v>2000000</v>
      </c>
      <c r="F54" s="25">
        <v>2015.02</v>
      </c>
      <c r="G54" s="25">
        <v>1.9</v>
      </c>
      <c r="H54" s="25">
        <v>6.35</v>
      </c>
      <c r="J54" s="62"/>
      <c r="K54" s="62"/>
      <c r="L54" s="62"/>
      <c r="M54" s="62"/>
    </row>
    <row r="55" spans="2:13">
      <c r="B55" s="23" t="s">
        <v>561</v>
      </c>
      <c r="C55" s="23" t="s">
        <v>562</v>
      </c>
      <c r="D55" s="23" t="s">
        <v>438</v>
      </c>
      <c r="E55" s="28">
        <v>1500000</v>
      </c>
      <c r="F55" s="25">
        <v>1549.37</v>
      </c>
      <c r="G55" s="25">
        <v>1.46</v>
      </c>
      <c r="H55" s="25">
        <v>6.75</v>
      </c>
      <c r="J55" s="62"/>
      <c r="K55" s="62"/>
      <c r="L55" s="62"/>
      <c r="M55" s="62"/>
    </row>
    <row r="56" spans="2:13">
      <c r="B56" s="55" t="s">
        <v>480</v>
      </c>
      <c r="C56" s="55" t="s">
        <v>481</v>
      </c>
      <c r="D56" s="55" t="s">
        <v>438</v>
      </c>
      <c r="E56" s="56">
        <v>1500000</v>
      </c>
      <c r="F56" s="57">
        <v>1466.46</v>
      </c>
      <c r="G56" s="57">
        <v>1.38</v>
      </c>
      <c r="H56" s="57">
        <v>6.34</v>
      </c>
      <c r="J56" s="62"/>
      <c r="K56" s="62"/>
      <c r="L56" s="62"/>
      <c r="M56" s="62"/>
    </row>
    <row r="57" spans="2:13">
      <c r="B57" s="58" t="s">
        <v>105</v>
      </c>
      <c r="C57" s="58"/>
      <c r="D57" s="58"/>
      <c r="E57" s="59"/>
      <c r="F57" s="53">
        <f>SUM(F52:F56)</f>
        <v>10586.5</v>
      </c>
      <c r="G57" s="53">
        <f>SUM(G52:G56)</f>
        <v>9.9699999999999989</v>
      </c>
      <c r="H57" s="53"/>
      <c r="I57" s="14"/>
      <c r="J57" s="62"/>
      <c r="K57" s="62"/>
      <c r="L57" s="62"/>
      <c r="M57" s="62"/>
    </row>
    <row r="58" spans="2:13">
      <c r="B58" s="47" t="s">
        <v>106</v>
      </c>
      <c r="C58" s="23"/>
      <c r="D58" s="23"/>
      <c r="E58" s="24"/>
      <c r="F58" s="25"/>
      <c r="G58" s="25"/>
      <c r="H58" s="25"/>
      <c r="J58" s="62"/>
      <c r="K58" s="62"/>
      <c r="L58" s="62"/>
      <c r="M58" s="62"/>
    </row>
    <row r="59" spans="2:13">
      <c r="B59" s="23" t="s">
        <v>106</v>
      </c>
      <c r="C59" s="23"/>
      <c r="D59" s="23"/>
      <c r="E59" s="24"/>
      <c r="F59" s="25">
        <v>2008.56</v>
      </c>
      <c r="G59" s="25">
        <v>1.89</v>
      </c>
      <c r="H59" s="25"/>
      <c r="J59" s="62"/>
      <c r="K59" s="62"/>
      <c r="L59" s="62"/>
      <c r="M59" s="62"/>
    </row>
    <row r="60" spans="2:13">
      <c r="B60" s="30" t="s">
        <v>104</v>
      </c>
      <c r="C60" s="30"/>
      <c r="D60" s="30"/>
      <c r="E60" s="31"/>
      <c r="F60" s="32">
        <f>SUM(F58:F59)</f>
        <v>2008.56</v>
      </c>
      <c r="G60" s="32">
        <f>SUM(G58:G59)</f>
        <v>1.89</v>
      </c>
      <c r="H60" s="48"/>
      <c r="I60" s="14"/>
      <c r="J60" s="62"/>
      <c r="K60" s="62"/>
      <c r="L60" s="62"/>
      <c r="M60" s="62"/>
    </row>
    <row r="61" spans="2:13">
      <c r="B61" s="34" t="s">
        <v>105</v>
      </c>
      <c r="C61" s="34"/>
      <c r="D61" s="34"/>
      <c r="E61" s="35"/>
      <c r="F61" s="36">
        <f>F60</f>
        <v>2008.56</v>
      </c>
      <c r="G61" s="36">
        <f>G60</f>
        <v>1.89</v>
      </c>
      <c r="H61" s="36"/>
      <c r="I61" s="14"/>
      <c r="J61" s="62"/>
      <c r="K61" s="62"/>
      <c r="L61" s="62"/>
      <c r="M61" s="62"/>
    </row>
    <row r="62" spans="2:13">
      <c r="B62" s="44" t="s">
        <v>108</v>
      </c>
      <c r="C62" s="44"/>
      <c r="D62" s="44"/>
      <c r="E62" s="45"/>
      <c r="F62" s="16">
        <f>F63-(+F35+F50+F57+F61)</f>
        <v>2991.0800000000017</v>
      </c>
      <c r="G62" s="16">
        <f>G63-(+G35+G50+G57+G61)</f>
        <v>2.8599999999999994</v>
      </c>
      <c r="H62" s="16"/>
      <c r="I62" s="14"/>
      <c r="J62" s="62"/>
      <c r="K62" s="62"/>
      <c r="L62" s="62"/>
      <c r="M62" s="62"/>
    </row>
    <row r="63" spans="2:13">
      <c r="B63" s="44" t="s">
        <v>107</v>
      </c>
      <c r="C63" s="44"/>
      <c r="D63" s="44"/>
      <c r="E63" s="45"/>
      <c r="F63" s="16">
        <v>106065.61</v>
      </c>
      <c r="G63" s="16">
        <v>100</v>
      </c>
      <c r="H63" s="16"/>
      <c r="I63" s="14"/>
      <c r="J63" s="62"/>
      <c r="K63" s="62"/>
      <c r="L63" s="62"/>
      <c r="M63" s="62"/>
    </row>
    <row r="65" spans="2:2">
      <c r="B65" s="14" t="s">
        <v>675</v>
      </c>
    </row>
    <row r="66" spans="2:2">
      <c r="B66" s="14" t="s">
        <v>473</v>
      </c>
    </row>
  </sheetData>
  <mergeCells count="20"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  <mergeCell ref="P7:P8"/>
    <mergeCell ref="Q7:Q8"/>
    <mergeCell ref="N9:N10"/>
    <mergeCell ref="O9:O10"/>
    <mergeCell ref="P9:P10"/>
    <mergeCell ref="Q9:Q10"/>
    <mergeCell ref="N11:N12"/>
    <mergeCell ref="O11:O12"/>
    <mergeCell ref="P11:P12"/>
    <mergeCell ref="Q11:Q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4"/>
  <sheetViews>
    <sheetView workbookViewId="0">
      <selection activeCell="O19" sqref="O19"/>
    </sheetView>
  </sheetViews>
  <sheetFormatPr defaultRowHeight="12"/>
  <cols>
    <col min="1" max="1" width="9.140625" style="1"/>
    <col min="2" max="2" width="60.28515625" style="1" bestFit="1" customWidth="1"/>
    <col min="3" max="3" width="13.5703125" style="1" bestFit="1" customWidth="1"/>
    <col min="4" max="4" width="27.8554687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14.85546875" style="13" customWidth="1"/>
    <col min="10" max="10" width="9.140625" style="1"/>
    <col min="11" max="11" width="27.5703125" style="1" customWidth="1"/>
    <col min="12" max="12" width="27.85546875" style="1" customWidth="1"/>
    <col min="13" max="13" width="26.28515625" style="1" customWidth="1"/>
    <col min="14" max="14" width="4.7109375" style="1" bestFit="1" customWidth="1"/>
    <col min="15" max="16384" width="9.140625" style="1"/>
  </cols>
  <sheetData>
    <row r="1" spans="2:14" ht="21" customHeight="1">
      <c r="B1" s="77" t="s">
        <v>22</v>
      </c>
      <c r="C1" s="78"/>
      <c r="D1" s="78"/>
      <c r="E1" s="78"/>
      <c r="F1" s="78"/>
      <c r="G1" s="78"/>
      <c r="H1" s="78"/>
      <c r="I1" s="65"/>
    </row>
    <row r="3" spans="2:14" ht="16.5" thickBot="1">
      <c r="B3" s="2" t="s">
        <v>7</v>
      </c>
      <c r="C3" s="3"/>
      <c r="D3" s="4"/>
      <c r="E3" s="5"/>
      <c r="F3" s="6"/>
      <c r="G3" s="6"/>
    </row>
    <row r="4" spans="2:14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I4" s="66" t="s">
        <v>687</v>
      </c>
      <c r="K4" s="73" t="s">
        <v>692</v>
      </c>
      <c r="L4" s="73" t="s">
        <v>693</v>
      </c>
      <c r="M4" s="73" t="s">
        <v>694</v>
      </c>
    </row>
    <row r="5" spans="2:14">
      <c r="B5" s="17" t="s">
        <v>29</v>
      </c>
      <c r="C5" s="18"/>
      <c r="D5" s="18"/>
      <c r="E5" s="19"/>
      <c r="F5" s="20"/>
      <c r="G5" s="20"/>
      <c r="H5" s="21"/>
      <c r="I5" s="72"/>
      <c r="K5" s="79"/>
      <c r="L5" s="79"/>
      <c r="M5" s="79"/>
    </row>
    <row r="6" spans="2:14">
      <c r="B6" s="22" t="s">
        <v>30</v>
      </c>
      <c r="C6" s="23"/>
      <c r="D6" s="23"/>
      <c r="E6" s="24"/>
      <c r="F6" s="25"/>
      <c r="G6" s="25"/>
      <c r="H6" s="26"/>
      <c r="I6" s="72"/>
      <c r="K6" s="79"/>
      <c r="L6" s="79"/>
      <c r="M6" s="79"/>
    </row>
    <row r="7" spans="2:14">
      <c r="B7" s="27" t="s">
        <v>43</v>
      </c>
      <c r="C7" s="23" t="s">
        <v>44</v>
      </c>
      <c r="D7" s="23" t="s">
        <v>45</v>
      </c>
      <c r="E7" s="28">
        <v>317914</v>
      </c>
      <c r="F7" s="25">
        <v>2602.44</v>
      </c>
      <c r="G7" s="25">
        <v>2.2599999999999998</v>
      </c>
      <c r="H7" s="26"/>
      <c r="I7" s="70" t="s">
        <v>688</v>
      </c>
      <c r="K7" s="79"/>
      <c r="L7" s="79"/>
      <c r="M7" s="79"/>
      <c r="N7" s="62"/>
    </row>
    <row r="8" spans="2:14">
      <c r="B8" s="27" t="s">
        <v>109</v>
      </c>
      <c r="C8" s="23" t="s">
        <v>110</v>
      </c>
      <c r="D8" s="23" t="s">
        <v>45</v>
      </c>
      <c r="E8" s="28">
        <v>152032</v>
      </c>
      <c r="F8" s="25">
        <v>2180.44</v>
      </c>
      <c r="G8" s="25">
        <v>1.9</v>
      </c>
      <c r="H8" s="26"/>
      <c r="I8" s="70" t="s">
        <v>688</v>
      </c>
      <c r="K8" s="79"/>
      <c r="L8" s="79"/>
      <c r="M8" s="79"/>
      <c r="N8" s="62"/>
    </row>
    <row r="9" spans="2:14">
      <c r="B9" s="27" t="s">
        <v>111</v>
      </c>
      <c r="C9" s="23" t="s">
        <v>112</v>
      </c>
      <c r="D9" s="23" t="s">
        <v>113</v>
      </c>
      <c r="E9" s="28">
        <v>116920</v>
      </c>
      <c r="F9" s="25">
        <v>1811.91</v>
      </c>
      <c r="G9" s="25">
        <v>1.58</v>
      </c>
      <c r="H9" s="26"/>
      <c r="I9" s="70" t="s">
        <v>688</v>
      </c>
      <c r="K9" s="79"/>
      <c r="L9" s="79"/>
      <c r="M9" s="79"/>
      <c r="N9" s="62"/>
    </row>
    <row r="10" spans="2:14">
      <c r="B10" s="27" t="s">
        <v>81</v>
      </c>
      <c r="C10" s="23" t="s">
        <v>82</v>
      </c>
      <c r="D10" s="23" t="s">
        <v>83</v>
      </c>
      <c r="E10" s="28">
        <v>71154</v>
      </c>
      <c r="F10" s="25">
        <v>1785.57</v>
      </c>
      <c r="G10" s="25">
        <v>1.55</v>
      </c>
      <c r="H10" s="26"/>
      <c r="I10" s="70" t="s">
        <v>688</v>
      </c>
      <c r="K10" s="79"/>
      <c r="L10" s="79"/>
      <c r="M10" s="79"/>
      <c r="N10" s="62"/>
    </row>
    <row r="11" spans="2:14">
      <c r="B11" s="27" t="s">
        <v>53</v>
      </c>
      <c r="C11" s="23" t="s">
        <v>54</v>
      </c>
      <c r="D11" s="23" t="s">
        <v>45</v>
      </c>
      <c r="E11" s="28">
        <v>275000</v>
      </c>
      <c r="F11" s="25">
        <v>1452.96</v>
      </c>
      <c r="G11" s="25">
        <v>1.26</v>
      </c>
      <c r="H11" s="26"/>
      <c r="I11" s="70" t="s">
        <v>688</v>
      </c>
      <c r="K11" s="79"/>
      <c r="L11" s="79"/>
      <c r="M11" s="79"/>
      <c r="N11" s="62"/>
    </row>
    <row r="12" spans="2:14">
      <c r="B12" s="27" t="s">
        <v>116</v>
      </c>
      <c r="C12" s="23" t="s">
        <v>117</v>
      </c>
      <c r="D12" s="23" t="s">
        <v>118</v>
      </c>
      <c r="E12" s="28">
        <v>16500</v>
      </c>
      <c r="F12" s="25">
        <v>1189.5</v>
      </c>
      <c r="G12" s="25">
        <v>1.03</v>
      </c>
      <c r="H12" s="26"/>
      <c r="I12" s="70" t="s">
        <v>688</v>
      </c>
      <c r="K12" s="79"/>
      <c r="L12" s="79"/>
      <c r="M12" s="79"/>
      <c r="N12" s="62"/>
    </row>
    <row r="13" spans="2:14">
      <c r="B13" s="27" t="s">
        <v>114</v>
      </c>
      <c r="C13" s="23" t="s">
        <v>115</v>
      </c>
      <c r="D13" s="23" t="s">
        <v>45</v>
      </c>
      <c r="E13" s="28">
        <v>136062</v>
      </c>
      <c r="F13" s="25">
        <v>986.11</v>
      </c>
      <c r="G13" s="25">
        <v>0.86</v>
      </c>
      <c r="H13" s="26"/>
      <c r="I13" s="70" t="s">
        <v>688</v>
      </c>
      <c r="K13" s="62"/>
      <c r="L13" s="62" t="s">
        <v>717</v>
      </c>
      <c r="M13" s="62"/>
      <c r="N13" s="62"/>
    </row>
    <row r="14" spans="2:14">
      <c r="B14" s="27" t="s">
        <v>125</v>
      </c>
      <c r="C14" s="23" t="s">
        <v>126</v>
      </c>
      <c r="D14" s="23" t="s">
        <v>127</v>
      </c>
      <c r="E14" s="28">
        <v>10500</v>
      </c>
      <c r="F14" s="25">
        <v>921.22</v>
      </c>
      <c r="G14" s="25">
        <v>0.8</v>
      </c>
      <c r="H14" s="26"/>
      <c r="I14" s="70" t="s">
        <v>688</v>
      </c>
      <c r="K14" s="62"/>
      <c r="L14" s="62"/>
      <c r="M14" s="62"/>
      <c r="N14" s="62"/>
    </row>
    <row r="15" spans="2:14">
      <c r="B15" s="27" t="s">
        <v>49</v>
      </c>
      <c r="C15" s="23" t="s">
        <v>50</v>
      </c>
      <c r="D15" s="23" t="s">
        <v>42</v>
      </c>
      <c r="E15" s="28">
        <v>37000</v>
      </c>
      <c r="F15" s="25">
        <v>761.48</v>
      </c>
      <c r="G15" s="25">
        <v>0.66</v>
      </c>
      <c r="H15" s="26"/>
      <c r="I15" s="70" t="s">
        <v>689</v>
      </c>
      <c r="K15" s="62"/>
      <c r="L15" s="62"/>
      <c r="M15" s="62"/>
      <c r="N15" s="62"/>
    </row>
    <row r="16" spans="2:14">
      <c r="B16" s="27" t="s">
        <v>57</v>
      </c>
      <c r="C16" s="23" t="s">
        <v>58</v>
      </c>
      <c r="D16" s="23" t="s">
        <v>59</v>
      </c>
      <c r="E16" s="28">
        <v>450000</v>
      </c>
      <c r="F16" s="25">
        <v>688.28</v>
      </c>
      <c r="G16" s="25">
        <v>0.6</v>
      </c>
      <c r="H16" s="26"/>
      <c r="I16" s="70" t="s">
        <v>688</v>
      </c>
      <c r="K16" s="62"/>
      <c r="L16" s="62"/>
      <c r="M16" s="62"/>
      <c r="N16" s="62"/>
    </row>
    <row r="17" spans="2:14">
      <c r="B17" s="27" t="s">
        <v>254</v>
      </c>
      <c r="C17" s="23" t="s">
        <v>255</v>
      </c>
      <c r="D17" s="23" t="s">
        <v>121</v>
      </c>
      <c r="E17" s="28">
        <v>225000</v>
      </c>
      <c r="F17" s="25">
        <v>681.86</v>
      </c>
      <c r="G17" s="25">
        <v>0.59</v>
      </c>
      <c r="H17" s="26"/>
      <c r="I17" s="70" t="s">
        <v>688</v>
      </c>
      <c r="K17" s="62"/>
      <c r="L17" s="62"/>
      <c r="M17" s="62"/>
      <c r="N17" s="62"/>
    </row>
    <row r="18" spans="2:14">
      <c r="B18" s="27" t="s">
        <v>159</v>
      </c>
      <c r="C18" s="23" t="s">
        <v>160</v>
      </c>
      <c r="D18" s="23" t="s">
        <v>140</v>
      </c>
      <c r="E18" s="28">
        <v>30000</v>
      </c>
      <c r="F18" s="25">
        <v>654.84</v>
      </c>
      <c r="G18" s="25">
        <v>0.56999999999999995</v>
      </c>
      <c r="H18" s="26"/>
      <c r="I18" s="70" t="s">
        <v>689</v>
      </c>
      <c r="K18" s="62"/>
      <c r="L18" s="62"/>
      <c r="M18" s="62"/>
      <c r="N18" s="62"/>
    </row>
    <row r="19" spans="2:14">
      <c r="B19" s="27" t="s">
        <v>226</v>
      </c>
      <c r="C19" s="23" t="s">
        <v>227</v>
      </c>
      <c r="D19" s="23" t="s">
        <v>156</v>
      </c>
      <c r="E19" s="28">
        <v>50000</v>
      </c>
      <c r="F19" s="25">
        <v>647.20000000000005</v>
      </c>
      <c r="G19" s="25">
        <v>0.56000000000000005</v>
      </c>
      <c r="H19" s="26"/>
      <c r="I19" s="70" t="s">
        <v>688</v>
      </c>
      <c r="K19" s="62"/>
      <c r="L19" s="62"/>
      <c r="M19" s="62"/>
      <c r="N19" s="62"/>
    </row>
    <row r="20" spans="2:14">
      <c r="B20" s="27" t="s">
        <v>37</v>
      </c>
      <c r="C20" s="23" t="s">
        <v>38</v>
      </c>
      <c r="D20" s="23" t="s">
        <v>39</v>
      </c>
      <c r="E20" s="28">
        <v>22500</v>
      </c>
      <c r="F20" s="25">
        <v>625.61</v>
      </c>
      <c r="G20" s="25">
        <v>0.54</v>
      </c>
      <c r="H20" s="26"/>
      <c r="I20" s="70" t="s">
        <v>689</v>
      </c>
      <c r="K20" s="62"/>
      <c r="L20" s="62"/>
      <c r="M20" s="62"/>
      <c r="N20" s="62"/>
    </row>
    <row r="21" spans="2:14">
      <c r="B21" s="27" t="s">
        <v>262</v>
      </c>
      <c r="C21" s="23" t="s">
        <v>263</v>
      </c>
      <c r="D21" s="23" t="s">
        <v>150</v>
      </c>
      <c r="E21" s="28">
        <v>14500</v>
      </c>
      <c r="F21" s="25">
        <v>610.78</v>
      </c>
      <c r="G21" s="25">
        <v>0.53</v>
      </c>
      <c r="H21" s="26"/>
      <c r="I21" s="70" t="s">
        <v>688</v>
      </c>
      <c r="K21" s="62"/>
      <c r="L21" s="62"/>
      <c r="M21" s="62"/>
      <c r="N21" s="62"/>
    </row>
    <row r="22" spans="2:14">
      <c r="B22" s="27" t="s">
        <v>221</v>
      </c>
      <c r="C22" s="23" t="s">
        <v>222</v>
      </c>
      <c r="D22" s="23" t="s">
        <v>132</v>
      </c>
      <c r="E22" s="28">
        <v>33000</v>
      </c>
      <c r="F22" s="25">
        <v>584.13</v>
      </c>
      <c r="G22" s="25">
        <v>0.51</v>
      </c>
      <c r="H22" s="26"/>
      <c r="I22" s="70" t="s">
        <v>690</v>
      </c>
      <c r="K22" s="62"/>
      <c r="L22" s="62"/>
      <c r="M22" s="62"/>
      <c r="N22" s="62"/>
    </row>
    <row r="23" spans="2:14">
      <c r="B23" s="27" t="s">
        <v>119</v>
      </c>
      <c r="C23" s="23" t="s">
        <v>120</v>
      </c>
      <c r="D23" s="23" t="s">
        <v>121</v>
      </c>
      <c r="E23" s="28">
        <v>19597</v>
      </c>
      <c r="F23" s="25">
        <v>516.85</v>
      </c>
      <c r="G23" s="25">
        <v>0.45</v>
      </c>
      <c r="H23" s="26"/>
      <c r="I23" s="70" t="s">
        <v>688</v>
      </c>
      <c r="K23" s="62"/>
      <c r="L23" s="62"/>
      <c r="M23" s="62"/>
      <c r="N23" s="62"/>
    </row>
    <row r="24" spans="2:14">
      <c r="B24" s="27" t="s">
        <v>288</v>
      </c>
      <c r="C24" s="23" t="s">
        <v>289</v>
      </c>
      <c r="D24" s="23" t="s">
        <v>132</v>
      </c>
      <c r="E24" s="28">
        <v>102000</v>
      </c>
      <c r="F24" s="25">
        <v>487.92</v>
      </c>
      <c r="G24" s="25">
        <v>0.42</v>
      </c>
      <c r="H24" s="26"/>
      <c r="I24" s="70" t="s">
        <v>690</v>
      </c>
      <c r="K24" s="62"/>
      <c r="L24" s="62"/>
      <c r="M24" s="62"/>
      <c r="N24" s="62"/>
    </row>
    <row r="25" spans="2:14">
      <c r="B25" s="27" t="s">
        <v>563</v>
      </c>
      <c r="C25" s="23" t="s">
        <v>564</v>
      </c>
      <c r="D25" s="23" t="s">
        <v>565</v>
      </c>
      <c r="E25" s="28">
        <v>12000</v>
      </c>
      <c r="F25" s="25">
        <v>468.05</v>
      </c>
      <c r="G25" s="25">
        <v>0.41</v>
      </c>
      <c r="H25" s="26"/>
      <c r="I25" s="70" t="s">
        <v>688</v>
      </c>
      <c r="K25" s="62"/>
      <c r="L25" s="62"/>
      <c r="M25" s="62"/>
      <c r="N25" s="62"/>
    </row>
    <row r="26" spans="2:14">
      <c r="B26" s="27" t="s">
        <v>143</v>
      </c>
      <c r="C26" s="23" t="s">
        <v>144</v>
      </c>
      <c r="D26" s="23" t="s">
        <v>39</v>
      </c>
      <c r="E26" s="28">
        <v>89000</v>
      </c>
      <c r="F26" s="25">
        <v>452.83</v>
      </c>
      <c r="G26" s="25">
        <v>0.39</v>
      </c>
      <c r="H26" s="26"/>
      <c r="I26" s="70" t="s">
        <v>689</v>
      </c>
      <c r="K26" s="62"/>
      <c r="L26" s="62"/>
      <c r="M26" s="62"/>
      <c r="N26" s="62"/>
    </row>
    <row r="27" spans="2:14">
      <c r="B27" s="27" t="s">
        <v>34</v>
      </c>
      <c r="C27" s="23" t="s">
        <v>35</v>
      </c>
      <c r="D27" s="23" t="s">
        <v>36</v>
      </c>
      <c r="E27" s="28">
        <v>25000</v>
      </c>
      <c r="F27" s="25">
        <v>452.01</v>
      </c>
      <c r="G27" s="25">
        <v>0.39</v>
      </c>
      <c r="H27" s="26"/>
      <c r="I27" s="70" t="s">
        <v>688</v>
      </c>
      <c r="K27" s="62"/>
      <c r="L27" s="62"/>
      <c r="M27" s="62"/>
      <c r="N27" s="62"/>
    </row>
    <row r="28" spans="2:14">
      <c r="B28" s="27" t="s">
        <v>264</v>
      </c>
      <c r="C28" s="23" t="s">
        <v>265</v>
      </c>
      <c r="D28" s="23" t="s">
        <v>213</v>
      </c>
      <c r="E28" s="28">
        <v>50000</v>
      </c>
      <c r="F28" s="25">
        <v>441.35</v>
      </c>
      <c r="G28" s="25">
        <v>0.38</v>
      </c>
      <c r="H28" s="26"/>
      <c r="I28" s="70" t="s">
        <v>689</v>
      </c>
      <c r="K28" s="62"/>
      <c r="L28" s="62"/>
      <c r="M28" s="62"/>
      <c r="N28" s="62"/>
    </row>
    <row r="29" spans="2:14">
      <c r="B29" s="27" t="s">
        <v>234</v>
      </c>
      <c r="C29" s="23" t="s">
        <v>235</v>
      </c>
      <c r="D29" s="23" t="s">
        <v>236</v>
      </c>
      <c r="E29" s="28">
        <v>50000</v>
      </c>
      <c r="F29" s="25">
        <v>419.78</v>
      </c>
      <c r="G29" s="25">
        <v>0.37</v>
      </c>
      <c r="H29" s="26"/>
      <c r="I29" s="70" t="s">
        <v>690</v>
      </c>
      <c r="K29" s="62"/>
      <c r="L29" s="62"/>
      <c r="M29" s="62"/>
      <c r="N29" s="62"/>
    </row>
    <row r="30" spans="2:14">
      <c r="B30" s="27" t="s">
        <v>167</v>
      </c>
      <c r="C30" s="23" t="s">
        <v>168</v>
      </c>
      <c r="D30" s="23" t="s">
        <v>140</v>
      </c>
      <c r="E30" s="28">
        <v>4604</v>
      </c>
      <c r="F30" s="25">
        <v>409.16</v>
      </c>
      <c r="G30" s="25">
        <v>0.36</v>
      </c>
      <c r="H30" s="26"/>
      <c r="I30" s="70" t="s">
        <v>689</v>
      </c>
      <c r="K30" s="62"/>
      <c r="L30" s="62"/>
      <c r="M30" s="62"/>
      <c r="N30" s="62"/>
    </row>
    <row r="31" spans="2:14">
      <c r="B31" s="27" t="s">
        <v>260</v>
      </c>
      <c r="C31" s="23" t="s">
        <v>261</v>
      </c>
      <c r="D31" s="23" t="s">
        <v>153</v>
      </c>
      <c r="E31" s="28">
        <v>70000</v>
      </c>
      <c r="F31" s="25">
        <v>409.01</v>
      </c>
      <c r="G31" s="25">
        <v>0.36</v>
      </c>
      <c r="H31" s="26"/>
      <c r="I31" s="70" t="s">
        <v>690</v>
      </c>
      <c r="K31" s="62"/>
      <c r="L31" s="62"/>
      <c r="M31" s="62"/>
      <c r="N31" s="62"/>
    </row>
    <row r="32" spans="2:14">
      <c r="B32" s="27" t="s">
        <v>173</v>
      </c>
      <c r="C32" s="23" t="s">
        <v>174</v>
      </c>
      <c r="D32" s="23" t="s">
        <v>113</v>
      </c>
      <c r="E32" s="28">
        <v>17500</v>
      </c>
      <c r="F32" s="25">
        <v>402.47</v>
      </c>
      <c r="G32" s="25">
        <v>0.35</v>
      </c>
      <c r="H32" s="26"/>
      <c r="I32" s="70" t="s">
        <v>688</v>
      </c>
      <c r="K32" s="62"/>
      <c r="L32" s="62"/>
      <c r="M32" s="62"/>
      <c r="N32" s="62"/>
    </row>
    <row r="33" spans="2:14">
      <c r="B33" s="27" t="s">
        <v>566</v>
      </c>
      <c r="C33" s="23" t="s">
        <v>567</v>
      </c>
      <c r="D33" s="23" t="s">
        <v>42</v>
      </c>
      <c r="E33" s="28">
        <v>174999</v>
      </c>
      <c r="F33" s="25">
        <v>392.26</v>
      </c>
      <c r="G33" s="25">
        <v>0.34</v>
      </c>
      <c r="H33" s="26"/>
      <c r="I33" s="70" t="s">
        <v>689</v>
      </c>
      <c r="K33" s="62"/>
      <c r="L33" s="62"/>
      <c r="M33" s="62"/>
      <c r="N33" s="62"/>
    </row>
    <row r="34" spans="2:14">
      <c r="B34" s="27" t="s">
        <v>211</v>
      </c>
      <c r="C34" s="23" t="s">
        <v>212</v>
      </c>
      <c r="D34" s="23" t="s">
        <v>213</v>
      </c>
      <c r="E34" s="28">
        <v>50000</v>
      </c>
      <c r="F34" s="25">
        <v>389.5</v>
      </c>
      <c r="G34" s="25">
        <v>0.34</v>
      </c>
      <c r="H34" s="26"/>
      <c r="I34" s="70" t="s">
        <v>688</v>
      </c>
      <c r="K34" s="62"/>
      <c r="L34" s="62"/>
      <c r="M34" s="62"/>
      <c r="N34" s="62"/>
    </row>
    <row r="35" spans="2:14">
      <c r="B35" s="27" t="s">
        <v>64</v>
      </c>
      <c r="C35" s="23" t="s">
        <v>65</v>
      </c>
      <c r="D35" s="23" t="s">
        <v>66</v>
      </c>
      <c r="E35" s="28">
        <v>78500</v>
      </c>
      <c r="F35" s="25">
        <v>387.44</v>
      </c>
      <c r="G35" s="25">
        <v>0.34</v>
      </c>
      <c r="H35" s="26"/>
      <c r="I35" s="70" t="s">
        <v>690</v>
      </c>
      <c r="K35" s="62"/>
      <c r="L35" s="62"/>
      <c r="M35" s="62"/>
      <c r="N35" s="62"/>
    </row>
    <row r="36" spans="2:14">
      <c r="B36" s="27" t="s">
        <v>177</v>
      </c>
      <c r="C36" s="23" t="s">
        <v>178</v>
      </c>
      <c r="D36" s="23" t="s">
        <v>39</v>
      </c>
      <c r="E36" s="28">
        <v>65588</v>
      </c>
      <c r="F36" s="25">
        <v>372.77</v>
      </c>
      <c r="G36" s="25">
        <v>0.32</v>
      </c>
      <c r="H36" s="26"/>
      <c r="I36" s="70" t="s">
        <v>689</v>
      </c>
      <c r="K36" s="62"/>
      <c r="L36" s="62"/>
      <c r="M36" s="62"/>
      <c r="N36" s="62"/>
    </row>
    <row r="37" spans="2:14">
      <c r="B37" s="27" t="s">
        <v>128</v>
      </c>
      <c r="C37" s="23" t="s">
        <v>129</v>
      </c>
      <c r="D37" s="23" t="s">
        <v>113</v>
      </c>
      <c r="E37" s="28">
        <v>11019</v>
      </c>
      <c r="F37" s="25">
        <v>363.84</v>
      </c>
      <c r="G37" s="25">
        <v>0.32</v>
      </c>
      <c r="H37" s="26"/>
      <c r="I37" s="70" t="s">
        <v>688</v>
      </c>
      <c r="K37" s="62"/>
      <c r="L37" s="62"/>
      <c r="M37" s="62"/>
      <c r="N37" s="62"/>
    </row>
    <row r="38" spans="2:14">
      <c r="B38" s="27" t="s">
        <v>191</v>
      </c>
      <c r="C38" s="23" t="s">
        <v>192</v>
      </c>
      <c r="D38" s="23" t="s">
        <v>132</v>
      </c>
      <c r="E38" s="28">
        <v>15370</v>
      </c>
      <c r="F38" s="25">
        <v>347.45</v>
      </c>
      <c r="G38" s="25">
        <v>0.3</v>
      </c>
      <c r="H38" s="26"/>
      <c r="I38" s="70" t="s">
        <v>688</v>
      </c>
      <c r="K38" s="62"/>
      <c r="L38" s="62"/>
      <c r="M38" s="62"/>
      <c r="N38" s="62"/>
    </row>
    <row r="39" spans="2:14">
      <c r="B39" s="27" t="s">
        <v>135</v>
      </c>
      <c r="C39" s="23" t="s">
        <v>136</v>
      </c>
      <c r="D39" s="23" t="s">
        <v>137</v>
      </c>
      <c r="E39" s="28">
        <v>8000</v>
      </c>
      <c r="F39" s="25">
        <v>339.51</v>
      </c>
      <c r="G39" s="25">
        <v>0.3</v>
      </c>
      <c r="H39" s="26"/>
      <c r="I39" s="70" t="s">
        <v>688</v>
      </c>
      <c r="K39" s="62"/>
      <c r="L39" s="62"/>
      <c r="M39" s="62"/>
      <c r="N39" s="62"/>
    </row>
    <row r="40" spans="2:14">
      <c r="B40" s="27" t="s">
        <v>122</v>
      </c>
      <c r="C40" s="23" t="s">
        <v>123</v>
      </c>
      <c r="D40" s="23" t="s">
        <v>124</v>
      </c>
      <c r="E40" s="28">
        <v>50000</v>
      </c>
      <c r="F40" s="25">
        <v>338.98</v>
      </c>
      <c r="G40" s="25">
        <v>0.28999999999999998</v>
      </c>
      <c r="H40" s="26"/>
      <c r="I40" s="70" t="s">
        <v>688</v>
      </c>
      <c r="K40" s="62"/>
      <c r="L40" s="62"/>
      <c r="M40" s="62"/>
      <c r="N40" s="62"/>
    </row>
    <row r="41" spans="2:14">
      <c r="B41" s="27" t="s">
        <v>69</v>
      </c>
      <c r="C41" s="23" t="s">
        <v>70</v>
      </c>
      <c r="D41" s="23" t="s">
        <v>71</v>
      </c>
      <c r="E41" s="28">
        <v>17966</v>
      </c>
      <c r="F41" s="25">
        <v>318.02</v>
      </c>
      <c r="G41" s="25">
        <v>0.28000000000000003</v>
      </c>
      <c r="H41" s="26"/>
      <c r="I41" s="70" t="s">
        <v>690</v>
      </c>
      <c r="K41" s="62"/>
      <c r="L41" s="62"/>
      <c r="M41" s="62"/>
      <c r="N41" s="62"/>
    </row>
    <row r="42" spans="2:14">
      <c r="B42" s="27" t="s">
        <v>187</v>
      </c>
      <c r="C42" s="23" t="s">
        <v>188</v>
      </c>
      <c r="D42" s="23" t="s">
        <v>118</v>
      </c>
      <c r="E42" s="28">
        <v>30000</v>
      </c>
      <c r="F42" s="25">
        <v>281.77999999999997</v>
      </c>
      <c r="G42" s="25">
        <v>0.25</v>
      </c>
      <c r="H42" s="26"/>
      <c r="I42" s="70" t="s">
        <v>688</v>
      </c>
      <c r="K42" s="62"/>
      <c r="L42" s="62"/>
      <c r="M42" s="62"/>
      <c r="N42" s="62"/>
    </row>
    <row r="43" spans="2:14">
      <c r="B43" s="27" t="s">
        <v>363</v>
      </c>
      <c r="C43" s="23" t="s">
        <v>364</v>
      </c>
      <c r="D43" s="23" t="s">
        <v>311</v>
      </c>
      <c r="E43" s="28">
        <v>41259</v>
      </c>
      <c r="F43" s="25">
        <v>223.83</v>
      </c>
      <c r="G43" s="25">
        <v>0.19</v>
      </c>
      <c r="H43" s="26"/>
      <c r="I43" s="70" t="s">
        <v>690</v>
      </c>
      <c r="K43" s="62"/>
      <c r="L43" s="62"/>
      <c r="M43" s="62"/>
      <c r="N43" s="62"/>
    </row>
    <row r="44" spans="2:14">
      <c r="B44" s="27" t="s">
        <v>84</v>
      </c>
      <c r="C44" s="23" t="s">
        <v>85</v>
      </c>
      <c r="D44" s="23" t="s">
        <v>86</v>
      </c>
      <c r="E44" s="28">
        <v>72706</v>
      </c>
      <c r="F44" s="25">
        <v>106.59</v>
      </c>
      <c r="G44" s="25">
        <v>0.09</v>
      </c>
      <c r="H44" s="26"/>
      <c r="I44" s="70" t="s">
        <v>688</v>
      </c>
      <c r="K44" s="62"/>
      <c r="L44" s="62"/>
      <c r="M44" s="62"/>
      <c r="N44" s="62"/>
    </row>
    <row r="45" spans="2:14" ht="12.75" thickBot="1">
      <c r="B45" s="27" t="s">
        <v>209</v>
      </c>
      <c r="C45" s="23" t="s">
        <v>210</v>
      </c>
      <c r="D45" s="23" t="s">
        <v>124</v>
      </c>
      <c r="E45" s="28">
        <v>3571</v>
      </c>
      <c r="F45" s="25">
        <v>10.48</v>
      </c>
      <c r="G45" s="25">
        <v>0.01</v>
      </c>
      <c r="H45" s="26"/>
      <c r="I45" s="71" t="s">
        <v>688</v>
      </c>
      <c r="K45" s="62"/>
      <c r="L45" s="62"/>
      <c r="M45" s="62"/>
      <c r="N45" s="62"/>
    </row>
    <row r="46" spans="2:14">
      <c r="B46" s="29" t="s">
        <v>104</v>
      </c>
      <c r="C46" s="30"/>
      <c r="D46" s="30"/>
      <c r="E46" s="31"/>
      <c r="F46" s="32">
        <f>SUM(F7:F45)</f>
        <v>26516.209999999992</v>
      </c>
      <c r="G46" s="32">
        <f>SUM(G7:G45)</f>
        <v>23.050000000000008</v>
      </c>
      <c r="H46" s="33"/>
      <c r="I46" s="64"/>
      <c r="J46" s="14"/>
      <c r="K46" s="62"/>
      <c r="L46" s="62"/>
      <c r="M46" s="62"/>
      <c r="N46" s="62"/>
    </row>
    <row r="47" spans="2:14">
      <c r="B47" s="37" t="s">
        <v>105</v>
      </c>
      <c r="C47" s="37"/>
      <c r="D47" s="37"/>
      <c r="E47" s="38"/>
      <c r="F47" s="39">
        <f>F46</f>
        <v>26516.209999999992</v>
      </c>
      <c r="G47" s="39">
        <f>G46</f>
        <v>23.050000000000008</v>
      </c>
      <c r="H47" s="15"/>
      <c r="I47" s="15"/>
      <c r="J47" s="14"/>
      <c r="K47" s="62"/>
      <c r="L47" s="62"/>
      <c r="M47" s="62"/>
      <c r="N47" s="62"/>
    </row>
    <row r="48" spans="2:14">
      <c r="B48" s="46" t="s">
        <v>375</v>
      </c>
      <c r="C48" s="41"/>
      <c r="D48" s="41"/>
      <c r="E48" s="42"/>
      <c r="F48" s="43"/>
      <c r="G48" s="43"/>
      <c r="H48" s="43"/>
      <c r="I48" s="63"/>
      <c r="K48" s="62"/>
      <c r="L48" s="62"/>
      <c r="M48" s="62"/>
      <c r="N48" s="62"/>
    </row>
    <row r="49" spans="2:14">
      <c r="B49" s="47" t="s">
        <v>30</v>
      </c>
      <c r="C49" s="23"/>
      <c r="D49" s="23"/>
      <c r="E49" s="24"/>
      <c r="F49" s="25"/>
      <c r="G49" s="25"/>
      <c r="H49" s="25"/>
      <c r="I49" s="63"/>
      <c r="K49" s="62"/>
      <c r="L49" s="62"/>
      <c r="M49" s="62"/>
      <c r="N49" s="62"/>
    </row>
    <row r="50" spans="2:14">
      <c r="B50" s="23" t="s">
        <v>568</v>
      </c>
      <c r="C50" s="23" t="s">
        <v>569</v>
      </c>
      <c r="D50" s="23" t="s">
        <v>378</v>
      </c>
      <c r="E50" s="28">
        <v>350</v>
      </c>
      <c r="F50" s="25">
        <v>3514.15</v>
      </c>
      <c r="G50" s="25">
        <v>3.06</v>
      </c>
      <c r="H50" s="25">
        <v>6.42</v>
      </c>
      <c r="I50" s="63"/>
      <c r="K50" s="62"/>
      <c r="L50" s="62"/>
      <c r="M50" s="62"/>
      <c r="N50" s="62"/>
    </row>
    <row r="51" spans="2:14">
      <c r="B51" s="23" t="s">
        <v>382</v>
      </c>
      <c r="C51" s="23" t="s">
        <v>383</v>
      </c>
      <c r="D51" s="23" t="s">
        <v>378</v>
      </c>
      <c r="E51" s="28">
        <v>300</v>
      </c>
      <c r="F51" s="25">
        <v>3035.75</v>
      </c>
      <c r="G51" s="25">
        <v>2.64</v>
      </c>
      <c r="H51" s="25">
        <v>6.95</v>
      </c>
      <c r="I51" s="63"/>
      <c r="K51" s="62"/>
      <c r="L51" s="62"/>
      <c r="M51" s="62"/>
      <c r="N51" s="62"/>
    </row>
    <row r="52" spans="2:14">
      <c r="B52" s="23" t="s">
        <v>386</v>
      </c>
      <c r="C52" s="23" t="s">
        <v>387</v>
      </c>
      <c r="D52" s="23" t="s">
        <v>378</v>
      </c>
      <c r="E52" s="28">
        <v>250</v>
      </c>
      <c r="F52" s="25">
        <v>2524.13</v>
      </c>
      <c r="G52" s="25">
        <v>2.2000000000000002</v>
      </c>
      <c r="H52" s="25">
        <v>6.25</v>
      </c>
      <c r="I52" s="63"/>
      <c r="K52" s="62"/>
      <c r="L52" s="62"/>
      <c r="M52" s="62"/>
      <c r="N52" s="62"/>
    </row>
    <row r="53" spans="2:14">
      <c r="B53" s="23" t="s">
        <v>392</v>
      </c>
      <c r="C53" s="23" t="s">
        <v>393</v>
      </c>
      <c r="D53" s="23" t="s">
        <v>378</v>
      </c>
      <c r="E53" s="28">
        <v>250</v>
      </c>
      <c r="F53" s="25">
        <v>2505.92</v>
      </c>
      <c r="G53" s="25">
        <v>2.1800000000000002</v>
      </c>
      <c r="H53" s="25">
        <v>7.36</v>
      </c>
      <c r="I53" s="63"/>
      <c r="K53" s="62"/>
      <c r="L53" s="62"/>
      <c r="M53" s="62"/>
      <c r="N53" s="62"/>
    </row>
    <row r="54" spans="2:14">
      <c r="B54" s="23" t="s">
        <v>570</v>
      </c>
      <c r="C54" s="23" t="s">
        <v>571</v>
      </c>
      <c r="D54" s="23" t="s">
        <v>378</v>
      </c>
      <c r="E54" s="28">
        <v>250</v>
      </c>
      <c r="F54" s="25">
        <v>2504.0700000000002</v>
      </c>
      <c r="G54" s="25">
        <v>2.1800000000000002</v>
      </c>
      <c r="H54" s="25">
        <v>5.85</v>
      </c>
      <c r="I54" s="63"/>
      <c r="K54" s="62"/>
      <c r="L54" s="62"/>
      <c r="M54" s="62"/>
      <c r="N54" s="62"/>
    </row>
    <row r="55" spans="2:14">
      <c r="B55" s="23" t="s">
        <v>572</v>
      </c>
      <c r="C55" s="23" t="s">
        <v>573</v>
      </c>
      <c r="D55" s="23" t="s">
        <v>378</v>
      </c>
      <c r="E55" s="28">
        <v>250</v>
      </c>
      <c r="F55" s="25">
        <v>2476.41</v>
      </c>
      <c r="G55" s="25">
        <v>2.15</v>
      </c>
      <c r="H55" s="25">
        <v>6.72</v>
      </c>
      <c r="I55" s="63"/>
      <c r="K55" s="62"/>
      <c r="L55" s="62"/>
      <c r="M55" s="62"/>
      <c r="N55" s="62"/>
    </row>
    <row r="56" spans="2:14">
      <c r="B56" s="23" t="s">
        <v>574</v>
      </c>
      <c r="C56" s="23" t="s">
        <v>575</v>
      </c>
      <c r="D56" s="23" t="s">
        <v>378</v>
      </c>
      <c r="E56" s="28">
        <v>250</v>
      </c>
      <c r="F56" s="25">
        <v>2471.0700000000002</v>
      </c>
      <c r="G56" s="25">
        <v>2.15</v>
      </c>
      <c r="H56" s="25">
        <v>6.9</v>
      </c>
      <c r="I56" s="63"/>
      <c r="K56" s="62"/>
      <c r="L56" s="62"/>
      <c r="M56" s="62"/>
      <c r="N56" s="62"/>
    </row>
    <row r="57" spans="2:14">
      <c r="B57" s="23" t="s">
        <v>384</v>
      </c>
      <c r="C57" s="23" t="s">
        <v>385</v>
      </c>
      <c r="D57" s="23" t="s">
        <v>381</v>
      </c>
      <c r="E57" s="28">
        <v>250</v>
      </c>
      <c r="F57" s="25">
        <v>2445.8000000000002</v>
      </c>
      <c r="G57" s="25">
        <v>2.13</v>
      </c>
      <c r="H57" s="25">
        <v>7.05</v>
      </c>
      <c r="I57" s="63"/>
      <c r="K57" s="62"/>
      <c r="L57" s="62"/>
      <c r="M57" s="62"/>
      <c r="N57" s="62"/>
    </row>
    <row r="58" spans="2:14">
      <c r="B58" s="23" t="s">
        <v>576</v>
      </c>
      <c r="C58" s="23" t="s">
        <v>577</v>
      </c>
      <c r="D58" s="23" t="s">
        <v>412</v>
      </c>
      <c r="E58" s="28">
        <v>250</v>
      </c>
      <c r="F58" s="25">
        <v>2421.2199999999998</v>
      </c>
      <c r="G58" s="25">
        <v>2.11</v>
      </c>
      <c r="H58" s="25">
        <v>7.23</v>
      </c>
      <c r="I58" s="63"/>
      <c r="K58" s="62"/>
      <c r="L58" s="62"/>
      <c r="M58" s="62"/>
      <c r="N58" s="62"/>
    </row>
    <row r="59" spans="2:14">
      <c r="B59" s="23" t="s">
        <v>520</v>
      </c>
      <c r="C59" s="23" t="s">
        <v>521</v>
      </c>
      <c r="D59" s="23" t="s">
        <v>378</v>
      </c>
      <c r="E59" s="28">
        <v>200</v>
      </c>
      <c r="F59" s="25">
        <v>2020.1</v>
      </c>
      <c r="G59" s="25">
        <v>1.76</v>
      </c>
      <c r="H59" s="25">
        <v>6.88</v>
      </c>
      <c r="I59" s="63"/>
      <c r="K59" s="62"/>
      <c r="L59" s="62"/>
      <c r="M59" s="62"/>
      <c r="N59" s="62"/>
    </row>
    <row r="60" spans="2:14">
      <c r="B60" s="23" t="s">
        <v>506</v>
      </c>
      <c r="C60" s="23" t="s">
        <v>507</v>
      </c>
      <c r="D60" s="23" t="s">
        <v>378</v>
      </c>
      <c r="E60" s="28">
        <v>200</v>
      </c>
      <c r="F60" s="25">
        <v>2004.79</v>
      </c>
      <c r="G60" s="25">
        <v>1.74</v>
      </c>
      <c r="H60" s="25">
        <v>5.83</v>
      </c>
      <c r="I60" s="63"/>
      <c r="K60" s="62"/>
      <c r="L60" s="62"/>
      <c r="M60" s="62"/>
      <c r="N60" s="62"/>
    </row>
    <row r="61" spans="2:14">
      <c r="B61" s="23" t="s">
        <v>413</v>
      </c>
      <c r="C61" s="23" t="s">
        <v>414</v>
      </c>
      <c r="D61" s="23" t="s">
        <v>378</v>
      </c>
      <c r="E61" s="28">
        <v>200</v>
      </c>
      <c r="F61" s="25">
        <v>1994.22</v>
      </c>
      <c r="G61" s="25">
        <v>1.73</v>
      </c>
      <c r="H61" s="25">
        <v>7.43</v>
      </c>
      <c r="I61" s="63"/>
      <c r="K61" s="62"/>
      <c r="L61" s="62"/>
      <c r="M61" s="62"/>
      <c r="N61" s="62"/>
    </row>
    <row r="62" spans="2:14">
      <c r="B62" s="23" t="s">
        <v>398</v>
      </c>
      <c r="C62" s="23" t="s">
        <v>399</v>
      </c>
      <c r="D62" s="23" t="s">
        <v>378</v>
      </c>
      <c r="E62" s="28">
        <v>100</v>
      </c>
      <c r="F62" s="25">
        <v>1013.36</v>
      </c>
      <c r="G62" s="25">
        <v>0.88</v>
      </c>
      <c r="H62" s="25">
        <v>7.22</v>
      </c>
      <c r="I62" s="63"/>
      <c r="K62" s="62"/>
      <c r="L62" s="62"/>
      <c r="M62" s="62"/>
      <c r="N62" s="62"/>
    </row>
    <row r="63" spans="2:14">
      <c r="B63" s="23" t="s">
        <v>402</v>
      </c>
      <c r="C63" s="23" t="s">
        <v>403</v>
      </c>
      <c r="D63" s="23" t="s">
        <v>378</v>
      </c>
      <c r="E63" s="28">
        <v>100</v>
      </c>
      <c r="F63" s="25">
        <v>1003.71</v>
      </c>
      <c r="G63" s="25">
        <v>0.87</v>
      </c>
      <c r="H63" s="25">
        <v>6.01</v>
      </c>
      <c r="I63" s="63"/>
      <c r="K63" s="62"/>
      <c r="L63" s="62"/>
      <c r="M63" s="62"/>
      <c r="N63" s="62"/>
    </row>
    <row r="64" spans="2:14">
      <c r="B64" s="23" t="s">
        <v>578</v>
      </c>
      <c r="C64" s="23" t="s">
        <v>579</v>
      </c>
      <c r="D64" s="23" t="s">
        <v>378</v>
      </c>
      <c r="E64" s="28">
        <v>100</v>
      </c>
      <c r="F64" s="25">
        <v>1001.93</v>
      </c>
      <c r="G64" s="25">
        <v>0.87</v>
      </c>
      <c r="H64" s="25">
        <v>7.29</v>
      </c>
      <c r="I64" s="63"/>
      <c r="K64" s="62"/>
      <c r="L64" s="62"/>
      <c r="M64" s="62"/>
      <c r="N64" s="62"/>
    </row>
    <row r="65" spans="2:14">
      <c r="B65" s="23" t="s">
        <v>490</v>
      </c>
      <c r="C65" s="23" t="s">
        <v>491</v>
      </c>
      <c r="D65" s="23" t="s">
        <v>378</v>
      </c>
      <c r="E65" s="28">
        <v>50</v>
      </c>
      <c r="F65" s="25">
        <v>511.65</v>
      </c>
      <c r="G65" s="25">
        <v>0.45</v>
      </c>
      <c r="H65" s="25">
        <v>7.14</v>
      </c>
      <c r="I65" s="63"/>
      <c r="K65" s="62"/>
      <c r="L65" s="62"/>
      <c r="M65" s="62"/>
      <c r="N65" s="62"/>
    </row>
    <row r="66" spans="2:14">
      <c r="B66" s="23" t="s">
        <v>514</v>
      </c>
      <c r="C66" s="23" t="s">
        <v>515</v>
      </c>
      <c r="D66" s="23" t="s">
        <v>378</v>
      </c>
      <c r="E66" s="28">
        <v>50</v>
      </c>
      <c r="F66" s="25">
        <v>499.39</v>
      </c>
      <c r="G66" s="25">
        <v>0.43</v>
      </c>
      <c r="H66" s="25">
        <v>5.85</v>
      </c>
      <c r="I66" s="63"/>
      <c r="K66" s="62"/>
      <c r="L66" s="62"/>
      <c r="M66" s="62"/>
      <c r="N66" s="62"/>
    </row>
    <row r="67" spans="2:14">
      <c r="B67" s="30" t="s">
        <v>104</v>
      </c>
      <c r="C67" s="30"/>
      <c r="D67" s="30"/>
      <c r="E67" s="31"/>
      <c r="F67" s="32">
        <f>SUM(F49:F66)</f>
        <v>33947.67</v>
      </c>
      <c r="G67" s="32">
        <f>SUM(G49:G66)</f>
        <v>29.529999999999998</v>
      </c>
      <c r="H67" s="48"/>
      <c r="I67" s="64"/>
      <c r="J67" s="14"/>
      <c r="K67" s="62"/>
      <c r="L67" s="62"/>
      <c r="M67" s="62"/>
      <c r="N67" s="62"/>
    </row>
    <row r="68" spans="2:14">
      <c r="B68" s="49" t="s">
        <v>105</v>
      </c>
      <c r="C68" s="49"/>
      <c r="D68" s="49"/>
      <c r="E68" s="50"/>
      <c r="F68" s="51">
        <f>F67</f>
        <v>33947.67</v>
      </c>
      <c r="G68" s="51">
        <f>G67</f>
        <v>29.529999999999998</v>
      </c>
      <c r="H68" s="51"/>
      <c r="I68" s="64"/>
      <c r="J68" s="14"/>
      <c r="K68" s="62"/>
      <c r="L68" s="62"/>
      <c r="M68" s="62"/>
      <c r="N68" s="62"/>
    </row>
    <row r="69" spans="2:14">
      <c r="B69" s="47" t="s">
        <v>435</v>
      </c>
      <c r="C69" s="23"/>
      <c r="D69" s="23"/>
      <c r="E69" s="24"/>
      <c r="F69" s="25"/>
      <c r="G69" s="25"/>
      <c r="H69" s="25"/>
      <c r="I69" s="63"/>
      <c r="K69" s="62"/>
      <c r="L69" s="62"/>
      <c r="M69" s="62"/>
      <c r="N69" s="62"/>
    </row>
    <row r="70" spans="2:14">
      <c r="B70" s="23" t="s">
        <v>439</v>
      </c>
      <c r="C70" s="23" t="s">
        <v>440</v>
      </c>
      <c r="D70" s="23" t="s">
        <v>438</v>
      </c>
      <c r="E70" s="28">
        <v>10000000</v>
      </c>
      <c r="F70" s="25">
        <v>9595.3700000000008</v>
      </c>
      <c r="G70" s="25">
        <v>8.35</v>
      </c>
      <c r="H70" s="25">
        <v>6.88</v>
      </c>
      <c r="I70" s="63"/>
      <c r="K70" s="62"/>
      <c r="L70" s="62"/>
      <c r="M70" s="62"/>
      <c r="N70" s="62"/>
    </row>
    <row r="71" spans="2:14">
      <c r="B71" s="23" t="s">
        <v>436</v>
      </c>
      <c r="C71" s="23" t="s">
        <v>437</v>
      </c>
      <c r="D71" s="23" t="s">
        <v>438</v>
      </c>
      <c r="E71" s="28">
        <v>7500000</v>
      </c>
      <c r="F71" s="25">
        <v>7169</v>
      </c>
      <c r="G71" s="25">
        <v>6.24</v>
      </c>
      <c r="H71" s="25">
        <v>6.94</v>
      </c>
      <c r="I71" s="63"/>
      <c r="K71" s="62"/>
      <c r="L71" s="62"/>
      <c r="M71" s="62"/>
      <c r="N71" s="62"/>
    </row>
    <row r="72" spans="2:14">
      <c r="B72" s="23" t="s">
        <v>441</v>
      </c>
      <c r="C72" s="23" t="s">
        <v>442</v>
      </c>
      <c r="D72" s="23" t="s">
        <v>438</v>
      </c>
      <c r="E72" s="28">
        <v>5500000</v>
      </c>
      <c r="F72" s="25">
        <v>5569.61</v>
      </c>
      <c r="G72" s="25">
        <v>4.84</v>
      </c>
      <c r="H72" s="25">
        <v>6.42</v>
      </c>
      <c r="I72" s="63"/>
      <c r="K72" s="62"/>
      <c r="L72" s="62"/>
      <c r="M72" s="62"/>
      <c r="N72" s="62"/>
    </row>
    <row r="73" spans="2:14">
      <c r="B73" s="23" t="s">
        <v>443</v>
      </c>
      <c r="C73" s="23" t="s">
        <v>444</v>
      </c>
      <c r="D73" s="23" t="s">
        <v>438</v>
      </c>
      <c r="E73" s="28">
        <v>4000000</v>
      </c>
      <c r="F73" s="25">
        <v>4050.4</v>
      </c>
      <c r="G73" s="25">
        <v>3.52</v>
      </c>
      <c r="H73" s="25">
        <v>6.62</v>
      </c>
      <c r="I73" s="63"/>
      <c r="K73" s="62"/>
      <c r="L73" s="62"/>
      <c r="M73" s="62"/>
      <c r="N73" s="62"/>
    </row>
    <row r="74" spans="2:14">
      <c r="B74" s="23" t="s">
        <v>463</v>
      </c>
      <c r="C74" s="23" t="s">
        <v>464</v>
      </c>
      <c r="D74" s="23" t="s">
        <v>438</v>
      </c>
      <c r="E74" s="28">
        <v>3000000</v>
      </c>
      <c r="F74" s="25">
        <v>3062.69</v>
      </c>
      <c r="G74" s="25">
        <v>2.66</v>
      </c>
      <c r="H74" s="25">
        <v>6.9</v>
      </c>
      <c r="I74" s="63"/>
      <c r="K74" s="62"/>
      <c r="L74" s="62"/>
      <c r="M74" s="62"/>
      <c r="N74" s="62"/>
    </row>
    <row r="75" spans="2:14">
      <c r="B75" s="23" t="s">
        <v>447</v>
      </c>
      <c r="C75" s="23" t="s">
        <v>448</v>
      </c>
      <c r="D75" s="23" t="s">
        <v>438</v>
      </c>
      <c r="E75" s="28">
        <v>3000000</v>
      </c>
      <c r="F75" s="25">
        <v>3042.88</v>
      </c>
      <c r="G75" s="25">
        <v>2.65</v>
      </c>
      <c r="H75" s="25">
        <v>7.03</v>
      </c>
      <c r="I75" s="63"/>
      <c r="K75" s="62"/>
      <c r="L75" s="62"/>
      <c r="M75" s="62"/>
      <c r="N75" s="62"/>
    </row>
    <row r="76" spans="2:14">
      <c r="B76" s="23" t="s">
        <v>455</v>
      </c>
      <c r="C76" s="23" t="s">
        <v>456</v>
      </c>
      <c r="D76" s="23" t="s">
        <v>438</v>
      </c>
      <c r="E76" s="28">
        <v>2500000</v>
      </c>
      <c r="F76" s="25">
        <v>2504.13</v>
      </c>
      <c r="G76" s="25">
        <v>2.1800000000000002</v>
      </c>
      <c r="H76" s="25">
        <v>6.59</v>
      </c>
      <c r="I76" s="63"/>
      <c r="K76" s="62"/>
      <c r="L76" s="62"/>
      <c r="M76" s="62"/>
      <c r="N76" s="62"/>
    </row>
    <row r="77" spans="2:14">
      <c r="B77" s="23" t="s">
        <v>445</v>
      </c>
      <c r="C77" s="23" t="s">
        <v>446</v>
      </c>
      <c r="D77" s="23" t="s">
        <v>438</v>
      </c>
      <c r="E77" s="28">
        <v>2500000</v>
      </c>
      <c r="F77" s="25">
        <v>2444.11</v>
      </c>
      <c r="G77" s="25">
        <v>2.13</v>
      </c>
      <c r="H77" s="25">
        <v>6.36</v>
      </c>
      <c r="I77" s="63"/>
      <c r="K77" s="62"/>
      <c r="L77" s="62"/>
      <c r="M77" s="62"/>
      <c r="N77" s="62"/>
    </row>
    <row r="78" spans="2:14">
      <c r="B78" s="23" t="s">
        <v>453</v>
      </c>
      <c r="C78" s="23" t="s">
        <v>454</v>
      </c>
      <c r="D78" s="23" t="s">
        <v>438</v>
      </c>
      <c r="E78" s="28">
        <v>1500000</v>
      </c>
      <c r="F78" s="25">
        <v>1440.75</v>
      </c>
      <c r="G78" s="25">
        <v>1.25</v>
      </c>
      <c r="H78" s="25">
        <v>6.75</v>
      </c>
      <c r="I78" s="63"/>
      <c r="K78" s="62"/>
      <c r="L78" s="62"/>
      <c r="M78" s="62"/>
      <c r="N78" s="62"/>
    </row>
    <row r="79" spans="2:14">
      <c r="B79" s="23" t="s">
        <v>451</v>
      </c>
      <c r="C79" s="23" t="s">
        <v>452</v>
      </c>
      <c r="D79" s="23" t="s">
        <v>438</v>
      </c>
      <c r="E79" s="28">
        <v>1500000</v>
      </c>
      <c r="F79" s="25">
        <v>1420.98</v>
      </c>
      <c r="G79" s="25">
        <v>1.24</v>
      </c>
      <c r="H79" s="25">
        <v>7.32</v>
      </c>
      <c r="I79" s="63"/>
      <c r="K79" s="62"/>
      <c r="L79" s="62"/>
      <c r="M79" s="62"/>
      <c r="N79" s="62"/>
    </row>
    <row r="80" spans="2:14">
      <c r="B80" s="23" t="s">
        <v>580</v>
      </c>
      <c r="C80" s="23" t="s">
        <v>581</v>
      </c>
      <c r="D80" s="23" t="s">
        <v>438</v>
      </c>
      <c r="E80" s="28">
        <v>1000000</v>
      </c>
      <c r="F80" s="25">
        <v>1000.56</v>
      </c>
      <c r="G80" s="25">
        <v>0.87</v>
      </c>
      <c r="H80" s="25">
        <v>6.2</v>
      </c>
      <c r="I80" s="63"/>
      <c r="K80" s="62"/>
      <c r="L80" s="62"/>
      <c r="M80" s="62"/>
      <c r="N80" s="62"/>
    </row>
    <row r="81" spans="2:14">
      <c r="B81" s="23" t="s">
        <v>467</v>
      </c>
      <c r="C81" s="23" t="s">
        <v>468</v>
      </c>
      <c r="D81" s="23" t="s">
        <v>438</v>
      </c>
      <c r="E81" s="28">
        <v>1000000</v>
      </c>
      <c r="F81" s="25">
        <v>988.7</v>
      </c>
      <c r="G81" s="25">
        <v>0.86</v>
      </c>
      <c r="H81" s="25">
        <v>7.07</v>
      </c>
      <c r="I81" s="63"/>
      <c r="K81" s="62"/>
      <c r="L81" s="62"/>
      <c r="M81" s="62"/>
      <c r="N81" s="62"/>
    </row>
    <row r="82" spans="2:14">
      <c r="B82" s="23" t="s">
        <v>582</v>
      </c>
      <c r="C82" s="23" t="s">
        <v>583</v>
      </c>
      <c r="D82" s="23" t="s">
        <v>438</v>
      </c>
      <c r="E82" s="28">
        <v>500000</v>
      </c>
      <c r="F82" s="25">
        <v>514.11</v>
      </c>
      <c r="G82" s="25">
        <v>0.45</v>
      </c>
      <c r="H82" s="25">
        <v>6.72</v>
      </c>
      <c r="I82" s="63"/>
      <c r="K82" s="62"/>
      <c r="L82" s="62"/>
      <c r="M82" s="62"/>
      <c r="N82" s="62"/>
    </row>
    <row r="83" spans="2:14">
      <c r="B83" s="23" t="s">
        <v>465</v>
      </c>
      <c r="C83" s="23" t="s">
        <v>466</v>
      </c>
      <c r="D83" s="23" t="s">
        <v>438</v>
      </c>
      <c r="E83" s="28">
        <v>500000</v>
      </c>
      <c r="F83" s="25">
        <v>500.43</v>
      </c>
      <c r="G83" s="25">
        <v>0.44</v>
      </c>
      <c r="H83" s="25">
        <v>7.53</v>
      </c>
      <c r="I83" s="63"/>
      <c r="K83" s="62"/>
      <c r="L83" s="62"/>
      <c r="M83" s="62"/>
      <c r="N83" s="62"/>
    </row>
    <row r="84" spans="2:14">
      <c r="B84" s="23" t="s">
        <v>480</v>
      </c>
      <c r="C84" s="23" t="s">
        <v>481</v>
      </c>
      <c r="D84" s="23" t="s">
        <v>438</v>
      </c>
      <c r="E84" s="28">
        <v>500000</v>
      </c>
      <c r="F84" s="25">
        <v>488.82</v>
      </c>
      <c r="G84" s="25">
        <v>0.43</v>
      </c>
      <c r="H84" s="25">
        <v>6.34</v>
      </c>
      <c r="I84" s="63"/>
      <c r="K84" s="62"/>
      <c r="L84" s="62"/>
      <c r="M84" s="62"/>
      <c r="N84" s="62"/>
    </row>
    <row r="85" spans="2:14">
      <c r="B85" s="55" t="s">
        <v>584</v>
      </c>
      <c r="C85" s="55" t="s">
        <v>585</v>
      </c>
      <c r="D85" s="55" t="s">
        <v>438</v>
      </c>
      <c r="E85" s="56">
        <v>800</v>
      </c>
      <c r="F85" s="57">
        <v>0.8</v>
      </c>
      <c r="G85" s="57">
        <v>0</v>
      </c>
      <c r="H85" s="57">
        <v>7.67</v>
      </c>
      <c r="I85" s="63"/>
      <c r="K85" s="62"/>
      <c r="L85" s="62"/>
      <c r="M85" s="62"/>
      <c r="N85" s="62"/>
    </row>
    <row r="86" spans="2:14">
      <c r="B86" s="58" t="s">
        <v>105</v>
      </c>
      <c r="C86" s="58"/>
      <c r="D86" s="58"/>
      <c r="E86" s="59"/>
      <c r="F86" s="53">
        <f>SUM(F70:F85)</f>
        <v>43793.340000000004</v>
      </c>
      <c r="G86" s="53">
        <f>SUM(G70:G85)</f>
        <v>38.11</v>
      </c>
      <c r="H86" s="53"/>
      <c r="I86" s="64"/>
      <c r="J86" s="14"/>
      <c r="K86" s="62"/>
      <c r="L86" s="62"/>
      <c r="M86" s="62"/>
      <c r="N86" s="62"/>
    </row>
    <row r="87" spans="2:14">
      <c r="B87" s="47" t="s">
        <v>106</v>
      </c>
      <c r="C87" s="23"/>
      <c r="D87" s="23"/>
      <c r="E87" s="24"/>
      <c r="F87" s="25"/>
      <c r="G87" s="25"/>
      <c r="H87" s="25"/>
      <c r="I87" s="63"/>
      <c r="K87" s="62"/>
      <c r="L87" s="62"/>
      <c r="M87" s="62"/>
      <c r="N87" s="62"/>
    </row>
    <row r="88" spans="2:14">
      <c r="B88" s="23" t="s">
        <v>106</v>
      </c>
      <c r="C88" s="23"/>
      <c r="D88" s="23"/>
      <c r="E88" s="24"/>
      <c r="F88" s="25">
        <v>9313.9</v>
      </c>
      <c r="G88" s="25">
        <v>8.1</v>
      </c>
      <c r="H88" s="25"/>
      <c r="I88" s="63"/>
      <c r="K88" s="62"/>
      <c r="L88" s="62"/>
      <c r="M88" s="62"/>
      <c r="N88" s="62"/>
    </row>
    <row r="89" spans="2:14">
      <c r="B89" s="30" t="s">
        <v>104</v>
      </c>
      <c r="C89" s="30"/>
      <c r="D89" s="30"/>
      <c r="E89" s="31"/>
      <c r="F89" s="32">
        <f>SUM(F87:F88)</f>
        <v>9313.9</v>
      </c>
      <c r="G89" s="32">
        <f>SUM(G87:G88)</f>
        <v>8.1</v>
      </c>
      <c r="H89" s="48"/>
      <c r="I89" s="64"/>
      <c r="J89" s="14"/>
      <c r="K89" s="62"/>
      <c r="L89" s="62"/>
      <c r="M89" s="62"/>
      <c r="N89" s="62"/>
    </row>
    <row r="90" spans="2:14">
      <c r="B90" s="34" t="s">
        <v>105</v>
      </c>
      <c r="C90" s="34"/>
      <c r="D90" s="34"/>
      <c r="E90" s="35"/>
      <c r="F90" s="36">
        <f>F89</f>
        <v>9313.9</v>
      </c>
      <c r="G90" s="36">
        <f>G89</f>
        <v>8.1</v>
      </c>
      <c r="H90" s="36"/>
      <c r="I90" s="64"/>
      <c r="J90" s="14"/>
      <c r="K90" s="62"/>
      <c r="L90" s="62"/>
      <c r="M90" s="62"/>
      <c r="N90" s="62"/>
    </row>
    <row r="91" spans="2:14">
      <c r="B91" s="44" t="s">
        <v>108</v>
      </c>
      <c r="C91" s="44"/>
      <c r="D91" s="44"/>
      <c r="E91" s="45"/>
      <c r="F91" s="16">
        <f>F92-(+F47+F68+F86+F90)</f>
        <v>1399.0800000000017</v>
      </c>
      <c r="G91" s="16">
        <f>G92-(+G47+G68+G86+G90)</f>
        <v>1.210000000000008</v>
      </c>
      <c r="H91" s="16"/>
      <c r="I91" s="64"/>
      <c r="J91" s="14"/>
      <c r="K91" s="62"/>
      <c r="L91" s="62"/>
      <c r="M91" s="62"/>
      <c r="N91" s="62"/>
    </row>
    <row r="92" spans="2:14">
      <c r="B92" s="44" t="s">
        <v>107</v>
      </c>
      <c r="C92" s="44"/>
      <c r="D92" s="44"/>
      <c r="E92" s="45"/>
      <c r="F92" s="16">
        <v>114970.2</v>
      </c>
      <c r="G92" s="16">
        <v>100</v>
      </c>
      <c r="H92" s="16"/>
      <c r="I92" s="64"/>
      <c r="J92" s="14"/>
      <c r="K92" s="62"/>
      <c r="L92" s="62"/>
      <c r="M92" s="62"/>
      <c r="N92" s="62"/>
    </row>
    <row r="94" spans="2:14">
      <c r="B94" s="14" t="s">
        <v>675</v>
      </c>
    </row>
  </sheetData>
  <mergeCells count="4">
    <mergeCell ref="B1:H1"/>
    <mergeCell ref="K5:K12"/>
    <mergeCell ref="L5:L12"/>
    <mergeCell ref="M5:M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43"/>
  <sheetViews>
    <sheetView workbookViewId="0"/>
  </sheetViews>
  <sheetFormatPr defaultRowHeight="12"/>
  <cols>
    <col min="1" max="1" width="9.140625" style="1"/>
    <col min="2" max="2" width="54" style="1" bestFit="1" customWidth="1"/>
    <col min="3" max="3" width="12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9" style="1" bestFit="1" customWidth="1"/>
    <col min="11" max="11" width="4.7109375" style="1" bestFit="1" customWidth="1"/>
    <col min="12" max="12" width="6.5703125" style="1" bestFit="1" customWidth="1"/>
    <col min="13" max="13" width="4.7109375" style="1" bestFit="1" customWidth="1"/>
    <col min="14" max="16384" width="9.140625" style="1"/>
  </cols>
  <sheetData>
    <row r="1" spans="2:13" ht="21" customHeight="1">
      <c r="B1" s="77" t="s">
        <v>23</v>
      </c>
      <c r="C1" s="78"/>
      <c r="D1" s="78"/>
      <c r="E1" s="78"/>
      <c r="F1" s="78"/>
      <c r="G1" s="78"/>
      <c r="H1" s="78"/>
    </row>
    <row r="3" spans="2:13" ht="16.5" thickBot="1">
      <c r="B3" s="2" t="s">
        <v>7</v>
      </c>
      <c r="C3" s="3"/>
      <c r="D3" s="4"/>
      <c r="E3" s="5"/>
      <c r="F3" s="6"/>
      <c r="G3" s="6"/>
    </row>
    <row r="4" spans="2:13" ht="24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</row>
    <row r="5" spans="2:13">
      <c r="B5" s="60" t="s">
        <v>435</v>
      </c>
      <c r="C5" s="18"/>
      <c r="D5" s="18"/>
      <c r="E5" s="19"/>
      <c r="F5" s="20"/>
      <c r="G5" s="20"/>
      <c r="H5" s="20"/>
    </row>
    <row r="6" spans="2:13">
      <c r="B6" s="23" t="s">
        <v>467</v>
      </c>
      <c r="C6" s="23" t="s">
        <v>468</v>
      </c>
      <c r="D6" s="23" t="s">
        <v>438</v>
      </c>
      <c r="E6" s="28">
        <v>1500000</v>
      </c>
      <c r="F6" s="25">
        <v>1483.05</v>
      </c>
      <c r="G6" s="25">
        <v>45.84</v>
      </c>
      <c r="H6" s="25">
        <v>7.07</v>
      </c>
      <c r="J6" s="62"/>
      <c r="K6" s="62"/>
      <c r="L6" s="62"/>
      <c r="M6" s="62"/>
    </row>
    <row r="7" spans="2:13">
      <c r="B7" s="23" t="s">
        <v>463</v>
      </c>
      <c r="C7" s="23" t="s">
        <v>464</v>
      </c>
      <c r="D7" s="23" t="s">
        <v>438</v>
      </c>
      <c r="E7" s="28">
        <v>1000000</v>
      </c>
      <c r="F7" s="25">
        <v>1020.9</v>
      </c>
      <c r="G7" s="25">
        <v>31.56</v>
      </c>
      <c r="H7" s="25">
        <v>6.9</v>
      </c>
      <c r="J7" s="62"/>
      <c r="K7" s="62"/>
      <c r="L7" s="62"/>
      <c r="M7" s="62"/>
    </row>
    <row r="8" spans="2:13">
      <c r="B8" s="55" t="s">
        <v>465</v>
      </c>
      <c r="C8" s="55" t="s">
        <v>466</v>
      </c>
      <c r="D8" s="55" t="s">
        <v>438</v>
      </c>
      <c r="E8" s="56">
        <v>500000</v>
      </c>
      <c r="F8" s="57">
        <v>500.43</v>
      </c>
      <c r="G8" s="57">
        <v>15.47</v>
      </c>
      <c r="H8" s="57">
        <v>7.53</v>
      </c>
      <c r="J8" s="62"/>
      <c r="K8" s="62"/>
      <c r="L8" s="62"/>
      <c r="M8" s="62"/>
    </row>
    <row r="9" spans="2:13">
      <c r="B9" s="58" t="s">
        <v>105</v>
      </c>
      <c r="C9" s="58"/>
      <c r="D9" s="58"/>
      <c r="E9" s="59"/>
      <c r="F9" s="53">
        <f>SUM(F6:F8)</f>
        <v>3004.3799999999997</v>
      </c>
      <c r="G9" s="53">
        <f>SUM(G6:G8)</f>
        <v>92.87</v>
      </c>
      <c r="H9" s="53"/>
      <c r="I9" s="14"/>
      <c r="J9" s="62"/>
      <c r="K9" s="62"/>
      <c r="L9" s="62"/>
      <c r="M9" s="62"/>
    </row>
    <row r="10" spans="2:13">
      <c r="B10" s="47" t="s">
        <v>106</v>
      </c>
      <c r="C10" s="23"/>
      <c r="D10" s="23"/>
      <c r="E10" s="24"/>
      <c r="F10" s="25"/>
      <c r="G10" s="25"/>
      <c r="H10" s="25"/>
      <c r="J10" s="62"/>
      <c r="K10" s="62"/>
      <c r="L10" s="62"/>
      <c r="M10" s="62"/>
    </row>
    <row r="11" spans="2:13">
      <c r="B11" s="23" t="s">
        <v>106</v>
      </c>
      <c r="C11" s="23"/>
      <c r="D11" s="23"/>
      <c r="E11" s="24"/>
      <c r="F11" s="25">
        <v>197.79</v>
      </c>
      <c r="G11" s="25">
        <v>6.11</v>
      </c>
      <c r="H11" s="25"/>
      <c r="J11" s="62"/>
      <c r="K11" s="62"/>
      <c r="L11" s="62"/>
      <c r="M11" s="62"/>
    </row>
    <row r="12" spans="2:13">
      <c r="B12" s="30" t="s">
        <v>104</v>
      </c>
      <c r="C12" s="30"/>
      <c r="D12" s="30"/>
      <c r="E12" s="31"/>
      <c r="F12" s="32">
        <f>SUM(F10:F11)</f>
        <v>197.79</v>
      </c>
      <c r="G12" s="32">
        <f>SUM(G10:G11)</f>
        <v>6.11</v>
      </c>
      <c r="H12" s="48"/>
      <c r="I12" s="14"/>
      <c r="J12" s="62"/>
      <c r="K12" s="62"/>
      <c r="L12" s="62"/>
      <c r="M12" s="62"/>
    </row>
    <row r="13" spans="2:13">
      <c r="B13" s="34" t="s">
        <v>105</v>
      </c>
      <c r="C13" s="34"/>
      <c r="D13" s="34"/>
      <c r="E13" s="35"/>
      <c r="F13" s="36">
        <f>F12</f>
        <v>197.79</v>
      </c>
      <c r="G13" s="36">
        <f>G12</f>
        <v>6.11</v>
      </c>
      <c r="H13" s="36"/>
      <c r="I13" s="14"/>
      <c r="J13" s="62"/>
      <c r="K13" s="62"/>
      <c r="L13" s="62"/>
      <c r="M13" s="62"/>
    </row>
    <row r="14" spans="2:13">
      <c r="B14" s="44" t="s">
        <v>108</v>
      </c>
      <c r="C14" s="44"/>
      <c r="D14" s="44"/>
      <c r="E14" s="45"/>
      <c r="F14" s="16">
        <f>F15-(+F9+F13)</f>
        <v>32.970000000000255</v>
      </c>
      <c r="G14" s="16">
        <f>G15-(+G9+G13)</f>
        <v>1.019999999999996</v>
      </c>
      <c r="H14" s="16"/>
      <c r="I14" s="14"/>
      <c r="J14" s="62"/>
      <c r="K14" s="62"/>
      <c r="L14" s="62"/>
      <c r="M14" s="62"/>
    </row>
    <row r="15" spans="2:13">
      <c r="B15" s="44" t="s">
        <v>107</v>
      </c>
      <c r="C15" s="44"/>
      <c r="D15" s="44"/>
      <c r="E15" s="45"/>
      <c r="F15" s="16">
        <v>3235.14</v>
      </c>
      <c r="G15" s="16">
        <v>100</v>
      </c>
      <c r="H15" s="16"/>
      <c r="I15" s="14"/>
      <c r="J15" s="62"/>
      <c r="K15" s="62"/>
      <c r="L15" s="62"/>
      <c r="M15" s="62"/>
    </row>
    <row r="16" spans="2:13">
      <c r="J16" s="62"/>
      <c r="K16" s="62"/>
      <c r="L16" s="62"/>
      <c r="M16" s="62"/>
    </row>
    <row r="17" spans="2:13">
      <c r="B17" s="14"/>
      <c r="J17" s="62"/>
      <c r="K17" s="62"/>
      <c r="L17" s="62"/>
      <c r="M17" s="62"/>
    </row>
    <row r="18" spans="2:13">
      <c r="J18" s="62"/>
      <c r="K18" s="62"/>
      <c r="L18" s="62"/>
      <c r="M18" s="62"/>
    </row>
    <row r="19" spans="2:13">
      <c r="J19" s="62"/>
      <c r="K19" s="62"/>
      <c r="L19" s="62"/>
      <c r="M19" s="62"/>
    </row>
    <row r="20" spans="2:13">
      <c r="J20" s="62"/>
      <c r="K20" s="62"/>
      <c r="L20" s="62"/>
      <c r="M20" s="62"/>
    </row>
    <row r="21" spans="2:13">
      <c r="J21" s="62"/>
      <c r="K21" s="62"/>
      <c r="L21" s="62"/>
      <c r="M21" s="62"/>
    </row>
    <row r="22" spans="2:13">
      <c r="J22" s="62"/>
      <c r="K22" s="62"/>
      <c r="L22" s="62"/>
      <c r="M22" s="62"/>
    </row>
    <row r="23" spans="2:13">
      <c r="J23" s="62"/>
      <c r="K23" s="62"/>
      <c r="L23" s="62"/>
      <c r="M23" s="62"/>
    </row>
    <row r="24" spans="2:13">
      <c r="J24" s="62"/>
      <c r="K24" s="62"/>
      <c r="L24" s="62"/>
      <c r="M24" s="62"/>
    </row>
    <row r="25" spans="2:13">
      <c r="J25" s="62"/>
      <c r="K25" s="62"/>
      <c r="L25" s="62"/>
      <c r="M25" s="62"/>
    </row>
    <row r="26" spans="2:13">
      <c r="J26" s="62"/>
      <c r="K26" s="62"/>
      <c r="L26" s="62"/>
      <c r="M26" s="62"/>
    </row>
    <row r="27" spans="2:13">
      <c r="J27" s="62"/>
      <c r="K27" s="62"/>
      <c r="L27" s="62"/>
      <c r="M27" s="62"/>
    </row>
    <row r="28" spans="2:13">
      <c r="J28" s="62"/>
      <c r="K28" s="62"/>
      <c r="L28" s="62"/>
      <c r="M28" s="62"/>
    </row>
    <row r="29" spans="2:13">
      <c r="J29" s="62"/>
      <c r="K29" s="62"/>
      <c r="L29" s="62"/>
      <c r="M29" s="62"/>
    </row>
    <row r="30" spans="2:13">
      <c r="J30" s="62"/>
      <c r="K30" s="62"/>
      <c r="L30" s="62"/>
      <c r="M30" s="62"/>
    </row>
    <row r="31" spans="2:13">
      <c r="J31" s="62"/>
      <c r="K31" s="62"/>
      <c r="L31" s="62"/>
      <c r="M31" s="62"/>
    </row>
    <row r="32" spans="2:13">
      <c r="J32" s="62"/>
      <c r="K32" s="62"/>
      <c r="L32" s="62"/>
      <c r="M32" s="62"/>
    </row>
    <row r="33" spans="10:13">
      <c r="J33" s="62"/>
      <c r="K33" s="62"/>
      <c r="L33" s="62"/>
      <c r="M33" s="62"/>
    </row>
    <row r="34" spans="10:13">
      <c r="J34" s="62"/>
      <c r="K34" s="62"/>
      <c r="L34" s="62"/>
      <c r="M34" s="62"/>
    </row>
    <row r="35" spans="10:13">
      <c r="J35" s="62"/>
      <c r="K35" s="62"/>
      <c r="L35" s="62"/>
      <c r="M35" s="62"/>
    </row>
    <row r="36" spans="10:13">
      <c r="J36" s="62"/>
      <c r="K36" s="62"/>
      <c r="L36" s="62"/>
      <c r="M36" s="62"/>
    </row>
    <row r="37" spans="10:13">
      <c r="J37" s="62"/>
      <c r="K37" s="62"/>
      <c r="L37" s="62"/>
      <c r="M37" s="62"/>
    </row>
    <row r="38" spans="10:13">
      <c r="J38" s="62"/>
      <c r="K38" s="62"/>
      <c r="L38" s="62"/>
      <c r="M38" s="62"/>
    </row>
    <row r="39" spans="10:13">
      <c r="J39" s="62"/>
      <c r="K39" s="62"/>
      <c r="L39" s="62"/>
      <c r="M39" s="62"/>
    </row>
    <row r="40" spans="10:13">
      <c r="J40" s="62"/>
      <c r="K40" s="62"/>
      <c r="L40" s="62"/>
      <c r="M40" s="62"/>
    </row>
    <row r="41" spans="10:13">
      <c r="J41" s="62"/>
      <c r="K41" s="62"/>
      <c r="L41" s="62"/>
      <c r="M41" s="62"/>
    </row>
    <row r="42" spans="10:13">
      <c r="J42" s="62"/>
      <c r="K42" s="62"/>
      <c r="L42" s="62"/>
      <c r="M42" s="62"/>
    </row>
    <row r="43" spans="10:13">
      <c r="J43" s="62"/>
      <c r="K43" s="62"/>
      <c r="L43" s="62"/>
      <c r="M43" s="62"/>
    </row>
  </sheetData>
  <mergeCells count="1">
    <mergeCell ref="B1:H1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4"/>
  <sheetViews>
    <sheetView workbookViewId="0">
      <selection activeCell="K5" sqref="K5:K12"/>
    </sheetView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9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26.5703125" style="1" customWidth="1"/>
    <col min="11" max="11" width="28.28515625" style="1" customWidth="1"/>
    <col min="12" max="12" width="25.85546875" style="1" customWidth="1"/>
    <col min="13" max="16384" width="9.140625" style="1"/>
  </cols>
  <sheetData>
    <row r="1" spans="2:17" ht="21" customHeight="1">
      <c r="B1" s="77" t="s">
        <v>24</v>
      </c>
      <c r="C1" s="78"/>
      <c r="D1" s="78"/>
      <c r="E1" s="78"/>
      <c r="F1" s="78"/>
      <c r="G1" s="78"/>
      <c r="H1" s="78"/>
    </row>
    <row r="3" spans="2:17" ht="16.5" thickBot="1">
      <c r="B3" s="2" t="s">
        <v>7</v>
      </c>
      <c r="C3" s="3"/>
      <c r="D3" s="4"/>
      <c r="E3" s="5"/>
      <c r="F3" s="6"/>
      <c r="G3" s="6"/>
    </row>
    <row r="4" spans="2:17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J4" s="73" t="s">
        <v>692</v>
      </c>
      <c r="K4" s="73" t="s">
        <v>693</v>
      </c>
      <c r="L4" s="73" t="s">
        <v>694</v>
      </c>
      <c r="N4" s="89" t="s">
        <v>701</v>
      </c>
      <c r="O4" s="90"/>
      <c r="P4" s="90"/>
      <c r="Q4" s="91"/>
    </row>
    <row r="5" spans="2:17" ht="24">
      <c r="B5" s="60" t="s">
        <v>375</v>
      </c>
      <c r="C5" s="18"/>
      <c r="D5" s="18"/>
      <c r="E5" s="19"/>
      <c r="F5" s="20"/>
      <c r="G5" s="20"/>
      <c r="H5" s="20"/>
      <c r="J5" s="79"/>
      <c r="K5" s="79"/>
      <c r="L5" s="79"/>
      <c r="N5" s="75" t="s">
        <v>702</v>
      </c>
      <c r="O5" s="92" t="s">
        <v>703</v>
      </c>
      <c r="P5" s="92" t="s">
        <v>704</v>
      </c>
      <c r="Q5" s="92" t="s">
        <v>705</v>
      </c>
    </row>
    <row r="6" spans="2:17" ht="36">
      <c r="B6" s="47" t="s">
        <v>30</v>
      </c>
      <c r="C6" s="23"/>
      <c r="D6" s="23"/>
      <c r="E6" s="24"/>
      <c r="F6" s="25"/>
      <c r="G6" s="25"/>
      <c r="H6" s="25"/>
      <c r="J6" s="79"/>
      <c r="K6" s="79"/>
      <c r="L6" s="79"/>
      <c r="N6" s="76" t="s">
        <v>706</v>
      </c>
      <c r="O6" s="92"/>
      <c r="P6" s="92"/>
      <c r="Q6" s="92"/>
    </row>
    <row r="7" spans="2:17">
      <c r="B7" s="23" t="s">
        <v>538</v>
      </c>
      <c r="C7" s="23" t="s">
        <v>539</v>
      </c>
      <c r="D7" s="23" t="s">
        <v>381</v>
      </c>
      <c r="E7" s="28">
        <v>1000</v>
      </c>
      <c r="F7" s="25">
        <v>10001.86</v>
      </c>
      <c r="G7" s="25">
        <v>5.96</v>
      </c>
      <c r="H7" s="25">
        <v>5.64</v>
      </c>
      <c r="J7" s="79"/>
      <c r="K7" s="79"/>
      <c r="L7" s="79"/>
      <c r="N7" s="83" t="s">
        <v>707</v>
      </c>
      <c r="O7" s="86" t="s">
        <v>718</v>
      </c>
      <c r="P7" s="93"/>
      <c r="Q7" s="84"/>
    </row>
    <row r="8" spans="2:17">
      <c r="B8" s="23" t="s">
        <v>586</v>
      </c>
      <c r="C8" s="23" t="s">
        <v>587</v>
      </c>
      <c r="D8" s="23" t="s">
        <v>378</v>
      </c>
      <c r="E8" s="28">
        <v>750</v>
      </c>
      <c r="F8" s="25">
        <v>7501.7</v>
      </c>
      <c r="G8" s="25">
        <v>4.47</v>
      </c>
      <c r="H8" s="25">
        <v>5.6</v>
      </c>
      <c r="J8" s="79"/>
      <c r="K8" s="79"/>
      <c r="L8" s="79"/>
      <c r="N8" s="83"/>
      <c r="O8" s="87"/>
      <c r="P8" s="94"/>
      <c r="Q8" s="85"/>
    </row>
    <row r="9" spans="2:17">
      <c r="B9" s="23" t="s">
        <v>532</v>
      </c>
      <c r="C9" s="23" t="s">
        <v>533</v>
      </c>
      <c r="D9" s="23" t="s">
        <v>378</v>
      </c>
      <c r="E9" s="28">
        <v>500</v>
      </c>
      <c r="F9" s="25">
        <v>5011.2700000000004</v>
      </c>
      <c r="G9" s="25">
        <v>2.99</v>
      </c>
      <c r="H9" s="25">
        <v>6.01</v>
      </c>
      <c r="J9" s="79"/>
      <c r="K9" s="79"/>
      <c r="L9" s="79"/>
      <c r="N9" s="83" t="s">
        <v>708</v>
      </c>
      <c r="O9" s="84"/>
      <c r="P9" s="84"/>
      <c r="Q9" s="84"/>
    </row>
    <row r="10" spans="2:17">
      <c r="B10" s="23" t="s">
        <v>400</v>
      </c>
      <c r="C10" s="23" t="s">
        <v>401</v>
      </c>
      <c r="D10" s="23" t="s">
        <v>378</v>
      </c>
      <c r="E10" s="28">
        <v>500</v>
      </c>
      <c r="F10" s="25">
        <v>5004.58</v>
      </c>
      <c r="G10" s="25">
        <v>2.98</v>
      </c>
      <c r="H10" s="25">
        <v>5.83</v>
      </c>
      <c r="J10" s="79"/>
      <c r="K10" s="79"/>
      <c r="L10" s="79"/>
      <c r="N10" s="83"/>
      <c r="O10" s="85"/>
      <c r="P10" s="85"/>
      <c r="Q10" s="85"/>
    </row>
    <row r="11" spans="2:17">
      <c r="B11" s="23" t="s">
        <v>512</v>
      </c>
      <c r="C11" s="23" t="s">
        <v>513</v>
      </c>
      <c r="D11" s="23" t="s">
        <v>378</v>
      </c>
      <c r="E11" s="28">
        <v>300</v>
      </c>
      <c r="F11" s="25">
        <v>3000.57</v>
      </c>
      <c r="G11" s="25">
        <v>1.79</v>
      </c>
      <c r="H11" s="25">
        <v>5.71</v>
      </c>
      <c r="J11" s="79"/>
      <c r="K11" s="79"/>
      <c r="L11" s="79"/>
      <c r="N11" s="83" t="s">
        <v>709</v>
      </c>
      <c r="O11" s="84"/>
      <c r="P11" s="84"/>
      <c r="Q11" s="84"/>
    </row>
    <row r="12" spans="2:17">
      <c r="B12" s="23" t="s">
        <v>506</v>
      </c>
      <c r="C12" s="23" t="s">
        <v>507</v>
      </c>
      <c r="D12" s="23" t="s">
        <v>378</v>
      </c>
      <c r="E12" s="28">
        <v>250</v>
      </c>
      <c r="F12" s="25">
        <v>2505.9899999999998</v>
      </c>
      <c r="G12" s="25">
        <v>1.49</v>
      </c>
      <c r="H12" s="25">
        <v>5.83</v>
      </c>
      <c r="J12" s="79"/>
      <c r="K12" s="79"/>
      <c r="L12" s="79"/>
      <c r="N12" s="83"/>
      <c r="O12" s="85"/>
      <c r="P12" s="85"/>
      <c r="Q12" s="85"/>
    </row>
    <row r="13" spans="2:17">
      <c r="B13" s="23" t="s">
        <v>588</v>
      </c>
      <c r="C13" s="23" t="s">
        <v>589</v>
      </c>
      <c r="D13" s="23" t="s">
        <v>378</v>
      </c>
      <c r="E13" s="28">
        <v>250</v>
      </c>
      <c r="F13" s="25">
        <v>2505.2600000000002</v>
      </c>
      <c r="G13" s="25">
        <v>1.49</v>
      </c>
      <c r="H13" s="25">
        <v>5.8</v>
      </c>
      <c r="J13" s="62"/>
      <c r="K13" s="62" t="s">
        <v>719</v>
      </c>
      <c r="L13" s="62"/>
    </row>
    <row r="14" spans="2:17">
      <c r="B14" s="23" t="s">
        <v>590</v>
      </c>
      <c r="C14" s="23" t="s">
        <v>591</v>
      </c>
      <c r="D14" s="23" t="s">
        <v>378</v>
      </c>
      <c r="E14" s="28">
        <v>250</v>
      </c>
      <c r="F14" s="25">
        <v>2501.75</v>
      </c>
      <c r="G14" s="25">
        <v>1.49</v>
      </c>
      <c r="H14" s="25">
        <v>5.71</v>
      </c>
      <c r="J14" s="62"/>
      <c r="K14" s="62"/>
      <c r="L14" s="62"/>
      <c r="M14" s="62"/>
    </row>
    <row r="15" spans="2:17">
      <c r="B15" s="30" t="s">
        <v>104</v>
      </c>
      <c r="C15" s="30"/>
      <c r="D15" s="30"/>
      <c r="E15" s="31"/>
      <c r="F15" s="32">
        <f>SUM(F6:F14)</f>
        <v>38032.980000000003</v>
      </c>
      <c r="G15" s="32">
        <f>SUM(G6:G14)</f>
        <v>22.659999999999993</v>
      </c>
      <c r="H15" s="48"/>
      <c r="I15" s="14"/>
      <c r="J15" s="62"/>
      <c r="K15" s="62"/>
      <c r="L15" s="62"/>
      <c r="M15" s="62"/>
    </row>
    <row r="16" spans="2:17">
      <c r="B16" s="49" t="s">
        <v>105</v>
      </c>
      <c r="C16" s="49"/>
      <c r="D16" s="49"/>
      <c r="E16" s="50"/>
      <c r="F16" s="51">
        <f>F15</f>
        <v>38032.980000000003</v>
      </c>
      <c r="G16" s="51">
        <f>G15</f>
        <v>22.659999999999993</v>
      </c>
      <c r="H16" s="51"/>
      <c r="I16" s="14"/>
      <c r="J16" s="62"/>
      <c r="K16" s="62"/>
      <c r="L16" s="62"/>
      <c r="M16" s="62"/>
    </row>
    <row r="17" spans="2:13">
      <c r="B17" s="47" t="s">
        <v>425</v>
      </c>
      <c r="C17" s="23"/>
      <c r="D17" s="23"/>
      <c r="E17" s="24"/>
      <c r="F17" s="25"/>
      <c r="G17" s="25"/>
      <c r="H17" s="25"/>
      <c r="J17" s="62"/>
      <c r="K17" s="62"/>
      <c r="L17" s="62"/>
      <c r="M17" s="62"/>
    </row>
    <row r="18" spans="2:13">
      <c r="B18" s="47" t="s">
        <v>426</v>
      </c>
      <c r="C18" s="23"/>
      <c r="D18" s="23"/>
      <c r="E18" s="24"/>
      <c r="F18" s="25"/>
      <c r="G18" s="25"/>
      <c r="H18" s="25"/>
      <c r="J18" s="62"/>
      <c r="K18" s="62"/>
      <c r="L18" s="62"/>
      <c r="M18" s="62"/>
    </row>
    <row r="19" spans="2:13">
      <c r="B19" s="23" t="s">
        <v>592</v>
      </c>
      <c r="C19" s="23" t="s">
        <v>593</v>
      </c>
      <c r="D19" s="23" t="s">
        <v>429</v>
      </c>
      <c r="E19" s="28">
        <v>1000</v>
      </c>
      <c r="F19" s="25">
        <v>4978.16</v>
      </c>
      <c r="G19" s="25">
        <v>2.97</v>
      </c>
      <c r="H19" s="25">
        <v>5.72</v>
      </c>
      <c r="J19" s="62"/>
      <c r="K19" s="62"/>
      <c r="L19" s="62"/>
      <c r="M19" s="62"/>
    </row>
    <row r="20" spans="2:13">
      <c r="B20" s="23" t="s">
        <v>594</v>
      </c>
      <c r="C20" s="23" t="s">
        <v>595</v>
      </c>
      <c r="D20" s="23" t="s">
        <v>432</v>
      </c>
      <c r="E20" s="28">
        <v>1000</v>
      </c>
      <c r="F20" s="25">
        <v>4948.55</v>
      </c>
      <c r="G20" s="25">
        <v>2.95</v>
      </c>
      <c r="H20" s="25">
        <v>5.75</v>
      </c>
      <c r="J20" s="62"/>
      <c r="K20" s="62"/>
      <c r="L20" s="62"/>
      <c r="M20" s="62"/>
    </row>
    <row r="21" spans="2:13">
      <c r="B21" s="47" t="s">
        <v>104</v>
      </c>
      <c r="C21" s="47"/>
      <c r="D21" s="47"/>
      <c r="E21" s="52"/>
      <c r="F21" s="53">
        <f>SUM(F18:F20)</f>
        <v>9926.7099999999991</v>
      </c>
      <c r="G21" s="53">
        <f>SUM(G18:G20)</f>
        <v>5.92</v>
      </c>
      <c r="H21" s="54"/>
      <c r="I21" s="14"/>
      <c r="J21" s="62"/>
      <c r="K21" s="62"/>
      <c r="L21" s="62"/>
      <c r="M21" s="62"/>
    </row>
    <row r="22" spans="2:13">
      <c r="B22" s="47" t="s">
        <v>433</v>
      </c>
      <c r="C22" s="23"/>
      <c r="D22" s="23"/>
      <c r="E22" s="24"/>
      <c r="F22" s="25"/>
      <c r="G22" s="25"/>
      <c r="H22" s="25"/>
      <c r="J22" s="62"/>
      <c r="K22" s="62"/>
      <c r="L22" s="62"/>
      <c r="M22" s="62"/>
    </row>
    <row r="23" spans="2:13">
      <c r="B23" s="23" t="s">
        <v>677</v>
      </c>
      <c r="C23" s="23" t="s">
        <v>596</v>
      </c>
      <c r="D23" s="23" t="s">
        <v>548</v>
      </c>
      <c r="E23" s="28">
        <v>2000</v>
      </c>
      <c r="F23" s="25">
        <v>9953.42</v>
      </c>
      <c r="G23" s="25">
        <v>5.94</v>
      </c>
      <c r="H23" s="25">
        <v>5.89</v>
      </c>
      <c r="J23" s="62"/>
      <c r="K23" s="62"/>
      <c r="L23" s="62"/>
      <c r="M23" s="62"/>
    </row>
    <row r="24" spans="2:13">
      <c r="B24" s="23" t="s">
        <v>678</v>
      </c>
      <c r="C24" s="23" t="s">
        <v>597</v>
      </c>
      <c r="D24" s="23" t="s">
        <v>429</v>
      </c>
      <c r="E24" s="28">
        <v>2000</v>
      </c>
      <c r="F24" s="25">
        <v>9938.4599999999991</v>
      </c>
      <c r="G24" s="25">
        <v>5.93</v>
      </c>
      <c r="H24" s="25">
        <v>5.8</v>
      </c>
      <c r="J24" s="62"/>
      <c r="K24" s="62"/>
      <c r="L24" s="62"/>
      <c r="M24" s="62"/>
    </row>
    <row r="25" spans="2:13">
      <c r="B25" s="23" t="s">
        <v>679</v>
      </c>
      <c r="C25" s="23" t="s">
        <v>598</v>
      </c>
      <c r="D25" s="23" t="s">
        <v>432</v>
      </c>
      <c r="E25" s="28">
        <v>2000</v>
      </c>
      <c r="F25" s="25">
        <v>9860.2199999999993</v>
      </c>
      <c r="G25" s="25">
        <v>5.88</v>
      </c>
      <c r="H25" s="25">
        <v>5.88</v>
      </c>
      <c r="J25" s="62"/>
      <c r="K25" s="62"/>
      <c r="L25" s="62"/>
      <c r="M25" s="62"/>
    </row>
    <row r="26" spans="2:13">
      <c r="B26" s="23" t="s">
        <v>680</v>
      </c>
      <c r="C26" s="23" t="s">
        <v>599</v>
      </c>
      <c r="D26" s="23" t="s">
        <v>600</v>
      </c>
      <c r="E26" s="28">
        <v>1500</v>
      </c>
      <c r="F26" s="25">
        <v>7451.13</v>
      </c>
      <c r="G26" s="25">
        <v>4.4400000000000004</v>
      </c>
      <c r="H26" s="25">
        <v>5.7</v>
      </c>
      <c r="J26" s="62"/>
      <c r="K26" s="62"/>
      <c r="L26" s="62"/>
      <c r="M26" s="62"/>
    </row>
    <row r="27" spans="2:13">
      <c r="B27" s="23" t="s">
        <v>681</v>
      </c>
      <c r="C27" s="23" t="s">
        <v>601</v>
      </c>
      <c r="D27" s="23" t="s">
        <v>600</v>
      </c>
      <c r="E27" s="28">
        <v>1000</v>
      </c>
      <c r="F27" s="25">
        <v>4977.5600000000004</v>
      </c>
      <c r="G27" s="25">
        <v>2.97</v>
      </c>
      <c r="H27" s="25">
        <v>5.68</v>
      </c>
      <c r="J27" s="62"/>
      <c r="K27" s="62"/>
      <c r="L27" s="62"/>
      <c r="M27" s="62"/>
    </row>
    <row r="28" spans="2:13">
      <c r="B28" s="23" t="s">
        <v>682</v>
      </c>
      <c r="C28" s="23" t="s">
        <v>602</v>
      </c>
      <c r="D28" s="23" t="s">
        <v>429</v>
      </c>
      <c r="E28" s="28">
        <v>1000</v>
      </c>
      <c r="F28" s="25">
        <v>4953.5600000000004</v>
      </c>
      <c r="G28" s="25">
        <v>2.95</v>
      </c>
      <c r="H28" s="25">
        <v>5.9</v>
      </c>
      <c r="J28" s="62"/>
      <c r="K28" s="62"/>
      <c r="L28" s="62"/>
      <c r="M28" s="62"/>
    </row>
    <row r="29" spans="2:13">
      <c r="B29" s="23" t="s">
        <v>683</v>
      </c>
      <c r="C29" s="23" t="s">
        <v>603</v>
      </c>
      <c r="D29" s="23" t="s">
        <v>600</v>
      </c>
      <c r="E29" s="28">
        <v>500</v>
      </c>
      <c r="F29" s="25">
        <v>2496.41</v>
      </c>
      <c r="G29" s="25">
        <v>1.49</v>
      </c>
      <c r="H29" s="25">
        <v>5.84</v>
      </c>
      <c r="J29" s="62"/>
      <c r="K29" s="62"/>
      <c r="L29" s="62"/>
      <c r="M29" s="62"/>
    </row>
    <row r="30" spans="2:13">
      <c r="B30" s="23" t="s">
        <v>684</v>
      </c>
      <c r="C30" s="23" t="s">
        <v>604</v>
      </c>
      <c r="D30" s="23" t="s">
        <v>429</v>
      </c>
      <c r="E30" s="28">
        <v>500</v>
      </c>
      <c r="F30" s="25">
        <v>2495.69</v>
      </c>
      <c r="G30" s="25">
        <v>1.49</v>
      </c>
      <c r="H30" s="25">
        <v>5.73</v>
      </c>
      <c r="J30" s="62"/>
      <c r="K30" s="62"/>
      <c r="L30" s="62"/>
      <c r="M30" s="62"/>
    </row>
    <row r="31" spans="2:13">
      <c r="B31" s="23" t="s">
        <v>685</v>
      </c>
      <c r="C31" s="23" t="s">
        <v>605</v>
      </c>
      <c r="D31" s="23" t="s">
        <v>429</v>
      </c>
      <c r="E31" s="28">
        <v>500</v>
      </c>
      <c r="F31" s="25">
        <v>2488.6799999999998</v>
      </c>
      <c r="G31" s="25">
        <v>1.48</v>
      </c>
      <c r="H31" s="25">
        <v>5.73</v>
      </c>
      <c r="J31" s="62"/>
      <c r="K31" s="62"/>
      <c r="L31" s="62"/>
      <c r="M31" s="62"/>
    </row>
    <row r="32" spans="2:13">
      <c r="B32" s="23" t="s">
        <v>686</v>
      </c>
      <c r="C32" s="23" t="s">
        <v>606</v>
      </c>
      <c r="D32" s="23" t="s">
        <v>429</v>
      </c>
      <c r="E32" s="28">
        <v>500</v>
      </c>
      <c r="F32" s="25">
        <v>2485.4</v>
      </c>
      <c r="G32" s="25">
        <v>1.48</v>
      </c>
      <c r="H32" s="25">
        <v>5.8</v>
      </c>
      <c r="J32" s="62"/>
      <c r="K32" s="62"/>
      <c r="L32" s="62"/>
      <c r="M32" s="62"/>
    </row>
    <row r="33" spans="2:13">
      <c r="B33" s="47" t="s">
        <v>104</v>
      </c>
      <c r="C33" s="47"/>
      <c r="D33" s="47"/>
      <c r="E33" s="52"/>
      <c r="F33" s="53">
        <f>SUM(F22:F32)</f>
        <v>57100.53</v>
      </c>
      <c r="G33" s="53">
        <f>SUM(G22:G32)</f>
        <v>34.04999999999999</v>
      </c>
      <c r="H33" s="54"/>
      <c r="I33" s="14"/>
      <c r="J33" s="62"/>
      <c r="K33" s="62"/>
      <c r="L33" s="62"/>
      <c r="M33" s="62"/>
    </row>
    <row r="34" spans="2:13">
      <c r="B34" s="47" t="s">
        <v>549</v>
      </c>
      <c r="C34" s="23"/>
      <c r="D34" s="23"/>
      <c r="E34" s="24"/>
      <c r="F34" s="25"/>
      <c r="G34" s="25"/>
      <c r="H34" s="25"/>
      <c r="J34" s="62"/>
      <c r="K34" s="62"/>
      <c r="L34" s="62"/>
      <c r="M34" s="62"/>
    </row>
    <row r="35" spans="2:13">
      <c r="B35" s="23" t="s">
        <v>607</v>
      </c>
      <c r="C35" s="23" t="s">
        <v>608</v>
      </c>
      <c r="D35" s="23" t="s">
        <v>552</v>
      </c>
      <c r="E35" s="28">
        <v>10000000</v>
      </c>
      <c r="F35" s="25">
        <v>9965.27</v>
      </c>
      <c r="G35" s="25">
        <v>5.94</v>
      </c>
      <c r="H35" s="25">
        <v>5.3</v>
      </c>
      <c r="J35" s="62"/>
      <c r="K35" s="62"/>
      <c r="L35" s="62"/>
      <c r="M35" s="62"/>
    </row>
    <row r="36" spans="2:13">
      <c r="B36" s="23" t="s">
        <v>609</v>
      </c>
      <c r="C36" s="23" t="s">
        <v>610</v>
      </c>
      <c r="D36" s="23" t="s">
        <v>552</v>
      </c>
      <c r="E36" s="28">
        <v>10000000</v>
      </c>
      <c r="F36" s="25">
        <v>9933.3799999999992</v>
      </c>
      <c r="G36" s="25">
        <v>5.92</v>
      </c>
      <c r="H36" s="25">
        <v>5.44</v>
      </c>
      <c r="J36" s="62"/>
      <c r="K36" s="62"/>
      <c r="L36" s="62"/>
      <c r="M36" s="62"/>
    </row>
    <row r="37" spans="2:13">
      <c r="B37" s="23" t="s">
        <v>611</v>
      </c>
      <c r="C37" s="23" t="s">
        <v>612</v>
      </c>
      <c r="D37" s="23" t="s">
        <v>552</v>
      </c>
      <c r="E37" s="28">
        <v>7500000</v>
      </c>
      <c r="F37" s="25">
        <v>7496.7</v>
      </c>
      <c r="G37" s="25">
        <v>4.47</v>
      </c>
      <c r="H37" s="25">
        <v>5.36</v>
      </c>
      <c r="J37" s="62"/>
      <c r="K37" s="62"/>
      <c r="L37" s="62"/>
      <c r="M37" s="62"/>
    </row>
    <row r="38" spans="2:13">
      <c r="B38" s="23" t="s">
        <v>613</v>
      </c>
      <c r="C38" s="23" t="s">
        <v>614</v>
      </c>
      <c r="D38" s="23" t="s">
        <v>552</v>
      </c>
      <c r="E38" s="28">
        <v>7500000</v>
      </c>
      <c r="F38" s="25">
        <v>7489.23</v>
      </c>
      <c r="G38" s="25">
        <v>4.47</v>
      </c>
      <c r="H38" s="25">
        <v>5.25</v>
      </c>
      <c r="J38" s="62"/>
      <c r="K38" s="62"/>
      <c r="L38" s="62"/>
      <c r="M38" s="62"/>
    </row>
    <row r="39" spans="2:13">
      <c r="B39" s="23" t="s">
        <v>615</v>
      </c>
      <c r="C39" s="23" t="s">
        <v>616</v>
      </c>
      <c r="D39" s="23" t="s">
        <v>552</v>
      </c>
      <c r="E39" s="28">
        <v>6000000</v>
      </c>
      <c r="F39" s="25">
        <v>5997.36</v>
      </c>
      <c r="G39" s="25">
        <v>3.58</v>
      </c>
      <c r="H39" s="25">
        <v>5.36</v>
      </c>
      <c r="J39" s="62"/>
      <c r="K39" s="62"/>
      <c r="L39" s="62"/>
      <c r="M39" s="62"/>
    </row>
    <row r="40" spans="2:13">
      <c r="B40" s="23" t="s">
        <v>617</v>
      </c>
      <c r="C40" s="23" t="s">
        <v>618</v>
      </c>
      <c r="D40" s="23" t="s">
        <v>552</v>
      </c>
      <c r="E40" s="28">
        <v>5000000</v>
      </c>
      <c r="F40" s="25">
        <v>4976.97</v>
      </c>
      <c r="G40" s="25">
        <v>2.97</v>
      </c>
      <c r="H40" s="25">
        <v>5.45</v>
      </c>
      <c r="J40" s="62"/>
      <c r="K40" s="62"/>
      <c r="L40" s="62"/>
      <c r="M40" s="62"/>
    </row>
    <row r="41" spans="2:13">
      <c r="B41" s="30" t="s">
        <v>104</v>
      </c>
      <c r="C41" s="30"/>
      <c r="D41" s="30"/>
      <c r="E41" s="31"/>
      <c r="F41" s="32">
        <f>SUM(F34:F40)</f>
        <v>45858.91</v>
      </c>
      <c r="G41" s="32">
        <f>SUM(G34:G40)</f>
        <v>27.349999999999994</v>
      </c>
      <c r="H41" s="48"/>
      <c r="I41" s="14"/>
      <c r="J41" s="62"/>
      <c r="K41" s="62"/>
      <c r="L41" s="62"/>
      <c r="M41" s="62"/>
    </row>
    <row r="42" spans="2:13">
      <c r="B42" s="49" t="s">
        <v>105</v>
      </c>
      <c r="C42" s="49"/>
      <c r="D42" s="49"/>
      <c r="E42" s="50"/>
      <c r="F42" s="51">
        <f>F21+F33+F41</f>
        <v>112886.15</v>
      </c>
      <c r="G42" s="51">
        <f>G21+G33+G41</f>
        <v>67.319999999999993</v>
      </c>
      <c r="H42" s="51"/>
      <c r="I42" s="14"/>
      <c r="J42" s="62"/>
      <c r="K42" s="62"/>
      <c r="L42" s="62"/>
      <c r="M42" s="62"/>
    </row>
    <row r="43" spans="2:13">
      <c r="B43" s="47" t="s">
        <v>435</v>
      </c>
      <c r="C43" s="23"/>
      <c r="D43" s="23"/>
      <c r="E43" s="24"/>
      <c r="F43" s="25"/>
      <c r="G43" s="25"/>
      <c r="H43" s="25"/>
      <c r="J43" s="62"/>
      <c r="K43" s="62"/>
      <c r="L43" s="62"/>
      <c r="M43" s="62"/>
    </row>
    <row r="44" spans="2:13">
      <c r="B44" s="55" t="s">
        <v>619</v>
      </c>
      <c r="C44" s="55" t="s">
        <v>620</v>
      </c>
      <c r="D44" s="55" t="s">
        <v>438</v>
      </c>
      <c r="E44" s="56">
        <v>10000000</v>
      </c>
      <c r="F44" s="57">
        <v>10000.69</v>
      </c>
      <c r="G44" s="57">
        <v>5.96</v>
      </c>
      <c r="H44" s="57">
        <v>5.47</v>
      </c>
      <c r="J44" s="62"/>
      <c r="K44" s="62"/>
      <c r="L44" s="62"/>
      <c r="M44" s="62"/>
    </row>
    <row r="45" spans="2:13">
      <c r="B45" s="58" t="s">
        <v>105</v>
      </c>
      <c r="C45" s="58"/>
      <c r="D45" s="58"/>
      <c r="E45" s="59"/>
      <c r="F45" s="53">
        <f>SUM(F44:F44)</f>
        <v>10000.69</v>
      </c>
      <c r="G45" s="53">
        <f>SUM(G44:G44)</f>
        <v>5.96</v>
      </c>
      <c r="H45" s="53"/>
      <c r="I45" s="14"/>
      <c r="J45" s="62"/>
      <c r="K45" s="62"/>
      <c r="L45" s="62"/>
      <c r="M45" s="62"/>
    </row>
    <row r="46" spans="2:13">
      <c r="B46" s="47" t="s">
        <v>106</v>
      </c>
      <c r="C46" s="23"/>
      <c r="D46" s="23"/>
      <c r="E46" s="24"/>
      <c r="F46" s="25"/>
      <c r="G46" s="25"/>
      <c r="H46" s="25"/>
      <c r="J46" s="62"/>
      <c r="K46" s="62"/>
      <c r="L46" s="62"/>
      <c r="M46" s="62"/>
    </row>
    <row r="47" spans="2:13">
      <c r="B47" s="23" t="s">
        <v>106</v>
      </c>
      <c r="C47" s="23"/>
      <c r="D47" s="23"/>
      <c r="E47" s="24"/>
      <c r="F47" s="25">
        <v>3549.78</v>
      </c>
      <c r="G47" s="25">
        <v>2.12</v>
      </c>
      <c r="H47" s="25"/>
      <c r="J47" s="62"/>
      <c r="K47" s="62"/>
      <c r="L47" s="62"/>
      <c r="M47" s="62"/>
    </row>
    <row r="48" spans="2:13">
      <c r="B48" s="30" t="s">
        <v>104</v>
      </c>
      <c r="C48" s="30"/>
      <c r="D48" s="30"/>
      <c r="E48" s="31"/>
      <c r="F48" s="32">
        <f>SUM(F46:F47)</f>
        <v>3549.78</v>
      </c>
      <c r="G48" s="32">
        <f>SUM(G46:G47)</f>
        <v>2.12</v>
      </c>
      <c r="H48" s="48"/>
      <c r="I48" s="14"/>
      <c r="J48" s="62"/>
      <c r="K48" s="62"/>
      <c r="L48" s="62"/>
      <c r="M48" s="62"/>
    </row>
    <row r="49" spans="2:13">
      <c r="B49" s="34" t="s">
        <v>105</v>
      </c>
      <c r="C49" s="34"/>
      <c r="D49" s="34"/>
      <c r="E49" s="35"/>
      <c r="F49" s="36">
        <f>F48</f>
        <v>3549.78</v>
      </c>
      <c r="G49" s="36">
        <f>G48</f>
        <v>2.12</v>
      </c>
      <c r="H49" s="36"/>
      <c r="I49" s="14"/>
      <c r="J49" s="62"/>
      <c r="K49" s="62"/>
      <c r="L49" s="62"/>
      <c r="M49" s="62"/>
    </row>
    <row r="50" spans="2:13">
      <c r="B50" s="44" t="s">
        <v>108</v>
      </c>
      <c r="C50" s="44"/>
      <c r="D50" s="44"/>
      <c r="E50" s="45"/>
      <c r="F50" s="16">
        <f>F51-(+F16+F42+F45+F49)</f>
        <v>3209.1499999999942</v>
      </c>
      <c r="G50" s="16">
        <f>G51-(+G16+G42+G45+G49)</f>
        <v>1.9400000000000119</v>
      </c>
      <c r="H50" s="16"/>
      <c r="I50" s="14"/>
      <c r="J50" s="62"/>
      <c r="K50" s="62"/>
      <c r="L50" s="62"/>
      <c r="M50" s="62"/>
    </row>
    <row r="51" spans="2:13">
      <c r="B51" s="44" t="s">
        <v>107</v>
      </c>
      <c r="C51" s="44"/>
      <c r="D51" s="44"/>
      <c r="E51" s="45"/>
      <c r="F51" s="16">
        <v>167678.75</v>
      </c>
      <c r="G51" s="16">
        <v>100</v>
      </c>
      <c r="H51" s="16"/>
      <c r="I51" s="14"/>
      <c r="J51" s="62"/>
      <c r="K51" s="62"/>
      <c r="L51" s="62"/>
      <c r="M51" s="62"/>
    </row>
    <row r="53" spans="2:13">
      <c r="B53" s="14" t="s">
        <v>675</v>
      </c>
    </row>
    <row r="54" spans="2:13">
      <c r="B54" s="14" t="s">
        <v>473</v>
      </c>
    </row>
  </sheetData>
  <mergeCells count="20"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  <mergeCell ref="P7:P8"/>
    <mergeCell ref="Q7:Q8"/>
    <mergeCell ref="N9:N10"/>
    <mergeCell ref="O9:O10"/>
    <mergeCell ref="P9:P10"/>
    <mergeCell ref="Q9:Q10"/>
    <mergeCell ref="N11:N12"/>
    <mergeCell ref="O11:O12"/>
    <mergeCell ref="P11:P12"/>
    <mergeCell ref="Q11:Q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7"/>
  <sheetViews>
    <sheetView topLeftCell="E1" workbookViewId="0">
      <selection activeCell="J5" sqref="J5:J12"/>
    </sheetView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26.140625" style="1" customWidth="1"/>
    <col min="11" max="11" width="26.28515625" style="1" customWidth="1"/>
    <col min="12" max="12" width="28.140625" style="1" customWidth="1"/>
    <col min="13" max="16384" width="9.140625" style="1"/>
  </cols>
  <sheetData>
    <row r="1" spans="2:17" ht="21" customHeight="1">
      <c r="B1" s="77" t="s">
        <v>25</v>
      </c>
      <c r="C1" s="78"/>
      <c r="D1" s="78"/>
      <c r="E1" s="78"/>
      <c r="F1" s="78"/>
      <c r="G1" s="78"/>
      <c r="H1" s="78"/>
    </row>
    <row r="3" spans="2:17" ht="16.5" thickBot="1">
      <c r="B3" s="2" t="s">
        <v>7</v>
      </c>
      <c r="C3" s="3"/>
      <c r="D3" s="4"/>
      <c r="E3" s="5"/>
      <c r="F3" s="6"/>
      <c r="G3" s="6"/>
    </row>
    <row r="4" spans="2:17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J4" s="73" t="s">
        <v>692</v>
      </c>
      <c r="K4" s="73" t="s">
        <v>693</v>
      </c>
      <c r="L4" s="73" t="s">
        <v>694</v>
      </c>
      <c r="N4" s="89" t="s">
        <v>701</v>
      </c>
      <c r="O4" s="90"/>
      <c r="P4" s="90"/>
      <c r="Q4" s="91"/>
    </row>
    <row r="5" spans="2:17" ht="24" customHeight="1">
      <c r="B5" s="60" t="s">
        <v>375</v>
      </c>
      <c r="C5" s="18"/>
      <c r="D5" s="18"/>
      <c r="E5" s="19"/>
      <c r="F5" s="20"/>
      <c r="G5" s="20"/>
      <c r="H5" s="20"/>
      <c r="J5" s="79"/>
      <c r="K5" s="79"/>
      <c r="L5" s="79"/>
      <c r="N5" s="75" t="s">
        <v>702</v>
      </c>
      <c r="O5" s="95" t="s">
        <v>703</v>
      </c>
      <c r="P5" s="95" t="s">
        <v>704</v>
      </c>
      <c r="Q5" s="95" t="s">
        <v>705</v>
      </c>
    </row>
    <row r="6" spans="2:17" ht="36">
      <c r="B6" s="47" t="s">
        <v>30</v>
      </c>
      <c r="C6" s="23"/>
      <c r="D6" s="23"/>
      <c r="E6" s="24"/>
      <c r="F6" s="25"/>
      <c r="G6" s="25"/>
      <c r="H6" s="25"/>
      <c r="J6" s="79"/>
      <c r="K6" s="79"/>
      <c r="L6" s="79"/>
      <c r="N6" s="76" t="s">
        <v>706</v>
      </c>
      <c r="O6" s="96"/>
      <c r="P6" s="96"/>
      <c r="Q6" s="96"/>
    </row>
    <row r="7" spans="2:17" ht="12" customHeight="1">
      <c r="B7" s="23" t="s">
        <v>522</v>
      </c>
      <c r="C7" s="23" t="s">
        <v>523</v>
      </c>
      <c r="D7" s="23" t="s">
        <v>378</v>
      </c>
      <c r="E7" s="28">
        <v>350</v>
      </c>
      <c r="F7" s="25">
        <v>3518.46</v>
      </c>
      <c r="G7" s="25">
        <v>6.56</v>
      </c>
      <c r="H7" s="25">
        <v>6.45</v>
      </c>
      <c r="J7" s="79"/>
      <c r="K7" s="79"/>
      <c r="L7" s="79"/>
      <c r="N7" s="83" t="s">
        <v>707</v>
      </c>
      <c r="O7" s="84"/>
      <c r="P7" s="86" t="s">
        <v>715</v>
      </c>
      <c r="Q7" s="84"/>
    </row>
    <row r="8" spans="2:17">
      <c r="B8" s="23" t="s">
        <v>408</v>
      </c>
      <c r="C8" s="23" t="s">
        <v>409</v>
      </c>
      <c r="D8" s="23" t="s">
        <v>378</v>
      </c>
      <c r="E8" s="28">
        <v>250</v>
      </c>
      <c r="F8" s="25">
        <v>2506.92</v>
      </c>
      <c r="G8" s="25">
        <v>4.67</v>
      </c>
      <c r="H8" s="25">
        <v>6.05</v>
      </c>
      <c r="J8" s="79"/>
      <c r="K8" s="79"/>
      <c r="L8" s="79"/>
      <c r="N8" s="83"/>
      <c r="O8" s="85"/>
      <c r="P8" s="87"/>
      <c r="Q8" s="85"/>
    </row>
    <row r="9" spans="2:17" ht="12" customHeight="1">
      <c r="B9" s="23" t="s">
        <v>506</v>
      </c>
      <c r="C9" s="23" t="s">
        <v>507</v>
      </c>
      <c r="D9" s="23" t="s">
        <v>378</v>
      </c>
      <c r="E9" s="28">
        <v>250</v>
      </c>
      <c r="F9" s="25">
        <v>2505.9899999999998</v>
      </c>
      <c r="G9" s="25">
        <v>4.67</v>
      </c>
      <c r="H9" s="25">
        <v>5.83</v>
      </c>
      <c r="J9" s="79"/>
      <c r="K9" s="79"/>
      <c r="L9" s="79"/>
      <c r="N9" s="83" t="s">
        <v>708</v>
      </c>
      <c r="O9" s="84"/>
      <c r="P9" s="84"/>
      <c r="Q9" s="84"/>
    </row>
    <row r="10" spans="2:17">
      <c r="B10" s="23" t="s">
        <v>394</v>
      </c>
      <c r="C10" s="23" t="s">
        <v>395</v>
      </c>
      <c r="D10" s="23" t="s">
        <v>378</v>
      </c>
      <c r="E10" s="28">
        <v>250</v>
      </c>
      <c r="F10" s="25">
        <v>2505.5100000000002</v>
      </c>
      <c r="G10" s="25">
        <v>4.67</v>
      </c>
      <c r="H10" s="25">
        <v>6.03</v>
      </c>
      <c r="J10" s="79"/>
      <c r="K10" s="79"/>
      <c r="L10" s="79"/>
      <c r="N10" s="83"/>
      <c r="O10" s="85"/>
      <c r="P10" s="85"/>
      <c r="Q10" s="85"/>
    </row>
    <row r="11" spans="2:17" ht="12" customHeight="1">
      <c r="B11" s="23" t="s">
        <v>621</v>
      </c>
      <c r="C11" s="23" t="s">
        <v>622</v>
      </c>
      <c r="D11" s="23" t="s">
        <v>412</v>
      </c>
      <c r="E11" s="28">
        <v>250</v>
      </c>
      <c r="F11" s="25">
        <v>2500.65</v>
      </c>
      <c r="G11" s="25">
        <v>4.66</v>
      </c>
      <c r="H11" s="25">
        <v>6.55</v>
      </c>
      <c r="J11" s="79"/>
      <c r="K11" s="79"/>
      <c r="L11" s="79"/>
      <c r="N11" s="83" t="s">
        <v>709</v>
      </c>
      <c r="O11" s="84"/>
      <c r="P11" s="84"/>
      <c r="Q11" s="84"/>
    </row>
    <row r="12" spans="2:17">
      <c r="B12" s="23" t="s">
        <v>514</v>
      </c>
      <c r="C12" s="23" t="s">
        <v>515</v>
      </c>
      <c r="D12" s="23" t="s">
        <v>378</v>
      </c>
      <c r="E12" s="28">
        <v>250</v>
      </c>
      <c r="F12" s="25">
        <v>2496.9299999999998</v>
      </c>
      <c r="G12" s="25">
        <v>4.6500000000000004</v>
      </c>
      <c r="H12" s="25">
        <v>5.85</v>
      </c>
      <c r="J12" s="79"/>
      <c r="K12" s="79"/>
      <c r="L12" s="79"/>
      <c r="N12" s="83"/>
      <c r="O12" s="85"/>
      <c r="P12" s="85"/>
      <c r="Q12" s="85"/>
    </row>
    <row r="13" spans="2:17">
      <c r="B13" s="23" t="s">
        <v>388</v>
      </c>
      <c r="C13" s="23" t="s">
        <v>389</v>
      </c>
      <c r="D13" s="23" t="s">
        <v>378</v>
      </c>
      <c r="E13" s="28">
        <v>100</v>
      </c>
      <c r="F13" s="25">
        <v>1003.84</v>
      </c>
      <c r="G13" s="25">
        <v>1.87</v>
      </c>
      <c r="H13" s="25">
        <v>6.57</v>
      </c>
      <c r="J13" s="62"/>
      <c r="K13" s="62" t="s">
        <v>720</v>
      </c>
      <c r="L13" s="62"/>
    </row>
    <row r="14" spans="2:17">
      <c r="B14" s="23" t="s">
        <v>623</v>
      </c>
      <c r="C14" s="23" t="s">
        <v>624</v>
      </c>
      <c r="D14" s="23" t="s">
        <v>378</v>
      </c>
      <c r="E14" s="28">
        <v>100</v>
      </c>
      <c r="F14" s="25">
        <v>1003.61</v>
      </c>
      <c r="G14" s="25">
        <v>1.87</v>
      </c>
      <c r="H14" s="25">
        <v>6.7</v>
      </c>
      <c r="J14" s="62"/>
      <c r="K14" s="62"/>
      <c r="L14" s="62"/>
      <c r="M14" s="62"/>
    </row>
    <row r="15" spans="2:17">
      <c r="B15" s="23" t="s">
        <v>625</v>
      </c>
      <c r="C15" s="23" t="s">
        <v>626</v>
      </c>
      <c r="D15" s="23" t="s">
        <v>378</v>
      </c>
      <c r="E15" s="28">
        <v>100</v>
      </c>
      <c r="F15" s="25">
        <v>1000.94</v>
      </c>
      <c r="G15" s="25">
        <v>1.87</v>
      </c>
      <c r="H15" s="25">
        <v>5.74</v>
      </c>
      <c r="J15" s="62"/>
      <c r="K15" s="62"/>
      <c r="L15" s="62"/>
      <c r="M15" s="62"/>
    </row>
    <row r="16" spans="2:17">
      <c r="B16" s="23" t="s">
        <v>500</v>
      </c>
      <c r="C16" s="23" t="s">
        <v>501</v>
      </c>
      <c r="D16" s="23" t="s">
        <v>378</v>
      </c>
      <c r="E16" s="28">
        <v>100</v>
      </c>
      <c r="F16" s="25">
        <v>1000.67</v>
      </c>
      <c r="G16" s="25">
        <v>1.87</v>
      </c>
      <c r="H16" s="25">
        <v>5.81</v>
      </c>
      <c r="J16" s="62"/>
      <c r="K16" s="62"/>
      <c r="L16" s="62"/>
      <c r="M16" s="62"/>
    </row>
    <row r="17" spans="2:13">
      <c r="B17" s="23" t="s">
        <v>516</v>
      </c>
      <c r="C17" s="23" t="s">
        <v>517</v>
      </c>
      <c r="D17" s="23" t="s">
        <v>378</v>
      </c>
      <c r="E17" s="28">
        <v>100</v>
      </c>
      <c r="F17" s="25">
        <v>996.63</v>
      </c>
      <c r="G17" s="25">
        <v>1.86</v>
      </c>
      <c r="H17" s="25">
        <v>6.07</v>
      </c>
      <c r="J17" s="62"/>
      <c r="K17" s="62"/>
      <c r="L17" s="62"/>
      <c r="M17" s="62"/>
    </row>
    <row r="18" spans="2:13">
      <c r="B18" s="23" t="s">
        <v>502</v>
      </c>
      <c r="C18" s="23" t="s">
        <v>503</v>
      </c>
      <c r="D18" s="23" t="s">
        <v>378</v>
      </c>
      <c r="E18" s="28">
        <v>100</v>
      </c>
      <c r="F18" s="25">
        <v>993.95</v>
      </c>
      <c r="G18" s="25">
        <v>1.85</v>
      </c>
      <c r="H18" s="25">
        <v>6.3</v>
      </c>
      <c r="J18" s="62"/>
      <c r="K18" s="62"/>
      <c r="L18" s="62"/>
      <c r="M18" s="62"/>
    </row>
    <row r="19" spans="2:13">
      <c r="B19" s="23" t="s">
        <v>627</v>
      </c>
      <c r="C19" s="23" t="s">
        <v>628</v>
      </c>
      <c r="D19" s="23" t="s">
        <v>378</v>
      </c>
      <c r="E19" s="28">
        <v>50</v>
      </c>
      <c r="F19" s="25">
        <v>501.58</v>
      </c>
      <c r="G19" s="25">
        <v>0.94</v>
      </c>
      <c r="H19" s="25">
        <v>6</v>
      </c>
      <c r="J19" s="62"/>
      <c r="K19" s="62"/>
      <c r="L19" s="62"/>
      <c r="M19" s="62"/>
    </row>
    <row r="20" spans="2:13">
      <c r="B20" s="23" t="s">
        <v>512</v>
      </c>
      <c r="C20" s="23" t="s">
        <v>513</v>
      </c>
      <c r="D20" s="23" t="s">
        <v>378</v>
      </c>
      <c r="E20" s="28">
        <v>50</v>
      </c>
      <c r="F20" s="25">
        <v>500.1</v>
      </c>
      <c r="G20" s="25">
        <v>0.93</v>
      </c>
      <c r="H20" s="25">
        <v>5.71</v>
      </c>
      <c r="J20" s="62"/>
      <c r="K20" s="62"/>
      <c r="L20" s="62"/>
      <c r="M20" s="62"/>
    </row>
    <row r="21" spans="2:13">
      <c r="B21" s="30" t="s">
        <v>104</v>
      </c>
      <c r="C21" s="30"/>
      <c r="D21" s="30"/>
      <c r="E21" s="31"/>
      <c r="F21" s="32">
        <f>SUM(F6:F20)</f>
        <v>23035.78</v>
      </c>
      <c r="G21" s="32">
        <f>SUM(G6:G20)</f>
        <v>42.94</v>
      </c>
      <c r="H21" s="48"/>
      <c r="I21" s="14"/>
      <c r="J21" s="62"/>
      <c r="K21" s="62"/>
      <c r="L21" s="62"/>
      <c r="M21" s="62"/>
    </row>
    <row r="22" spans="2:13">
      <c r="B22" s="49" t="s">
        <v>105</v>
      </c>
      <c r="C22" s="49"/>
      <c r="D22" s="49"/>
      <c r="E22" s="50"/>
      <c r="F22" s="51">
        <f>F21</f>
        <v>23035.78</v>
      </c>
      <c r="G22" s="51">
        <f>G21</f>
        <v>42.94</v>
      </c>
      <c r="H22" s="51"/>
      <c r="I22" s="14"/>
      <c r="J22" s="62"/>
      <c r="K22" s="62"/>
      <c r="L22" s="62"/>
      <c r="M22" s="62"/>
    </row>
    <row r="23" spans="2:13">
      <c r="B23" s="47" t="s">
        <v>425</v>
      </c>
      <c r="C23" s="23"/>
      <c r="D23" s="23"/>
      <c r="E23" s="24"/>
      <c r="F23" s="25"/>
      <c r="G23" s="25"/>
      <c r="H23" s="25"/>
      <c r="J23" s="62"/>
      <c r="K23" s="62"/>
      <c r="L23" s="62"/>
      <c r="M23" s="62"/>
    </row>
    <row r="24" spans="2:13">
      <c r="B24" s="47" t="s">
        <v>426</v>
      </c>
      <c r="C24" s="23"/>
      <c r="D24" s="23"/>
      <c r="E24" s="24"/>
      <c r="F24" s="25"/>
      <c r="G24" s="25"/>
      <c r="H24" s="25"/>
      <c r="J24" s="62"/>
      <c r="K24" s="62"/>
      <c r="L24" s="62"/>
      <c r="M24" s="62"/>
    </row>
    <row r="25" spans="2:13">
      <c r="B25" s="23" t="s">
        <v>629</v>
      </c>
      <c r="C25" s="23" t="s">
        <v>630</v>
      </c>
      <c r="D25" s="23" t="s">
        <v>432</v>
      </c>
      <c r="E25" s="28">
        <v>600</v>
      </c>
      <c r="F25" s="25">
        <v>2992.55</v>
      </c>
      <c r="G25" s="25">
        <v>5.58</v>
      </c>
      <c r="H25" s="25">
        <v>5.68</v>
      </c>
      <c r="J25" s="62"/>
      <c r="K25" s="62"/>
      <c r="L25" s="62"/>
      <c r="M25" s="62"/>
    </row>
    <row r="26" spans="2:13">
      <c r="B26" s="23" t="s">
        <v>631</v>
      </c>
      <c r="C26" s="23" t="s">
        <v>632</v>
      </c>
      <c r="D26" s="23" t="s">
        <v>600</v>
      </c>
      <c r="E26" s="28">
        <v>500</v>
      </c>
      <c r="F26" s="25">
        <v>2491.92</v>
      </c>
      <c r="G26" s="25">
        <v>4.6500000000000004</v>
      </c>
      <c r="H26" s="25">
        <v>5.64</v>
      </c>
      <c r="J26" s="62"/>
      <c r="K26" s="62"/>
      <c r="L26" s="62"/>
      <c r="M26" s="62"/>
    </row>
    <row r="27" spans="2:13">
      <c r="B27" s="23" t="s">
        <v>633</v>
      </c>
      <c r="C27" s="23" t="s">
        <v>634</v>
      </c>
      <c r="D27" s="23" t="s">
        <v>432</v>
      </c>
      <c r="E27" s="28">
        <v>500</v>
      </c>
      <c r="F27" s="25">
        <v>2415.35</v>
      </c>
      <c r="G27" s="25">
        <v>4.5</v>
      </c>
      <c r="H27" s="25">
        <v>6.24</v>
      </c>
      <c r="J27" s="62"/>
      <c r="K27" s="62"/>
      <c r="L27" s="62"/>
      <c r="M27" s="62"/>
    </row>
    <row r="28" spans="2:13">
      <c r="B28" s="47" t="s">
        <v>104</v>
      </c>
      <c r="C28" s="47"/>
      <c r="D28" s="47"/>
      <c r="E28" s="52"/>
      <c r="F28" s="53">
        <f>SUM(F24:F27)</f>
        <v>7899.82</v>
      </c>
      <c r="G28" s="53">
        <f>SUM(G24:G27)</f>
        <v>14.73</v>
      </c>
      <c r="H28" s="54"/>
      <c r="I28" s="14"/>
      <c r="J28" s="62"/>
      <c r="K28" s="62"/>
      <c r="L28" s="62"/>
      <c r="M28" s="62"/>
    </row>
    <row r="29" spans="2:13">
      <c r="B29" s="47" t="s">
        <v>549</v>
      </c>
      <c r="C29" s="23"/>
      <c r="D29" s="23"/>
      <c r="E29" s="24"/>
      <c r="F29" s="25"/>
      <c r="G29" s="25"/>
      <c r="H29" s="25"/>
      <c r="J29" s="62"/>
      <c r="K29" s="62"/>
      <c r="L29" s="62"/>
      <c r="M29" s="62"/>
    </row>
    <row r="30" spans="2:13">
      <c r="B30" s="23" t="s">
        <v>635</v>
      </c>
      <c r="C30" s="23" t="s">
        <v>636</v>
      </c>
      <c r="D30" s="23" t="s">
        <v>552</v>
      </c>
      <c r="E30" s="28">
        <v>5000000</v>
      </c>
      <c r="F30" s="25">
        <v>4900.1400000000003</v>
      </c>
      <c r="G30" s="25">
        <v>9.14</v>
      </c>
      <c r="H30" s="25">
        <v>5.77</v>
      </c>
      <c r="J30" s="62"/>
      <c r="K30" s="62"/>
      <c r="L30" s="62"/>
      <c r="M30" s="62"/>
    </row>
    <row r="31" spans="2:13">
      <c r="B31" s="23" t="s">
        <v>550</v>
      </c>
      <c r="C31" s="23" t="s">
        <v>551</v>
      </c>
      <c r="D31" s="23" t="s">
        <v>552</v>
      </c>
      <c r="E31" s="28">
        <v>5000000</v>
      </c>
      <c r="F31" s="25">
        <v>4865.18</v>
      </c>
      <c r="G31" s="25">
        <v>9.07</v>
      </c>
      <c r="H31" s="25">
        <v>5.92</v>
      </c>
      <c r="J31" s="62"/>
      <c r="K31" s="62"/>
      <c r="L31" s="62"/>
      <c r="M31" s="62"/>
    </row>
    <row r="32" spans="2:13">
      <c r="B32" s="23" t="s">
        <v>637</v>
      </c>
      <c r="C32" s="23" t="s">
        <v>638</v>
      </c>
      <c r="D32" s="23" t="s">
        <v>552</v>
      </c>
      <c r="E32" s="28">
        <v>2500000</v>
      </c>
      <c r="F32" s="25">
        <v>2438.13</v>
      </c>
      <c r="G32" s="25">
        <v>4.55</v>
      </c>
      <c r="H32" s="25">
        <v>5.9</v>
      </c>
      <c r="J32" s="62"/>
      <c r="K32" s="62"/>
      <c r="L32" s="62"/>
      <c r="M32" s="62"/>
    </row>
    <row r="33" spans="2:13">
      <c r="B33" s="30" t="s">
        <v>104</v>
      </c>
      <c r="C33" s="30"/>
      <c r="D33" s="30"/>
      <c r="E33" s="31"/>
      <c r="F33" s="32">
        <f>SUM(F29:F32)</f>
        <v>12203.45</v>
      </c>
      <c r="G33" s="32">
        <f>SUM(G29:G32)</f>
        <v>22.76</v>
      </c>
      <c r="H33" s="48"/>
      <c r="I33" s="14"/>
      <c r="J33" s="62"/>
      <c r="K33" s="62"/>
      <c r="L33" s="62"/>
      <c r="M33" s="62"/>
    </row>
    <row r="34" spans="2:13">
      <c r="B34" s="49" t="s">
        <v>105</v>
      </c>
      <c r="C34" s="49"/>
      <c r="D34" s="49"/>
      <c r="E34" s="50"/>
      <c r="F34" s="51">
        <f>F28+F33</f>
        <v>20103.27</v>
      </c>
      <c r="G34" s="51">
        <f>G28+G33</f>
        <v>37.49</v>
      </c>
      <c r="H34" s="51"/>
      <c r="I34" s="14"/>
      <c r="J34" s="62"/>
      <c r="K34" s="62"/>
      <c r="L34" s="62"/>
      <c r="M34" s="62"/>
    </row>
    <row r="35" spans="2:13">
      <c r="B35" s="47" t="s">
        <v>435</v>
      </c>
      <c r="C35" s="23"/>
      <c r="D35" s="23"/>
      <c r="E35" s="24"/>
      <c r="F35" s="25"/>
      <c r="G35" s="25"/>
      <c r="H35" s="25"/>
      <c r="J35" s="62"/>
      <c r="K35" s="62"/>
      <c r="L35" s="62"/>
      <c r="M35" s="62"/>
    </row>
    <row r="36" spans="2:13">
      <c r="B36" s="23" t="s">
        <v>639</v>
      </c>
      <c r="C36" s="23" t="s">
        <v>640</v>
      </c>
      <c r="D36" s="23" t="s">
        <v>438</v>
      </c>
      <c r="E36" s="28">
        <v>2000000</v>
      </c>
      <c r="F36" s="25">
        <v>2023.19</v>
      </c>
      <c r="G36" s="25">
        <v>3.77</v>
      </c>
      <c r="H36" s="25">
        <v>6.38</v>
      </c>
      <c r="J36" s="62"/>
      <c r="K36" s="62"/>
      <c r="L36" s="62"/>
      <c r="M36" s="62"/>
    </row>
    <row r="37" spans="2:13">
      <c r="B37" s="55" t="s">
        <v>641</v>
      </c>
      <c r="C37" s="55" t="s">
        <v>642</v>
      </c>
      <c r="D37" s="55" t="s">
        <v>438</v>
      </c>
      <c r="E37" s="56">
        <v>1500000</v>
      </c>
      <c r="F37" s="57">
        <v>1506.19</v>
      </c>
      <c r="G37" s="57">
        <v>2.81</v>
      </c>
      <c r="H37" s="57">
        <v>5.63</v>
      </c>
      <c r="J37" s="62"/>
      <c r="K37" s="62"/>
      <c r="L37" s="62"/>
      <c r="M37" s="62"/>
    </row>
    <row r="38" spans="2:13">
      <c r="B38" s="58" t="s">
        <v>105</v>
      </c>
      <c r="C38" s="58"/>
      <c r="D38" s="58"/>
      <c r="E38" s="59"/>
      <c r="F38" s="53">
        <f>SUM(F36:F37)</f>
        <v>3529.38</v>
      </c>
      <c r="G38" s="53">
        <f>SUM(G36:G37)</f>
        <v>6.58</v>
      </c>
      <c r="H38" s="53"/>
      <c r="I38" s="14"/>
      <c r="J38" s="62"/>
      <c r="K38" s="62"/>
      <c r="L38" s="62"/>
      <c r="M38" s="62"/>
    </row>
    <row r="39" spans="2:13">
      <c r="B39" s="47" t="s">
        <v>106</v>
      </c>
      <c r="C39" s="23"/>
      <c r="D39" s="23"/>
      <c r="E39" s="24"/>
      <c r="F39" s="25"/>
      <c r="G39" s="25"/>
      <c r="H39" s="25"/>
      <c r="J39" s="62"/>
      <c r="K39" s="62"/>
      <c r="L39" s="62"/>
      <c r="M39" s="62"/>
    </row>
    <row r="40" spans="2:13">
      <c r="B40" s="23" t="s">
        <v>106</v>
      </c>
      <c r="C40" s="23"/>
      <c r="D40" s="23"/>
      <c r="E40" s="24"/>
      <c r="F40" s="25">
        <v>5958.41</v>
      </c>
      <c r="G40" s="25">
        <v>11.110000000000001</v>
      </c>
      <c r="H40" s="25"/>
      <c r="J40" s="62"/>
      <c r="K40" s="62"/>
      <c r="L40" s="62"/>
      <c r="M40" s="62"/>
    </row>
    <row r="41" spans="2:13">
      <c r="B41" s="30" t="s">
        <v>104</v>
      </c>
      <c r="C41" s="30"/>
      <c r="D41" s="30"/>
      <c r="E41" s="31"/>
      <c r="F41" s="32">
        <f>SUM(F39:F40)</f>
        <v>5958.41</v>
      </c>
      <c r="G41" s="32">
        <f>SUM(G39:G40)</f>
        <v>11.110000000000001</v>
      </c>
      <c r="H41" s="48"/>
      <c r="I41" s="14"/>
      <c r="J41" s="62"/>
      <c r="K41" s="62"/>
      <c r="L41" s="62"/>
      <c r="M41" s="62"/>
    </row>
    <row r="42" spans="2:13">
      <c r="B42" s="34" t="s">
        <v>105</v>
      </c>
      <c r="C42" s="34"/>
      <c r="D42" s="34"/>
      <c r="E42" s="35"/>
      <c r="F42" s="36">
        <f>F41</f>
        <v>5958.41</v>
      </c>
      <c r="G42" s="36">
        <f>G41</f>
        <v>11.110000000000001</v>
      </c>
      <c r="H42" s="36"/>
      <c r="I42" s="14"/>
      <c r="J42" s="62"/>
      <c r="K42" s="62"/>
      <c r="L42" s="62"/>
      <c r="M42" s="62"/>
    </row>
    <row r="43" spans="2:13">
      <c r="B43" s="44" t="s">
        <v>108</v>
      </c>
      <c r="C43" s="44"/>
      <c r="D43" s="44"/>
      <c r="E43" s="45"/>
      <c r="F43" s="16">
        <f>F44-(+F22+F34+F38+F42)</f>
        <v>1013.9600000000064</v>
      </c>
      <c r="G43" s="16">
        <f>G44-(+G22+G34+G38+G42)</f>
        <v>1.8799999999999955</v>
      </c>
      <c r="H43" s="16"/>
      <c r="I43" s="14"/>
      <c r="J43" s="62"/>
      <c r="K43" s="62"/>
      <c r="L43" s="62"/>
      <c r="M43" s="62"/>
    </row>
    <row r="44" spans="2:13">
      <c r="B44" s="44" t="s">
        <v>107</v>
      </c>
      <c r="C44" s="44"/>
      <c r="D44" s="44"/>
      <c r="E44" s="45"/>
      <c r="F44" s="16">
        <v>53640.800000000003</v>
      </c>
      <c r="G44" s="16">
        <v>100</v>
      </c>
      <c r="H44" s="16"/>
      <c r="I44" s="14"/>
      <c r="J44" s="62"/>
      <c r="K44" s="62"/>
      <c r="L44" s="62"/>
      <c r="M44" s="62"/>
    </row>
    <row r="46" spans="2:13">
      <c r="B46" s="14" t="s">
        <v>675</v>
      </c>
    </row>
    <row r="47" spans="2:13">
      <c r="B47" s="14" t="s">
        <v>473</v>
      </c>
    </row>
  </sheetData>
  <mergeCells count="20"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  <mergeCell ref="P7:P8"/>
    <mergeCell ref="Q7:Q8"/>
    <mergeCell ref="N9:N10"/>
    <mergeCell ref="O9:O10"/>
    <mergeCell ref="P9:P10"/>
    <mergeCell ref="Q9:Q10"/>
    <mergeCell ref="N11:N12"/>
    <mergeCell ref="O11:O12"/>
    <mergeCell ref="P11:P12"/>
    <mergeCell ref="Q11:Q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3"/>
  <sheetViews>
    <sheetView topLeftCell="C1" workbookViewId="0">
      <selection activeCell="B5" sqref="B5"/>
    </sheetView>
  </sheetViews>
  <sheetFormatPr defaultRowHeight="12"/>
  <cols>
    <col min="1" max="1" width="9.140625" style="1"/>
    <col min="2" max="2" width="54" style="1" bestFit="1" customWidth="1"/>
    <col min="3" max="3" width="4.140625" style="1" bestFit="1" customWidth="1"/>
    <col min="4" max="4" width="14.140625" style="1" bestFit="1" customWidth="1"/>
    <col min="5" max="5" width="7.7109375" style="12" bestFit="1" customWidth="1"/>
    <col min="6" max="6" width="15.28515625" style="13" bestFit="1" customWidth="1"/>
    <col min="7" max="7" width="7.42578125" style="13" bestFit="1" customWidth="1"/>
    <col min="8" max="8" width="9.140625" style="1"/>
    <col min="9" max="9" width="27.42578125" style="1" customWidth="1"/>
    <col min="10" max="10" width="26.140625" style="1" customWidth="1"/>
    <col min="11" max="11" width="25.42578125" style="1" customWidth="1"/>
    <col min="12" max="16384" width="9.140625" style="1"/>
  </cols>
  <sheetData>
    <row r="1" spans="2:16" ht="21" customHeight="1">
      <c r="B1" s="77" t="s">
        <v>26</v>
      </c>
      <c r="C1" s="78"/>
      <c r="D1" s="78"/>
      <c r="E1" s="78"/>
      <c r="F1" s="78"/>
      <c r="G1" s="78"/>
    </row>
    <row r="3" spans="2:16" ht="16.5" thickBot="1">
      <c r="B3" s="2" t="s">
        <v>7</v>
      </c>
      <c r="C3" s="3"/>
      <c r="D3" s="4"/>
      <c r="E3" s="5"/>
      <c r="F3" s="6"/>
      <c r="G3" s="6"/>
    </row>
    <row r="4" spans="2:16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I4" s="73" t="s">
        <v>692</v>
      </c>
      <c r="J4" s="73" t="s">
        <v>693</v>
      </c>
      <c r="K4" s="73" t="s">
        <v>694</v>
      </c>
      <c r="M4" s="89" t="s">
        <v>701</v>
      </c>
      <c r="N4" s="90"/>
      <c r="O4" s="90"/>
      <c r="P4" s="91"/>
    </row>
    <row r="5" spans="2:16" ht="24" customHeight="1">
      <c r="B5" s="17" t="s">
        <v>106</v>
      </c>
      <c r="C5" s="18"/>
      <c r="D5" s="18"/>
      <c r="E5" s="19"/>
      <c r="F5" s="20"/>
      <c r="G5" s="20"/>
      <c r="I5" s="79"/>
      <c r="J5" s="79"/>
      <c r="K5" s="79"/>
      <c r="M5" s="75" t="s">
        <v>702</v>
      </c>
      <c r="N5" s="97" t="s">
        <v>703</v>
      </c>
      <c r="O5" s="97" t="s">
        <v>704</v>
      </c>
      <c r="P5" s="97" t="s">
        <v>721</v>
      </c>
    </row>
    <row r="6" spans="2:16" ht="36">
      <c r="B6" s="27" t="s">
        <v>106</v>
      </c>
      <c r="C6" s="27"/>
      <c r="D6" s="23"/>
      <c r="E6" s="24"/>
      <c r="F6" s="25">
        <v>20183.46</v>
      </c>
      <c r="G6" s="25">
        <v>99.61</v>
      </c>
      <c r="I6" s="79"/>
      <c r="J6" s="79"/>
      <c r="K6" s="79"/>
      <c r="M6" s="76" t="s">
        <v>706</v>
      </c>
      <c r="N6" s="97"/>
      <c r="O6" s="97"/>
      <c r="P6" s="97"/>
    </row>
    <row r="7" spans="2:16" ht="12" customHeight="1">
      <c r="B7" s="29" t="s">
        <v>104</v>
      </c>
      <c r="C7" s="30"/>
      <c r="D7" s="30"/>
      <c r="E7" s="31"/>
      <c r="F7" s="32">
        <f>SUM(F5:F6)</f>
        <v>20183.46</v>
      </c>
      <c r="G7" s="32">
        <f>SUM(G5:G6)</f>
        <v>99.61</v>
      </c>
      <c r="H7" s="14"/>
      <c r="I7" s="79"/>
      <c r="J7" s="79"/>
      <c r="K7" s="79"/>
      <c r="M7" s="83" t="s">
        <v>707</v>
      </c>
      <c r="N7" s="86" t="s">
        <v>718</v>
      </c>
      <c r="O7" s="84"/>
      <c r="P7" s="84"/>
    </row>
    <row r="8" spans="2:16">
      <c r="B8" s="34" t="s">
        <v>105</v>
      </c>
      <c r="C8" s="34"/>
      <c r="D8" s="34"/>
      <c r="E8" s="35"/>
      <c r="F8" s="36">
        <f>F7</f>
        <v>20183.46</v>
      </c>
      <c r="G8" s="36">
        <f>G7</f>
        <v>99.61</v>
      </c>
      <c r="H8" s="14"/>
      <c r="I8" s="79"/>
      <c r="J8" s="79"/>
      <c r="K8" s="79"/>
      <c r="M8" s="83"/>
      <c r="N8" s="87"/>
      <c r="O8" s="85"/>
      <c r="P8" s="85"/>
    </row>
    <row r="9" spans="2:16" ht="12" customHeight="1">
      <c r="B9" s="44" t="s">
        <v>108</v>
      </c>
      <c r="C9" s="44"/>
      <c r="D9" s="44"/>
      <c r="E9" s="45"/>
      <c r="F9" s="16">
        <f>F10-(+F8)</f>
        <v>78.690000000002328</v>
      </c>
      <c r="G9" s="16">
        <f>G10-(+G8)</f>
        <v>0.39000000000000057</v>
      </c>
      <c r="H9" s="14"/>
      <c r="I9" s="79"/>
      <c r="J9" s="79"/>
      <c r="K9" s="79"/>
      <c r="M9" s="83" t="s">
        <v>722</v>
      </c>
      <c r="N9" s="84"/>
      <c r="O9" s="84"/>
      <c r="P9" s="84"/>
    </row>
    <row r="10" spans="2:16">
      <c r="B10" s="44" t="s">
        <v>107</v>
      </c>
      <c r="C10" s="44"/>
      <c r="D10" s="44"/>
      <c r="E10" s="45"/>
      <c r="F10" s="16">
        <v>20262.150000000001</v>
      </c>
      <c r="G10" s="16">
        <v>100</v>
      </c>
      <c r="H10" s="14"/>
      <c r="I10" s="79"/>
      <c r="J10" s="79"/>
      <c r="K10" s="79"/>
      <c r="M10" s="83"/>
      <c r="N10" s="85"/>
      <c r="O10" s="85"/>
      <c r="P10" s="85"/>
    </row>
    <row r="11" spans="2:16" ht="12" customHeight="1">
      <c r="I11" s="79"/>
      <c r="J11" s="79"/>
      <c r="K11" s="79"/>
      <c r="M11" s="83" t="s">
        <v>709</v>
      </c>
      <c r="N11" s="84"/>
      <c r="O11" s="84"/>
      <c r="P11" s="84"/>
    </row>
    <row r="12" spans="2:16">
      <c r="B12" s="14"/>
      <c r="I12" s="79"/>
      <c r="J12" s="79"/>
      <c r="K12" s="79"/>
      <c r="M12" s="83"/>
      <c r="N12" s="85"/>
      <c r="O12" s="85"/>
      <c r="P12" s="85"/>
    </row>
    <row r="13" spans="2:16">
      <c r="I13" s="62"/>
      <c r="J13" s="62" t="s">
        <v>723</v>
      </c>
    </row>
    <row r="14" spans="2:16">
      <c r="I14" s="62"/>
      <c r="J14" s="62"/>
      <c r="K14" s="62"/>
      <c r="L14" s="62"/>
    </row>
    <row r="15" spans="2:16">
      <c r="I15" s="62"/>
      <c r="J15" s="62"/>
      <c r="K15" s="62"/>
      <c r="L15" s="62"/>
    </row>
    <row r="16" spans="2:16">
      <c r="I16" s="62"/>
      <c r="J16" s="62"/>
      <c r="K16" s="62"/>
      <c r="L16" s="62"/>
    </row>
    <row r="17" spans="9:12">
      <c r="I17" s="62"/>
      <c r="J17" s="62"/>
      <c r="K17" s="62"/>
      <c r="L17" s="62"/>
    </row>
    <row r="18" spans="9:12">
      <c r="I18" s="62"/>
      <c r="J18" s="62"/>
      <c r="K18" s="62"/>
      <c r="L18" s="62"/>
    </row>
    <row r="19" spans="9:12">
      <c r="I19" s="62"/>
      <c r="J19" s="62"/>
      <c r="K19" s="62"/>
      <c r="L19" s="62"/>
    </row>
    <row r="20" spans="9:12">
      <c r="I20" s="62"/>
      <c r="J20" s="62"/>
      <c r="K20" s="62"/>
      <c r="L20" s="62"/>
    </row>
    <row r="21" spans="9:12">
      <c r="I21" s="62"/>
      <c r="J21" s="62"/>
      <c r="K21" s="62"/>
      <c r="L21" s="62"/>
    </row>
    <row r="22" spans="9:12">
      <c r="I22" s="62"/>
      <c r="J22" s="62"/>
      <c r="K22" s="62"/>
      <c r="L22" s="62"/>
    </row>
    <row r="23" spans="9:12">
      <c r="I23" s="62"/>
      <c r="J23" s="62"/>
      <c r="K23" s="62"/>
      <c r="L23" s="62"/>
    </row>
    <row r="24" spans="9:12">
      <c r="I24" s="62"/>
      <c r="J24" s="62"/>
      <c r="K24" s="62"/>
      <c r="L24" s="62"/>
    </row>
    <row r="25" spans="9:12">
      <c r="I25" s="62"/>
      <c r="J25" s="62"/>
      <c r="K25" s="62"/>
      <c r="L25" s="62"/>
    </row>
    <row r="26" spans="9:12">
      <c r="I26" s="62"/>
      <c r="J26" s="62"/>
      <c r="K26" s="62"/>
      <c r="L26" s="62"/>
    </row>
    <row r="27" spans="9:12">
      <c r="I27" s="62"/>
      <c r="J27" s="62"/>
      <c r="K27" s="62"/>
      <c r="L27" s="62"/>
    </row>
    <row r="28" spans="9:12">
      <c r="I28" s="62"/>
      <c r="J28" s="62"/>
      <c r="K28" s="62"/>
      <c r="L28" s="62"/>
    </row>
    <row r="29" spans="9:12">
      <c r="I29" s="62"/>
      <c r="J29" s="62"/>
      <c r="K29" s="62"/>
      <c r="L29" s="62"/>
    </row>
    <row r="30" spans="9:12">
      <c r="I30" s="62"/>
      <c r="J30" s="62"/>
      <c r="K30" s="62"/>
      <c r="L30" s="62"/>
    </row>
    <row r="31" spans="9:12">
      <c r="I31" s="62"/>
      <c r="J31" s="62"/>
      <c r="K31" s="62"/>
      <c r="L31" s="62"/>
    </row>
    <row r="32" spans="9:12">
      <c r="I32" s="62"/>
      <c r="J32" s="62"/>
      <c r="K32" s="62"/>
      <c r="L32" s="62"/>
    </row>
    <row r="33" spans="9:12">
      <c r="I33" s="62"/>
      <c r="J33" s="62"/>
      <c r="K33" s="62"/>
      <c r="L33" s="62"/>
    </row>
    <row r="34" spans="9:12">
      <c r="I34" s="62"/>
      <c r="J34" s="62"/>
      <c r="K34" s="62"/>
      <c r="L34" s="62"/>
    </row>
    <row r="35" spans="9:12">
      <c r="I35" s="62"/>
      <c r="J35" s="62"/>
      <c r="K35" s="62"/>
      <c r="L35" s="62"/>
    </row>
    <row r="36" spans="9:12">
      <c r="I36" s="62"/>
      <c r="J36" s="62"/>
      <c r="K36" s="62"/>
      <c r="L36" s="62"/>
    </row>
    <row r="37" spans="9:12">
      <c r="I37" s="62"/>
      <c r="J37" s="62"/>
      <c r="K37" s="62"/>
      <c r="L37" s="62"/>
    </row>
    <row r="38" spans="9:12">
      <c r="I38" s="62"/>
      <c r="J38" s="62"/>
      <c r="K38" s="62"/>
      <c r="L38" s="62"/>
    </row>
    <row r="39" spans="9:12">
      <c r="I39" s="62"/>
      <c r="J39" s="62"/>
      <c r="K39" s="62"/>
      <c r="L39" s="62"/>
    </row>
    <row r="40" spans="9:12">
      <c r="I40" s="62"/>
      <c r="J40" s="62"/>
      <c r="K40" s="62"/>
      <c r="L40" s="62"/>
    </row>
    <row r="41" spans="9:12">
      <c r="I41" s="62"/>
      <c r="J41" s="62"/>
      <c r="K41" s="62"/>
      <c r="L41" s="62"/>
    </row>
    <row r="42" spans="9:12">
      <c r="I42" s="62"/>
      <c r="J42" s="62"/>
      <c r="K42" s="62"/>
      <c r="L42" s="62"/>
    </row>
    <row r="43" spans="9:12">
      <c r="I43" s="62"/>
      <c r="J43" s="62"/>
      <c r="K43" s="62"/>
      <c r="L43" s="62"/>
    </row>
  </sheetData>
  <mergeCells count="20">
    <mergeCell ref="B1:G1"/>
    <mergeCell ref="M4:P4"/>
    <mergeCell ref="I5:I12"/>
    <mergeCell ref="J5:J12"/>
    <mergeCell ref="K5:K12"/>
    <mergeCell ref="N5:N6"/>
    <mergeCell ref="O5:O6"/>
    <mergeCell ref="P5:P6"/>
    <mergeCell ref="M7:M8"/>
    <mergeCell ref="N7:N8"/>
    <mergeCell ref="O7:O8"/>
    <mergeCell ref="P7:P8"/>
    <mergeCell ref="M9:M10"/>
    <mergeCell ref="N9:N10"/>
    <mergeCell ref="O9:O10"/>
    <mergeCell ref="P9:P10"/>
    <mergeCell ref="M11:M12"/>
    <mergeCell ref="N11:N12"/>
    <mergeCell ref="O11:O12"/>
    <mergeCell ref="P11:P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8"/>
  <sheetViews>
    <sheetView topLeftCell="E1" workbookViewId="0">
      <selection activeCell="J5" sqref="J5:J12"/>
    </sheetView>
  </sheetViews>
  <sheetFormatPr defaultRowHeight="12"/>
  <cols>
    <col min="1" max="1" width="9.140625" style="1"/>
    <col min="2" max="2" width="54.85546875" style="1" bestFit="1" customWidth="1"/>
    <col min="3" max="3" width="13.71093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27.5703125" style="1" customWidth="1"/>
    <col min="11" max="11" width="25.85546875" style="1" customWidth="1"/>
    <col min="12" max="12" width="27.42578125" style="1" customWidth="1"/>
    <col min="13" max="16384" width="9.140625" style="1"/>
  </cols>
  <sheetData>
    <row r="1" spans="2:17" ht="21" customHeight="1">
      <c r="B1" s="77" t="s">
        <v>27</v>
      </c>
      <c r="C1" s="78"/>
      <c r="D1" s="78"/>
      <c r="E1" s="78"/>
      <c r="F1" s="78"/>
      <c r="G1" s="78"/>
      <c r="H1" s="78"/>
    </row>
    <row r="3" spans="2:17" ht="16.5" thickBot="1">
      <c r="B3" s="2" t="s">
        <v>7</v>
      </c>
      <c r="C3" s="3"/>
      <c r="D3" s="4"/>
      <c r="E3" s="5"/>
      <c r="F3" s="6"/>
      <c r="G3" s="6"/>
    </row>
    <row r="4" spans="2:17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J4" s="73" t="s">
        <v>692</v>
      </c>
      <c r="K4" s="73" t="s">
        <v>693</v>
      </c>
      <c r="L4" s="73" t="s">
        <v>694</v>
      </c>
      <c r="N4" s="89" t="s">
        <v>701</v>
      </c>
      <c r="O4" s="90"/>
      <c r="P4" s="90"/>
      <c r="Q4" s="91"/>
    </row>
    <row r="5" spans="2:17" ht="24">
      <c r="B5" s="60" t="s">
        <v>375</v>
      </c>
      <c r="C5" s="18"/>
      <c r="D5" s="18"/>
      <c r="E5" s="19"/>
      <c r="F5" s="20"/>
      <c r="G5" s="20"/>
      <c r="H5" s="20"/>
      <c r="J5" s="79"/>
      <c r="K5" s="79"/>
      <c r="L5" s="79"/>
      <c r="N5" s="75" t="s">
        <v>702</v>
      </c>
      <c r="O5" s="92" t="s">
        <v>703</v>
      </c>
      <c r="P5" s="92" t="s">
        <v>704</v>
      </c>
      <c r="Q5" s="92" t="s">
        <v>705</v>
      </c>
    </row>
    <row r="6" spans="2:17" ht="36">
      <c r="B6" s="47" t="s">
        <v>30</v>
      </c>
      <c r="C6" s="23"/>
      <c r="D6" s="23"/>
      <c r="E6" s="24"/>
      <c r="F6" s="25"/>
      <c r="G6" s="25"/>
      <c r="H6" s="25"/>
      <c r="J6" s="79"/>
      <c r="K6" s="79"/>
      <c r="L6" s="79"/>
      <c r="N6" s="76" t="s">
        <v>706</v>
      </c>
      <c r="O6" s="92"/>
      <c r="P6" s="92"/>
      <c r="Q6" s="92"/>
    </row>
    <row r="7" spans="2:17">
      <c r="B7" s="23" t="s">
        <v>408</v>
      </c>
      <c r="C7" s="23" t="s">
        <v>409</v>
      </c>
      <c r="D7" s="23" t="s">
        <v>378</v>
      </c>
      <c r="E7" s="28">
        <v>250</v>
      </c>
      <c r="F7" s="25">
        <v>2506.92</v>
      </c>
      <c r="G7" s="25">
        <v>4.28</v>
      </c>
      <c r="H7" s="25">
        <v>6.05</v>
      </c>
      <c r="J7" s="79"/>
      <c r="K7" s="79"/>
      <c r="L7" s="79"/>
      <c r="N7" s="83" t="s">
        <v>707</v>
      </c>
      <c r="O7" s="84"/>
      <c r="P7" s="84"/>
      <c r="Q7" s="84"/>
    </row>
    <row r="8" spans="2:17">
      <c r="B8" s="23" t="s">
        <v>500</v>
      </c>
      <c r="C8" s="23" t="s">
        <v>501</v>
      </c>
      <c r="D8" s="23" t="s">
        <v>378</v>
      </c>
      <c r="E8" s="28">
        <v>250</v>
      </c>
      <c r="F8" s="25">
        <v>2501.67</v>
      </c>
      <c r="G8" s="25">
        <v>4.2699999999999996</v>
      </c>
      <c r="H8" s="25">
        <v>5.81</v>
      </c>
      <c r="J8" s="79"/>
      <c r="K8" s="79"/>
      <c r="L8" s="79"/>
      <c r="N8" s="83"/>
      <c r="O8" s="85"/>
      <c r="P8" s="85"/>
      <c r="Q8" s="85"/>
    </row>
    <row r="9" spans="2:17">
      <c r="B9" s="23" t="s">
        <v>516</v>
      </c>
      <c r="C9" s="23" t="s">
        <v>517</v>
      </c>
      <c r="D9" s="23" t="s">
        <v>378</v>
      </c>
      <c r="E9" s="28">
        <v>250</v>
      </c>
      <c r="F9" s="25">
        <v>2491.58</v>
      </c>
      <c r="G9" s="25">
        <v>4.25</v>
      </c>
      <c r="H9" s="25">
        <v>6.07</v>
      </c>
      <c r="J9" s="79"/>
      <c r="K9" s="79"/>
      <c r="L9" s="79"/>
      <c r="N9" s="83" t="s">
        <v>708</v>
      </c>
      <c r="O9" s="84"/>
      <c r="P9" s="86" t="s">
        <v>724</v>
      </c>
      <c r="Q9" s="84"/>
    </row>
    <row r="10" spans="2:17">
      <c r="B10" s="23" t="s">
        <v>643</v>
      </c>
      <c r="C10" s="23" t="s">
        <v>644</v>
      </c>
      <c r="D10" s="23" t="s">
        <v>378</v>
      </c>
      <c r="E10" s="28">
        <v>250</v>
      </c>
      <c r="F10" s="25">
        <v>2467.6799999999998</v>
      </c>
      <c r="G10" s="25">
        <v>4.21</v>
      </c>
      <c r="H10" s="25">
        <v>6.6</v>
      </c>
      <c r="J10" s="79"/>
      <c r="K10" s="79"/>
      <c r="L10" s="79"/>
      <c r="N10" s="83"/>
      <c r="O10" s="85"/>
      <c r="P10" s="87"/>
      <c r="Q10" s="85"/>
    </row>
    <row r="11" spans="2:17">
      <c r="B11" s="23" t="s">
        <v>645</v>
      </c>
      <c r="C11" s="23" t="s">
        <v>646</v>
      </c>
      <c r="D11" s="23" t="s">
        <v>378</v>
      </c>
      <c r="E11" s="28">
        <v>250</v>
      </c>
      <c r="F11" s="25">
        <v>2452.85</v>
      </c>
      <c r="G11" s="25">
        <v>4.18</v>
      </c>
      <c r="H11" s="25">
        <v>7.19</v>
      </c>
      <c r="J11" s="79"/>
      <c r="K11" s="79"/>
      <c r="L11" s="79"/>
      <c r="N11" s="83" t="s">
        <v>709</v>
      </c>
      <c r="O11" s="84"/>
      <c r="P11" s="84"/>
      <c r="Q11" s="84"/>
    </row>
    <row r="12" spans="2:17">
      <c r="B12" s="23" t="s">
        <v>647</v>
      </c>
      <c r="C12" s="23" t="s">
        <v>648</v>
      </c>
      <c r="D12" s="23" t="s">
        <v>378</v>
      </c>
      <c r="E12" s="28">
        <v>250</v>
      </c>
      <c r="F12" s="25">
        <v>2435.54</v>
      </c>
      <c r="G12" s="25">
        <v>4.1500000000000004</v>
      </c>
      <c r="H12" s="25">
        <v>6.99</v>
      </c>
      <c r="J12" s="79"/>
      <c r="K12" s="79"/>
      <c r="L12" s="79"/>
      <c r="N12" s="83"/>
      <c r="O12" s="85"/>
      <c r="P12" s="85"/>
      <c r="Q12" s="85"/>
    </row>
    <row r="13" spans="2:17">
      <c r="B13" s="23" t="s">
        <v>649</v>
      </c>
      <c r="C13" s="23" t="s">
        <v>650</v>
      </c>
      <c r="D13" s="23" t="s">
        <v>378</v>
      </c>
      <c r="E13" s="28">
        <v>200</v>
      </c>
      <c r="F13" s="25">
        <v>1999.99</v>
      </c>
      <c r="G13" s="25">
        <v>3.41</v>
      </c>
      <c r="H13" s="25">
        <v>7.14</v>
      </c>
      <c r="J13" s="62"/>
      <c r="K13" s="62" t="s">
        <v>725</v>
      </c>
      <c r="L13" s="62"/>
    </row>
    <row r="14" spans="2:17">
      <c r="B14" s="23" t="s">
        <v>524</v>
      </c>
      <c r="C14" s="23" t="s">
        <v>525</v>
      </c>
      <c r="D14" s="23" t="s">
        <v>412</v>
      </c>
      <c r="E14" s="28">
        <v>200</v>
      </c>
      <c r="F14" s="25">
        <v>1947.6</v>
      </c>
      <c r="G14" s="25">
        <v>3.32</v>
      </c>
      <c r="H14" s="25">
        <v>6.6</v>
      </c>
      <c r="J14" s="62"/>
      <c r="K14" s="62"/>
      <c r="L14" s="62"/>
      <c r="M14" s="62"/>
    </row>
    <row r="15" spans="2:17">
      <c r="B15" s="23" t="s">
        <v>406</v>
      </c>
      <c r="C15" s="23" t="s">
        <v>407</v>
      </c>
      <c r="D15" s="23" t="s">
        <v>378</v>
      </c>
      <c r="E15" s="28">
        <v>150</v>
      </c>
      <c r="F15" s="25">
        <v>1512.5</v>
      </c>
      <c r="G15" s="25">
        <v>2.58</v>
      </c>
      <c r="H15" s="25">
        <v>7.35</v>
      </c>
      <c r="J15" s="62"/>
      <c r="K15" s="62"/>
      <c r="L15" s="62"/>
      <c r="M15" s="62"/>
    </row>
    <row r="16" spans="2:17">
      <c r="B16" s="23" t="s">
        <v>394</v>
      </c>
      <c r="C16" s="23" t="s">
        <v>395</v>
      </c>
      <c r="D16" s="23" t="s">
        <v>378</v>
      </c>
      <c r="E16" s="28">
        <v>150</v>
      </c>
      <c r="F16" s="25">
        <v>1503.3</v>
      </c>
      <c r="G16" s="25">
        <v>2.56</v>
      </c>
      <c r="H16" s="25">
        <v>6.03</v>
      </c>
      <c r="J16" s="62"/>
      <c r="K16" s="62"/>
      <c r="L16" s="62"/>
      <c r="M16" s="62"/>
    </row>
    <row r="17" spans="2:13">
      <c r="B17" s="23" t="s">
        <v>578</v>
      </c>
      <c r="C17" s="23" t="s">
        <v>579</v>
      </c>
      <c r="D17" s="23" t="s">
        <v>378</v>
      </c>
      <c r="E17" s="28">
        <v>150</v>
      </c>
      <c r="F17" s="25">
        <v>1502.9</v>
      </c>
      <c r="G17" s="25">
        <v>2.56</v>
      </c>
      <c r="H17" s="25">
        <v>7.29</v>
      </c>
      <c r="J17" s="62"/>
      <c r="K17" s="62"/>
      <c r="L17" s="62"/>
      <c r="M17" s="62"/>
    </row>
    <row r="18" spans="2:13">
      <c r="B18" s="23" t="s">
        <v>502</v>
      </c>
      <c r="C18" s="23" t="s">
        <v>503</v>
      </c>
      <c r="D18" s="23" t="s">
        <v>378</v>
      </c>
      <c r="E18" s="28">
        <v>150</v>
      </c>
      <c r="F18" s="25">
        <v>1490.92</v>
      </c>
      <c r="G18" s="25">
        <v>2.54</v>
      </c>
      <c r="H18" s="25">
        <v>6.3</v>
      </c>
      <c r="J18" s="62"/>
      <c r="K18" s="62"/>
      <c r="L18" s="62"/>
      <c r="M18" s="62"/>
    </row>
    <row r="19" spans="2:13">
      <c r="B19" s="23" t="s">
        <v>651</v>
      </c>
      <c r="C19" s="23" t="s">
        <v>652</v>
      </c>
      <c r="D19" s="23" t="s">
        <v>378</v>
      </c>
      <c r="E19" s="28">
        <v>100</v>
      </c>
      <c r="F19" s="25">
        <v>1002.8</v>
      </c>
      <c r="G19" s="25">
        <v>1.71</v>
      </c>
      <c r="H19" s="25">
        <v>6.89</v>
      </c>
      <c r="J19" s="62"/>
      <c r="K19" s="62"/>
      <c r="L19" s="62"/>
      <c r="M19" s="62"/>
    </row>
    <row r="20" spans="2:13">
      <c r="B20" s="23" t="s">
        <v>526</v>
      </c>
      <c r="C20" s="23" t="s">
        <v>527</v>
      </c>
      <c r="D20" s="23" t="s">
        <v>378</v>
      </c>
      <c r="E20" s="28">
        <v>100</v>
      </c>
      <c r="F20" s="25">
        <v>303.29000000000002</v>
      </c>
      <c r="G20" s="25">
        <v>0.52</v>
      </c>
      <c r="H20" s="25">
        <v>6.92</v>
      </c>
      <c r="J20" s="62"/>
      <c r="K20" s="62"/>
      <c r="L20" s="62"/>
      <c r="M20" s="62"/>
    </row>
    <row r="21" spans="2:13">
      <c r="B21" s="30" t="s">
        <v>104</v>
      </c>
      <c r="C21" s="30"/>
      <c r="D21" s="30"/>
      <c r="E21" s="31"/>
      <c r="F21" s="32">
        <f>SUM(F6:F20)</f>
        <v>26119.540000000005</v>
      </c>
      <c r="G21" s="32">
        <f>SUM(G6:G20)</f>
        <v>44.540000000000006</v>
      </c>
      <c r="H21" s="48"/>
      <c r="I21" s="14"/>
      <c r="J21" s="62"/>
      <c r="K21" s="62"/>
      <c r="L21" s="62"/>
      <c r="M21" s="62"/>
    </row>
    <row r="22" spans="2:13">
      <c r="B22" s="49" t="s">
        <v>105</v>
      </c>
      <c r="C22" s="49"/>
      <c r="D22" s="49"/>
      <c r="E22" s="50"/>
      <c r="F22" s="51">
        <f>F21</f>
        <v>26119.540000000005</v>
      </c>
      <c r="G22" s="51">
        <f>G21</f>
        <v>44.540000000000006</v>
      </c>
      <c r="H22" s="51"/>
      <c r="I22" s="14"/>
      <c r="J22" s="62"/>
      <c r="K22" s="62"/>
      <c r="L22" s="62"/>
      <c r="M22" s="62"/>
    </row>
    <row r="23" spans="2:13">
      <c r="B23" s="47" t="s">
        <v>425</v>
      </c>
      <c r="C23" s="23"/>
      <c r="D23" s="23"/>
      <c r="E23" s="24"/>
      <c r="F23" s="25"/>
      <c r="G23" s="25"/>
      <c r="H23" s="25"/>
      <c r="J23" s="62"/>
      <c r="K23" s="62"/>
      <c r="L23" s="62"/>
      <c r="M23" s="62"/>
    </row>
    <row r="24" spans="2:13">
      <c r="B24" s="47" t="s">
        <v>426</v>
      </c>
      <c r="C24" s="23"/>
      <c r="D24" s="23"/>
      <c r="E24" s="24"/>
      <c r="F24" s="25"/>
      <c r="G24" s="25"/>
      <c r="H24" s="25"/>
      <c r="J24" s="62"/>
      <c r="K24" s="62"/>
      <c r="L24" s="62"/>
      <c r="M24" s="62"/>
    </row>
    <row r="25" spans="2:13">
      <c r="B25" s="23" t="s">
        <v>542</v>
      </c>
      <c r="C25" s="23" t="s">
        <v>543</v>
      </c>
      <c r="D25" s="23" t="s">
        <v>429</v>
      </c>
      <c r="E25" s="28">
        <v>500</v>
      </c>
      <c r="F25" s="25">
        <v>2481.04</v>
      </c>
      <c r="G25" s="25">
        <v>4.2300000000000004</v>
      </c>
      <c r="H25" s="25">
        <v>5.69</v>
      </c>
      <c r="J25" s="62"/>
      <c r="K25" s="62"/>
      <c r="L25" s="62"/>
      <c r="M25" s="62"/>
    </row>
    <row r="26" spans="2:13">
      <c r="B26" s="30" t="s">
        <v>104</v>
      </c>
      <c r="C26" s="30"/>
      <c r="D26" s="30"/>
      <c r="E26" s="31"/>
      <c r="F26" s="32">
        <f>SUM(F24:F25)</f>
        <v>2481.04</v>
      </c>
      <c r="G26" s="32">
        <f>SUM(G24:G25)</f>
        <v>4.2300000000000004</v>
      </c>
      <c r="H26" s="48"/>
      <c r="I26" s="14"/>
      <c r="J26" s="62"/>
      <c r="K26" s="62"/>
      <c r="L26" s="62"/>
      <c r="M26" s="62"/>
    </row>
    <row r="27" spans="2:13">
      <c r="B27" s="49" t="s">
        <v>105</v>
      </c>
      <c r="C27" s="49"/>
      <c r="D27" s="49"/>
      <c r="E27" s="50"/>
      <c r="F27" s="51">
        <f>F26</f>
        <v>2481.04</v>
      </c>
      <c r="G27" s="51">
        <f>G26</f>
        <v>4.2300000000000004</v>
      </c>
      <c r="H27" s="51"/>
      <c r="I27" s="14"/>
      <c r="J27" s="62"/>
      <c r="K27" s="62"/>
      <c r="L27" s="62"/>
      <c r="M27" s="62"/>
    </row>
    <row r="28" spans="2:13">
      <c r="B28" s="47" t="s">
        <v>435</v>
      </c>
      <c r="C28" s="23"/>
      <c r="D28" s="23"/>
      <c r="E28" s="24"/>
      <c r="F28" s="25"/>
      <c r="G28" s="25"/>
      <c r="H28" s="25"/>
      <c r="J28" s="62"/>
      <c r="K28" s="62"/>
      <c r="L28" s="62"/>
      <c r="M28" s="62"/>
    </row>
    <row r="29" spans="2:13">
      <c r="B29" s="23" t="s">
        <v>439</v>
      </c>
      <c r="C29" s="23" t="s">
        <v>440</v>
      </c>
      <c r="D29" s="23" t="s">
        <v>438</v>
      </c>
      <c r="E29" s="28">
        <v>5500000</v>
      </c>
      <c r="F29" s="25">
        <v>5277.45</v>
      </c>
      <c r="G29" s="25">
        <v>9</v>
      </c>
      <c r="H29" s="25">
        <v>6.88</v>
      </c>
      <c r="J29" s="62"/>
      <c r="K29" s="62"/>
      <c r="L29" s="62"/>
      <c r="M29" s="62"/>
    </row>
    <row r="30" spans="2:13">
      <c r="B30" s="23" t="s">
        <v>445</v>
      </c>
      <c r="C30" s="23" t="s">
        <v>446</v>
      </c>
      <c r="D30" s="23" t="s">
        <v>438</v>
      </c>
      <c r="E30" s="28">
        <v>4500000</v>
      </c>
      <c r="F30" s="25">
        <v>4399.3900000000003</v>
      </c>
      <c r="G30" s="25">
        <v>7.5</v>
      </c>
      <c r="H30" s="25">
        <v>6.36</v>
      </c>
      <c r="J30" s="62"/>
      <c r="K30" s="62"/>
      <c r="L30" s="62"/>
      <c r="M30" s="62"/>
    </row>
    <row r="31" spans="2:13">
      <c r="B31" s="23" t="s">
        <v>453</v>
      </c>
      <c r="C31" s="23" t="s">
        <v>454</v>
      </c>
      <c r="D31" s="23" t="s">
        <v>438</v>
      </c>
      <c r="E31" s="28">
        <v>3500000</v>
      </c>
      <c r="F31" s="25">
        <v>3361.75</v>
      </c>
      <c r="G31" s="25">
        <v>5.73</v>
      </c>
      <c r="H31" s="25">
        <v>6.75</v>
      </c>
      <c r="J31" s="62"/>
      <c r="K31" s="62"/>
      <c r="L31" s="62"/>
      <c r="M31" s="62"/>
    </row>
    <row r="32" spans="2:13">
      <c r="B32" s="23" t="s">
        <v>653</v>
      </c>
      <c r="C32" s="23" t="s">
        <v>654</v>
      </c>
      <c r="D32" s="23" t="s">
        <v>438</v>
      </c>
      <c r="E32" s="28">
        <v>2500000</v>
      </c>
      <c r="F32" s="25">
        <v>2532.39</v>
      </c>
      <c r="G32" s="25">
        <v>4.32</v>
      </c>
      <c r="H32" s="25">
        <v>6.12</v>
      </c>
      <c r="J32" s="62"/>
      <c r="K32" s="62"/>
      <c r="L32" s="62"/>
      <c r="M32" s="62"/>
    </row>
    <row r="33" spans="2:13">
      <c r="B33" s="23" t="s">
        <v>441</v>
      </c>
      <c r="C33" s="23" t="s">
        <v>442</v>
      </c>
      <c r="D33" s="23" t="s">
        <v>438</v>
      </c>
      <c r="E33" s="28">
        <v>2500000</v>
      </c>
      <c r="F33" s="25">
        <v>2531.64</v>
      </c>
      <c r="G33" s="25">
        <v>4.32</v>
      </c>
      <c r="H33" s="25">
        <v>6.42</v>
      </c>
      <c r="J33" s="62"/>
      <c r="K33" s="62"/>
      <c r="L33" s="62"/>
      <c r="M33" s="62"/>
    </row>
    <row r="34" spans="2:13">
      <c r="B34" s="23" t="s">
        <v>455</v>
      </c>
      <c r="C34" s="23" t="s">
        <v>456</v>
      </c>
      <c r="D34" s="23" t="s">
        <v>438</v>
      </c>
      <c r="E34" s="28">
        <v>2500000</v>
      </c>
      <c r="F34" s="25">
        <v>2504.13</v>
      </c>
      <c r="G34" s="25">
        <v>4.2699999999999996</v>
      </c>
      <c r="H34" s="25">
        <v>6.59</v>
      </c>
      <c r="J34" s="62"/>
      <c r="K34" s="62"/>
      <c r="L34" s="62"/>
      <c r="M34" s="62"/>
    </row>
    <row r="35" spans="2:13">
      <c r="B35" s="23" t="s">
        <v>463</v>
      </c>
      <c r="C35" s="23" t="s">
        <v>464</v>
      </c>
      <c r="D35" s="23" t="s">
        <v>438</v>
      </c>
      <c r="E35" s="28">
        <v>2000000</v>
      </c>
      <c r="F35" s="25">
        <v>2041.79</v>
      </c>
      <c r="G35" s="25">
        <v>3.48</v>
      </c>
      <c r="H35" s="25">
        <v>6.9</v>
      </c>
      <c r="J35" s="62"/>
      <c r="K35" s="62"/>
      <c r="L35" s="62"/>
      <c r="M35" s="62"/>
    </row>
    <row r="36" spans="2:13">
      <c r="B36" s="23" t="s">
        <v>655</v>
      </c>
      <c r="C36" s="23" t="s">
        <v>656</v>
      </c>
      <c r="D36" s="23" t="s">
        <v>438</v>
      </c>
      <c r="E36" s="28">
        <v>1000000</v>
      </c>
      <c r="F36" s="25">
        <v>1014.17</v>
      </c>
      <c r="G36" s="25">
        <v>1.73</v>
      </c>
      <c r="H36" s="25">
        <v>6.15</v>
      </c>
      <c r="J36" s="62"/>
      <c r="K36" s="62"/>
      <c r="L36" s="62"/>
      <c r="M36" s="62"/>
    </row>
    <row r="37" spans="2:13">
      <c r="B37" s="23" t="s">
        <v>657</v>
      </c>
      <c r="C37" s="23" t="s">
        <v>658</v>
      </c>
      <c r="D37" s="23" t="s">
        <v>438</v>
      </c>
      <c r="E37" s="28">
        <v>500000</v>
      </c>
      <c r="F37" s="25">
        <v>506.39</v>
      </c>
      <c r="G37" s="25">
        <v>0.86</v>
      </c>
      <c r="H37" s="25">
        <v>7.21</v>
      </c>
      <c r="J37" s="62"/>
      <c r="K37" s="62"/>
      <c r="L37" s="62"/>
      <c r="M37" s="62"/>
    </row>
    <row r="38" spans="2:13">
      <c r="B38" s="55" t="s">
        <v>659</v>
      </c>
      <c r="C38" s="55" t="s">
        <v>660</v>
      </c>
      <c r="D38" s="55" t="s">
        <v>438</v>
      </c>
      <c r="E38" s="56">
        <v>28300</v>
      </c>
      <c r="F38" s="57">
        <v>28.94</v>
      </c>
      <c r="G38" s="57">
        <v>0.05</v>
      </c>
      <c r="H38" s="57">
        <v>7.28</v>
      </c>
      <c r="J38" s="62"/>
      <c r="K38" s="62"/>
      <c r="L38" s="62"/>
      <c r="M38" s="62"/>
    </row>
    <row r="39" spans="2:13">
      <c r="B39" s="58" t="s">
        <v>105</v>
      </c>
      <c r="C39" s="58"/>
      <c r="D39" s="58"/>
      <c r="E39" s="59"/>
      <c r="F39" s="53">
        <f>SUM(F29:F38)</f>
        <v>24198.039999999997</v>
      </c>
      <c r="G39" s="53">
        <f>SUM(G29:G38)</f>
        <v>41.259999999999991</v>
      </c>
      <c r="H39" s="53"/>
      <c r="I39" s="14"/>
      <c r="J39" s="62"/>
      <c r="K39" s="62"/>
      <c r="L39" s="62"/>
      <c r="M39" s="62"/>
    </row>
    <row r="40" spans="2:13">
      <c r="B40" s="47" t="s">
        <v>106</v>
      </c>
      <c r="C40" s="23"/>
      <c r="D40" s="23"/>
      <c r="E40" s="24"/>
      <c r="F40" s="25"/>
      <c r="G40" s="25"/>
      <c r="H40" s="25"/>
      <c r="J40" s="62"/>
      <c r="K40" s="62"/>
      <c r="L40" s="62"/>
      <c r="M40" s="62"/>
    </row>
    <row r="41" spans="2:13">
      <c r="B41" s="23" t="s">
        <v>106</v>
      </c>
      <c r="C41" s="23"/>
      <c r="D41" s="23"/>
      <c r="E41" s="24"/>
      <c r="F41" s="25">
        <v>4531.5200000000004</v>
      </c>
      <c r="G41" s="25">
        <v>7.7299999999999995</v>
      </c>
      <c r="H41" s="25"/>
      <c r="J41" s="62"/>
      <c r="K41" s="62"/>
      <c r="L41" s="62"/>
      <c r="M41" s="62"/>
    </row>
    <row r="42" spans="2:13">
      <c r="B42" s="30" t="s">
        <v>104</v>
      </c>
      <c r="C42" s="30"/>
      <c r="D42" s="30"/>
      <c r="E42" s="31"/>
      <c r="F42" s="32">
        <f>SUM(F40:F41)</f>
        <v>4531.5200000000004</v>
      </c>
      <c r="G42" s="32">
        <f>SUM(G40:G41)</f>
        <v>7.7299999999999995</v>
      </c>
      <c r="H42" s="48"/>
      <c r="I42" s="14"/>
      <c r="J42" s="62"/>
      <c r="K42" s="62"/>
      <c r="L42" s="62"/>
      <c r="M42" s="62"/>
    </row>
    <row r="43" spans="2:13">
      <c r="B43" s="34" t="s">
        <v>105</v>
      </c>
      <c r="C43" s="34"/>
      <c r="D43" s="34"/>
      <c r="E43" s="35"/>
      <c r="F43" s="36">
        <f>F42</f>
        <v>4531.5200000000004</v>
      </c>
      <c r="G43" s="36">
        <f>G42</f>
        <v>7.7299999999999995</v>
      </c>
      <c r="H43" s="36"/>
      <c r="I43" s="14"/>
      <c r="J43" s="62"/>
      <c r="K43" s="62"/>
      <c r="L43" s="62"/>
      <c r="M43" s="62"/>
    </row>
    <row r="44" spans="2:13">
      <c r="B44" s="44" t="s">
        <v>108</v>
      </c>
      <c r="C44" s="44"/>
      <c r="D44" s="44"/>
      <c r="E44" s="45"/>
      <c r="F44" s="16">
        <f>F45-(+F22+F27+F39+F43)</f>
        <v>1307.1299999999974</v>
      </c>
      <c r="G44" s="16">
        <f>G45-(+G22+G27+G39+G43)</f>
        <v>2.2399999999999949</v>
      </c>
      <c r="H44" s="16"/>
      <c r="I44" s="14"/>
      <c r="J44" s="62"/>
      <c r="K44" s="62"/>
      <c r="L44" s="62"/>
      <c r="M44" s="62"/>
    </row>
    <row r="45" spans="2:13">
      <c r="B45" s="44" t="s">
        <v>107</v>
      </c>
      <c r="C45" s="44"/>
      <c r="D45" s="44"/>
      <c r="E45" s="45"/>
      <c r="F45" s="16">
        <v>58637.27</v>
      </c>
      <c r="G45" s="16">
        <v>100</v>
      </c>
      <c r="H45" s="16"/>
      <c r="I45" s="14"/>
      <c r="J45" s="62"/>
      <c r="K45" s="62"/>
      <c r="L45" s="62"/>
      <c r="M45" s="62"/>
    </row>
    <row r="47" spans="2:13">
      <c r="B47" s="14" t="s">
        <v>675</v>
      </c>
    </row>
    <row r="48" spans="2:13">
      <c r="B48" s="14" t="s">
        <v>473</v>
      </c>
    </row>
  </sheetData>
  <mergeCells count="20"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  <mergeCell ref="P7:P8"/>
    <mergeCell ref="Q7:Q8"/>
    <mergeCell ref="N9:N10"/>
    <mergeCell ref="O9:O10"/>
    <mergeCell ref="P9:P10"/>
    <mergeCell ref="Q9:Q10"/>
    <mergeCell ref="N11:N12"/>
    <mergeCell ref="O11:O12"/>
    <mergeCell ref="P11:P12"/>
    <mergeCell ref="Q11:Q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9"/>
  <sheetViews>
    <sheetView workbookViewId="0">
      <selection activeCell="K19" sqref="K19"/>
    </sheetView>
  </sheetViews>
  <sheetFormatPr defaultRowHeight="12"/>
  <cols>
    <col min="1" max="1" width="9.140625" style="1"/>
    <col min="2" max="2" width="60.28515625" style="1" bestFit="1" customWidth="1"/>
    <col min="3" max="3" width="13.85546875" style="1" bestFit="1" customWidth="1"/>
    <col min="4" max="4" width="14.140625" style="1" bestFit="1" customWidth="1"/>
    <col min="5" max="5" width="8.85546875" style="12" bestFit="1" customWidth="1"/>
    <col min="6" max="6" width="15.28515625" style="13" bestFit="1" customWidth="1"/>
    <col min="7" max="7" width="7.42578125" style="13" bestFit="1" customWidth="1"/>
    <col min="8" max="8" width="6.5703125" style="13" bestFit="1" customWidth="1"/>
    <col min="9" max="9" width="9.140625" style="1"/>
    <col min="10" max="10" width="30.42578125" style="1" customWidth="1"/>
    <col min="11" max="11" width="28" style="1" customWidth="1"/>
    <col min="12" max="12" width="27.7109375" style="1" customWidth="1"/>
    <col min="13" max="16384" width="9.140625" style="1"/>
  </cols>
  <sheetData>
    <row r="1" spans="2:17" ht="21" customHeight="1">
      <c r="B1" s="77" t="s">
        <v>28</v>
      </c>
      <c r="C1" s="78"/>
      <c r="D1" s="78"/>
      <c r="E1" s="78"/>
      <c r="F1" s="78"/>
      <c r="G1" s="78"/>
      <c r="H1" s="78"/>
    </row>
    <row r="3" spans="2:17" ht="16.5" thickBot="1">
      <c r="B3" s="2" t="s">
        <v>7</v>
      </c>
      <c r="C3" s="3"/>
      <c r="D3" s="4"/>
      <c r="E3" s="5"/>
      <c r="F3" s="6"/>
      <c r="G3" s="6"/>
    </row>
    <row r="4" spans="2:17" ht="30">
      <c r="B4" s="7" t="s">
        <v>0</v>
      </c>
      <c r="C4" s="8" t="s">
        <v>1</v>
      </c>
      <c r="D4" s="8" t="s">
        <v>5</v>
      </c>
      <c r="E4" s="9" t="s">
        <v>2</v>
      </c>
      <c r="F4" s="10" t="s">
        <v>3</v>
      </c>
      <c r="G4" s="11" t="s">
        <v>4</v>
      </c>
      <c r="H4" s="11" t="s">
        <v>6</v>
      </c>
      <c r="J4" s="73" t="s">
        <v>692</v>
      </c>
      <c r="K4" s="73" t="s">
        <v>693</v>
      </c>
      <c r="L4" s="73" t="s">
        <v>694</v>
      </c>
      <c r="N4" s="89" t="s">
        <v>701</v>
      </c>
      <c r="O4" s="90"/>
      <c r="P4" s="90"/>
      <c r="Q4" s="91"/>
    </row>
    <row r="5" spans="2:17" ht="24">
      <c r="B5" s="60" t="s">
        <v>375</v>
      </c>
      <c r="C5" s="18"/>
      <c r="D5" s="18"/>
      <c r="E5" s="19"/>
      <c r="F5" s="20"/>
      <c r="G5" s="20"/>
      <c r="H5" s="20"/>
      <c r="J5" s="79"/>
      <c r="K5" s="79"/>
      <c r="L5" s="79"/>
      <c r="N5" s="75" t="s">
        <v>702</v>
      </c>
      <c r="O5" s="92" t="s">
        <v>703</v>
      </c>
      <c r="P5" s="92" t="s">
        <v>704</v>
      </c>
      <c r="Q5" s="92" t="s">
        <v>705</v>
      </c>
    </row>
    <row r="6" spans="2:17" ht="36">
      <c r="B6" s="47" t="s">
        <v>30</v>
      </c>
      <c r="C6" s="23"/>
      <c r="D6" s="23"/>
      <c r="E6" s="24"/>
      <c r="F6" s="25"/>
      <c r="G6" s="25"/>
      <c r="H6" s="25"/>
      <c r="J6" s="79"/>
      <c r="K6" s="79"/>
      <c r="L6" s="79"/>
      <c r="N6" s="76" t="s">
        <v>706</v>
      </c>
      <c r="O6" s="92"/>
      <c r="P6" s="92"/>
      <c r="Q6" s="92"/>
    </row>
    <row r="7" spans="2:17">
      <c r="B7" s="23" t="s">
        <v>382</v>
      </c>
      <c r="C7" s="23" t="s">
        <v>383</v>
      </c>
      <c r="D7" s="23" t="s">
        <v>378</v>
      </c>
      <c r="E7" s="28">
        <v>150</v>
      </c>
      <c r="F7" s="25">
        <v>1517.87</v>
      </c>
      <c r="G7" s="25">
        <v>7.22</v>
      </c>
      <c r="H7" s="25">
        <v>6.95</v>
      </c>
      <c r="J7" s="79"/>
      <c r="K7" s="79"/>
      <c r="L7" s="79"/>
      <c r="N7" s="83" t="s">
        <v>707</v>
      </c>
      <c r="O7" s="84"/>
      <c r="P7" s="84"/>
      <c r="Q7" s="84"/>
    </row>
    <row r="8" spans="2:17">
      <c r="B8" s="23" t="s">
        <v>408</v>
      </c>
      <c r="C8" s="23" t="s">
        <v>409</v>
      </c>
      <c r="D8" s="23" t="s">
        <v>378</v>
      </c>
      <c r="E8" s="28">
        <v>150</v>
      </c>
      <c r="F8" s="25">
        <v>1504.15</v>
      </c>
      <c r="G8" s="25">
        <v>7.16</v>
      </c>
      <c r="H8" s="25">
        <v>6.05</v>
      </c>
      <c r="J8" s="79"/>
      <c r="K8" s="79"/>
      <c r="L8" s="79"/>
      <c r="N8" s="83"/>
      <c r="O8" s="85"/>
      <c r="P8" s="85"/>
      <c r="Q8" s="85"/>
    </row>
    <row r="9" spans="2:17">
      <c r="B9" s="23" t="s">
        <v>516</v>
      </c>
      <c r="C9" s="23" t="s">
        <v>517</v>
      </c>
      <c r="D9" s="23" t="s">
        <v>378</v>
      </c>
      <c r="E9" s="28">
        <v>150</v>
      </c>
      <c r="F9" s="25">
        <v>1494.95</v>
      </c>
      <c r="G9" s="25">
        <v>7.11</v>
      </c>
      <c r="H9" s="25">
        <v>6.07</v>
      </c>
      <c r="J9" s="79"/>
      <c r="K9" s="79"/>
      <c r="L9" s="79"/>
      <c r="N9" s="83" t="s">
        <v>708</v>
      </c>
      <c r="O9" s="84"/>
      <c r="P9" s="84"/>
      <c r="Q9" s="84"/>
    </row>
    <row r="10" spans="2:17">
      <c r="B10" s="23" t="s">
        <v>524</v>
      </c>
      <c r="C10" s="23" t="s">
        <v>525</v>
      </c>
      <c r="D10" s="23" t="s">
        <v>412</v>
      </c>
      <c r="E10" s="28">
        <v>150</v>
      </c>
      <c r="F10" s="25">
        <v>1460.7</v>
      </c>
      <c r="G10" s="25">
        <v>6.95</v>
      </c>
      <c r="H10" s="25">
        <v>6.6</v>
      </c>
      <c r="J10" s="79"/>
      <c r="K10" s="79"/>
      <c r="L10" s="79"/>
      <c r="N10" s="83"/>
      <c r="O10" s="85"/>
      <c r="P10" s="85"/>
      <c r="Q10" s="85"/>
    </row>
    <row r="11" spans="2:17">
      <c r="B11" s="23" t="s">
        <v>661</v>
      </c>
      <c r="C11" s="23" t="s">
        <v>662</v>
      </c>
      <c r="D11" s="23" t="s">
        <v>378</v>
      </c>
      <c r="E11" s="28">
        <v>100</v>
      </c>
      <c r="F11" s="25">
        <v>1015.18</v>
      </c>
      <c r="G11" s="25">
        <v>4.83</v>
      </c>
      <c r="H11" s="25">
        <v>6.23</v>
      </c>
      <c r="J11" s="79"/>
      <c r="K11" s="79"/>
      <c r="L11" s="79"/>
      <c r="N11" s="83" t="s">
        <v>709</v>
      </c>
      <c r="O11" s="84"/>
      <c r="P11" s="86" t="s">
        <v>710</v>
      </c>
      <c r="Q11" s="84"/>
    </row>
    <row r="12" spans="2:17">
      <c r="B12" s="23" t="s">
        <v>663</v>
      </c>
      <c r="C12" s="23" t="s">
        <v>664</v>
      </c>
      <c r="D12" s="23" t="s">
        <v>378</v>
      </c>
      <c r="E12" s="28">
        <v>100</v>
      </c>
      <c r="F12" s="25">
        <v>1012.89</v>
      </c>
      <c r="G12" s="25">
        <v>4.82</v>
      </c>
      <c r="H12" s="25">
        <v>6.27</v>
      </c>
      <c r="J12" s="79"/>
      <c r="K12" s="79"/>
      <c r="L12" s="79"/>
      <c r="N12" s="83"/>
      <c r="O12" s="85"/>
      <c r="P12" s="87"/>
      <c r="Q12" s="85"/>
    </row>
    <row r="13" spans="2:17">
      <c r="B13" s="23" t="s">
        <v>651</v>
      </c>
      <c r="C13" s="23" t="s">
        <v>652</v>
      </c>
      <c r="D13" s="23" t="s">
        <v>378</v>
      </c>
      <c r="E13" s="28">
        <v>100</v>
      </c>
      <c r="F13" s="25">
        <v>1002.8</v>
      </c>
      <c r="G13" s="25">
        <v>4.7699999999999996</v>
      </c>
      <c r="H13" s="25">
        <v>6.89</v>
      </c>
      <c r="J13" s="62"/>
      <c r="K13" s="1" t="s">
        <v>726</v>
      </c>
      <c r="L13" s="62"/>
    </row>
    <row r="14" spans="2:17">
      <c r="B14" s="23" t="s">
        <v>578</v>
      </c>
      <c r="C14" s="23" t="s">
        <v>579</v>
      </c>
      <c r="D14" s="23" t="s">
        <v>378</v>
      </c>
      <c r="E14" s="28">
        <v>100</v>
      </c>
      <c r="F14" s="25">
        <v>1001.93</v>
      </c>
      <c r="G14" s="25">
        <v>4.7699999999999996</v>
      </c>
      <c r="H14" s="25">
        <v>7.29</v>
      </c>
    </row>
    <row r="15" spans="2:17">
      <c r="B15" s="23" t="s">
        <v>665</v>
      </c>
      <c r="C15" s="23" t="s">
        <v>666</v>
      </c>
      <c r="D15" s="23" t="s">
        <v>378</v>
      </c>
      <c r="E15" s="28">
        <v>100</v>
      </c>
      <c r="F15" s="25">
        <v>1000.47</v>
      </c>
      <c r="G15" s="25">
        <v>4.76</v>
      </c>
      <c r="H15" s="25">
        <v>6.6</v>
      </c>
    </row>
    <row r="16" spans="2:17">
      <c r="B16" s="23" t="s">
        <v>667</v>
      </c>
      <c r="C16" s="23" t="s">
        <v>668</v>
      </c>
      <c r="D16" s="23" t="s">
        <v>378</v>
      </c>
      <c r="E16" s="28">
        <v>50</v>
      </c>
      <c r="F16" s="25">
        <v>514.03</v>
      </c>
      <c r="G16" s="25">
        <v>2.4500000000000002</v>
      </c>
      <c r="H16" s="25">
        <v>6.55</v>
      </c>
    </row>
    <row r="17" spans="2:9">
      <c r="B17" s="23" t="s">
        <v>398</v>
      </c>
      <c r="C17" s="23" t="s">
        <v>399</v>
      </c>
      <c r="D17" s="23" t="s">
        <v>378</v>
      </c>
      <c r="E17" s="28">
        <v>50</v>
      </c>
      <c r="F17" s="25">
        <v>506.68</v>
      </c>
      <c r="G17" s="25">
        <v>2.41</v>
      </c>
      <c r="H17" s="25">
        <v>7.22</v>
      </c>
    </row>
    <row r="18" spans="2:9">
      <c r="B18" s="23" t="s">
        <v>669</v>
      </c>
      <c r="C18" s="23" t="s">
        <v>670</v>
      </c>
      <c r="D18" s="23" t="s">
        <v>378</v>
      </c>
      <c r="E18" s="28">
        <v>50</v>
      </c>
      <c r="F18" s="25">
        <v>504.22</v>
      </c>
      <c r="G18" s="25">
        <v>2.4</v>
      </c>
      <c r="H18" s="25">
        <v>7.08</v>
      </c>
    </row>
    <row r="19" spans="2:9">
      <c r="B19" s="23" t="s">
        <v>419</v>
      </c>
      <c r="C19" s="23" t="s">
        <v>420</v>
      </c>
      <c r="D19" s="23" t="s">
        <v>378</v>
      </c>
      <c r="E19" s="28">
        <v>50</v>
      </c>
      <c r="F19" s="25">
        <v>504.11</v>
      </c>
      <c r="G19" s="25">
        <v>2.4</v>
      </c>
      <c r="H19" s="25">
        <v>7.29</v>
      </c>
    </row>
    <row r="20" spans="2:9">
      <c r="B20" s="23" t="s">
        <v>394</v>
      </c>
      <c r="C20" s="23" t="s">
        <v>395</v>
      </c>
      <c r="D20" s="23" t="s">
        <v>378</v>
      </c>
      <c r="E20" s="28">
        <v>50</v>
      </c>
      <c r="F20" s="25">
        <v>501.1</v>
      </c>
      <c r="G20" s="25">
        <v>2.38</v>
      </c>
      <c r="H20" s="25">
        <v>6.03</v>
      </c>
    </row>
    <row r="21" spans="2:9">
      <c r="B21" s="23" t="s">
        <v>570</v>
      </c>
      <c r="C21" s="23" t="s">
        <v>571</v>
      </c>
      <c r="D21" s="23" t="s">
        <v>378</v>
      </c>
      <c r="E21" s="28">
        <v>50</v>
      </c>
      <c r="F21" s="25">
        <v>500.81</v>
      </c>
      <c r="G21" s="25">
        <v>2.38</v>
      </c>
      <c r="H21" s="25">
        <v>5.85</v>
      </c>
    </row>
    <row r="22" spans="2:9">
      <c r="B22" s="23" t="s">
        <v>649</v>
      </c>
      <c r="C22" s="23" t="s">
        <v>650</v>
      </c>
      <c r="D22" s="23" t="s">
        <v>378</v>
      </c>
      <c r="E22" s="28">
        <v>50</v>
      </c>
      <c r="F22" s="25">
        <v>500</v>
      </c>
      <c r="G22" s="25">
        <v>2.38</v>
      </c>
      <c r="H22" s="25">
        <v>7.14</v>
      </c>
    </row>
    <row r="23" spans="2:9">
      <c r="B23" s="23" t="s">
        <v>643</v>
      </c>
      <c r="C23" s="23" t="s">
        <v>644</v>
      </c>
      <c r="D23" s="23" t="s">
        <v>378</v>
      </c>
      <c r="E23" s="28">
        <v>50</v>
      </c>
      <c r="F23" s="25">
        <v>493.54</v>
      </c>
      <c r="G23" s="25">
        <v>2.35</v>
      </c>
      <c r="H23" s="25">
        <v>6.6</v>
      </c>
    </row>
    <row r="24" spans="2:9">
      <c r="B24" s="23" t="s">
        <v>671</v>
      </c>
      <c r="C24" s="23" t="s">
        <v>672</v>
      </c>
      <c r="D24" s="23" t="s">
        <v>378</v>
      </c>
      <c r="E24" s="28">
        <v>50</v>
      </c>
      <c r="F24" s="25">
        <v>487.94</v>
      </c>
      <c r="G24" s="25">
        <v>2.3199999999999998</v>
      </c>
      <c r="H24" s="25">
        <v>7.03</v>
      </c>
    </row>
    <row r="25" spans="2:9">
      <c r="B25" s="30" t="s">
        <v>104</v>
      </c>
      <c r="C25" s="30"/>
      <c r="D25" s="30"/>
      <c r="E25" s="31"/>
      <c r="F25" s="32">
        <f>SUM(F6:F24)</f>
        <v>15523.370000000003</v>
      </c>
      <c r="G25" s="32">
        <f>SUM(G6:G24)</f>
        <v>73.859999999999971</v>
      </c>
      <c r="H25" s="48"/>
      <c r="I25" s="14"/>
    </row>
    <row r="26" spans="2:9">
      <c r="B26" s="49" t="s">
        <v>105</v>
      </c>
      <c r="C26" s="49"/>
      <c r="D26" s="49"/>
      <c r="E26" s="50"/>
      <c r="F26" s="51">
        <f>F25</f>
        <v>15523.370000000003</v>
      </c>
      <c r="G26" s="51">
        <f>G25</f>
        <v>73.859999999999971</v>
      </c>
      <c r="H26" s="51"/>
      <c r="I26" s="14"/>
    </row>
    <row r="27" spans="2:9">
      <c r="B27" s="47" t="s">
        <v>435</v>
      </c>
      <c r="C27" s="23"/>
      <c r="D27" s="23"/>
      <c r="E27" s="24"/>
      <c r="F27" s="25"/>
      <c r="G27" s="25"/>
      <c r="H27" s="25"/>
    </row>
    <row r="28" spans="2:9">
      <c r="B28" s="23" t="s">
        <v>453</v>
      </c>
      <c r="C28" s="23" t="s">
        <v>454</v>
      </c>
      <c r="D28" s="23" t="s">
        <v>438</v>
      </c>
      <c r="E28" s="28">
        <v>1000000</v>
      </c>
      <c r="F28" s="25">
        <v>960.5</v>
      </c>
      <c r="G28" s="25">
        <v>4.57</v>
      </c>
      <c r="H28" s="25">
        <v>6.75</v>
      </c>
    </row>
    <row r="29" spans="2:9">
      <c r="B29" s="23" t="s">
        <v>439</v>
      </c>
      <c r="C29" s="23" t="s">
        <v>440</v>
      </c>
      <c r="D29" s="23" t="s">
        <v>438</v>
      </c>
      <c r="E29" s="28">
        <v>1000000</v>
      </c>
      <c r="F29" s="25">
        <v>959.54</v>
      </c>
      <c r="G29" s="25">
        <v>4.57</v>
      </c>
      <c r="H29" s="25">
        <v>6.88</v>
      </c>
    </row>
    <row r="30" spans="2:9">
      <c r="B30" s="55" t="s">
        <v>673</v>
      </c>
      <c r="C30" s="55" t="s">
        <v>674</v>
      </c>
      <c r="D30" s="55" t="s">
        <v>438</v>
      </c>
      <c r="E30" s="56">
        <v>500000</v>
      </c>
      <c r="F30" s="57">
        <v>503.1</v>
      </c>
      <c r="G30" s="57">
        <v>2.39</v>
      </c>
      <c r="H30" s="57">
        <v>5.73</v>
      </c>
    </row>
    <row r="31" spans="2:9">
      <c r="B31" s="58" t="s">
        <v>105</v>
      </c>
      <c r="C31" s="58"/>
      <c r="D31" s="58"/>
      <c r="E31" s="59"/>
      <c r="F31" s="53">
        <f>SUM(F28:F30)</f>
        <v>2423.14</v>
      </c>
      <c r="G31" s="53">
        <f>SUM(G28:G30)</f>
        <v>11.530000000000001</v>
      </c>
      <c r="H31" s="53"/>
      <c r="I31" s="14"/>
    </row>
    <row r="32" spans="2:9">
      <c r="B32" s="47" t="s">
        <v>106</v>
      </c>
      <c r="C32" s="23"/>
      <c r="D32" s="23"/>
      <c r="E32" s="24"/>
      <c r="F32" s="25"/>
      <c r="G32" s="25"/>
      <c r="H32" s="25"/>
    </row>
    <row r="33" spans="2:9">
      <c r="B33" s="23" t="s">
        <v>106</v>
      </c>
      <c r="C33" s="23"/>
      <c r="D33" s="23"/>
      <c r="E33" s="24"/>
      <c r="F33" s="25">
        <v>2580.2600000000002</v>
      </c>
      <c r="G33" s="25">
        <v>12.280000000000001</v>
      </c>
      <c r="H33" s="25"/>
    </row>
    <row r="34" spans="2:9">
      <c r="B34" s="30" t="s">
        <v>104</v>
      </c>
      <c r="C34" s="30"/>
      <c r="D34" s="30"/>
      <c r="E34" s="31"/>
      <c r="F34" s="32">
        <f>SUM(F32:F33)</f>
        <v>2580.2600000000002</v>
      </c>
      <c r="G34" s="32">
        <f>SUM(G32:G33)</f>
        <v>12.280000000000001</v>
      </c>
      <c r="H34" s="48"/>
      <c r="I34" s="14"/>
    </row>
    <row r="35" spans="2:9">
      <c r="B35" s="34" t="s">
        <v>105</v>
      </c>
      <c r="C35" s="34"/>
      <c r="D35" s="34"/>
      <c r="E35" s="35"/>
      <c r="F35" s="36">
        <f>F34</f>
        <v>2580.2600000000002</v>
      </c>
      <c r="G35" s="36">
        <f>G34</f>
        <v>12.280000000000001</v>
      </c>
      <c r="H35" s="36"/>
      <c r="I35" s="14"/>
    </row>
    <row r="36" spans="2:9">
      <c r="B36" s="44" t="s">
        <v>108</v>
      </c>
      <c r="C36" s="44"/>
      <c r="D36" s="44"/>
      <c r="E36" s="45"/>
      <c r="F36" s="16">
        <f>F37-(+F26+F31+F35)</f>
        <v>490.54999999999563</v>
      </c>
      <c r="G36" s="16">
        <f>G37-(+G26+G31+G35)</f>
        <v>2.3300000000000267</v>
      </c>
      <c r="H36" s="16"/>
      <c r="I36" s="14"/>
    </row>
    <row r="37" spans="2:9">
      <c r="B37" s="44" t="s">
        <v>107</v>
      </c>
      <c r="C37" s="44"/>
      <c r="D37" s="44"/>
      <c r="E37" s="45"/>
      <c r="F37" s="16">
        <v>21017.32</v>
      </c>
      <c r="G37" s="16">
        <v>100</v>
      </c>
      <c r="H37" s="16"/>
      <c r="I37" s="14"/>
    </row>
    <row r="39" spans="2:9">
      <c r="B39" s="14" t="s">
        <v>675</v>
      </c>
    </row>
  </sheetData>
  <mergeCells count="20"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  <mergeCell ref="P7:P8"/>
    <mergeCell ref="Q7:Q8"/>
    <mergeCell ref="N9:N10"/>
    <mergeCell ref="O9:O10"/>
    <mergeCell ref="P9:P10"/>
    <mergeCell ref="Q9:Q10"/>
    <mergeCell ref="N11:N12"/>
    <mergeCell ref="O11:O12"/>
    <mergeCell ref="P11:P12"/>
    <mergeCell ref="Q11:Q12"/>
  </mergeCells>
  <printOptions horizontalCentered="1"/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2022-08-05 15:20:38</KDate>
  <Classification>Public</Classification>
  <Subclassification/>
  <HostName>MUMCMP00935</HostName>
  <Domain_User>CANARAROBECOMF/628</Domain_User>
  <IPAdd>192.9.198.194</IPAdd>
  <FilePath>P:\hemangi\data\monthly portfolios with ISIN\FY 2022-23\July 2022\CRMF MONTHLY PORTFOLIO ISIN REPORT_31JULY2022_Final.xlsx</FilePath>
  <KID>C025A5607E97637953096383432055</KID>
  <UniqueName/>
  <Suggested/>
  <Justification/>
</Klassify>
</file>

<file path=customXml/itemProps1.xml><?xml version="1.0" encoding="utf-8"?>
<ds:datastoreItem xmlns:ds="http://schemas.openxmlformats.org/officeDocument/2006/customXml" ds:itemID="{5D5E5DC5-B4D3-4967-8110-549459F9C7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IN</vt:lpstr>
      <vt:lpstr>DV</vt:lpstr>
      <vt:lpstr>ET</vt:lpstr>
      <vt:lpstr>EQ</vt:lpstr>
      <vt:lpstr>CF</vt:lpstr>
      <vt:lpstr>LC</vt:lpstr>
      <vt:lpstr>FE</vt:lpstr>
      <vt:lpstr>SC</vt:lpstr>
      <vt:lpstr>VF</vt:lpstr>
      <vt:lpstr>GB</vt:lpstr>
      <vt:lpstr>DB</vt:lpstr>
      <vt:lpstr>GL</vt:lpstr>
      <vt:lpstr>IF</vt:lpstr>
      <vt:lpstr>FR</vt:lpstr>
      <vt:lpstr>MI</vt:lpstr>
      <vt:lpstr>GI</vt:lpstr>
      <vt:lpstr>LI</vt:lpstr>
      <vt:lpstr>TA</vt:lpstr>
      <vt:lpstr>OF</vt:lpstr>
      <vt:lpstr>CY</vt:lpstr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2022-08-05T10:51:13Z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3486a02c-2dfb-4efe-823f-aa2d1f0e6ab7_Enabled">
    <vt:lpwstr>true</vt:lpwstr>
  </property>
  <property fmtid="{D5CDD505-2E9C-101B-9397-08002B2CF9AE}" pid="5" name="MSIP_Label_3486a02c-2dfb-4efe-823f-aa2d1f0e6ab7_SetDate">
    <vt:lpwstr>2022-08-03T08:58:46Z</vt:lpwstr>
  </property>
  <property fmtid="{D5CDD505-2E9C-101B-9397-08002B2CF9AE}" pid="6" name="MSIP_Label_3486a02c-2dfb-4efe-823f-aa2d1f0e6ab7_Method">
    <vt:lpwstr>Standard</vt:lpwstr>
  </property>
  <property fmtid="{D5CDD505-2E9C-101B-9397-08002B2CF9AE}" pid="7" name="MSIP_Label_3486a02c-2dfb-4efe-823f-aa2d1f0e6ab7_Name">
    <vt:lpwstr>CLAPUBLIC</vt:lpwstr>
  </property>
  <property fmtid="{D5CDD505-2E9C-101B-9397-08002B2CF9AE}" pid="8" name="MSIP_Label_3486a02c-2dfb-4efe-823f-aa2d1f0e6ab7_SiteId">
    <vt:lpwstr>e0fd434d-ba64-497b-90d2-859c472e1a92</vt:lpwstr>
  </property>
  <property fmtid="{D5CDD505-2E9C-101B-9397-08002B2CF9AE}" pid="9" name="MSIP_Label_3486a02c-2dfb-4efe-823f-aa2d1f0e6ab7_ActionId">
    <vt:lpwstr>283914f5-315b-4b1f-97ef-059966ceb5b9</vt:lpwstr>
  </property>
  <property fmtid="{D5CDD505-2E9C-101B-9397-08002B2CF9AE}" pid="10" name="MSIP_Label_3486a02c-2dfb-4efe-823f-aa2d1f0e6ab7_ContentBits">
    <vt:lpwstr>2</vt:lpwstr>
  </property>
  <property fmtid="{D5CDD505-2E9C-101B-9397-08002B2CF9AE}" pid="11" name="Classification">
    <vt:lpwstr>Public</vt:lpwstr>
  </property>
  <property fmtid="{D5CDD505-2E9C-101B-9397-08002B2CF9AE}" pid="12" name="Rules">
    <vt:lpwstr/>
  </property>
  <property fmtid="{D5CDD505-2E9C-101B-9397-08002B2CF9AE}" pid="13" name="KID">
    <vt:lpwstr>C025A5607E97637953096383432055</vt:lpwstr>
  </property>
</Properties>
</file>