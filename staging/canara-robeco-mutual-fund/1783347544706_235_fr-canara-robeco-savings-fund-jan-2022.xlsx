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F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F59" i="1"/>
  <c r="G58" i="1"/>
  <c r="F58" i="1"/>
  <c r="G55" i="1"/>
  <c r="F55" i="1"/>
  <c r="G48" i="1"/>
  <c r="F48" i="1"/>
  <c r="G42" i="1"/>
  <c r="F42" i="1"/>
  <c r="G38" i="1"/>
  <c r="G49" i="1" s="1"/>
  <c r="F38" i="1"/>
  <c r="F49" i="1" s="1"/>
  <c r="G30" i="1"/>
  <c r="G31" i="1" s="1"/>
  <c r="F30" i="1"/>
  <c r="F31" i="1" s="1"/>
  <c r="F60" i="1" l="1"/>
  <c r="G60" i="1"/>
</calcChain>
</file>

<file path=xl/sharedStrings.xml><?xml version="1.0" encoding="utf-8"?>
<sst xmlns="http://schemas.openxmlformats.org/spreadsheetml/2006/main" count="156" uniqueCount="119">
  <si>
    <t>CANARA ROBECO SAVINGS FUND</t>
  </si>
  <si>
    <t>Monthly Portfolio Statement as on January 31, 2022</t>
  </si>
  <si>
    <t>Scheme Risk-o-meter Level- Jan'22</t>
  </si>
  <si>
    <t>Benchmark Risk-o-meter Level- Jan'22</t>
  </si>
  <si>
    <t>Previous Scheme Risk-o-meter Level- Dec'21</t>
  </si>
  <si>
    <t>Potential Risk Class (PRC) Matrix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</si>
  <si>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</si>
  <si>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</si>
  <si>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</si>
  <si>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</si>
  <si>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</si>
  <si>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</si>
  <si>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</si>
  <si>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Credit Risk →</t>
  </si>
  <si>
    <t>Relatively Low (Class A)</t>
  </si>
  <si>
    <t>Moderate (Class B)</t>
  </si>
  <si>
    <t>Relatively High (Class C)</t>
  </si>
  <si>
    <t>Debt Instruments</t>
  </si>
  <si>
    <t>Interest Rate Risk ↓</t>
  </si>
  <si>
    <t>(a) Listed / awaiting listing on Stock Exchanges</t>
  </si>
  <si>
    <t>Relatively Low (Class I)</t>
  </si>
  <si>
    <t>B-I</t>
  </si>
  <si>
    <t>7.00% Reliance Industries Ltd (31/08/2022) **</t>
  </si>
  <si>
    <t>INE002A08476</t>
  </si>
  <si>
    <t>CRISIL AAA</t>
  </si>
  <si>
    <t>4.66% Bajaj Finance Ltd (02/12/2022) **</t>
  </si>
  <si>
    <t>INE296A07RM2</t>
  </si>
  <si>
    <t>Moderate 
(Class II)</t>
  </si>
  <si>
    <t>7.45% REC Ltd (30/11/2022)</t>
  </si>
  <si>
    <t>INE020B08AP1</t>
  </si>
  <si>
    <t>7.35% Power Finance Corporation Ltd (15/10/2022) **</t>
  </si>
  <si>
    <t>INE134E08KG2</t>
  </si>
  <si>
    <t>Relatively High (Class III)</t>
  </si>
  <si>
    <t>7.85% LIC Housing Finance Ltd (23/09/2022) **</t>
  </si>
  <si>
    <t>INE115A07OG3</t>
  </si>
  <si>
    <t>7.18% National Bank For Agriculture &amp; Rural Development (08/08/2022) **</t>
  </si>
  <si>
    <t>INE261F08BN5</t>
  </si>
  <si>
    <t>Benchmark: CRISIL Low Duration Debt Index</t>
  </si>
  <si>
    <t>7.10% Power Finance Corporation Ltd (08/08/2022) **</t>
  </si>
  <si>
    <t>INE134E08JD1</t>
  </si>
  <si>
    <t>7.00% Larsen &amp; Toubro Ltd (25/04/2022)</t>
  </si>
  <si>
    <t>INE018A08AX1</t>
  </si>
  <si>
    <t>6.60% REC Ltd (21/03/2022) **</t>
  </si>
  <si>
    <t>INE020B08CV5</t>
  </si>
  <si>
    <t>4.95% Housing Development Finance Corporation Ltd (09/09/2022) **</t>
  </si>
  <si>
    <t>INE001A07SQ5</t>
  </si>
  <si>
    <t>5.40% Housing Development Finance Corporation Ltd (11/08/2023) **</t>
  </si>
  <si>
    <t>INE001A07SP7</t>
  </si>
  <si>
    <t>7.17% Reliance Industries Ltd (08/11/2022) **</t>
  </si>
  <si>
    <t>INE002A08500</t>
  </si>
  <si>
    <t>7.87% Housing Development Finance Corporation Ltd (18/07/2022) **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</si>
  <si>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</si>
  <si>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</si>
  <si>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</si>
  <si>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</si>
  <si>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</si>
  <si>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</si>
  <si>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7.85% LIC Housing Finance Ltd (16/12/2022) **</t>
  </si>
  <si>
    <t>INE115A07MS2</t>
  </si>
  <si>
    <t>6.75% Power Finance Corporation Ltd (22/05/2023) **</t>
  </si>
  <si>
    <t>INE134E08KS7</t>
  </si>
  <si>
    <t>7.45% LIC Housing Finance Ltd (17/10/2022) **</t>
  </si>
  <si>
    <t>INE115A07MO1</t>
  </si>
  <si>
    <t>8.02% Larsen &amp; Toubro Ltd (22/05/2022) **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</si>
  <si>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</si>
  <si>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</si>
  <si>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</si>
  <si>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</si>
  <si>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</si>
  <si>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</si>
  <si>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</si>
  <si>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</si>
  <si>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8.13% Power Grid Corporation of India Ltd (25/04/2022) **</t>
  </si>
  <si>
    <t>INE752E07NO1</t>
  </si>
  <si>
    <t>Sub Total</t>
  </si>
  <si>
    <t>Total</t>
  </si>
  <si>
    <t>Money Market Instruments</t>
  </si>
  <si>
    <t>Certificate of Deposit</t>
  </si>
  <si>
    <t>Small Industries Development Bank of India (18/03/2022) #</t>
  </si>
  <si>
    <t>INE556F16853</t>
  </si>
  <si>
    <t>CARE A1+</t>
  </si>
  <si>
    <t>Bank of Baroda (18/04/2022) #</t>
  </si>
  <si>
    <t>INE028A16CK6</t>
  </si>
  <si>
    <t>IND A1+</t>
  </si>
  <si>
    <t>Axis Bank Ltd (28/04/2022) ** #</t>
  </si>
  <si>
    <t>INE238A167W7</t>
  </si>
  <si>
    <t>CRISIL A1+</t>
  </si>
  <si>
    <t>Axis Bank Ltd (19/09/2022) ** #</t>
  </si>
  <si>
    <t>INE238A160X0</t>
  </si>
  <si>
    <t>Commercial Paper</t>
  </si>
  <si>
    <t xml:space="preserve">Reliance Jio Infocomm Ltd (18/04/2022) ** </t>
  </si>
  <si>
    <t>INE110L14QN8</t>
  </si>
  <si>
    <t xml:space="preserve">LIC Housing Finance Ltd (07/07/2022) ** </t>
  </si>
  <si>
    <t>INE115A14DE7</t>
  </si>
  <si>
    <t>Treasury Bill</t>
  </si>
  <si>
    <t>364 DAYS INDIA TREASURY BILLS 05-MAY-22</t>
  </si>
  <si>
    <t>IN002021Z053</t>
  </si>
  <si>
    <t xml:space="preserve"> Sovereign</t>
  </si>
  <si>
    <t>364 DAYS INDIA TREASURY BILLS 03-MAR-22</t>
  </si>
  <si>
    <t>IN002020Z485</t>
  </si>
  <si>
    <t>364 DAYS TREASURY BILLS 22-DEC-22</t>
  </si>
  <si>
    <t>IN002021Z392</t>
  </si>
  <si>
    <t>0.00% INDIA TREASURY BILLS 22-FEB-22</t>
  </si>
  <si>
    <t>IN000222C041</t>
  </si>
  <si>
    <t>Government Bonds</t>
  </si>
  <si>
    <t>6.84% GOI (19/12/2022)</t>
  </si>
  <si>
    <t>IN0020160050</t>
  </si>
  <si>
    <t>Sovereign</t>
  </si>
  <si>
    <t>3.96% GOI (09/11/2022)</t>
  </si>
  <si>
    <t>IN0020200260</t>
  </si>
  <si>
    <t>8.35% GOI (14/05/2022)</t>
  </si>
  <si>
    <t>IN0020020072</t>
  </si>
  <si>
    <t>8.20% GOI (15/02/2022)</t>
  </si>
  <si>
    <t>IN0020060037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</si>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</sst>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indexed="7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3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8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top" wrapText="1"/>
    </xf>
    <xf numFmtId="0" fontId="8" fillId="3" borderId="12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0" fontId="8" fillId="0" borderId="2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8" fillId="4" borderId="9" xfId="0" applyFont="1" applyFill="1" applyBorder="1" applyAlignment="1">
      <alignment horizontal="center" vertical="center"/>
    </xf>
    <xf numFmtId="3" fontId="3" fillId="3" borderId="12" xfId="0" applyNumberFormat="1" applyFont="1" applyFill="1" applyBorder="1"/>
    <xf numFmtId="0" fontId="3" fillId="0" borderId="13" xfId="0" applyFont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4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2" xfId="0" applyNumberFormat="1" applyFont="1" applyFill="1" applyBorder="1"/>
    <xf numFmtId="4" fontId="8" fillId="3" borderId="17" xfId="0" applyNumberFormat="1" applyFont="1" applyFill="1" applyBorder="1"/>
    <xf numFmtId="4" fontId="8" fillId="3" borderId="12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8" fillId="3" borderId="17" xfId="0" applyFont="1" applyFill="1" applyBorder="1"/>
    <xf numFmtId="0" fontId="8" fillId="3" borderId="17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2" xfId="0" applyFont="1" applyFill="1" applyBorder="1"/>
    <xf numFmtId="0" fontId="8" fillId="3" borderId="2" xfId="0" applyNumberFormat="1" applyFont="1" applyFill="1" applyBorder="1"/>
    <xf numFmtId="4" fontId="8" fillId="3" borderId="2" xfId="0" applyNumberFormat="1" applyFont="1" applyFill="1" applyBorder="1"/>
    <xf numFmtId="0" fontId="8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3</xdr:row>
      <xdr:rowOff>66675</xdr:rowOff>
    </xdr:from>
    <xdr:to>
      <xdr:col>11</xdr:col>
      <xdr:colOff>1857375</xdr:colOff>
      <xdr:row>9</xdr:row>
      <xdr:rowOff>50781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257F968-95F4-45DB-8E50-9F0EB62E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5" y="866775"/>
          <a:ext cx="1666875" cy="1203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95250</xdr:colOff>
      <xdr:row>3</xdr:row>
      <xdr:rowOff>114300</xdr:rowOff>
    </xdr:from>
    <xdr:to>
      <xdr:col>13</xdr:col>
      <xdr:colOff>1704975</xdr:colOff>
      <xdr:row>9</xdr:row>
      <xdr:rowOff>57150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C257F968-95F4-45DB-8E50-9F0EB62E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7550" y="91440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123825</xdr:colOff>
      <xdr:row>3</xdr:row>
      <xdr:rowOff>200025</xdr:rowOff>
    </xdr:from>
    <xdr:to>
      <xdr:col>12</xdr:col>
      <xdr:colOff>2009131</xdr:colOff>
      <xdr:row>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0EE08C-01FF-47B8-AA55-4EB7A9ED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1100" y="1000125"/>
          <a:ext cx="1885306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4"/>
  <sheetViews>
    <sheetView tabSelected="1" workbookViewId="0">
      <selection activeCell="Q17" sqref="Q17"/>
    </sheetView>
  </sheetViews>
  <sheetFormatPr defaultRowHeight="12"/>
  <cols>
    <col min="1" max="1" width="9.140625" style="4"/>
    <col min="2" max="2" width="60.28515625" style="4" bestFit="1" customWidth="1"/>
    <col min="3" max="3" width="13.85546875" style="4" bestFit="1" customWidth="1"/>
    <col min="4" max="4" width="14.140625" style="4" bestFit="1" customWidth="1"/>
    <col min="5" max="5" width="9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4.7109375" style="3" bestFit="1" customWidth="1"/>
    <col min="11" max="11" width="5.5703125" style="3" bestFit="1" customWidth="1"/>
    <col min="12" max="12" width="31.42578125" style="3" customWidth="1"/>
    <col min="13" max="13" width="31.5703125" style="4" customWidth="1"/>
    <col min="14" max="14" width="26.7109375" style="4" customWidth="1"/>
    <col min="15" max="15" width="9.140625" style="4"/>
    <col min="16" max="16" width="12.85546875" style="4" customWidth="1"/>
    <col min="17" max="16384" width="9.140625" style="4"/>
  </cols>
  <sheetData>
    <row r="1" spans="2:19" ht="20.25">
      <c r="B1" s="1" t="s">
        <v>0</v>
      </c>
      <c r="C1" s="2"/>
      <c r="D1" s="2"/>
      <c r="E1" s="2"/>
      <c r="F1" s="2"/>
      <c r="G1" s="2"/>
      <c r="H1" s="2"/>
    </row>
    <row r="3" spans="2:19" ht="30.75" thickBot="1">
      <c r="B3" s="5" t="s">
        <v>1</v>
      </c>
      <c r="C3" s="6"/>
      <c r="D3" s="7"/>
      <c r="E3" s="8"/>
      <c r="F3" s="9"/>
      <c r="G3" s="9"/>
      <c r="L3" s="11" t="s">
        <v>2</v>
      </c>
      <c r="M3" s="11" t="s">
        <v>3</v>
      </c>
      <c r="N3" s="11" t="s">
        <v>4</v>
      </c>
      <c r="P3" s="12" t="s">
        <v>5</v>
      </c>
      <c r="Q3" s="13"/>
      <c r="R3" s="13"/>
      <c r="S3" s="14"/>
    </row>
    <row r="4" spans="2:19" ht="24">
      <c r="B4" s="15" t="s">
        <v>6</v>
      </c>
      <c r="C4" s="16" t="s">
        <v>7</v>
      </c>
      <c r="D4" s="16" t="s">
        <v>8</v>
      </c>
      <c r="E4" s="17" t="s">
        <v>9</v>
      </c>
      <c r="F4" s="18" t="s">
        <v>10</v>
      </c>
      <c r="G4" s="19" t="s">
        <v>11</v>
      </c>
      <c r="H4" s="19" t="s">
        <v>12</v>
      </c>
      <c r="L4" s="20"/>
      <c r="M4" s="20"/>
      <c r="N4" s="20"/>
      <c r="P4" s="21" t="s">
        <v>13</v>
      </c>
      <c r="Q4" s="22" t="s">
        <v>14</v>
      </c>
      <c r="R4" s="22" t="s">
        <v>15</v>
      </c>
      <c r="S4" s="22" t="s">
        <v>16</v>
      </c>
    </row>
    <row r="5" spans="2:19" ht="24">
      <c r="B5" s="23" t="s">
        <v>17</v>
      </c>
      <c r="C5" s="24"/>
      <c r="D5" s="24"/>
      <c r="E5" s="25"/>
      <c r="F5" s="26"/>
      <c r="G5" s="26"/>
      <c r="H5" s="26"/>
      <c r="L5" s="27"/>
      <c r="M5" s="27"/>
      <c r="N5" s="27"/>
      <c r="P5" s="28" t="s">
        <v>18</v>
      </c>
      <c r="Q5" s="22"/>
      <c r="R5" s="22"/>
      <c r="S5" s="22"/>
    </row>
    <row r="6" spans="2:19">
      <c r="B6" s="29" t="s">
        <v>19</v>
      </c>
      <c r="C6" s="30"/>
      <c r="D6" s="30"/>
      <c r="E6" s="31"/>
      <c r="F6" s="32"/>
      <c r="G6" s="32"/>
      <c r="H6" s="32"/>
      <c r="L6" s="27"/>
      <c r="M6" s="27"/>
      <c r="N6" s="27"/>
      <c r="P6" s="33" t="s">
        <v>20</v>
      </c>
      <c r="Q6" s="34"/>
      <c r="R6" s="35" t="s">
        <v>21</v>
      </c>
      <c r="S6" s="34"/>
    </row>
    <row r="7" spans="2:19">
      <c r="B7" s="30" t="s">
        <v>22</v>
      </c>
      <c r="C7" s="30" t="s">
        <v>23</v>
      </c>
      <c r="D7" s="30" t="s">
        <v>24</v>
      </c>
      <c r="E7" s="36">
        <v>500</v>
      </c>
      <c r="F7" s="32">
        <v>5069.33</v>
      </c>
      <c r="G7" s="32">
        <v>4.4400000000000004</v>
      </c>
      <c r="H7" s="32">
        <v>4.42</v>
      </c>
      <c r="L7" s="27"/>
      <c r="M7" s="27"/>
      <c r="N7" s="27"/>
      <c r="P7" s="33"/>
      <c r="Q7" s="37"/>
      <c r="R7" s="38"/>
      <c r="S7" s="37"/>
    </row>
    <row r="8" spans="2:19">
      <c r="B8" s="30" t="s">
        <v>25</v>
      </c>
      <c r="C8" s="30" t="s">
        <v>26</v>
      </c>
      <c r="D8" s="30" t="s">
        <v>24</v>
      </c>
      <c r="E8" s="36">
        <v>400</v>
      </c>
      <c r="F8" s="32">
        <v>3987.1</v>
      </c>
      <c r="G8" s="32">
        <v>3.49</v>
      </c>
      <c r="H8" s="32">
        <v>5.0199999999999996</v>
      </c>
      <c r="L8" s="27"/>
      <c r="M8" s="27"/>
      <c r="N8" s="27"/>
      <c r="P8" s="33" t="s">
        <v>27</v>
      </c>
      <c r="Q8" s="34"/>
      <c r="R8" s="34"/>
      <c r="S8" s="34"/>
    </row>
    <row r="9" spans="2:19">
      <c r="B9" s="30" t="s">
        <v>28</v>
      </c>
      <c r="C9" s="30" t="s">
        <v>29</v>
      </c>
      <c r="D9" s="30" t="s">
        <v>24</v>
      </c>
      <c r="E9" s="36">
        <v>300</v>
      </c>
      <c r="F9" s="32">
        <v>3062.78</v>
      </c>
      <c r="G9" s="32">
        <v>2.68</v>
      </c>
      <c r="H9" s="32">
        <v>4.7699999999999996</v>
      </c>
      <c r="L9" s="27"/>
      <c r="M9" s="27"/>
      <c r="N9" s="27"/>
      <c r="P9" s="33"/>
      <c r="Q9" s="37"/>
      <c r="R9" s="37"/>
      <c r="S9" s="37"/>
    </row>
    <row r="10" spans="2:19">
      <c r="B10" s="30" t="s">
        <v>30</v>
      </c>
      <c r="C10" s="30" t="s">
        <v>31</v>
      </c>
      <c r="D10" s="30" t="s">
        <v>24</v>
      </c>
      <c r="E10" s="36">
        <v>300</v>
      </c>
      <c r="F10" s="32">
        <v>3051.03</v>
      </c>
      <c r="G10" s="32">
        <v>2.67</v>
      </c>
      <c r="H10" s="32">
        <v>4.75</v>
      </c>
      <c r="L10" s="27"/>
      <c r="M10" s="27"/>
      <c r="N10" s="27"/>
      <c r="P10" s="33" t="s">
        <v>32</v>
      </c>
      <c r="Q10" s="34"/>
      <c r="R10" s="34"/>
      <c r="S10" s="34"/>
    </row>
    <row r="11" spans="2:19">
      <c r="B11" s="30" t="s">
        <v>33</v>
      </c>
      <c r="C11" s="30" t="s">
        <v>34</v>
      </c>
      <c r="D11" s="30" t="s">
        <v>24</v>
      </c>
      <c r="E11" s="36">
        <v>250</v>
      </c>
      <c r="F11" s="32">
        <v>2547.81</v>
      </c>
      <c r="G11" s="32">
        <v>2.23</v>
      </c>
      <c r="H11" s="32">
        <v>4.66</v>
      </c>
      <c r="L11" s="39"/>
      <c r="M11" s="39"/>
      <c r="N11" s="39"/>
      <c r="P11" s="33"/>
      <c r="Q11" s="37"/>
      <c r="R11" s="37"/>
      <c r="S11" s="37"/>
    </row>
    <row r="12" spans="2:19">
      <c r="B12" s="30" t="s">
        <v>35</v>
      </c>
      <c r="C12" s="30" t="s">
        <v>36</v>
      </c>
      <c r="D12" s="30" t="s">
        <v>24</v>
      </c>
      <c r="E12" s="36">
        <v>250</v>
      </c>
      <c r="F12" s="32">
        <v>2532.42</v>
      </c>
      <c r="G12" s="32">
        <v>2.2200000000000002</v>
      </c>
      <c r="H12" s="32">
        <v>4.46</v>
      </c>
      <c r="M12" s="4" t="s">
        <v>37</v>
      </c>
    </row>
    <row r="13" spans="2:19">
      <c r="B13" s="30" t="s">
        <v>38</v>
      </c>
      <c r="C13" s="30" t="s">
        <v>39</v>
      </c>
      <c r="D13" s="30" t="s">
        <v>24</v>
      </c>
      <c r="E13" s="36">
        <v>250</v>
      </c>
      <c r="F13" s="32">
        <v>2531.1</v>
      </c>
      <c r="G13" s="32">
        <v>2.2200000000000002</v>
      </c>
      <c r="H13" s="32">
        <v>4.49</v>
      </c>
    </row>
    <row r="14" spans="2:19">
      <c r="B14" s="30" t="s">
        <v>40</v>
      </c>
      <c r="C14" s="30" t="s">
        <v>41</v>
      </c>
      <c r="D14" s="30" t="s">
        <v>24</v>
      </c>
      <c r="E14" s="36">
        <v>250</v>
      </c>
      <c r="F14" s="32">
        <v>2515.67</v>
      </c>
      <c r="G14" s="32">
        <v>2.2000000000000002</v>
      </c>
      <c r="H14" s="32">
        <v>4.03</v>
      </c>
    </row>
    <row r="15" spans="2:19">
      <c r="B15" s="30" t="s">
        <v>42</v>
      </c>
      <c r="C15" s="30" t="s">
        <v>43</v>
      </c>
      <c r="D15" s="30" t="s">
        <v>24</v>
      </c>
      <c r="E15" s="36">
        <v>250</v>
      </c>
      <c r="F15" s="32">
        <v>2508.56</v>
      </c>
      <c r="G15" s="32">
        <v>2.2000000000000002</v>
      </c>
      <c r="H15" s="32">
        <v>3.82</v>
      </c>
    </row>
    <row r="16" spans="2:19">
      <c r="B16" s="30" t="s">
        <v>44</v>
      </c>
      <c r="C16" s="30" t="s">
        <v>45</v>
      </c>
      <c r="D16" s="30" t="s">
        <v>24</v>
      </c>
      <c r="E16" s="36">
        <v>250</v>
      </c>
      <c r="F16" s="32">
        <v>2503.9899999999998</v>
      </c>
      <c r="G16" s="32">
        <v>2.19</v>
      </c>
      <c r="H16" s="32">
        <v>4.59</v>
      </c>
    </row>
    <row r="17" spans="2:8">
      <c r="B17" s="30" t="s">
        <v>46</v>
      </c>
      <c r="C17" s="30" t="s">
        <v>47</v>
      </c>
      <c r="D17" s="30" t="s">
        <v>24</v>
      </c>
      <c r="E17" s="36">
        <v>250</v>
      </c>
      <c r="F17" s="32">
        <v>2499.4699999999998</v>
      </c>
      <c r="G17" s="32">
        <v>2.19</v>
      </c>
      <c r="H17" s="32">
        <v>5.39</v>
      </c>
    </row>
    <row r="18" spans="2:8">
      <c r="B18" s="30" t="s">
        <v>48</v>
      </c>
      <c r="C18" s="30" t="s">
        <v>49</v>
      </c>
      <c r="D18" s="30" t="s">
        <v>24</v>
      </c>
      <c r="E18" s="36">
        <v>200</v>
      </c>
      <c r="F18" s="32">
        <v>2035.41</v>
      </c>
      <c r="G18" s="32">
        <v>1.78</v>
      </c>
      <c r="H18" s="32">
        <v>4.71</v>
      </c>
    </row>
    <row r="19" spans="2:8">
      <c r="B19" s="30" t="s">
        <v>50</v>
      </c>
      <c r="C19" s="30" t="s">
        <v>51</v>
      </c>
      <c r="D19" s="30" t="s">
        <v>24</v>
      </c>
      <c r="E19" s="36">
        <v>150</v>
      </c>
      <c r="F19" s="32">
        <v>1521.55</v>
      </c>
      <c r="G19" s="32">
        <v>1.33</v>
      </c>
      <c r="H19" s="32">
        <v>4.49</v>
      </c>
    </row>
    <row r="20" spans="2:8">
      <c r="B20" s="30" t="s">
        <v>52</v>
      </c>
      <c r="C20" s="30" t="s">
        <v>53</v>
      </c>
      <c r="D20" s="30" t="s">
        <v>54</v>
      </c>
      <c r="E20" s="36">
        <v>150</v>
      </c>
      <c r="F20" s="32">
        <v>1484.62</v>
      </c>
      <c r="G20" s="32">
        <v>1.3</v>
      </c>
      <c r="H20" s="32">
        <v>5.16</v>
      </c>
    </row>
    <row r="21" spans="2:8">
      <c r="B21" s="30" t="s">
        <v>55</v>
      </c>
      <c r="C21" s="30" t="s">
        <v>56</v>
      </c>
      <c r="D21" s="30" t="s">
        <v>24</v>
      </c>
      <c r="E21" s="36">
        <v>400</v>
      </c>
      <c r="F21" s="32">
        <v>1258.7</v>
      </c>
      <c r="G21" s="32">
        <v>1.1000000000000001</v>
      </c>
      <c r="H21" s="32">
        <v>5.49</v>
      </c>
    </row>
    <row r="22" spans="2:8">
      <c r="B22" s="30" t="s">
        <v>57</v>
      </c>
      <c r="C22" s="30" t="s">
        <v>58</v>
      </c>
      <c r="D22" s="30" t="s">
        <v>24</v>
      </c>
      <c r="E22" s="36">
        <v>100</v>
      </c>
      <c r="F22" s="32">
        <v>1022.96</v>
      </c>
      <c r="G22" s="32">
        <v>0.9</v>
      </c>
      <c r="H22" s="32">
        <v>5.0599999999999996</v>
      </c>
    </row>
    <row r="23" spans="2:8">
      <c r="B23" s="30" t="s">
        <v>59</v>
      </c>
      <c r="C23" s="30" t="s">
        <v>60</v>
      </c>
      <c r="D23" s="30" t="s">
        <v>24</v>
      </c>
      <c r="E23" s="36">
        <v>100</v>
      </c>
      <c r="F23" s="32">
        <v>1020.37</v>
      </c>
      <c r="G23" s="32">
        <v>0.89</v>
      </c>
      <c r="H23" s="32">
        <v>5.07</v>
      </c>
    </row>
    <row r="24" spans="2:8">
      <c r="B24" s="30" t="s">
        <v>61</v>
      </c>
      <c r="C24" s="30" t="s">
        <v>62</v>
      </c>
      <c r="D24" s="30" t="s">
        <v>24</v>
      </c>
      <c r="E24" s="36">
        <v>100</v>
      </c>
      <c r="F24" s="32">
        <v>1015.63</v>
      </c>
      <c r="G24" s="32">
        <v>0.89</v>
      </c>
      <c r="H24" s="32">
        <v>5.0599999999999996</v>
      </c>
    </row>
    <row r="25" spans="2:8">
      <c r="B25" s="30" t="s">
        <v>63</v>
      </c>
      <c r="C25" s="30" t="s">
        <v>64</v>
      </c>
      <c r="D25" s="30" t="s">
        <v>24</v>
      </c>
      <c r="E25" s="36">
        <v>100</v>
      </c>
      <c r="F25" s="32">
        <v>1010.83</v>
      </c>
      <c r="G25" s="32">
        <v>0.89</v>
      </c>
      <c r="H25" s="32">
        <v>4.18</v>
      </c>
    </row>
    <row r="26" spans="2:8">
      <c r="B26" s="30" t="s">
        <v>65</v>
      </c>
      <c r="C26" s="30" t="s">
        <v>66</v>
      </c>
      <c r="D26" s="30" t="s">
        <v>24</v>
      </c>
      <c r="E26" s="36">
        <v>50</v>
      </c>
      <c r="F26" s="32">
        <v>510.67</v>
      </c>
      <c r="G26" s="32">
        <v>0.45</v>
      </c>
      <c r="H26" s="32">
        <v>4.78</v>
      </c>
    </row>
    <row r="27" spans="2:8">
      <c r="B27" s="30" t="s">
        <v>67</v>
      </c>
      <c r="C27" s="30" t="s">
        <v>68</v>
      </c>
      <c r="D27" s="30" t="s">
        <v>24</v>
      </c>
      <c r="E27" s="36">
        <v>50</v>
      </c>
      <c r="F27" s="32">
        <v>507.4</v>
      </c>
      <c r="G27" s="32">
        <v>0.44</v>
      </c>
      <c r="H27" s="32">
        <v>4.46</v>
      </c>
    </row>
    <row r="28" spans="2:8">
      <c r="B28" s="30" t="s">
        <v>69</v>
      </c>
      <c r="C28" s="30" t="s">
        <v>70</v>
      </c>
      <c r="D28" s="30" t="s">
        <v>71</v>
      </c>
      <c r="E28" s="36">
        <v>50</v>
      </c>
      <c r="F28" s="32">
        <v>506.32</v>
      </c>
      <c r="G28" s="32">
        <v>0.44</v>
      </c>
      <c r="H28" s="32">
        <v>4.3499999999999996</v>
      </c>
    </row>
    <row r="29" spans="2:8">
      <c r="B29" s="30" t="s">
        <v>72</v>
      </c>
      <c r="C29" s="30" t="s">
        <v>73</v>
      </c>
      <c r="D29" s="30" t="s">
        <v>24</v>
      </c>
      <c r="E29" s="36">
        <v>50</v>
      </c>
      <c r="F29" s="32">
        <v>504.46</v>
      </c>
      <c r="G29" s="32">
        <v>0.44</v>
      </c>
      <c r="H29" s="32">
        <v>3.97</v>
      </c>
    </row>
    <row r="30" spans="2:8">
      <c r="B30" s="40" t="s">
        <v>74</v>
      </c>
      <c r="C30" s="40"/>
      <c r="D30" s="40"/>
      <c r="E30" s="41"/>
      <c r="F30" s="42">
        <f>SUM(F6:F29)</f>
        <v>45208.180000000008</v>
      </c>
      <c r="G30" s="42">
        <f>SUM(G6:G29)</f>
        <v>39.58</v>
      </c>
      <c r="H30" s="43"/>
    </row>
    <row r="31" spans="2:8">
      <c r="B31" s="44" t="s">
        <v>75</v>
      </c>
      <c r="C31" s="44"/>
      <c r="D31" s="44"/>
      <c r="E31" s="45"/>
      <c r="F31" s="46">
        <f>F30</f>
        <v>45208.180000000008</v>
      </c>
      <c r="G31" s="46">
        <f>G30</f>
        <v>39.58</v>
      </c>
      <c r="H31" s="46"/>
    </row>
    <row r="32" spans="2:8">
      <c r="B32" s="29" t="s">
        <v>76</v>
      </c>
      <c r="C32" s="30"/>
      <c r="D32" s="30"/>
      <c r="E32" s="31"/>
      <c r="F32" s="32"/>
      <c r="G32" s="32"/>
      <c r="H32" s="32"/>
    </row>
    <row r="33" spans="2:8">
      <c r="B33" s="29" t="s">
        <v>77</v>
      </c>
      <c r="C33" s="30"/>
      <c r="D33" s="30"/>
      <c r="E33" s="31"/>
      <c r="F33" s="32"/>
      <c r="G33" s="32"/>
      <c r="H33" s="32"/>
    </row>
    <row r="34" spans="2:8">
      <c r="B34" s="30" t="s">
        <v>78</v>
      </c>
      <c r="C34" s="30" t="s">
        <v>79</v>
      </c>
      <c r="D34" s="30" t="s">
        <v>80</v>
      </c>
      <c r="E34" s="36">
        <v>5000</v>
      </c>
      <c r="F34" s="32">
        <v>4977.4799999999996</v>
      </c>
      <c r="G34" s="32">
        <v>4.3600000000000003</v>
      </c>
      <c r="H34" s="32">
        <v>3.67</v>
      </c>
    </row>
    <row r="35" spans="2:8">
      <c r="B35" s="30" t="s">
        <v>81</v>
      </c>
      <c r="C35" s="30" t="s">
        <v>82</v>
      </c>
      <c r="D35" s="30" t="s">
        <v>83</v>
      </c>
      <c r="E35" s="36">
        <v>1000</v>
      </c>
      <c r="F35" s="32">
        <v>4960.24</v>
      </c>
      <c r="G35" s="32">
        <v>4.34</v>
      </c>
      <c r="H35" s="32">
        <v>3.85</v>
      </c>
    </row>
    <row r="36" spans="2:8">
      <c r="B36" s="30" t="s">
        <v>84</v>
      </c>
      <c r="C36" s="30" t="s">
        <v>85</v>
      </c>
      <c r="D36" s="30" t="s">
        <v>86</v>
      </c>
      <c r="E36" s="36">
        <v>500</v>
      </c>
      <c r="F36" s="32">
        <v>2477.0500000000002</v>
      </c>
      <c r="G36" s="32">
        <v>2.17</v>
      </c>
      <c r="H36" s="32">
        <v>3.93</v>
      </c>
    </row>
    <row r="37" spans="2:8">
      <c r="B37" s="30" t="s">
        <v>87</v>
      </c>
      <c r="C37" s="30" t="s">
        <v>88</v>
      </c>
      <c r="D37" s="30" t="s">
        <v>86</v>
      </c>
      <c r="E37" s="36">
        <v>500</v>
      </c>
      <c r="F37" s="32">
        <v>2433.3000000000002</v>
      </c>
      <c r="G37" s="32">
        <v>2.13</v>
      </c>
      <c r="H37" s="32">
        <v>4.3499999999999996</v>
      </c>
    </row>
    <row r="38" spans="2:8">
      <c r="B38" s="29" t="s">
        <v>74</v>
      </c>
      <c r="C38" s="29"/>
      <c r="D38" s="29"/>
      <c r="E38" s="47"/>
      <c r="F38" s="48">
        <f>SUM(F33:F37)</f>
        <v>14848.07</v>
      </c>
      <c r="G38" s="48">
        <f>SUM(G33:G37)</f>
        <v>13</v>
      </c>
      <c r="H38" s="49"/>
    </row>
    <row r="39" spans="2:8">
      <c r="B39" s="29" t="s">
        <v>89</v>
      </c>
      <c r="C39" s="30"/>
      <c r="D39" s="30"/>
      <c r="E39" s="31"/>
      <c r="F39" s="32"/>
      <c r="G39" s="32"/>
      <c r="H39" s="32"/>
    </row>
    <row r="40" spans="2:8">
      <c r="B40" s="30" t="s">
        <v>90</v>
      </c>
      <c r="C40" s="30" t="s">
        <v>91</v>
      </c>
      <c r="D40" s="30" t="s">
        <v>80</v>
      </c>
      <c r="E40" s="36">
        <v>500</v>
      </c>
      <c r="F40" s="32">
        <v>2479.4499999999998</v>
      </c>
      <c r="G40" s="32">
        <v>2.17</v>
      </c>
      <c r="H40" s="32">
        <v>3.98</v>
      </c>
    </row>
    <row r="41" spans="2:8">
      <c r="B41" s="30" t="s">
        <v>92</v>
      </c>
      <c r="C41" s="30" t="s">
        <v>93</v>
      </c>
      <c r="D41" s="30" t="s">
        <v>86</v>
      </c>
      <c r="E41" s="36">
        <v>500</v>
      </c>
      <c r="F41" s="32">
        <v>2454.89</v>
      </c>
      <c r="G41" s="32">
        <v>2.15</v>
      </c>
      <c r="H41" s="32">
        <v>4.3</v>
      </c>
    </row>
    <row r="42" spans="2:8">
      <c r="B42" s="29" t="s">
        <v>74</v>
      </c>
      <c r="C42" s="29"/>
      <c r="D42" s="29"/>
      <c r="E42" s="47"/>
      <c r="F42" s="48">
        <f>SUM(F39:F41)</f>
        <v>4934.34</v>
      </c>
      <c r="G42" s="48">
        <f>SUM(G39:G41)</f>
        <v>4.32</v>
      </c>
      <c r="H42" s="49"/>
    </row>
    <row r="43" spans="2:8">
      <c r="B43" s="29" t="s">
        <v>94</v>
      </c>
      <c r="C43" s="30"/>
      <c r="D43" s="30"/>
      <c r="E43" s="31"/>
      <c r="F43" s="32"/>
      <c r="G43" s="32"/>
      <c r="H43" s="32"/>
    </row>
    <row r="44" spans="2:8">
      <c r="B44" s="30" t="s">
        <v>95</v>
      </c>
      <c r="C44" s="30" t="s">
        <v>96</v>
      </c>
      <c r="D44" s="30" t="s">
        <v>97</v>
      </c>
      <c r="E44" s="36">
        <v>10000000</v>
      </c>
      <c r="F44" s="32">
        <v>9905.11</v>
      </c>
      <c r="G44" s="32">
        <v>8.68</v>
      </c>
      <c r="H44" s="32">
        <v>3.76</v>
      </c>
    </row>
    <row r="45" spans="2:8">
      <c r="B45" s="30" t="s">
        <v>98</v>
      </c>
      <c r="C45" s="30" t="s">
        <v>99</v>
      </c>
      <c r="D45" s="30" t="s">
        <v>97</v>
      </c>
      <c r="E45" s="36">
        <v>5000000</v>
      </c>
      <c r="F45" s="32">
        <v>4985.38</v>
      </c>
      <c r="G45" s="32">
        <v>4.37</v>
      </c>
      <c r="H45" s="32">
        <v>3.57</v>
      </c>
    </row>
    <row r="46" spans="2:8">
      <c r="B46" s="30" t="s">
        <v>100</v>
      </c>
      <c r="C46" s="30" t="s">
        <v>101</v>
      </c>
      <c r="D46" s="30" t="s">
        <v>97</v>
      </c>
      <c r="E46" s="36">
        <v>2500000</v>
      </c>
      <c r="F46" s="32">
        <v>2407.16</v>
      </c>
      <c r="G46" s="32">
        <v>2.11</v>
      </c>
      <c r="H46" s="32">
        <v>4.3499999999999996</v>
      </c>
    </row>
    <row r="47" spans="2:8">
      <c r="B47" s="30" t="s">
        <v>102</v>
      </c>
      <c r="C47" s="30" t="s">
        <v>103</v>
      </c>
      <c r="D47" s="30" t="s">
        <v>97</v>
      </c>
      <c r="E47" s="36">
        <v>1000000</v>
      </c>
      <c r="F47" s="32">
        <v>997.93</v>
      </c>
      <c r="G47" s="32">
        <v>0.87</v>
      </c>
      <c r="H47" s="32">
        <v>3.6</v>
      </c>
    </row>
    <row r="48" spans="2:8">
      <c r="B48" s="40" t="s">
        <v>74</v>
      </c>
      <c r="C48" s="40"/>
      <c r="D48" s="40"/>
      <c r="E48" s="41"/>
      <c r="F48" s="42">
        <f>SUM(F43:F47)</f>
        <v>18295.580000000002</v>
      </c>
      <c r="G48" s="42">
        <f>SUM(G43:G47)</f>
        <v>16.03</v>
      </c>
      <c r="H48" s="43"/>
    </row>
    <row r="49" spans="2:8">
      <c r="B49" s="44" t="s">
        <v>75</v>
      </c>
      <c r="C49" s="44"/>
      <c r="D49" s="44"/>
      <c r="E49" s="45"/>
      <c r="F49" s="46">
        <f>F38+F42+F48</f>
        <v>38077.990000000005</v>
      </c>
      <c r="G49" s="46">
        <f>G38+G42+G48</f>
        <v>33.35</v>
      </c>
      <c r="H49" s="46"/>
    </row>
    <row r="50" spans="2:8">
      <c r="B50" s="29" t="s">
        <v>104</v>
      </c>
      <c r="C50" s="30"/>
      <c r="D50" s="30"/>
      <c r="E50" s="31"/>
      <c r="F50" s="32"/>
      <c r="G50" s="32"/>
      <c r="H50" s="32"/>
    </row>
    <row r="51" spans="2:8">
      <c r="B51" s="30" t="s">
        <v>105</v>
      </c>
      <c r="C51" s="30" t="s">
        <v>106</v>
      </c>
      <c r="D51" s="30" t="s">
        <v>107</v>
      </c>
      <c r="E51" s="36">
        <v>13500000</v>
      </c>
      <c r="F51" s="32">
        <v>13777.43</v>
      </c>
      <c r="G51" s="32">
        <v>12.07</v>
      </c>
      <c r="H51" s="32">
        <v>4.43</v>
      </c>
    </row>
    <row r="52" spans="2:8">
      <c r="B52" s="30" t="s">
        <v>108</v>
      </c>
      <c r="C52" s="30" t="s">
        <v>109</v>
      </c>
      <c r="D52" s="30" t="s">
        <v>107</v>
      </c>
      <c r="E52" s="36">
        <v>5000000</v>
      </c>
      <c r="F52" s="32">
        <v>4982.71</v>
      </c>
      <c r="G52" s="32">
        <v>4.3600000000000003</v>
      </c>
      <c r="H52" s="32">
        <v>4.41</v>
      </c>
    </row>
    <row r="53" spans="2:8">
      <c r="B53" s="30" t="s">
        <v>110</v>
      </c>
      <c r="C53" s="30" t="s">
        <v>111</v>
      </c>
      <c r="D53" s="30" t="s">
        <v>107</v>
      </c>
      <c r="E53" s="36">
        <v>2500000</v>
      </c>
      <c r="F53" s="32">
        <v>2531</v>
      </c>
      <c r="G53" s="32">
        <v>2.2200000000000002</v>
      </c>
      <c r="H53" s="32">
        <v>3.87</v>
      </c>
    </row>
    <row r="54" spans="2:8">
      <c r="B54" s="50" t="s">
        <v>112</v>
      </c>
      <c r="C54" s="50" t="s">
        <v>113</v>
      </c>
      <c r="D54" s="50" t="s">
        <v>107</v>
      </c>
      <c r="E54" s="51">
        <v>2500000</v>
      </c>
      <c r="F54" s="52">
        <v>2504.36</v>
      </c>
      <c r="G54" s="52">
        <v>2.19</v>
      </c>
      <c r="H54" s="52">
        <v>3.77</v>
      </c>
    </row>
    <row r="55" spans="2:8">
      <c r="B55" s="53" t="s">
        <v>75</v>
      </c>
      <c r="C55" s="53"/>
      <c r="D55" s="53"/>
      <c r="E55" s="54"/>
      <c r="F55" s="48">
        <f>SUM(F51:F54)</f>
        <v>23795.5</v>
      </c>
      <c r="G55" s="48">
        <f>SUM(G51:G54)</f>
        <v>20.84</v>
      </c>
      <c r="H55" s="48"/>
    </row>
    <row r="56" spans="2:8">
      <c r="B56" s="29" t="s">
        <v>114</v>
      </c>
      <c r="C56" s="30"/>
      <c r="D56" s="30"/>
      <c r="E56" s="31"/>
      <c r="F56" s="32"/>
      <c r="G56" s="32"/>
      <c r="H56" s="32"/>
    </row>
    <row r="57" spans="2:8">
      <c r="B57" s="30" t="s">
        <v>114</v>
      </c>
      <c r="C57" s="30"/>
      <c r="D57" s="30"/>
      <c r="E57" s="31"/>
      <c r="F57" s="32">
        <v>5724.3</v>
      </c>
      <c r="G57" s="32">
        <v>5.01</v>
      </c>
      <c r="H57" s="32"/>
    </row>
    <row r="58" spans="2:8">
      <c r="B58" s="40" t="s">
        <v>74</v>
      </c>
      <c r="C58" s="40"/>
      <c r="D58" s="40"/>
      <c r="E58" s="41"/>
      <c r="F58" s="42">
        <f>SUM(F56:F57)</f>
        <v>5724.3</v>
      </c>
      <c r="G58" s="42">
        <f>SUM(G56:G57)</f>
        <v>5.01</v>
      </c>
      <c r="H58" s="43"/>
    </row>
    <row r="59" spans="2:8">
      <c r="B59" s="55" t="s">
        <v>75</v>
      </c>
      <c r="C59" s="55"/>
      <c r="D59" s="55"/>
      <c r="E59" s="56"/>
      <c r="F59" s="57">
        <f>F58</f>
        <v>5724.3</v>
      </c>
      <c r="G59" s="57">
        <f>G58</f>
        <v>5.01</v>
      </c>
      <c r="H59" s="57"/>
    </row>
    <row r="60" spans="2:8">
      <c r="B60" s="58" t="s">
        <v>115</v>
      </c>
      <c r="C60" s="58"/>
      <c r="D60" s="58"/>
      <c r="E60" s="59"/>
      <c r="F60" s="60">
        <f>F61-(+F31+F49+F55+F59)</f>
        <v>1365.8499999999913</v>
      </c>
      <c r="G60" s="60">
        <f>G61-(+G31+G49+G55+G59)</f>
        <v>1.2199999999999847</v>
      </c>
      <c r="H60" s="60"/>
    </row>
    <row r="61" spans="2:8">
      <c r="B61" s="58" t="s">
        <v>116</v>
      </c>
      <c r="C61" s="58"/>
      <c r="D61" s="58"/>
      <c r="E61" s="59"/>
      <c r="F61" s="60">
        <v>114171.82</v>
      </c>
      <c r="G61" s="60">
        <v>100</v>
      </c>
      <c r="H61" s="60"/>
    </row>
    <row r="63" spans="2:8">
      <c r="B63" s="61" t="s">
        <v>117</v>
      </c>
    </row>
    <row r="64" spans="2:8">
      <c r="B64" s="61" t="s">
        <v>118</v>
      </c>
    </row>
  </sheetData>
  <mergeCells count="20">
    <mergeCell ref="P10:P11"/>
    <mergeCell ref="Q10:Q11"/>
    <mergeCell ref="R10:R11"/>
    <mergeCell ref="S10:S11"/>
    <mergeCell ref="R6:R7"/>
    <mergeCell ref="S6:S7"/>
    <mergeCell ref="P8:P9"/>
    <mergeCell ref="Q8:Q9"/>
    <mergeCell ref="R8:R9"/>
    <mergeCell ref="S8:S9"/>
    <mergeCell ref="B1:H1"/>
    <mergeCell ref="P3:S3"/>
    <mergeCell ref="L4:L11"/>
    <mergeCell ref="M4:M11"/>
    <mergeCell ref="N4:N11"/>
    <mergeCell ref="Q4:Q5"/>
    <mergeCell ref="R4:R5"/>
    <mergeCell ref="S4:S5"/>
    <mergeCell ref="P6:P7"/>
    <mergeCell ref="Q6:Q7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2022-02-08T11:12:05Z</dcterms:created>
  <dcterms:modified xsi:type="dcterms:W3CDTF">2022-02-08T11:12:07Z</dcterms:modified>
</cp:coreProperties>
</file>