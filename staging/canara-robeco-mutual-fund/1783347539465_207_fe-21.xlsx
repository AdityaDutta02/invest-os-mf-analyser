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"/>
    </mc:Choice>
  </mc:AlternateContent>
  <bookViews>
    <workbookView xWindow="0" yWindow="0" windowWidth="20490" windowHeight="7650"/>
  </bookViews>
  <sheets>
    <sheet name="FE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40" i="1"/>
  <c r="F40" i="1"/>
  <c r="F41" i="1" s="1"/>
  <c r="G37" i="1"/>
  <c r="G42" i="1" s="1"/>
  <c r="G36" i="1"/>
  <c r="F36" i="1"/>
  <c r="F37" i="1" s="1"/>
  <c r="F42" i="1" l="1"/>
</calcChain>
</file>

<file path=xl/sharedStrings.xml><?xml version="1.0" encoding="utf-8"?>
<sst xmlns="http://schemas.openxmlformats.org/spreadsheetml/2006/main" count="139" uniqueCount="101">
  <si>
    <t>CANARA ROBECO FOCUSED EQUITY FUND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</si>
  <si>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</si>
  <si>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</si>
  <si>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</si>
  <si>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</si>
  <si>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</si>
  <si>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</si>
  <si>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</si>
  <si>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</si>
  <si>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Oct'22</t>
  </si>
  <si>
    <t>Benchmark Risk-o-meter Level- Oct'22</t>
  </si>
  <si>
    <t>Previous Scheme Risk-o-meter Level- Sep'22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</si>
  <si>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</si>
  <si>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</si>
  <si>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</si>
  <si>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</si>
  <si>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</si>
  <si>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</si>
  <si>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</si>
  <si>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</si>
  <si>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Infosys Ltd</t>
  </si>
  <si>
    <t>INE009A01021</t>
  </si>
  <si>
    <t>IT - Software</t>
  </si>
  <si>
    <t>Axis Bank Ltd</t>
  </si>
  <si>
    <t>INE238A01034</t>
  </si>
  <si>
    <t>State Bank of India</t>
  </si>
  <si>
    <t>INE062A01020</t>
  </si>
  <si>
    <t>Maruti Suzuki India Ltd</t>
  </si>
  <si>
    <t>INE585B01010</t>
  </si>
  <si>
    <t>Automobiles</t>
  </si>
  <si>
    <t>Bharti Airtel Ltd</t>
  </si>
  <si>
    <t>INE397D01024</t>
  </si>
  <si>
    <t>Telecom - Services</t>
  </si>
  <si>
    <t>Benchmark: S&amp;P BSE 500 TRI</t>
  </si>
  <si>
    <t>Hindustan Unilever Ltd</t>
  </si>
  <si>
    <t>INE030A01027</t>
  </si>
  <si>
    <t>Diversified Fmcg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</si>
  <si>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</si>
  <si>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</si>
  <si>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</si>
  <si>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</si>
  <si>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</si>
  <si>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</si>
  <si>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Bajaj Finance Ltd</t>
  </si>
  <si>
    <t>INE296A01024</t>
  </si>
  <si>
    <t>Finance</t>
  </si>
  <si>
    <t>Indian Hotels Co Ltd</t>
  </si>
  <si>
    <t>INE053A01029</t>
  </si>
  <si>
    <t>Leisure Services</t>
  </si>
  <si>
    <t>Mid Cap</t>
  </si>
  <si>
    <t>Trent Ltd</t>
  </si>
  <si>
    <t>INE849A01020</t>
  </si>
  <si>
    <t>Retailing</t>
  </si>
  <si>
    <t>Ultratech Cement Ltd</t>
  </si>
  <si>
    <t>INE481G01011</t>
  </si>
  <si>
    <t>Cement &amp; Cement Products</t>
  </si>
  <si>
    <t>SBI Life Insurance Co Ltd</t>
  </si>
  <si>
    <t>INE123W01016</t>
  </si>
  <si>
    <t>Insurance</t>
  </si>
  <si>
    <t>Max Healthcare Institute Ltd</t>
  </si>
  <si>
    <t>INE027H01010</t>
  </si>
  <si>
    <t>Healthcare Services</t>
  </si>
  <si>
    <t>Uno Minda Ltd</t>
  </si>
  <si>
    <t>INE405E01023</t>
  </si>
  <si>
    <t>Auto Components</t>
  </si>
  <si>
    <t>ZF Commercial Vehicle Control Systems India Ltd</t>
  </si>
  <si>
    <t>INE342J01019</t>
  </si>
  <si>
    <t>Small Cap</t>
  </si>
  <si>
    <t>Abbott India Ltd</t>
  </si>
  <si>
    <t>INE358A01014</t>
  </si>
  <si>
    <t>Pharmaceuticals &amp; Biotechnology</t>
  </si>
  <si>
    <t>PI Industries Ltd</t>
  </si>
  <si>
    <t>INE603J01030</t>
  </si>
  <si>
    <t>Fertilizers &amp; Agrochemicals</t>
  </si>
  <si>
    <t>Schaeffler India Ltd</t>
  </si>
  <si>
    <t>INE513A01022</t>
  </si>
  <si>
    <t>J.B. Chemicals &amp; Pharmaceuticals Ltd</t>
  </si>
  <si>
    <t>INE572A01028</t>
  </si>
  <si>
    <t>Tata Consultancy Services Ltd</t>
  </si>
  <si>
    <t>INE467B01029</t>
  </si>
  <si>
    <t>Titan Co Ltd</t>
  </si>
  <si>
    <t>INE280A01028</t>
  </si>
  <si>
    <t>Consumer Durables</t>
  </si>
  <si>
    <t>Bharat Electronics Ltd</t>
  </si>
  <si>
    <t>INE263A01024</t>
  </si>
  <si>
    <t>Aerospace &amp; Defense</t>
  </si>
  <si>
    <t>Avenue Supermarts Ltd</t>
  </si>
  <si>
    <t>INE192R01011</t>
  </si>
  <si>
    <t>Navin Fluorine International Ltd</t>
  </si>
  <si>
    <t>INE048G01026</t>
  </si>
  <si>
    <t>Chemicals &amp; Petrochemicals</t>
  </si>
  <si>
    <t>TCI Express Ltd</t>
  </si>
  <si>
    <t>INE586V01016</t>
  </si>
  <si>
    <t>Transport Services</t>
  </si>
  <si>
    <t>Westlife Development Ltd</t>
  </si>
  <si>
    <t>INE274F01020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</si>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</sst>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3" fontId="3" fillId="3" borderId="5" xfId="0" applyNumberFormat="1" applyFont="1" applyFill="1" applyBorder="1"/>
    <xf numFmtId="43" fontId="3" fillId="3" borderId="0" xfId="1" applyFont="1" applyFill="1" applyAlignment="1"/>
    <xf numFmtId="0" fontId="3" fillId="3" borderId="0" xfId="0" applyFont="1" applyFill="1" applyAlignment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483770</xdr:colOff>
      <xdr:row>4</xdr:row>
      <xdr:rowOff>28922</xdr:rowOff>
    </xdr:from>
    <xdr:ext cx="1621255" cy="1123603"/>
    <xdr:pic>
      <xdr:nvPicPr>
        <xdr:cNvPr id="2" name="Picture 1">
          <a:extLst>
            <a:ext uri="{FF2B5EF4-FFF2-40B4-BE49-F238E27FC236}">
              <a16:creationId xmlns:a16="http://schemas.microsoft.com/office/drawing/2014/main" id="{28311135-40E5-4822-8E71-BB748DBD0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66595" y="1124297"/>
          <a:ext cx="1621255" cy="1123603"/>
        </a:xfrm>
        <a:prstGeom prst="rect">
          <a:avLst/>
        </a:prstGeom>
      </xdr:spPr>
    </xdr:pic>
    <xdr:clientData/>
  </xdr:oneCellAnchor>
  <xdr:twoCellAnchor editAs="oneCell">
    <xdr:from>
      <xdr:col>10</xdr:col>
      <xdr:colOff>334754</xdr:colOff>
      <xdr:row>4</xdr:row>
      <xdr:rowOff>51949</xdr:rowOff>
    </xdr:from>
    <xdr:to>
      <xdr:col>10</xdr:col>
      <xdr:colOff>1924050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BAB767-9C38-40A5-AE76-725A2578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1104" y="1147324"/>
          <a:ext cx="1589296" cy="1119626"/>
        </a:xfrm>
        <a:prstGeom prst="rect">
          <a:avLst/>
        </a:prstGeom>
      </xdr:spPr>
    </xdr:pic>
    <xdr:clientData/>
  </xdr:twoCellAnchor>
  <xdr:twoCellAnchor editAs="oneCell">
    <xdr:from>
      <xdr:col>9</xdr:col>
      <xdr:colOff>208376</xdr:colOff>
      <xdr:row>4</xdr:row>
      <xdr:rowOff>59155</xdr:rowOff>
    </xdr:from>
    <xdr:to>
      <xdr:col>9</xdr:col>
      <xdr:colOff>1828799</xdr:colOff>
      <xdr:row>11</xdr:row>
      <xdr:rowOff>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C72E92-28DE-4A06-87E1-23DF17450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7801" y="1154530"/>
          <a:ext cx="1620423" cy="1102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5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8.28515625" style="3" bestFit="1" customWidth="1"/>
    <col min="3" max="3" width="13.5703125" style="3" bestFit="1" customWidth="1"/>
    <col min="4" max="4" width="27.85546875" style="3" bestFit="1" customWidth="1"/>
    <col min="5" max="5" width="8.85546875" style="31" bestFit="1" customWidth="1"/>
    <col min="6" max="6" width="15.28515625" style="32" bestFit="1" customWidth="1"/>
    <col min="7" max="7" width="7.42578125" style="32" bestFit="1" customWidth="1"/>
    <col min="8" max="8" width="9.140625" style="3"/>
    <col min="9" max="9" width="10" style="4" bestFit="1" customWidth="1"/>
    <col min="10" max="10" width="31" style="4" bestFit="1" customWidth="1"/>
    <col min="11" max="11" width="34.140625" style="4" bestFit="1" customWidth="1"/>
    <col min="12" max="12" width="39.28515625" style="4" bestFit="1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6.75" thickBot="1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3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7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2"/>
      <c r="J6" s="20"/>
      <c r="K6" s="20"/>
      <c r="L6" s="20"/>
    </row>
    <row r="7" spans="2:12">
      <c r="B7" s="22" t="s">
        <v>14</v>
      </c>
      <c r="C7" s="22" t="s">
        <v>15</v>
      </c>
      <c r="D7" s="22" t="s">
        <v>16</v>
      </c>
      <c r="E7" s="25">
        <v>1825000</v>
      </c>
      <c r="F7" s="24">
        <v>16583.78</v>
      </c>
      <c r="G7" s="24">
        <v>9.4700000000000006</v>
      </c>
      <c r="H7" s="22" t="s">
        <v>17</v>
      </c>
      <c r="J7" s="20"/>
      <c r="K7" s="20"/>
      <c r="L7" s="20"/>
    </row>
    <row r="8" spans="2:12">
      <c r="B8" s="22" t="s">
        <v>18</v>
      </c>
      <c r="C8" s="22" t="s">
        <v>19</v>
      </c>
      <c r="D8" s="22" t="s">
        <v>16</v>
      </c>
      <c r="E8" s="25">
        <v>1012500</v>
      </c>
      <c r="F8" s="24">
        <v>15154.09</v>
      </c>
      <c r="G8" s="24">
        <v>8.65</v>
      </c>
      <c r="H8" s="22" t="s">
        <v>17</v>
      </c>
      <c r="J8" s="20"/>
      <c r="K8" s="20"/>
      <c r="L8" s="20"/>
    </row>
    <row r="9" spans="2:12">
      <c r="B9" s="22" t="s">
        <v>20</v>
      </c>
      <c r="C9" s="22" t="s">
        <v>21</v>
      </c>
      <c r="D9" s="22" t="s">
        <v>22</v>
      </c>
      <c r="E9" s="25">
        <v>817000</v>
      </c>
      <c r="F9" s="24">
        <v>12562.6</v>
      </c>
      <c r="G9" s="24">
        <v>7.17</v>
      </c>
      <c r="H9" s="22" t="s">
        <v>17</v>
      </c>
      <c r="J9" s="20"/>
      <c r="K9" s="20"/>
      <c r="L9" s="20"/>
    </row>
    <row r="10" spans="2:12">
      <c r="B10" s="22" t="s">
        <v>23</v>
      </c>
      <c r="C10" s="22" t="s">
        <v>24</v>
      </c>
      <c r="D10" s="22" t="s">
        <v>16</v>
      </c>
      <c r="E10" s="25">
        <v>905000</v>
      </c>
      <c r="F10" s="24">
        <v>8199.2999999999993</v>
      </c>
      <c r="G10" s="24">
        <v>4.68</v>
      </c>
      <c r="H10" s="22" t="s">
        <v>17</v>
      </c>
      <c r="J10" s="20"/>
      <c r="K10" s="20"/>
      <c r="L10" s="20"/>
    </row>
    <row r="11" spans="2:12">
      <c r="B11" s="22" t="s">
        <v>25</v>
      </c>
      <c r="C11" s="22" t="s">
        <v>26</v>
      </c>
      <c r="D11" s="22" t="s">
        <v>16</v>
      </c>
      <c r="E11" s="25">
        <v>1360000</v>
      </c>
      <c r="F11" s="24">
        <v>7803.68</v>
      </c>
      <c r="G11" s="24">
        <v>4.45</v>
      </c>
      <c r="H11" s="22" t="s">
        <v>17</v>
      </c>
      <c r="J11" s="20"/>
      <c r="K11" s="20"/>
      <c r="L11" s="20"/>
    </row>
    <row r="12" spans="2:12">
      <c r="B12" s="22" t="s">
        <v>27</v>
      </c>
      <c r="C12" s="22" t="s">
        <v>28</v>
      </c>
      <c r="D12" s="22" t="s">
        <v>29</v>
      </c>
      <c r="E12" s="25">
        <v>81500</v>
      </c>
      <c r="F12" s="24">
        <v>7764.99</v>
      </c>
      <c r="G12" s="24">
        <v>4.43</v>
      </c>
      <c r="H12" s="22" t="s">
        <v>17</v>
      </c>
      <c r="J12" s="20"/>
      <c r="K12" s="20"/>
      <c r="L12" s="20"/>
    </row>
    <row r="13" spans="2:12">
      <c r="B13" s="22" t="s">
        <v>30</v>
      </c>
      <c r="C13" s="22" t="s">
        <v>31</v>
      </c>
      <c r="D13" s="22" t="s">
        <v>32</v>
      </c>
      <c r="E13" s="25">
        <v>930000</v>
      </c>
      <c r="F13" s="24">
        <v>7737.6</v>
      </c>
      <c r="G13" s="24">
        <v>4.42</v>
      </c>
      <c r="H13" s="22" t="s">
        <v>17</v>
      </c>
      <c r="J13" s="26"/>
      <c r="K13" s="26" t="s">
        <v>33</v>
      </c>
      <c r="L13" s="27"/>
    </row>
    <row r="14" spans="2:12">
      <c r="B14" s="22" t="s">
        <v>34</v>
      </c>
      <c r="C14" s="22" t="s">
        <v>35</v>
      </c>
      <c r="D14" s="22" t="s">
        <v>36</v>
      </c>
      <c r="E14" s="25">
        <v>277000</v>
      </c>
      <c r="F14" s="24">
        <v>7065.44</v>
      </c>
      <c r="G14" s="24">
        <v>4.03</v>
      </c>
      <c r="H14" s="22" t="s">
        <v>17</v>
      </c>
    </row>
    <row r="15" spans="2:12">
      <c r="B15" s="22" t="s">
        <v>37</v>
      </c>
      <c r="C15" s="22" t="s">
        <v>38</v>
      </c>
      <c r="D15" s="22" t="s">
        <v>39</v>
      </c>
      <c r="E15" s="25">
        <v>275000</v>
      </c>
      <c r="F15" s="24">
        <v>7011.4</v>
      </c>
      <c r="G15" s="24">
        <v>4</v>
      </c>
      <c r="H15" s="22" t="s">
        <v>17</v>
      </c>
    </row>
    <row r="16" spans="2:12">
      <c r="B16" s="22" t="s">
        <v>40</v>
      </c>
      <c r="C16" s="22" t="s">
        <v>41</v>
      </c>
      <c r="D16" s="22" t="s">
        <v>42</v>
      </c>
      <c r="E16" s="25">
        <v>345500</v>
      </c>
      <c r="F16" s="24">
        <v>6989.81</v>
      </c>
      <c r="G16" s="24">
        <v>3.99</v>
      </c>
      <c r="H16" s="22" t="s">
        <v>17</v>
      </c>
    </row>
    <row r="17" spans="2:8">
      <c r="B17" s="22" t="s">
        <v>43</v>
      </c>
      <c r="C17" s="22" t="s">
        <v>44</v>
      </c>
      <c r="D17" s="22" t="s">
        <v>45</v>
      </c>
      <c r="E17" s="25">
        <v>93000</v>
      </c>
      <c r="F17" s="24">
        <v>6644.01</v>
      </c>
      <c r="G17" s="24">
        <v>3.79</v>
      </c>
      <c r="H17" s="22" t="s">
        <v>17</v>
      </c>
    </row>
    <row r="18" spans="2:8">
      <c r="B18" s="22" t="s">
        <v>46</v>
      </c>
      <c r="C18" s="22" t="s">
        <v>47</v>
      </c>
      <c r="D18" s="22" t="s">
        <v>48</v>
      </c>
      <c r="E18" s="25">
        <v>1850000</v>
      </c>
      <c r="F18" s="24">
        <v>6175.3</v>
      </c>
      <c r="G18" s="24">
        <v>3.52</v>
      </c>
      <c r="H18" s="22" t="s">
        <v>49</v>
      </c>
    </row>
    <row r="19" spans="2:8">
      <c r="B19" s="22" t="s">
        <v>50</v>
      </c>
      <c r="C19" s="22" t="s">
        <v>51</v>
      </c>
      <c r="D19" s="22" t="s">
        <v>52</v>
      </c>
      <c r="E19" s="25">
        <v>390000</v>
      </c>
      <c r="F19" s="24">
        <v>5958.81</v>
      </c>
      <c r="G19" s="24">
        <v>3.4</v>
      </c>
      <c r="H19" s="22" t="s">
        <v>49</v>
      </c>
    </row>
    <row r="20" spans="2:8">
      <c r="B20" s="22" t="s">
        <v>53</v>
      </c>
      <c r="C20" s="22" t="s">
        <v>54</v>
      </c>
      <c r="D20" s="22" t="s">
        <v>55</v>
      </c>
      <c r="E20" s="25">
        <v>83000</v>
      </c>
      <c r="F20" s="24">
        <v>5573.41</v>
      </c>
      <c r="G20" s="24">
        <v>3.18</v>
      </c>
      <c r="H20" s="22" t="s">
        <v>17</v>
      </c>
    </row>
    <row r="21" spans="2:8">
      <c r="B21" s="22" t="s">
        <v>56</v>
      </c>
      <c r="C21" s="22" t="s">
        <v>57</v>
      </c>
      <c r="D21" s="22" t="s">
        <v>58</v>
      </c>
      <c r="E21" s="25">
        <v>405000</v>
      </c>
      <c r="F21" s="24">
        <v>5127.1000000000004</v>
      </c>
      <c r="G21" s="24">
        <v>2.93</v>
      </c>
      <c r="H21" s="22" t="s">
        <v>17</v>
      </c>
    </row>
    <row r="22" spans="2:8">
      <c r="B22" s="22" t="s">
        <v>59</v>
      </c>
      <c r="C22" s="22" t="s">
        <v>60</v>
      </c>
      <c r="D22" s="22" t="s">
        <v>61</v>
      </c>
      <c r="E22" s="25">
        <v>1115373</v>
      </c>
      <c r="F22" s="24">
        <v>5089.45</v>
      </c>
      <c r="G22" s="24">
        <v>2.91</v>
      </c>
      <c r="H22" s="22" t="s">
        <v>49</v>
      </c>
    </row>
    <row r="23" spans="2:8">
      <c r="B23" s="22" t="s">
        <v>62</v>
      </c>
      <c r="C23" s="22" t="s">
        <v>63</v>
      </c>
      <c r="D23" s="22" t="s">
        <v>64</v>
      </c>
      <c r="E23" s="25">
        <v>806418</v>
      </c>
      <c r="F23" s="24">
        <v>4328.05</v>
      </c>
      <c r="G23" s="24">
        <v>2.4700000000000002</v>
      </c>
      <c r="H23" s="22" t="s">
        <v>49</v>
      </c>
    </row>
    <row r="24" spans="2:8">
      <c r="B24" s="22" t="s">
        <v>65</v>
      </c>
      <c r="C24" s="22" t="s">
        <v>66</v>
      </c>
      <c r="D24" s="22" t="s">
        <v>64</v>
      </c>
      <c r="E24" s="25">
        <v>42066</v>
      </c>
      <c r="F24" s="24">
        <v>4302.8</v>
      </c>
      <c r="G24" s="24">
        <v>2.46</v>
      </c>
      <c r="H24" s="22" t="s">
        <v>67</v>
      </c>
    </row>
    <row r="25" spans="2:8">
      <c r="B25" s="22" t="s">
        <v>68</v>
      </c>
      <c r="C25" s="22" t="s">
        <v>69</v>
      </c>
      <c r="D25" s="22" t="s">
        <v>70</v>
      </c>
      <c r="E25" s="25">
        <v>18500</v>
      </c>
      <c r="F25" s="24">
        <v>3560.69</v>
      </c>
      <c r="G25" s="24">
        <v>2.0299999999999998</v>
      </c>
      <c r="H25" s="22" t="s">
        <v>49</v>
      </c>
    </row>
    <row r="26" spans="2:8">
      <c r="B26" s="22" t="s">
        <v>71</v>
      </c>
      <c r="C26" s="22" t="s">
        <v>72</v>
      </c>
      <c r="D26" s="22" t="s">
        <v>73</v>
      </c>
      <c r="E26" s="25">
        <v>105000</v>
      </c>
      <c r="F26" s="24">
        <v>3404.05</v>
      </c>
      <c r="G26" s="24">
        <v>1.94</v>
      </c>
      <c r="H26" s="22" t="s">
        <v>49</v>
      </c>
    </row>
    <row r="27" spans="2:8">
      <c r="B27" s="22" t="s">
        <v>74</v>
      </c>
      <c r="C27" s="22" t="s">
        <v>75</v>
      </c>
      <c r="D27" s="22" t="s">
        <v>64</v>
      </c>
      <c r="E27" s="25">
        <v>100835</v>
      </c>
      <c r="F27" s="24">
        <v>2777.6</v>
      </c>
      <c r="G27" s="24">
        <v>1.59</v>
      </c>
      <c r="H27" s="22" t="s">
        <v>49</v>
      </c>
    </row>
    <row r="28" spans="2:8">
      <c r="B28" s="22" t="s">
        <v>76</v>
      </c>
      <c r="C28" s="22" t="s">
        <v>77</v>
      </c>
      <c r="D28" s="22" t="s">
        <v>70</v>
      </c>
      <c r="E28" s="25">
        <v>139000</v>
      </c>
      <c r="F28" s="24">
        <v>2743.17</v>
      </c>
      <c r="G28" s="24">
        <v>1.57</v>
      </c>
      <c r="H28" s="22" t="s">
        <v>67</v>
      </c>
    </row>
    <row r="29" spans="2:8">
      <c r="B29" s="22" t="s">
        <v>78</v>
      </c>
      <c r="C29" s="22" t="s">
        <v>79</v>
      </c>
      <c r="D29" s="22" t="s">
        <v>22</v>
      </c>
      <c r="E29" s="25">
        <v>85444</v>
      </c>
      <c r="F29" s="24">
        <v>2728.36</v>
      </c>
      <c r="G29" s="24">
        <v>1.56</v>
      </c>
      <c r="H29" s="22" t="s">
        <v>17</v>
      </c>
    </row>
    <row r="30" spans="2:8">
      <c r="B30" s="22" t="s">
        <v>80</v>
      </c>
      <c r="C30" s="22" t="s">
        <v>81</v>
      </c>
      <c r="D30" s="22" t="s">
        <v>82</v>
      </c>
      <c r="E30" s="25">
        <v>97000</v>
      </c>
      <c r="F30" s="24">
        <v>2678.66</v>
      </c>
      <c r="G30" s="24">
        <v>1.53</v>
      </c>
      <c r="H30" s="22" t="s">
        <v>17</v>
      </c>
    </row>
    <row r="31" spans="2:8">
      <c r="B31" s="22" t="s">
        <v>83</v>
      </c>
      <c r="C31" s="22" t="s">
        <v>84</v>
      </c>
      <c r="D31" s="22" t="s">
        <v>85</v>
      </c>
      <c r="E31" s="25">
        <v>2500000</v>
      </c>
      <c r="F31" s="24">
        <v>2671.25</v>
      </c>
      <c r="G31" s="24">
        <v>1.52</v>
      </c>
      <c r="H31" s="22" t="s">
        <v>17</v>
      </c>
    </row>
    <row r="32" spans="2:8">
      <c r="B32" s="22" t="s">
        <v>86</v>
      </c>
      <c r="C32" s="22" t="s">
        <v>87</v>
      </c>
      <c r="D32" s="22" t="s">
        <v>52</v>
      </c>
      <c r="E32" s="25">
        <v>60200</v>
      </c>
      <c r="F32" s="24">
        <v>2601.1799999999998</v>
      </c>
      <c r="G32" s="24">
        <v>1.48</v>
      </c>
      <c r="H32" s="22" t="s">
        <v>17</v>
      </c>
    </row>
    <row r="33" spans="2:8">
      <c r="B33" s="22" t="s">
        <v>88</v>
      </c>
      <c r="C33" s="22" t="s">
        <v>89</v>
      </c>
      <c r="D33" s="22" t="s">
        <v>90</v>
      </c>
      <c r="E33" s="25">
        <v>52469</v>
      </c>
      <c r="F33" s="24">
        <v>2388.2600000000002</v>
      </c>
      <c r="G33" s="24">
        <v>1.36</v>
      </c>
      <c r="H33" s="22" t="s">
        <v>49</v>
      </c>
    </row>
    <row r="34" spans="2:8">
      <c r="B34" s="22" t="s">
        <v>91</v>
      </c>
      <c r="C34" s="22" t="s">
        <v>92</v>
      </c>
      <c r="D34" s="22" t="s">
        <v>93</v>
      </c>
      <c r="E34" s="25">
        <v>92057</v>
      </c>
      <c r="F34" s="24">
        <v>1742.64</v>
      </c>
      <c r="G34" s="24">
        <v>0.99</v>
      </c>
      <c r="H34" s="22" t="s">
        <v>67</v>
      </c>
    </row>
    <row r="35" spans="2:8">
      <c r="B35" s="22" t="s">
        <v>94</v>
      </c>
      <c r="C35" s="22" t="s">
        <v>95</v>
      </c>
      <c r="D35" s="22" t="s">
        <v>48</v>
      </c>
      <c r="E35" s="25">
        <v>105000</v>
      </c>
      <c r="F35" s="24">
        <v>785.19</v>
      </c>
      <c r="G35" s="24">
        <v>0.45</v>
      </c>
      <c r="H35" s="22" t="s">
        <v>67</v>
      </c>
    </row>
    <row r="36" spans="2:8">
      <c r="B36" s="21" t="s">
        <v>96</v>
      </c>
      <c r="C36" s="21"/>
      <c r="D36" s="21"/>
      <c r="E36" s="28"/>
      <c r="F36" s="29">
        <f>SUM(F7:F35)</f>
        <v>168152.67</v>
      </c>
      <c r="G36" s="29">
        <f>SUM(G7:G35)</f>
        <v>95.970000000000013</v>
      </c>
      <c r="H36" s="22"/>
    </row>
    <row r="37" spans="2:8">
      <c r="B37" s="21" t="s">
        <v>97</v>
      </c>
      <c r="C37" s="21"/>
      <c r="D37" s="21"/>
      <c r="E37" s="28"/>
      <c r="F37" s="29">
        <f>F36</f>
        <v>168152.67</v>
      </c>
      <c r="G37" s="29">
        <f>G36</f>
        <v>95.970000000000013</v>
      </c>
      <c r="H37" s="22"/>
    </row>
    <row r="38" spans="2:8">
      <c r="B38" s="21" t="s">
        <v>98</v>
      </c>
      <c r="C38" s="22"/>
      <c r="D38" s="22"/>
      <c r="E38" s="23"/>
      <c r="F38" s="24"/>
      <c r="G38" s="24"/>
      <c r="H38" s="22"/>
    </row>
    <row r="39" spans="2:8">
      <c r="B39" s="22" t="s">
        <v>98</v>
      </c>
      <c r="C39" s="22"/>
      <c r="D39" s="22"/>
      <c r="E39" s="23"/>
      <c r="F39" s="24">
        <v>7262.66</v>
      </c>
      <c r="G39" s="24">
        <v>4.1500000000000004</v>
      </c>
      <c r="H39" s="22"/>
    </row>
    <row r="40" spans="2:8">
      <c r="B40" s="21" t="s">
        <v>96</v>
      </c>
      <c r="C40" s="21"/>
      <c r="D40" s="21"/>
      <c r="E40" s="28"/>
      <c r="F40" s="29">
        <f>SUM(F38:F39)</f>
        <v>7262.66</v>
      </c>
      <c r="G40" s="29">
        <f>SUM(G38:G39)</f>
        <v>4.1500000000000004</v>
      </c>
      <c r="H40" s="22"/>
    </row>
    <row r="41" spans="2:8">
      <c r="B41" s="21" t="s">
        <v>97</v>
      </c>
      <c r="C41" s="21"/>
      <c r="D41" s="21"/>
      <c r="E41" s="28"/>
      <c r="F41" s="29">
        <f>F40</f>
        <v>7262.66</v>
      </c>
      <c r="G41" s="29">
        <f>G40</f>
        <v>4.1500000000000004</v>
      </c>
      <c r="H41" s="22"/>
    </row>
    <row r="42" spans="2:8">
      <c r="B42" s="21" t="s">
        <v>99</v>
      </c>
      <c r="C42" s="21"/>
      <c r="D42" s="21"/>
      <c r="E42" s="28"/>
      <c r="F42" s="29">
        <f>F43-(+F37+F41)</f>
        <v>-226.52000000001863</v>
      </c>
      <c r="G42" s="29">
        <f>G43-(+G37+G41)</f>
        <v>-0.12000000000001876</v>
      </c>
      <c r="H42" s="22"/>
    </row>
    <row r="43" spans="2:8">
      <c r="B43" s="21" t="s">
        <v>100</v>
      </c>
      <c r="C43" s="21"/>
      <c r="D43" s="21"/>
      <c r="E43" s="28"/>
      <c r="F43" s="29">
        <v>175188.81</v>
      </c>
      <c r="G43" s="29">
        <v>100</v>
      </c>
      <c r="H43" s="22"/>
    </row>
    <row r="45" spans="2:8">
      <c r="B45" s="30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2022-11-07 15:35:53</KDate>
  <Classification>Public</Classification>
  <Subclassification/>
  <HostName>MUMCMP00935</HostName>
  <Domain_User>CANARAROBECOMF/628</Domain_User>
  <IPAdd>192.9.198.194</IPAdd>
  <FilePath>Book8</FilePath>
  <KID>C025A5607E97638034321537996669</KID>
  <UniqueName/>
  <Suggested/>
  <Justification/>
</Klassify>
</file>

<file path=customXml/itemProps1.xml><?xml version="1.0" encoding="utf-8"?>
<ds:datastoreItem xmlns:ds="http://schemas.openxmlformats.org/officeDocument/2006/customXml" ds:itemID="{0AB4E18B-6555-40C5-8B5B-5E208EAD7B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2022-11-07T10:05:46Z</dcterms:created>
  <dcterms:modified xsi:type="dcterms:W3CDTF">2022-11-07T10:05:54Z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C025A5607E97638034321537996669</vt:lpwstr>
  </property>
</Properties>
</file>