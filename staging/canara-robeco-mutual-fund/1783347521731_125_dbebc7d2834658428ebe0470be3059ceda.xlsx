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November 2022\"/>
    </mc:Choice>
  </mc:AlternateContent>
  <bookViews>
    <workbookView xWindow="0" yWindow="0" windowWidth="20490" windowHeight="7620"/>
  </bookViews>
  <sheets>
    <sheet name="DB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" i="1" l="1"/>
  <c r="F18" i="1"/>
  <c r="G17" i="1"/>
  <c r="F17" i="1"/>
  <c r="G14" i="1"/>
  <c r="G19" i="1" s="1"/>
  <c r="F14" i="1"/>
  <c r="F19" i="1" s="1"/>
</calcChain>
</file>

<file path=xl/sharedStrings.xml><?xml version="1.0" encoding="utf-8"?>
<sst xmlns="http://schemas.openxmlformats.org/spreadsheetml/2006/main" count="56" uniqueCount="47">
  <si>
    <t>CANARA ROBECO DYNAMIC BOND FUND</t>
  </si>
  <si>
    <t>Monthly Portfolio Statement as on November 30,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</si>
  <si>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</si>
  <si>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</si>
  <si>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</si>
  <si>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</si>
  <si>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</si>
  <si>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</si>
  <si>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</si>
  <si>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Nov'22</t>
  </si>
  <si>
    <t>Benchmark Risk-o-meter Level- Nov'22</t>
  </si>
  <si>
    <t>Previous Scheme Risk-o-meter Level- Oct'22</t>
  </si>
  <si>
    <t>Potential Risk Class (PRC) Matrix</t>
  </si>
  <si>
    <t>Government Bonds</t>
  </si>
  <si>
    <t>Credit Risk →</t>
  </si>
  <si>
    <t>Relatively Low (Class A)</t>
  </si>
  <si>
    <t>Moderate (Class B)</t>
  </si>
  <si>
    <t>Relatively High (Class C)</t>
  </si>
  <si>
    <t>7.38% GOI 20-JUN-27</t>
  </si>
  <si>
    <t>IN0020220037</t>
  </si>
  <si>
    <t>Sovereign</t>
  </si>
  <si>
    <t>Interest Rate Risk ↓</t>
  </si>
  <si>
    <t>7.54% GOI 23-MAY-36</t>
  </si>
  <si>
    <t>IN0020220029</t>
  </si>
  <si>
    <t>Relatively Low (Class I)</t>
  </si>
  <si>
    <t>7.26% GOI 22-AUG-32</t>
  </si>
  <si>
    <t>IN0020220060</t>
  </si>
  <si>
    <t>5.74% INDIA GOVERNMENT 15-NOV-26</t>
  </si>
  <si>
    <t>IN0020210186</t>
  </si>
  <si>
    <t>Moderate 
(Class II)</t>
  </si>
  <si>
    <t>7.59% INDIA GOVERNMENT 11-JAN-26</t>
  </si>
  <si>
    <t>IN0020150093</t>
  </si>
  <si>
    <t>7.27% INDIA GOVERNMENT 08-APR-26</t>
  </si>
  <si>
    <t>IN0020190016</t>
  </si>
  <si>
    <t>Relatively High (Class III)</t>
  </si>
  <si>
    <t>B-III</t>
  </si>
  <si>
    <t>5.63% INDIA GOVERNMENT 12-APR-26</t>
  </si>
  <si>
    <t>IN0020210012</t>
  </si>
  <si>
    <t>6.68% INDIA GOVERNMENT 17-SEP-31</t>
  </si>
  <si>
    <t>IN0020170042</t>
  </si>
  <si>
    <t>Benchmark: CRISIL Dynamic Bond Fund B-III Index</t>
  </si>
  <si>
    <t>Total</t>
  </si>
  <si>
    <t>TREPS</t>
  </si>
  <si>
    <t>Note: The risk-o-meter level of  scheme is revised based on the Notice-cum-Addendum No.41., dated 05/12/2022.. However, there is no change in the product labelling of the schemes.</t>
  </si>
  <si>
    <t>Sub Total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</si>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</sst>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i/>
      <sz val="10"/>
      <color theme="1"/>
      <name val="Taz SemiLight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3" fillId="3" borderId="11" xfId="0" applyFont="1" applyFill="1" applyBorder="1"/>
    <xf numFmtId="3" fontId="3" fillId="3" borderId="11" xfId="0" applyNumberFormat="1" applyFont="1" applyFill="1" applyBorder="1"/>
    <xf numFmtId="4" fontId="3" fillId="3" borderId="11" xfId="0" applyNumberFormat="1" applyFont="1" applyFill="1" applyBorder="1"/>
    <xf numFmtId="43" fontId="3" fillId="3" borderId="12" xfId="1" applyFont="1" applyFill="1" applyBorder="1" applyAlignment="1">
      <alignment horizontal="center"/>
    </xf>
    <xf numFmtId="0" fontId="9" fillId="0" borderId="5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center" wrapText="1"/>
    </xf>
    <xf numFmtId="0" fontId="9" fillId="0" borderId="10" xfId="0" applyFont="1" applyBorder="1" applyAlignment="1">
      <alignment horizontal="left" wrapText="1"/>
    </xf>
    <xf numFmtId="0" fontId="3" fillId="0" borderId="10" xfId="0" applyFont="1" applyBorder="1" applyAlignment="1">
      <alignment horizontal="center"/>
    </xf>
    <xf numFmtId="0" fontId="9" fillId="0" borderId="13" xfId="0" applyFont="1" applyBorder="1" applyAlignment="1">
      <alignment horizontal="left" wrapText="1"/>
    </xf>
    <xf numFmtId="0" fontId="3" fillId="0" borderId="13" xfId="0" applyFont="1" applyBorder="1" applyAlignment="1">
      <alignment horizontal="center"/>
    </xf>
    <xf numFmtId="0" fontId="9" fillId="4" borderId="10" xfId="0" applyFont="1" applyFill="1" applyBorder="1" applyAlignment="1">
      <alignment horizontal="center" vertical="center"/>
    </xf>
    <xf numFmtId="43" fontId="3" fillId="3" borderId="13" xfId="1" applyFont="1" applyFill="1" applyBorder="1" applyAlignment="1">
      <alignment horizontal="center"/>
    </xf>
    <xf numFmtId="0" fontId="9" fillId="4" borderId="13" xfId="0" applyFont="1" applyFill="1" applyBorder="1" applyAlignment="1">
      <alignment horizontal="center" vertical="center"/>
    </xf>
    <xf numFmtId="0" fontId="3" fillId="3" borderId="14" xfId="0" applyFont="1" applyFill="1" applyBorder="1"/>
    <xf numFmtId="3" fontId="3" fillId="3" borderId="14" xfId="0" applyNumberFormat="1" applyFont="1" applyFill="1" applyBorder="1"/>
    <xf numFmtId="4" fontId="3" fillId="3" borderId="14" xfId="0" applyNumberFormat="1" applyFont="1" applyFill="1" applyBorder="1"/>
    <xf numFmtId="43" fontId="3" fillId="3" borderId="0" xfId="1" applyFont="1" applyFill="1" applyAlignment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0" xfId="0" applyFont="1" applyFill="1"/>
    <xf numFmtId="0" fontId="9" fillId="3" borderId="11" xfId="0" applyFont="1" applyFill="1" applyBorder="1"/>
    <xf numFmtId="0" fontId="3" fillId="3" borderId="11" xfId="0" applyNumberFormat="1" applyFont="1" applyFill="1" applyBorder="1"/>
    <xf numFmtId="0" fontId="10" fillId="5" borderId="0" xfId="0" applyFont="1" applyFill="1" applyAlignment="1">
      <alignment horizontal="left" wrapText="1"/>
    </xf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7" xfId="0" applyNumberFormat="1" applyFont="1" applyFill="1" applyBorder="1"/>
    <xf numFmtId="4" fontId="9" fillId="3" borderId="16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48745</xdr:colOff>
      <xdr:row>4</xdr:row>
      <xdr:rowOff>56030</xdr:rowOff>
    </xdr:from>
    <xdr:ext cx="2244579" cy="1602440"/>
    <xdr:pic>
      <xdr:nvPicPr>
        <xdr:cNvPr id="2" name="Picture 1">
          <a:extLst>
            <a:ext uri="{FF2B5EF4-FFF2-40B4-BE49-F238E27FC236}">
              <a16:creationId xmlns:a16="http://schemas.microsoft.com/office/drawing/2014/main" id="{1156E1F5-1F61-48B2-B03E-BFD2E346B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97845" y="1065680"/>
          <a:ext cx="2244579" cy="1602440"/>
        </a:xfrm>
        <a:prstGeom prst="rect">
          <a:avLst/>
        </a:prstGeom>
      </xdr:spPr>
    </xdr:pic>
    <xdr:clientData/>
  </xdr:oneCellAnchor>
  <xdr:oneCellAnchor>
    <xdr:from>
      <xdr:col>11</xdr:col>
      <xdr:colOff>166969</xdr:colOff>
      <xdr:row>4</xdr:row>
      <xdr:rowOff>152399</xdr:rowOff>
    </xdr:from>
    <xdr:ext cx="1942311" cy="1450041"/>
    <xdr:pic>
      <xdr:nvPicPr>
        <xdr:cNvPr id="3" name="Picture 2">
          <a:extLst>
            <a:ext uri="{FF2B5EF4-FFF2-40B4-BE49-F238E27FC236}">
              <a16:creationId xmlns:a16="http://schemas.microsoft.com/office/drawing/2014/main" id="{B681820A-F105-4B8A-859F-66A507250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49694" y="1162049"/>
          <a:ext cx="1942311" cy="1450041"/>
        </a:xfrm>
        <a:prstGeom prst="rect">
          <a:avLst/>
        </a:prstGeom>
      </xdr:spPr>
    </xdr:pic>
    <xdr:clientData/>
  </xdr:oneCellAnchor>
  <xdr:oneCellAnchor>
    <xdr:from>
      <xdr:col>9</xdr:col>
      <xdr:colOff>31376</xdr:colOff>
      <xdr:row>4</xdr:row>
      <xdr:rowOff>6016</xdr:rowOff>
    </xdr:from>
    <xdr:ext cx="2142564" cy="1627710"/>
    <xdr:pic>
      <xdr:nvPicPr>
        <xdr:cNvPr id="4" name="Picture 3">
          <a:extLst>
            <a:ext uri="{FF2B5EF4-FFF2-40B4-BE49-F238E27FC236}">
              <a16:creationId xmlns:a16="http://schemas.microsoft.com/office/drawing/2014/main" id="{1541A6BD-AFE6-440A-AC22-864488F0C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51626" y="1015666"/>
          <a:ext cx="2142564" cy="162771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2"/>
  <sheetViews>
    <sheetView tabSelected="1" topLeftCell="H1" zoomScaleNormal="100" workbookViewId="0">
      <selection activeCell="K19" sqref="K19"/>
    </sheetView>
  </sheetViews>
  <sheetFormatPr defaultRowHeight="12"/>
  <cols>
    <col min="1" max="1" width="9.140625" style="3"/>
    <col min="2" max="2" width="61" style="3" bestFit="1" customWidth="1"/>
    <col min="3" max="3" width="12.7109375" style="3" bestFit="1" customWidth="1"/>
    <col min="4" max="4" width="14.140625" style="3" bestFit="1" customWidth="1"/>
    <col min="5" max="5" width="8.85546875" style="61" bestFit="1" customWidth="1"/>
    <col min="6" max="6" width="15.28515625" style="10" bestFit="1" customWidth="1"/>
    <col min="7" max="7" width="7.42578125" style="10" bestFit="1" customWidth="1"/>
    <col min="8" max="8" width="6.5703125" style="10" bestFit="1" customWidth="1"/>
    <col min="9" max="9" width="9.140625" style="3"/>
    <col min="10" max="10" width="33.42578125" style="4" customWidth="1"/>
    <col min="11" max="11" width="35" style="4" customWidth="1"/>
    <col min="12" max="12" width="34.140625" style="4" customWidth="1"/>
    <col min="13" max="13" width="4.7109375" style="4" customWidth="1"/>
    <col min="14" max="16384" width="9.14062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5" t="s">
        <v>1</v>
      </c>
      <c r="C3" s="6"/>
      <c r="D3" s="7"/>
      <c r="E3" s="8"/>
      <c r="F3" s="9"/>
      <c r="G3" s="9"/>
    </row>
    <row r="4" spans="2:17" ht="30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5" t="s">
        <v>7</v>
      </c>
      <c r="H4" s="15" t="s">
        <v>8</v>
      </c>
      <c r="J4" s="16" t="s">
        <v>9</v>
      </c>
      <c r="K4" s="16" t="s">
        <v>10</v>
      </c>
      <c r="L4" s="16" t="s">
        <v>11</v>
      </c>
      <c r="N4" s="17" t="s">
        <v>12</v>
      </c>
      <c r="O4" s="18"/>
      <c r="P4" s="18"/>
      <c r="Q4" s="19"/>
    </row>
    <row r="5" spans="2:17" ht="24">
      <c r="B5" s="20" t="s">
        <v>13</v>
      </c>
      <c r="C5" s="21"/>
      <c r="D5" s="21"/>
      <c r="E5" s="22"/>
      <c r="F5" s="23"/>
      <c r="G5" s="23"/>
      <c r="H5" s="23"/>
      <c r="J5" s="24"/>
      <c r="K5" s="24"/>
      <c r="L5" s="24"/>
      <c r="N5" s="25" t="s">
        <v>14</v>
      </c>
      <c r="O5" s="26" t="s">
        <v>15</v>
      </c>
      <c r="P5" s="26" t="s">
        <v>16</v>
      </c>
      <c r="Q5" s="26" t="s">
        <v>17</v>
      </c>
    </row>
    <row r="6" spans="2:17" ht="36">
      <c r="B6" s="27" t="s">
        <v>18</v>
      </c>
      <c r="C6" s="27" t="s">
        <v>19</v>
      </c>
      <c r="D6" s="27" t="s">
        <v>20</v>
      </c>
      <c r="E6" s="28">
        <v>2500000</v>
      </c>
      <c r="F6" s="29">
        <v>2522.9899999999998</v>
      </c>
      <c r="G6" s="29">
        <v>21.5</v>
      </c>
      <c r="H6" s="29">
        <v>7.14</v>
      </c>
      <c r="J6" s="30"/>
      <c r="K6" s="30"/>
      <c r="L6" s="30"/>
      <c r="N6" s="31" t="s">
        <v>21</v>
      </c>
      <c r="O6" s="32"/>
      <c r="P6" s="32"/>
      <c r="Q6" s="32"/>
    </row>
    <row r="7" spans="2:17">
      <c r="B7" s="27" t="s">
        <v>22</v>
      </c>
      <c r="C7" s="27" t="s">
        <v>23</v>
      </c>
      <c r="D7" s="27" t="s">
        <v>20</v>
      </c>
      <c r="E7" s="28">
        <v>2000000</v>
      </c>
      <c r="F7" s="29">
        <v>2025.36</v>
      </c>
      <c r="G7" s="29">
        <v>17.260000000000002</v>
      </c>
      <c r="H7" s="29">
        <v>7.39</v>
      </c>
      <c r="J7" s="30"/>
      <c r="K7" s="30"/>
      <c r="L7" s="30"/>
      <c r="N7" s="33" t="s">
        <v>24</v>
      </c>
      <c r="O7" s="34"/>
      <c r="P7" s="34"/>
      <c r="Q7" s="34"/>
    </row>
    <row r="8" spans="2:17">
      <c r="B8" s="27" t="s">
        <v>25</v>
      </c>
      <c r="C8" s="27" t="s">
        <v>26</v>
      </c>
      <c r="D8" s="27" t="s">
        <v>20</v>
      </c>
      <c r="E8" s="28">
        <v>2000000</v>
      </c>
      <c r="F8" s="29">
        <v>1996.42</v>
      </c>
      <c r="G8" s="29">
        <v>17.010000000000002</v>
      </c>
      <c r="H8" s="29">
        <v>7.28</v>
      </c>
      <c r="J8" s="30"/>
      <c r="K8" s="30"/>
      <c r="L8" s="30"/>
      <c r="N8" s="35"/>
      <c r="O8" s="36"/>
      <c r="P8" s="36"/>
      <c r="Q8" s="36"/>
    </row>
    <row r="9" spans="2:17">
      <c r="B9" s="27" t="s">
        <v>27</v>
      </c>
      <c r="C9" s="27" t="s">
        <v>28</v>
      </c>
      <c r="D9" s="27" t="s">
        <v>20</v>
      </c>
      <c r="E9" s="28">
        <v>1000000</v>
      </c>
      <c r="F9" s="29">
        <v>953.7</v>
      </c>
      <c r="G9" s="29">
        <v>8.1300000000000008</v>
      </c>
      <c r="H9" s="29">
        <v>7.1</v>
      </c>
      <c r="J9" s="30"/>
      <c r="K9" s="30"/>
      <c r="L9" s="30"/>
      <c r="N9" s="33" t="s">
        <v>29</v>
      </c>
      <c r="O9" s="34"/>
      <c r="P9" s="34"/>
      <c r="Q9" s="34"/>
    </row>
    <row r="10" spans="2:17">
      <c r="B10" s="27" t="s">
        <v>30</v>
      </c>
      <c r="C10" s="27" t="s">
        <v>31</v>
      </c>
      <c r="D10" s="27" t="s">
        <v>20</v>
      </c>
      <c r="E10" s="28">
        <v>500000</v>
      </c>
      <c r="F10" s="29">
        <v>507.38</v>
      </c>
      <c r="G10" s="29">
        <v>4.32</v>
      </c>
      <c r="H10" s="29">
        <v>7.05</v>
      </c>
      <c r="J10" s="30"/>
      <c r="K10" s="30"/>
      <c r="L10" s="30"/>
      <c r="N10" s="35"/>
      <c r="O10" s="36"/>
      <c r="P10" s="36"/>
      <c r="Q10" s="36"/>
    </row>
    <row r="11" spans="2:17">
      <c r="B11" s="27" t="s">
        <v>32</v>
      </c>
      <c r="C11" s="27" t="s">
        <v>33</v>
      </c>
      <c r="D11" s="27" t="s">
        <v>20</v>
      </c>
      <c r="E11" s="28">
        <v>500000</v>
      </c>
      <c r="F11" s="29">
        <v>502.58</v>
      </c>
      <c r="G11" s="29">
        <v>4.28</v>
      </c>
      <c r="H11" s="29">
        <v>7.09</v>
      </c>
      <c r="J11" s="30"/>
      <c r="K11" s="30"/>
      <c r="L11" s="30"/>
      <c r="N11" s="33" t="s">
        <v>34</v>
      </c>
      <c r="O11" s="34"/>
      <c r="P11" s="37" t="s">
        <v>35</v>
      </c>
      <c r="Q11" s="34"/>
    </row>
    <row r="12" spans="2:17">
      <c r="B12" s="27" t="s">
        <v>36</v>
      </c>
      <c r="C12" s="27" t="s">
        <v>37</v>
      </c>
      <c r="D12" s="27" t="s">
        <v>20</v>
      </c>
      <c r="E12" s="28">
        <v>500000</v>
      </c>
      <c r="F12" s="29">
        <v>478.56</v>
      </c>
      <c r="G12" s="29">
        <v>4.08</v>
      </c>
      <c r="H12" s="29">
        <v>7.08</v>
      </c>
      <c r="J12" s="38"/>
      <c r="K12" s="38"/>
      <c r="L12" s="38"/>
      <c r="N12" s="35"/>
      <c r="O12" s="36"/>
      <c r="P12" s="39"/>
      <c r="Q12" s="36"/>
    </row>
    <row r="13" spans="2:17">
      <c r="B13" s="40" t="s">
        <v>38</v>
      </c>
      <c r="C13" s="40" t="s">
        <v>39</v>
      </c>
      <c r="D13" s="40" t="s">
        <v>20</v>
      </c>
      <c r="E13" s="41">
        <v>23200</v>
      </c>
      <c r="F13" s="42">
        <v>22.3</v>
      </c>
      <c r="G13" s="42">
        <v>0.19</v>
      </c>
      <c r="H13" s="42">
        <v>7.28</v>
      </c>
      <c r="K13" s="43" t="s">
        <v>40</v>
      </c>
    </row>
    <row r="14" spans="2:17">
      <c r="B14" s="44" t="s">
        <v>41</v>
      </c>
      <c r="C14" s="44"/>
      <c r="D14" s="44"/>
      <c r="E14" s="45"/>
      <c r="F14" s="46">
        <f>SUM(F6:F13)</f>
        <v>9009.2899999999991</v>
      </c>
      <c r="G14" s="46">
        <f>SUM(G6:G13)</f>
        <v>76.77000000000001</v>
      </c>
      <c r="H14" s="46"/>
      <c r="I14" s="47"/>
    </row>
    <row r="15" spans="2:17">
      <c r="B15" s="48" t="s">
        <v>42</v>
      </c>
      <c r="C15" s="27"/>
      <c r="D15" s="27"/>
      <c r="E15" s="49"/>
      <c r="F15" s="29"/>
      <c r="G15" s="29"/>
      <c r="H15" s="29"/>
      <c r="J15" s="50" t="s">
        <v>43</v>
      </c>
      <c r="K15" s="50"/>
      <c r="L15" s="50"/>
    </row>
    <row r="16" spans="2:17">
      <c r="B16" s="27" t="s">
        <v>42</v>
      </c>
      <c r="C16" s="27"/>
      <c r="D16" s="27"/>
      <c r="E16" s="49"/>
      <c r="F16" s="29">
        <v>2539.5700000000002</v>
      </c>
      <c r="G16" s="29">
        <v>21.64</v>
      </c>
      <c r="H16" s="29"/>
      <c r="J16" s="50"/>
      <c r="K16" s="50"/>
      <c r="L16" s="50"/>
    </row>
    <row r="17" spans="2:12">
      <c r="B17" s="51" t="s">
        <v>44</v>
      </c>
      <c r="C17" s="51"/>
      <c r="D17" s="51"/>
      <c r="E17" s="52"/>
      <c r="F17" s="53">
        <f>SUM(F15:F16)</f>
        <v>2539.5700000000002</v>
      </c>
      <c r="G17" s="53">
        <f>SUM(G15:G16)</f>
        <v>21.64</v>
      </c>
      <c r="H17" s="54"/>
      <c r="I17" s="47"/>
      <c r="J17" s="50"/>
      <c r="K17" s="50"/>
      <c r="L17" s="50"/>
    </row>
    <row r="18" spans="2:12">
      <c r="B18" s="55" t="s">
        <v>41</v>
      </c>
      <c r="C18" s="55"/>
      <c r="D18" s="55"/>
      <c r="E18" s="56"/>
      <c r="F18" s="57">
        <f>F17</f>
        <v>2539.5700000000002</v>
      </c>
      <c r="G18" s="57">
        <f>G17</f>
        <v>21.64</v>
      </c>
      <c r="H18" s="57"/>
      <c r="I18" s="47"/>
    </row>
    <row r="19" spans="2:12">
      <c r="B19" s="58" t="s">
        <v>45</v>
      </c>
      <c r="C19" s="58"/>
      <c r="D19" s="58"/>
      <c r="E19" s="59"/>
      <c r="F19" s="60">
        <f>F20-(+F14+F18)</f>
        <v>187.55000000000109</v>
      </c>
      <c r="G19" s="60">
        <f>G20-(+G14+G18)</f>
        <v>1.5899999999999892</v>
      </c>
      <c r="H19" s="60"/>
      <c r="I19" s="47"/>
    </row>
    <row r="20" spans="2:12">
      <c r="B20" s="58" t="s">
        <v>46</v>
      </c>
      <c r="C20" s="58"/>
      <c r="D20" s="58"/>
      <c r="E20" s="59"/>
      <c r="F20" s="60">
        <v>11736.41</v>
      </c>
      <c r="G20" s="60">
        <v>100</v>
      </c>
      <c r="H20" s="60"/>
      <c r="I20" s="47"/>
    </row>
    <row r="22" spans="2:12">
      <c r="B22" s="47"/>
    </row>
  </sheetData>
  <mergeCells count="21">
    <mergeCell ref="N11:N12"/>
    <mergeCell ref="O11:O12"/>
    <mergeCell ref="P11:P12"/>
    <mergeCell ref="Q11:Q12"/>
    <mergeCell ref="J15:L17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2022-12-06 13:34:26</KDate>
  <Classification>Public</Classification>
  <Subclassification/>
  <HostName>MUMCMP00935</HostName>
  <Domain_User>CANARAROBECOMF/628</Domain_User>
  <IPAdd>192.9.198.194</IPAdd>
  <FilePath>Book11</FilePath>
  <KID>C025A5607E97638059304668335062</KID>
  <UniqueName/>
  <Suggested/>
  <Justification/>
</Klassify>
</file>

<file path=customXml/itemProps1.xml><?xml version="1.0" encoding="utf-8"?>
<ds:datastoreItem xmlns:ds="http://schemas.openxmlformats.org/officeDocument/2006/customXml" ds:itemID="{E6C7D450-F2D9-4730-85D3-6B0CDAC36C3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2022-12-06T08:04:21Z</dcterms:created>
  <dcterms:modified xsi:type="dcterms:W3CDTF">2022-12-06T08:04:27Z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C025A5607E97638059304668335062</vt:lpwstr>
  </property>
</Properties>
</file>