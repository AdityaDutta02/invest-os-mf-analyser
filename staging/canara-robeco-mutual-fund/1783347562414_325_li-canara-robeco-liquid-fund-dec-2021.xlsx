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Dec 21\"/>
    </mc:Choice>
  </mc:AlternateContent>
  <bookViews>
    <workbookView xWindow="0" yWindow="0" windowWidth="20490" windowHeight="7350"/>
  </bookViews>
  <sheets>
    <sheet name="L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1" l="1"/>
  <c r="G43" i="1"/>
  <c r="G44" i="1" s="1"/>
  <c r="F43" i="1"/>
  <c r="G40" i="1"/>
  <c r="F40" i="1"/>
  <c r="G35" i="1"/>
  <c r="F35" i="1"/>
  <c r="G27" i="1"/>
  <c r="F27" i="1"/>
  <c r="G14" i="1"/>
  <c r="G36" i="1" s="1"/>
  <c r="F14" i="1"/>
  <c r="F36" i="1" s="1"/>
  <c r="G8" i="1"/>
  <c r="G9" i="1" s="1"/>
  <c r="F8" i="1"/>
  <c r="F9" i="1" s="1"/>
  <c r="G45" i="1" l="1"/>
  <c r="F45" i="1"/>
</calcChain>
</file>

<file path=xl/sharedStrings.xml><?xml version="1.0" encoding="utf-8"?>
<sst xmlns="http://schemas.openxmlformats.org/spreadsheetml/2006/main" count="111" uniqueCount="88">
  <si>
    <t>CANARA ROBECO LIQUID FUND</t>
  </si>
  <si>
    <t>Monthly Portfolio Statement as on December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</si>
  <si>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</si>
  <si>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</si>
  <si>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</si>
  <si>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</si>
  <si>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</si>
  <si>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</si>
  <si>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</si>
  <si>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Dec'21</t>
  </si>
  <si>
    <t>Benchmark Risk-o-meter Level- Dec'21</t>
  </si>
  <si>
    <t>Previous Scheme Risk-o-meter Level- Nov'21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</si>
  <si>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</si>
  <si>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</si>
  <si>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</si>
  <si>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</si>
  <si>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</si>
  <si>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</si>
  <si>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</si>
  <si>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</si>
  <si>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8.81% Small Industries Development Bank Of India (25/01/2022) **</t>
  </si>
  <si>
    <t>INE556F08JI1</t>
  </si>
  <si>
    <t>CARE AAA</t>
  </si>
  <si>
    <t>Relatively Low (Class I)</t>
  </si>
  <si>
    <t>A-I</t>
  </si>
  <si>
    <t>Sub Total</t>
  </si>
  <si>
    <t>Total</t>
  </si>
  <si>
    <t>Moderate 
(Class II)</t>
  </si>
  <si>
    <t>Money Market Instruments</t>
  </si>
  <si>
    <t>Certificate of Deposit</t>
  </si>
  <si>
    <t>Relatively High (Class III)</t>
  </si>
  <si>
    <t>Axis Bank Ltd (28/01/2022) #</t>
  </si>
  <si>
    <t>INE238A163W6</t>
  </si>
  <si>
    <t>CRISIL A1+</t>
  </si>
  <si>
    <t>National Bank For Agriculture &amp; Rural Development (08/02/2022) ** #</t>
  </si>
  <si>
    <t>INE261F16587</t>
  </si>
  <si>
    <t>IND A1+</t>
  </si>
  <si>
    <t>Benchmark: CRISIL Liquid Fund Index</t>
  </si>
  <si>
    <t>Commercial Paper</t>
  </si>
  <si>
    <t xml:space="preserve">Reliance Jio Infocomm Ltd (13/01/2022) ** </t>
  </si>
  <si>
    <t>INE110L14PV3</t>
  </si>
  <si>
    <t>CARE A1+</t>
  </si>
  <si>
    <t xml:space="preserve">REC Ltd (15/02/2022) ** </t>
  </si>
  <si>
    <t>INE020B14656</t>
  </si>
  <si>
    <t xml:space="preserve">Indian Oil Corporation Ltd (10/01/2022) ** </t>
  </si>
  <si>
    <t>INE242A14VO0</t>
  </si>
  <si>
    <t>ICRA A1+</t>
  </si>
  <si>
    <t xml:space="preserve">Reliance Industries Ltd (28/02/2022) ** </t>
  </si>
  <si>
    <t>INE002A14JE4</t>
  </si>
  <si>
    <t xml:space="preserve">Housing Development Finance Corporation Ltd (14/01/2022) ** </t>
  </si>
  <si>
    <t>INE001A14XX7</t>
  </si>
  <si>
    <t xml:space="preserve">Housing Development Finance Corporation Ltd (24/01/2022) ** </t>
  </si>
  <si>
    <t>INE001A14XZ2</t>
  </si>
  <si>
    <t xml:space="preserve">National Bank For Agriculture &amp; Rural Development (25/01/2022) ** </t>
  </si>
  <si>
    <t>INE261F14II8</t>
  </si>
  <si>
    <t xml:space="preserve">National Bank For Agriculture &amp; Rural Development (31/01/2022) ** </t>
  </si>
  <si>
    <t>INE261F14IC1</t>
  </si>
  <si>
    <t xml:space="preserve">Reliance Jio Infocomm Ltd (04/02/2022) ** </t>
  </si>
  <si>
    <t>INE110L14QD9</t>
  </si>
  <si>
    <t xml:space="preserve">LIC Housing Finance Ltd (24/01/2022) ** </t>
  </si>
  <si>
    <t>INE115A14DG2</t>
  </si>
  <si>
    <t xml:space="preserve">Bajaj Housing Finance Ltd (22/02/2022) ** </t>
  </si>
  <si>
    <t>INE377Y14793</t>
  </si>
  <si>
    <t>Treasury Bill</t>
  </si>
  <si>
    <t>182 DAYS TREASURY BILLS 03-FEB-22</t>
  </si>
  <si>
    <t>IN002021Y197</t>
  </si>
  <si>
    <t xml:space="preserve"> Sovereign</t>
  </si>
  <si>
    <t>91 DAYS TREASURY BILLS 13-JAN-22</t>
  </si>
  <si>
    <t>IN002021X314</t>
  </si>
  <si>
    <t>91 DAYS INDIA TREASURY BILLS 20-JAN-22</t>
  </si>
  <si>
    <t>IN002021X322</t>
  </si>
  <si>
    <t>91 DAYS INDIA TREASURY BILLS 06-JAN-22</t>
  </si>
  <si>
    <t>IN002021X306</t>
  </si>
  <si>
    <t>364 DAYS INDIA TREASURY BILLS 06-JAN-22</t>
  </si>
  <si>
    <t>IN002020Z402</t>
  </si>
  <si>
    <t>364 DAYS INDIA TREASURY BILLS 13-JAN-22</t>
  </si>
  <si>
    <t>IN002020Z410</t>
  </si>
  <si>
    <t>Government Bonds</t>
  </si>
  <si>
    <t>8.20% GOI (15/02/2022)</t>
  </si>
  <si>
    <t>IN0020060037</t>
  </si>
  <si>
    <t>Sovereign</t>
  </si>
  <si>
    <t>8.65% KARNATAKA SDL 25-JAN-22</t>
  </si>
  <si>
    <t>IN1920110039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</si>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</sst>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10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0" borderId="5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9" fillId="4" borderId="10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4" borderId="15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3" fillId="3" borderId="15" xfId="0" applyFont="1" applyFill="1" applyBorder="1" applyAlignment="1">
      <alignment horizontal="center"/>
    </xf>
    <xf numFmtId="0" fontId="9" fillId="3" borderId="11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4</xdr:row>
      <xdr:rowOff>133350</xdr:rowOff>
    </xdr:from>
    <xdr:to>
      <xdr:col>12</xdr:col>
      <xdr:colOff>1761857</xdr:colOff>
      <xdr:row>9</xdr:row>
      <xdr:rowOff>123826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33D64B5-5A03-4D82-AEC2-714FE24D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5975" y="1133475"/>
          <a:ext cx="1685657" cy="10572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26777</xdr:colOff>
      <xdr:row>4</xdr:row>
      <xdr:rowOff>190500</xdr:rowOff>
    </xdr:from>
    <xdr:to>
      <xdr:col>11</xdr:col>
      <xdr:colOff>1666874</xdr:colOff>
      <xdr:row>10</xdr:row>
      <xdr:rowOff>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B33D64B5-5A03-4D82-AEC2-714FE24D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0152" y="1190625"/>
          <a:ext cx="1640097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24981</xdr:colOff>
      <xdr:row>4</xdr:row>
      <xdr:rowOff>200025</xdr:rowOff>
    </xdr:from>
    <xdr:to>
      <xdr:col>10</xdr:col>
      <xdr:colOff>1647825</xdr:colOff>
      <xdr:row>9</xdr:row>
      <xdr:rowOff>151103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B33D64B5-5A03-4D82-AEC2-714FE24D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1006" y="1200150"/>
          <a:ext cx="1622844" cy="10178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9"/>
  <sheetViews>
    <sheetView tabSelected="1" workbookViewId="0">
      <selection activeCell="B18" sqref="B18"/>
    </sheetView>
  </sheetViews>
  <sheetFormatPr defaultRowHeight="12"/>
  <cols>
    <col min="1" max="1" width="9.140625" style="4"/>
    <col min="2" max="2" width="60.85546875" style="4" bestFit="1" customWidth="1"/>
    <col min="3" max="3" width="13.5703125" style="4" bestFit="1" customWidth="1"/>
    <col min="4" max="4" width="14.140625" style="4" bestFit="1" customWidth="1"/>
    <col min="5" max="5" width="9.85546875" style="64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10" style="3" bestFit="1" customWidth="1"/>
    <col min="10" max="10" width="4.7109375" style="3" bestFit="1" customWidth="1"/>
    <col min="11" max="11" width="24.85546875" style="3" customWidth="1"/>
    <col min="12" max="12" width="25.140625" style="3" customWidth="1"/>
    <col min="13" max="13" width="28.28515625" style="4" customWidth="1"/>
    <col min="14" max="14" width="9.140625" style="4"/>
    <col min="15" max="15" width="11.140625" style="4" customWidth="1"/>
    <col min="16" max="16384" width="9.140625" style="4"/>
  </cols>
  <sheetData>
    <row r="1" spans="2:18" ht="20.25">
      <c r="B1" s="1" t="s">
        <v>0</v>
      </c>
      <c r="C1" s="2"/>
      <c r="D1" s="2"/>
      <c r="E1" s="2"/>
      <c r="F1" s="2"/>
      <c r="G1" s="2"/>
      <c r="H1" s="2"/>
    </row>
    <row r="3" spans="2:18" ht="16.5" thickBot="1">
      <c r="B3" s="5" t="s">
        <v>1</v>
      </c>
      <c r="C3" s="6"/>
      <c r="D3" s="7"/>
      <c r="E3" s="8"/>
      <c r="F3" s="9"/>
      <c r="G3" s="9"/>
    </row>
    <row r="4" spans="2:18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K4" s="16" t="s">
        <v>9</v>
      </c>
      <c r="L4" s="16" t="s">
        <v>10</v>
      </c>
      <c r="M4" s="16" t="s">
        <v>11</v>
      </c>
      <c r="O4" s="17" t="s">
        <v>12</v>
      </c>
      <c r="P4" s="18"/>
      <c r="Q4" s="18"/>
      <c r="R4" s="19"/>
    </row>
    <row r="5" spans="2:18" ht="24">
      <c r="B5" s="20" t="s">
        <v>13</v>
      </c>
      <c r="C5" s="21"/>
      <c r="D5" s="21"/>
      <c r="E5" s="22"/>
      <c r="F5" s="23"/>
      <c r="G5" s="23"/>
      <c r="H5" s="23"/>
      <c r="K5" s="24"/>
      <c r="L5" s="24"/>
      <c r="M5" s="24"/>
      <c r="O5" s="25" t="s">
        <v>14</v>
      </c>
      <c r="P5" s="26" t="s">
        <v>15</v>
      </c>
      <c r="Q5" s="26" t="s">
        <v>16</v>
      </c>
      <c r="R5" s="26" t="s">
        <v>17</v>
      </c>
    </row>
    <row r="6" spans="2:18" ht="24">
      <c r="B6" s="27" t="s">
        <v>18</v>
      </c>
      <c r="C6" s="28"/>
      <c r="D6" s="28"/>
      <c r="E6" s="29"/>
      <c r="F6" s="30"/>
      <c r="G6" s="30"/>
      <c r="H6" s="30"/>
      <c r="K6" s="31"/>
      <c r="L6" s="31"/>
      <c r="M6" s="31"/>
      <c r="O6" s="32" t="s">
        <v>19</v>
      </c>
      <c r="P6" s="26"/>
      <c r="Q6" s="26"/>
      <c r="R6" s="26"/>
    </row>
    <row r="7" spans="2:18">
      <c r="B7" s="28" t="s">
        <v>20</v>
      </c>
      <c r="C7" s="28" t="s">
        <v>21</v>
      </c>
      <c r="D7" s="28" t="s">
        <v>22</v>
      </c>
      <c r="E7" s="33">
        <v>500</v>
      </c>
      <c r="F7" s="30">
        <v>5016.5</v>
      </c>
      <c r="G7" s="30">
        <v>2.2799999999999998</v>
      </c>
      <c r="H7" s="30">
        <v>3.68</v>
      </c>
      <c r="K7" s="31"/>
      <c r="L7" s="31"/>
      <c r="M7" s="31"/>
      <c r="O7" s="34" t="s">
        <v>23</v>
      </c>
      <c r="P7" s="35" t="s">
        <v>24</v>
      </c>
      <c r="Q7" s="36"/>
      <c r="R7" s="37"/>
    </row>
    <row r="8" spans="2:18">
      <c r="B8" s="38" t="s">
        <v>25</v>
      </c>
      <c r="C8" s="38"/>
      <c r="D8" s="38"/>
      <c r="E8" s="39"/>
      <c r="F8" s="40">
        <f>SUM(F6:F7)</f>
        <v>5016.5</v>
      </c>
      <c r="G8" s="40">
        <f>SUM(G6:G7)</f>
        <v>2.2799999999999998</v>
      </c>
      <c r="H8" s="41"/>
      <c r="K8" s="31"/>
      <c r="L8" s="31"/>
      <c r="M8" s="31"/>
      <c r="O8" s="34"/>
      <c r="P8" s="42"/>
      <c r="Q8" s="43"/>
      <c r="R8" s="44"/>
    </row>
    <row r="9" spans="2:18">
      <c r="B9" s="45" t="s">
        <v>26</v>
      </c>
      <c r="C9" s="45"/>
      <c r="D9" s="45"/>
      <c r="E9" s="46"/>
      <c r="F9" s="47">
        <f>F8</f>
        <v>5016.5</v>
      </c>
      <c r="G9" s="47">
        <f>G8</f>
        <v>2.2799999999999998</v>
      </c>
      <c r="H9" s="47"/>
      <c r="K9" s="31"/>
      <c r="L9" s="31"/>
      <c r="M9" s="31"/>
      <c r="O9" s="34" t="s">
        <v>27</v>
      </c>
      <c r="P9" s="37"/>
      <c r="Q9" s="37"/>
      <c r="R9" s="37"/>
    </row>
    <row r="10" spans="2:18">
      <c r="B10" s="27" t="s">
        <v>28</v>
      </c>
      <c r="C10" s="28"/>
      <c r="D10" s="28"/>
      <c r="E10" s="29"/>
      <c r="F10" s="30"/>
      <c r="G10" s="30"/>
      <c r="H10" s="30"/>
      <c r="K10" s="31"/>
      <c r="L10" s="31"/>
      <c r="M10" s="31"/>
      <c r="O10" s="34"/>
      <c r="P10" s="44"/>
      <c r="Q10" s="44"/>
      <c r="R10" s="44"/>
    </row>
    <row r="11" spans="2:18">
      <c r="B11" s="27" t="s">
        <v>29</v>
      </c>
      <c r="C11" s="28"/>
      <c r="D11" s="28"/>
      <c r="E11" s="29"/>
      <c r="F11" s="30"/>
      <c r="G11" s="30"/>
      <c r="H11" s="30"/>
      <c r="K11" s="31"/>
      <c r="L11" s="31"/>
      <c r="M11" s="31"/>
      <c r="O11" s="34" t="s">
        <v>30</v>
      </c>
      <c r="P11" s="37"/>
      <c r="Q11" s="37"/>
      <c r="R11" s="37"/>
    </row>
    <row r="12" spans="2:18">
      <c r="B12" s="28" t="s">
        <v>31</v>
      </c>
      <c r="C12" s="28" t="s">
        <v>32</v>
      </c>
      <c r="D12" s="28" t="s">
        <v>33</v>
      </c>
      <c r="E12" s="33">
        <v>15000</v>
      </c>
      <c r="F12" s="30">
        <v>14960.88</v>
      </c>
      <c r="G12" s="30">
        <v>6.81</v>
      </c>
      <c r="H12" s="30">
        <v>3.53</v>
      </c>
      <c r="K12" s="48"/>
      <c r="L12" s="48"/>
      <c r="M12" s="48"/>
      <c r="O12" s="34"/>
      <c r="P12" s="44"/>
      <c r="Q12" s="44"/>
      <c r="R12" s="44"/>
    </row>
    <row r="13" spans="2:18">
      <c r="B13" s="28" t="s">
        <v>34</v>
      </c>
      <c r="C13" s="28" t="s">
        <v>35</v>
      </c>
      <c r="D13" s="28" t="s">
        <v>36</v>
      </c>
      <c r="E13" s="33">
        <v>5000</v>
      </c>
      <c r="F13" s="30">
        <v>4981.6899999999996</v>
      </c>
      <c r="G13" s="30">
        <v>2.27</v>
      </c>
      <c r="H13" s="30">
        <v>3.53</v>
      </c>
      <c r="L13" s="3" t="s">
        <v>37</v>
      </c>
    </row>
    <row r="14" spans="2:18">
      <c r="B14" s="27" t="s">
        <v>25</v>
      </c>
      <c r="C14" s="27"/>
      <c r="D14" s="27"/>
      <c r="E14" s="49"/>
      <c r="F14" s="50">
        <f>SUM(F11:F13)</f>
        <v>19942.57</v>
      </c>
      <c r="G14" s="50">
        <f>SUM(G11:G13)</f>
        <v>9.08</v>
      </c>
      <c r="H14" s="51"/>
    </row>
    <row r="15" spans="2:18">
      <c r="B15" s="27" t="s">
        <v>38</v>
      </c>
      <c r="C15" s="28"/>
      <c r="D15" s="28"/>
      <c r="E15" s="29"/>
      <c r="F15" s="30"/>
      <c r="G15" s="30"/>
      <c r="H15" s="30"/>
    </row>
    <row r="16" spans="2:18">
      <c r="B16" s="28" t="s">
        <v>39</v>
      </c>
      <c r="C16" s="28" t="s">
        <v>40</v>
      </c>
      <c r="D16" s="28" t="s">
        <v>41</v>
      </c>
      <c r="E16" s="33">
        <v>2000</v>
      </c>
      <c r="F16" s="30">
        <v>9988.15</v>
      </c>
      <c r="G16" s="30">
        <v>4.55</v>
      </c>
      <c r="H16" s="30">
        <v>3.61</v>
      </c>
    </row>
    <row r="17" spans="2:8">
      <c r="B17" s="28" t="s">
        <v>42</v>
      </c>
      <c r="C17" s="28" t="s">
        <v>43</v>
      </c>
      <c r="D17" s="28" t="s">
        <v>33</v>
      </c>
      <c r="E17" s="33">
        <v>2000</v>
      </c>
      <c r="F17" s="30">
        <v>9956.67</v>
      </c>
      <c r="G17" s="30">
        <v>4.53</v>
      </c>
      <c r="H17" s="30">
        <v>3.53</v>
      </c>
    </row>
    <row r="18" spans="2:8">
      <c r="B18" s="28" t="s">
        <v>44</v>
      </c>
      <c r="C18" s="28" t="s">
        <v>45</v>
      </c>
      <c r="D18" s="28" t="s">
        <v>46</v>
      </c>
      <c r="E18" s="33">
        <v>1500</v>
      </c>
      <c r="F18" s="30">
        <v>7493.57</v>
      </c>
      <c r="G18" s="30">
        <v>3.41</v>
      </c>
      <c r="H18" s="30">
        <v>3.48</v>
      </c>
    </row>
    <row r="19" spans="2:8">
      <c r="B19" s="28" t="s">
        <v>47</v>
      </c>
      <c r="C19" s="28" t="s">
        <v>48</v>
      </c>
      <c r="D19" s="28" t="s">
        <v>33</v>
      </c>
      <c r="E19" s="33">
        <v>1500</v>
      </c>
      <c r="F19" s="30">
        <v>7456.7</v>
      </c>
      <c r="G19" s="30">
        <v>3.39</v>
      </c>
      <c r="H19" s="30">
        <v>3.65</v>
      </c>
    </row>
    <row r="20" spans="2:8">
      <c r="B20" s="28" t="s">
        <v>49</v>
      </c>
      <c r="C20" s="28" t="s">
        <v>50</v>
      </c>
      <c r="D20" s="28" t="s">
        <v>46</v>
      </c>
      <c r="E20" s="33">
        <v>1000</v>
      </c>
      <c r="F20" s="30">
        <v>4993.53</v>
      </c>
      <c r="G20" s="30">
        <v>2.27</v>
      </c>
      <c r="H20" s="30">
        <v>3.64</v>
      </c>
    </row>
    <row r="21" spans="2:8">
      <c r="B21" s="28" t="s">
        <v>51</v>
      </c>
      <c r="C21" s="28" t="s">
        <v>52</v>
      </c>
      <c r="D21" s="28" t="s">
        <v>46</v>
      </c>
      <c r="E21" s="33">
        <v>1000</v>
      </c>
      <c r="F21" s="30">
        <v>4988.5600000000004</v>
      </c>
      <c r="G21" s="30">
        <v>2.27</v>
      </c>
      <c r="H21" s="30">
        <v>3.64</v>
      </c>
    </row>
    <row r="22" spans="2:8">
      <c r="B22" s="28" t="s">
        <v>53</v>
      </c>
      <c r="C22" s="28" t="s">
        <v>54</v>
      </c>
      <c r="D22" s="28" t="s">
        <v>46</v>
      </c>
      <c r="E22" s="33">
        <v>1000</v>
      </c>
      <c r="F22" s="30">
        <v>4988.3599999999997</v>
      </c>
      <c r="G22" s="30">
        <v>2.27</v>
      </c>
      <c r="H22" s="30">
        <v>3.55</v>
      </c>
    </row>
    <row r="23" spans="2:8">
      <c r="B23" s="28" t="s">
        <v>55</v>
      </c>
      <c r="C23" s="28" t="s">
        <v>56</v>
      </c>
      <c r="D23" s="28" t="s">
        <v>46</v>
      </c>
      <c r="E23" s="33">
        <v>1000</v>
      </c>
      <c r="F23" s="30">
        <v>4985.46</v>
      </c>
      <c r="G23" s="30">
        <v>2.27</v>
      </c>
      <c r="H23" s="30">
        <v>3.55</v>
      </c>
    </row>
    <row r="24" spans="2:8">
      <c r="B24" s="28" t="s">
        <v>57</v>
      </c>
      <c r="C24" s="28" t="s">
        <v>58</v>
      </c>
      <c r="D24" s="28" t="s">
        <v>41</v>
      </c>
      <c r="E24" s="33">
        <v>1000</v>
      </c>
      <c r="F24" s="30">
        <v>4982.99</v>
      </c>
      <c r="G24" s="30">
        <v>2.27</v>
      </c>
      <c r="H24" s="30">
        <v>3.66</v>
      </c>
    </row>
    <row r="25" spans="2:8">
      <c r="B25" s="28" t="s">
        <v>59</v>
      </c>
      <c r="C25" s="28" t="s">
        <v>60</v>
      </c>
      <c r="D25" s="28" t="s">
        <v>46</v>
      </c>
      <c r="E25" s="33">
        <v>500</v>
      </c>
      <c r="F25" s="30">
        <v>2494.2800000000002</v>
      </c>
      <c r="G25" s="30">
        <v>1.1399999999999999</v>
      </c>
      <c r="H25" s="30">
        <v>3.64</v>
      </c>
    </row>
    <row r="26" spans="2:8">
      <c r="B26" s="28" t="s">
        <v>61</v>
      </c>
      <c r="C26" s="28" t="s">
        <v>62</v>
      </c>
      <c r="D26" s="28" t="s">
        <v>36</v>
      </c>
      <c r="E26" s="33">
        <v>500</v>
      </c>
      <c r="F26" s="30">
        <v>2486.66</v>
      </c>
      <c r="G26" s="30">
        <v>1.1299999999999999</v>
      </c>
      <c r="H26" s="30">
        <v>3.76</v>
      </c>
    </row>
    <row r="27" spans="2:8">
      <c r="B27" s="27" t="s">
        <v>25</v>
      </c>
      <c r="C27" s="27"/>
      <c r="D27" s="27"/>
      <c r="E27" s="49"/>
      <c r="F27" s="50">
        <f>SUM(F15:F26)</f>
        <v>64814.929999999993</v>
      </c>
      <c r="G27" s="50">
        <f>SUM(G15:G26)</f>
        <v>29.5</v>
      </c>
      <c r="H27" s="51"/>
    </row>
    <row r="28" spans="2:8">
      <c r="B28" s="27" t="s">
        <v>63</v>
      </c>
      <c r="C28" s="28"/>
      <c r="D28" s="28"/>
      <c r="E28" s="29"/>
      <c r="F28" s="30"/>
      <c r="G28" s="30"/>
      <c r="H28" s="30"/>
    </row>
    <row r="29" spans="2:8">
      <c r="B29" s="28" t="s">
        <v>64</v>
      </c>
      <c r="C29" s="28" t="s">
        <v>65</v>
      </c>
      <c r="D29" s="28" t="s">
        <v>66</v>
      </c>
      <c r="E29" s="33">
        <v>30000000</v>
      </c>
      <c r="F29" s="30">
        <v>29908.59</v>
      </c>
      <c r="G29" s="30">
        <v>13.61</v>
      </c>
      <c r="H29" s="30">
        <v>3.38</v>
      </c>
    </row>
    <row r="30" spans="2:8">
      <c r="B30" s="28" t="s">
        <v>67</v>
      </c>
      <c r="C30" s="28" t="s">
        <v>68</v>
      </c>
      <c r="D30" s="28" t="s">
        <v>66</v>
      </c>
      <c r="E30" s="33">
        <v>15000000</v>
      </c>
      <c r="F30" s="30">
        <v>14984</v>
      </c>
      <c r="G30" s="30">
        <v>6.82</v>
      </c>
      <c r="H30" s="30">
        <v>3.25</v>
      </c>
    </row>
    <row r="31" spans="2:8">
      <c r="B31" s="28" t="s">
        <v>69</v>
      </c>
      <c r="C31" s="28" t="s">
        <v>70</v>
      </c>
      <c r="D31" s="28" t="s">
        <v>66</v>
      </c>
      <c r="E31" s="33">
        <v>10000000</v>
      </c>
      <c r="F31" s="30">
        <v>9983.01</v>
      </c>
      <c r="G31" s="30">
        <v>4.54</v>
      </c>
      <c r="H31" s="30">
        <v>3.27</v>
      </c>
    </row>
    <row r="32" spans="2:8">
      <c r="B32" s="28" t="s">
        <v>71</v>
      </c>
      <c r="C32" s="28" t="s">
        <v>72</v>
      </c>
      <c r="D32" s="28" t="s">
        <v>66</v>
      </c>
      <c r="E32" s="33">
        <v>7500000</v>
      </c>
      <c r="F32" s="30">
        <v>7496.66</v>
      </c>
      <c r="G32" s="30">
        <v>3.41</v>
      </c>
      <c r="H32" s="30">
        <v>3.25</v>
      </c>
    </row>
    <row r="33" spans="2:8">
      <c r="B33" s="28" t="s">
        <v>73</v>
      </c>
      <c r="C33" s="28" t="s">
        <v>74</v>
      </c>
      <c r="D33" s="28" t="s">
        <v>66</v>
      </c>
      <c r="E33" s="33">
        <v>2500000</v>
      </c>
      <c r="F33" s="30">
        <v>2498.89</v>
      </c>
      <c r="G33" s="30">
        <v>1.1399999999999999</v>
      </c>
      <c r="H33" s="30">
        <v>3.25</v>
      </c>
    </row>
    <row r="34" spans="2:8">
      <c r="B34" s="28" t="s">
        <v>75</v>
      </c>
      <c r="C34" s="28" t="s">
        <v>76</v>
      </c>
      <c r="D34" s="28" t="s">
        <v>66</v>
      </c>
      <c r="E34" s="33">
        <v>2500000</v>
      </c>
      <c r="F34" s="30">
        <v>2497.37</v>
      </c>
      <c r="G34" s="30">
        <v>1.1399999999999999</v>
      </c>
      <c r="H34" s="30">
        <v>3.2</v>
      </c>
    </row>
    <row r="35" spans="2:8">
      <c r="B35" s="38" t="s">
        <v>25</v>
      </c>
      <c r="C35" s="38"/>
      <c r="D35" s="38"/>
      <c r="E35" s="39"/>
      <c r="F35" s="40">
        <f>SUM(F28:F34)</f>
        <v>67368.51999999999</v>
      </c>
      <c r="G35" s="40">
        <f>SUM(G28:G34)</f>
        <v>30.66</v>
      </c>
      <c r="H35" s="41"/>
    </row>
    <row r="36" spans="2:8">
      <c r="B36" s="45" t="s">
        <v>26</v>
      </c>
      <c r="C36" s="45"/>
      <c r="D36" s="45"/>
      <c r="E36" s="46"/>
      <c r="F36" s="47">
        <f>F14+F27+F35</f>
        <v>152126.01999999999</v>
      </c>
      <c r="G36" s="47">
        <f>G14+G27+G35</f>
        <v>69.239999999999995</v>
      </c>
      <c r="H36" s="47"/>
    </row>
    <row r="37" spans="2:8">
      <c r="B37" s="27" t="s">
        <v>77</v>
      </c>
      <c r="C37" s="28"/>
      <c r="D37" s="28"/>
      <c r="E37" s="29"/>
      <c r="F37" s="30"/>
      <c r="G37" s="30"/>
      <c r="H37" s="30"/>
    </row>
    <row r="38" spans="2:8">
      <c r="B38" s="28" t="s">
        <v>78</v>
      </c>
      <c r="C38" s="28" t="s">
        <v>79</v>
      </c>
      <c r="D38" s="28" t="s">
        <v>80</v>
      </c>
      <c r="E38" s="33">
        <v>10000000</v>
      </c>
      <c r="F38" s="30">
        <v>10055.85</v>
      </c>
      <c r="G38" s="30">
        <v>4.58</v>
      </c>
      <c r="H38" s="30">
        <v>3.6</v>
      </c>
    </row>
    <row r="39" spans="2:8">
      <c r="B39" s="52" t="s">
        <v>81</v>
      </c>
      <c r="C39" s="52" t="s">
        <v>82</v>
      </c>
      <c r="D39" s="52" t="s">
        <v>80</v>
      </c>
      <c r="E39" s="53">
        <v>8500000</v>
      </c>
      <c r="F39" s="54">
        <v>8528.14</v>
      </c>
      <c r="G39" s="54">
        <v>3.88</v>
      </c>
      <c r="H39" s="54">
        <v>3.63</v>
      </c>
    </row>
    <row r="40" spans="2:8">
      <c r="B40" s="55" t="s">
        <v>26</v>
      </c>
      <c r="C40" s="55"/>
      <c r="D40" s="55"/>
      <c r="E40" s="56"/>
      <c r="F40" s="50">
        <f>SUM(F38:F39)</f>
        <v>18583.989999999998</v>
      </c>
      <c r="G40" s="50">
        <f>SUM(G38:G39)</f>
        <v>8.4600000000000009</v>
      </c>
      <c r="H40" s="50"/>
    </row>
    <row r="41" spans="2:8">
      <c r="B41" s="27" t="s">
        <v>83</v>
      </c>
      <c r="C41" s="28"/>
      <c r="D41" s="28"/>
      <c r="E41" s="29"/>
      <c r="F41" s="30"/>
      <c r="G41" s="30"/>
      <c r="H41" s="30"/>
    </row>
    <row r="42" spans="2:8">
      <c r="B42" s="28" t="s">
        <v>83</v>
      </c>
      <c r="C42" s="28"/>
      <c r="D42" s="28"/>
      <c r="E42" s="29"/>
      <c r="F42" s="30">
        <v>42524.19</v>
      </c>
      <c r="G42" s="30">
        <v>19.36</v>
      </c>
      <c r="H42" s="30"/>
    </row>
    <row r="43" spans="2:8">
      <c r="B43" s="38" t="s">
        <v>25</v>
      </c>
      <c r="C43" s="38"/>
      <c r="D43" s="38"/>
      <c r="E43" s="39"/>
      <c r="F43" s="40">
        <f>SUM(F41:F42)</f>
        <v>42524.19</v>
      </c>
      <c r="G43" s="40">
        <f>SUM(G41:G42)</f>
        <v>19.36</v>
      </c>
      <c r="H43" s="41"/>
    </row>
    <row r="44" spans="2:8">
      <c r="B44" s="57" t="s">
        <v>26</v>
      </c>
      <c r="C44" s="57"/>
      <c r="D44" s="57"/>
      <c r="E44" s="58"/>
      <c r="F44" s="59">
        <f>F43</f>
        <v>42524.19</v>
      </c>
      <c r="G44" s="59">
        <f>G43</f>
        <v>19.36</v>
      </c>
      <c r="H44" s="59"/>
    </row>
    <row r="45" spans="2:8">
      <c r="B45" s="60" t="s">
        <v>84</v>
      </c>
      <c r="C45" s="60"/>
      <c r="D45" s="60"/>
      <c r="E45" s="61"/>
      <c r="F45" s="62">
        <f>F46-(+F9+F36+F40+F44)</f>
        <v>1427.070000000007</v>
      </c>
      <c r="G45" s="62">
        <f>G46-(+G9+G36+G40+G44)</f>
        <v>0.6600000000000108</v>
      </c>
      <c r="H45" s="62"/>
    </row>
    <row r="46" spans="2:8">
      <c r="B46" s="60" t="s">
        <v>85</v>
      </c>
      <c r="C46" s="60"/>
      <c r="D46" s="60"/>
      <c r="E46" s="61"/>
      <c r="F46" s="62">
        <v>219677.77</v>
      </c>
      <c r="G46" s="62">
        <v>100</v>
      </c>
      <c r="H46" s="62"/>
    </row>
    <row r="48" spans="2:8">
      <c r="B48" s="63" t="s">
        <v>86</v>
      </c>
    </row>
    <row r="49" spans="2:2">
      <c r="B49" s="63" t="s">
        <v>87</v>
      </c>
    </row>
  </sheetData>
  <mergeCells count="20">
    <mergeCell ref="O11:O12"/>
    <mergeCell ref="P11:P12"/>
    <mergeCell ref="Q11:Q12"/>
    <mergeCell ref="R11:R12"/>
    <mergeCell ref="Q7:Q8"/>
    <mergeCell ref="R7:R8"/>
    <mergeCell ref="O9:O10"/>
    <mergeCell ref="P9:P10"/>
    <mergeCell ref="Q9:Q10"/>
    <mergeCell ref="R9:R10"/>
    <mergeCell ref="B1:H1"/>
    <mergeCell ref="O4:R4"/>
    <mergeCell ref="K5:K12"/>
    <mergeCell ref="L5:L12"/>
    <mergeCell ref="M5:M12"/>
    <mergeCell ref="P5:P6"/>
    <mergeCell ref="Q5:Q6"/>
    <mergeCell ref="R5:R6"/>
    <mergeCell ref="O7:O8"/>
    <mergeCell ref="P7:P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2022-01-07T11:51:44Z</dcterms:created>
  <dcterms:modified xsi:type="dcterms:W3CDTF">2022-01-07T11:51:47Z</dcterms:modified>
</cp:coreProperties>
</file>