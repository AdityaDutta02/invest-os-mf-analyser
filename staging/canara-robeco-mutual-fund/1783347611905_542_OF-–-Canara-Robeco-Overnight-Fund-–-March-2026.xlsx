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5266497D-0D5D-4D2A-B9D7-EFF5325EEF0C}" xr6:coauthVersionLast="47" xr6:coauthVersionMax="47" xr10:uidLastSave="{00000000-0000-0000-0000-000000000000}"/>
  <bookViews>
    <workbookView xWindow="-110" yWindow="-110" windowWidth="19420" windowHeight="10300" xr2:uid="{E1BD764B-7A27-4B32-BF46-0ADF3114FF02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 s="1"/>
  <c r="F14" i="1"/>
  <c r="F15" i="1" s="1"/>
  <c r="G11" i="1"/>
  <c r="G16" i="1" s="1"/>
  <c r="F11" i="1"/>
  <c r="F16" i="1" s="1"/>
  <c r="G10" i="1"/>
  <c r="F1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<sst xmlns="http://schemas.openxmlformats.org/spreadsheetml/2006/main" count="48" uniqueCount="43">
  <si>
    <t>CANARA ROBECO OVERNIGHT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</si>
  <si>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</si>
  <si>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</si>
  <si>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</si>
  <si>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</si>
  <si>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</si>
  <si>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</si>
  <si>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</si>
  <si>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</si>
  <si>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</si>
  <si>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</si>
  <si>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</si>
  <si>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</si>
  <si>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</si>
  <si>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</si>
  <si>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</si>
  <si>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</si>
  <si>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</si>
  <si>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</si>
  <si>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</si>
  <si>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</si>
  <si>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182 DTB (24-APR-2026)</t>
  </si>
  <si>
    <t>IN002025Y305</t>
  </si>
  <si>
    <t xml:space="preserve"> Sovereign</t>
  </si>
  <si>
    <t>Relatively Low (Class I)</t>
  </si>
  <si>
    <t>A-I</t>
  </si>
  <si>
    <t>182 DTB (09-APR-2026)</t>
  </si>
  <si>
    <t>IN002025Y289</t>
  </si>
  <si>
    <t>364 DTB (10-APR-2026)</t>
  </si>
  <si>
    <t>IN002025Z021</t>
  </si>
  <si>
    <t>Moderate (Class II)</t>
  </si>
  <si>
    <t>Sub Total</t>
  </si>
  <si>
    <t>Total</t>
  </si>
  <si>
    <t>Relatively High (Class III)</t>
  </si>
  <si>
    <t>TREPS</t>
  </si>
  <si>
    <t>Benchmark: CRISIL Liquid Overnight Index</t>
  </si>
  <si>
    <t>Net Receivables / (Payables)</t>
  </si>
  <si>
    <t>Grand Total</t>
  </si>
  <si>
    <t>Modified Duration</t>
  </si>
  <si>
    <t>Annualised Portfolio YTM</t>
  </si>
  <si>
    <t>Macaulay Duration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</si>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</sst>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4" fontId="10" fillId="3" borderId="0" xfId="0" applyNumberFormat="1" applyFont="1" applyFill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3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9DDE-DE57-4B03-98BE-22F695265BAD}">
  <dimension ref="B1:S29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2.7265625" style="4" bestFit="1" customWidth="1"/>
    <col min="4" max="4" width="13.7265625" style="4" bestFit="1" customWidth="1"/>
    <col min="5" max="5" width="8.81640625" style="4" bestFit="1" customWidth="1"/>
    <col min="6" max="6" width="14.54296875" style="9" bestFit="1" customWidth="1"/>
    <col min="7" max="7" width="7.453125" style="9" bestFit="1" customWidth="1"/>
    <col min="8" max="8" width="6.7265625" style="9" bestFit="1" customWidth="1"/>
    <col min="9" max="9" width="6.7265625" style="9" customWidth="1"/>
    <col min="10" max="10" width="9.1796875" style="4"/>
    <col min="11" max="11" width="31.54296875" style="4" customWidth="1"/>
    <col min="12" max="12" width="35.54296875" style="4" customWidth="1"/>
    <col min="13" max="14" width="31.453125" style="4" customWidth="1"/>
    <col min="15" max="15" width="5.54296875" style="4" bestFit="1" customWidth="1"/>
    <col min="16" max="16" width="12.81640625" style="4" customWidth="1"/>
    <col min="17" max="16384" width="9.1796875" style="4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  <c r="I1" s="3"/>
    </row>
    <row r="3" spans="2:19" ht="16" thickBot="1">
      <c r="B3" s="5" t="s">
        <v>1</v>
      </c>
      <c r="C3" s="6"/>
      <c r="D3" s="7"/>
      <c r="E3" s="7"/>
      <c r="F3" s="8"/>
      <c r="G3" s="8"/>
    </row>
    <row r="4" spans="2:19" ht="34.5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4"/>
      <c r="K4" s="15" t="s">
        <v>9</v>
      </c>
      <c r="L4" s="15" t="s">
        <v>10</v>
      </c>
      <c r="M4" s="15" t="s">
        <v>11</v>
      </c>
      <c r="N4" s="15" t="s">
        <v>12</v>
      </c>
      <c r="P4" s="16" t="s">
        <v>13</v>
      </c>
      <c r="Q4" s="17"/>
      <c r="R4" s="17"/>
      <c r="S4" s="18"/>
    </row>
    <row r="5" spans="2:19">
      <c r="B5" s="19" t="s">
        <v>14</v>
      </c>
      <c r="C5" s="20"/>
      <c r="D5" s="20"/>
      <c r="E5" s="20"/>
      <c r="F5" s="21"/>
      <c r="G5" s="21"/>
      <c r="H5" s="21"/>
      <c r="K5" s="22" t="e" vm="1">
        <v>#VALUE!</v>
      </c>
      <c r="L5" s="22" t="e" vm="2">
        <v>#VALUE!</v>
      </c>
      <c r="M5" s="22" t="e" vm="1">
        <v>#VALUE!</v>
      </c>
      <c r="N5" s="22" t="e" vm="2">
        <v>#VALUE!</v>
      </c>
      <c r="P5" s="23" t="s">
        <v>15</v>
      </c>
      <c r="Q5" s="24" t="s">
        <v>16</v>
      </c>
      <c r="R5" s="24" t="s">
        <v>17</v>
      </c>
      <c r="S5" s="24" t="s">
        <v>18</v>
      </c>
    </row>
    <row r="6" spans="2:19" ht="23">
      <c r="B6" s="25" t="s">
        <v>19</v>
      </c>
      <c r="C6" s="26"/>
      <c r="D6" s="26"/>
      <c r="E6" s="26"/>
      <c r="F6" s="27"/>
      <c r="G6" s="27"/>
      <c r="H6" s="27"/>
      <c r="K6" s="22"/>
      <c r="L6" s="22"/>
      <c r="M6" s="22"/>
      <c r="N6" s="22"/>
      <c r="O6" s="28"/>
      <c r="P6" s="29" t="s">
        <v>20</v>
      </c>
      <c r="Q6" s="24"/>
      <c r="R6" s="24"/>
      <c r="S6" s="24"/>
    </row>
    <row r="7" spans="2:19">
      <c r="B7" s="26" t="s">
        <v>21</v>
      </c>
      <c r="C7" s="26" t="s">
        <v>22</v>
      </c>
      <c r="D7" s="26" t="s">
        <v>23</v>
      </c>
      <c r="E7" s="30">
        <v>1000000</v>
      </c>
      <c r="F7" s="27">
        <v>996.66</v>
      </c>
      <c r="G7" s="27">
        <v>3.77</v>
      </c>
      <c r="H7" s="27">
        <v>5.33</v>
      </c>
      <c r="K7" s="22"/>
      <c r="L7" s="22"/>
      <c r="M7" s="22"/>
      <c r="N7" s="22"/>
      <c r="O7" s="28"/>
      <c r="P7" s="31" t="s">
        <v>24</v>
      </c>
      <c r="Q7" s="32" t="s">
        <v>25</v>
      </c>
      <c r="R7" s="33"/>
      <c r="S7" s="33"/>
    </row>
    <row r="8" spans="2:19">
      <c r="B8" s="26" t="s">
        <v>26</v>
      </c>
      <c r="C8" s="26" t="s">
        <v>27</v>
      </c>
      <c r="D8" s="26" t="s">
        <v>23</v>
      </c>
      <c r="E8" s="30">
        <v>500000</v>
      </c>
      <c r="F8" s="27">
        <v>499.42</v>
      </c>
      <c r="G8" s="27">
        <v>1.89</v>
      </c>
      <c r="H8" s="27">
        <v>5.3</v>
      </c>
      <c r="K8" s="22"/>
      <c r="L8" s="22"/>
      <c r="M8" s="22"/>
      <c r="N8" s="22"/>
      <c r="O8" s="28"/>
      <c r="P8" s="31"/>
      <c r="Q8" s="34"/>
      <c r="R8" s="35"/>
      <c r="S8" s="35"/>
    </row>
    <row r="9" spans="2:19">
      <c r="B9" s="26" t="s">
        <v>28</v>
      </c>
      <c r="C9" s="26" t="s">
        <v>29</v>
      </c>
      <c r="D9" s="26" t="s">
        <v>23</v>
      </c>
      <c r="E9" s="30">
        <v>500000</v>
      </c>
      <c r="F9" s="27">
        <v>499.34</v>
      </c>
      <c r="G9" s="27">
        <v>1.89</v>
      </c>
      <c r="H9" s="27">
        <v>5.33</v>
      </c>
      <c r="K9" s="22"/>
      <c r="L9" s="22"/>
      <c r="M9" s="22"/>
      <c r="N9" s="22"/>
      <c r="O9" s="28"/>
      <c r="P9" s="31" t="s">
        <v>30</v>
      </c>
      <c r="Q9" s="33"/>
      <c r="R9" s="33"/>
      <c r="S9" s="33"/>
    </row>
    <row r="10" spans="2:19">
      <c r="B10" s="36" t="s">
        <v>31</v>
      </c>
      <c r="C10" s="36"/>
      <c r="D10" s="36"/>
      <c r="E10" s="36"/>
      <c r="F10" s="37">
        <f>SUM(F6:F9)</f>
        <v>1995.4199999999998</v>
      </c>
      <c r="G10" s="37">
        <f>SUM(G6:G9)</f>
        <v>7.55</v>
      </c>
      <c r="H10" s="38"/>
      <c r="I10" s="39"/>
      <c r="J10" s="40"/>
      <c r="K10" s="22"/>
      <c r="L10" s="22"/>
      <c r="M10" s="22"/>
      <c r="N10" s="22"/>
      <c r="O10" s="28"/>
      <c r="P10" s="31"/>
      <c r="Q10" s="35"/>
      <c r="R10" s="35"/>
      <c r="S10" s="35"/>
    </row>
    <row r="11" spans="2:19">
      <c r="B11" s="41" t="s">
        <v>32</v>
      </c>
      <c r="C11" s="41"/>
      <c r="D11" s="41"/>
      <c r="E11" s="41"/>
      <c r="F11" s="42">
        <f>+F10</f>
        <v>1995.4199999999998</v>
      </c>
      <c r="G11" s="42">
        <f>+G10</f>
        <v>7.55</v>
      </c>
      <c r="H11" s="42"/>
      <c r="I11" s="39"/>
      <c r="J11" s="40"/>
      <c r="K11" s="22"/>
      <c r="L11" s="22"/>
      <c r="M11" s="22"/>
      <c r="N11" s="22"/>
      <c r="O11" s="28"/>
      <c r="P11" s="31" t="s">
        <v>33</v>
      </c>
      <c r="Q11" s="33"/>
      <c r="R11" s="33"/>
      <c r="S11" s="33"/>
    </row>
    <row r="12" spans="2:19">
      <c r="B12" s="25" t="s">
        <v>34</v>
      </c>
      <c r="C12" s="26"/>
      <c r="D12" s="26"/>
      <c r="E12" s="26"/>
      <c r="F12" s="27"/>
      <c r="G12" s="27"/>
      <c r="H12" s="27"/>
      <c r="K12" s="22"/>
      <c r="L12" s="22"/>
      <c r="M12" s="22"/>
      <c r="N12" s="22"/>
      <c r="O12" s="28"/>
      <c r="P12" s="31"/>
      <c r="Q12" s="35"/>
      <c r="R12" s="35"/>
      <c r="S12" s="35"/>
    </row>
    <row r="13" spans="2:19">
      <c r="B13" s="26" t="s">
        <v>34</v>
      </c>
      <c r="C13" s="26"/>
      <c r="D13" s="26"/>
      <c r="E13" s="26"/>
      <c r="F13" s="27">
        <v>24257.84</v>
      </c>
      <c r="G13" s="27">
        <v>91.84</v>
      </c>
      <c r="H13" s="27"/>
      <c r="K13" s="43"/>
      <c r="L13" s="43" t="s">
        <v>35</v>
      </c>
      <c r="M13" s="28"/>
      <c r="N13" s="28"/>
      <c r="O13" s="28"/>
    </row>
    <row r="14" spans="2:19">
      <c r="B14" s="36" t="s">
        <v>31</v>
      </c>
      <c r="C14" s="36"/>
      <c r="D14" s="36"/>
      <c r="E14" s="36"/>
      <c r="F14" s="37">
        <f>SUM(F12:F13)</f>
        <v>24257.84</v>
      </c>
      <c r="G14" s="37">
        <f>SUM(G12:G13)</f>
        <v>91.84</v>
      </c>
      <c r="H14" s="38"/>
      <c r="I14" s="39"/>
      <c r="J14" s="40"/>
    </row>
    <row r="15" spans="2:19">
      <c r="B15" s="44" t="s">
        <v>32</v>
      </c>
      <c r="C15" s="44"/>
      <c r="D15" s="44"/>
      <c r="E15" s="44"/>
      <c r="F15" s="45">
        <f>F14</f>
        <v>24257.84</v>
      </c>
      <c r="G15" s="45">
        <f>G14</f>
        <v>91.84</v>
      </c>
      <c r="H15" s="45"/>
      <c r="I15" s="39"/>
      <c r="J15" s="40"/>
    </row>
    <row r="16" spans="2:19">
      <c r="B16" s="46" t="s">
        <v>36</v>
      </c>
      <c r="C16" s="46"/>
      <c r="D16" s="46"/>
      <c r="E16" s="46"/>
      <c r="F16" s="47">
        <f>F17-(+F11+F15)</f>
        <v>159.60000000000218</v>
      </c>
      <c r="G16" s="47">
        <f>G17-(+G11+G15)</f>
        <v>0.60999999999999943</v>
      </c>
      <c r="H16" s="47"/>
      <c r="I16" s="39"/>
      <c r="J16" s="40"/>
    </row>
    <row r="17" spans="2:10">
      <c r="B17" s="46" t="s">
        <v>37</v>
      </c>
      <c r="C17" s="46"/>
      <c r="D17" s="46"/>
      <c r="E17" s="46"/>
      <c r="F17" s="47">
        <v>26412.86</v>
      </c>
      <c r="G17" s="47">
        <v>100</v>
      </c>
      <c r="H17" s="47"/>
      <c r="I17" s="39"/>
      <c r="J17" s="40"/>
    </row>
    <row r="19" spans="2:10">
      <c r="B19" s="40"/>
    </row>
    <row r="20" spans="2:10" ht="12" thickBot="1"/>
    <row r="21" spans="2:10" ht="12.5" thickTop="1" thickBot="1">
      <c r="B21" s="48" t="s">
        <v>38</v>
      </c>
      <c r="C21" s="49">
        <v>8.0000000000000002E-3</v>
      </c>
    </row>
    <row r="22" spans="2:10" ht="12.5" thickTop="1" thickBot="1"/>
    <row r="23" spans="2:10" ht="12.5" thickTop="1" thickBot="1">
      <c r="B23" s="48" t="s">
        <v>39</v>
      </c>
      <c r="C23" s="50">
        <v>6.4600000000000005E-2</v>
      </c>
    </row>
    <row r="24" spans="2:10" ht="12.5" thickTop="1" thickBot="1"/>
    <row r="25" spans="2:10" ht="12.5" thickTop="1" thickBot="1">
      <c r="B25" s="48" t="s">
        <v>40</v>
      </c>
      <c r="C25" s="49">
        <v>8.5000000000000006E-3</v>
      </c>
    </row>
    <row r="26" spans="2:10" ht="12" thickTop="1"/>
    <row r="27" spans="2:10">
      <c r="B27" s="40" t="s">
        <v>41</v>
      </c>
    </row>
    <row r="29" spans="2:10" ht="14.5">
      <c r="B29" s="51" t="s">
        <v>42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29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61827287-F05E-4B52-8AFF-C1650EBF3819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14:30:56</KDate>
  <Classification>PUBLIC</Classification>
  <Subclassification/>
  <HostName>MUMCMP01346</HostName>
  <Domain_User>CANARAROBECOMF/396</Domain_User>
  <IPAdd>192.9.198.198</IPAdd>
  <FilePath>Book78</FilePath>
  <KID>1098191A8D7D639113418563544234</KID>
  <UniqueName/>
  <Suggested/>
  <Justification/>
  <KlassifyGUID/>
</Klassify>
</file>

<file path=customXml/itemProps1.xml><?xml version="1.0" encoding="utf-8"?>
<ds:datastoreItem xmlns:ds="http://schemas.openxmlformats.org/officeDocument/2006/customXml" ds:itemID="{C5A1CC65-C919-4179-A066-BA2AB15F7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2026-04-09T09:00:49Z</dcterms:created>
  <dcterms:modified xsi:type="dcterms:W3CDTF">2026-04-09T09:00:56Z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1098191A8D7D639113418563544234</vt:lpwstr>
  </property>
</Properties>
</file>