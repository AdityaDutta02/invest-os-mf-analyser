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anuary 2023\"/>
    </mc:Choice>
  </mc:AlternateContent>
  <bookViews>
    <workbookView xWindow="0" yWindow="0" windowWidth="20490" windowHeight="7620"/>
  </bookViews>
  <sheets>
    <sheet name="L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6" i="1" l="1"/>
  <c r="G57" i="1" s="1"/>
  <c r="F56" i="1"/>
  <c r="F57" i="1" s="1"/>
  <c r="G52" i="1"/>
  <c r="F52" i="1"/>
  <c r="G47" i="1"/>
  <c r="F47" i="1"/>
  <c r="G35" i="1"/>
  <c r="G53" i="1" s="1"/>
  <c r="F35" i="1"/>
  <c r="F53" i="1" s="1"/>
  <c r="G19" i="1"/>
  <c r="G20" i="1" s="1"/>
  <c r="F19" i="1"/>
  <c r="F20" i="1" s="1"/>
  <c r="F58" i="1" s="1"/>
  <c r="G58" i="1" l="1"/>
</calcChain>
</file>

<file path=xl/sharedStrings.xml><?xml version="1.0" encoding="utf-8"?>
<sst xmlns="http://schemas.openxmlformats.org/spreadsheetml/2006/main" count="157" uniqueCount="119">
  <si>
    <t>CANARA ROBECO LIQUID FUND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</si>
  <si>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</si>
  <si>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</si>
  <si>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</si>
  <si>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</si>
  <si>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</si>
  <si>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</si>
  <si>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</si>
  <si>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</si>
  <si>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Jan'23</t>
  </si>
  <si>
    <t>Benchmark Risk-o-meter Level- Jan'23</t>
  </si>
  <si>
    <t>Previous Scheme Risk-o-meter Level- Dec'22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</si>
  <si>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</si>
  <si>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</si>
  <si>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</si>
  <si>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</si>
  <si>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</si>
  <si>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</si>
  <si>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</si>
  <si>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</si>
  <si>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6.65% Grasim industries Ltd (17/02/2023) **</t>
  </si>
  <si>
    <t>INE047A08166</t>
  </si>
  <si>
    <t>CRISIL AAA</t>
  </si>
  <si>
    <t>Relatively Low (Class I)</t>
  </si>
  <si>
    <t>A-I</t>
  </si>
  <si>
    <t>7.10% Bajaj Finance Ltd (10/02/2023) **</t>
  </si>
  <si>
    <t>INE296A07RB5</t>
  </si>
  <si>
    <t>8.80% Power Grid Corporation of India Ltd (13/03/2023) **</t>
  </si>
  <si>
    <t>INE752E07KN9</t>
  </si>
  <si>
    <t>Moderate 
(Class II)</t>
  </si>
  <si>
    <t>6.99% Housing Development Finance Corporation Ltd (13/02/2023) **</t>
  </si>
  <si>
    <t>INE001A07SH4</t>
  </si>
  <si>
    <t>8.56% Nuclear Power Corporation of India Ltd (15/03/2023) **</t>
  </si>
  <si>
    <t>INE206D08154</t>
  </si>
  <si>
    <t>Relatively High (Class III)</t>
  </si>
  <si>
    <t>8.50% Export-Import Bank Of India (26/04/2023) **</t>
  </si>
  <si>
    <t>INE514E08CK4</t>
  </si>
  <si>
    <t>7.45% LIC Housing Finance Ltd (10/02/2023) **</t>
  </si>
  <si>
    <t>INE115A07OQ2</t>
  </si>
  <si>
    <t>Benchmark: CRISIL Liquid Fund A-I Index</t>
  </si>
  <si>
    <t>6.83% Power Finance Corporation Ltd (24/04/2023) **</t>
  </si>
  <si>
    <t>INE134E08KO6</t>
  </si>
  <si>
    <t>8.54% Nuclear Power Corporation of India Ltd (15/03/2023) **</t>
  </si>
  <si>
    <t>INE206D08147</t>
  </si>
  <si>
    <t>6.95% Reliance Industries Ltd (15/03/2023) **</t>
  </si>
  <si>
    <t>INE002A08641</t>
  </si>
  <si>
    <t>7.57% HDB Financial Services Ltd (16/02/2023) **</t>
  </si>
  <si>
    <t>INE756I07CY5</t>
  </si>
  <si>
    <t>6.92% REC Ltd (21/04/2023)</t>
  </si>
  <si>
    <t>INE020B08CT9</t>
  </si>
  <si>
    <t>Sub Total</t>
  </si>
  <si>
    <t>Total</t>
  </si>
  <si>
    <t>Money Market Instruments</t>
  </si>
  <si>
    <t>Certificate of Deposit</t>
  </si>
  <si>
    <t>Bank of Baroda (10/02/2023) #</t>
  </si>
  <si>
    <t>INE028A16CX9</t>
  </si>
  <si>
    <t>IND A1+</t>
  </si>
  <si>
    <t>National Bank For Agriculture &amp; Rural Development (08/02/2023) #</t>
  </si>
  <si>
    <t>INE261F16637</t>
  </si>
  <si>
    <t>CRISIL A1+</t>
  </si>
  <si>
    <t>Axis Bank Ltd (10/02/2023) #</t>
  </si>
  <si>
    <t>INE238A165Y7</t>
  </si>
  <si>
    <t>Small Industries Development Bank of India (14/02/2023) #</t>
  </si>
  <si>
    <t>INE556F16911</t>
  </si>
  <si>
    <t>CARE A1+</t>
  </si>
  <si>
    <t>HDFC Bank Ltd (06/03/2023) ** #</t>
  </si>
  <si>
    <t>INE040A16CX4</t>
  </si>
  <si>
    <t>Bank of Baroda (14/02/2023) #</t>
  </si>
  <si>
    <t>INE028A16CO8</t>
  </si>
  <si>
    <t>Indian Bank (15/02/2023) ** #</t>
  </si>
  <si>
    <t>INE562A16LI9</t>
  </si>
  <si>
    <t>HDFC Bank Ltd (13/04/2023) #</t>
  </si>
  <si>
    <t>INE040A16DG7</t>
  </si>
  <si>
    <t>Axis Bank Ltd (28/04/2023) ** #</t>
  </si>
  <si>
    <t>INE238AD6272</t>
  </si>
  <si>
    <t>HDFC Bank Ltd (10/02/2023) #</t>
  </si>
  <si>
    <t>INE040A16CV8</t>
  </si>
  <si>
    <t>National Bank For Agriculture &amp; Rural Development (17/02/2023) ** #</t>
  </si>
  <si>
    <t>INE261F16660</t>
  </si>
  <si>
    <t>Axis Bank Ltd (08/03/2023) #</t>
  </si>
  <si>
    <t>INE238A162Z1</t>
  </si>
  <si>
    <t>Commercial Paper</t>
  </si>
  <si>
    <t>Reliance Retail Ventures Ltd (13/03/2023) **</t>
  </si>
  <si>
    <t>INE929O14925</t>
  </si>
  <si>
    <t>Tata Capital Financial Services Ltd (15/03/2023) **</t>
  </si>
  <si>
    <t>INE306N14UH2</t>
  </si>
  <si>
    <t>LIC Housing Finance Ltd (28/04/2023) **</t>
  </si>
  <si>
    <t>INE115A14EE5</t>
  </si>
  <si>
    <t>Export-Import Bank Of India (13/02/2023) **</t>
  </si>
  <si>
    <t>INE514E14QR7</t>
  </si>
  <si>
    <t>Berger Paints India Ltd (14/02/2023) **</t>
  </si>
  <si>
    <t>INE463A14MY0</t>
  </si>
  <si>
    <t>Reliance Retail Ventures Ltd (28/02/2023) **</t>
  </si>
  <si>
    <t>INE929O14891</t>
  </si>
  <si>
    <t>Sundaram Finance Ltd (23/03/2023) **</t>
  </si>
  <si>
    <t>INE660A14WP8</t>
  </si>
  <si>
    <t>National Bank For Agriculture &amp; Rural Development (28/04/2023) **</t>
  </si>
  <si>
    <t>INE261F14JM8</t>
  </si>
  <si>
    <t>ICRA A1+</t>
  </si>
  <si>
    <t>ICICI Securities Ltd (28/04/2023) **</t>
  </si>
  <si>
    <t>INE763G14ON9</t>
  </si>
  <si>
    <t>LIC Housing Finance Ltd (13/03/2023) **</t>
  </si>
  <si>
    <t>INE115A14DV1</t>
  </si>
  <si>
    <t>Treasury Bill</t>
  </si>
  <si>
    <t>91 DAYS TREASURY BILLS 02-FEB-23</t>
  </si>
  <si>
    <t>IN002022X312</t>
  </si>
  <si>
    <t xml:space="preserve"> Sovereign</t>
  </si>
  <si>
    <t>182 DAYS TREASURY BILLS 02-FEB-23</t>
  </si>
  <si>
    <t>IN002022Y187</t>
  </si>
  <si>
    <t>364 DAYS TREASURY BILLS 12-APR-23</t>
  </si>
  <si>
    <t>IN002022Z028</t>
  </si>
  <si>
    <t>TREPS</t>
  </si>
  <si>
    <t>Net Receivables / (Payables)</t>
  </si>
  <si>
    <t>Grand Total</t>
  </si>
  <si>
    <t>**  Non Traded Security</t>
  </si>
  <si>
    <t>#  Unlisted Security</t>
  </si>
  <si>
    <t>Residual Maturity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</si>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</sst>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9" fillId="4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43" fontId="3" fillId="3" borderId="0" xfId="1" applyFont="1" applyFill="1" applyAlignment="1"/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0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49" fontId="10" fillId="5" borderId="18" xfId="0" applyNumberFormat="1" applyFont="1" applyFill="1" applyBorder="1"/>
    <xf numFmtId="2" fontId="10" fillId="0" borderId="19" xfId="0" applyNumberFormat="1" applyFont="1" applyBorder="1" applyAlignment="1">
      <alignment horizontal="right"/>
    </xf>
    <xf numFmtId="0" fontId="6" fillId="3" borderId="0" xfId="0" applyFont="1" applyFill="1"/>
    <xf numFmtId="10" fontId="10" fillId="0" borderId="19" xfId="2" applyNumberFormat="1" applyFont="1" applyBorder="1" applyAlignment="1">
      <alignment horizontal="right"/>
    </xf>
    <xf numFmtId="2" fontId="10" fillId="0" borderId="19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161925</xdr:colOff>
      <xdr:row>4</xdr:row>
      <xdr:rowOff>99868</xdr:rowOff>
    </xdr:from>
    <xdr:ext cx="1841240" cy="1147907"/>
    <xdr:pic>
      <xdr:nvPicPr>
        <xdr:cNvPr id="2" name="Picture 1">
          <a:extLst>
            <a:ext uri="{FF2B5EF4-FFF2-40B4-BE49-F238E27FC236}">
              <a16:creationId xmlns:a16="http://schemas.microsoft.com/office/drawing/2014/main" id="{71B5A46C-2F97-434E-8241-E12D92410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0300" y="1109518"/>
          <a:ext cx="1841240" cy="1147907"/>
        </a:xfrm>
        <a:prstGeom prst="rect">
          <a:avLst/>
        </a:prstGeom>
      </xdr:spPr>
    </xdr:pic>
    <xdr:clientData/>
  </xdr:oneCellAnchor>
  <xdr:twoCellAnchor editAs="oneCell">
    <xdr:from>
      <xdr:col>10</xdr:col>
      <xdr:colOff>171449</xdr:colOff>
      <xdr:row>4</xdr:row>
      <xdr:rowOff>38100</xdr:rowOff>
    </xdr:from>
    <xdr:to>
      <xdr:col>10</xdr:col>
      <xdr:colOff>2133600</xdr:colOff>
      <xdr:row>11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06B108-3C35-4744-99FA-D7AC72AA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53899" y="1047750"/>
          <a:ext cx="1962151" cy="1219200"/>
        </a:xfrm>
        <a:prstGeom prst="rect">
          <a:avLst/>
        </a:prstGeom>
      </xdr:spPr>
    </xdr:pic>
    <xdr:clientData/>
  </xdr:twoCellAnchor>
  <xdr:oneCellAnchor>
    <xdr:from>
      <xdr:col>11</xdr:col>
      <xdr:colOff>161925</xdr:colOff>
      <xdr:row>4</xdr:row>
      <xdr:rowOff>99868</xdr:rowOff>
    </xdr:from>
    <xdr:ext cx="1841240" cy="1147907"/>
    <xdr:pic>
      <xdr:nvPicPr>
        <xdr:cNvPr id="4" name="Picture 3">
          <a:extLst>
            <a:ext uri="{FF2B5EF4-FFF2-40B4-BE49-F238E27FC236}">
              <a16:creationId xmlns:a16="http://schemas.microsoft.com/office/drawing/2014/main" id="{D44DE0C5-CF79-4BF6-A430-6374700F2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9900" y="1109518"/>
          <a:ext cx="1841240" cy="114790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2"/>
  <sheetViews>
    <sheetView tabSelected="1" workbookViewId="0">
      <selection activeCell="A7" sqref="A7"/>
    </sheetView>
  </sheetViews>
  <sheetFormatPr defaultColWidth="13.7109375" defaultRowHeight="12"/>
  <cols>
    <col min="1" max="1" width="13.7109375" style="3" customWidth="1"/>
    <col min="2" max="2" width="58.42578125" style="3" bestFit="1" customWidth="1"/>
    <col min="3" max="3" width="13.85546875" style="3" bestFit="1" customWidth="1"/>
    <col min="4" max="4" width="10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13.7109375" style="3" customWidth="1"/>
    <col min="10" max="10" width="31.85546875" style="4" customWidth="1"/>
    <col min="11" max="11" width="34.42578125" style="4" customWidth="1"/>
    <col min="12" max="12" width="33.42578125" style="4" customWidth="1"/>
    <col min="13" max="13" width="5.5703125" style="4" bestFit="1" customWidth="1"/>
    <col min="14" max="16384" width="13.710937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24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>
      <c r="B7" s="25" t="s">
        <v>20</v>
      </c>
      <c r="C7" s="25" t="s">
        <v>21</v>
      </c>
      <c r="D7" s="25" t="s">
        <v>22</v>
      </c>
      <c r="E7" s="28">
        <v>1750</v>
      </c>
      <c r="F7" s="26">
        <v>17494.66</v>
      </c>
      <c r="G7" s="26">
        <v>5.52</v>
      </c>
      <c r="H7" s="26">
        <v>6.91</v>
      </c>
      <c r="J7" s="21"/>
      <c r="K7" s="21"/>
      <c r="L7" s="21"/>
      <c r="N7" s="29" t="s">
        <v>23</v>
      </c>
      <c r="O7" s="30" t="s">
        <v>24</v>
      </c>
      <c r="P7" s="31"/>
      <c r="Q7" s="32"/>
    </row>
    <row r="8" spans="2:17">
      <c r="B8" s="25" t="s">
        <v>25</v>
      </c>
      <c r="C8" s="25" t="s">
        <v>26</v>
      </c>
      <c r="D8" s="25" t="s">
        <v>22</v>
      </c>
      <c r="E8" s="28">
        <v>1000</v>
      </c>
      <c r="F8" s="26">
        <v>9999.16</v>
      </c>
      <c r="G8" s="26">
        <v>3.15</v>
      </c>
      <c r="H8" s="26">
        <v>6.96</v>
      </c>
      <c r="J8" s="21"/>
      <c r="K8" s="21"/>
      <c r="L8" s="21"/>
      <c r="N8" s="29"/>
      <c r="O8" s="33"/>
      <c r="P8" s="34"/>
      <c r="Q8" s="35"/>
    </row>
    <row r="9" spans="2:17">
      <c r="B9" s="25" t="s">
        <v>27</v>
      </c>
      <c r="C9" s="25" t="s">
        <v>28</v>
      </c>
      <c r="D9" s="25" t="s">
        <v>22</v>
      </c>
      <c r="E9" s="28">
        <v>950</v>
      </c>
      <c r="F9" s="26">
        <v>9514.2099999999991</v>
      </c>
      <c r="G9" s="26">
        <v>3</v>
      </c>
      <c r="H9" s="26">
        <v>6.89</v>
      </c>
      <c r="J9" s="21"/>
      <c r="K9" s="21"/>
      <c r="L9" s="21"/>
      <c r="N9" s="29" t="s">
        <v>29</v>
      </c>
      <c r="O9" s="32"/>
      <c r="P9" s="32"/>
      <c r="Q9" s="32"/>
    </row>
    <row r="10" spans="2:17">
      <c r="B10" s="25" t="s">
        <v>30</v>
      </c>
      <c r="C10" s="25" t="s">
        <v>31</v>
      </c>
      <c r="D10" s="25" t="s">
        <v>22</v>
      </c>
      <c r="E10" s="28">
        <v>950</v>
      </c>
      <c r="F10" s="26">
        <v>9498.7199999999993</v>
      </c>
      <c r="G10" s="26">
        <v>3</v>
      </c>
      <c r="H10" s="26">
        <v>6.93</v>
      </c>
      <c r="J10" s="21"/>
      <c r="K10" s="21"/>
      <c r="L10" s="21"/>
      <c r="N10" s="29"/>
      <c r="O10" s="35"/>
      <c r="P10" s="35"/>
      <c r="Q10" s="35"/>
    </row>
    <row r="11" spans="2:17">
      <c r="B11" s="25" t="s">
        <v>32</v>
      </c>
      <c r="C11" s="25" t="s">
        <v>33</v>
      </c>
      <c r="D11" s="25" t="s">
        <v>22</v>
      </c>
      <c r="E11" s="28">
        <v>600</v>
      </c>
      <c r="F11" s="26">
        <v>6012.03</v>
      </c>
      <c r="G11" s="26">
        <v>1.9</v>
      </c>
      <c r="H11" s="26">
        <v>6.89</v>
      </c>
      <c r="J11" s="21"/>
      <c r="K11" s="21"/>
      <c r="L11" s="21"/>
      <c r="N11" s="29" t="s">
        <v>34</v>
      </c>
      <c r="O11" s="32"/>
      <c r="P11" s="32"/>
      <c r="Q11" s="32"/>
    </row>
    <row r="12" spans="2:17">
      <c r="B12" s="25" t="s">
        <v>35</v>
      </c>
      <c r="C12" s="25" t="s">
        <v>36</v>
      </c>
      <c r="D12" s="25" t="s">
        <v>22</v>
      </c>
      <c r="E12" s="28">
        <v>500</v>
      </c>
      <c r="F12" s="26">
        <v>5008.18</v>
      </c>
      <c r="G12" s="26">
        <v>1.58</v>
      </c>
      <c r="H12" s="26">
        <v>7.3</v>
      </c>
      <c r="J12" s="21"/>
      <c r="K12" s="21"/>
      <c r="L12" s="21"/>
      <c r="N12" s="29"/>
      <c r="O12" s="35"/>
      <c r="P12" s="35"/>
      <c r="Q12" s="35"/>
    </row>
    <row r="13" spans="2:17">
      <c r="B13" s="25" t="s">
        <v>37</v>
      </c>
      <c r="C13" s="25" t="s">
        <v>38</v>
      </c>
      <c r="D13" s="25" t="s">
        <v>22</v>
      </c>
      <c r="E13" s="28">
        <v>500</v>
      </c>
      <c r="F13" s="26">
        <v>5000</v>
      </c>
      <c r="G13" s="26">
        <v>1.58</v>
      </c>
      <c r="H13" s="26">
        <v>6.95</v>
      </c>
      <c r="J13" s="36"/>
      <c r="K13" s="36" t="s">
        <v>39</v>
      </c>
    </row>
    <row r="14" spans="2:17">
      <c r="B14" s="25" t="s">
        <v>40</v>
      </c>
      <c r="C14" s="25" t="s">
        <v>41</v>
      </c>
      <c r="D14" s="25" t="s">
        <v>22</v>
      </c>
      <c r="E14" s="28">
        <v>500</v>
      </c>
      <c r="F14" s="26">
        <v>4989.67</v>
      </c>
      <c r="G14" s="26">
        <v>1.57</v>
      </c>
      <c r="H14" s="26">
        <v>7.38</v>
      </c>
    </row>
    <row r="15" spans="2:17">
      <c r="B15" s="25" t="s">
        <v>42</v>
      </c>
      <c r="C15" s="25" t="s">
        <v>43</v>
      </c>
      <c r="D15" s="25" t="s">
        <v>22</v>
      </c>
      <c r="E15" s="28">
        <v>450</v>
      </c>
      <c r="F15" s="26">
        <v>4508.92</v>
      </c>
      <c r="G15" s="26">
        <v>1.42</v>
      </c>
      <c r="H15" s="26">
        <v>6.59</v>
      </c>
    </row>
    <row r="16" spans="2:17">
      <c r="B16" s="25" t="s">
        <v>44</v>
      </c>
      <c r="C16" s="25" t="s">
        <v>45</v>
      </c>
      <c r="D16" s="25" t="s">
        <v>22</v>
      </c>
      <c r="E16" s="28">
        <v>450</v>
      </c>
      <c r="F16" s="26">
        <v>4498.21</v>
      </c>
      <c r="G16" s="26">
        <v>1.42</v>
      </c>
      <c r="H16" s="26">
        <v>6.87</v>
      </c>
    </row>
    <row r="17" spans="2:9">
      <c r="B17" s="25" t="s">
        <v>46</v>
      </c>
      <c r="C17" s="25" t="s">
        <v>47</v>
      </c>
      <c r="D17" s="25" t="s">
        <v>22</v>
      </c>
      <c r="E17" s="28">
        <v>350</v>
      </c>
      <c r="F17" s="26">
        <v>3500.14</v>
      </c>
      <c r="G17" s="26">
        <v>1.1000000000000001</v>
      </c>
      <c r="H17" s="26">
        <v>6.97</v>
      </c>
    </row>
    <row r="18" spans="2:9">
      <c r="B18" s="25" t="s">
        <v>48</v>
      </c>
      <c r="C18" s="25" t="s">
        <v>49</v>
      </c>
      <c r="D18" s="25" t="s">
        <v>22</v>
      </c>
      <c r="E18" s="28">
        <v>250</v>
      </c>
      <c r="F18" s="26">
        <v>2495.04</v>
      </c>
      <c r="G18" s="26">
        <v>0.79</v>
      </c>
      <c r="H18" s="26">
        <v>7.45</v>
      </c>
    </row>
    <row r="19" spans="2:9">
      <c r="B19" s="37" t="s">
        <v>50</v>
      </c>
      <c r="C19" s="37"/>
      <c r="D19" s="37"/>
      <c r="E19" s="37"/>
      <c r="F19" s="38">
        <f>SUM(F6:F18)</f>
        <v>82518.94</v>
      </c>
      <c r="G19" s="38">
        <f>SUM(G6:G18)</f>
        <v>26.03</v>
      </c>
      <c r="H19" s="39"/>
      <c r="I19" s="40"/>
    </row>
    <row r="20" spans="2:9">
      <c r="B20" s="41" t="s">
        <v>51</v>
      </c>
      <c r="C20" s="41"/>
      <c r="D20" s="41"/>
      <c r="E20" s="41"/>
      <c r="F20" s="42">
        <f>F19</f>
        <v>82518.94</v>
      </c>
      <c r="G20" s="42">
        <f>G19</f>
        <v>26.03</v>
      </c>
      <c r="H20" s="42"/>
      <c r="I20" s="40"/>
    </row>
    <row r="21" spans="2:9">
      <c r="B21" s="24" t="s">
        <v>52</v>
      </c>
      <c r="C21" s="25"/>
      <c r="D21" s="25"/>
      <c r="E21" s="25"/>
      <c r="F21" s="26"/>
      <c r="G21" s="26"/>
      <c r="H21" s="26"/>
    </row>
    <row r="22" spans="2:9">
      <c r="B22" s="24" t="s">
        <v>53</v>
      </c>
      <c r="C22" s="25"/>
      <c r="D22" s="25"/>
      <c r="E22" s="25"/>
      <c r="F22" s="26"/>
      <c r="G22" s="26"/>
      <c r="H22" s="26"/>
    </row>
    <row r="23" spans="2:9">
      <c r="B23" s="25" t="s">
        <v>54</v>
      </c>
      <c r="C23" s="25" t="s">
        <v>55</v>
      </c>
      <c r="D23" s="25" t="s">
        <v>56</v>
      </c>
      <c r="E23" s="28">
        <v>3000</v>
      </c>
      <c r="F23" s="26">
        <v>14975.07</v>
      </c>
      <c r="G23" s="26">
        <v>4.72</v>
      </c>
      <c r="H23" s="26">
        <v>6.75</v>
      </c>
    </row>
    <row r="24" spans="2:9">
      <c r="B24" s="25" t="s">
        <v>57</v>
      </c>
      <c r="C24" s="25" t="s">
        <v>58</v>
      </c>
      <c r="D24" s="25" t="s">
        <v>59</v>
      </c>
      <c r="E24" s="28">
        <v>2000</v>
      </c>
      <c r="F24" s="26">
        <v>9987.01</v>
      </c>
      <c r="G24" s="26">
        <v>3.15</v>
      </c>
      <c r="H24" s="26">
        <v>6.78</v>
      </c>
    </row>
    <row r="25" spans="2:9">
      <c r="B25" s="25" t="s">
        <v>60</v>
      </c>
      <c r="C25" s="25" t="s">
        <v>61</v>
      </c>
      <c r="D25" s="25" t="s">
        <v>59</v>
      </c>
      <c r="E25" s="28">
        <v>2000</v>
      </c>
      <c r="F25" s="26">
        <v>9983.35</v>
      </c>
      <c r="G25" s="26">
        <v>3.15</v>
      </c>
      <c r="H25" s="26">
        <v>6.76</v>
      </c>
    </row>
    <row r="26" spans="2:9">
      <c r="B26" s="25" t="s">
        <v>62</v>
      </c>
      <c r="C26" s="25" t="s">
        <v>63</v>
      </c>
      <c r="D26" s="25" t="s">
        <v>64</v>
      </c>
      <c r="E26" s="28">
        <v>1500</v>
      </c>
      <c r="F26" s="26">
        <v>7481.99</v>
      </c>
      <c r="G26" s="26">
        <v>2.36</v>
      </c>
      <c r="H26" s="26">
        <v>6.76</v>
      </c>
    </row>
    <row r="27" spans="2:9">
      <c r="B27" s="25" t="s">
        <v>65</v>
      </c>
      <c r="C27" s="25" t="s">
        <v>66</v>
      </c>
      <c r="D27" s="25" t="s">
        <v>64</v>
      </c>
      <c r="E27" s="28">
        <v>1500</v>
      </c>
      <c r="F27" s="26">
        <v>7454.34</v>
      </c>
      <c r="G27" s="26">
        <v>2.35</v>
      </c>
      <c r="H27" s="26">
        <v>6.78</v>
      </c>
    </row>
    <row r="28" spans="2:9">
      <c r="B28" s="25" t="s">
        <v>67</v>
      </c>
      <c r="C28" s="25" t="s">
        <v>68</v>
      </c>
      <c r="D28" s="25" t="s">
        <v>56</v>
      </c>
      <c r="E28" s="28">
        <v>1000</v>
      </c>
      <c r="F28" s="26">
        <v>4987.92</v>
      </c>
      <c r="G28" s="26">
        <v>1.57</v>
      </c>
      <c r="H28" s="26">
        <v>6.8</v>
      </c>
    </row>
    <row r="29" spans="2:9">
      <c r="B29" s="25" t="s">
        <v>69</v>
      </c>
      <c r="C29" s="25" t="s">
        <v>70</v>
      </c>
      <c r="D29" s="25" t="s">
        <v>59</v>
      </c>
      <c r="E29" s="28">
        <v>1000</v>
      </c>
      <c r="F29" s="26">
        <v>4987.03</v>
      </c>
      <c r="G29" s="26">
        <v>1.57</v>
      </c>
      <c r="H29" s="26">
        <v>6.78</v>
      </c>
    </row>
    <row r="30" spans="2:9">
      <c r="B30" s="25" t="s">
        <v>71</v>
      </c>
      <c r="C30" s="25" t="s">
        <v>72</v>
      </c>
      <c r="D30" s="25" t="s">
        <v>64</v>
      </c>
      <c r="E30" s="28">
        <v>1000</v>
      </c>
      <c r="F30" s="26">
        <v>4930.99</v>
      </c>
      <c r="G30" s="26">
        <v>1.56</v>
      </c>
      <c r="H30" s="26">
        <v>7.2</v>
      </c>
    </row>
    <row r="31" spans="2:9">
      <c r="B31" s="25" t="s">
        <v>73</v>
      </c>
      <c r="C31" s="25" t="s">
        <v>74</v>
      </c>
      <c r="D31" s="25" t="s">
        <v>59</v>
      </c>
      <c r="E31" s="28">
        <v>1000</v>
      </c>
      <c r="F31" s="26">
        <v>4916.68</v>
      </c>
      <c r="G31" s="26">
        <v>1.55</v>
      </c>
      <c r="H31" s="26">
        <v>7.19</v>
      </c>
    </row>
    <row r="32" spans="2:9">
      <c r="B32" s="25" t="s">
        <v>75</v>
      </c>
      <c r="C32" s="25" t="s">
        <v>76</v>
      </c>
      <c r="D32" s="25" t="s">
        <v>64</v>
      </c>
      <c r="E32" s="28">
        <v>500</v>
      </c>
      <c r="F32" s="26">
        <v>2495.85</v>
      </c>
      <c r="G32" s="26">
        <v>0.79</v>
      </c>
      <c r="H32" s="26">
        <v>6.75</v>
      </c>
    </row>
    <row r="33" spans="2:9">
      <c r="B33" s="25" t="s">
        <v>77</v>
      </c>
      <c r="C33" s="25" t="s">
        <v>78</v>
      </c>
      <c r="D33" s="25" t="s">
        <v>56</v>
      </c>
      <c r="E33" s="28">
        <v>500</v>
      </c>
      <c r="F33" s="26">
        <v>2492.58</v>
      </c>
      <c r="G33" s="26">
        <v>0.79</v>
      </c>
      <c r="H33" s="26">
        <v>6.79</v>
      </c>
    </row>
    <row r="34" spans="2:9">
      <c r="B34" s="25" t="s">
        <v>79</v>
      </c>
      <c r="C34" s="25" t="s">
        <v>80</v>
      </c>
      <c r="D34" s="25" t="s">
        <v>59</v>
      </c>
      <c r="E34" s="28">
        <v>500</v>
      </c>
      <c r="F34" s="26">
        <v>2483.9</v>
      </c>
      <c r="G34" s="26">
        <v>0.78</v>
      </c>
      <c r="H34" s="26">
        <v>6.76</v>
      </c>
    </row>
    <row r="35" spans="2:9">
      <c r="B35" s="24" t="s">
        <v>50</v>
      </c>
      <c r="C35" s="24"/>
      <c r="D35" s="24"/>
      <c r="E35" s="24"/>
      <c r="F35" s="43">
        <f>SUM(F22:F34)</f>
        <v>77176.709999999992</v>
      </c>
      <c r="G35" s="43">
        <f>SUM(G22:G34)</f>
        <v>24.339999999999996</v>
      </c>
      <c r="H35" s="44"/>
      <c r="I35" s="40"/>
    </row>
    <row r="36" spans="2:9">
      <c r="B36" s="24" t="s">
        <v>81</v>
      </c>
      <c r="C36" s="25"/>
      <c r="D36" s="25"/>
      <c r="E36" s="25"/>
      <c r="F36" s="26"/>
      <c r="G36" s="26"/>
      <c r="H36" s="26"/>
    </row>
    <row r="37" spans="2:9">
      <c r="B37" s="25" t="s">
        <v>82</v>
      </c>
      <c r="C37" s="25" t="s">
        <v>83</v>
      </c>
      <c r="D37" s="25" t="s">
        <v>59</v>
      </c>
      <c r="E37" s="28">
        <v>2000</v>
      </c>
      <c r="F37" s="26">
        <v>9925.3799999999992</v>
      </c>
      <c r="G37" s="26">
        <v>3.13</v>
      </c>
      <c r="H37" s="26">
        <v>6.86</v>
      </c>
    </row>
    <row r="38" spans="2:9">
      <c r="B38" s="25" t="s">
        <v>84</v>
      </c>
      <c r="C38" s="25" t="s">
        <v>85</v>
      </c>
      <c r="D38" s="25" t="s">
        <v>59</v>
      </c>
      <c r="E38" s="28">
        <v>1500</v>
      </c>
      <c r="F38" s="26">
        <v>7439.44</v>
      </c>
      <c r="G38" s="26">
        <v>2.35</v>
      </c>
      <c r="H38" s="26">
        <v>7.08</v>
      </c>
    </row>
    <row r="39" spans="2:9">
      <c r="B39" s="25" t="s">
        <v>86</v>
      </c>
      <c r="C39" s="25" t="s">
        <v>87</v>
      </c>
      <c r="D39" s="25" t="s">
        <v>59</v>
      </c>
      <c r="E39" s="28">
        <v>1500</v>
      </c>
      <c r="F39" s="26">
        <v>7372.5</v>
      </c>
      <c r="G39" s="26">
        <v>2.33</v>
      </c>
      <c r="H39" s="26">
        <v>7.34</v>
      </c>
    </row>
    <row r="40" spans="2:9">
      <c r="B40" s="25" t="s">
        <v>88</v>
      </c>
      <c r="C40" s="25" t="s">
        <v>89</v>
      </c>
      <c r="D40" s="25" t="s">
        <v>59</v>
      </c>
      <c r="E40" s="28">
        <v>1000</v>
      </c>
      <c r="F40" s="26">
        <v>4988.93</v>
      </c>
      <c r="G40" s="26">
        <v>1.57</v>
      </c>
      <c r="H40" s="26">
        <v>6.75</v>
      </c>
    </row>
    <row r="41" spans="2:9">
      <c r="B41" s="25" t="s">
        <v>90</v>
      </c>
      <c r="C41" s="25" t="s">
        <v>91</v>
      </c>
      <c r="D41" s="25" t="s">
        <v>59</v>
      </c>
      <c r="E41" s="28">
        <v>1000</v>
      </c>
      <c r="F41" s="26">
        <v>4987.84</v>
      </c>
      <c r="G41" s="26">
        <v>1.57</v>
      </c>
      <c r="H41" s="26">
        <v>6.85</v>
      </c>
    </row>
    <row r="42" spans="2:9">
      <c r="B42" s="25" t="s">
        <v>92</v>
      </c>
      <c r="C42" s="25" t="s">
        <v>93</v>
      </c>
      <c r="D42" s="25" t="s">
        <v>59</v>
      </c>
      <c r="E42" s="28">
        <v>1000</v>
      </c>
      <c r="F42" s="26">
        <v>4974.91</v>
      </c>
      <c r="G42" s="26">
        <v>1.57</v>
      </c>
      <c r="H42" s="26">
        <v>6.82</v>
      </c>
    </row>
    <row r="43" spans="2:9">
      <c r="B43" s="25" t="s">
        <v>94</v>
      </c>
      <c r="C43" s="25" t="s">
        <v>95</v>
      </c>
      <c r="D43" s="25" t="s">
        <v>59</v>
      </c>
      <c r="E43" s="28">
        <v>1000</v>
      </c>
      <c r="F43" s="26">
        <v>4951.84</v>
      </c>
      <c r="G43" s="26">
        <v>1.56</v>
      </c>
      <c r="H43" s="26">
        <v>7.1</v>
      </c>
    </row>
    <row r="44" spans="2:9">
      <c r="B44" s="25" t="s">
        <v>96</v>
      </c>
      <c r="C44" s="25" t="s">
        <v>97</v>
      </c>
      <c r="D44" s="25" t="s">
        <v>98</v>
      </c>
      <c r="E44" s="28">
        <v>1000</v>
      </c>
      <c r="F44" s="26">
        <v>4916.2</v>
      </c>
      <c r="G44" s="26">
        <v>1.55</v>
      </c>
      <c r="H44" s="26">
        <v>7.24</v>
      </c>
    </row>
    <row r="45" spans="2:9">
      <c r="B45" s="25" t="s">
        <v>99</v>
      </c>
      <c r="C45" s="25" t="s">
        <v>100</v>
      </c>
      <c r="D45" s="25" t="s">
        <v>59</v>
      </c>
      <c r="E45" s="28">
        <v>1000</v>
      </c>
      <c r="F45" s="26">
        <v>4913.24</v>
      </c>
      <c r="G45" s="26">
        <v>1.55</v>
      </c>
      <c r="H45" s="26">
        <v>7.5</v>
      </c>
    </row>
    <row r="46" spans="2:9">
      <c r="B46" s="25" t="s">
        <v>101</v>
      </c>
      <c r="C46" s="25" t="s">
        <v>102</v>
      </c>
      <c r="D46" s="25" t="s">
        <v>59</v>
      </c>
      <c r="E46" s="28">
        <v>500</v>
      </c>
      <c r="F46" s="26">
        <v>2481.16</v>
      </c>
      <c r="G46" s="26">
        <v>0.78</v>
      </c>
      <c r="H46" s="26">
        <v>6.93</v>
      </c>
    </row>
    <row r="47" spans="2:9">
      <c r="B47" s="24" t="s">
        <v>50</v>
      </c>
      <c r="C47" s="24"/>
      <c r="D47" s="24"/>
      <c r="E47" s="24"/>
      <c r="F47" s="43">
        <f>SUM(F36:F46)</f>
        <v>56951.439999999988</v>
      </c>
      <c r="G47" s="43">
        <f>SUM(G36:G46)</f>
        <v>17.960000000000004</v>
      </c>
      <c r="H47" s="44"/>
      <c r="I47" s="40"/>
    </row>
    <row r="48" spans="2:9">
      <c r="B48" s="24" t="s">
        <v>103</v>
      </c>
      <c r="C48" s="25"/>
      <c r="D48" s="25"/>
      <c r="E48" s="25"/>
      <c r="F48" s="26"/>
      <c r="G48" s="26"/>
      <c r="H48" s="26"/>
    </row>
    <row r="49" spans="2:9">
      <c r="B49" s="25" t="s">
        <v>104</v>
      </c>
      <c r="C49" s="25" t="s">
        <v>105</v>
      </c>
      <c r="D49" s="25" t="s">
        <v>106</v>
      </c>
      <c r="E49" s="28">
        <v>5000000</v>
      </c>
      <c r="F49" s="26">
        <v>4999.13</v>
      </c>
      <c r="G49" s="26">
        <v>1.58</v>
      </c>
      <c r="H49" s="26">
        <v>6.35</v>
      </c>
    </row>
    <row r="50" spans="2:9">
      <c r="B50" s="25" t="s">
        <v>107</v>
      </c>
      <c r="C50" s="25" t="s">
        <v>108</v>
      </c>
      <c r="D50" s="25" t="s">
        <v>106</v>
      </c>
      <c r="E50" s="28">
        <v>500000</v>
      </c>
      <c r="F50" s="26">
        <v>499.91</v>
      </c>
      <c r="G50" s="26">
        <v>0.16</v>
      </c>
      <c r="H50" s="26">
        <v>6.3</v>
      </c>
    </row>
    <row r="51" spans="2:9">
      <c r="B51" s="25" t="s">
        <v>109</v>
      </c>
      <c r="C51" s="25" t="s">
        <v>110</v>
      </c>
      <c r="D51" s="25" t="s">
        <v>106</v>
      </c>
      <c r="E51" s="28">
        <v>500000</v>
      </c>
      <c r="F51" s="26">
        <v>493.9</v>
      </c>
      <c r="G51" s="26">
        <v>0.16</v>
      </c>
      <c r="H51" s="26">
        <v>6.44</v>
      </c>
    </row>
    <row r="52" spans="2:9">
      <c r="B52" s="37" t="s">
        <v>50</v>
      </c>
      <c r="C52" s="37"/>
      <c r="D52" s="37"/>
      <c r="E52" s="37"/>
      <c r="F52" s="38">
        <f>SUM(F48:F51)</f>
        <v>5992.94</v>
      </c>
      <c r="G52" s="38">
        <f>SUM(G48:G51)</f>
        <v>1.9</v>
      </c>
      <c r="H52" s="39"/>
      <c r="I52" s="40"/>
    </row>
    <row r="53" spans="2:9">
      <c r="B53" s="41" t="s">
        <v>51</v>
      </c>
      <c r="C53" s="41"/>
      <c r="D53" s="41"/>
      <c r="E53" s="41"/>
      <c r="F53" s="42">
        <f>F35+F47+F52</f>
        <v>140121.08999999997</v>
      </c>
      <c r="G53" s="42">
        <f>G35+G47+G52</f>
        <v>44.199999999999996</v>
      </c>
      <c r="H53" s="42"/>
      <c r="I53" s="40"/>
    </row>
    <row r="54" spans="2:9">
      <c r="B54" s="24" t="s">
        <v>111</v>
      </c>
      <c r="C54" s="25"/>
      <c r="D54" s="25"/>
      <c r="E54" s="25"/>
      <c r="F54" s="26"/>
      <c r="G54" s="26"/>
      <c r="H54" s="26"/>
    </row>
    <row r="55" spans="2:9">
      <c r="B55" s="25" t="s">
        <v>111</v>
      </c>
      <c r="C55" s="25"/>
      <c r="D55" s="25"/>
      <c r="E55" s="25"/>
      <c r="F55" s="26">
        <v>88620.35</v>
      </c>
      <c r="G55" s="26">
        <v>27.96</v>
      </c>
      <c r="H55" s="26"/>
    </row>
    <row r="56" spans="2:9">
      <c r="B56" s="37" t="s">
        <v>50</v>
      </c>
      <c r="C56" s="37"/>
      <c r="D56" s="37"/>
      <c r="E56" s="37"/>
      <c r="F56" s="38">
        <f>SUM(F54:F55)</f>
        <v>88620.35</v>
      </c>
      <c r="G56" s="38">
        <f>SUM(G54:G55)</f>
        <v>27.96</v>
      </c>
      <c r="H56" s="39"/>
      <c r="I56" s="40"/>
    </row>
    <row r="57" spans="2:9">
      <c r="B57" s="45" t="s">
        <v>51</v>
      </c>
      <c r="C57" s="45"/>
      <c r="D57" s="45"/>
      <c r="E57" s="45"/>
      <c r="F57" s="46">
        <f>F56</f>
        <v>88620.35</v>
      </c>
      <c r="G57" s="46">
        <f>G56</f>
        <v>27.96</v>
      </c>
      <c r="H57" s="46"/>
      <c r="I57" s="40"/>
    </row>
    <row r="58" spans="2:9">
      <c r="B58" s="47" t="s">
        <v>112</v>
      </c>
      <c r="C58" s="47"/>
      <c r="D58" s="47"/>
      <c r="E58" s="47"/>
      <c r="F58" s="48">
        <f>F59-(+F20+F53+F57)</f>
        <v>5684.4099999999744</v>
      </c>
      <c r="G58" s="48">
        <f>G59-(+G20+G53+G57)</f>
        <v>1.8100000000000023</v>
      </c>
      <c r="H58" s="48"/>
      <c r="I58" s="40"/>
    </row>
    <row r="59" spans="2:9">
      <c r="B59" s="47" t="s">
        <v>113</v>
      </c>
      <c r="C59" s="47"/>
      <c r="D59" s="47"/>
      <c r="E59" s="47"/>
      <c r="F59" s="48">
        <v>316944.78999999998</v>
      </c>
      <c r="G59" s="48">
        <v>100</v>
      </c>
      <c r="H59" s="48"/>
      <c r="I59" s="40"/>
    </row>
    <row r="61" spans="2:9">
      <c r="B61" s="40" t="s">
        <v>114</v>
      </c>
    </row>
    <row r="62" spans="2:9">
      <c r="B62" s="40" t="s">
        <v>115</v>
      </c>
    </row>
    <row r="64" spans="2:9" ht="12.75" thickBot="1"/>
    <row r="65" spans="2:3" ht="13.5" thickTop="1" thickBot="1">
      <c r="B65" s="49" t="s">
        <v>116</v>
      </c>
      <c r="C65" s="50">
        <v>6.448920806128311E-2</v>
      </c>
    </row>
    <row r="66" spans="2:3" ht="12.75" thickTop="1">
      <c r="B66" s="51"/>
    </row>
    <row r="67" spans="2:3" ht="12.75" thickBot="1">
      <c r="B67" s="51"/>
    </row>
    <row r="68" spans="2:3" ht="13.5" thickTop="1" thickBot="1">
      <c r="B68" s="49" t="s">
        <v>117</v>
      </c>
      <c r="C68" s="52">
        <v>6.7715769412638058E-2</v>
      </c>
    </row>
    <row r="69" spans="2:3" ht="12.75" thickTop="1">
      <c r="B69" s="51"/>
    </row>
    <row r="70" spans="2:3" ht="12.75" thickBot="1">
      <c r="B70" s="51"/>
    </row>
    <row r="71" spans="2:3" ht="13.5" thickTop="1" thickBot="1">
      <c r="B71" s="49" t="s">
        <v>118</v>
      </c>
      <c r="C71" s="53">
        <v>6.5216888977627424E-2</v>
      </c>
    </row>
    <row r="72" spans="2:3" ht="12.75" thickTop="1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2023-02-03 17:12:38</KDate>
  <Classification>Public</Classification>
  <Subclassification/>
  <HostName>MUMCMP00935</HostName>
  <Domain_User>CANARAROBECOMF/628</Domain_User>
  <IPAdd>192.9.198.194</IPAdd>
  <FilePath>Book18</FilePath>
  <KID>C025A5607E97638110411588440207</KID>
  <UniqueName/>
  <Suggested/>
  <Justification/>
</Klassify>
</file>

<file path=customXml/itemProps1.xml><?xml version="1.0" encoding="utf-8"?>
<ds:datastoreItem xmlns:ds="http://schemas.openxmlformats.org/officeDocument/2006/customXml" ds:itemID="{B0DE0D54-2F30-491D-B7B0-1628249C5CD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2023-02-03T11:42:34Z</dcterms:created>
  <dcterms:modified xsi:type="dcterms:W3CDTF">2023-02-03T11:42:38Z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C025A5607E97638110411588440207</vt:lpwstr>
  </property>
</Properties>
</file>