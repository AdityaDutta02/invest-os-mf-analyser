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F9" i="1"/>
  <c r="F14" i="1" l="1"/>
  <c r="G14" i="1"/>
</calcChain>
</file>

<file path=xl/sharedStrings.xml><?xml version="1.0" encoding="utf-8"?>
<sst xmlns="http://schemas.openxmlformats.org/spreadsheetml/2006/main" count="26" uniqueCount="22">
  <si>
    <t>CANARA ROBECO GILT 1988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</si>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</sst>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tabSelected="1" workbookViewId="0">
      <selection activeCell="J11" sqref="J11"/>
    </sheetView>
  </sheetViews>
  <sheetFormatPr defaultRowHeight="12" x14ac:dyDescent="0.2"/>
  <cols>
    <col min="1" max="1" width="9.140625" style="3"/>
    <col min="2" max="2" width="61" style="3" bestFit="1" customWidth="1"/>
    <col min="3" max="3" width="12.7109375" style="3" bestFit="1" customWidth="1"/>
    <col min="4" max="4" width="14.140625" style="3" bestFit="1" customWidth="1"/>
    <col min="5" max="5" width="8.85546875" style="4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9" style="4" bestFit="1" customWidth="1"/>
    <col min="11" max="11" width="4.7109375" style="4" bestFit="1" customWidth="1"/>
    <col min="12" max="12" width="6.5703125" style="4" bestFit="1" customWidth="1"/>
    <col min="13" max="13" width="4.7109375" style="4" bestFit="1" customWidth="1"/>
    <col min="14" max="16384" width="9.140625" style="3"/>
  </cols>
  <sheetData>
    <row r="1" spans="2: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9" ht="16.5" thickBot="1" x14ac:dyDescent="0.25">
      <c r="B3" s="5" t="s">
        <v>1</v>
      </c>
      <c r="C3" s="6"/>
      <c r="D3" s="7"/>
      <c r="E3" s="8"/>
      <c r="F3" s="9"/>
      <c r="G3" s="9"/>
    </row>
    <row r="4" spans="2:9" ht="24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</row>
    <row r="5" spans="2:9" x14ac:dyDescent="0.2">
      <c r="B5" s="16" t="s">
        <v>9</v>
      </c>
      <c r="C5" s="17"/>
      <c r="D5" s="17"/>
      <c r="E5" s="18"/>
      <c r="F5" s="19"/>
      <c r="G5" s="19"/>
      <c r="H5" s="19"/>
    </row>
    <row r="6" spans="2:9" x14ac:dyDescent="0.2">
      <c r="B6" s="20" t="s">
        <v>10</v>
      </c>
      <c r="C6" s="20" t="s">
        <v>11</v>
      </c>
      <c r="D6" s="20" t="s">
        <v>12</v>
      </c>
      <c r="E6" s="21">
        <v>1500000</v>
      </c>
      <c r="F6" s="22">
        <v>1478.47</v>
      </c>
      <c r="G6" s="22">
        <v>44.94</v>
      </c>
      <c r="H6" s="22">
        <v>7.17</v>
      </c>
    </row>
    <row r="7" spans="2:9" x14ac:dyDescent="0.2">
      <c r="B7" s="20" t="s">
        <v>13</v>
      </c>
      <c r="C7" s="20" t="s">
        <v>14</v>
      </c>
      <c r="D7" s="20" t="s">
        <v>12</v>
      </c>
      <c r="E7" s="21">
        <v>1000000</v>
      </c>
      <c r="F7" s="22">
        <v>1014.75</v>
      </c>
      <c r="G7" s="22">
        <v>30.84</v>
      </c>
      <c r="H7" s="22">
        <v>7.05</v>
      </c>
    </row>
    <row r="8" spans="2:9" x14ac:dyDescent="0.2">
      <c r="B8" s="23" t="s">
        <v>15</v>
      </c>
      <c r="C8" s="23" t="s">
        <v>16</v>
      </c>
      <c r="D8" s="23" t="s">
        <v>12</v>
      </c>
      <c r="E8" s="24">
        <v>500000</v>
      </c>
      <c r="F8" s="25">
        <v>506.34</v>
      </c>
      <c r="G8" s="25">
        <v>15.39</v>
      </c>
      <c r="H8" s="25">
        <v>7.39</v>
      </c>
    </row>
    <row r="9" spans="2:9" x14ac:dyDescent="0.2">
      <c r="B9" s="26" t="s">
        <v>17</v>
      </c>
      <c r="C9" s="26"/>
      <c r="D9" s="26"/>
      <c r="E9" s="27"/>
      <c r="F9" s="28">
        <f>SUM(F6:F8)</f>
        <v>2999.5600000000004</v>
      </c>
      <c r="G9" s="28">
        <f>SUM(G6:G8)</f>
        <v>91.17</v>
      </c>
      <c r="H9" s="28"/>
      <c r="I9" s="29"/>
    </row>
    <row r="10" spans="2:9" x14ac:dyDescent="0.2">
      <c r="B10" s="30" t="s">
        <v>18</v>
      </c>
      <c r="C10" s="20"/>
      <c r="D10" s="20"/>
      <c r="E10" s="31"/>
      <c r="F10" s="22"/>
      <c r="G10" s="22"/>
      <c r="H10" s="22"/>
    </row>
    <row r="11" spans="2:9" x14ac:dyDescent="0.2">
      <c r="B11" s="20" t="s">
        <v>18</v>
      </c>
      <c r="C11" s="20"/>
      <c r="D11" s="20"/>
      <c r="E11" s="31"/>
      <c r="F11" s="22">
        <v>251.62</v>
      </c>
      <c r="G11" s="22">
        <v>7.65</v>
      </c>
      <c r="H11" s="22"/>
    </row>
    <row r="12" spans="2:9" x14ac:dyDescent="0.2">
      <c r="B12" s="32" t="s">
        <v>19</v>
      </c>
      <c r="C12" s="32"/>
      <c r="D12" s="32"/>
      <c r="E12" s="33"/>
      <c r="F12" s="34">
        <f>SUM(F10:F11)</f>
        <v>251.62</v>
      </c>
      <c r="G12" s="34">
        <f>SUM(G10:G11)</f>
        <v>7.65</v>
      </c>
      <c r="H12" s="35"/>
      <c r="I12" s="29"/>
    </row>
    <row r="13" spans="2:9" x14ac:dyDescent="0.2">
      <c r="B13" s="36" t="s">
        <v>17</v>
      </c>
      <c r="C13" s="36"/>
      <c r="D13" s="36"/>
      <c r="E13" s="37"/>
      <c r="F13" s="38">
        <f>F12</f>
        <v>251.62</v>
      </c>
      <c r="G13" s="38">
        <f>G12</f>
        <v>7.65</v>
      </c>
      <c r="H13" s="38"/>
      <c r="I13" s="29"/>
    </row>
    <row r="14" spans="2:9" x14ac:dyDescent="0.2">
      <c r="B14" s="39" t="s">
        <v>20</v>
      </c>
      <c r="C14" s="39"/>
      <c r="D14" s="39"/>
      <c r="E14" s="40"/>
      <c r="F14" s="41">
        <f>F15-(+F9+F13)</f>
        <v>38.729999999999563</v>
      </c>
      <c r="G14" s="41">
        <f>G15-(+G9+G13)</f>
        <v>1.1799999999999926</v>
      </c>
      <c r="H14" s="41"/>
      <c r="I14" s="29"/>
    </row>
    <row r="15" spans="2:9" x14ac:dyDescent="0.2">
      <c r="B15" s="39" t="s">
        <v>21</v>
      </c>
      <c r="C15" s="39"/>
      <c r="D15" s="39"/>
      <c r="E15" s="40"/>
      <c r="F15" s="41">
        <v>3289.91</v>
      </c>
      <c r="G15" s="41">
        <v>100</v>
      </c>
      <c r="H15" s="41"/>
      <c r="I15" s="29"/>
    </row>
    <row r="17" spans="2:2" x14ac:dyDescent="0.2">
      <c r="B17" s="29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13:35:13</KDate>
  <Classification>Public</Classification>
  <Subclassification/>
  <HostName>MUMCMP00935</HostName>
  <Domain_User>CANARAROBECOMF/628</Domain_User>
  <IPAdd>192.9.198.194</IPAdd>
  <FilePath>Book16</FilePath>
  <KID>C025A5607E97638059305134420299</KID>
  <UniqueName/>
  <Suggested/>
  <Justification/>
</Klassify>
</file>

<file path=customXml/itemProps1.xml><?xml version="1.0" encoding="utf-8"?>
<ds:datastoreItem xmlns:ds="http://schemas.openxmlformats.org/officeDocument/2006/customXml" ds:itemID="{933F3A34-89BA-4390-BEDB-5CFE07E520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2022-12-06T08:05:08Z</dcterms:created>
  <dcterms:modified xsi:type="dcterms:W3CDTF">2022-12-06T08:05:13Z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C025A5607E97638059305134420299</vt:lpwstr>
  </property>
</Properties>
</file>