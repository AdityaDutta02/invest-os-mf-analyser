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FB66287E-3E1B-4DD4-9F00-15908736E4D2}" xr6:coauthVersionLast="47" xr6:coauthVersionMax="47" xr10:uidLastSave="{00000000-0000-0000-0000-000000000000}"/>
  <bookViews>
    <workbookView xWindow="-120" yWindow="-120" windowWidth="20730" windowHeight="11160" xr2:uid="{E52C3F6B-F660-4EB3-B08C-BA17ECA7F0E3}"/>
  </bookViews>
  <sheets>
    <sheet name="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G42" i="1"/>
  <c r="G43" i="1" s="1"/>
  <c r="F42" i="1"/>
  <c r="G39" i="1"/>
  <c r="F39" i="1"/>
  <c r="G31" i="1"/>
  <c r="F31" i="1"/>
  <c r="G28" i="1"/>
  <c r="G32" i="1" s="1"/>
  <c r="F28" i="1"/>
  <c r="F32" i="1" s="1"/>
  <c r="F24" i="1"/>
  <c r="F44" i="1" s="1"/>
  <c r="G23" i="1"/>
  <c r="G24" i="1" s="1"/>
  <c r="F23" i="1"/>
  <c r="G44" i="1" l="1"/>
</calcChain>
</file>

<file path=xl/sharedStrings.xml><?xml version="1.0" encoding="utf-8"?>
<sst xmlns="http://schemas.openxmlformats.org/spreadsheetml/2006/main" count="115" uniqueCount="92">
  <si>
    <t>CANARA ROBECO BANKING AND PSU DEBT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</si>
  <si>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</si>
  <si>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</si>
  <si>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</si>
  <si>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</si>
  <si>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</si>
  <si>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</si>
  <si>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</si>
  <si>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</si>
  <si>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Jun'23</t>
  </si>
  <si>
    <t>Benchmark Risk-o-meter Level- Jun'23</t>
  </si>
  <si>
    <t>Scheme Risk-o-meter Level- May'23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</si>
  <si>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</si>
  <si>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</si>
  <si>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</si>
  <si>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</si>
  <si>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</si>
  <si>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</si>
  <si>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</si>
  <si>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</si>
  <si>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</si>
  <si>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</si>
  <si>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</si>
  <si>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</si>
  <si>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</si>
  <si>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</si>
  <si>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7.44% REC Ltd (30/04/2026)</t>
  </si>
  <si>
    <t>INE020B08EL2</t>
  </si>
  <si>
    <t>IND AAA</t>
  </si>
  <si>
    <t>Moderate 
(Class II)</t>
  </si>
  <si>
    <t>7.60% ICICI Bank Ltd (07/10/2023) **</t>
  </si>
  <si>
    <t>INE090A08TU6</t>
  </si>
  <si>
    <t>CARE AAA</t>
  </si>
  <si>
    <t>7.35% NTPC Ltd (17/04/2026) **</t>
  </si>
  <si>
    <t>INE733E08247</t>
  </si>
  <si>
    <t>Relatively High (Class III)</t>
  </si>
  <si>
    <t>B-III</t>
  </si>
  <si>
    <t>7.12% Hindustan Petroleum Corporation Ltd (30/07/2025) **</t>
  </si>
  <si>
    <t>INE094A08127</t>
  </si>
  <si>
    <t>7.15% Small Industries Development Bank Of India (21/07/2025) **</t>
  </si>
  <si>
    <t>INE556F08JZ5</t>
  </si>
  <si>
    <t>ICRA AAA</t>
  </si>
  <si>
    <t>Benchmark: CRISIL Banking and PSU Debt Index</t>
  </si>
  <si>
    <t>5.23% National Bank For Agriculture &amp; Rural Development (31/01/2025)</t>
  </si>
  <si>
    <t>INE261F08DI1</t>
  </si>
  <si>
    <t>8.45% Indian Railway Finance Corporation Ltd (04/12/2028) **</t>
  </si>
  <si>
    <t>INE053F07AY7</t>
  </si>
  <si>
    <t>7.65% Indian Railway Finance Corporation Ltd (30/12/2032) **</t>
  </si>
  <si>
    <t>INE053F08221</t>
  </si>
  <si>
    <t>8.27% REC Ltd (06/02/2025) **</t>
  </si>
  <si>
    <t>INE020B08906</t>
  </si>
  <si>
    <t>7.63% Grasim industries Ltd (01/12/2027) **</t>
  </si>
  <si>
    <t>INE047A08208</t>
  </si>
  <si>
    <t>6.85% National Bank For Agriculture &amp; Rural Development (21/03/2031) **</t>
  </si>
  <si>
    <t>INE261F08DA8</t>
  </si>
  <si>
    <t>8.65% Power Finance Corporation Ltd (28/12/2024) **</t>
  </si>
  <si>
    <t>INE134E08GV9</t>
  </si>
  <si>
    <t>7.70% Power Finance Corporation Ltd (15/04/2033) **</t>
  </si>
  <si>
    <t>INE134E08MI4</t>
  </si>
  <si>
    <t>6.19% LIC Housing Finance Ltd (25/11/2024) **</t>
  </si>
  <si>
    <t>INE115A07OW0</t>
  </si>
  <si>
    <t>Sub Total</t>
  </si>
  <si>
    <t>Total</t>
  </si>
  <si>
    <t>Money Market Instruments</t>
  </si>
  <si>
    <t>Certificate of Deposit</t>
  </si>
  <si>
    <t>State Bank Of India (15/03/2024) #</t>
  </si>
  <si>
    <t>INE062A16481</t>
  </si>
  <si>
    <t>IND A1+</t>
  </si>
  <si>
    <t>Treasury Bill</t>
  </si>
  <si>
    <t>364 DAYS TREASURY BILLS 01-FEB-24</t>
  </si>
  <si>
    <t>IN002022Z440</t>
  </si>
  <si>
    <t xml:space="preserve"> Sovereign</t>
  </si>
  <si>
    <t>Government Bonds</t>
  </si>
  <si>
    <t>7.39% TAMIL NADU SDL 10-MAY-33</t>
  </si>
  <si>
    <t>IN3120230021</t>
  </si>
  <si>
    <t>Sovereign</t>
  </si>
  <si>
    <t>7.64% KERALA SDL 04-JAN-34</t>
  </si>
  <si>
    <t>IN2020220124</t>
  </si>
  <si>
    <t>7.26% GOI 06-FEB-33</t>
  </si>
  <si>
    <t>IN0020220151</t>
  </si>
  <si>
    <t>7.37% ANDHRA PRADESH SDL 31-MAY-33</t>
  </si>
  <si>
    <t>IN1020230166</t>
  </si>
  <si>
    <t>7.38% GOI 20-JUN-27</t>
  </si>
  <si>
    <t>IN0020220037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</si>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</sst>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191861</xdr:colOff>
      <xdr:row>4</xdr:row>
      <xdr:rowOff>76202</xdr:rowOff>
    </xdr:from>
    <xdr:to>
      <xdr:col>10</xdr:col>
      <xdr:colOff>1962150</xdr:colOff>
      <xdr:row>10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4F339-2E3B-40EA-910C-15D044C6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6186" y="1066802"/>
          <a:ext cx="1770289" cy="1381123"/>
        </a:xfrm>
        <a:prstGeom prst="rect">
          <a:avLst/>
        </a:prstGeom>
      </xdr:spPr>
    </xdr:pic>
    <xdr:clientData/>
  </xdr:twoCellAnchor>
  <xdr:oneCellAnchor>
    <xdr:from>
      <xdr:col>9</xdr:col>
      <xdr:colOff>144237</xdr:colOff>
      <xdr:row>4</xdr:row>
      <xdr:rowOff>166006</xdr:rowOff>
    </xdr:from>
    <xdr:ext cx="1797502" cy="1177019"/>
    <xdr:pic>
      <xdr:nvPicPr>
        <xdr:cNvPr id="3" name="Picture 2">
          <a:extLst>
            <a:ext uri="{FF2B5EF4-FFF2-40B4-BE49-F238E27FC236}">
              <a16:creationId xmlns:a16="http://schemas.microsoft.com/office/drawing/2014/main" id="{A4B7575D-79BD-4779-A69A-11DE03C5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3537" y="1156606"/>
          <a:ext cx="1797502" cy="1177019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2C800D88-4C04-41B4-9892-CC501803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06525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1228-64AA-4018-B457-3BB33D86DD1C}">
  <dimension ref="B1:Q55"/>
  <sheetViews>
    <sheetView tabSelected="1" workbookViewId="0">
      <selection activeCell="K14" sqref="K14"/>
    </sheetView>
  </sheetViews>
  <sheetFormatPr defaultRowHeight="12" x14ac:dyDescent="0.2"/>
  <cols>
    <col min="1" max="1" width="9.140625" style="4"/>
    <col min="2" max="2" width="60.28515625" style="4" bestFit="1" customWidth="1"/>
    <col min="3" max="3" width="13.85546875" style="4" bestFit="1" customWidth="1"/>
    <col min="4" max="4" width="14.1406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250</v>
      </c>
      <c r="F7" s="26">
        <v>2585.6999999999998</v>
      </c>
      <c r="G7" s="26">
        <v>6.07</v>
      </c>
      <c r="H7" s="26">
        <v>7.64</v>
      </c>
      <c r="J7" s="21"/>
      <c r="K7" s="21"/>
      <c r="L7" s="21"/>
      <c r="N7" s="29" t="s">
        <v>23</v>
      </c>
      <c r="O7" s="30"/>
      <c r="P7" s="30"/>
      <c r="Q7" s="30"/>
    </row>
    <row r="8" spans="2:17" x14ac:dyDescent="0.2">
      <c r="B8" s="25" t="s">
        <v>24</v>
      </c>
      <c r="C8" s="25" t="s">
        <v>25</v>
      </c>
      <c r="D8" s="25" t="s">
        <v>22</v>
      </c>
      <c r="E8" s="28">
        <v>250</v>
      </c>
      <c r="F8" s="26">
        <v>2537.5700000000002</v>
      </c>
      <c r="G8" s="26">
        <v>5.95</v>
      </c>
      <c r="H8" s="26">
        <v>7.64</v>
      </c>
      <c r="J8" s="21"/>
      <c r="K8" s="21"/>
      <c r="L8" s="21"/>
      <c r="N8" s="29"/>
      <c r="O8" s="31"/>
      <c r="P8" s="31"/>
      <c r="Q8" s="31"/>
    </row>
    <row r="9" spans="2:17" x14ac:dyDescent="0.2">
      <c r="B9" s="25" t="s">
        <v>26</v>
      </c>
      <c r="C9" s="25" t="s">
        <v>27</v>
      </c>
      <c r="D9" s="25" t="s">
        <v>28</v>
      </c>
      <c r="E9" s="28">
        <v>2500</v>
      </c>
      <c r="F9" s="26">
        <v>2500.2199999999998</v>
      </c>
      <c r="G9" s="26">
        <v>5.87</v>
      </c>
      <c r="H9" s="26">
        <v>7.44</v>
      </c>
      <c r="J9" s="21"/>
      <c r="K9" s="21"/>
      <c r="L9" s="21"/>
      <c r="N9" s="29" t="s">
        <v>29</v>
      </c>
      <c r="O9" s="30"/>
      <c r="P9" s="30"/>
      <c r="Q9" s="30"/>
    </row>
    <row r="10" spans="2:17" x14ac:dyDescent="0.2">
      <c r="B10" s="25" t="s">
        <v>30</v>
      </c>
      <c r="C10" s="25" t="s">
        <v>31</v>
      </c>
      <c r="D10" s="25" t="s">
        <v>32</v>
      </c>
      <c r="E10" s="28">
        <v>250</v>
      </c>
      <c r="F10" s="26">
        <v>2497.8000000000002</v>
      </c>
      <c r="G10" s="26">
        <v>5.86</v>
      </c>
      <c r="H10" s="26">
        <v>7.52</v>
      </c>
      <c r="J10" s="21"/>
      <c r="K10" s="21"/>
      <c r="L10" s="21"/>
      <c r="N10" s="29"/>
      <c r="O10" s="31"/>
      <c r="P10" s="31"/>
      <c r="Q10" s="31"/>
    </row>
    <row r="11" spans="2:17" x14ac:dyDescent="0.2">
      <c r="B11" s="25" t="s">
        <v>33</v>
      </c>
      <c r="C11" s="25" t="s">
        <v>34</v>
      </c>
      <c r="D11" s="25" t="s">
        <v>22</v>
      </c>
      <c r="E11" s="28">
        <v>2500</v>
      </c>
      <c r="F11" s="26">
        <v>2494.4499999999998</v>
      </c>
      <c r="G11" s="26">
        <v>5.85</v>
      </c>
      <c r="H11" s="26">
        <v>7.42</v>
      </c>
      <c r="J11" s="21"/>
      <c r="K11" s="21"/>
      <c r="L11" s="21"/>
      <c r="N11" s="29" t="s">
        <v>35</v>
      </c>
      <c r="O11" s="30"/>
      <c r="P11" s="32" t="s">
        <v>36</v>
      </c>
      <c r="Q11" s="30"/>
    </row>
    <row r="12" spans="2:17" x14ac:dyDescent="0.2">
      <c r="B12" s="25" t="s">
        <v>37</v>
      </c>
      <c r="C12" s="25" t="s">
        <v>38</v>
      </c>
      <c r="D12" s="25" t="s">
        <v>22</v>
      </c>
      <c r="E12" s="28">
        <v>250</v>
      </c>
      <c r="F12" s="26">
        <v>2486.6999999999998</v>
      </c>
      <c r="G12" s="26">
        <v>5.83</v>
      </c>
      <c r="H12" s="26">
        <v>7.41</v>
      </c>
      <c r="J12" s="21"/>
      <c r="K12" s="21"/>
      <c r="L12" s="21"/>
      <c r="N12" s="29"/>
      <c r="O12" s="31"/>
      <c r="P12" s="33"/>
      <c r="Q12" s="31"/>
    </row>
    <row r="13" spans="2:17" ht="15" x14ac:dyDescent="0.25">
      <c r="B13" s="25" t="s">
        <v>39</v>
      </c>
      <c r="C13" s="25" t="s">
        <v>40</v>
      </c>
      <c r="D13" s="25" t="s">
        <v>41</v>
      </c>
      <c r="E13" s="28">
        <v>250</v>
      </c>
      <c r="F13" s="26">
        <v>2480.96</v>
      </c>
      <c r="G13" s="26">
        <v>5.82</v>
      </c>
      <c r="H13" s="26">
        <v>7.56</v>
      </c>
      <c r="K13" t="s">
        <v>42</v>
      </c>
    </row>
    <row r="14" spans="2:17" x14ac:dyDescent="0.2">
      <c r="B14" s="25" t="s">
        <v>43</v>
      </c>
      <c r="C14" s="25" t="s">
        <v>44</v>
      </c>
      <c r="D14" s="25" t="s">
        <v>22</v>
      </c>
      <c r="E14" s="28">
        <v>250</v>
      </c>
      <c r="F14" s="26">
        <v>2415.79</v>
      </c>
      <c r="G14" s="26">
        <v>5.67</v>
      </c>
      <c r="H14" s="26">
        <v>7.53</v>
      </c>
    </row>
    <row r="15" spans="2:17" x14ac:dyDescent="0.2">
      <c r="B15" s="25" t="s">
        <v>45</v>
      </c>
      <c r="C15" s="25" t="s">
        <v>46</v>
      </c>
      <c r="D15" s="25" t="s">
        <v>22</v>
      </c>
      <c r="E15" s="28">
        <v>150</v>
      </c>
      <c r="F15" s="26">
        <v>1563.72</v>
      </c>
      <c r="G15" s="26">
        <v>3.67</v>
      </c>
      <c r="H15" s="26">
        <v>7.46</v>
      </c>
    </row>
    <row r="16" spans="2:17" x14ac:dyDescent="0.2">
      <c r="B16" s="25" t="s">
        <v>47</v>
      </c>
      <c r="C16" s="25" t="s">
        <v>48</v>
      </c>
      <c r="D16" s="25" t="s">
        <v>22</v>
      </c>
      <c r="E16" s="28">
        <v>150</v>
      </c>
      <c r="F16" s="26">
        <v>1520.4</v>
      </c>
      <c r="G16" s="26">
        <v>3.57</v>
      </c>
      <c r="H16" s="26">
        <v>7.45</v>
      </c>
    </row>
    <row r="17" spans="2:8" x14ac:dyDescent="0.2">
      <c r="B17" s="25" t="s">
        <v>49</v>
      </c>
      <c r="C17" s="25" t="s">
        <v>50</v>
      </c>
      <c r="D17" s="25" t="s">
        <v>22</v>
      </c>
      <c r="E17" s="28">
        <v>150</v>
      </c>
      <c r="F17" s="26">
        <v>1517.48</v>
      </c>
      <c r="G17" s="26">
        <v>3.56</v>
      </c>
      <c r="H17" s="26">
        <v>7.49</v>
      </c>
    </row>
    <row r="18" spans="2:8" x14ac:dyDescent="0.2">
      <c r="B18" s="25" t="s">
        <v>51</v>
      </c>
      <c r="C18" s="25" t="s">
        <v>52</v>
      </c>
      <c r="D18" s="25" t="s">
        <v>22</v>
      </c>
      <c r="E18" s="28">
        <v>150</v>
      </c>
      <c r="F18" s="26">
        <v>1505.01</v>
      </c>
      <c r="G18" s="26">
        <v>3.53</v>
      </c>
      <c r="H18" s="26">
        <v>7.52</v>
      </c>
    </row>
    <row r="19" spans="2:8" x14ac:dyDescent="0.2">
      <c r="B19" s="25" t="s">
        <v>53</v>
      </c>
      <c r="C19" s="25" t="s">
        <v>54</v>
      </c>
      <c r="D19" s="25" t="s">
        <v>41</v>
      </c>
      <c r="E19" s="28">
        <v>150</v>
      </c>
      <c r="F19" s="26">
        <v>1456.18</v>
      </c>
      <c r="G19" s="26">
        <v>3.42</v>
      </c>
      <c r="H19" s="26">
        <v>7.48</v>
      </c>
    </row>
    <row r="20" spans="2:8" x14ac:dyDescent="0.2">
      <c r="B20" s="25" t="s">
        <v>55</v>
      </c>
      <c r="C20" s="25" t="s">
        <v>56</v>
      </c>
      <c r="D20" s="25" t="s">
        <v>22</v>
      </c>
      <c r="E20" s="28">
        <v>100</v>
      </c>
      <c r="F20" s="26">
        <v>1016.32</v>
      </c>
      <c r="G20" s="26">
        <v>2.38</v>
      </c>
      <c r="H20" s="26">
        <v>7.4</v>
      </c>
    </row>
    <row r="21" spans="2:8" x14ac:dyDescent="0.2">
      <c r="B21" s="25" t="s">
        <v>57</v>
      </c>
      <c r="C21" s="25" t="s">
        <v>58</v>
      </c>
      <c r="D21" s="25" t="s">
        <v>22</v>
      </c>
      <c r="E21" s="28">
        <v>1000</v>
      </c>
      <c r="F21" s="26">
        <v>1012.04</v>
      </c>
      <c r="G21" s="26">
        <v>2.37</v>
      </c>
      <c r="H21" s="26">
        <v>7.52</v>
      </c>
    </row>
    <row r="22" spans="2:8" x14ac:dyDescent="0.2">
      <c r="B22" s="25" t="s">
        <v>59</v>
      </c>
      <c r="C22" s="25" t="s">
        <v>60</v>
      </c>
      <c r="D22" s="25" t="s">
        <v>22</v>
      </c>
      <c r="E22" s="28">
        <v>100</v>
      </c>
      <c r="F22" s="26">
        <v>979.53</v>
      </c>
      <c r="G22" s="26">
        <v>2.2999999999999998</v>
      </c>
      <c r="H22" s="26">
        <v>7.74</v>
      </c>
    </row>
    <row r="23" spans="2:8" x14ac:dyDescent="0.2">
      <c r="B23" s="34" t="s">
        <v>61</v>
      </c>
      <c r="C23" s="34"/>
      <c r="D23" s="34"/>
      <c r="E23" s="34"/>
      <c r="F23" s="35">
        <f>SUM(F6:F22)</f>
        <v>30569.870000000003</v>
      </c>
      <c r="G23" s="35">
        <f>SUM(G6:G22)</f>
        <v>71.72</v>
      </c>
      <c r="H23" s="36"/>
    </row>
    <row r="24" spans="2:8" x14ac:dyDescent="0.2">
      <c r="B24" s="37" t="s">
        <v>62</v>
      </c>
      <c r="C24" s="37"/>
      <c r="D24" s="37"/>
      <c r="E24" s="37"/>
      <c r="F24" s="38">
        <f>F23</f>
        <v>30569.870000000003</v>
      </c>
      <c r="G24" s="38">
        <f>G23</f>
        <v>71.72</v>
      </c>
      <c r="H24" s="38"/>
    </row>
    <row r="25" spans="2:8" x14ac:dyDescent="0.2">
      <c r="B25" s="24" t="s">
        <v>63</v>
      </c>
      <c r="C25" s="25"/>
      <c r="D25" s="25"/>
      <c r="E25" s="25"/>
      <c r="F25" s="26"/>
      <c r="G25" s="26"/>
      <c r="H25" s="26"/>
    </row>
    <row r="26" spans="2:8" x14ac:dyDescent="0.2">
      <c r="B26" s="24" t="s">
        <v>64</v>
      </c>
      <c r="C26" s="25"/>
      <c r="D26" s="25"/>
      <c r="E26" s="25"/>
      <c r="F26" s="26"/>
      <c r="G26" s="26"/>
      <c r="H26" s="26"/>
    </row>
    <row r="27" spans="2:8" x14ac:dyDescent="0.2">
      <c r="B27" s="25" t="s">
        <v>65</v>
      </c>
      <c r="C27" s="25" t="s">
        <v>66</v>
      </c>
      <c r="D27" s="25" t="s">
        <v>67</v>
      </c>
      <c r="E27" s="28">
        <v>500</v>
      </c>
      <c r="F27" s="26">
        <v>2379.41</v>
      </c>
      <c r="G27" s="26">
        <v>5.58</v>
      </c>
      <c r="H27" s="26">
        <v>7.17</v>
      </c>
    </row>
    <row r="28" spans="2:8" x14ac:dyDescent="0.2">
      <c r="B28" s="24" t="s">
        <v>61</v>
      </c>
      <c r="C28" s="24"/>
      <c r="D28" s="24"/>
      <c r="E28" s="24"/>
      <c r="F28" s="39">
        <f>SUM(F26:F27)</f>
        <v>2379.41</v>
      </c>
      <c r="G28" s="39">
        <f>SUM(G26:G27)</f>
        <v>5.58</v>
      </c>
      <c r="H28" s="40"/>
    </row>
    <row r="29" spans="2:8" x14ac:dyDescent="0.2">
      <c r="B29" s="24" t="s">
        <v>68</v>
      </c>
      <c r="C29" s="25"/>
      <c r="D29" s="25"/>
      <c r="E29" s="25"/>
      <c r="F29" s="26"/>
      <c r="G29" s="26"/>
      <c r="H29" s="26"/>
    </row>
    <row r="30" spans="2:8" x14ac:dyDescent="0.2">
      <c r="B30" s="25" t="s">
        <v>69</v>
      </c>
      <c r="C30" s="25" t="s">
        <v>70</v>
      </c>
      <c r="D30" s="25" t="s">
        <v>71</v>
      </c>
      <c r="E30" s="28">
        <v>250000</v>
      </c>
      <c r="F30" s="26">
        <v>240.34</v>
      </c>
      <c r="G30" s="26">
        <v>0.56000000000000005</v>
      </c>
      <c r="H30" s="26">
        <v>6.82</v>
      </c>
    </row>
    <row r="31" spans="2:8" x14ac:dyDescent="0.2">
      <c r="B31" s="34" t="s">
        <v>61</v>
      </c>
      <c r="C31" s="34"/>
      <c r="D31" s="34"/>
      <c r="E31" s="34"/>
      <c r="F31" s="35">
        <f>SUM(F29:F30)</f>
        <v>240.34</v>
      </c>
      <c r="G31" s="35">
        <f>SUM(G29:G30)</f>
        <v>0.56000000000000005</v>
      </c>
      <c r="H31" s="36"/>
    </row>
    <row r="32" spans="2:8" x14ac:dyDescent="0.2">
      <c r="B32" s="37" t="s">
        <v>62</v>
      </c>
      <c r="C32" s="37"/>
      <c r="D32" s="37"/>
      <c r="E32" s="37"/>
      <c r="F32" s="38">
        <f>F28+F31</f>
        <v>2619.75</v>
      </c>
      <c r="G32" s="38">
        <f>G28+G31</f>
        <v>6.1400000000000006</v>
      </c>
      <c r="H32" s="38"/>
    </row>
    <row r="33" spans="2:8" x14ac:dyDescent="0.2">
      <c r="B33" s="24" t="s">
        <v>72</v>
      </c>
      <c r="C33" s="25"/>
      <c r="D33" s="25"/>
      <c r="E33" s="25"/>
      <c r="F33" s="26"/>
      <c r="G33" s="26"/>
      <c r="H33" s="26"/>
    </row>
    <row r="34" spans="2:8" x14ac:dyDescent="0.2">
      <c r="B34" s="25" t="s">
        <v>73</v>
      </c>
      <c r="C34" s="25" t="s">
        <v>74</v>
      </c>
      <c r="D34" s="25" t="s">
        <v>75</v>
      </c>
      <c r="E34" s="28">
        <v>2500000</v>
      </c>
      <c r="F34" s="26">
        <v>2501.19</v>
      </c>
      <c r="G34" s="26">
        <v>5.87</v>
      </c>
      <c r="H34" s="26">
        <v>7.52</v>
      </c>
    </row>
    <row r="35" spans="2:8" x14ac:dyDescent="0.2">
      <c r="B35" s="25" t="s">
        <v>76</v>
      </c>
      <c r="C35" s="25" t="s">
        <v>77</v>
      </c>
      <c r="D35" s="25" t="s">
        <v>75</v>
      </c>
      <c r="E35" s="28">
        <v>1000000</v>
      </c>
      <c r="F35" s="26">
        <v>1014.53</v>
      </c>
      <c r="G35" s="26">
        <v>2.38</v>
      </c>
      <c r="H35" s="26">
        <v>7.58</v>
      </c>
    </row>
    <row r="36" spans="2:8" x14ac:dyDescent="0.2">
      <c r="B36" s="25" t="s">
        <v>78</v>
      </c>
      <c r="C36" s="25" t="s">
        <v>79</v>
      </c>
      <c r="D36" s="25" t="s">
        <v>75</v>
      </c>
      <c r="E36" s="28">
        <v>1000000</v>
      </c>
      <c r="F36" s="26">
        <v>1010.18</v>
      </c>
      <c r="G36" s="26">
        <v>2.37</v>
      </c>
      <c r="H36" s="26">
        <v>7.24</v>
      </c>
    </row>
    <row r="37" spans="2:8" x14ac:dyDescent="0.2">
      <c r="B37" s="25" t="s">
        <v>80</v>
      </c>
      <c r="C37" s="25" t="s">
        <v>81</v>
      </c>
      <c r="D37" s="25" t="s">
        <v>75</v>
      </c>
      <c r="E37" s="28">
        <v>1000000</v>
      </c>
      <c r="F37" s="26">
        <v>996.7</v>
      </c>
      <c r="G37" s="26">
        <v>2.34</v>
      </c>
      <c r="H37" s="26">
        <v>7.55</v>
      </c>
    </row>
    <row r="38" spans="2:8" x14ac:dyDescent="0.2">
      <c r="B38" s="41" t="s">
        <v>82</v>
      </c>
      <c r="C38" s="41" t="s">
        <v>83</v>
      </c>
      <c r="D38" s="41" t="s">
        <v>75</v>
      </c>
      <c r="E38" s="42">
        <v>500000</v>
      </c>
      <c r="F38" s="43">
        <v>505.13</v>
      </c>
      <c r="G38" s="43">
        <v>1.18</v>
      </c>
      <c r="H38" s="43">
        <v>7.2</v>
      </c>
    </row>
    <row r="39" spans="2:8" x14ac:dyDescent="0.2">
      <c r="B39" s="44" t="s">
        <v>62</v>
      </c>
      <c r="C39" s="44"/>
      <c r="D39" s="44"/>
      <c r="E39" s="44"/>
      <c r="F39" s="39">
        <f>SUM(F34:F38)</f>
        <v>6027.7300000000005</v>
      </c>
      <c r="G39" s="39">
        <f>SUM(G34:G38)</f>
        <v>14.14</v>
      </c>
      <c r="H39" s="39"/>
    </row>
    <row r="40" spans="2:8" x14ac:dyDescent="0.2">
      <c r="B40" s="24" t="s">
        <v>84</v>
      </c>
      <c r="C40" s="25"/>
      <c r="D40" s="25"/>
      <c r="E40" s="25"/>
      <c r="F40" s="26"/>
      <c r="G40" s="26"/>
      <c r="H40" s="26"/>
    </row>
    <row r="41" spans="2:8" x14ac:dyDescent="0.2">
      <c r="B41" s="25" t="s">
        <v>84</v>
      </c>
      <c r="C41" s="25"/>
      <c r="D41" s="25"/>
      <c r="E41" s="25"/>
      <c r="F41" s="26">
        <v>2148.92</v>
      </c>
      <c r="G41" s="26">
        <v>5.04</v>
      </c>
      <c r="H41" s="26"/>
    </row>
    <row r="42" spans="2:8" x14ac:dyDescent="0.2">
      <c r="B42" s="34" t="s">
        <v>61</v>
      </c>
      <c r="C42" s="34"/>
      <c r="D42" s="34"/>
      <c r="E42" s="34"/>
      <c r="F42" s="35">
        <f>SUM(F40:F41)</f>
        <v>2148.92</v>
      </c>
      <c r="G42" s="35">
        <f>SUM(G40:G41)</f>
        <v>5.04</v>
      </c>
      <c r="H42" s="36"/>
    </row>
    <row r="43" spans="2:8" x14ac:dyDescent="0.2">
      <c r="B43" s="45" t="s">
        <v>62</v>
      </c>
      <c r="C43" s="45"/>
      <c r="D43" s="45"/>
      <c r="E43" s="45"/>
      <c r="F43" s="46">
        <f>F42</f>
        <v>2148.92</v>
      </c>
      <c r="G43" s="46">
        <f>G42</f>
        <v>5.04</v>
      </c>
      <c r="H43" s="46"/>
    </row>
    <row r="44" spans="2:8" x14ac:dyDescent="0.2">
      <c r="B44" s="47" t="s">
        <v>85</v>
      </c>
      <c r="C44" s="47"/>
      <c r="D44" s="47"/>
      <c r="E44" s="47"/>
      <c r="F44" s="48">
        <f>F45-(+F24+F32+F39+F43)</f>
        <v>1260.739999999998</v>
      </c>
      <c r="G44" s="48">
        <f>G45-(+G24+G32+G39+G43)</f>
        <v>2.9599999999999937</v>
      </c>
      <c r="H44" s="48"/>
    </row>
    <row r="45" spans="2:8" x14ac:dyDescent="0.2">
      <c r="B45" s="47" t="s">
        <v>86</v>
      </c>
      <c r="C45" s="47"/>
      <c r="D45" s="47"/>
      <c r="E45" s="47"/>
      <c r="F45" s="48">
        <v>42627.01</v>
      </c>
      <c r="G45" s="48">
        <v>100</v>
      </c>
      <c r="H45" s="48"/>
    </row>
    <row r="47" spans="2:8" x14ac:dyDescent="0.2">
      <c r="B47" s="49" t="s">
        <v>87</v>
      </c>
    </row>
    <row r="48" spans="2:8" x14ac:dyDescent="0.2">
      <c r="B48" s="49" t="s">
        <v>88</v>
      </c>
    </row>
    <row r="49" spans="2:3" ht="12.75" thickBot="1" x14ac:dyDescent="0.25"/>
    <row r="50" spans="2:3" ht="13.5" thickTop="1" thickBot="1" x14ac:dyDescent="0.25">
      <c r="B50" s="50" t="s">
        <v>89</v>
      </c>
      <c r="C50" s="51">
        <v>2.8408000000000002</v>
      </c>
    </row>
    <row r="51" spans="2:3" ht="13.5" thickTop="1" thickBot="1" x14ac:dyDescent="0.25"/>
    <row r="52" spans="2:3" ht="13.5" thickTop="1" thickBot="1" x14ac:dyDescent="0.25">
      <c r="B52" s="50" t="s">
        <v>90</v>
      </c>
      <c r="C52" s="52">
        <v>7.4200000000000002E-2</v>
      </c>
    </row>
    <row r="53" spans="2:3" ht="13.5" thickTop="1" thickBot="1" x14ac:dyDescent="0.25"/>
    <row r="54" spans="2:3" ht="13.5" thickTop="1" thickBot="1" x14ac:dyDescent="0.25">
      <c r="B54" s="50" t="s">
        <v>91</v>
      </c>
      <c r="C54" s="51">
        <v>3.0962000000000001</v>
      </c>
    </row>
    <row r="55" spans="2: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11:09:38</KDate>
  <Classification>Public</Classification>
  <Subclassification/>
  <HostName>MUMCMP00915</HostName>
  <Domain_User>CANARAROBECOMF/396</Domain_User>
  <IPAdd>192.9.198.198</IPAdd>
  <FilePath>Book23</FilePath>
  <KID>A4BB6D0D6391638242385783461208</KID>
  <UniqueName/>
  <Suggested/>
  <Justification/>
</Klassify>
</file>

<file path=customXml/itemProps1.xml><?xml version="1.0" encoding="utf-8"?>
<ds:datastoreItem xmlns:ds="http://schemas.openxmlformats.org/officeDocument/2006/customXml" ds:itemID="{7011D255-5B33-461C-B605-7BB1677B73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2023-07-06T05:39:30Z</dcterms:created>
  <dcterms:modified xsi:type="dcterms:W3CDTF">2023-07-06T05:39:38Z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A4BB6D0D6391638242385783461208</vt:lpwstr>
  </property>
</Properties>
</file>