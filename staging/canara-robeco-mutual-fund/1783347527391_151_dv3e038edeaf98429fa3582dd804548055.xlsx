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33B7B5B7-D235-44DB-9330-7CD05A7F7338}" xr6:coauthVersionLast="47" xr6:coauthVersionMax="47" xr10:uidLastSave="{00000000-0000-0000-0000-000000000000}"/>
  <bookViews>
    <workbookView xWindow="-120" yWindow="-120" windowWidth="20730" windowHeight="11160" xr2:uid="{8146D19E-0805-4D1B-8E5F-AB255A7C3F2D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F65" i="1"/>
  <c r="F66" i="1" s="1"/>
  <c r="F71" i="1" s="1"/>
  <c r="G71" i="1" l="1"/>
</calcChain>
</file>

<file path=xl/sharedStrings.xml><?xml version="1.0" encoding="utf-8"?>
<sst xmlns="http://schemas.openxmlformats.org/spreadsheetml/2006/main" count="257" uniqueCount="171">
  <si>
    <t>CANARA ROBECO FLEXICAP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</si>
  <si>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</si>
  <si>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</si>
  <si>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</si>
  <si>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</si>
  <si>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</si>
  <si>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</si>
  <si>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</si>
  <si>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</si>
  <si>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Jun'23</t>
  </si>
  <si>
    <t>Benchmark Risk-o-meter Level- Jun'23</t>
  </si>
  <si>
    <t>Scheme Risk-o-meter Level- May'23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</si>
  <si>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</si>
  <si>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</si>
  <si>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</si>
  <si>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</si>
  <si>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</si>
  <si>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</si>
  <si>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</si>
  <si>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</si>
  <si>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</si>
  <si>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</si>
  <si>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</si>
  <si>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</si>
  <si>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</si>
  <si>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</si>
  <si>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Larsen &amp; Toubro Ltd</t>
  </si>
  <si>
    <t>INE018A01030</t>
  </si>
  <si>
    <t>Construction</t>
  </si>
  <si>
    <t>Axis Bank Ltd</t>
  </si>
  <si>
    <t>INE238A01034</t>
  </si>
  <si>
    <t>Bajaj Finance Ltd</t>
  </si>
  <si>
    <t>INE296A01024</t>
  </si>
  <si>
    <t>Finance</t>
  </si>
  <si>
    <t>Benchmark: S&amp;P BSE 500 TRI</t>
  </si>
  <si>
    <t>Bharti Airtel Ltd</t>
  </si>
  <si>
    <t>INE397D01024</t>
  </si>
  <si>
    <t>Telecom - Services</t>
  </si>
  <si>
    <t>Hindustan Unilever Ltd</t>
  </si>
  <si>
    <t>INE030A01027</t>
  </si>
  <si>
    <t>Diversified Fmcg</t>
  </si>
  <si>
    <t>State Bank of India</t>
  </si>
  <si>
    <t>INE062A01020</t>
  </si>
  <si>
    <t>Tata Consultancy Services Ltd</t>
  </si>
  <si>
    <t>INE467B01029</t>
  </si>
  <si>
    <t>ITC Ltd</t>
  </si>
  <si>
    <t>INE154A01025</t>
  </si>
  <si>
    <t>Ultratech Cement Ltd</t>
  </si>
  <si>
    <t>INE481G01011</t>
  </si>
  <si>
    <t>Cement &amp; Cement Products</t>
  </si>
  <si>
    <t>Sun Pharmaceutical Industries Ltd</t>
  </si>
  <si>
    <t>INE044A01036</t>
  </si>
  <si>
    <t>Pharmaceuticals &amp; Biotechnology</t>
  </si>
  <si>
    <t>Cholamandalam Investment and Finance Co Ltd</t>
  </si>
  <si>
    <t>INE121A01024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</si>
  <si>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</si>
  <si>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</si>
  <si>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</si>
  <si>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</si>
  <si>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</si>
  <si>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</si>
  <si>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</si>
  <si>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Kotak Mahindra Bank Ltd</t>
  </si>
  <si>
    <t>INE237A01028</t>
  </si>
  <si>
    <t>Max Healthcare Institute Ltd</t>
  </si>
  <si>
    <t>INE027H01010</t>
  </si>
  <si>
    <t>Healthcare Services</t>
  </si>
  <si>
    <t>Titan Co Ltd</t>
  </si>
  <si>
    <t>INE280A01028</t>
  </si>
  <si>
    <t>Consumer Durables</t>
  </si>
  <si>
    <t>ABB India Ltd</t>
  </si>
  <si>
    <t>INE117A01022</t>
  </si>
  <si>
    <t>Electrical Equipment</t>
  </si>
  <si>
    <t>NTPC Ltd</t>
  </si>
  <si>
    <t>INE733E01010</t>
  </si>
  <si>
    <t>Power</t>
  </si>
  <si>
    <t>Mahindra &amp; Mahindra Ltd</t>
  </si>
  <si>
    <t>INE101A01026</t>
  </si>
  <si>
    <t>Automobiles</t>
  </si>
  <si>
    <t>Tata Motors Ltd</t>
  </si>
  <si>
    <t>INE155A01022</t>
  </si>
  <si>
    <t>Maruti Suzuki India Ltd</t>
  </si>
  <si>
    <t>INE585B01010</t>
  </si>
  <si>
    <t>HCL Technologies Ltd</t>
  </si>
  <si>
    <t>INE860A01027</t>
  </si>
  <si>
    <t>J.K. Cement Ltd</t>
  </si>
  <si>
    <t>INE823G01014</t>
  </si>
  <si>
    <t>IndusInd Bank Ltd</t>
  </si>
  <si>
    <t>INE095A01012</t>
  </si>
  <si>
    <t>Samvardhana Motherson International Ltd</t>
  </si>
  <si>
    <t>INE775A01035</t>
  </si>
  <si>
    <t>PI Industries Ltd</t>
  </si>
  <si>
    <t>INE603J01030</t>
  </si>
  <si>
    <t>Fertilizers &amp; Agrochemicals</t>
  </si>
  <si>
    <t>Navin Fluorine International Ltd</t>
  </si>
  <si>
    <t>INE048G01026</t>
  </si>
  <si>
    <t>Chemicals &amp; Petrochemicals</t>
  </si>
  <si>
    <t>Oberoi Realty Ltd</t>
  </si>
  <si>
    <t>INE093I01010</t>
  </si>
  <si>
    <t>Realty</t>
  </si>
  <si>
    <t>Tata Consumer Products Ltd</t>
  </si>
  <si>
    <t>INE192A01025</t>
  </si>
  <si>
    <t>Agricultural Food &amp; Other Products</t>
  </si>
  <si>
    <t>Atul Ltd</t>
  </si>
  <si>
    <t>INE100A01010</t>
  </si>
  <si>
    <t>KEI Industries Ltd</t>
  </si>
  <si>
    <t>INE878B01027</t>
  </si>
  <si>
    <t>Industrial Products</t>
  </si>
  <si>
    <t>Small Cap</t>
  </si>
  <si>
    <t>SBI Cards and Payment Services Ltd</t>
  </si>
  <si>
    <t>INE018E01016</t>
  </si>
  <si>
    <t>SBI Life Insurance Co Ltd</t>
  </si>
  <si>
    <t>INE123W01016</t>
  </si>
  <si>
    <t>Insurance</t>
  </si>
  <si>
    <t>Indian Hotels Co Ltd</t>
  </si>
  <si>
    <t>INE053A01029</t>
  </si>
  <si>
    <t>Leisure Services</t>
  </si>
  <si>
    <t>Polycab India Ltd</t>
  </si>
  <si>
    <t>INE455K01017</t>
  </si>
  <si>
    <t>Abbott India Ltd</t>
  </si>
  <si>
    <t>INE358A01014</t>
  </si>
  <si>
    <t>Sona Blw Precision Forgings Ltd</t>
  </si>
  <si>
    <t>INE073K01018</t>
  </si>
  <si>
    <t>Vinati Organics Ltd</t>
  </si>
  <si>
    <t>INE410B01037</t>
  </si>
  <si>
    <t>JK Lakshmi Cement Ltd</t>
  </si>
  <si>
    <t>INE786A01032</t>
  </si>
  <si>
    <t>Gujarat Gas Ltd</t>
  </si>
  <si>
    <t>INE844O01030</t>
  </si>
  <si>
    <t>Gas</t>
  </si>
  <si>
    <t>TCI Express Ltd</t>
  </si>
  <si>
    <t>INE586V01016</t>
  </si>
  <si>
    <t>Transport Services</t>
  </si>
  <si>
    <t>Avenue Supermarts Ltd</t>
  </si>
  <si>
    <t>INE192R01011</t>
  </si>
  <si>
    <t>Retailing</t>
  </si>
  <si>
    <t>Britannia Industries Ltd</t>
  </si>
  <si>
    <t>INE216A01030</t>
  </si>
  <si>
    <t>Food Products</t>
  </si>
  <si>
    <t>Bata India Ltd</t>
  </si>
  <si>
    <t>INE176A01028</t>
  </si>
  <si>
    <t>Global Health Ltd</t>
  </si>
  <si>
    <t>INE474Q01031</t>
  </si>
  <si>
    <t>Vedant Fashions Ltd</t>
  </si>
  <si>
    <t>INE825V01034</t>
  </si>
  <si>
    <t>Tata Steel Ltd</t>
  </si>
  <si>
    <t>INE081A01020</t>
  </si>
  <si>
    <t>Ferrous Metals</t>
  </si>
  <si>
    <t>Honeywell Automation India Ltd</t>
  </si>
  <si>
    <t>INE671A01010</t>
  </si>
  <si>
    <t>Industrial Manufacturing</t>
  </si>
  <si>
    <t>Hindalco Industries Ltd</t>
  </si>
  <si>
    <t>INE038A01020</t>
  </si>
  <si>
    <t>Non - Ferrous Metals</t>
  </si>
  <si>
    <t>ICICI Lombard General Insurance Co Ltd</t>
  </si>
  <si>
    <t>INE765G01017</t>
  </si>
  <si>
    <t>Max Financial Services Ltd</t>
  </si>
  <si>
    <t>INE180A01020</t>
  </si>
  <si>
    <t>Mphasis Ltd</t>
  </si>
  <si>
    <t>INE356A01018</t>
  </si>
  <si>
    <t>IPCA Laboratories Ltd</t>
  </si>
  <si>
    <t>INE571A01038</t>
  </si>
  <si>
    <t>Asian Paints Ltd</t>
  </si>
  <si>
    <t>INE021A01026</t>
  </si>
  <si>
    <t>Sub Total</t>
  </si>
  <si>
    <t>Total</t>
  </si>
  <si>
    <t>TREPS</t>
  </si>
  <si>
    <t>Net Receivables / (Payables)</t>
  </si>
  <si>
    <t>Grand Total</t>
  </si>
  <si>
    <t>Residual Maturity</t>
  </si>
  <si>
    <t>0.0082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</si>
</sst>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4" fontId="3" fillId="3" borderId="0" xfId="0" applyNumberFormat="1" applyFont="1" applyFill="1"/>
    <xf numFmtId="0" fontId="10" fillId="4" borderId="25" xfId="0" applyFont="1" applyFill="1" applyBorder="1"/>
    <xf numFmtId="164" fontId="9" fillId="3" borderId="26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226808</xdr:colOff>
      <xdr:row>4</xdr:row>
      <xdr:rowOff>58361</xdr:rowOff>
    </xdr:from>
    <xdr:to>
      <xdr:col>10</xdr:col>
      <xdr:colOff>2124075</xdr:colOff>
      <xdr:row>11</xdr:row>
      <xdr:rowOff>109228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8CC4A-62A4-4256-8E62-B7741A849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99808" y="1048961"/>
          <a:ext cx="1897267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7C73E4FA-0CBA-4999-9CAA-2C623ECF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1709" y="104075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222023</xdr:colOff>
      <xdr:row>4</xdr:row>
      <xdr:rowOff>51513</xdr:rowOff>
    </xdr:from>
    <xdr:to>
      <xdr:col>9</xdr:col>
      <xdr:colOff>1924050</xdr:colOff>
      <xdr:row>11</xdr:row>
      <xdr:rowOff>83979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CA42C5-0A7B-45AF-AA8C-2435FA05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9998" y="1042113"/>
          <a:ext cx="1702027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C853-52CF-41DF-9214-A520231BB687}">
  <dimension ref="B1:L75"/>
  <sheetViews>
    <sheetView tabSelected="1" workbookViewId="0">
      <selection activeCell="H7" sqref="H7:H64"/>
    </sheetView>
  </sheetViews>
  <sheetFormatPr defaultRowHeight="12" x14ac:dyDescent="0.2"/>
  <cols>
    <col min="1" max="1" width="9.140625" style="4"/>
    <col min="2" max="2" width="55" style="4" bestFit="1" customWidth="1"/>
    <col min="3" max="3" width="13.5703125" style="4" bestFit="1" customWidth="1"/>
    <col min="4" max="4" width="28.42578125" style="4" bestFit="1" customWidth="1"/>
    <col min="5" max="5" width="9.85546875" style="4" bestFit="1" customWidth="1"/>
    <col min="6" max="6" width="15.28515625" style="43" bestFit="1" customWidth="1"/>
    <col min="7" max="7" width="7.42578125" style="43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4" customWidth="1"/>
    <col min="13" max="16384" width="9.140625" style="4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5" t="s">
        <v>1</v>
      </c>
      <c r="C3" s="6"/>
      <c r="D3" s="7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 x14ac:dyDescent="0.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 x14ac:dyDescent="0.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 x14ac:dyDescent="0.2">
      <c r="B7" s="26" t="s">
        <v>14</v>
      </c>
      <c r="C7" s="21" t="s">
        <v>15</v>
      </c>
      <c r="D7" s="21" t="s">
        <v>16</v>
      </c>
      <c r="E7" s="27">
        <v>5282340</v>
      </c>
      <c r="F7" s="22">
        <v>89873.73</v>
      </c>
      <c r="G7" s="22">
        <v>9.06</v>
      </c>
      <c r="H7" s="22" t="s">
        <v>17</v>
      </c>
      <c r="J7" s="23"/>
      <c r="K7" s="24"/>
      <c r="L7" s="25"/>
    </row>
    <row r="8" spans="2:12" x14ac:dyDescent="0.2">
      <c r="B8" s="26" t="s">
        <v>18</v>
      </c>
      <c r="C8" s="21" t="s">
        <v>19</v>
      </c>
      <c r="D8" s="21" t="s">
        <v>16</v>
      </c>
      <c r="E8" s="27">
        <v>7825550</v>
      </c>
      <c r="F8" s="22">
        <v>73137.59</v>
      </c>
      <c r="G8" s="22">
        <v>7.37</v>
      </c>
      <c r="H8" s="22" t="s">
        <v>17</v>
      </c>
      <c r="J8" s="23"/>
      <c r="K8" s="24"/>
      <c r="L8" s="25"/>
    </row>
    <row r="9" spans="2:12" x14ac:dyDescent="0.2">
      <c r="B9" s="26" t="s">
        <v>20</v>
      </c>
      <c r="C9" s="21" t="s">
        <v>21</v>
      </c>
      <c r="D9" s="21" t="s">
        <v>22</v>
      </c>
      <c r="E9" s="27">
        <v>1902400</v>
      </c>
      <c r="F9" s="22">
        <v>48515.96</v>
      </c>
      <c r="G9" s="22">
        <v>4.8899999999999997</v>
      </c>
      <c r="H9" s="22" t="s">
        <v>17</v>
      </c>
      <c r="J9" s="23"/>
      <c r="K9" s="24"/>
      <c r="L9" s="25"/>
    </row>
    <row r="10" spans="2:12" x14ac:dyDescent="0.2">
      <c r="B10" s="26" t="s">
        <v>23</v>
      </c>
      <c r="C10" s="21" t="s">
        <v>24</v>
      </c>
      <c r="D10" s="21" t="s">
        <v>25</v>
      </c>
      <c r="E10" s="27">
        <v>3519688</v>
      </c>
      <c r="F10" s="22">
        <v>47005.43</v>
      </c>
      <c r="G10" s="22">
        <v>4.74</v>
      </c>
      <c r="H10" s="22" t="s">
        <v>17</v>
      </c>
      <c r="J10" s="23"/>
      <c r="K10" s="24"/>
      <c r="L10" s="25"/>
    </row>
    <row r="11" spans="2:12" x14ac:dyDescent="0.2">
      <c r="B11" s="26" t="s">
        <v>26</v>
      </c>
      <c r="C11" s="21" t="s">
        <v>27</v>
      </c>
      <c r="D11" s="21" t="s">
        <v>28</v>
      </c>
      <c r="E11" s="27">
        <v>1332157</v>
      </c>
      <c r="F11" s="22">
        <v>32978.21</v>
      </c>
      <c r="G11" s="22">
        <v>3.32</v>
      </c>
      <c r="H11" s="22" t="s">
        <v>17</v>
      </c>
      <c r="J11" s="23"/>
      <c r="K11" s="24"/>
      <c r="L11" s="25"/>
    </row>
    <row r="12" spans="2:12" x14ac:dyDescent="0.2">
      <c r="B12" s="26" t="s">
        <v>29</v>
      </c>
      <c r="C12" s="21" t="s">
        <v>30</v>
      </c>
      <c r="D12" s="21" t="s">
        <v>16</v>
      </c>
      <c r="E12" s="27">
        <v>3103600</v>
      </c>
      <c r="F12" s="22">
        <v>30646.5</v>
      </c>
      <c r="G12" s="22">
        <v>3.09</v>
      </c>
      <c r="H12" s="22" t="s">
        <v>17</v>
      </c>
      <c r="J12" s="28"/>
      <c r="K12" s="29"/>
      <c r="L12" s="30"/>
    </row>
    <row r="13" spans="2:12" x14ac:dyDescent="0.2">
      <c r="B13" s="26" t="s">
        <v>31</v>
      </c>
      <c r="C13" s="21" t="s">
        <v>32</v>
      </c>
      <c r="D13" s="21" t="s">
        <v>33</v>
      </c>
      <c r="E13" s="27">
        <v>414035</v>
      </c>
      <c r="F13" s="22">
        <v>29647.39</v>
      </c>
      <c r="G13" s="22">
        <v>2.99</v>
      </c>
      <c r="H13" s="22" t="s">
        <v>17</v>
      </c>
      <c r="K13" s="4" t="s">
        <v>34</v>
      </c>
      <c r="L13" s="3"/>
    </row>
    <row r="14" spans="2:12" x14ac:dyDescent="0.2">
      <c r="B14" s="26" t="s">
        <v>35</v>
      </c>
      <c r="C14" s="21" t="s">
        <v>36</v>
      </c>
      <c r="D14" s="21" t="s">
        <v>37</v>
      </c>
      <c r="E14" s="27">
        <v>3287334</v>
      </c>
      <c r="F14" s="22">
        <v>28887.45</v>
      </c>
      <c r="G14" s="22">
        <v>2.91</v>
      </c>
      <c r="H14" s="22" t="s">
        <v>17</v>
      </c>
    </row>
    <row r="15" spans="2:12" x14ac:dyDescent="0.2">
      <c r="B15" s="26" t="s">
        <v>38</v>
      </c>
      <c r="C15" s="21" t="s">
        <v>39</v>
      </c>
      <c r="D15" s="21" t="s">
        <v>40</v>
      </c>
      <c r="E15" s="27">
        <v>1037400</v>
      </c>
      <c r="F15" s="22">
        <v>27783.13</v>
      </c>
      <c r="G15" s="22">
        <v>2.8</v>
      </c>
      <c r="H15" s="22" t="s">
        <v>17</v>
      </c>
    </row>
    <row r="16" spans="2:12" x14ac:dyDescent="0.2">
      <c r="B16" s="26" t="s">
        <v>41</v>
      </c>
      <c r="C16" s="21" t="s">
        <v>42</v>
      </c>
      <c r="D16" s="21" t="s">
        <v>16</v>
      </c>
      <c r="E16" s="27">
        <v>4697000</v>
      </c>
      <c r="F16" s="22">
        <v>26906.76</v>
      </c>
      <c r="G16" s="22">
        <v>2.71</v>
      </c>
      <c r="H16" s="22" t="s">
        <v>17</v>
      </c>
    </row>
    <row r="17" spans="2:8" x14ac:dyDescent="0.2">
      <c r="B17" s="26" t="s">
        <v>43</v>
      </c>
      <c r="C17" s="21" t="s">
        <v>44</v>
      </c>
      <c r="D17" s="21" t="s">
        <v>25</v>
      </c>
      <c r="E17" s="27">
        <v>742813</v>
      </c>
      <c r="F17" s="22">
        <v>24529.54</v>
      </c>
      <c r="G17" s="22">
        <v>2.4700000000000002</v>
      </c>
      <c r="H17" s="22" t="s">
        <v>17</v>
      </c>
    </row>
    <row r="18" spans="2:8" x14ac:dyDescent="0.2">
      <c r="B18" s="26" t="s">
        <v>45</v>
      </c>
      <c r="C18" s="21" t="s">
        <v>46</v>
      </c>
      <c r="D18" s="21" t="s">
        <v>40</v>
      </c>
      <c r="E18" s="27">
        <v>5200000</v>
      </c>
      <c r="F18" s="22">
        <v>23483.200000000001</v>
      </c>
      <c r="G18" s="22">
        <v>2.37</v>
      </c>
      <c r="H18" s="22" t="s">
        <v>17</v>
      </c>
    </row>
    <row r="19" spans="2:8" x14ac:dyDescent="0.2">
      <c r="B19" s="26" t="s">
        <v>47</v>
      </c>
      <c r="C19" s="21" t="s">
        <v>48</v>
      </c>
      <c r="D19" s="21" t="s">
        <v>49</v>
      </c>
      <c r="E19" s="27">
        <v>232471</v>
      </c>
      <c r="F19" s="22">
        <v>19282.89</v>
      </c>
      <c r="G19" s="22">
        <v>1.94</v>
      </c>
      <c r="H19" s="22" t="s">
        <v>17</v>
      </c>
    </row>
    <row r="20" spans="2:8" x14ac:dyDescent="0.2">
      <c r="B20" s="26" t="s">
        <v>50</v>
      </c>
      <c r="C20" s="21" t="s">
        <v>51</v>
      </c>
      <c r="D20" s="21" t="s">
        <v>52</v>
      </c>
      <c r="E20" s="27">
        <v>1805000</v>
      </c>
      <c r="F20" s="22">
        <v>18981.38</v>
      </c>
      <c r="G20" s="22">
        <v>1.91</v>
      </c>
      <c r="H20" s="22" t="s">
        <v>17</v>
      </c>
    </row>
    <row r="21" spans="2:8" x14ac:dyDescent="0.2">
      <c r="B21" s="26" t="s">
        <v>53</v>
      </c>
      <c r="C21" s="21" t="s">
        <v>54</v>
      </c>
      <c r="D21" s="21" t="s">
        <v>33</v>
      </c>
      <c r="E21" s="27">
        <v>1525000</v>
      </c>
      <c r="F21" s="22">
        <v>17415.5</v>
      </c>
      <c r="G21" s="22">
        <v>1.76</v>
      </c>
      <c r="H21" s="22" t="s">
        <v>17</v>
      </c>
    </row>
    <row r="22" spans="2:8" x14ac:dyDescent="0.2">
      <c r="B22" s="26" t="s">
        <v>55</v>
      </c>
      <c r="C22" s="21" t="s">
        <v>56</v>
      </c>
      <c r="D22" s="21" t="s">
        <v>57</v>
      </c>
      <c r="E22" s="27">
        <v>13550000</v>
      </c>
      <c r="F22" s="22">
        <v>17039.13</v>
      </c>
      <c r="G22" s="22">
        <v>1.72</v>
      </c>
      <c r="H22" s="22" t="s">
        <v>17</v>
      </c>
    </row>
    <row r="23" spans="2:8" x14ac:dyDescent="0.2">
      <c r="B23" s="26" t="s">
        <v>58</v>
      </c>
      <c r="C23" s="21" t="s">
        <v>59</v>
      </c>
      <c r="D23" s="21" t="s">
        <v>60</v>
      </c>
      <c r="E23" s="27">
        <v>2909221</v>
      </c>
      <c r="F23" s="22">
        <v>16925.849999999999</v>
      </c>
      <c r="G23" s="22">
        <v>1.71</v>
      </c>
      <c r="H23" s="22" t="s">
        <v>61</v>
      </c>
    </row>
    <row r="24" spans="2:8" x14ac:dyDescent="0.2">
      <c r="B24" s="26" t="s">
        <v>62</v>
      </c>
      <c r="C24" s="21" t="s">
        <v>63</v>
      </c>
      <c r="D24" s="21" t="s">
        <v>16</v>
      </c>
      <c r="E24" s="27">
        <v>901651</v>
      </c>
      <c r="F24" s="22">
        <v>16649.439999999999</v>
      </c>
      <c r="G24" s="22">
        <v>1.68</v>
      </c>
      <c r="H24" s="22" t="s">
        <v>17</v>
      </c>
    </row>
    <row r="25" spans="2:8" x14ac:dyDescent="0.2">
      <c r="B25" s="26" t="s">
        <v>64</v>
      </c>
      <c r="C25" s="21" t="s">
        <v>65</v>
      </c>
      <c r="D25" s="21" t="s">
        <v>66</v>
      </c>
      <c r="E25" s="27">
        <v>2449732</v>
      </c>
      <c r="F25" s="22">
        <v>14684.92</v>
      </c>
      <c r="G25" s="22">
        <v>1.48</v>
      </c>
      <c r="H25" s="22" t="s">
        <v>61</v>
      </c>
    </row>
    <row r="26" spans="2:8" x14ac:dyDescent="0.2">
      <c r="B26" s="26" t="s">
        <v>67</v>
      </c>
      <c r="C26" s="21" t="s">
        <v>68</v>
      </c>
      <c r="D26" s="21" t="s">
        <v>69</v>
      </c>
      <c r="E26" s="27">
        <v>476800</v>
      </c>
      <c r="F26" s="22">
        <v>14531.2</v>
      </c>
      <c r="G26" s="22">
        <v>1.46</v>
      </c>
      <c r="H26" s="22" t="s">
        <v>17</v>
      </c>
    </row>
    <row r="27" spans="2:8" x14ac:dyDescent="0.2">
      <c r="B27" s="26" t="s">
        <v>70</v>
      </c>
      <c r="C27" s="21" t="s">
        <v>71</v>
      </c>
      <c r="D27" s="21" t="s">
        <v>72</v>
      </c>
      <c r="E27" s="27">
        <v>321000</v>
      </c>
      <c r="F27" s="22">
        <v>14197.83</v>
      </c>
      <c r="G27" s="22">
        <v>1.43</v>
      </c>
      <c r="H27" s="22" t="s">
        <v>17</v>
      </c>
    </row>
    <row r="28" spans="2:8" x14ac:dyDescent="0.2">
      <c r="B28" s="26" t="s">
        <v>73</v>
      </c>
      <c r="C28" s="21" t="s">
        <v>74</v>
      </c>
      <c r="D28" s="21" t="s">
        <v>75</v>
      </c>
      <c r="E28" s="27">
        <v>7450000</v>
      </c>
      <c r="F28" s="22">
        <v>14091.68</v>
      </c>
      <c r="G28" s="22">
        <v>1.42</v>
      </c>
      <c r="H28" s="22" t="s">
        <v>17</v>
      </c>
    </row>
    <row r="29" spans="2:8" x14ac:dyDescent="0.2">
      <c r="B29" s="26" t="s">
        <v>76</v>
      </c>
      <c r="C29" s="21" t="s">
        <v>77</v>
      </c>
      <c r="D29" s="21" t="s">
        <v>78</v>
      </c>
      <c r="E29" s="27">
        <v>960000</v>
      </c>
      <c r="F29" s="22">
        <v>13954.56</v>
      </c>
      <c r="G29" s="22">
        <v>1.41</v>
      </c>
      <c r="H29" s="22" t="s">
        <v>17</v>
      </c>
    </row>
    <row r="30" spans="2:8" x14ac:dyDescent="0.2">
      <c r="B30" s="26" t="s">
        <v>79</v>
      </c>
      <c r="C30" s="21" t="s">
        <v>80</v>
      </c>
      <c r="D30" s="21" t="s">
        <v>78</v>
      </c>
      <c r="E30" s="27">
        <v>2217500</v>
      </c>
      <c r="F30" s="22">
        <v>13206.32</v>
      </c>
      <c r="G30" s="22">
        <v>1.33</v>
      </c>
      <c r="H30" s="22" t="s">
        <v>17</v>
      </c>
    </row>
    <row r="31" spans="2:8" x14ac:dyDescent="0.2">
      <c r="B31" s="26" t="s">
        <v>81</v>
      </c>
      <c r="C31" s="21" t="s">
        <v>82</v>
      </c>
      <c r="D31" s="21" t="s">
        <v>78</v>
      </c>
      <c r="E31" s="27">
        <v>133826</v>
      </c>
      <c r="F31" s="22">
        <v>13100.29</v>
      </c>
      <c r="G31" s="22">
        <v>1.32</v>
      </c>
      <c r="H31" s="22" t="s">
        <v>17</v>
      </c>
    </row>
    <row r="32" spans="2:8" x14ac:dyDescent="0.2">
      <c r="B32" s="26" t="s">
        <v>83</v>
      </c>
      <c r="C32" s="21" t="s">
        <v>84</v>
      </c>
      <c r="D32" s="21" t="s">
        <v>25</v>
      </c>
      <c r="E32" s="27">
        <v>1025000</v>
      </c>
      <c r="F32" s="22">
        <v>12176.49</v>
      </c>
      <c r="G32" s="22">
        <v>1.23</v>
      </c>
      <c r="H32" s="22" t="s">
        <v>17</v>
      </c>
    </row>
    <row r="33" spans="2:8" x14ac:dyDescent="0.2">
      <c r="B33" s="26" t="s">
        <v>85</v>
      </c>
      <c r="C33" s="21" t="s">
        <v>86</v>
      </c>
      <c r="D33" s="21" t="s">
        <v>49</v>
      </c>
      <c r="E33" s="27">
        <v>359625</v>
      </c>
      <c r="F33" s="22">
        <v>12162.16</v>
      </c>
      <c r="G33" s="22">
        <v>1.23</v>
      </c>
      <c r="H33" s="22" t="s">
        <v>61</v>
      </c>
    </row>
    <row r="34" spans="2:8" x14ac:dyDescent="0.2">
      <c r="B34" s="26" t="s">
        <v>87</v>
      </c>
      <c r="C34" s="21" t="s">
        <v>88</v>
      </c>
      <c r="D34" s="21" t="s">
        <v>16</v>
      </c>
      <c r="E34" s="27">
        <v>875000</v>
      </c>
      <c r="F34" s="22">
        <v>12028.19</v>
      </c>
      <c r="G34" s="22">
        <v>1.21</v>
      </c>
      <c r="H34" s="22" t="s">
        <v>17</v>
      </c>
    </row>
    <row r="35" spans="2:8" x14ac:dyDescent="0.2">
      <c r="B35" s="26" t="s">
        <v>89</v>
      </c>
      <c r="C35" s="21" t="s">
        <v>90</v>
      </c>
      <c r="D35" s="21" t="s">
        <v>60</v>
      </c>
      <c r="E35" s="27">
        <v>14000000</v>
      </c>
      <c r="F35" s="22">
        <v>11998</v>
      </c>
      <c r="G35" s="22">
        <v>1.21</v>
      </c>
      <c r="H35" s="22" t="s">
        <v>17</v>
      </c>
    </row>
    <row r="36" spans="2:8" x14ac:dyDescent="0.2">
      <c r="B36" s="26" t="s">
        <v>91</v>
      </c>
      <c r="C36" s="21" t="s">
        <v>92</v>
      </c>
      <c r="D36" s="21" t="s">
        <v>93</v>
      </c>
      <c r="E36" s="27">
        <v>281473</v>
      </c>
      <c r="F36" s="22">
        <v>11038.67</v>
      </c>
      <c r="G36" s="22">
        <v>1.1100000000000001</v>
      </c>
      <c r="H36" s="22" t="s">
        <v>17</v>
      </c>
    </row>
    <row r="37" spans="2:8" x14ac:dyDescent="0.2">
      <c r="B37" s="26" t="s">
        <v>94</v>
      </c>
      <c r="C37" s="21" t="s">
        <v>95</v>
      </c>
      <c r="D37" s="21" t="s">
        <v>96</v>
      </c>
      <c r="E37" s="27">
        <v>237209</v>
      </c>
      <c r="F37" s="22">
        <v>10679.15</v>
      </c>
      <c r="G37" s="22">
        <v>1.08</v>
      </c>
      <c r="H37" s="22" t="s">
        <v>61</v>
      </c>
    </row>
    <row r="38" spans="2:8" x14ac:dyDescent="0.2">
      <c r="B38" s="26" t="s">
        <v>97</v>
      </c>
      <c r="C38" s="21" t="s">
        <v>98</v>
      </c>
      <c r="D38" s="21" t="s">
        <v>99</v>
      </c>
      <c r="E38" s="27">
        <v>1080000</v>
      </c>
      <c r="F38" s="22">
        <v>10635.84</v>
      </c>
      <c r="G38" s="22">
        <v>1.07</v>
      </c>
      <c r="H38" s="22" t="s">
        <v>61</v>
      </c>
    </row>
    <row r="39" spans="2:8" x14ac:dyDescent="0.2">
      <c r="B39" s="26" t="s">
        <v>100</v>
      </c>
      <c r="C39" s="21" t="s">
        <v>101</v>
      </c>
      <c r="D39" s="21" t="s">
        <v>102</v>
      </c>
      <c r="E39" s="27">
        <v>1175000</v>
      </c>
      <c r="F39" s="22">
        <v>10115.58</v>
      </c>
      <c r="G39" s="22">
        <v>1.02</v>
      </c>
      <c r="H39" s="22" t="s">
        <v>17</v>
      </c>
    </row>
    <row r="40" spans="2:8" x14ac:dyDescent="0.2">
      <c r="B40" s="26" t="s">
        <v>103</v>
      </c>
      <c r="C40" s="21" t="s">
        <v>104</v>
      </c>
      <c r="D40" s="21" t="s">
        <v>96</v>
      </c>
      <c r="E40" s="27">
        <v>144552</v>
      </c>
      <c r="F40" s="22">
        <v>10111.77</v>
      </c>
      <c r="G40" s="22">
        <v>1.02</v>
      </c>
      <c r="H40" s="22" t="s">
        <v>61</v>
      </c>
    </row>
    <row r="41" spans="2:8" x14ac:dyDescent="0.2">
      <c r="B41" s="26" t="s">
        <v>105</v>
      </c>
      <c r="C41" s="21" t="s">
        <v>106</v>
      </c>
      <c r="D41" s="21" t="s">
        <v>107</v>
      </c>
      <c r="E41" s="27">
        <v>424468</v>
      </c>
      <c r="F41" s="22">
        <v>9828.98</v>
      </c>
      <c r="G41" s="22">
        <v>0.99</v>
      </c>
      <c r="H41" s="22" t="s">
        <v>108</v>
      </c>
    </row>
    <row r="42" spans="2:8" x14ac:dyDescent="0.2">
      <c r="B42" s="26" t="s">
        <v>109</v>
      </c>
      <c r="C42" s="21" t="s">
        <v>110</v>
      </c>
      <c r="D42" s="21" t="s">
        <v>33</v>
      </c>
      <c r="E42" s="27">
        <v>1160000</v>
      </c>
      <c r="F42" s="22">
        <v>9827.52</v>
      </c>
      <c r="G42" s="22">
        <v>0.99</v>
      </c>
      <c r="H42" s="22" t="s">
        <v>17</v>
      </c>
    </row>
    <row r="43" spans="2:8" x14ac:dyDescent="0.2">
      <c r="B43" s="26" t="s">
        <v>111</v>
      </c>
      <c r="C43" s="21" t="s">
        <v>112</v>
      </c>
      <c r="D43" s="21" t="s">
        <v>113</v>
      </c>
      <c r="E43" s="27">
        <v>750000</v>
      </c>
      <c r="F43" s="22">
        <v>9801.75</v>
      </c>
      <c r="G43" s="22">
        <v>0.99</v>
      </c>
      <c r="H43" s="22" t="s">
        <v>17</v>
      </c>
    </row>
    <row r="44" spans="2:8" x14ac:dyDescent="0.2">
      <c r="B44" s="26" t="s">
        <v>114</v>
      </c>
      <c r="C44" s="21" t="s">
        <v>115</v>
      </c>
      <c r="D44" s="21" t="s">
        <v>116</v>
      </c>
      <c r="E44" s="27">
        <v>2435623</v>
      </c>
      <c r="F44" s="22">
        <v>9559.82</v>
      </c>
      <c r="G44" s="22">
        <v>0.96</v>
      </c>
      <c r="H44" s="22" t="s">
        <v>61</v>
      </c>
    </row>
    <row r="45" spans="2:8" x14ac:dyDescent="0.2">
      <c r="B45" s="26" t="s">
        <v>117</v>
      </c>
      <c r="C45" s="21" t="s">
        <v>118</v>
      </c>
      <c r="D45" s="21" t="s">
        <v>107</v>
      </c>
      <c r="E45" s="27">
        <v>264927</v>
      </c>
      <c r="F45" s="22">
        <v>9407.9599999999991</v>
      </c>
      <c r="G45" s="22">
        <v>0.95</v>
      </c>
      <c r="H45" s="22" t="s">
        <v>61</v>
      </c>
    </row>
    <row r="46" spans="2:8" x14ac:dyDescent="0.2">
      <c r="B46" s="26" t="s">
        <v>119</v>
      </c>
      <c r="C46" s="21" t="s">
        <v>120</v>
      </c>
      <c r="D46" s="21" t="s">
        <v>52</v>
      </c>
      <c r="E46" s="27">
        <v>39060</v>
      </c>
      <c r="F46" s="22">
        <v>9147.52</v>
      </c>
      <c r="G46" s="22">
        <v>0.92</v>
      </c>
      <c r="H46" s="22" t="s">
        <v>61</v>
      </c>
    </row>
    <row r="47" spans="2:8" x14ac:dyDescent="0.2">
      <c r="B47" s="26" t="s">
        <v>121</v>
      </c>
      <c r="C47" s="21" t="s">
        <v>122</v>
      </c>
      <c r="D47" s="21" t="s">
        <v>60</v>
      </c>
      <c r="E47" s="27">
        <v>1621430</v>
      </c>
      <c r="F47" s="22">
        <v>8364.15</v>
      </c>
      <c r="G47" s="22">
        <v>0.84</v>
      </c>
      <c r="H47" s="22" t="s">
        <v>61</v>
      </c>
    </row>
    <row r="48" spans="2:8" x14ac:dyDescent="0.2">
      <c r="B48" s="26" t="s">
        <v>123</v>
      </c>
      <c r="C48" s="21" t="s">
        <v>124</v>
      </c>
      <c r="D48" s="21" t="s">
        <v>96</v>
      </c>
      <c r="E48" s="27">
        <v>438956</v>
      </c>
      <c r="F48" s="22">
        <v>8001.95</v>
      </c>
      <c r="G48" s="22">
        <v>0.81</v>
      </c>
      <c r="H48" s="22" t="s">
        <v>61</v>
      </c>
    </row>
    <row r="49" spans="2:8" x14ac:dyDescent="0.2">
      <c r="B49" s="26" t="s">
        <v>125</v>
      </c>
      <c r="C49" s="21" t="s">
        <v>126</v>
      </c>
      <c r="D49" s="21" t="s">
        <v>49</v>
      </c>
      <c r="E49" s="27">
        <v>1100000</v>
      </c>
      <c r="F49" s="22">
        <v>7904.05</v>
      </c>
      <c r="G49" s="22">
        <v>0.8</v>
      </c>
      <c r="H49" s="22" t="s">
        <v>108</v>
      </c>
    </row>
    <row r="50" spans="2:8" x14ac:dyDescent="0.2">
      <c r="B50" s="26" t="s">
        <v>127</v>
      </c>
      <c r="C50" s="21" t="s">
        <v>128</v>
      </c>
      <c r="D50" s="21" t="s">
        <v>129</v>
      </c>
      <c r="E50" s="27">
        <v>1543413</v>
      </c>
      <c r="F50" s="22">
        <v>7177.64</v>
      </c>
      <c r="G50" s="22">
        <v>0.72</v>
      </c>
      <c r="H50" s="22" t="s">
        <v>61</v>
      </c>
    </row>
    <row r="51" spans="2:8" x14ac:dyDescent="0.2">
      <c r="B51" s="26" t="s">
        <v>130</v>
      </c>
      <c r="C51" s="21" t="s">
        <v>131</v>
      </c>
      <c r="D51" s="21" t="s">
        <v>132</v>
      </c>
      <c r="E51" s="27">
        <v>456212</v>
      </c>
      <c r="F51" s="22">
        <v>7170.28</v>
      </c>
      <c r="G51" s="22">
        <v>0.72</v>
      </c>
      <c r="H51" s="22" t="s">
        <v>108</v>
      </c>
    </row>
    <row r="52" spans="2:8" x14ac:dyDescent="0.2">
      <c r="B52" s="26" t="s">
        <v>133</v>
      </c>
      <c r="C52" s="21" t="s">
        <v>134</v>
      </c>
      <c r="D52" s="21" t="s">
        <v>135</v>
      </c>
      <c r="E52" s="27">
        <v>179000</v>
      </c>
      <c r="F52" s="22">
        <v>6961.67</v>
      </c>
      <c r="G52" s="22">
        <v>0.7</v>
      </c>
      <c r="H52" s="22" t="s">
        <v>17</v>
      </c>
    </row>
    <row r="53" spans="2:8" x14ac:dyDescent="0.2">
      <c r="B53" s="26" t="s">
        <v>136</v>
      </c>
      <c r="C53" s="21" t="s">
        <v>137</v>
      </c>
      <c r="D53" s="21" t="s">
        <v>138</v>
      </c>
      <c r="E53" s="27">
        <v>135000</v>
      </c>
      <c r="F53" s="22">
        <v>6783.14</v>
      </c>
      <c r="G53" s="22">
        <v>0.68</v>
      </c>
      <c r="H53" s="22" t="s">
        <v>17</v>
      </c>
    </row>
    <row r="54" spans="2:8" x14ac:dyDescent="0.2">
      <c r="B54" s="26" t="s">
        <v>139</v>
      </c>
      <c r="C54" s="21" t="s">
        <v>140</v>
      </c>
      <c r="D54" s="21" t="s">
        <v>69</v>
      </c>
      <c r="E54" s="27">
        <v>393000</v>
      </c>
      <c r="F54" s="22">
        <v>6584.72</v>
      </c>
      <c r="G54" s="22">
        <v>0.66</v>
      </c>
      <c r="H54" s="22" t="s">
        <v>61</v>
      </c>
    </row>
    <row r="55" spans="2:8" x14ac:dyDescent="0.2">
      <c r="B55" s="26" t="s">
        <v>141</v>
      </c>
      <c r="C55" s="21" t="s">
        <v>142</v>
      </c>
      <c r="D55" s="21" t="s">
        <v>66</v>
      </c>
      <c r="E55" s="27">
        <v>943588</v>
      </c>
      <c r="F55" s="22">
        <v>6220.6</v>
      </c>
      <c r="G55" s="22">
        <v>0.63</v>
      </c>
      <c r="H55" s="22" t="s">
        <v>108</v>
      </c>
    </row>
    <row r="56" spans="2:8" x14ac:dyDescent="0.2">
      <c r="B56" s="26" t="s">
        <v>143</v>
      </c>
      <c r="C56" s="21" t="s">
        <v>144</v>
      </c>
      <c r="D56" s="21" t="s">
        <v>135</v>
      </c>
      <c r="E56" s="27">
        <v>471000</v>
      </c>
      <c r="F56" s="22">
        <v>5835.69</v>
      </c>
      <c r="G56" s="22">
        <v>0.59</v>
      </c>
      <c r="H56" s="22" t="s">
        <v>61</v>
      </c>
    </row>
    <row r="57" spans="2:8" x14ac:dyDescent="0.2">
      <c r="B57" s="26" t="s">
        <v>145</v>
      </c>
      <c r="C57" s="21" t="s">
        <v>146</v>
      </c>
      <c r="D57" s="21" t="s">
        <v>147</v>
      </c>
      <c r="E57" s="27">
        <v>5000000</v>
      </c>
      <c r="F57" s="22">
        <v>5600</v>
      </c>
      <c r="G57" s="22">
        <v>0.56000000000000005</v>
      </c>
      <c r="H57" s="22" t="s">
        <v>17</v>
      </c>
    </row>
    <row r="58" spans="2:8" x14ac:dyDescent="0.2">
      <c r="B58" s="26" t="s">
        <v>148</v>
      </c>
      <c r="C58" s="21" t="s">
        <v>149</v>
      </c>
      <c r="D58" s="21" t="s">
        <v>150</v>
      </c>
      <c r="E58" s="27">
        <v>12347</v>
      </c>
      <c r="F58" s="22">
        <v>5146.1099999999997</v>
      </c>
      <c r="G58" s="22">
        <v>0.52</v>
      </c>
      <c r="H58" s="22" t="s">
        <v>61</v>
      </c>
    </row>
    <row r="59" spans="2:8" x14ac:dyDescent="0.2">
      <c r="B59" s="26" t="s">
        <v>151</v>
      </c>
      <c r="C59" s="21" t="s">
        <v>152</v>
      </c>
      <c r="D59" s="21" t="s">
        <v>153</v>
      </c>
      <c r="E59" s="27">
        <v>995000</v>
      </c>
      <c r="F59" s="22">
        <v>4188.45</v>
      </c>
      <c r="G59" s="22">
        <v>0.42</v>
      </c>
      <c r="H59" s="22" t="s">
        <v>17</v>
      </c>
    </row>
    <row r="60" spans="2:8" x14ac:dyDescent="0.2">
      <c r="B60" s="26" t="s">
        <v>154</v>
      </c>
      <c r="C60" s="21" t="s">
        <v>155</v>
      </c>
      <c r="D60" s="21" t="s">
        <v>113</v>
      </c>
      <c r="E60" s="27">
        <v>300000</v>
      </c>
      <c r="F60" s="22">
        <v>4033.35</v>
      </c>
      <c r="G60" s="22">
        <v>0.41</v>
      </c>
      <c r="H60" s="22" t="s">
        <v>17</v>
      </c>
    </row>
    <row r="61" spans="2:8" x14ac:dyDescent="0.2">
      <c r="B61" s="26" t="s">
        <v>156</v>
      </c>
      <c r="C61" s="21" t="s">
        <v>157</v>
      </c>
      <c r="D61" s="21" t="s">
        <v>113</v>
      </c>
      <c r="E61" s="27">
        <v>489013</v>
      </c>
      <c r="F61" s="22">
        <v>3965.16</v>
      </c>
      <c r="G61" s="22">
        <v>0.4</v>
      </c>
      <c r="H61" s="22" t="s">
        <v>61</v>
      </c>
    </row>
    <row r="62" spans="2:8" x14ac:dyDescent="0.2">
      <c r="B62" s="26" t="s">
        <v>158</v>
      </c>
      <c r="C62" s="21" t="s">
        <v>159</v>
      </c>
      <c r="D62" s="21" t="s">
        <v>25</v>
      </c>
      <c r="E62" s="27">
        <v>148215</v>
      </c>
      <c r="F62" s="22">
        <v>2808.75</v>
      </c>
      <c r="G62" s="22">
        <v>0.28000000000000003</v>
      </c>
      <c r="H62" s="22" t="s">
        <v>61</v>
      </c>
    </row>
    <row r="63" spans="2:8" x14ac:dyDescent="0.2">
      <c r="B63" s="26" t="s">
        <v>160</v>
      </c>
      <c r="C63" s="21" t="s">
        <v>161</v>
      </c>
      <c r="D63" s="21" t="s">
        <v>52</v>
      </c>
      <c r="E63" s="27">
        <v>201786</v>
      </c>
      <c r="F63" s="22">
        <v>1498.97</v>
      </c>
      <c r="G63" s="22">
        <v>0.15</v>
      </c>
      <c r="H63" s="22" t="s">
        <v>61</v>
      </c>
    </row>
    <row r="64" spans="2:8" x14ac:dyDescent="0.2">
      <c r="B64" s="26" t="s">
        <v>162</v>
      </c>
      <c r="C64" s="21" t="s">
        <v>163</v>
      </c>
      <c r="D64" s="21" t="s">
        <v>69</v>
      </c>
      <c r="E64" s="27">
        <v>24500</v>
      </c>
      <c r="F64" s="22">
        <v>823.7</v>
      </c>
      <c r="G64" s="22">
        <v>0.08</v>
      </c>
      <c r="H64" s="22" t="s">
        <v>17</v>
      </c>
    </row>
    <row r="65" spans="2:8" x14ac:dyDescent="0.2">
      <c r="B65" s="31" t="s">
        <v>164</v>
      </c>
      <c r="C65" s="32"/>
      <c r="D65" s="32"/>
      <c r="E65" s="32"/>
      <c r="F65" s="33">
        <f>SUM(F7:F64)</f>
        <v>945043.6599999998</v>
      </c>
      <c r="G65" s="33">
        <f>SUM(G7:G64)</f>
        <v>95.239999999999952</v>
      </c>
      <c r="H65" s="33"/>
    </row>
    <row r="66" spans="2:8" x14ac:dyDescent="0.2">
      <c r="B66" s="34" t="s">
        <v>165</v>
      </c>
      <c r="C66" s="34"/>
      <c r="D66" s="34"/>
      <c r="E66" s="34"/>
      <c r="F66" s="35">
        <f>F65</f>
        <v>945043.6599999998</v>
      </c>
      <c r="G66" s="35">
        <f>G65</f>
        <v>95.239999999999952</v>
      </c>
      <c r="H66" s="35"/>
    </row>
    <row r="67" spans="2:8" x14ac:dyDescent="0.2">
      <c r="B67" s="36" t="s">
        <v>166</v>
      </c>
      <c r="C67" s="37"/>
      <c r="D67" s="37"/>
      <c r="E67" s="37"/>
      <c r="F67" s="38"/>
      <c r="G67" s="38"/>
      <c r="H67" s="38"/>
    </row>
    <row r="68" spans="2:8" x14ac:dyDescent="0.2">
      <c r="B68" s="26" t="s">
        <v>166</v>
      </c>
      <c r="C68" s="21"/>
      <c r="D68" s="21"/>
      <c r="E68" s="21"/>
      <c r="F68" s="22">
        <v>45647.199999999997</v>
      </c>
      <c r="G68" s="22">
        <v>4.5999999999999996</v>
      </c>
      <c r="H68" s="22"/>
    </row>
    <row r="69" spans="2:8" x14ac:dyDescent="0.2">
      <c r="B69" s="31" t="s">
        <v>164</v>
      </c>
      <c r="C69" s="32"/>
      <c r="D69" s="32"/>
      <c r="E69" s="32"/>
      <c r="F69" s="33">
        <f>SUM(F67:F68)</f>
        <v>45647.199999999997</v>
      </c>
      <c r="G69" s="33">
        <f>SUM(G67:G68)</f>
        <v>4.5999999999999996</v>
      </c>
      <c r="H69" s="33"/>
    </row>
    <row r="70" spans="2:8" x14ac:dyDescent="0.2">
      <c r="B70" s="39" t="s">
        <v>165</v>
      </c>
      <c r="C70" s="39"/>
      <c r="D70" s="39"/>
      <c r="E70" s="39"/>
      <c r="F70" s="40">
        <f>F69</f>
        <v>45647.199999999997</v>
      </c>
      <c r="G70" s="40">
        <f>G69</f>
        <v>4.5999999999999996</v>
      </c>
      <c r="H70" s="40"/>
    </row>
    <row r="71" spans="2:8" x14ac:dyDescent="0.2">
      <c r="B71" s="41" t="s">
        <v>167</v>
      </c>
      <c r="C71" s="41"/>
      <c r="D71" s="41"/>
      <c r="E71" s="41"/>
      <c r="F71" s="42">
        <f>F72-(+F66+F70)</f>
        <v>1201.5300000002608</v>
      </c>
      <c r="G71" s="42">
        <f>G72-(+G66+G70)</f>
        <v>0.16000000000005343</v>
      </c>
      <c r="H71" s="42"/>
    </row>
    <row r="72" spans="2:8" x14ac:dyDescent="0.2">
      <c r="B72" s="41" t="s">
        <v>168</v>
      </c>
      <c r="C72" s="41"/>
      <c r="D72" s="41"/>
      <c r="E72" s="41"/>
      <c r="F72" s="42">
        <v>991892.39</v>
      </c>
      <c r="G72" s="42">
        <v>100</v>
      </c>
      <c r="H72" s="42"/>
    </row>
    <row r="73" spans="2:8" ht="12.75" thickBot="1" x14ac:dyDescent="0.25"/>
    <row r="74" spans="2:8" ht="13.5" thickTop="1" thickBot="1" x14ac:dyDescent="0.25">
      <c r="B74" s="44" t="s">
        <v>169</v>
      </c>
      <c r="C74" s="45" t="s">
        <v>170</v>
      </c>
    </row>
    <row r="75" spans="2:8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11:05:34</KDate>
  <Classification>Public</Classification>
  <Subclassification/>
  <HostName>MUMCMP00915</HostName>
  <Domain_User>CANARAROBECOMF/396</Domain_User>
  <IPAdd>192.9.198.198</IPAdd>
  <FilePath>Book2</FilePath>
  <KID>A4BB6D0D6391638242383348142827</KID>
  <UniqueName/>
  <Suggested/>
  <Justification/>
</Klassify>
</file>

<file path=customXml/itemProps1.xml><?xml version="1.0" encoding="utf-8"?>
<ds:datastoreItem xmlns:ds="http://schemas.openxmlformats.org/officeDocument/2006/customXml" ds:itemID="{891C8739-8B3E-4D0E-A03B-32E0FF4FF3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2023-07-06T05:35:30Z</dcterms:created>
  <dcterms:modified xsi:type="dcterms:W3CDTF">2023-07-06T05:35:34Z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A4BB6D0D6391638242383348142827</vt:lpwstr>
  </property>
</Properties>
</file>