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44442112-D6F8-4203-BB3B-0BF3D5AC0EF7}" xr6:coauthVersionLast="47" xr6:coauthVersionMax="47" xr10:uidLastSave="{00000000-0000-0000-0000-000000000000}"/>
  <bookViews>
    <workbookView xWindow="-110" yWindow="-110" windowWidth="19420" windowHeight="10300" xr2:uid="{0E588891-A3FE-45D2-992C-7D11E0331755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7" i="1"/>
  <c r="F37" i="1"/>
  <c r="G34" i="1"/>
  <c r="F34" i="1"/>
  <c r="G31" i="1"/>
  <c r="F31" i="1"/>
  <c r="G30" i="1"/>
  <c r="F30" i="1"/>
  <c r="G27" i="1"/>
  <c r="F27" i="1"/>
  <c r="G16" i="1"/>
  <c r="G17" i="1" s="1"/>
  <c r="G42" i="1" s="1"/>
  <c r="F16" i="1"/>
  <c r="F17" i="1" s="1"/>
  <c r="F4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<sst xmlns="http://schemas.openxmlformats.org/spreadsheetml/2006/main" count="108" uniqueCount="89">
  <si>
    <t>CANARA ROBECO ULTRA SHORT TERM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</si>
  <si>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</si>
  <si>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</si>
  <si>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</si>
  <si>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</si>
  <si>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</si>
  <si>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</si>
  <si>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</si>
  <si>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</si>
  <si>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</si>
  <si>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</si>
  <si>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</si>
  <si>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</si>
  <si>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</si>
  <si>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</si>
  <si>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</si>
  <si>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</si>
  <si>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</si>
  <si>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</si>
  <si>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</si>
  <si>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</si>
  <si>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8.1350% KOTAK MAHINDRA PRIME LTD 10-FEB-27 **</t>
  </si>
  <si>
    <t>INE916DA7SR0</t>
  </si>
  <si>
    <t>CRISIL AAA</t>
  </si>
  <si>
    <t>Relatively Low (Class I)</t>
  </si>
  <si>
    <t>B-I</t>
  </si>
  <si>
    <t>7.70% REC Ltd (31/08/2026)</t>
  </si>
  <si>
    <t>INE020B08FC8</t>
  </si>
  <si>
    <t>ICRA AAA</t>
  </si>
  <si>
    <t>7.63% Power Finance Corporation Ltd (14/08/2026) **</t>
  </si>
  <si>
    <t>INE134E08II2</t>
  </si>
  <si>
    <t>Moderate 
(Class II)</t>
  </si>
  <si>
    <t>7.55% Small Industries Development Bank Of India (22/09/2026) **</t>
  </si>
  <si>
    <t>INE556F08KJ7</t>
  </si>
  <si>
    <t>6.40% LIC Housing Finance Ltd (30/11/2026) **</t>
  </si>
  <si>
    <t>INE115A07PN6</t>
  </si>
  <si>
    <t>Relatively High (Class III)</t>
  </si>
  <si>
    <t>7.58% National Bank For Agriculture &amp; Rural Development (31/07/2026)</t>
  </si>
  <si>
    <t>INE261F08DX0</t>
  </si>
  <si>
    <t>7.64% Power Finance Corporation Ltd (25/08/2026)</t>
  </si>
  <si>
    <t>INE134E08MT1</t>
  </si>
  <si>
    <t>Benchmark: CRISIL Ultra Short Duration Debt A-I Index</t>
  </si>
  <si>
    <t>7.50% National Bank For Agriculture &amp; Rural Development (31/08/2026)</t>
  </si>
  <si>
    <t>INE261F08EA6</t>
  </si>
  <si>
    <t>7.43% Small Industries Development Bank Of India (31/08/2026) **</t>
  </si>
  <si>
    <t>INE556F08KH1</t>
  </si>
  <si>
    <t>CARE AAA</t>
  </si>
  <si>
    <t>Sub Total</t>
  </si>
  <si>
    <t>Total</t>
  </si>
  <si>
    <t>Money Market Instruments</t>
  </si>
  <si>
    <t>Certificate of Deposit</t>
  </si>
  <si>
    <t>Union Bank of India (04/06/2026) ** #</t>
  </si>
  <si>
    <t>INE692A16KS5</t>
  </si>
  <si>
    <t>IND A1+</t>
  </si>
  <si>
    <t>Bank of India (10/03/2026) ** #</t>
  </si>
  <si>
    <t>INE084A16EK5</t>
  </si>
  <si>
    <t>CRISIL A1+</t>
  </si>
  <si>
    <t>Indian Bank (12/03/2026) ** #</t>
  </si>
  <si>
    <t>INE562A16OI3</t>
  </si>
  <si>
    <t>HDFC Bank Ltd (02/04/2026) ** #</t>
  </si>
  <si>
    <t>INE040A16HC7</t>
  </si>
  <si>
    <t>CARE A1+</t>
  </si>
  <si>
    <t>Export-Import Bank Of India (04/03/2026) ** #</t>
  </si>
  <si>
    <t>INE514E16CJ9</t>
  </si>
  <si>
    <t>HDFC Bank Ltd (21/12/2026) ** #</t>
  </si>
  <si>
    <t>INE040A16II2</t>
  </si>
  <si>
    <t>ICICI Bank Ltd (27/01/2027) ** #</t>
  </si>
  <si>
    <t>INE090AD6279</t>
  </si>
  <si>
    <t>ICRA A1+</t>
  </si>
  <si>
    <t>Commercial Paper</t>
  </si>
  <si>
    <t>ICICI Securities Ltd (20/03/2026) **</t>
  </si>
  <si>
    <t>INE763G14XY7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</si>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</sst>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CAE4-98A0-4BC0-B648-FE78DF5E7477}">
  <dimension ref="B1:R56"/>
  <sheetViews>
    <sheetView tabSelected="1" topLeftCell="A36" workbookViewId="0">
      <selection activeCell="B54" sqref="B54:B56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726562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54296875" style="3" customWidth="1"/>
    <col min="16" max="16384" width="9.1796875" style="3"/>
  </cols>
  <sheetData>
    <row r="1" spans="2:18" ht="21" customHeight="1" x14ac:dyDescent="0.25">
      <c r="B1" s="1" t="s">
        <v>0</v>
      </c>
      <c r="C1" s="2"/>
      <c r="D1" s="2"/>
      <c r="E1" s="2"/>
      <c r="F1" s="2"/>
      <c r="G1" s="2"/>
      <c r="H1" s="2"/>
    </row>
    <row r="3" spans="2:18" ht="16" thickBot="1" x14ac:dyDescent="0.3">
      <c r="B3" s="4" t="s">
        <v>1</v>
      </c>
      <c r="C3" s="5"/>
      <c r="D3" s="6"/>
      <c r="E3" s="6"/>
      <c r="F3" s="7"/>
      <c r="G3" s="7"/>
    </row>
    <row r="4" spans="2:18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5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 x14ac:dyDescent="0.25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 x14ac:dyDescent="0.25">
      <c r="B7" s="25" t="s">
        <v>21</v>
      </c>
      <c r="C7" s="25" t="s">
        <v>22</v>
      </c>
      <c r="D7" s="25" t="s">
        <v>23</v>
      </c>
      <c r="E7" s="30">
        <v>2500</v>
      </c>
      <c r="F7" s="26">
        <v>2515.3000000000002</v>
      </c>
      <c r="G7" s="26">
        <v>5.0199999999999996</v>
      </c>
      <c r="H7" s="26">
        <v>7.49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 x14ac:dyDescent="0.25">
      <c r="B8" s="25" t="s">
        <v>26</v>
      </c>
      <c r="C8" s="25" t="s">
        <v>27</v>
      </c>
      <c r="D8" s="25" t="s">
        <v>28</v>
      </c>
      <c r="E8" s="30">
        <v>2500</v>
      </c>
      <c r="F8" s="26">
        <v>2501.54</v>
      </c>
      <c r="G8" s="26">
        <v>4.99</v>
      </c>
      <c r="H8" s="26">
        <v>7.35</v>
      </c>
      <c r="J8" s="27"/>
      <c r="K8" s="21"/>
      <c r="L8" s="27"/>
      <c r="M8" s="21"/>
      <c r="O8" s="31"/>
      <c r="P8" s="34"/>
      <c r="Q8" s="35"/>
      <c r="R8" s="34"/>
    </row>
    <row r="9" spans="2:18" x14ac:dyDescent="0.25">
      <c r="B9" s="25" t="s">
        <v>29</v>
      </c>
      <c r="C9" s="25" t="s">
        <v>30</v>
      </c>
      <c r="D9" s="25" t="s">
        <v>23</v>
      </c>
      <c r="E9" s="30">
        <v>250</v>
      </c>
      <c r="F9" s="26">
        <v>2500.14</v>
      </c>
      <c r="G9" s="26">
        <v>4.99</v>
      </c>
      <c r="H9" s="26">
        <v>7.36</v>
      </c>
      <c r="J9" s="27"/>
      <c r="K9" s="21"/>
      <c r="L9" s="27"/>
      <c r="M9" s="21"/>
      <c r="O9" s="31" t="s">
        <v>31</v>
      </c>
      <c r="P9" s="32"/>
      <c r="Q9" s="32"/>
      <c r="R9" s="32"/>
    </row>
    <row r="10" spans="2:18" x14ac:dyDescent="0.25">
      <c r="B10" s="25" t="s">
        <v>32</v>
      </c>
      <c r="C10" s="25" t="s">
        <v>33</v>
      </c>
      <c r="D10" s="25" t="s">
        <v>23</v>
      </c>
      <c r="E10" s="30">
        <v>2500</v>
      </c>
      <c r="F10" s="26">
        <v>2499.44</v>
      </c>
      <c r="G10" s="26">
        <v>4.99</v>
      </c>
      <c r="H10" s="26">
        <v>7.39</v>
      </c>
      <c r="J10" s="27"/>
      <c r="K10" s="21"/>
      <c r="L10" s="27"/>
      <c r="M10" s="21"/>
      <c r="O10" s="31"/>
      <c r="P10" s="34"/>
      <c r="Q10" s="34"/>
      <c r="R10" s="34"/>
    </row>
    <row r="11" spans="2:18" x14ac:dyDescent="0.25">
      <c r="B11" s="25" t="s">
        <v>34</v>
      </c>
      <c r="C11" s="25" t="s">
        <v>35</v>
      </c>
      <c r="D11" s="25" t="s">
        <v>23</v>
      </c>
      <c r="E11" s="30">
        <v>250</v>
      </c>
      <c r="F11" s="26">
        <v>2477.4499999999998</v>
      </c>
      <c r="G11" s="26">
        <v>4.9400000000000004</v>
      </c>
      <c r="H11" s="26">
        <v>7.48</v>
      </c>
      <c r="J11" s="27"/>
      <c r="K11" s="21"/>
      <c r="L11" s="27"/>
      <c r="M11" s="21"/>
      <c r="O11" s="31" t="s">
        <v>36</v>
      </c>
      <c r="P11" s="32"/>
      <c r="Q11" s="32"/>
      <c r="R11" s="32"/>
    </row>
    <row r="12" spans="2:18" x14ac:dyDescent="0.25">
      <c r="B12" s="25" t="s">
        <v>37</v>
      </c>
      <c r="C12" s="25" t="s">
        <v>38</v>
      </c>
      <c r="D12" s="25" t="s">
        <v>23</v>
      </c>
      <c r="E12" s="30">
        <v>2400</v>
      </c>
      <c r="F12" s="26">
        <v>2398.66</v>
      </c>
      <c r="G12" s="26">
        <v>4.79</v>
      </c>
      <c r="H12" s="26">
        <v>7.41</v>
      </c>
      <c r="J12" s="36"/>
      <c r="K12" s="21"/>
      <c r="L12" s="36"/>
      <c r="M12" s="21"/>
      <c r="O12" s="31"/>
      <c r="P12" s="34"/>
      <c r="Q12" s="34"/>
      <c r="R12" s="34"/>
    </row>
    <row r="13" spans="2:18" x14ac:dyDescent="0.25">
      <c r="B13" s="25" t="s">
        <v>39</v>
      </c>
      <c r="C13" s="25" t="s">
        <v>40</v>
      </c>
      <c r="D13" s="25" t="s">
        <v>23</v>
      </c>
      <c r="E13" s="30">
        <v>2000</v>
      </c>
      <c r="F13" s="26">
        <v>2000.25</v>
      </c>
      <c r="G13" s="26">
        <v>3.99</v>
      </c>
      <c r="H13" s="26">
        <v>7.37</v>
      </c>
      <c r="J13" s="37"/>
      <c r="K13" s="37" t="s">
        <v>41</v>
      </c>
      <c r="L13" s="38"/>
      <c r="M13" s="38"/>
    </row>
    <row r="14" spans="2:18" x14ac:dyDescent="0.25">
      <c r="B14" s="25" t="s">
        <v>42</v>
      </c>
      <c r="C14" s="25" t="s">
        <v>43</v>
      </c>
      <c r="D14" s="25" t="s">
        <v>23</v>
      </c>
      <c r="E14" s="30">
        <v>2000</v>
      </c>
      <c r="F14" s="26">
        <v>1998.5</v>
      </c>
      <c r="G14" s="26">
        <v>3.99</v>
      </c>
      <c r="H14" s="26">
        <v>7.4</v>
      </c>
    </row>
    <row r="15" spans="2:18" x14ac:dyDescent="0.25">
      <c r="B15" s="25" t="s">
        <v>44</v>
      </c>
      <c r="C15" s="25" t="s">
        <v>45</v>
      </c>
      <c r="D15" s="25" t="s">
        <v>46</v>
      </c>
      <c r="E15" s="30">
        <v>2000</v>
      </c>
      <c r="F15" s="26">
        <v>1997.56</v>
      </c>
      <c r="G15" s="26">
        <v>3.99</v>
      </c>
      <c r="H15" s="26">
        <v>7.42</v>
      </c>
    </row>
    <row r="16" spans="2:18" x14ac:dyDescent="0.25">
      <c r="B16" s="39" t="s">
        <v>47</v>
      </c>
      <c r="C16" s="39"/>
      <c r="D16" s="39"/>
      <c r="E16" s="39"/>
      <c r="F16" s="40">
        <f>SUM(F6:F15)</f>
        <v>20888.84</v>
      </c>
      <c r="G16" s="40">
        <f>SUM(G6:G15)</f>
        <v>41.690000000000005</v>
      </c>
      <c r="H16" s="41"/>
      <c r="I16" s="42"/>
    </row>
    <row r="17" spans="2:9" x14ac:dyDescent="0.25">
      <c r="B17" s="43" t="s">
        <v>48</v>
      </c>
      <c r="C17" s="43"/>
      <c r="D17" s="43"/>
      <c r="E17" s="43"/>
      <c r="F17" s="44">
        <f>F16</f>
        <v>20888.84</v>
      </c>
      <c r="G17" s="44">
        <f>G16</f>
        <v>41.690000000000005</v>
      </c>
      <c r="H17" s="44"/>
      <c r="I17" s="42"/>
    </row>
    <row r="18" spans="2:9" x14ac:dyDescent="0.25">
      <c r="B18" s="24" t="s">
        <v>49</v>
      </c>
      <c r="C18" s="25"/>
      <c r="D18" s="25"/>
      <c r="E18" s="25"/>
      <c r="F18" s="26"/>
      <c r="G18" s="26"/>
      <c r="H18" s="26"/>
    </row>
    <row r="19" spans="2:9" x14ac:dyDescent="0.25">
      <c r="B19" s="24" t="s">
        <v>50</v>
      </c>
      <c r="C19" s="25"/>
      <c r="D19" s="25"/>
      <c r="E19" s="25"/>
      <c r="F19" s="26"/>
      <c r="G19" s="26"/>
      <c r="H19" s="26"/>
    </row>
    <row r="20" spans="2:9" x14ac:dyDescent="0.25">
      <c r="B20" s="25" t="s">
        <v>51</v>
      </c>
      <c r="C20" s="25" t="s">
        <v>52</v>
      </c>
      <c r="D20" s="25" t="s">
        <v>53</v>
      </c>
      <c r="E20" s="30">
        <v>900</v>
      </c>
      <c r="F20" s="26">
        <v>4393.83</v>
      </c>
      <c r="G20" s="26">
        <v>8.77</v>
      </c>
      <c r="H20" s="26">
        <v>7.17</v>
      </c>
    </row>
    <row r="21" spans="2:9" x14ac:dyDescent="0.25">
      <c r="B21" s="25" t="s">
        <v>54</v>
      </c>
      <c r="C21" s="25" t="s">
        <v>55</v>
      </c>
      <c r="D21" s="25" t="s">
        <v>56</v>
      </c>
      <c r="E21" s="30">
        <v>500</v>
      </c>
      <c r="F21" s="26">
        <v>2483.1</v>
      </c>
      <c r="G21" s="26">
        <v>4.96</v>
      </c>
      <c r="H21" s="26">
        <v>6.72</v>
      </c>
    </row>
    <row r="22" spans="2:9" x14ac:dyDescent="0.25">
      <c r="B22" s="25" t="s">
        <v>57</v>
      </c>
      <c r="C22" s="25" t="s">
        <v>58</v>
      </c>
      <c r="D22" s="25" t="s">
        <v>56</v>
      </c>
      <c r="E22" s="30">
        <v>500</v>
      </c>
      <c r="F22" s="26">
        <v>2482.41</v>
      </c>
      <c r="G22" s="26">
        <v>4.95</v>
      </c>
      <c r="H22" s="26">
        <v>6.63</v>
      </c>
    </row>
    <row r="23" spans="2:9" x14ac:dyDescent="0.25">
      <c r="B23" s="25" t="s">
        <v>59</v>
      </c>
      <c r="C23" s="25" t="s">
        <v>60</v>
      </c>
      <c r="D23" s="25" t="s">
        <v>61</v>
      </c>
      <c r="E23" s="30">
        <v>500</v>
      </c>
      <c r="F23" s="26">
        <v>2470.62</v>
      </c>
      <c r="G23" s="26">
        <v>4.93</v>
      </c>
      <c r="H23" s="26">
        <v>7.24</v>
      </c>
    </row>
    <row r="24" spans="2:9" x14ac:dyDescent="0.25">
      <c r="B24" s="25" t="s">
        <v>62</v>
      </c>
      <c r="C24" s="25" t="s">
        <v>63</v>
      </c>
      <c r="D24" s="25" t="s">
        <v>56</v>
      </c>
      <c r="E24" s="30">
        <v>480</v>
      </c>
      <c r="F24" s="26">
        <v>2386.52</v>
      </c>
      <c r="G24" s="26">
        <v>4.76</v>
      </c>
      <c r="H24" s="26">
        <v>6.65</v>
      </c>
    </row>
    <row r="25" spans="2:9" x14ac:dyDescent="0.25">
      <c r="B25" s="25" t="s">
        <v>64</v>
      </c>
      <c r="C25" s="25" t="s">
        <v>65</v>
      </c>
      <c r="D25" s="25" t="s">
        <v>61</v>
      </c>
      <c r="E25" s="30">
        <v>300</v>
      </c>
      <c r="F25" s="26">
        <v>1410.15</v>
      </c>
      <c r="G25" s="26">
        <v>2.81</v>
      </c>
      <c r="H25" s="26">
        <v>7.2</v>
      </c>
    </row>
    <row r="26" spans="2:9" x14ac:dyDescent="0.25">
      <c r="B26" s="25" t="s">
        <v>66</v>
      </c>
      <c r="C26" s="25" t="s">
        <v>67</v>
      </c>
      <c r="D26" s="25" t="s">
        <v>68</v>
      </c>
      <c r="E26" s="30">
        <v>300</v>
      </c>
      <c r="F26" s="26">
        <v>1403.26</v>
      </c>
      <c r="G26" s="26">
        <v>2.8</v>
      </c>
      <c r="H26" s="26">
        <v>6.99</v>
      </c>
    </row>
    <row r="27" spans="2:9" x14ac:dyDescent="0.25">
      <c r="B27" s="24" t="s">
        <v>47</v>
      </c>
      <c r="C27" s="24"/>
      <c r="D27" s="24"/>
      <c r="E27" s="24"/>
      <c r="F27" s="45">
        <f>SUM(F19:F26)</f>
        <v>17029.89</v>
      </c>
      <c r="G27" s="45">
        <f>SUM(G19:G26)</f>
        <v>33.979999999999997</v>
      </c>
      <c r="H27" s="46"/>
      <c r="I27" s="42"/>
    </row>
    <row r="28" spans="2:9" x14ac:dyDescent="0.25">
      <c r="B28" s="24" t="s">
        <v>69</v>
      </c>
      <c r="C28" s="25"/>
      <c r="D28" s="25"/>
      <c r="E28" s="25"/>
      <c r="F28" s="26"/>
      <c r="G28" s="26"/>
      <c r="H28" s="26"/>
    </row>
    <row r="29" spans="2:9" x14ac:dyDescent="0.25">
      <c r="B29" s="25" t="s">
        <v>70</v>
      </c>
      <c r="C29" s="25" t="s">
        <v>71</v>
      </c>
      <c r="D29" s="25" t="s">
        <v>56</v>
      </c>
      <c r="E29" s="30">
        <v>500</v>
      </c>
      <c r="F29" s="26">
        <v>2477.19</v>
      </c>
      <c r="G29" s="26">
        <v>4.9400000000000004</v>
      </c>
      <c r="H29" s="26">
        <v>7.15</v>
      </c>
    </row>
    <row r="30" spans="2:9" x14ac:dyDescent="0.25">
      <c r="B30" s="39" t="s">
        <v>47</v>
      </c>
      <c r="C30" s="39"/>
      <c r="D30" s="39"/>
      <c r="E30" s="39"/>
      <c r="F30" s="40">
        <f>SUM(F28:F29)</f>
        <v>2477.19</v>
      </c>
      <c r="G30" s="40">
        <f>SUM(G28:G29)</f>
        <v>4.9400000000000004</v>
      </c>
      <c r="H30" s="41"/>
      <c r="I30" s="42"/>
    </row>
    <row r="31" spans="2:9" x14ac:dyDescent="0.25">
      <c r="B31" s="43" t="s">
        <v>48</v>
      </c>
      <c r="C31" s="43"/>
      <c r="D31" s="43"/>
      <c r="E31" s="43"/>
      <c r="F31" s="44">
        <f>F27+F30</f>
        <v>19507.079999999998</v>
      </c>
      <c r="G31" s="44">
        <f>G27+G30</f>
        <v>38.919999999999995</v>
      </c>
      <c r="H31" s="44"/>
      <c r="I31" s="42"/>
    </row>
    <row r="32" spans="2:9" x14ac:dyDescent="0.25">
      <c r="B32" s="24" t="s">
        <v>72</v>
      </c>
      <c r="C32" s="25"/>
      <c r="D32" s="25"/>
      <c r="E32" s="25"/>
      <c r="F32" s="26"/>
      <c r="G32" s="26"/>
      <c r="H32" s="26"/>
    </row>
    <row r="33" spans="2:9" x14ac:dyDescent="0.25">
      <c r="B33" s="47" t="s">
        <v>73</v>
      </c>
      <c r="C33" s="47" t="s">
        <v>74</v>
      </c>
      <c r="D33" s="47" t="s">
        <v>75</v>
      </c>
      <c r="E33" s="48">
        <v>5000000</v>
      </c>
      <c r="F33" s="49">
        <v>5162.5600000000004</v>
      </c>
      <c r="G33" s="49">
        <v>10.3</v>
      </c>
      <c r="H33" s="49">
        <v>6.28</v>
      </c>
    </row>
    <row r="34" spans="2:9" x14ac:dyDescent="0.25">
      <c r="B34" s="50" t="s">
        <v>48</v>
      </c>
      <c r="C34" s="50"/>
      <c r="D34" s="50"/>
      <c r="E34" s="50"/>
      <c r="F34" s="45">
        <f>SUM(F33:F33)</f>
        <v>5162.5600000000004</v>
      </c>
      <c r="G34" s="45">
        <f>SUM(G33:G33)</f>
        <v>10.3</v>
      </c>
      <c r="H34" s="45"/>
      <c r="I34" s="42"/>
    </row>
    <row r="35" spans="2:9" x14ac:dyDescent="0.25">
      <c r="B35" s="24" t="s">
        <v>76</v>
      </c>
      <c r="C35" s="25"/>
      <c r="D35" s="25"/>
      <c r="E35" s="25"/>
      <c r="F35" s="26"/>
      <c r="G35" s="26"/>
      <c r="H35" s="26"/>
    </row>
    <row r="36" spans="2:9" x14ac:dyDescent="0.25">
      <c r="B36" s="47" t="s">
        <v>77</v>
      </c>
      <c r="C36" s="47" t="s">
        <v>78</v>
      </c>
      <c r="D36" s="47" t="s">
        <v>76</v>
      </c>
      <c r="E36" s="48">
        <v>1529.0239999999999</v>
      </c>
      <c r="F36" s="49">
        <v>177.35</v>
      </c>
      <c r="G36" s="49">
        <v>0.35</v>
      </c>
      <c r="H36" s="49">
        <v>5.59</v>
      </c>
    </row>
    <row r="37" spans="2:9" x14ac:dyDescent="0.25">
      <c r="B37" s="50" t="s">
        <v>48</v>
      </c>
      <c r="C37" s="50"/>
      <c r="D37" s="50"/>
      <c r="E37" s="50"/>
      <c r="F37" s="45">
        <f>SUM(F36:F36)</f>
        <v>177.35</v>
      </c>
      <c r="G37" s="45">
        <f>SUM(G36:G36)</f>
        <v>0.35</v>
      </c>
      <c r="H37" s="45"/>
      <c r="I37" s="42"/>
    </row>
    <row r="38" spans="2:9" x14ac:dyDescent="0.25">
      <c r="B38" s="24" t="s">
        <v>79</v>
      </c>
      <c r="C38" s="25"/>
      <c r="D38" s="25"/>
      <c r="E38" s="25"/>
      <c r="F38" s="26"/>
      <c r="G38" s="26"/>
      <c r="H38" s="26"/>
    </row>
    <row r="39" spans="2:9" x14ac:dyDescent="0.25">
      <c r="B39" s="25" t="s">
        <v>79</v>
      </c>
      <c r="C39" s="25"/>
      <c r="D39" s="25"/>
      <c r="E39" s="25"/>
      <c r="F39" s="26">
        <v>3441.28</v>
      </c>
      <c r="G39" s="26">
        <v>6.87</v>
      </c>
      <c r="H39" s="26"/>
    </row>
    <row r="40" spans="2:9" x14ac:dyDescent="0.25">
      <c r="B40" s="39" t="s">
        <v>47</v>
      </c>
      <c r="C40" s="39"/>
      <c r="D40" s="39"/>
      <c r="E40" s="39"/>
      <c r="F40" s="40">
        <f>SUM(F38:F39)</f>
        <v>3441.28</v>
      </c>
      <c r="G40" s="40">
        <f>SUM(G38:G39)</f>
        <v>6.87</v>
      </c>
      <c r="H40" s="41"/>
      <c r="I40" s="42"/>
    </row>
    <row r="41" spans="2:9" x14ac:dyDescent="0.25">
      <c r="B41" s="51" t="s">
        <v>48</v>
      </c>
      <c r="C41" s="51"/>
      <c r="D41" s="51"/>
      <c r="E41" s="51"/>
      <c r="F41" s="52">
        <f>F40</f>
        <v>3441.28</v>
      </c>
      <c r="G41" s="52">
        <f>G40</f>
        <v>6.87</v>
      </c>
      <c r="H41" s="52"/>
      <c r="I41" s="42"/>
    </row>
    <row r="42" spans="2:9" x14ac:dyDescent="0.25">
      <c r="B42" s="53" t="s">
        <v>80</v>
      </c>
      <c r="C42" s="53"/>
      <c r="D42" s="53"/>
      <c r="E42" s="53"/>
      <c r="F42" s="54">
        <f>F43-(+F17+F31+F34+F37+F41)</f>
        <v>934.1200000000099</v>
      </c>
      <c r="G42" s="54">
        <f>G43-(+G17+G31+G34+G37+G41)</f>
        <v>1.8700000000000045</v>
      </c>
      <c r="H42" s="54"/>
      <c r="I42" s="42"/>
    </row>
    <row r="43" spans="2:9" x14ac:dyDescent="0.25">
      <c r="B43" s="53" t="s">
        <v>81</v>
      </c>
      <c r="C43" s="53"/>
      <c r="D43" s="53"/>
      <c r="E43" s="53"/>
      <c r="F43" s="54">
        <v>50111.23</v>
      </c>
      <c r="G43" s="54">
        <v>100</v>
      </c>
      <c r="H43" s="54"/>
      <c r="I43" s="42"/>
    </row>
    <row r="45" spans="2:9" x14ac:dyDescent="0.25">
      <c r="B45" s="42" t="s">
        <v>82</v>
      </c>
    </row>
    <row r="46" spans="2:9" x14ac:dyDescent="0.25">
      <c r="B46" s="42" t="s">
        <v>83</v>
      </c>
    </row>
    <row r="47" spans="2:9" ht="12" thickBot="1" x14ac:dyDescent="0.3"/>
    <row r="48" spans="2:9" ht="12.5" thickTop="1" thickBot="1" x14ac:dyDescent="0.3">
      <c r="B48" s="55" t="s">
        <v>84</v>
      </c>
      <c r="C48" s="56">
        <v>0.37930000000000003</v>
      </c>
    </row>
    <row r="49" spans="2:3" ht="12.5" thickTop="1" thickBot="1" x14ac:dyDescent="0.3"/>
    <row r="50" spans="2:3" ht="12.5" thickTop="1" thickBot="1" x14ac:dyDescent="0.3">
      <c r="B50" s="55" t="s">
        <v>85</v>
      </c>
      <c r="C50" s="57">
        <v>6.9199999999999998E-2</v>
      </c>
    </row>
    <row r="51" spans="2:3" ht="12.5" thickTop="1" thickBot="1" x14ac:dyDescent="0.3"/>
    <row r="52" spans="2:3" ht="12.5" thickTop="1" thickBot="1" x14ac:dyDescent="0.3">
      <c r="B52" s="55" t="s">
        <v>86</v>
      </c>
      <c r="C52" s="56">
        <v>0.40570000000000001</v>
      </c>
    </row>
    <row r="53" spans="2:3" ht="12" thickTop="1" x14ac:dyDescent="0.25"/>
    <row r="54" spans="2:3" x14ac:dyDescent="0.25">
      <c r="B54" s="42" t="s">
        <v>87</v>
      </c>
    </row>
    <row r="56" spans="2:3" ht="14.5" x14ac:dyDescent="0.35">
      <c r="B56" s="58" t="s">
        <v>88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56" r:id="rId1" tooltip="Original URL: https://www.canararobeco.com/docs/default-source/default-document-library/Scheme_Performance_January_26.pdf. Click or tap if you trust this link." xr:uid="{F6E09016-B447-4517-ADC8-B46879752327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09:31:54</KDate>
  <Classification>MIS INTERNAL</Classification>
  <Subclassification/>
  <HostName>MUMCMP01395</HostName>
  <Domain_User>CANARAROBECOMF/844</Domain_User>
  <IPAdd>192.9.198.93</IPAdd>
  <FilePath>Book22</FilePath>
  <KID>2800AFD739B7639062263149349645</KID>
  <UniqueName/>
  <Suggested/>
  <Justification/>
  <KlassifyGUID/>
</Klassify>
</file>

<file path=customXml/itemProps1.xml><?xml version="1.0" encoding="utf-8"?>
<ds:datastoreItem xmlns:ds="http://schemas.openxmlformats.org/officeDocument/2006/customXml" ds:itemID="{1E5A275D-721E-4482-80CF-18D942438C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2026-02-09T04:01:52Z</dcterms:created>
  <dcterms:modified xsi:type="dcterms:W3CDTF">2026-02-09T04:01:55Z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2800AFD739B7639062263149349645</vt:lpwstr>
  </property>
</Properties>
</file>