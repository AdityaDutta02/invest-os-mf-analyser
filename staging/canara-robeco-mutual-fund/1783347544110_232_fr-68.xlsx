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G49" i="1"/>
  <c r="G50" i="1" s="1"/>
  <c r="F49" i="1"/>
  <c r="G46" i="1"/>
  <c r="F46" i="1"/>
  <c r="G43" i="1"/>
  <c r="F43" i="1"/>
  <c r="G38" i="1"/>
  <c r="F38" i="1"/>
  <c r="G33" i="1"/>
  <c r="G39" i="1" s="1"/>
  <c r="F33" i="1"/>
  <c r="F39" i="1" s="1"/>
  <c r="G27" i="1"/>
  <c r="G26" i="1"/>
  <c r="F26" i="1"/>
  <c r="F27" i="1" s="1"/>
  <c r="G51" i="1" l="1"/>
  <c r="F51" i="1"/>
</calcChain>
</file>

<file path=xl/sharedStrings.xml><?xml version="1.0" encoding="utf-8"?>
<sst xmlns="http://schemas.openxmlformats.org/spreadsheetml/2006/main" count="131" uniqueCount="102">
  <si>
    <t>CANARA ROBECO SAVINGS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</si>
  <si>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</si>
  <si>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</si>
  <si>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</si>
  <si>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</si>
  <si>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</si>
  <si>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</si>
  <si>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</si>
  <si>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</si>
  <si>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Nov'23</t>
  </si>
  <si>
    <t>Benchmark Risk-o-meter Level- Nov'23</t>
  </si>
  <si>
    <t>Scheme Risk-o-meter Level- Oct'23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</si>
  <si>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</si>
  <si>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</si>
  <si>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</si>
  <si>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</si>
  <si>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</si>
  <si>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</si>
  <si>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</si>
  <si>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</si>
  <si>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7.77% REC Ltd (30/09/2026) **</t>
  </si>
  <si>
    <t>INE020B08EP3</t>
  </si>
  <si>
    <t>CRISIL AAA</t>
  </si>
  <si>
    <t>Relatively Low (Class I)</t>
  </si>
  <si>
    <t>B-I</t>
  </si>
  <si>
    <t>7.60% Grasim Industries Ltd (04/06/2024) **</t>
  </si>
  <si>
    <t>INE047A08158</t>
  </si>
  <si>
    <t>8.09% Kotak Mahindra Prime Ltd (09/11/2026) **</t>
  </si>
  <si>
    <t>INE916DA7SL3</t>
  </si>
  <si>
    <t>Moderate 
(Class II)</t>
  </si>
  <si>
    <t>7.42% Power Finance Corporation Ltd (19/11/2024) **</t>
  </si>
  <si>
    <t>INE134E08KH0</t>
  </si>
  <si>
    <t>7.8925% BAJAJ FINANCE LTD 10-JUN-25</t>
  </si>
  <si>
    <t>INE296A07SK4</t>
  </si>
  <si>
    <t>Relatively High (Class III)</t>
  </si>
  <si>
    <t>7.96% HDB Financial Services Ltd (17/11/2025) **</t>
  </si>
  <si>
    <t>INE756I07EM6</t>
  </si>
  <si>
    <t>CARE AAA</t>
  </si>
  <si>
    <t>5.72% LIC Housing Finance Ltd (22/02/2024) **</t>
  </si>
  <si>
    <t>INE115A07PB1</t>
  </si>
  <si>
    <t>Benchmark: CRISIL Low Duration Debt B-I Index</t>
  </si>
  <si>
    <t>7.59% Small Industries Development Bank Of India (10/02/2026) **</t>
  </si>
  <si>
    <t>INE556F08KG3</t>
  </si>
  <si>
    <t>7.38% LIC Housing Finance Ltd (18/08/2025) **</t>
  </si>
  <si>
    <t>INE115A07PZ0</t>
  </si>
  <si>
    <t>7.25% National Bank For Agriculture &amp; Rural Development (01/08/2025)</t>
  </si>
  <si>
    <t>INE261F08DQ4</t>
  </si>
  <si>
    <t>7.42% Bajaj Housing Finance Ltd (12/08/2025) **</t>
  </si>
  <si>
    <t>INE377Y07334</t>
  </si>
  <si>
    <t>5.96% National Bank For Agriculture &amp; Rural Development (06/02/2025) **</t>
  </si>
  <si>
    <t>INE261F08DM3</t>
  </si>
  <si>
    <t>ICRA AAA</t>
  </si>
  <si>
    <t>6.30% HDB Financial Services Ltd (17/03/2025)</t>
  </si>
  <si>
    <t>INE756I07ED5</t>
  </si>
  <si>
    <t>5.59% Small Industries Development Bank Of India (21/02/2025) **</t>
  </si>
  <si>
    <t>INE556F08JU6</t>
  </si>
  <si>
    <t>5.23% National Bank For Agriculture &amp; Rural Development (31/01/2025)</t>
  </si>
  <si>
    <t>INE261F08DI1</t>
  </si>
  <si>
    <t>5.94% REC Ltd (31/01/2026) **</t>
  </si>
  <si>
    <t>INE020B08DK6</t>
  </si>
  <si>
    <t>7.11% Small Industries Development Bank Of India (27/02/2026) **</t>
  </si>
  <si>
    <t>INE556F08KB4</t>
  </si>
  <si>
    <t>7.9237% BAJAJ HOUSING FINANCE LTD 16-MAR-26 **</t>
  </si>
  <si>
    <t>INE377Y07375</t>
  </si>
  <si>
    <t>8.90% Bajaj Finance Ltd (20/08/2025) **</t>
  </si>
  <si>
    <t>INE296A07HW2</t>
  </si>
  <si>
    <t>Sub Total</t>
  </si>
  <si>
    <t>Total</t>
  </si>
  <si>
    <t>Money Market Instruments</t>
  </si>
  <si>
    <t>Certificate of Deposit</t>
  </si>
  <si>
    <t>Axis Bank Ltd (11/03/2024) ** #</t>
  </si>
  <si>
    <t>INE238AD6496</t>
  </si>
  <si>
    <t>CRISIL A1+</t>
  </si>
  <si>
    <t>Kotak Mahindra Bank Ltd (16/02/2024) ** #</t>
  </si>
  <si>
    <t>INE237A165S0</t>
  </si>
  <si>
    <t>HDFC Bank Ltd (20/02/2024) ** #</t>
  </si>
  <si>
    <t>INE040A16EB6</t>
  </si>
  <si>
    <t>CARE A1+</t>
  </si>
  <si>
    <t>Commercial Paper</t>
  </si>
  <si>
    <t xml:space="preserve">Reliance Retail Ventures Ltd (01/12/2023) </t>
  </si>
  <si>
    <t>INE929O14AW0</t>
  </si>
  <si>
    <t xml:space="preserve">HDFC Bank Ltd (14/02/2024) </t>
  </si>
  <si>
    <t>INE040A14227</t>
  </si>
  <si>
    <t xml:space="preserve">Mahindra &amp; Mahindra Financial Services Ltd (15/03/2024) ** </t>
  </si>
  <si>
    <t>INE774D14SA1</t>
  </si>
  <si>
    <t>Government Bonds</t>
  </si>
  <si>
    <t>0.00% GOI 19-SEP-26</t>
  </si>
  <si>
    <t>IN000926C047</t>
  </si>
  <si>
    <t>Sovereign</t>
  </si>
  <si>
    <t>GOI FRB 2033 (22-SEP-2033)</t>
  </si>
  <si>
    <t>IN0020200120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</si>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</sst>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43" fontId="3" fillId="3" borderId="0" xfId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266699</xdr:rowOff>
    </xdr:from>
    <xdr:ext cx="1846201" cy="1129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5" y="1257299"/>
          <a:ext cx="1846201" cy="112987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145599</xdr:colOff>
      <xdr:row>4</xdr:row>
      <xdr:rowOff>228602</xdr:rowOff>
    </xdr:from>
    <xdr:to>
      <xdr:col>10</xdr:col>
      <xdr:colOff>2063537</xdr:colOff>
      <xdr:row>10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8574" y="1219202"/>
          <a:ext cx="1917938" cy="1171574"/>
        </a:xfrm>
        <a:prstGeom prst="rect">
          <a:avLst/>
        </a:prstGeom>
      </xdr:spPr>
    </xdr:pic>
    <xdr:clientData/>
  </xdr:twoCellAnchor>
  <xdr:oneCellAnchor>
    <xdr:from>
      <xdr:col>11</xdr:col>
      <xdr:colOff>123824</xdr:colOff>
      <xdr:row>4</xdr:row>
      <xdr:rowOff>209550</xdr:rowOff>
    </xdr:from>
    <xdr:ext cx="1838326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49" y="1200150"/>
          <a:ext cx="1838326" cy="1200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" style="3" bestFit="1" customWidth="1"/>
    <col min="3" max="3" width="13.85546875" style="3" bestFit="1" customWidth="1"/>
    <col min="4" max="4" width="22.85546875" style="3" bestFit="1" customWidth="1"/>
    <col min="5" max="5" width="8.85546875" style="60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1">
        <v>3500</v>
      </c>
      <c r="F7" s="29">
        <v>3493.16</v>
      </c>
      <c r="G7" s="29">
        <v>3.97</v>
      </c>
      <c r="H7" s="29">
        <v>7.85</v>
      </c>
      <c r="J7" s="23"/>
      <c r="K7" s="23"/>
      <c r="L7" s="23"/>
      <c r="N7" s="32" t="s">
        <v>23</v>
      </c>
      <c r="O7" s="33"/>
      <c r="P7" s="34" t="s">
        <v>24</v>
      </c>
      <c r="Q7" s="33"/>
    </row>
    <row r="8" spans="2:17" x14ac:dyDescent="0.2">
      <c r="B8" s="27" t="s">
        <v>25</v>
      </c>
      <c r="C8" s="27" t="s">
        <v>26</v>
      </c>
      <c r="D8" s="27" t="s">
        <v>22</v>
      </c>
      <c r="E8" s="31">
        <v>250</v>
      </c>
      <c r="F8" s="29">
        <v>2496.29</v>
      </c>
      <c r="G8" s="29">
        <v>2.83</v>
      </c>
      <c r="H8" s="29">
        <v>7.62</v>
      </c>
      <c r="J8" s="23"/>
      <c r="K8" s="23"/>
      <c r="L8" s="23"/>
      <c r="N8" s="32"/>
      <c r="O8" s="35"/>
      <c r="P8" s="36"/>
      <c r="Q8" s="35"/>
    </row>
    <row r="9" spans="2:17" x14ac:dyDescent="0.2">
      <c r="B9" s="27" t="s">
        <v>27</v>
      </c>
      <c r="C9" s="27" t="s">
        <v>28</v>
      </c>
      <c r="D9" s="27" t="s">
        <v>22</v>
      </c>
      <c r="E9" s="31">
        <v>2500</v>
      </c>
      <c r="F9" s="29">
        <v>2495.9299999999998</v>
      </c>
      <c r="G9" s="29">
        <v>2.83</v>
      </c>
      <c r="H9" s="29">
        <v>8.1475000000000009</v>
      </c>
      <c r="J9" s="23"/>
      <c r="K9" s="23"/>
      <c r="L9" s="23"/>
      <c r="N9" s="32" t="s">
        <v>29</v>
      </c>
      <c r="O9" s="33"/>
      <c r="P9" s="33"/>
      <c r="Q9" s="33"/>
    </row>
    <row r="10" spans="2:17" x14ac:dyDescent="0.2">
      <c r="B10" s="27" t="s">
        <v>30</v>
      </c>
      <c r="C10" s="27" t="s">
        <v>31</v>
      </c>
      <c r="D10" s="27" t="s">
        <v>22</v>
      </c>
      <c r="E10" s="31">
        <v>250</v>
      </c>
      <c r="F10" s="29">
        <v>2491.9299999999998</v>
      </c>
      <c r="G10" s="29">
        <v>2.83</v>
      </c>
      <c r="H10" s="29">
        <v>7.76</v>
      </c>
      <c r="J10" s="23"/>
      <c r="K10" s="23"/>
      <c r="L10" s="23"/>
      <c r="N10" s="32"/>
      <c r="O10" s="35"/>
      <c r="P10" s="35"/>
      <c r="Q10" s="35"/>
    </row>
    <row r="11" spans="2:17" x14ac:dyDescent="0.2">
      <c r="B11" s="27" t="s">
        <v>32</v>
      </c>
      <c r="C11" s="27" t="s">
        <v>33</v>
      </c>
      <c r="D11" s="27" t="s">
        <v>22</v>
      </c>
      <c r="E11" s="31">
        <v>250</v>
      </c>
      <c r="F11" s="29">
        <v>2490.31</v>
      </c>
      <c r="G11" s="29">
        <v>2.83</v>
      </c>
      <c r="H11" s="29">
        <v>8.1199999999999992</v>
      </c>
      <c r="J11" s="23"/>
      <c r="K11" s="23"/>
      <c r="L11" s="23"/>
      <c r="N11" s="32" t="s">
        <v>34</v>
      </c>
      <c r="O11" s="33"/>
      <c r="P11" s="33"/>
      <c r="Q11" s="33"/>
    </row>
    <row r="12" spans="2:17" x14ac:dyDescent="0.2">
      <c r="B12" s="27" t="s">
        <v>35</v>
      </c>
      <c r="C12" s="27" t="s">
        <v>36</v>
      </c>
      <c r="D12" s="27" t="s">
        <v>37</v>
      </c>
      <c r="E12" s="31">
        <v>250</v>
      </c>
      <c r="F12" s="29">
        <v>2489.2399999999998</v>
      </c>
      <c r="G12" s="29">
        <v>2.83</v>
      </c>
      <c r="H12" s="29">
        <v>8.1999999999999993</v>
      </c>
      <c r="J12" s="23"/>
      <c r="K12" s="23"/>
      <c r="L12" s="23"/>
      <c r="N12" s="32"/>
      <c r="O12" s="35"/>
      <c r="P12" s="35"/>
      <c r="Q12" s="35"/>
    </row>
    <row r="13" spans="2:17" x14ac:dyDescent="0.2">
      <c r="B13" s="27" t="s">
        <v>38</v>
      </c>
      <c r="C13" s="27" t="s">
        <v>39</v>
      </c>
      <c r="D13" s="27" t="s">
        <v>37</v>
      </c>
      <c r="E13" s="31">
        <v>250</v>
      </c>
      <c r="F13" s="29">
        <v>2488.61</v>
      </c>
      <c r="G13" s="29">
        <v>2.83</v>
      </c>
      <c r="H13" s="29">
        <v>7.43</v>
      </c>
      <c r="J13" s="37"/>
      <c r="K13" s="3" t="s">
        <v>40</v>
      </c>
      <c r="L13" s="38"/>
    </row>
    <row r="14" spans="2:17" x14ac:dyDescent="0.2">
      <c r="B14" s="27" t="s">
        <v>41</v>
      </c>
      <c r="C14" s="27" t="s">
        <v>42</v>
      </c>
      <c r="D14" s="27" t="s">
        <v>22</v>
      </c>
      <c r="E14" s="31">
        <v>2500</v>
      </c>
      <c r="F14" s="29">
        <v>2486.88</v>
      </c>
      <c r="G14" s="29">
        <v>2.82</v>
      </c>
      <c r="H14" s="29">
        <v>7.85</v>
      </c>
      <c r="J14" s="38"/>
      <c r="L14" s="38"/>
    </row>
    <row r="15" spans="2:17" x14ac:dyDescent="0.2">
      <c r="B15" s="27" t="s">
        <v>43</v>
      </c>
      <c r="C15" s="27" t="s">
        <v>44</v>
      </c>
      <c r="D15" s="27" t="s">
        <v>22</v>
      </c>
      <c r="E15" s="31">
        <v>250</v>
      </c>
      <c r="F15" s="29">
        <v>2476.7399999999998</v>
      </c>
      <c r="G15" s="29">
        <v>2.81</v>
      </c>
      <c r="H15" s="29">
        <v>7.95</v>
      </c>
      <c r="J15" s="38"/>
      <c r="L15" s="38"/>
    </row>
    <row r="16" spans="2:17" x14ac:dyDescent="0.2">
      <c r="B16" s="27" t="s">
        <v>45</v>
      </c>
      <c r="C16" s="27" t="s">
        <v>46</v>
      </c>
      <c r="D16" s="27" t="s">
        <v>22</v>
      </c>
      <c r="E16" s="31">
        <v>250</v>
      </c>
      <c r="F16" s="29">
        <v>2475.33</v>
      </c>
      <c r="G16" s="29">
        <v>2.81</v>
      </c>
      <c r="H16" s="29">
        <v>7.86</v>
      </c>
      <c r="J16" s="38"/>
      <c r="L16" s="38"/>
    </row>
    <row r="17" spans="2:12" x14ac:dyDescent="0.2">
      <c r="B17" s="27" t="s">
        <v>47</v>
      </c>
      <c r="C17" s="27" t="s">
        <v>48</v>
      </c>
      <c r="D17" s="27" t="s">
        <v>22</v>
      </c>
      <c r="E17" s="31">
        <v>250</v>
      </c>
      <c r="F17" s="29">
        <v>2473.4499999999998</v>
      </c>
      <c r="G17" s="29">
        <v>2.81</v>
      </c>
      <c r="H17" s="29">
        <v>8.08</v>
      </c>
      <c r="J17" s="38"/>
      <c r="L17" s="38"/>
    </row>
    <row r="18" spans="2:12" x14ac:dyDescent="0.2">
      <c r="B18" s="27" t="s">
        <v>49</v>
      </c>
      <c r="C18" s="27" t="s">
        <v>50</v>
      </c>
      <c r="D18" s="27" t="s">
        <v>51</v>
      </c>
      <c r="E18" s="31">
        <v>250</v>
      </c>
      <c r="F18" s="29">
        <v>2447.9699999999998</v>
      </c>
      <c r="G18" s="29">
        <v>2.78</v>
      </c>
      <c r="H18" s="29">
        <v>7.84</v>
      </c>
      <c r="J18" s="38"/>
      <c r="L18" s="38"/>
    </row>
    <row r="19" spans="2:12" x14ac:dyDescent="0.2">
      <c r="B19" s="27" t="s">
        <v>52</v>
      </c>
      <c r="C19" s="27" t="s">
        <v>53</v>
      </c>
      <c r="D19" s="27" t="s">
        <v>22</v>
      </c>
      <c r="E19" s="31">
        <v>250</v>
      </c>
      <c r="F19" s="29">
        <v>2443.21</v>
      </c>
      <c r="G19" s="29">
        <v>2.77</v>
      </c>
      <c r="H19" s="29">
        <v>8.18</v>
      </c>
      <c r="J19" s="38"/>
      <c r="L19" s="38"/>
    </row>
    <row r="20" spans="2:12" x14ac:dyDescent="0.2">
      <c r="B20" s="27" t="s">
        <v>54</v>
      </c>
      <c r="C20" s="27" t="s">
        <v>55</v>
      </c>
      <c r="D20" s="27" t="s">
        <v>37</v>
      </c>
      <c r="E20" s="31">
        <v>250</v>
      </c>
      <c r="F20" s="29">
        <v>2435.4499999999998</v>
      </c>
      <c r="G20" s="29">
        <v>2.77</v>
      </c>
      <c r="H20" s="29">
        <v>7.85</v>
      </c>
      <c r="J20" s="38"/>
      <c r="L20" s="38"/>
    </row>
    <row r="21" spans="2:12" x14ac:dyDescent="0.2">
      <c r="B21" s="27" t="s">
        <v>56</v>
      </c>
      <c r="C21" s="27" t="s">
        <v>57</v>
      </c>
      <c r="D21" s="27" t="s">
        <v>22</v>
      </c>
      <c r="E21" s="31">
        <v>250</v>
      </c>
      <c r="F21" s="29">
        <v>2429.1799999999998</v>
      </c>
      <c r="G21" s="29">
        <v>2.76</v>
      </c>
      <c r="H21" s="29">
        <v>7.84</v>
      </c>
      <c r="J21" s="38"/>
      <c r="L21" s="38"/>
    </row>
    <row r="22" spans="2:12" x14ac:dyDescent="0.2">
      <c r="B22" s="27" t="s">
        <v>58</v>
      </c>
      <c r="C22" s="27" t="s">
        <v>59</v>
      </c>
      <c r="D22" s="27" t="s">
        <v>22</v>
      </c>
      <c r="E22" s="31">
        <v>250</v>
      </c>
      <c r="F22" s="29">
        <v>2409.48</v>
      </c>
      <c r="G22" s="29">
        <v>2.74</v>
      </c>
      <c r="H22" s="29">
        <v>7.8</v>
      </c>
      <c r="J22" s="38"/>
      <c r="L22" s="38"/>
    </row>
    <row r="23" spans="2:12" x14ac:dyDescent="0.2">
      <c r="B23" s="27" t="s">
        <v>60</v>
      </c>
      <c r="C23" s="27" t="s">
        <v>61</v>
      </c>
      <c r="D23" s="27" t="s">
        <v>37</v>
      </c>
      <c r="E23" s="31">
        <v>200</v>
      </c>
      <c r="F23" s="29">
        <v>1970.65</v>
      </c>
      <c r="G23" s="29">
        <v>2.2400000000000002</v>
      </c>
      <c r="H23" s="29">
        <v>7.85</v>
      </c>
      <c r="J23" s="38"/>
      <c r="L23" s="38"/>
    </row>
    <row r="24" spans="2:12" x14ac:dyDescent="0.2">
      <c r="B24" s="27" t="s">
        <v>62</v>
      </c>
      <c r="C24" s="27" t="s">
        <v>63</v>
      </c>
      <c r="D24" s="27" t="s">
        <v>22</v>
      </c>
      <c r="E24" s="31">
        <v>150</v>
      </c>
      <c r="F24" s="29">
        <v>1494.32</v>
      </c>
      <c r="G24" s="29">
        <v>1.7</v>
      </c>
      <c r="H24" s="29">
        <v>8.08</v>
      </c>
      <c r="J24" s="38"/>
      <c r="L24" s="38"/>
    </row>
    <row r="25" spans="2:12" x14ac:dyDescent="0.2">
      <c r="B25" s="27" t="s">
        <v>64</v>
      </c>
      <c r="C25" s="27" t="s">
        <v>65</v>
      </c>
      <c r="D25" s="27" t="s">
        <v>22</v>
      </c>
      <c r="E25" s="31">
        <v>50</v>
      </c>
      <c r="F25" s="29">
        <v>505.69</v>
      </c>
      <c r="G25" s="29">
        <v>0.56999999999999995</v>
      </c>
      <c r="H25" s="29">
        <v>8.1199999999999992</v>
      </c>
      <c r="J25" s="38"/>
      <c r="L25" s="38"/>
    </row>
    <row r="26" spans="2:12" x14ac:dyDescent="0.2">
      <c r="B26" s="39" t="s">
        <v>66</v>
      </c>
      <c r="C26" s="39"/>
      <c r="D26" s="39"/>
      <c r="E26" s="40"/>
      <c r="F26" s="41">
        <f>SUM(F6:F25)</f>
        <v>44493.820000000007</v>
      </c>
      <c r="G26" s="41">
        <f>SUM(G6:G25)</f>
        <v>50.530000000000015</v>
      </c>
      <c r="H26" s="42"/>
      <c r="J26" s="38"/>
      <c r="L26" s="38"/>
    </row>
    <row r="27" spans="2:12" x14ac:dyDescent="0.2">
      <c r="B27" s="43" t="s">
        <v>67</v>
      </c>
      <c r="C27" s="43"/>
      <c r="D27" s="43"/>
      <c r="E27" s="44"/>
      <c r="F27" s="45">
        <f>F26</f>
        <v>44493.820000000007</v>
      </c>
      <c r="G27" s="45">
        <f>G26</f>
        <v>50.530000000000015</v>
      </c>
      <c r="H27" s="45"/>
      <c r="J27" s="38"/>
      <c r="L27" s="38"/>
    </row>
    <row r="28" spans="2:12" x14ac:dyDescent="0.2">
      <c r="B28" s="26" t="s">
        <v>68</v>
      </c>
      <c r="C28" s="27"/>
      <c r="D28" s="27"/>
      <c r="E28" s="28"/>
      <c r="F28" s="29"/>
      <c r="G28" s="29"/>
      <c r="H28" s="29"/>
      <c r="J28" s="38"/>
      <c r="L28" s="38"/>
    </row>
    <row r="29" spans="2:12" x14ac:dyDescent="0.2">
      <c r="B29" s="26" t="s">
        <v>69</v>
      </c>
      <c r="C29" s="27"/>
      <c r="D29" s="27"/>
      <c r="E29" s="28"/>
      <c r="F29" s="29"/>
      <c r="G29" s="29"/>
      <c r="H29" s="29"/>
      <c r="J29" s="38"/>
      <c r="L29" s="38"/>
    </row>
    <row r="30" spans="2:12" x14ac:dyDescent="0.2">
      <c r="B30" s="27" t="s">
        <v>70</v>
      </c>
      <c r="C30" s="27" t="s">
        <v>71</v>
      </c>
      <c r="D30" s="27" t="s">
        <v>72</v>
      </c>
      <c r="E30" s="31">
        <v>1000</v>
      </c>
      <c r="F30" s="29">
        <v>4899.67</v>
      </c>
      <c r="G30" s="29">
        <v>5.56</v>
      </c>
      <c r="H30" s="29">
        <v>7.4</v>
      </c>
      <c r="J30" s="38"/>
      <c r="L30" s="38"/>
    </row>
    <row r="31" spans="2:12" x14ac:dyDescent="0.2">
      <c r="B31" s="27" t="s">
        <v>73</v>
      </c>
      <c r="C31" s="27" t="s">
        <v>74</v>
      </c>
      <c r="D31" s="27" t="s">
        <v>72</v>
      </c>
      <c r="E31" s="31">
        <v>500</v>
      </c>
      <c r="F31" s="29">
        <v>2462.0300000000002</v>
      </c>
      <c r="G31" s="29">
        <v>2.8</v>
      </c>
      <c r="H31" s="29">
        <v>7.31</v>
      </c>
      <c r="J31" s="38"/>
      <c r="L31" s="38"/>
    </row>
    <row r="32" spans="2:12" x14ac:dyDescent="0.2">
      <c r="B32" s="27" t="s">
        <v>75</v>
      </c>
      <c r="C32" s="27" t="s">
        <v>76</v>
      </c>
      <c r="D32" s="27" t="s">
        <v>77</v>
      </c>
      <c r="E32" s="31">
        <v>500</v>
      </c>
      <c r="F32" s="29">
        <v>2459.91</v>
      </c>
      <c r="G32" s="29">
        <v>2.79</v>
      </c>
      <c r="H32" s="29">
        <v>7.35</v>
      </c>
      <c r="J32" s="38"/>
      <c r="L32" s="38"/>
    </row>
    <row r="33" spans="2:12" x14ac:dyDescent="0.2">
      <c r="B33" s="26" t="s">
        <v>66</v>
      </c>
      <c r="C33" s="26"/>
      <c r="D33" s="26"/>
      <c r="E33" s="46"/>
      <c r="F33" s="47">
        <f>SUM(F29:F32)</f>
        <v>9821.61</v>
      </c>
      <c r="G33" s="47">
        <f>SUM(G29:G32)</f>
        <v>11.149999999999999</v>
      </c>
      <c r="H33" s="48"/>
      <c r="J33" s="38"/>
      <c r="L33" s="38"/>
    </row>
    <row r="34" spans="2:12" x14ac:dyDescent="0.2">
      <c r="B34" s="26" t="s">
        <v>78</v>
      </c>
      <c r="C34" s="27"/>
      <c r="D34" s="27"/>
      <c r="E34" s="28"/>
      <c r="F34" s="29"/>
      <c r="G34" s="29"/>
      <c r="H34" s="29"/>
      <c r="J34" s="38"/>
      <c r="L34" s="38"/>
    </row>
    <row r="35" spans="2:12" x14ac:dyDescent="0.2">
      <c r="B35" s="27" t="s">
        <v>79</v>
      </c>
      <c r="C35" s="27" t="s">
        <v>80</v>
      </c>
      <c r="D35" s="27" t="s">
        <v>72</v>
      </c>
      <c r="E35" s="31">
        <v>1000</v>
      </c>
      <c r="F35" s="29">
        <v>5000</v>
      </c>
      <c r="G35" s="29">
        <v>5.68</v>
      </c>
      <c r="H35" s="29">
        <v>6.86</v>
      </c>
      <c r="J35" s="38"/>
      <c r="L35" s="38"/>
    </row>
    <row r="36" spans="2:12" x14ac:dyDescent="0.2">
      <c r="B36" s="27" t="s">
        <v>81</v>
      </c>
      <c r="C36" s="27" t="s">
        <v>82</v>
      </c>
      <c r="D36" s="27" t="s">
        <v>72</v>
      </c>
      <c r="E36" s="31">
        <v>500</v>
      </c>
      <c r="F36" s="29">
        <v>2460.42</v>
      </c>
      <c r="G36" s="29">
        <v>2.79</v>
      </c>
      <c r="H36" s="29">
        <v>7.83</v>
      </c>
      <c r="J36" s="38"/>
      <c r="L36" s="38"/>
    </row>
    <row r="37" spans="2:12" x14ac:dyDescent="0.2">
      <c r="B37" s="27" t="s">
        <v>83</v>
      </c>
      <c r="C37" s="27" t="s">
        <v>84</v>
      </c>
      <c r="D37" s="27" t="s">
        <v>72</v>
      </c>
      <c r="E37" s="31">
        <v>500</v>
      </c>
      <c r="F37" s="29">
        <v>2443.52</v>
      </c>
      <c r="G37" s="29">
        <v>2.77</v>
      </c>
      <c r="H37" s="29">
        <v>8.0399999999999991</v>
      </c>
      <c r="J37" s="38"/>
      <c r="L37" s="38"/>
    </row>
    <row r="38" spans="2:12" x14ac:dyDescent="0.2">
      <c r="B38" s="39" t="s">
        <v>66</v>
      </c>
      <c r="C38" s="39"/>
      <c r="D38" s="39"/>
      <c r="E38" s="40"/>
      <c r="F38" s="41">
        <f>SUM(F34:F37)</f>
        <v>9903.94</v>
      </c>
      <c r="G38" s="41">
        <f>SUM(G34:G37)</f>
        <v>11.239999999999998</v>
      </c>
      <c r="H38" s="42"/>
      <c r="J38" s="38"/>
      <c r="L38" s="38"/>
    </row>
    <row r="39" spans="2:12" x14ac:dyDescent="0.2">
      <c r="B39" s="43" t="s">
        <v>67</v>
      </c>
      <c r="C39" s="43"/>
      <c r="D39" s="43"/>
      <c r="E39" s="44"/>
      <c r="F39" s="45">
        <f>F33+F38</f>
        <v>19725.550000000003</v>
      </c>
      <c r="G39" s="45">
        <f>G33+G38</f>
        <v>22.389999999999997</v>
      </c>
      <c r="H39" s="45"/>
      <c r="J39" s="38"/>
      <c r="L39" s="38"/>
    </row>
    <row r="40" spans="2:12" x14ac:dyDescent="0.2">
      <c r="B40" s="26" t="s">
        <v>85</v>
      </c>
      <c r="C40" s="27"/>
      <c r="D40" s="27"/>
      <c r="E40" s="28"/>
      <c r="F40" s="29"/>
      <c r="G40" s="29"/>
      <c r="H40" s="29"/>
      <c r="J40" s="38"/>
      <c r="L40" s="38"/>
    </row>
    <row r="41" spans="2:12" x14ac:dyDescent="0.2">
      <c r="B41" s="27" t="s">
        <v>86</v>
      </c>
      <c r="C41" s="27" t="s">
        <v>87</v>
      </c>
      <c r="D41" s="27" t="s">
        <v>88</v>
      </c>
      <c r="E41" s="31">
        <v>4545000</v>
      </c>
      <c r="F41" s="29">
        <v>3718.06</v>
      </c>
      <c r="G41" s="29">
        <v>4.22</v>
      </c>
      <c r="H41" s="29">
        <v>7.44</v>
      </c>
      <c r="J41" s="38"/>
      <c r="L41" s="38"/>
    </row>
    <row r="42" spans="2:12" x14ac:dyDescent="0.2">
      <c r="B42" s="49" t="s">
        <v>89</v>
      </c>
      <c r="C42" s="49" t="s">
        <v>90</v>
      </c>
      <c r="D42" s="49" t="s">
        <v>88</v>
      </c>
      <c r="E42" s="50">
        <v>1000000</v>
      </c>
      <c r="F42" s="51">
        <v>1013.48</v>
      </c>
      <c r="G42" s="51">
        <v>1.1499999999999999</v>
      </c>
      <c r="H42" s="51">
        <v>8.0500000000000007</v>
      </c>
      <c r="J42" s="38"/>
      <c r="L42" s="38"/>
    </row>
    <row r="43" spans="2:12" x14ac:dyDescent="0.2">
      <c r="B43" s="52" t="s">
        <v>67</v>
      </c>
      <c r="C43" s="52"/>
      <c r="D43" s="52"/>
      <c r="E43" s="53"/>
      <c r="F43" s="47">
        <f>SUM(F41:F42)</f>
        <v>4731.54</v>
      </c>
      <c r="G43" s="47">
        <f>SUM(G41:G42)</f>
        <v>5.3699999999999992</v>
      </c>
      <c r="H43" s="47"/>
      <c r="J43" s="38"/>
      <c r="L43" s="38"/>
    </row>
    <row r="44" spans="2:12" x14ac:dyDescent="0.2">
      <c r="B44" s="26" t="s">
        <v>91</v>
      </c>
      <c r="C44" s="27"/>
      <c r="D44" s="27"/>
      <c r="E44" s="28"/>
      <c r="F44" s="29"/>
      <c r="G44" s="29"/>
      <c r="H44" s="29"/>
      <c r="J44" s="38"/>
      <c r="L44" s="38"/>
    </row>
    <row r="45" spans="2:12" x14ac:dyDescent="0.2">
      <c r="B45" s="49" t="s">
        <v>92</v>
      </c>
      <c r="C45" s="49" t="s">
        <v>93</v>
      </c>
      <c r="D45" s="49"/>
      <c r="E45" s="50">
        <v>2623.3690000000001</v>
      </c>
      <c r="F45" s="51">
        <v>263.43</v>
      </c>
      <c r="G45" s="51">
        <v>0.3</v>
      </c>
      <c r="H45" s="51">
        <v>7.26</v>
      </c>
      <c r="J45" s="38"/>
      <c r="L45" s="38"/>
    </row>
    <row r="46" spans="2:12" x14ac:dyDescent="0.2">
      <c r="B46" s="52" t="s">
        <v>67</v>
      </c>
      <c r="C46" s="52"/>
      <c r="D46" s="52"/>
      <c r="E46" s="53"/>
      <c r="F46" s="47">
        <f>SUM(F45:F45)</f>
        <v>263.43</v>
      </c>
      <c r="G46" s="47">
        <f>SUM(G45:G45)</f>
        <v>0.3</v>
      </c>
      <c r="H46" s="47"/>
      <c r="J46" s="38"/>
      <c r="L46" s="38"/>
    </row>
    <row r="47" spans="2:12" x14ac:dyDescent="0.2">
      <c r="B47" s="26" t="s">
        <v>94</v>
      </c>
      <c r="C47" s="27"/>
      <c r="D47" s="27"/>
      <c r="E47" s="28"/>
      <c r="F47" s="29"/>
      <c r="G47" s="29"/>
      <c r="H47" s="29"/>
      <c r="J47" s="38"/>
      <c r="L47" s="38"/>
    </row>
    <row r="48" spans="2:12" x14ac:dyDescent="0.2">
      <c r="B48" s="27" t="s">
        <v>94</v>
      </c>
      <c r="C48" s="27"/>
      <c r="D48" s="27"/>
      <c r="E48" s="28"/>
      <c r="F48" s="29">
        <v>17397.93</v>
      </c>
      <c r="G48" s="29">
        <v>19.75</v>
      </c>
      <c r="H48" s="29"/>
      <c r="J48" s="38"/>
      <c r="L48" s="38"/>
    </row>
    <row r="49" spans="2:12" x14ac:dyDescent="0.2">
      <c r="B49" s="39" t="s">
        <v>66</v>
      </c>
      <c r="C49" s="39"/>
      <c r="D49" s="39"/>
      <c r="E49" s="40"/>
      <c r="F49" s="41">
        <f>SUM(F47:F48)</f>
        <v>17397.93</v>
      </c>
      <c r="G49" s="41">
        <f>SUM(G47:G48)</f>
        <v>19.75</v>
      </c>
      <c r="H49" s="42"/>
      <c r="J49" s="38"/>
      <c r="L49" s="38"/>
    </row>
    <row r="50" spans="2:12" x14ac:dyDescent="0.2">
      <c r="B50" s="54" t="s">
        <v>67</v>
      </c>
      <c r="C50" s="54"/>
      <c r="D50" s="54"/>
      <c r="E50" s="55"/>
      <c r="F50" s="56">
        <f>F49</f>
        <v>17397.93</v>
      </c>
      <c r="G50" s="56">
        <f>G49</f>
        <v>19.75</v>
      </c>
      <c r="H50" s="56"/>
      <c r="J50" s="38"/>
      <c r="L50" s="38"/>
    </row>
    <row r="51" spans="2:12" x14ac:dyDescent="0.2">
      <c r="B51" s="57" t="s">
        <v>95</v>
      </c>
      <c r="C51" s="57"/>
      <c r="D51" s="57"/>
      <c r="E51" s="58"/>
      <c r="F51" s="59">
        <f>F52-(+F27+F39+F43+F46+F50)</f>
        <v>1457.3000000000175</v>
      </c>
      <c r="G51" s="59">
        <f>G52-(+G27+G39+G43+G46+G50)</f>
        <v>1.6599999999999824</v>
      </c>
      <c r="H51" s="59"/>
      <c r="J51" s="38"/>
      <c r="L51" s="38"/>
    </row>
    <row r="52" spans="2:12" x14ac:dyDescent="0.2">
      <c r="B52" s="57" t="s">
        <v>96</v>
      </c>
      <c r="C52" s="57"/>
      <c r="D52" s="57"/>
      <c r="E52" s="58"/>
      <c r="F52" s="59">
        <v>88069.57</v>
      </c>
      <c r="G52" s="59">
        <v>100</v>
      </c>
      <c r="H52" s="59"/>
      <c r="J52" s="38"/>
      <c r="L52" s="38"/>
    </row>
    <row r="53" spans="2:12" x14ac:dyDescent="0.2">
      <c r="J53" s="38"/>
      <c r="L53" s="38"/>
    </row>
    <row r="54" spans="2:12" x14ac:dyDescent="0.2">
      <c r="B54" s="61" t="s">
        <v>97</v>
      </c>
      <c r="J54" s="38"/>
      <c r="L54" s="38"/>
    </row>
    <row r="55" spans="2:12" x14ac:dyDescent="0.2">
      <c r="B55" s="61" t="s">
        <v>98</v>
      </c>
      <c r="J55" s="38"/>
      <c r="L55" s="38"/>
    </row>
    <row r="56" spans="2:12" ht="12.75" thickBot="1" x14ac:dyDescent="0.25">
      <c r="J56" s="38"/>
      <c r="L56" s="38"/>
    </row>
    <row r="57" spans="2:12" ht="13.5" thickTop="1" thickBot="1" x14ac:dyDescent="0.25">
      <c r="B57" s="62" t="s">
        <v>99</v>
      </c>
      <c r="C57" s="63">
        <v>0.89039999999999997</v>
      </c>
      <c r="J57" s="38"/>
      <c r="L57" s="38"/>
    </row>
    <row r="58" spans="2:12" ht="13.5" thickTop="1" thickBot="1" x14ac:dyDescent="0.25">
      <c r="J58" s="38"/>
      <c r="L58" s="38"/>
    </row>
    <row r="59" spans="2:12" ht="13.5" thickTop="1" thickBot="1" x14ac:dyDescent="0.25">
      <c r="B59" s="62" t="s">
        <v>100</v>
      </c>
      <c r="C59" s="64">
        <v>7.51E-2</v>
      </c>
      <c r="J59" s="38"/>
      <c r="L59" s="38"/>
    </row>
    <row r="60" spans="2:12" ht="13.5" thickTop="1" thickBot="1" x14ac:dyDescent="0.25">
      <c r="J60" s="38"/>
      <c r="L60" s="38"/>
    </row>
    <row r="61" spans="2:12" ht="13.5" thickTop="1" thickBot="1" x14ac:dyDescent="0.25">
      <c r="B61" s="62" t="s">
        <v>101</v>
      </c>
      <c r="C61" s="63">
        <v>0.98440000000000005</v>
      </c>
      <c r="J61" s="38"/>
      <c r="L61" s="38"/>
    </row>
    <row r="62" spans="2:12" ht="12.75" thickTop="1" x14ac:dyDescent="0.2">
      <c r="J62" s="38"/>
      <c r="L62" s="38"/>
    </row>
    <row r="63" spans="2:12" x14ac:dyDescent="0.2">
      <c r="J63" s="38"/>
      <c r="L63" s="38"/>
    </row>
    <row r="64" spans="2:12" x14ac:dyDescent="0.2">
      <c r="J64" s="38"/>
      <c r="L64" s="38"/>
    </row>
    <row r="65" spans="10:12" x14ac:dyDescent="0.2">
      <c r="J65" s="38"/>
      <c r="L65" s="38"/>
    </row>
    <row r="66" spans="10:12" x14ac:dyDescent="0.2">
      <c r="J66" s="38"/>
      <c r="L66" s="38"/>
    </row>
    <row r="67" spans="10:12" x14ac:dyDescent="0.2">
      <c r="J67" s="38"/>
      <c r="L67" s="38"/>
    </row>
    <row r="68" spans="10:12" x14ac:dyDescent="0.2">
      <c r="J68" s="38"/>
      <c r="L68" s="38"/>
    </row>
    <row r="69" spans="10:12" x14ac:dyDescent="0.2">
      <c r="J69" s="38"/>
      <c r="L69" s="38"/>
    </row>
    <row r="70" spans="10:12" x14ac:dyDescent="0.2">
      <c r="J70" s="38"/>
      <c r="L70" s="38"/>
    </row>
    <row r="71" spans="10:12" x14ac:dyDescent="0.2">
      <c r="J71" s="38"/>
      <c r="L71" s="38"/>
    </row>
    <row r="72" spans="10:12" x14ac:dyDescent="0.2">
      <c r="J72" s="38"/>
      <c r="L72" s="38"/>
    </row>
    <row r="73" spans="10:12" x14ac:dyDescent="0.2">
      <c r="J73" s="38"/>
      <c r="L73" s="38"/>
    </row>
    <row r="74" spans="10:12" x14ac:dyDescent="0.2">
      <c r="J74" s="38"/>
      <c r="L74" s="38"/>
    </row>
    <row r="75" spans="10:12" x14ac:dyDescent="0.2">
      <c r="J75" s="38"/>
      <c r="L75" s="38"/>
    </row>
    <row r="76" spans="10:12" x14ac:dyDescent="0.2">
      <c r="J76" s="38"/>
      <c r="L76" s="38"/>
    </row>
    <row r="77" spans="10:12" x14ac:dyDescent="0.2">
      <c r="J77" s="38"/>
      <c r="L77" s="38"/>
    </row>
    <row r="78" spans="10:12" x14ac:dyDescent="0.2">
      <c r="J78" s="38"/>
      <c r="L78" s="38"/>
    </row>
    <row r="79" spans="10:12" x14ac:dyDescent="0.2">
      <c r="J79" s="38"/>
      <c r="L79" s="38"/>
    </row>
    <row r="80" spans="10:12" x14ac:dyDescent="0.2">
      <c r="J80" s="38"/>
      <c r="L80" s="38"/>
    </row>
    <row r="81" spans="10:12" x14ac:dyDescent="0.2">
      <c r="J81" s="38"/>
      <c r="L81" s="38"/>
    </row>
    <row r="82" spans="10:12" x14ac:dyDescent="0.2">
      <c r="J82" s="38"/>
      <c r="L82" s="38"/>
    </row>
    <row r="83" spans="10:12" x14ac:dyDescent="0.2">
      <c r="J83" s="38"/>
      <c r="L83" s="38"/>
    </row>
    <row r="84" spans="10:12" x14ac:dyDescent="0.2">
      <c r="J84" s="38"/>
      <c r="L84" s="38"/>
    </row>
    <row r="85" spans="10:12" x14ac:dyDescent="0.2">
      <c r="J85" s="38"/>
      <c r="L85" s="38"/>
    </row>
    <row r="86" spans="10:12" x14ac:dyDescent="0.2">
      <c r="J86" s="38"/>
      <c r="L86" s="38"/>
    </row>
    <row r="87" spans="10:12" x14ac:dyDescent="0.2">
      <c r="J87" s="38"/>
      <c r="L87" s="38"/>
    </row>
    <row r="88" spans="10:12" x14ac:dyDescent="0.2">
      <c r="J88" s="38"/>
      <c r="L88" s="38"/>
    </row>
    <row r="89" spans="10:12" x14ac:dyDescent="0.2">
      <c r="J89" s="38"/>
      <c r="L89" s="38"/>
    </row>
    <row r="90" spans="10:12" x14ac:dyDescent="0.2">
      <c r="J90" s="38"/>
      <c r="L90" s="38"/>
    </row>
    <row r="91" spans="10:12" x14ac:dyDescent="0.2">
      <c r="J91" s="38"/>
      <c r="L91" s="38"/>
    </row>
    <row r="92" spans="10:12" x14ac:dyDescent="0.2">
      <c r="J92" s="38"/>
      <c r="L92" s="38"/>
    </row>
    <row r="93" spans="10:12" x14ac:dyDescent="0.2">
      <c r="J93" s="38"/>
      <c r="L93" s="38"/>
    </row>
    <row r="94" spans="10:12" x14ac:dyDescent="0.2">
      <c r="J94" s="38"/>
      <c r="L94" s="38"/>
    </row>
    <row r="95" spans="10:12" x14ac:dyDescent="0.2">
      <c r="J95" s="38"/>
      <c r="L95" s="38"/>
    </row>
    <row r="96" spans="10:12" x14ac:dyDescent="0.2">
      <c r="J96" s="38"/>
      <c r="L96" s="38"/>
    </row>
    <row r="97" spans="10:12" x14ac:dyDescent="0.2">
      <c r="J97" s="38"/>
      <c r="L97" s="38"/>
    </row>
    <row r="98" spans="10:12" x14ac:dyDescent="0.2">
      <c r="J98" s="38"/>
      <c r="L98" s="38"/>
    </row>
    <row r="99" spans="10:12" x14ac:dyDescent="0.2">
      <c r="J99" s="38"/>
      <c r="L99" s="38"/>
    </row>
    <row r="100" spans="10:12" x14ac:dyDescent="0.2">
      <c r="J100" s="38"/>
      <c r="L100" s="38"/>
    </row>
    <row r="101" spans="10:12" x14ac:dyDescent="0.2">
      <c r="J101" s="38"/>
      <c r="L101" s="38"/>
    </row>
    <row r="102" spans="10:12" x14ac:dyDescent="0.2">
      <c r="J102" s="38"/>
      <c r="L102" s="38"/>
    </row>
    <row r="103" spans="10:12" x14ac:dyDescent="0.2">
      <c r="J103" s="38"/>
      <c r="L103" s="38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11:53:34</KDate>
  <Classification>Public</Classification>
  <Subclassification/>
  <HostName>MUMCMP00935</HostName>
  <Domain_User>CANARAROBECOMF/628</Domain_User>
  <IPAdd>192.9.198.194</IPAdd>
  <FilePath>Book1</FilePath>
  <KID>C025A5607E97638375468141876405</KID>
  <UniqueName/>
  <Suggested/>
  <Justification/>
</Klassify>
</file>

<file path=customXml/itemProps1.xml><?xml version="1.0" encoding="utf-8"?>
<ds:datastoreItem xmlns:ds="http://schemas.openxmlformats.org/officeDocument/2006/customXml" ds:itemID="{1604988A-4772-4A81-943F-08D741DA02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2023-12-07T06:23:28Z</dcterms:created>
  <dcterms:modified xsi:type="dcterms:W3CDTF">2023-12-07T06:23:34Z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C025A5607E97638375468141876405</vt:lpwstr>
  </property>
</Properties>
</file>