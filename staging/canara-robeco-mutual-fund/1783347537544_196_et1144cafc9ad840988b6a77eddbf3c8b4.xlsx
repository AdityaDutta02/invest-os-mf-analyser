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ET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5" i="1" l="1"/>
  <c r="G74" i="1"/>
  <c r="F74" i="1"/>
  <c r="F75" i="1" s="1"/>
  <c r="G70" i="1"/>
  <c r="G71" i="1" s="1"/>
  <c r="G76" i="1" s="1"/>
  <c r="F70" i="1"/>
  <c r="F71" i="1" s="1"/>
  <c r="F76" i="1" l="1"/>
</calcChain>
</file>

<file path=xl/sharedStrings.xml><?xml version="1.0" encoding="utf-8"?>
<sst xmlns="http://schemas.openxmlformats.org/spreadsheetml/2006/main" count="277" uniqueCount="183">
  <si>
    <t>CANARA ROBECO EQUITY TAX SAVER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</si>
  <si>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</si>
  <si>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</si>
  <si>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</si>
  <si>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</si>
  <si>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</si>
  <si>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</si>
  <si>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</si>
  <si>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</si>
  <si>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Mar'23</t>
  </si>
  <si>
    <t>Benchmark Risk-o-meter Level- Mar'23</t>
  </si>
  <si>
    <t>Scheme Risk-o-meter Level- Feb'23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</si>
  <si>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</si>
  <si>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</si>
  <si>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</si>
  <si>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</si>
  <si>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</si>
  <si>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</si>
  <si>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</si>
  <si>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</si>
  <si>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</si>
  <si>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</si>
  <si>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</si>
  <si>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</si>
  <si>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</si>
  <si>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</si>
  <si>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</si>
  <si>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</si>
  <si>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</si>
  <si>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</si>
  <si>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</si>
  <si>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</si>
  <si>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Benchmark: S&amp;P BSE 500 TRI</t>
  </si>
  <si>
    <t>Housing Development Finance Corporation Ltd</t>
  </si>
  <si>
    <t>INE001A01036</t>
  </si>
  <si>
    <t>Finance</t>
  </si>
  <si>
    <t>Ultratech Cement Ltd</t>
  </si>
  <si>
    <t>INE481G01011</t>
  </si>
  <si>
    <t>Cement &amp; Cement Products</t>
  </si>
  <si>
    <t>Bharti Airtel Ltd</t>
  </si>
  <si>
    <t>INE397D01024</t>
  </si>
  <si>
    <t>Telecom - Services</t>
  </si>
  <si>
    <t>Hindustan Unilever Ltd</t>
  </si>
  <si>
    <t>INE030A01027</t>
  </si>
  <si>
    <t>Diversified Fmcg</t>
  </si>
  <si>
    <t>Larsen &amp; Toubro Ltd</t>
  </si>
  <si>
    <t>INE018A01030</t>
  </si>
  <si>
    <t>Construction</t>
  </si>
  <si>
    <t>ITC Ltd</t>
  </si>
  <si>
    <t>INE154A01025</t>
  </si>
  <si>
    <t>Bajaj Finance Ltd</t>
  </si>
  <si>
    <t>INE296A01024</t>
  </si>
  <si>
    <t>Schaeffler India Ltd</t>
  </si>
  <si>
    <t>INE513A01022</t>
  </si>
  <si>
    <t>Auto Components</t>
  </si>
  <si>
    <t>Mid Cap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</si>
  <si>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</si>
  <si>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</si>
  <si>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</si>
  <si>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</si>
  <si>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</si>
  <si>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</si>
  <si>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ABB India Ltd</t>
  </si>
  <si>
    <t>INE117A01022</t>
  </si>
  <si>
    <t>Electrical Equipment</t>
  </si>
  <si>
    <t>Oberoi Realty Ltd</t>
  </si>
  <si>
    <t>INE093I01010</t>
  </si>
  <si>
    <t>Realty</t>
  </si>
  <si>
    <t>Ashok Leyland Ltd</t>
  </si>
  <si>
    <t>INE208A01029</t>
  </si>
  <si>
    <t>Agricultural, Commercial &amp; Construction Vehicles</t>
  </si>
  <si>
    <t>Cholamandalam Investment and Finance Co Ltd</t>
  </si>
  <si>
    <t>INE121A01024</t>
  </si>
  <si>
    <t>Max Healthcare Institute Ltd</t>
  </si>
  <si>
    <t>INE027H01010</t>
  </si>
  <si>
    <t>Healthcare Services</t>
  </si>
  <si>
    <t>IndusInd Bank Ltd</t>
  </si>
  <si>
    <t>INE095A01012</t>
  </si>
  <si>
    <t>Tata Steel Ltd</t>
  </si>
  <si>
    <t>INE081A01020</t>
  </si>
  <si>
    <t>Ferrous Metals</t>
  </si>
  <si>
    <t>PI Industries Ltd</t>
  </si>
  <si>
    <t>INE603J01030</t>
  </si>
  <si>
    <t>Fertilizers &amp; Agrochemicals</t>
  </si>
  <si>
    <t>J.K. Cement Ltd</t>
  </si>
  <si>
    <t>INE823G01014</t>
  </si>
  <si>
    <t>Bharat Electronics Ltd</t>
  </si>
  <si>
    <t>INE263A01024</t>
  </si>
  <si>
    <t>Aerospace &amp; Defense</t>
  </si>
  <si>
    <t>Trent Ltd</t>
  </si>
  <si>
    <t>INE849A01020</t>
  </si>
  <si>
    <t>Retailing</t>
  </si>
  <si>
    <t>Samvardhana Motherson International Ltd</t>
  </si>
  <si>
    <t>INE775A01035</t>
  </si>
  <si>
    <t>Page Industries Ltd</t>
  </si>
  <si>
    <t>INE761H01022</t>
  </si>
  <si>
    <t>Textiles &amp; Apparels</t>
  </si>
  <si>
    <t>J.B. Chemicals &amp; Pharmaceuticals Ltd</t>
  </si>
  <si>
    <t>INE572A01028</t>
  </si>
  <si>
    <t>Small Cap</t>
  </si>
  <si>
    <t>Blue Dart Express Ltd</t>
  </si>
  <si>
    <t>INE233B01017</t>
  </si>
  <si>
    <t>Transport Services</t>
  </si>
  <si>
    <t>Hindalco Industries Ltd</t>
  </si>
  <si>
    <t>INE038A01020</t>
  </si>
  <si>
    <t>Non - Ferrous Metals</t>
  </si>
  <si>
    <t>United Spirits Ltd</t>
  </si>
  <si>
    <t>INE854D01024</t>
  </si>
  <si>
    <t>Beverages</t>
  </si>
  <si>
    <t>ZF Commercial Vehicle Control Systems India Ltd</t>
  </si>
  <si>
    <t>INE342J01019</t>
  </si>
  <si>
    <t>Tata Motors Ltd</t>
  </si>
  <si>
    <t>INE155A01022</t>
  </si>
  <si>
    <t>Automobiles</t>
  </si>
  <si>
    <t>Maruti Suzuki India Ltd</t>
  </si>
  <si>
    <t>INE585B01010</t>
  </si>
  <si>
    <t>Dabur India Ltd</t>
  </si>
  <si>
    <t>INE016A01026</t>
  </si>
  <si>
    <t>Personal Products</t>
  </si>
  <si>
    <t>KEI Industries Ltd</t>
  </si>
  <si>
    <t>INE878B01027</t>
  </si>
  <si>
    <t>Industrial Products</t>
  </si>
  <si>
    <t>Godrej Consumer Products Ltd</t>
  </si>
  <si>
    <t>INE102D01028</t>
  </si>
  <si>
    <t>Uno Minda Ltd</t>
  </si>
  <si>
    <t>INE405E01023</t>
  </si>
  <si>
    <t>Navin Fluorine International Ltd</t>
  </si>
  <si>
    <t>INE048G01026</t>
  </si>
  <si>
    <t>Chemicals &amp; Petrochemicals</t>
  </si>
  <si>
    <t>SBI Cards and Payment Services Ltd</t>
  </si>
  <si>
    <t>INE018E01016</t>
  </si>
  <si>
    <t>Titan Co Ltd</t>
  </si>
  <si>
    <t>INE280A01028</t>
  </si>
  <si>
    <t>Consumer Durables</t>
  </si>
  <si>
    <t>Vinati Organics Ltd</t>
  </si>
  <si>
    <t>INE410B01037</t>
  </si>
  <si>
    <t>Atul Ltd</t>
  </si>
  <si>
    <t>INE100A01010</t>
  </si>
  <si>
    <t>Siemens Ltd</t>
  </si>
  <si>
    <t>INE003A01024</t>
  </si>
  <si>
    <t>Interglobe Aviation Ltd</t>
  </si>
  <si>
    <t>INE646L01027</t>
  </si>
  <si>
    <t>Kotak Mahindra Bank Ltd</t>
  </si>
  <si>
    <t>INE237A01028</t>
  </si>
  <si>
    <t>Mphasis Ltd</t>
  </si>
  <si>
    <t>INE356A01018</t>
  </si>
  <si>
    <t>Sona Blw Precision Forgings Ltd</t>
  </si>
  <si>
    <t>INE073K01018</t>
  </si>
  <si>
    <t>Abbott India Ltd</t>
  </si>
  <si>
    <t>INE358A01014</t>
  </si>
  <si>
    <t>Honeywell Automation India Ltd</t>
  </si>
  <si>
    <t>INE671A01010</t>
  </si>
  <si>
    <t>Industrial Manufacturing</t>
  </si>
  <si>
    <t>Bata India Ltd</t>
  </si>
  <si>
    <t>INE176A01028</t>
  </si>
  <si>
    <t>Indian Hotels Co Ltd</t>
  </si>
  <si>
    <t>INE053A01029</t>
  </si>
  <si>
    <t>Leisure Services</t>
  </si>
  <si>
    <t>Bajaj Auto Ltd</t>
  </si>
  <si>
    <t>INE917I01010</t>
  </si>
  <si>
    <t>SBI Life Insurance Co Ltd</t>
  </si>
  <si>
    <t>INE123W01016</t>
  </si>
  <si>
    <t>Insurance</t>
  </si>
  <si>
    <t>Container Corporation Of India Ltd</t>
  </si>
  <si>
    <t>INE111A01025</t>
  </si>
  <si>
    <t>TCI Express Ltd</t>
  </si>
  <si>
    <t>INE586V01016</t>
  </si>
  <si>
    <t>Gujarat Gas Ltd</t>
  </si>
  <si>
    <t>INE844O01030</t>
  </si>
  <si>
    <t>Gas</t>
  </si>
  <si>
    <t>Avenue Supermarts Ltd</t>
  </si>
  <si>
    <t>INE192R01011</t>
  </si>
  <si>
    <t>Voltas Ltd</t>
  </si>
  <si>
    <t>INE226A01021</t>
  </si>
  <si>
    <t>Gland Pharma Ltd</t>
  </si>
  <si>
    <t>INE068V01023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</si>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</sst>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" fontId="3" fillId="3" borderId="5" xfId="0" applyNumberFormat="1" applyFont="1" applyFill="1" applyBorder="1"/>
    <xf numFmtId="43" fontId="3" fillId="3" borderId="9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0" xfId="1" applyFont="1" applyFill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" fontId="3" fillId="3" borderId="0" xfId="1" applyNumberFormat="1" applyFont="1" applyFill="1"/>
    <xf numFmtId="4" fontId="3" fillId="3" borderId="17" xfId="0" applyNumberFormat="1" applyFont="1" applyFill="1" applyBorder="1"/>
    <xf numFmtId="0" fontId="9" fillId="3" borderId="19" xfId="0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1" xfId="0" applyNumberFormat="1" applyFont="1" applyFill="1" applyBorder="1"/>
    <xf numFmtId="0" fontId="9" fillId="3" borderId="0" xfId="0" applyFont="1" applyFill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9" fillId="3" borderId="23" xfId="0" applyFont="1" applyFill="1" applyBorder="1"/>
    <xf numFmtId="0" fontId="3" fillId="3" borderId="24" xfId="0" applyFont="1" applyFill="1" applyBorder="1"/>
    <xf numFmtId="0" fontId="3" fillId="3" borderId="24" xfId="0" applyNumberFormat="1" applyFont="1" applyFill="1" applyBorder="1"/>
    <xf numFmtId="4" fontId="3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26" xfId="0" applyFont="1" applyFill="1" applyBorder="1"/>
    <xf numFmtId="0" fontId="9" fillId="3" borderId="26" xfId="0" applyNumberFormat="1" applyFont="1" applyFill="1" applyBorder="1"/>
    <xf numFmtId="4" fontId="9" fillId="3" borderId="26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7" xfId="0" applyNumberFormat="1" applyFont="1" applyFill="1" applyBorder="1"/>
    <xf numFmtId="2" fontId="10" fillId="0" borderId="28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83933</xdr:colOff>
      <xdr:row>4</xdr:row>
      <xdr:rowOff>39311</xdr:rowOff>
    </xdr:from>
    <xdr:to>
      <xdr:col>10</xdr:col>
      <xdr:colOff>1962150</xdr:colOff>
      <xdr:row>11</xdr:row>
      <xdr:rowOff>90178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E73CE-FDC6-4FB7-BA47-DB1686428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7608" y="1048961"/>
          <a:ext cx="18782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174399</xdr:colOff>
      <xdr:row>4</xdr:row>
      <xdr:rowOff>41988</xdr:rowOff>
    </xdr:from>
    <xdr:to>
      <xdr:col>9</xdr:col>
      <xdr:colOff>2057401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BEAA1F-84E9-46A1-85EF-96335608C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3949" y="1051638"/>
          <a:ext cx="18830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88449856-00D3-4785-99EA-BD0C3C39D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1765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7"/>
  <sheetViews>
    <sheetView tabSelected="1" workbookViewId="0"/>
  </sheetViews>
  <sheetFormatPr defaultRowHeight="12"/>
  <cols>
    <col min="1" max="1" width="9.140625" style="4"/>
    <col min="2" max="2" width="56.28515625" style="4" bestFit="1" customWidth="1"/>
    <col min="3" max="3" width="13.5703125" style="4" bestFit="1" customWidth="1"/>
    <col min="4" max="4" width="40.42578125" style="4" bestFit="1" customWidth="1"/>
    <col min="5" max="5" width="8.85546875" style="60" bestFit="1" customWidth="1"/>
    <col min="6" max="6" width="15.28515625" style="61" bestFit="1" customWidth="1"/>
    <col min="7" max="7" width="7.42578125" style="61" bestFit="1" customWidth="1"/>
    <col min="8" max="8" width="14.42578125" style="61" customWidth="1"/>
    <col min="9" max="9" width="9.140625" style="4"/>
    <col min="10" max="12" width="37.85546875" style="4" customWidth="1"/>
    <col min="13" max="13" width="4.7109375" style="4" bestFit="1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3"/>
    </row>
    <row r="3" spans="2:13" ht="16.5" thickBot="1">
      <c r="B3" s="5" t="s">
        <v>1</v>
      </c>
      <c r="C3" s="6"/>
      <c r="D3" s="7"/>
      <c r="E3" s="8"/>
      <c r="F3" s="9"/>
      <c r="G3" s="9"/>
      <c r="H3" s="9"/>
    </row>
    <row r="4" spans="2:13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3">
      <c r="B5" s="16" t="s">
        <v>12</v>
      </c>
      <c r="C5" s="17"/>
      <c r="D5" s="17"/>
      <c r="E5" s="18"/>
      <c r="F5" s="19"/>
      <c r="G5" s="20"/>
      <c r="H5" s="21"/>
      <c r="J5" s="22"/>
      <c r="K5" s="23"/>
      <c r="L5" s="24"/>
    </row>
    <row r="6" spans="2:13">
      <c r="B6" s="25" t="s">
        <v>13</v>
      </c>
      <c r="C6" s="26"/>
      <c r="D6" s="26"/>
      <c r="E6" s="27"/>
      <c r="F6" s="28"/>
      <c r="G6" s="29"/>
      <c r="H6" s="30"/>
      <c r="J6" s="31"/>
      <c r="K6" s="32"/>
      <c r="L6" s="33"/>
    </row>
    <row r="7" spans="2:13">
      <c r="B7" s="34" t="s">
        <v>14</v>
      </c>
      <c r="C7" s="26" t="s">
        <v>15</v>
      </c>
      <c r="D7" s="26" t="s">
        <v>16</v>
      </c>
      <c r="E7" s="35">
        <v>2232184</v>
      </c>
      <c r="F7" s="28">
        <v>35928.120000000003</v>
      </c>
      <c r="G7" s="29">
        <v>7.3</v>
      </c>
      <c r="H7" s="30" t="s">
        <v>17</v>
      </c>
      <c r="J7" s="31"/>
      <c r="K7" s="32"/>
      <c r="L7" s="33"/>
      <c r="M7" s="36"/>
    </row>
    <row r="8" spans="2:13">
      <c r="B8" s="34" t="s">
        <v>18</v>
      </c>
      <c r="C8" s="26" t="s">
        <v>19</v>
      </c>
      <c r="D8" s="26" t="s">
        <v>16</v>
      </c>
      <c r="E8" s="35">
        <v>4026000</v>
      </c>
      <c r="F8" s="28">
        <v>35318.089999999997</v>
      </c>
      <c r="G8" s="29">
        <v>7.17</v>
      </c>
      <c r="H8" s="30" t="s">
        <v>17</v>
      </c>
      <c r="J8" s="31"/>
      <c r="K8" s="32"/>
      <c r="L8" s="33"/>
      <c r="M8" s="36"/>
    </row>
    <row r="9" spans="2:13">
      <c r="B9" s="34" t="s">
        <v>20</v>
      </c>
      <c r="C9" s="26" t="s">
        <v>21</v>
      </c>
      <c r="D9" s="26" t="s">
        <v>22</v>
      </c>
      <c r="E9" s="35">
        <v>1986310</v>
      </c>
      <c r="F9" s="28">
        <v>28363.51</v>
      </c>
      <c r="G9" s="29">
        <v>5.76</v>
      </c>
      <c r="H9" s="30" t="s">
        <v>17</v>
      </c>
      <c r="J9" s="31"/>
      <c r="K9" s="32"/>
      <c r="L9" s="33"/>
      <c r="M9" s="36"/>
    </row>
    <row r="10" spans="2:13">
      <c r="B10" s="34" t="s">
        <v>23</v>
      </c>
      <c r="C10" s="26" t="s">
        <v>24</v>
      </c>
      <c r="D10" s="26" t="s">
        <v>25</v>
      </c>
      <c r="E10" s="35">
        <v>1161000</v>
      </c>
      <c r="F10" s="28">
        <v>27063.49</v>
      </c>
      <c r="G10" s="29">
        <v>5.5</v>
      </c>
      <c r="H10" s="30" t="s">
        <v>17</v>
      </c>
      <c r="J10" s="31"/>
      <c r="K10" s="32"/>
      <c r="L10" s="33"/>
      <c r="M10" s="36"/>
    </row>
    <row r="11" spans="2:13">
      <c r="B11" s="34" t="s">
        <v>26</v>
      </c>
      <c r="C11" s="26" t="s">
        <v>27</v>
      </c>
      <c r="D11" s="26" t="s">
        <v>16</v>
      </c>
      <c r="E11" s="35">
        <v>3595000</v>
      </c>
      <c r="F11" s="28">
        <v>18828.810000000001</v>
      </c>
      <c r="G11" s="29">
        <v>3.82</v>
      </c>
      <c r="H11" s="30" t="s">
        <v>17</v>
      </c>
      <c r="J11" s="31"/>
      <c r="K11" s="32"/>
      <c r="L11" s="33"/>
      <c r="M11" s="36"/>
    </row>
    <row r="12" spans="2:13">
      <c r="B12" s="34" t="s">
        <v>28</v>
      </c>
      <c r="C12" s="26" t="s">
        <v>29</v>
      </c>
      <c r="D12" s="26" t="s">
        <v>16</v>
      </c>
      <c r="E12" s="35">
        <v>1928000</v>
      </c>
      <c r="F12" s="28">
        <v>16551.88</v>
      </c>
      <c r="G12" s="29">
        <v>3.36</v>
      </c>
      <c r="H12" s="30" t="s">
        <v>17</v>
      </c>
      <c r="J12" s="37"/>
      <c r="K12" s="38"/>
      <c r="L12" s="39"/>
      <c r="M12" s="36"/>
    </row>
    <row r="13" spans="2:13">
      <c r="B13" s="34" t="s">
        <v>30</v>
      </c>
      <c r="C13" s="26" t="s">
        <v>31</v>
      </c>
      <c r="D13" s="26" t="s">
        <v>22</v>
      </c>
      <c r="E13" s="35">
        <v>446212</v>
      </c>
      <c r="F13" s="28">
        <v>14305.11</v>
      </c>
      <c r="G13" s="29">
        <v>2.91</v>
      </c>
      <c r="H13" s="30" t="s">
        <v>17</v>
      </c>
      <c r="J13" s="36"/>
      <c r="K13" s="4" t="s">
        <v>32</v>
      </c>
      <c r="L13" s="36"/>
      <c r="M13" s="36"/>
    </row>
    <row r="14" spans="2:13">
      <c r="B14" s="34" t="s">
        <v>33</v>
      </c>
      <c r="C14" s="26" t="s">
        <v>34</v>
      </c>
      <c r="D14" s="26" t="s">
        <v>35</v>
      </c>
      <c r="E14" s="35">
        <v>500000</v>
      </c>
      <c r="F14" s="28">
        <v>13127.5</v>
      </c>
      <c r="G14" s="29">
        <v>2.67</v>
      </c>
      <c r="H14" s="30" t="s">
        <v>17</v>
      </c>
      <c r="J14" s="40"/>
      <c r="K14" s="40"/>
      <c r="L14" s="40"/>
      <c r="M14" s="36"/>
    </row>
    <row r="15" spans="2:13">
      <c r="B15" s="34" t="s">
        <v>36</v>
      </c>
      <c r="C15" s="26" t="s">
        <v>37</v>
      </c>
      <c r="D15" s="26" t="s">
        <v>38</v>
      </c>
      <c r="E15" s="35">
        <v>160000</v>
      </c>
      <c r="F15" s="28">
        <v>12195.44</v>
      </c>
      <c r="G15" s="29">
        <v>2.48</v>
      </c>
      <c r="H15" s="30" t="s">
        <v>17</v>
      </c>
      <c r="J15" s="40"/>
      <c r="K15" s="40"/>
      <c r="L15" s="40"/>
      <c r="M15" s="36"/>
    </row>
    <row r="16" spans="2:13">
      <c r="B16" s="34" t="s">
        <v>39</v>
      </c>
      <c r="C16" s="26" t="s">
        <v>40</v>
      </c>
      <c r="D16" s="26" t="s">
        <v>41</v>
      </c>
      <c r="E16" s="35">
        <v>1440000</v>
      </c>
      <c r="F16" s="28">
        <v>10785.6</v>
      </c>
      <c r="G16" s="29">
        <v>2.19</v>
      </c>
      <c r="H16" s="30" t="s">
        <v>17</v>
      </c>
      <c r="J16" s="40"/>
      <c r="K16" s="40"/>
      <c r="L16" s="40"/>
      <c r="M16" s="36"/>
    </row>
    <row r="17" spans="2:13">
      <c r="B17" s="34" t="s">
        <v>42</v>
      </c>
      <c r="C17" s="26" t="s">
        <v>43</v>
      </c>
      <c r="D17" s="26" t="s">
        <v>44</v>
      </c>
      <c r="E17" s="35">
        <v>411690</v>
      </c>
      <c r="F17" s="28">
        <v>10540.7</v>
      </c>
      <c r="G17" s="29">
        <v>2.14</v>
      </c>
      <c r="H17" s="30" t="s">
        <v>17</v>
      </c>
      <c r="J17" s="40"/>
      <c r="K17" s="40"/>
      <c r="L17" s="40"/>
      <c r="M17" s="36"/>
    </row>
    <row r="18" spans="2:13">
      <c r="B18" s="34" t="s">
        <v>45</v>
      </c>
      <c r="C18" s="26" t="s">
        <v>46</v>
      </c>
      <c r="D18" s="26" t="s">
        <v>47</v>
      </c>
      <c r="E18" s="35">
        <v>440000</v>
      </c>
      <c r="F18" s="28">
        <v>9522.48</v>
      </c>
      <c r="G18" s="29">
        <v>1.93</v>
      </c>
      <c r="H18" s="30" t="s">
        <v>17</v>
      </c>
      <c r="J18" s="40"/>
      <c r="K18" s="40"/>
      <c r="L18" s="40"/>
      <c r="M18" s="36"/>
    </row>
    <row r="19" spans="2:13">
      <c r="B19" s="34" t="s">
        <v>48</v>
      </c>
      <c r="C19" s="26" t="s">
        <v>49</v>
      </c>
      <c r="D19" s="26" t="s">
        <v>44</v>
      </c>
      <c r="E19" s="35">
        <v>2450000</v>
      </c>
      <c r="F19" s="28">
        <v>9395.75</v>
      </c>
      <c r="G19" s="29">
        <v>1.91</v>
      </c>
      <c r="H19" s="30" t="s">
        <v>17</v>
      </c>
      <c r="J19" s="40"/>
      <c r="K19" s="40"/>
      <c r="L19" s="40"/>
      <c r="M19" s="36"/>
    </row>
    <row r="20" spans="2:13">
      <c r="B20" s="34" t="s">
        <v>50</v>
      </c>
      <c r="C20" s="26" t="s">
        <v>51</v>
      </c>
      <c r="D20" s="26" t="s">
        <v>35</v>
      </c>
      <c r="E20" s="35">
        <v>152950</v>
      </c>
      <c r="F20" s="28">
        <v>8590.82</v>
      </c>
      <c r="G20" s="29">
        <v>1.74</v>
      </c>
      <c r="H20" s="30" t="s">
        <v>17</v>
      </c>
      <c r="J20" s="40"/>
      <c r="K20" s="40"/>
      <c r="L20" s="40"/>
      <c r="M20" s="36"/>
    </row>
    <row r="21" spans="2:13">
      <c r="B21" s="34" t="s">
        <v>52</v>
      </c>
      <c r="C21" s="26" t="s">
        <v>53</v>
      </c>
      <c r="D21" s="26" t="s">
        <v>54</v>
      </c>
      <c r="E21" s="35">
        <v>290750</v>
      </c>
      <c r="F21" s="28">
        <v>8337.4</v>
      </c>
      <c r="G21" s="29">
        <v>1.69</v>
      </c>
      <c r="H21" s="30" t="s">
        <v>55</v>
      </c>
      <c r="J21" s="40"/>
      <c r="K21" s="40"/>
      <c r="L21" s="40"/>
      <c r="M21" s="36"/>
    </row>
    <row r="22" spans="2:13">
      <c r="B22" s="34" t="s">
        <v>56</v>
      </c>
      <c r="C22" s="26" t="s">
        <v>57</v>
      </c>
      <c r="D22" s="26" t="s">
        <v>58</v>
      </c>
      <c r="E22" s="35">
        <v>815000</v>
      </c>
      <c r="F22" s="28">
        <v>8012.27</v>
      </c>
      <c r="G22" s="29">
        <v>1.63</v>
      </c>
      <c r="H22" s="30" t="s">
        <v>17</v>
      </c>
      <c r="J22" s="40"/>
      <c r="K22" s="40"/>
      <c r="L22" s="40"/>
      <c r="M22" s="36"/>
    </row>
    <row r="23" spans="2:13">
      <c r="B23" s="34" t="s">
        <v>59</v>
      </c>
      <c r="C23" s="26" t="s">
        <v>60</v>
      </c>
      <c r="D23" s="26" t="s">
        <v>61</v>
      </c>
      <c r="E23" s="35">
        <v>4025000</v>
      </c>
      <c r="F23" s="28">
        <v>7047.78</v>
      </c>
      <c r="G23" s="29">
        <v>1.43</v>
      </c>
      <c r="H23" s="30" t="s">
        <v>17</v>
      </c>
      <c r="J23" s="40"/>
      <c r="K23" s="40"/>
      <c r="L23" s="40"/>
      <c r="M23" s="36"/>
    </row>
    <row r="24" spans="2:13">
      <c r="B24" s="34" t="s">
        <v>62</v>
      </c>
      <c r="C24" s="26" t="s">
        <v>63</v>
      </c>
      <c r="D24" s="26" t="s">
        <v>64</v>
      </c>
      <c r="E24" s="35">
        <v>198155</v>
      </c>
      <c r="F24" s="28">
        <v>6668.21</v>
      </c>
      <c r="G24" s="29">
        <v>1.35</v>
      </c>
      <c r="H24" s="30" t="s">
        <v>17</v>
      </c>
      <c r="J24" s="40"/>
      <c r="K24" s="40"/>
      <c r="L24" s="40"/>
      <c r="M24" s="36"/>
    </row>
    <row r="25" spans="2:13">
      <c r="B25" s="34" t="s">
        <v>65</v>
      </c>
      <c r="C25" s="26" t="s">
        <v>66</v>
      </c>
      <c r="D25" s="26" t="s">
        <v>67</v>
      </c>
      <c r="E25" s="35">
        <v>790000</v>
      </c>
      <c r="F25" s="28">
        <v>6656.54</v>
      </c>
      <c r="G25" s="29">
        <v>1.35</v>
      </c>
      <c r="H25" s="30" t="s">
        <v>55</v>
      </c>
      <c r="J25" s="40"/>
      <c r="K25" s="40"/>
      <c r="L25" s="40"/>
      <c r="M25" s="36"/>
    </row>
    <row r="26" spans="2:13">
      <c r="B26" s="34" t="s">
        <v>68</v>
      </c>
      <c r="C26" s="26" t="s">
        <v>69</v>
      </c>
      <c r="D26" s="26" t="s">
        <v>70</v>
      </c>
      <c r="E26" s="35">
        <v>4500000</v>
      </c>
      <c r="F26" s="28">
        <v>6264</v>
      </c>
      <c r="G26" s="29">
        <v>1.27</v>
      </c>
      <c r="H26" s="30" t="s">
        <v>55</v>
      </c>
      <c r="J26" s="40"/>
      <c r="K26" s="40"/>
      <c r="L26" s="40"/>
      <c r="M26" s="36"/>
    </row>
    <row r="27" spans="2:13">
      <c r="B27" s="34" t="s">
        <v>71</v>
      </c>
      <c r="C27" s="26" t="s">
        <v>72</v>
      </c>
      <c r="D27" s="26" t="s">
        <v>35</v>
      </c>
      <c r="E27" s="35">
        <v>805000</v>
      </c>
      <c r="F27" s="28">
        <v>6128.47</v>
      </c>
      <c r="G27" s="29">
        <v>1.24</v>
      </c>
      <c r="H27" s="30" t="s">
        <v>17</v>
      </c>
      <c r="J27" s="40"/>
      <c r="K27" s="40"/>
      <c r="L27" s="40"/>
      <c r="M27" s="36"/>
    </row>
    <row r="28" spans="2:13">
      <c r="B28" s="34" t="s">
        <v>73</v>
      </c>
      <c r="C28" s="26" t="s">
        <v>74</v>
      </c>
      <c r="D28" s="26" t="s">
        <v>75</v>
      </c>
      <c r="E28" s="35">
        <v>1365000</v>
      </c>
      <c r="F28" s="28">
        <v>6021.02</v>
      </c>
      <c r="G28" s="29">
        <v>1.22</v>
      </c>
      <c r="H28" s="30" t="s">
        <v>55</v>
      </c>
      <c r="J28" s="40"/>
      <c r="K28" s="40"/>
      <c r="L28" s="40"/>
      <c r="M28" s="36"/>
    </row>
    <row r="29" spans="2:13">
      <c r="B29" s="34" t="s">
        <v>76</v>
      </c>
      <c r="C29" s="26" t="s">
        <v>77</v>
      </c>
      <c r="D29" s="26" t="s">
        <v>16</v>
      </c>
      <c r="E29" s="35">
        <v>550000</v>
      </c>
      <c r="F29" s="28">
        <v>5873.73</v>
      </c>
      <c r="G29" s="29">
        <v>1.19</v>
      </c>
      <c r="H29" s="30" t="s">
        <v>17</v>
      </c>
      <c r="J29" s="40"/>
      <c r="K29" s="40"/>
      <c r="L29" s="40"/>
      <c r="M29" s="36"/>
    </row>
    <row r="30" spans="2:13">
      <c r="B30" s="34" t="s">
        <v>78</v>
      </c>
      <c r="C30" s="26" t="s">
        <v>79</v>
      </c>
      <c r="D30" s="26" t="s">
        <v>80</v>
      </c>
      <c r="E30" s="35">
        <v>5600000</v>
      </c>
      <c r="F30" s="28">
        <v>5852</v>
      </c>
      <c r="G30" s="29">
        <v>1.19</v>
      </c>
      <c r="H30" s="30" t="s">
        <v>17</v>
      </c>
      <c r="J30" s="40"/>
      <c r="K30" s="40"/>
      <c r="L30" s="40"/>
      <c r="M30" s="36"/>
    </row>
    <row r="31" spans="2:13">
      <c r="B31" s="34" t="s">
        <v>81</v>
      </c>
      <c r="C31" s="26" t="s">
        <v>82</v>
      </c>
      <c r="D31" s="26" t="s">
        <v>83</v>
      </c>
      <c r="E31" s="35">
        <v>186213</v>
      </c>
      <c r="F31" s="28">
        <v>5642.63</v>
      </c>
      <c r="G31" s="29">
        <v>1.1499999999999999</v>
      </c>
      <c r="H31" s="30" t="s">
        <v>17</v>
      </c>
      <c r="J31" s="40"/>
      <c r="K31" s="40"/>
      <c r="L31" s="40"/>
      <c r="M31" s="36"/>
    </row>
    <row r="32" spans="2:13">
      <c r="B32" s="34" t="s">
        <v>84</v>
      </c>
      <c r="C32" s="26" t="s">
        <v>85</v>
      </c>
      <c r="D32" s="26" t="s">
        <v>38</v>
      </c>
      <c r="E32" s="35">
        <v>171000</v>
      </c>
      <c r="F32" s="28">
        <v>4999.53</v>
      </c>
      <c r="G32" s="29">
        <v>1.02</v>
      </c>
      <c r="H32" s="30" t="s">
        <v>55</v>
      </c>
      <c r="J32" s="40"/>
      <c r="K32" s="40"/>
      <c r="L32" s="40"/>
      <c r="M32" s="36"/>
    </row>
    <row r="33" spans="2:13">
      <c r="B33" s="34" t="s">
        <v>86</v>
      </c>
      <c r="C33" s="26" t="s">
        <v>87</v>
      </c>
      <c r="D33" s="26" t="s">
        <v>88</v>
      </c>
      <c r="E33" s="35">
        <v>5125000</v>
      </c>
      <c r="F33" s="28">
        <v>4999.4399999999996</v>
      </c>
      <c r="G33" s="29">
        <v>1.02</v>
      </c>
      <c r="H33" s="30" t="s">
        <v>17</v>
      </c>
      <c r="J33" s="40"/>
      <c r="K33" s="40"/>
      <c r="L33" s="40"/>
      <c r="M33" s="36"/>
    </row>
    <row r="34" spans="2:13">
      <c r="B34" s="34" t="s">
        <v>89</v>
      </c>
      <c r="C34" s="26" t="s">
        <v>90</v>
      </c>
      <c r="D34" s="26" t="s">
        <v>91</v>
      </c>
      <c r="E34" s="35">
        <v>360000</v>
      </c>
      <c r="F34" s="28">
        <v>4949.82</v>
      </c>
      <c r="G34" s="29">
        <v>1.01</v>
      </c>
      <c r="H34" s="30" t="s">
        <v>17</v>
      </c>
      <c r="J34" s="40"/>
      <c r="K34" s="40"/>
      <c r="L34" s="40"/>
      <c r="M34" s="36"/>
    </row>
    <row r="35" spans="2:13">
      <c r="B35" s="34" t="s">
        <v>92</v>
      </c>
      <c r="C35" s="26" t="s">
        <v>93</v>
      </c>
      <c r="D35" s="26" t="s">
        <v>54</v>
      </c>
      <c r="E35" s="35">
        <v>7350000</v>
      </c>
      <c r="F35" s="28">
        <v>4931.8500000000004</v>
      </c>
      <c r="G35" s="29">
        <v>1</v>
      </c>
      <c r="H35" s="30" t="s">
        <v>17</v>
      </c>
      <c r="J35" s="40"/>
      <c r="K35" s="40"/>
      <c r="L35" s="40"/>
      <c r="M35" s="36"/>
    </row>
    <row r="36" spans="2:13">
      <c r="B36" s="34" t="s">
        <v>94</v>
      </c>
      <c r="C36" s="26" t="s">
        <v>95</v>
      </c>
      <c r="D36" s="26" t="s">
        <v>96</v>
      </c>
      <c r="E36" s="35">
        <v>13000</v>
      </c>
      <c r="F36" s="28">
        <v>4927.43</v>
      </c>
      <c r="G36" s="29">
        <v>1</v>
      </c>
      <c r="H36" s="30" t="s">
        <v>17</v>
      </c>
      <c r="J36" s="40"/>
      <c r="K36" s="40"/>
      <c r="L36" s="40"/>
      <c r="M36" s="36"/>
    </row>
    <row r="37" spans="2:13">
      <c r="B37" s="34" t="s">
        <v>97</v>
      </c>
      <c r="C37" s="26" t="s">
        <v>98</v>
      </c>
      <c r="D37" s="26" t="s">
        <v>58</v>
      </c>
      <c r="E37" s="35">
        <v>247413</v>
      </c>
      <c r="F37" s="28">
        <v>4889.75</v>
      </c>
      <c r="G37" s="29">
        <v>0.99</v>
      </c>
      <c r="H37" s="30" t="s">
        <v>99</v>
      </c>
      <c r="J37" s="40"/>
      <c r="K37" s="40"/>
      <c r="L37" s="40"/>
      <c r="M37" s="36"/>
    </row>
    <row r="38" spans="2:13">
      <c r="B38" s="34" t="s">
        <v>100</v>
      </c>
      <c r="C38" s="26" t="s">
        <v>101</v>
      </c>
      <c r="D38" s="26" t="s">
        <v>102</v>
      </c>
      <c r="E38" s="35">
        <v>78399</v>
      </c>
      <c r="F38" s="28">
        <v>4870.8900000000003</v>
      </c>
      <c r="G38" s="29">
        <v>0.99</v>
      </c>
      <c r="H38" s="30" t="s">
        <v>55</v>
      </c>
      <c r="J38" s="40"/>
      <c r="K38" s="40"/>
      <c r="L38" s="40"/>
      <c r="M38" s="36"/>
    </row>
    <row r="39" spans="2:13">
      <c r="B39" s="34" t="s">
        <v>103</v>
      </c>
      <c r="C39" s="26" t="s">
        <v>104</v>
      </c>
      <c r="D39" s="26" t="s">
        <v>105</v>
      </c>
      <c r="E39" s="35">
        <v>1193000</v>
      </c>
      <c r="F39" s="28">
        <v>4835.83</v>
      </c>
      <c r="G39" s="29">
        <v>0.98</v>
      </c>
      <c r="H39" s="30" t="s">
        <v>17</v>
      </c>
      <c r="J39" s="40"/>
      <c r="K39" s="40"/>
      <c r="L39" s="40"/>
      <c r="M39" s="36"/>
    </row>
    <row r="40" spans="2:13">
      <c r="B40" s="34" t="s">
        <v>106</v>
      </c>
      <c r="C40" s="26" t="s">
        <v>107</v>
      </c>
      <c r="D40" s="26" t="s">
        <v>108</v>
      </c>
      <c r="E40" s="35">
        <v>616000</v>
      </c>
      <c r="F40" s="28">
        <v>4658.8100000000004</v>
      </c>
      <c r="G40" s="29">
        <v>0.95</v>
      </c>
      <c r="H40" s="30" t="s">
        <v>17</v>
      </c>
      <c r="J40" s="40"/>
      <c r="K40" s="40"/>
      <c r="L40" s="40"/>
      <c r="M40" s="36"/>
    </row>
    <row r="41" spans="2:13">
      <c r="B41" s="34" t="s">
        <v>109</v>
      </c>
      <c r="C41" s="26" t="s">
        <v>110</v>
      </c>
      <c r="D41" s="26" t="s">
        <v>54</v>
      </c>
      <c r="E41" s="35">
        <v>44748</v>
      </c>
      <c r="F41" s="28">
        <v>4657.75</v>
      </c>
      <c r="G41" s="29">
        <v>0.95</v>
      </c>
      <c r="H41" s="30" t="s">
        <v>55</v>
      </c>
      <c r="J41" s="40"/>
      <c r="K41" s="40"/>
      <c r="L41" s="40"/>
      <c r="M41" s="36"/>
    </row>
    <row r="42" spans="2:13">
      <c r="B42" s="34" t="s">
        <v>111</v>
      </c>
      <c r="C42" s="26" t="s">
        <v>112</v>
      </c>
      <c r="D42" s="26" t="s">
        <v>113</v>
      </c>
      <c r="E42" s="35">
        <v>1085000</v>
      </c>
      <c r="F42" s="28">
        <v>4565.68</v>
      </c>
      <c r="G42" s="29">
        <v>0.93</v>
      </c>
      <c r="H42" s="30" t="s">
        <v>17</v>
      </c>
      <c r="J42" s="40"/>
      <c r="K42" s="40"/>
      <c r="L42" s="40"/>
      <c r="M42" s="36"/>
    </row>
    <row r="43" spans="2:13">
      <c r="B43" s="34" t="s">
        <v>114</v>
      </c>
      <c r="C43" s="26" t="s">
        <v>115</v>
      </c>
      <c r="D43" s="26" t="s">
        <v>113</v>
      </c>
      <c r="E43" s="35">
        <v>55000</v>
      </c>
      <c r="F43" s="28">
        <v>4560.68</v>
      </c>
      <c r="G43" s="29">
        <v>0.93</v>
      </c>
      <c r="H43" s="30" t="s">
        <v>17</v>
      </c>
      <c r="J43" s="40"/>
      <c r="K43" s="40"/>
      <c r="L43" s="40"/>
      <c r="M43" s="36"/>
    </row>
    <row r="44" spans="2:13">
      <c r="B44" s="34" t="s">
        <v>116</v>
      </c>
      <c r="C44" s="26" t="s">
        <v>117</v>
      </c>
      <c r="D44" s="26" t="s">
        <v>118</v>
      </c>
      <c r="E44" s="35">
        <v>810000</v>
      </c>
      <c r="F44" s="28">
        <v>4413.6899999999996</v>
      </c>
      <c r="G44" s="29">
        <v>0.9</v>
      </c>
      <c r="H44" s="30" t="s">
        <v>17</v>
      </c>
      <c r="J44" s="40"/>
      <c r="K44" s="40"/>
      <c r="L44" s="40"/>
      <c r="M44" s="36"/>
    </row>
    <row r="45" spans="2:13">
      <c r="B45" s="34" t="s">
        <v>119</v>
      </c>
      <c r="C45" s="26" t="s">
        <v>120</v>
      </c>
      <c r="D45" s="26" t="s">
        <v>121</v>
      </c>
      <c r="E45" s="35">
        <v>257000</v>
      </c>
      <c r="F45" s="28">
        <v>4365.53</v>
      </c>
      <c r="G45" s="29">
        <v>0.89</v>
      </c>
      <c r="H45" s="30" t="s">
        <v>99</v>
      </c>
      <c r="J45" s="40"/>
      <c r="K45" s="40"/>
      <c r="L45" s="40"/>
      <c r="M45" s="36"/>
    </row>
    <row r="46" spans="2:13">
      <c r="B46" s="34" t="s">
        <v>122</v>
      </c>
      <c r="C46" s="26" t="s">
        <v>123</v>
      </c>
      <c r="D46" s="26" t="s">
        <v>118</v>
      </c>
      <c r="E46" s="35">
        <v>450640</v>
      </c>
      <c r="F46" s="28">
        <v>4362.87</v>
      </c>
      <c r="G46" s="29">
        <v>0.89</v>
      </c>
      <c r="H46" s="30" t="s">
        <v>17</v>
      </c>
      <c r="J46" s="40"/>
      <c r="K46" s="40"/>
      <c r="L46" s="40"/>
      <c r="M46" s="36"/>
    </row>
    <row r="47" spans="2:13">
      <c r="B47" s="34" t="s">
        <v>124</v>
      </c>
      <c r="C47" s="26" t="s">
        <v>125</v>
      </c>
      <c r="D47" s="26" t="s">
        <v>54</v>
      </c>
      <c r="E47" s="35">
        <v>894716</v>
      </c>
      <c r="F47" s="28">
        <v>4303.58</v>
      </c>
      <c r="G47" s="29">
        <v>0.87</v>
      </c>
      <c r="H47" s="30" t="s">
        <v>55</v>
      </c>
      <c r="J47" s="40"/>
      <c r="K47" s="40"/>
      <c r="L47" s="40"/>
      <c r="M47" s="36"/>
    </row>
    <row r="48" spans="2:13">
      <c r="B48" s="34" t="s">
        <v>126</v>
      </c>
      <c r="C48" s="26" t="s">
        <v>127</v>
      </c>
      <c r="D48" s="26" t="s">
        <v>128</v>
      </c>
      <c r="E48" s="35">
        <v>99416</v>
      </c>
      <c r="F48" s="28">
        <v>4245.66</v>
      </c>
      <c r="G48" s="29">
        <v>0.86</v>
      </c>
      <c r="H48" s="30" t="s">
        <v>55</v>
      </c>
      <c r="J48" s="40"/>
      <c r="K48" s="40"/>
      <c r="L48" s="40"/>
      <c r="M48" s="36"/>
    </row>
    <row r="49" spans="2:13">
      <c r="B49" s="34" t="s">
        <v>129</v>
      </c>
      <c r="C49" s="26" t="s">
        <v>130</v>
      </c>
      <c r="D49" s="26" t="s">
        <v>35</v>
      </c>
      <c r="E49" s="35">
        <v>560000</v>
      </c>
      <c r="F49" s="28">
        <v>4145.12</v>
      </c>
      <c r="G49" s="29">
        <v>0.84</v>
      </c>
      <c r="H49" s="30" t="s">
        <v>17</v>
      </c>
      <c r="J49" s="40"/>
      <c r="K49" s="40"/>
      <c r="L49" s="40"/>
      <c r="M49" s="36"/>
    </row>
    <row r="50" spans="2:13">
      <c r="B50" s="34" t="s">
        <v>131</v>
      </c>
      <c r="C50" s="26" t="s">
        <v>132</v>
      </c>
      <c r="D50" s="26" t="s">
        <v>133</v>
      </c>
      <c r="E50" s="35">
        <v>162500</v>
      </c>
      <c r="F50" s="28">
        <v>4086.71</v>
      </c>
      <c r="G50" s="29">
        <v>0.83</v>
      </c>
      <c r="H50" s="30" t="s">
        <v>17</v>
      </c>
      <c r="J50" s="40"/>
      <c r="K50" s="40"/>
      <c r="L50" s="40"/>
      <c r="M50" s="36"/>
    </row>
    <row r="51" spans="2:13">
      <c r="B51" s="34" t="s">
        <v>134</v>
      </c>
      <c r="C51" s="26" t="s">
        <v>135</v>
      </c>
      <c r="D51" s="26" t="s">
        <v>128</v>
      </c>
      <c r="E51" s="35">
        <v>215300</v>
      </c>
      <c r="F51" s="28">
        <v>3893.49</v>
      </c>
      <c r="G51" s="29">
        <v>0.79</v>
      </c>
      <c r="H51" s="30" t="s">
        <v>55</v>
      </c>
      <c r="J51" s="40"/>
      <c r="K51" s="40"/>
      <c r="L51" s="40"/>
      <c r="M51" s="36"/>
    </row>
    <row r="52" spans="2:13">
      <c r="B52" s="34" t="s">
        <v>136</v>
      </c>
      <c r="C52" s="26" t="s">
        <v>137</v>
      </c>
      <c r="D52" s="26" t="s">
        <v>128</v>
      </c>
      <c r="E52" s="35">
        <v>55000</v>
      </c>
      <c r="F52" s="28">
        <v>3827.48</v>
      </c>
      <c r="G52" s="29">
        <v>0.78</v>
      </c>
      <c r="H52" s="30" t="s">
        <v>55</v>
      </c>
      <c r="J52" s="40"/>
      <c r="K52" s="40"/>
      <c r="L52" s="40"/>
      <c r="M52" s="36"/>
    </row>
    <row r="53" spans="2:13">
      <c r="B53" s="34" t="s">
        <v>138</v>
      </c>
      <c r="C53" s="26" t="s">
        <v>139</v>
      </c>
      <c r="D53" s="26" t="s">
        <v>64</v>
      </c>
      <c r="E53" s="35">
        <v>115000</v>
      </c>
      <c r="F53" s="28">
        <v>3826.22</v>
      </c>
      <c r="G53" s="29">
        <v>0.78</v>
      </c>
      <c r="H53" s="30" t="s">
        <v>17</v>
      </c>
      <c r="J53" s="40"/>
      <c r="K53" s="40"/>
      <c r="L53" s="40"/>
      <c r="M53" s="36"/>
    </row>
    <row r="54" spans="2:13">
      <c r="B54" s="34" t="s">
        <v>140</v>
      </c>
      <c r="C54" s="26" t="s">
        <v>141</v>
      </c>
      <c r="D54" s="26" t="s">
        <v>102</v>
      </c>
      <c r="E54" s="35">
        <v>200000</v>
      </c>
      <c r="F54" s="28">
        <v>3821.3</v>
      </c>
      <c r="G54" s="29">
        <v>0.78</v>
      </c>
      <c r="H54" s="30" t="s">
        <v>17</v>
      </c>
      <c r="J54" s="40"/>
      <c r="K54" s="40"/>
      <c r="L54" s="40"/>
      <c r="M54" s="36"/>
    </row>
    <row r="55" spans="2:13">
      <c r="B55" s="34" t="s">
        <v>142</v>
      </c>
      <c r="C55" s="26" t="s">
        <v>143</v>
      </c>
      <c r="D55" s="26" t="s">
        <v>16</v>
      </c>
      <c r="E55" s="35">
        <v>202500</v>
      </c>
      <c r="F55" s="28">
        <v>3509.02</v>
      </c>
      <c r="G55" s="29">
        <v>0.71</v>
      </c>
      <c r="H55" s="30" t="s">
        <v>17</v>
      </c>
      <c r="J55" s="40"/>
      <c r="K55" s="40"/>
      <c r="L55" s="40"/>
      <c r="M55" s="36"/>
    </row>
    <row r="56" spans="2:13">
      <c r="B56" s="34" t="s">
        <v>144</v>
      </c>
      <c r="C56" s="26" t="s">
        <v>145</v>
      </c>
      <c r="D56" s="26" t="s">
        <v>22</v>
      </c>
      <c r="E56" s="35">
        <v>194000</v>
      </c>
      <c r="F56" s="28">
        <v>3483.76</v>
      </c>
      <c r="G56" s="29">
        <v>0.71</v>
      </c>
      <c r="H56" s="30" t="s">
        <v>55</v>
      </c>
      <c r="J56" s="40"/>
      <c r="K56" s="40"/>
      <c r="L56" s="40"/>
      <c r="M56" s="36"/>
    </row>
    <row r="57" spans="2:13">
      <c r="B57" s="34" t="s">
        <v>146</v>
      </c>
      <c r="C57" s="26" t="s">
        <v>147</v>
      </c>
      <c r="D57" s="26" t="s">
        <v>54</v>
      </c>
      <c r="E57" s="35">
        <v>840000</v>
      </c>
      <c r="F57" s="28">
        <v>3473.4</v>
      </c>
      <c r="G57" s="29">
        <v>0.71</v>
      </c>
      <c r="H57" s="30" t="s">
        <v>55</v>
      </c>
      <c r="J57" s="40"/>
      <c r="K57" s="40"/>
      <c r="L57" s="40"/>
      <c r="M57" s="36"/>
    </row>
    <row r="58" spans="2:13">
      <c r="B58" s="34" t="s">
        <v>148</v>
      </c>
      <c r="C58" s="26" t="s">
        <v>149</v>
      </c>
      <c r="D58" s="26" t="s">
        <v>58</v>
      </c>
      <c r="E58" s="35">
        <v>14877</v>
      </c>
      <c r="F58" s="28">
        <v>3282.59</v>
      </c>
      <c r="G58" s="29">
        <v>0.67</v>
      </c>
      <c r="H58" s="30" t="s">
        <v>55</v>
      </c>
      <c r="J58" s="40"/>
      <c r="K58" s="40"/>
      <c r="L58" s="40"/>
      <c r="M58" s="36"/>
    </row>
    <row r="59" spans="2:13">
      <c r="B59" s="34" t="s">
        <v>150</v>
      </c>
      <c r="C59" s="26" t="s">
        <v>151</v>
      </c>
      <c r="D59" s="26" t="s">
        <v>152</v>
      </c>
      <c r="E59" s="35">
        <v>9016</v>
      </c>
      <c r="F59" s="28">
        <v>3280.49</v>
      </c>
      <c r="G59" s="29">
        <v>0.67</v>
      </c>
      <c r="H59" s="30" t="s">
        <v>55</v>
      </c>
      <c r="J59" s="40"/>
      <c r="K59" s="40"/>
      <c r="L59" s="40"/>
      <c r="M59" s="36"/>
    </row>
    <row r="60" spans="2:13">
      <c r="B60" s="34" t="s">
        <v>153</v>
      </c>
      <c r="C60" s="26" t="s">
        <v>154</v>
      </c>
      <c r="D60" s="26" t="s">
        <v>133</v>
      </c>
      <c r="E60" s="35">
        <v>229500</v>
      </c>
      <c r="F60" s="28">
        <v>3255.11</v>
      </c>
      <c r="G60" s="29">
        <v>0.66</v>
      </c>
      <c r="H60" s="30" t="s">
        <v>55</v>
      </c>
      <c r="J60" s="40"/>
      <c r="K60" s="40"/>
      <c r="L60" s="40"/>
      <c r="M60" s="36"/>
    </row>
    <row r="61" spans="2:13">
      <c r="B61" s="34" t="s">
        <v>155</v>
      </c>
      <c r="C61" s="26" t="s">
        <v>156</v>
      </c>
      <c r="D61" s="26" t="s">
        <v>157</v>
      </c>
      <c r="E61" s="35">
        <v>992455</v>
      </c>
      <c r="F61" s="28">
        <v>3219.03</v>
      </c>
      <c r="G61" s="29">
        <v>0.65</v>
      </c>
      <c r="H61" s="30" t="s">
        <v>55</v>
      </c>
      <c r="J61" s="40"/>
      <c r="K61" s="40"/>
      <c r="L61" s="40"/>
      <c r="M61" s="36"/>
    </row>
    <row r="62" spans="2:13">
      <c r="B62" s="34" t="s">
        <v>158</v>
      </c>
      <c r="C62" s="26" t="s">
        <v>159</v>
      </c>
      <c r="D62" s="26" t="s">
        <v>113</v>
      </c>
      <c r="E62" s="35">
        <v>78000</v>
      </c>
      <c r="F62" s="28">
        <v>3030.11</v>
      </c>
      <c r="G62" s="29">
        <v>0.62</v>
      </c>
      <c r="H62" s="30" t="s">
        <v>17</v>
      </c>
      <c r="J62" s="40"/>
      <c r="K62" s="40"/>
      <c r="L62" s="40"/>
      <c r="M62" s="36"/>
    </row>
    <row r="63" spans="2:13">
      <c r="B63" s="34" t="s">
        <v>160</v>
      </c>
      <c r="C63" s="26" t="s">
        <v>161</v>
      </c>
      <c r="D63" s="26" t="s">
        <v>162</v>
      </c>
      <c r="E63" s="35">
        <v>270000</v>
      </c>
      <c r="F63" s="28">
        <v>2972.97</v>
      </c>
      <c r="G63" s="29">
        <v>0.6</v>
      </c>
      <c r="H63" s="30" t="s">
        <v>17</v>
      </c>
      <c r="J63" s="40"/>
      <c r="K63" s="40"/>
      <c r="L63" s="40"/>
      <c r="M63" s="36"/>
    </row>
    <row r="64" spans="2:13">
      <c r="B64" s="34" t="s">
        <v>163</v>
      </c>
      <c r="C64" s="26" t="s">
        <v>164</v>
      </c>
      <c r="D64" s="26" t="s">
        <v>102</v>
      </c>
      <c r="E64" s="35">
        <v>480000</v>
      </c>
      <c r="F64" s="28">
        <v>2785.2</v>
      </c>
      <c r="G64" s="29">
        <v>0.56999999999999995</v>
      </c>
      <c r="H64" s="30" t="s">
        <v>55</v>
      </c>
      <c r="J64" s="40"/>
      <c r="K64" s="40"/>
      <c r="L64" s="40"/>
      <c r="M64" s="36"/>
    </row>
    <row r="65" spans="2:13">
      <c r="B65" s="34" t="s">
        <v>165</v>
      </c>
      <c r="C65" s="26" t="s">
        <v>166</v>
      </c>
      <c r="D65" s="26" t="s">
        <v>102</v>
      </c>
      <c r="E65" s="35">
        <v>173575</v>
      </c>
      <c r="F65" s="28">
        <v>2591.39</v>
      </c>
      <c r="G65" s="29">
        <v>0.53</v>
      </c>
      <c r="H65" s="30" t="s">
        <v>99</v>
      </c>
      <c r="J65" s="40"/>
      <c r="K65" s="40"/>
      <c r="L65" s="40"/>
      <c r="M65" s="36"/>
    </row>
    <row r="66" spans="2:13">
      <c r="B66" s="34" t="s">
        <v>167</v>
      </c>
      <c r="C66" s="26" t="s">
        <v>168</v>
      </c>
      <c r="D66" s="26" t="s">
        <v>169</v>
      </c>
      <c r="E66" s="35">
        <v>336302</v>
      </c>
      <c r="F66" s="28">
        <v>1545.64</v>
      </c>
      <c r="G66" s="29">
        <v>0.31</v>
      </c>
      <c r="H66" s="30" t="s">
        <v>55</v>
      </c>
      <c r="J66" s="40"/>
      <c r="K66" s="40"/>
      <c r="L66" s="40"/>
      <c r="M66" s="36"/>
    </row>
    <row r="67" spans="2:13">
      <c r="B67" s="34" t="s">
        <v>170</v>
      </c>
      <c r="C67" s="26" t="s">
        <v>171</v>
      </c>
      <c r="D67" s="26" t="s">
        <v>91</v>
      </c>
      <c r="E67" s="35">
        <v>43655</v>
      </c>
      <c r="F67" s="28">
        <v>1484.73</v>
      </c>
      <c r="G67" s="29">
        <v>0.3</v>
      </c>
      <c r="H67" s="30" t="s">
        <v>17</v>
      </c>
      <c r="J67" s="40"/>
      <c r="K67" s="40"/>
      <c r="L67" s="40"/>
      <c r="M67" s="36"/>
    </row>
    <row r="68" spans="2:13">
      <c r="B68" s="34" t="s">
        <v>172</v>
      </c>
      <c r="C68" s="26" t="s">
        <v>173</v>
      </c>
      <c r="D68" s="26" t="s">
        <v>133</v>
      </c>
      <c r="E68" s="35">
        <v>179624</v>
      </c>
      <c r="F68" s="28">
        <v>1469.77</v>
      </c>
      <c r="G68" s="29">
        <v>0.3</v>
      </c>
      <c r="H68" s="30" t="s">
        <v>55</v>
      </c>
      <c r="J68" s="40"/>
      <c r="K68" s="40"/>
      <c r="L68" s="40"/>
      <c r="M68" s="36"/>
    </row>
    <row r="69" spans="2:13">
      <c r="B69" s="34" t="s">
        <v>174</v>
      </c>
      <c r="C69" s="26" t="s">
        <v>175</v>
      </c>
      <c r="D69" s="26" t="s">
        <v>58</v>
      </c>
      <c r="E69" s="35">
        <v>107449</v>
      </c>
      <c r="F69" s="28">
        <v>1362.72</v>
      </c>
      <c r="G69" s="29">
        <v>0.28000000000000003</v>
      </c>
      <c r="H69" s="41" t="s">
        <v>55</v>
      </c>
      <c r="J69" s="40"/>
      <c r="K69" s="40"/>
      <c r="L69" s="40"/>
      <c r="M69" s="36"/>
    </row>
    <row r="70" spans="2:13">
      <c r="B70" s="42" t="s">
        <v>176</v>
      </c>
      <c r="C70" s="43"/>
      <c r="D70" s="43"/>
      <c r="E70" s="44"/>
      <c r="F70" s="45">
        <f>SUM(F7:F69)</f>
        <v>466906.39000000007</v>
      </c>
      <c r="G70" s="45">
        <f>SUM(G7:G69)</f>
        <v>94.860000000000014</v>
      </c>
      <c r="H70" s="45"/>
      <c r="I70" s="46"/>
      <c r="J70" s="40"/>
      <c r="K70" s="40"/>
      <c r="L70" s="40"/>
      <c r="M70" s="36"/>
    </row>
    <row r="71" spans="2:13">
      <c r="B71" s="47" t="s">
        <v>177</v>
      </c>
      <c r="C71" s="47"/>
      <c r="D71" s="47"/>
      <c r="E71" s="48"/>
      <c r="F71" s="49">
        <f>F70</f>
        <v>466906.39000000007</v>
      </c>
      <c r="G71" s="49">
        <f>G70</f>
        <v>94.860000000000014</v>
      </c>
      <c r="H71" s="49"/>
      <c r="I71" s="46"/>
      <c r="J71" s="40"/>
      <c r="K71" s="40"/>
      <c r="L71" s="40"/>
      <c r="M71" s="36"/>
    </row>
    <row r="72" spans="2:13">
      <c r="B72" s="50" t="s">
        <v>178</v>
      </c>
      <c r="C72" s="51"/>
      <c r="D72" s="51"/>
      <c r="E72" s="52"/>
      <c r="F72" s="53"/>
      <c r="G72" s="53"/>
      <c r="H72" s="53"/>
      <c r="J72" s="40"/>
      <c r="K72" s="40"/>
      <c r="L72" s="40"/>
      <c r="M72" s="36"/>
    </row>
    <row r="73" spans="2:13">
      <c r="B73" s="34" t="s">
        <v>178</v>
      </c>
      <c r="C73" s="34"/>
      <c r="D73" s="26"/>
      <c r="E73" s="27"/>
      <c r="F73" s="28">
        <v>26718.07</v>
      </c>
      <c r="G73" s="28">
        <v>5.43</v>
      </c>
      <c r="H73" s="28"/>
      <c r="J73" s="40"/>
      <c r="K73" s="40"/>
      <c r="L73" s="40"/>
      <c r="M73" s="36"/>
    </row>
    <row r="74" spans="2:13">
      <c r="B74" s="42" t="s">
        <v>176</v>
      </c>
      <c r="C74" s="43"/>
      <c r="D74" s="43"/>
      <c r="E74" s="44"/>
      <c r="F74" s="45">
        <f>SUM(F72:F73)</f>
        <v>26718.07</v>
      </c>
      <c r="G74" s="45">
        <f>SUM(G72:G73)</f>
        <v>5.43</v>
      </c>
      <c r="H74" s="45"/>
      <c r="I74" s="46"/>
      <c r="J74" s="40"/>
      <c r="K74" s="40"/>
      <c r="L74" s="40"/>
      <c r="M74" s="36"/>
    </row>
    <row r="75" spans="2:13">
      <c r="B75" s="54" t="s">
        <v>177</v>
      </c>
      <c r="C75" s="54"/>
      <c r="D75" s="54"/>
      <c r="E75" s="55"/>
      <c r="F75" s="56">
        <f>F74</f>
        <v>26718.07</v>
      </c>
      <c r="G75" s="56">
        <f>G74</f>
        <v>5.43</v>
      </c>
      <c r="H75" s="56"/>
      <c r="I75" s="46"/>
      <c r="J75" s="40"/>
      <c r="K75" s="40"/>
      <c r="L75" s="40"/>
      <c r="M75" s="36"/>
    </row>
    <row r="76" spans="2:13">
      <c r="B76" s="57" t="s">
        <v>179</v>
      </c>
      <c r="C76" s="57"/>
      <c r="D76" s="57"/>
      <c r="E76" s="58"/>
      <c r="F76" s="59">
        <f>F77-(+F71+F75)</f>
        <v>-1256.3900000000722</v>
      </c>
      <c r="G76" s="59">
        <f>G77-(+G71+G75)</f>
        <v>-0.29000000000002046</v>
      </c>
      <c r="H76" s="59"/>
      <c r="I76" s="46"/>
      <c r="J76" s="40"/>
      <c r="K76" s="40"/>
      <c r="L76" s="40"/>
      <c r="M76" s="36"/>
    </row>
    <row r="77" spans="2:13">
      <c r="B77" s="57" t="s">
        <v>180</v>
      </c>
      <c r="C77" s="57"/>
      <c r="D77" s="57"/>
      <c r="E77" s="58"/>
      <c r="F77" s="59">
        <v>492368.07</v>
      </c>
      <c r="G77" s="59">
        <v>100</v>
      </c>
      <c r="H77" s="59"/>
      <c r="I77" s="46"/>
      <c r="J77" s="40"/>
      <c r="K77" s="40"/>
      <c r="L77" s="40"/>
      <c r="M77" s="36"/>
    </row>
    <row r="78" spans="2:13" ht="12.75" thickBot="1">
      <c r="J78" s="36"/>
      <c r="K78" s="36"/>
    </row>
    <row r="79" spans="2:13" ht="13.5" thickTop="1" thickBot="1">
      <c r="B79" s="62" t="s">
        <v>181</v>
      </c>
      <c r="C79" s="63" t="s">
        <v>182</v>
      </c>
      <c r="J79" s="36"/>
      <c r="K79" s="36"/>
    </row>
    <row r="80" spans="2:13" ht="12.75" thickTop="1">
      <c r="J80" s="36"/>
      <c r="K80" s="36"/>
    </row>
    <row r="81" spans="10:11">
      <c r="J81" s="36"/>
      <c r="K81" s="36"/>
    </row>
    <row r="82" spans="10:11">
      <c r="J82" s="36"/>
      <c r="K82" s="36"/>
    </row>
    <row r="83" spans="10:11">
      <c r="J83" s="36"/>
      <c r="K83" s="36"/>
    </row>
    <row r="84" spans="10:11">
      <c r="J84" s="36"/>
      <c r="K84" s="36"/>
    </row>
    <row r="85" spans="10:11">
      <c r="J85" s="36"/>
      <c r="K85" s="36"/>
    </row>
    <row r="86" spans="10:11">
      <c r="J86" s="36"/>
      <c r="K86" s="36"/>
    </row>
    <row r="87" spans="10:11">
      <c r="J87" s="36"/>
      <c r="K87" s="36"/>
    </row>
    <row r="88" spans="10:11">
      <c r="J88" s="36"/>
      <c r="K88" s="36"/>
    </row>
    <row r="89" spans="10:11">
      <c r="J89" s="36"/>
      <c r="K89" s="36"/>
    </row>
    <row r="90" spans="10:11">
      <c r="J90" s="36"/>
      <c r="K90" s="36"/>
    </row>
    <row r="91" spans="10:11">
      <c r="J91" s="36"/>
      <c r="K91" s="36"/>
    </row>
    <row r="92" spans="10:11">
      <c r="J92" s="36"/>
      <c r="K92" s="36"/>
    </row>
    <row r="93" spans="10:11">
      <c r="J93" s="36"/>
      <c r="K93" s="36"/>
    </row>
    <row r="94" spans="10:11">
      <c r="J94" s="36"/>
      <c r="K94" s="36"/>
    </row>
    <row r="95" spans="10:11">
      <c r="J95" s="36"/>
      <c r="K95" s="36"/>
    </row>
    <row r="96" spans="10:11">
      <c r="J96" s="36"/>
      <c r="K96" s="36"/>
    </row>
    <row r="97" spans="10:11">
      <c r="J97" s="36"/>
      <c r="K97" s="36"/>
    </row>
    <row r="98" spans="10:11">
      <c r="J98" s="36"/>
      <c r="K98" s="36"/>
    </row>
    <row r="99" spans="10:11">
      <c r="J99" s="36"/>
      <c r="K99" s="36"/>
    </row>
    <row r="100" spans="10:11">
      <c r="J100" s="36"/>
      <c r="K100" s="36"/>
    </row>
    <row r="101" spans="10:11">
      <c r="J101" s="36"/>
      <c r="K101" s="36"/>
    </row>
    <row r="102" spans="10:11">
      <c r="J102" s="36"/>
      <c r="K102" s="36"/>
    </row>
    <row r="103" spans="10:11">
      <c r="J103" s="36"/>
      <c r="K103" s="36"/>
    </row>
    <row r="104" spans="10:11">
      <c r="J104" s="36"/>
      <c r="K104" s="36"/>
    </row>
    <row r="105" spans="10:11">
      <c r="J105" s="36"/>
      <c r="K105" s="36"/>
    </row>
    <row r="106" spans="10:11">
      <c r="J106" s="36"/>
      <c r="K106" s="36"/>
    </row>
    <row r="107" spans="10:11">
      <c r="J107" s="36"/>
      <c r="K107" s="36"/>
    </row>
    <row r="108" spans="10:11">
      <c r="J108" s="36"/>
      <c r="K108" s="36"/>
    </row>
    <row r="109" spans="10:11">
      <c r="J109" s="36"/>
      <c r="K109" s="36"/>
    </row>
    <row r="110" spans="10:11">
      <c r="J110" s="36"/>
      <c r="K110" s="36"/>
    </row>
    <row r="111" spans="10:11">
      <c r="J111" s="36"/>
      <c r="K111" s="36"/>
    </row>
    <row r="112" spans="10:11">
      <c r="J112" s="36"/>
      <c r="K112" s="36"/>
    </row>
    <row r="113" spans="10:11">
      <c r="J113" s="36"/>
      <c r="K113" s="36"/>
    </row>
    <row r="114" spans="10:11">
      <c r="J114" s="36"/>
      <c r="K114" s="36"/>
    </row>
    <row r="115" spans="10:11">
      <c r="J115" s="36"/>
      <c r="K115" s="36"/>
    </row>
    <row r="116" spans="10:11">
      <c r="J116" s="36"/>
      <c r="K116" s="36"/>
    </row>
    <row r="117" spans="10:11">
      <c r="J117" s="36"/>
      <c r="K117" s="36"/>
    </row>
    <row r="118" spans="10:11">
      <c r="J118" s="36"/>
      <c r="K118" s="36"/>
    </row>
    <row r="119" spans="10:11">
      <c r="J119" s="36"/>
      <c r="K119" s="36"/>
    </row>
    <row r="120" spans="10:11">
      <c r="J120" s="36"/>
      <c r="K120" s="36"/>
    </row>
    <row r="121" spans="10:11">
      <c r="J121" s="36"/>
      <c r="K121" s="36"/>
    </row>
    <row r="122" spans="10:11">
      <c r="J122" s="36"/>
      <c r="K122" s="36"/>
    </row>
    <row r="123" spans="10:11">
      <c r="J123" s="36"/>
      <c r="K123" s="36"/>
    </row>
    <row r="124" spans="10:11">
      <c r="J124" s="36"/>
      <c r="K124" s="36"/>
    </row>
    <row r="125" spans="10:11">
      <c r="J125" s="36"/>
      <c r="K125" s="36"/>
    </row>
    <row r="126" spans="10:11">
      <c r="J126" s="36"/>
      <c r="K126" s="36"/>
    </row>
    <row r="127" spans="10:11">
      <c r="J127" s="36"/>
      <c r="K127" s="36"/>
    </row>
    <row r="128" spans="10:11">
      <c r="J128" s="36"/>
      <c r="K128" s="36"/>
    </row>
    <row r="129" spans="10:11">
      <c r="J129" s="36"/>
      <c r="K129" s="36"/>
    </row>
    <row r="130" spans="10:11">
      <c r="J130" s="36"/>
      <c r="K130" s="36"/>
    </row>
    <row r="131" spans="10:11">
      <c r="J131" s="36"/>
      <c r="K131" s="36"/>
    </row>
    <row r="132" spans="10:11">
      <c r="J132" s="36"/>
      <c r="K132" s="36"/>
    </row>
    <row r="133" spans="10:11">
      <c r="J133" s="36"/>
      <c r="K133" s="36"/>
    </row>
    <row r="134" spans="10:11">
      <c r="J134" s="36"/>
      <c r="K134" s="36"/>
    </row>
    <row r="135" spans="10:11">
      <c r="J135" s="36"/>
      <c r="K135" s="36"/>
    </row>
    <row r="136" spans="10:11">
      <c r="J136" s="36"/>
      <c r="K136" s="36"/>
    </row>
    <row r="137" spans="10:11">
      <c r="J137" s="36"/>
      <c r="K137" s="36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17:43:01</KDate>
  <Classification>Public</Classification>
  <Subclassification/>
  <HostName>MUMCMP00935</HostName>
  <Domain_User>CANARAROBECOMF/628</Domain_User>
  <IPAdd>192.9.198.194</IPAdd>
  <FilePath>Book3</FilePath>
  <KID>C025A5607E97638162269810076852</KID>
  <UniqueName/>
  <Suggested/>
  <Justification/>
</Klassify>
</file>

<file path=customXml/itemProps1.xml><?xml version="1.0" encoding="utf-8"?>
<ds:datastoreItem xmlns:ds="http://schemas.openxmlformats.org/officeDocument/2006/customXml" ds:itemID="{562377FE-8105-4F2B-B3FC-85CF7CBA4D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2023-04-04T12:12:56Z</dcterms:created>
  <dcterms:modified xsi:type="dcterms:W3CDTF">2023-04-04T12:13:01Z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C025A5607E97638162269810076852</vt:lpwstr>
  </property>
</Properties>
</file>