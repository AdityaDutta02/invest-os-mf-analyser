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Oct 21\"/>
    </mc:Choice>
  </mc:AlternateContent>
  <bookViews>
    <workbookView xWindow="0" yWindow="0" windowWidth="20490" windowHeight="7350"/>
  </bookViews>
  <sheets>
    <sheet name="FR" sheetId="1" r:id="rId1"/>
  </sheets>
  <calcPr calcId="162913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9" i="1" l="1"/>
  <c r="G60" i="1" s="1"/>
  <c r="F59" i="1"/>
  <c r="F60" i="1" s="1"/>
  <c r="G56" i="1"/>
  <c r="F56" i="1"/>
  <c r="G47" i="1"/>
  <c r="F47" i="1"/>
  <c r="G41" i="1"/>
  <c r="G48" i="1" s="1"/>
  <c r="F41" i="1"/>
  <c r="F48" i="1" s="1"/>
  <c r="G36" i="1"/>
  <c r="F36" i="1"/>
  <c r="G30" i="1"/>
  <c r="G61" i="1" s="1"/>
  <c r="F30" i="1"/>
  <c r="F61" i="1" s="1"/>
  <c r="G29" i="1"/>
  <c r="F29" i="1"/>
</calcChain>
</file>

<file path=xl/sharedStrings.xml><?xml version="1.0" encoding="utf-8"?>
<sst xmlns="http://schemas.openxmlformats.org/spreadsheetml/2006/main" count="149" uniqueCount="111">
  <si>
    <t>CANARA ROBECO SAVINGS FUND</t>
  </si>
  <si>
    <t>Monthly Portfolio Statement as on October 31, 2021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</si>
  <si>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</si>
  <si>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</si>
  <si>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</si>
  <si>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</si>
  <si>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</si>
  <si>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</si>
  <si>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</si>
  <si>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Risk-o-meter Level- Sep'21</t>
  </si>
  <si>
    <t>Revised Risk-o-meter Level- Oct'21</t>
  </si>
  <si>
    <t>Benchmark Risk-o-meter Level- Oct'21</t>
  </si>
  <si>
    <t>Debt Instruments</t>
  </si>
  <si>
    <t>(a) Listed / awaiting listing on Stock Exchanges</t>
  </si>
  <si>
    <t>7.00% Reliance Industries Ltd (31/08/2022) **</t>
  </si>
  <si>
    <t>INE002A08476</t>
  </si>
  <si>
    <t>CRISIL AAA</t>
  </si>
  <si>
    <t>7.45% REC Ltd (30/11/2022) **</t>
  </si>
  <si>
    <t>INE020B08AP1</t>
  </si>
  <si>
    <t>7.35% Power Finance Corporation Ltd (15/10/2022) **</t>
  </si>
  <si>
    <t>INE134E08KG2</t>
  </si>
  <si>
    <t>7.18% National Bank For Agriculture &amp; Rural Development (08/08/2022) **</t>
  </si>
  <si>
    <t>INE261F08BN5</t>
  </si>
  <si>
    <t>7.10% Power Finance Corporation Ltd (08/08/2022) **</t>
  </si>
  <si>
    <t>INE134E08JD1</t>
  </si>
  <si>
    <t>8.18% Power Finance Corporation Ltd (19/03/2022) **</t>
  </si>
  <si>
    <t>INE134E08JW1</t>
  </si>
  <si>
    <t>7.00% Larsen &amp; Toubro Ltd (25/04/2022) **</t>
  </si>
  <si>
    <t>INE018A08AX1</t>
  </si>
  <si>
    <t>Benchmark: CRISIL Low Duration Debt Index</t>
  </si>
  <si>
    <t>6.60% REC Ltd (21/03/2022) **</t>
  </si>
  <si>
    <t>INE020B08CV5</t>
  </si>
  <si>
    <t>6.32% REC Ltd (31/12/2021) **</t>
  </si>
  <si>
    <t>INE020B08CL6</t>
  </si>
  <si>
    <t>4.95% Housing Development Finance Corporation Ltd (09/09/2022) **</t>
  </si>
  <si>
    <t>INE001A07SQ5</t>
  </si>
  <si>
    <t>6.22% Housing Development Finance Corporation Ltd (10/12/2021) **</t>
  </si>
  <si>
    <t>INE001A07SN2</t>
  </si>
  <si>
    <t>7.17% Reliance Industries Ltd (08/11/2022) **</t>
  </si>
  <si>
    <t>INE002A08500</t>
  </si>
  <si>
    <t>7.87% Housing Development Finance Corporation Ltd (18/07/2022) **</t>
  </si>
  <si>
    <t>INE001A07RW5</t>
  </si>
  <si>
    <t>4.58% Small Industries Development Bank Of India (18/12/2023) **</t>
  </si>
  <si>
    <t>INE556F08JR2</t>
  </si>
  <si>
    <t>ICRA AAA</t>
  </si>
  <si>
    <t>7.49% Power Grid Corporation of India Ltd (25/10/2024) **</t>
  </si>
  <si>
    <t>INE752E08593</t>
  </si>
  <si>
    <t>6.75% Power Finance Corporation Ltd (22/05/2023) **</t>
  </si>
  <si>
    <t>INE134E08KS7</t>
  </si>
  <si>
    <t>8.02% Larsen &amp; Toubro Ltd (22/05/2022) **</t>
  </si>
  <si>
    <t>INE018A08AS1</t>
  </si>
  <si>
    <t>7.24% REC Ltd (31/12/2022) **</t>
  </si>
  <si>
    <t>INE020B08CG6</t>
  </si>
  <si>
    <t>6.98% National Bank For Agriculture &amp; Rural Development (19/09/2022) **</t>
  </si>
  <si>
    <t>INE261F08BO3</t>
  </si>
  <si>
    <t>6.99% Small Industries Development Bank Of India (08/08/2022) **</t>
  </si>
  <si>
    <t>INE556F08JN1</t>
  </si>
  <si>
    <t>CARE AAA</t>
  </si>
  <si>
    <t>8.13% Power Grid Corporation of India Ltd (25/04/2022) **</t>
  </si>
  <si>
    <t>INE752E07NO1</t>
  </si>
  <si>
    <t>8.44% REC Ltd (04/12/2021) **</t>
  </si>
  <si>
    <t>INE020B08872</t>
  </si>
  <si>
    <t>Sub Total</t>
  </si>
  <si>
    <t>Total</t>
  </si>
  <si>
    <t>Money Market Instruments</t>
  </si>
  <si>
    <t>Certificate of Deposit</t>
  </si>
  <si>
    <t>Small Industries Development Bank of India (18/03/2022) ** #</t>
  </si>
  <si>
    <t>INE556F16853</t>
  </si>
  <si>
    <t>CARE A1+</t>
  </si>
  <si>
    <t>Axis Bank Ltd (28/04/2022) ** #</t>
  </si>
  <si>
    <t>INE238A167W7</t>
  </si>
  <si>
    <t>CRISIL A1+</t>
  </si>
  <si>
    <t>Small Industries Development Bank of India (02/06/2022) ** #</t>
  </si>
  <si>
    <t>INE556F16879</t>
  </si>
  <si>
    <t>Commercial Paper</t>
  </si>
  <si>
    <t xml:space="preserve">LIC Housing Finance Ltd (14/12/2021) ** </t>
  </si>
  <si>
    <t>INE115A14CU5</t>
  </si>
  <si>
    <t xml:space="preserve">National Bank For Agriculture &amp; Rural Development (25/01/2022) ** </t>
  </si>
  <si>
    <t>INE261F14II8</t>
  </si>
  <si>
    <t>ICRA A1+</t>
  </si>
  <si>
    <t xml:space="preserve">LIC Housing Finance Ltd (07/07/2022) ** </t>
  </si>
  <si>
    <t>INE115A14DE7</t>
  </si>
  <si>
    <t>Treasury Bill</t>
  </si>
  <si>
    <t>182 DAYS INDIA TREASURY BILLS 16-DEC-21</t>
  </si>
  <si>
    <t>IN002021Y114</t>
  </si>
  <si>
    <t xml:space="preserve"> Sovereign</t>
  </si>
  <si>
    <t>364 DAYS INDIA TREASURY BILLS 05-MAY-22</t>
  </si>
  <si>
    <t>IN002021Z053</t>
  </si>
  <si>
    <t>91 DAYS INDIA TREASURY BILLS 20-JAN-22</t>
  </si>
  <si>
    <t>IN002021X322</t>
  </si>
  <si>
    <t>182 DAYS INDIA TREASURY BILLS 23-DEC-21</t>
  </si>
  <si>
    <t>IN002021Y122</t>
  </si>
  <si>
    <t>Government Bonds</t>
  </si>
  <si>
    <t>6.84% GOI (19/12/2022)</t>
  </si>
  <si>
    <t>IN0020160050</t>
  </si>
  <si>
    <t>Sovereign</t>
  </si>
  <si>
    <t>8.08% GOI (02/08/2022)</t>
  </si>
  <si>
    <t>IN0020070028</t>
  </si>
  <si>
    <t>8.79% GOI (08/11/2021)</t>
  </si>
  <si>
    <t>IN0020110030</t>
  </si>
  <si>
    <t>3.96% GOI (09/11/2022)</t>
  </si>
  <si>
    <t>IN0020200260</t>
  </si>
  <si>
    <t>8.35% GOI (14/05/2022)</t>
  </si>
  <si>
    <t>IN0020020072</t>
  </si>
  <si>
    <t>9.23% GUJARAT SDL 23-NOV-21</t>
  </si>
  <si>
    <t>IN1520110090</t>
  </si>
  <si>
    <t>TREPS</t>
  </si>
  <si>
    <t>Net Receivables / (Payables)</t>
  </si>
  <si>
    <t>Grand Total</t>
  </si>
  <si>
    <t>**  Non Traded Security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</si>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</sst>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0" xfId="0" applyNumberFormat="1" applyFont="1" applyFill="1" applyAlignment="1">
      <alignment horizontal="left" vertical="top" wrapText="1"/>
    </xf>
    <xf numFmtId="4" fontId="5" fillId="3" borderId="0" xfId="0" applyNumberFormat="1" applyFont="1" applyFill="1" applyAlignment="1">
      <alignment horizontal="left" vertical="top" wrapText="1"/>
    </xf>
    <xf numFmtId="4" fontId="2" fillId="3" borderId="0" xfId="0" applyNumberFormat="1" applyFont="1" applyFill="1"/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NumberFormat="1" applyFont="1" applyFill="1" applyBorder="1" applyAlignment="1">
      <alignment horizontal="center" vertical="center" wrapText="1"/>
    </xf>
    <xf numFmtId="4" fontId="6" fillId="3" borderId="3" xfId="0" applyNumberFormat="1" applyFont="1" applyFill="1" applyBorder="1" applyAlignment="1">
      <alignment horizontal="center" vertical="center" wrapText="1"/>
    </xf>
    <xf numFmtId="4" fontId="6" fillId="3" borderId="4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3" borderId="6" xfId="0" applyFont="1" applyFill="1" applyBorder="1"/>
    <xf numFmtId="0" fontId="2" fillId="3" borderId="6" xfId="0" applyFont="1" applyFill="1" applyBorder="1"/>
    <xf numFmtId="0" fontId="2" fillId="3" borderId="6" xfId="0" applyNumberFormat="1" applyFont="1" applyFill="1" applyBorder="1"/>
    <xf numFmtId="4" fontId="2" fillId="3" borderId="6" xfId="0" applyNumberFormat="1" applyFont="1" applyFill="1" applyBorder="1"/>
    <xf numFmtId="0" fontId="2" fillId="3" borderId="7" xfId="0" applyFont="1" applyFill="1" applyBorder="1" applyAlignment="1">
      <alignment horizontal="center"/>
    </xf>
    <xf numFmtId="0" fontId="8" fillId="3" borderId="8" xfId="0" applyFont="1" applyFill="1" applyBorder="1"/>
    <xf numFmtId="0" fontId="2" fillId="3" borderId="8" xfId="0" applyFont="1" applyFill="1" applyBorder="1"/>
    <xf numFmtId="0" fontId="2" fillId="3" borderId="8" xfId="0" applyNumberFormat="1" applyFont="1" applyFill="1" applyBorder="1"/>
    <xf numFmtId="4" fontId="2" fillId="3" borderId="8" xfId="0" applyNumberFormat="1" applyFont="1" applyFill="1" applyBorder="1"/>
    <xf numFmtId="0" fontId="2" fillId="3" borderId="9" xfId="0" applyFont="1" applyFill="1" applyBorder="1" applyAlignment="1">
      <alignment horizontal="center"/>
    </xf>
    <xf numFmtId="3" fontId="2" fillId="3" borderId="8" xfId="0" applyNumberFormat="1" applyFont="1" applyFill="1" applyBorder="1"/>
    <xf numFmtId="0" fontId="2" fillId="3" borderId="10" xfId="0" applyFont="1" applyFill="1" applyBorder="1" applyAlignment="1">
      <alignment horizontal="center"/>
    </xf>
    <xf numFmtId="0" fontId="8" fillId="3" borderId="11" xfId="0" applyFont="1" applyFill="1" applyBorder="1"/>
    <xf numFmtId="0" fontId="8" fillId="3" borderId="11" xfId="0" applyNumberFormat="1" applyFont="1" applyFill="1" applyBorder="1"/>
    <xf numFmtId="4" fontId="8" fillId="3" borderId="12" xfId="0" applyNumberFormat="1" applyFont="1" applyFill="1" applyBorder="1"/>
    <xf numFmtId="4" fontId="8" fillId="3" borderId="11" xfId="0" applyNumberFormat="1" applyFont="1" applyFill="1" applyBorder="1"/>
    <xf numFmtId="0" fontId="8" fillId="3" borderId="13" xfId="0" applyFont="1" applyFill="1" applyBorder="1"/>
    <xf numFmtId="0" fontId="8" fillId="3" borderId="13" xfId="0" applyNumberFormat="1" applyFont="1" applyFill="1" applyBorder="1"/>
    <xf numFmtId="4" fontId="8" fillId="3" borderId="13" xfId="0" applyNumberFormat="1" applyFont="1" applyFill="1" applyBorder="1"/>
    <xf numFmtId="0" fontId="8" fillId="3" borderId="8" xfId="0" applyNumberFormat="1" applyFont="1" applyFill="1" applyBorder="1"/>
    <xf numFmtId="4" fontId="8" fillId="3" borderId="14" xfId="0" applyNumberFormat="1" applyFont="1" applyFill="1" applyBorder="1"/>
    <xf numFmtId="4" fontId="8" fillId="3" borderId="8" xfId="0" applyNumberFormat="1" applyFont="1" applyFill="1" applyBorder="1"/>
    <xf numFmtId="0" fontId="2" fillId="3" borderId="15" xfId="0" applyFont="1" applyFill="1" applyBorder="1"/>
    <xf numFmtId="3" fontId="2" fillId="3" borderId="15" xfId="0" applyNumberFormat="1" applyFont="1" applyFill="1" applyBorder="1"/>
    <xf numFmtId="4" fontId="2" fillId="3" borderId="15" xfId="0" applyNumberFormat="1" applyFont="1" applyFill="1" applyBorder="1"/>
    <xf numFmtId="0" fontId="8" fillId="3" borderId="14" xfId="0" applyFont="1" applyFill="1" applyBorder="1"/>
    <xf numFmtId="0" fontId="8" fillId="3" borderId="14" xfId="0" applyNumberFormat="1" applyFont="1" applyFill="1" applyBorder="1"/>
    <xf numFmtId="0" fontId="8" fillId="3" borderId="16" xfId="0" applyFont="1" applyFill="1" applyBorder="1"/>
    <xf numFmtId="0" fontId="8" fillId="3" borderId="16" xfId="0" applyNumberFormat="1" applyFont="1" applyFill="1" applyBorder="1"/>
    <xf numFmtId="4" fontId="8" fillId="3" borderId="16" xfId="0" applyNumberFormat="1" applyFont="1" applyFill="1" applyBorder="1"/>
    <xf numFmtId="0" fontId="8" fillId="3" borderId="5" xfId="0" applyFont="1" applyFill="1" applyBorder="1"/>
    <xf numFmtId="0" fontId="8" fillId="3" borderId="5" xfId="0" applyNumberFormat="1" applyFont="1" applyFill="1" applyBorder="1"/>
    <xf numFmtId="4" fontId="8" fillId="3" borderId="5" xfId="0" applyNumberFormat="1" applyFont="1" applyFill="1" applyBorder="1"/>
    <xf numFmtId="0" fontId="8" fillId="3" borderId="0" xfId="0" applyFont="1" applyFill="1"/>
    <xf numFmtId="0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38100</xdr:colOff>
      <xdr:row>4</xdr:row>
      <xdr:rowOff>28575</xdr:rowOff>
    </xdr:from>
    <xdr:to>
      <xdr:col>9</xdr:col>
      <xdr:colOff>1647825</xdr:colOff>
      <xdr:row>11</xdr:row>
      <xdr:rowOff>123825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1038225"/>
          <a:ext cx="1609725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38100</xdr:colOff>
      <xdr:row>4</xdr:row>
      <xdr:rowOff>38100</xdr:rowOff>
    </xdr:from>
    <xdr:to>
      <xdr:col>10</xdr:col>
      <xdr:colOff>1647825</xdr:colOff>
      <xdr:row>11</xdr:row>
      <xdr:rowOff>133350</xdr:rowOff>
    </xdr:to>
    <xdr:pic>
      <xdr:nvPicPr>
        <xdr:cNvPr id="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9525" y="1047750"/>
          <a:ext cx="1609725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28575</xdr:colOff>
      <xdr:row>4</xdr:row>
      <xdr:rowOff>38100</xdr:rowOff>
    </xdr:from>
    <xdr:to>
      <xdr:col>11</xdr:col>
      <xdr:colOff>1647825</xdr:colOff>
      <xdr:row>11</xdr:row>
      <xdr:rowOff>133350</xdr:rowOff>
    </xdr:to>
    <xdr:pic>
      <xdr:nvPicPr>
        <xdr:cNvPr id="4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34975" y="1047750"/>
          <a:ext cx="161925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5"/>
  <sheetViews>
    <sheetView tabSelected="1" workbookViewId="0">
      <selection activeCell="A4" sqref="A4"/>
    </sheetView>
  </sheetViews>
  <sheetFormatPr defaultRowHeight="12"/>
  <cols>
    <col min="1" max="1" width="9.140625" style="3"/>
    <col min="2" max="2" width="60.28515625" style="3" bestFit="1" customWidth="1"/>
    <col min="3" max="3" width="13.85546875" style="3" bestFit="1" customWidth="1"/>
    <col min="4" max="4" width="14.140625" style="3" bestFit="1" customWidth="1"/>
    <col min="5" max="5" width="9.85546875" style="50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0" width="25.28515625" style="3" customWidth="1"/>
    <col min="11" max="12" width="25.5703125" style="3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  <c r="H1" s="2"/>
    </row>
    <row r="3" spans="2:12" ht="16.5" thickBot="1">
      <c r="B3" s="4" t="s">
        <v>1</v>
      </c>
      <c r="C3" s="5"/>
      <c r="D3" s="6"/>
      <c r="E3" s="7"/>
      <c r="F3" s="8"/>
      <c r="G3" s="8"/>
    </row>
    <row r="4" spans="2:12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</row>
    <row r="5" spans="2:12">
      <c r="B5" s="16" t="s">
        <v>12</v>
      </c>
      <c r="C5" s="17"/>
      <c r="D5" s="17"/>
      <c r="E5" s="18"/>
      <c r="F5" s="19"/>
      <c r="G5" s="19"/>
      <c r="H5" s="19"/>
      <c r="J5" s="20"/>
      <c r="K5" s="20"/>
      <c r="L5" s="20"/>
    </row>
    <row r="6" spans="2:12">
      <c r="B6" s="21" t="s">
        <v>13</v>
      </c>
      <c r="C6" s="22"/>
      <c r="D6" s="22"/>
      <c r="E6" s="23"/>
      <c r="F6" s="24"/>
      <c r="G6" s="24"/>
      <c r="H6" s="24"/>
      <c r="J6" s="25"/>
      <c r="K6" s="25"/>
      <c r="L6" s="25"/>
    </row>
    <row r="7" spans="2:12">
      <c r="B7" s="22" t="s">
        <v>14</v>
      </c>
      <c r="C7" s="22" t="s">
        <v>15</v>
      </c>
      <c r="D7" s="22" t="s">
        <v>16</v>
      </c>
      <c r="E7" s="26">
        <v>500</v>
      </c>
      <c r="F7" s="24">
        <v>5100.99</v>
      </c>
      <c r="G7" s="24">
        <v>3.96</v>
      </c>
      <c r="H7" s="24">
        <v>4.43</v>
      </c>
      <c r="J7" s="25"/>
      <c r="K7" s="25"/>
      <c r="L7" s="25"/>
    </row>
    <row r="8" spans="2:12">
      <c r="B8" s="22" t="s">
        <v>17</v>
      </c>
      <c r="C8" s="22" t="s">
        <v>18</v>
      </c>
      <c r="D8" s="22" t="s">
        <v>16</v>
      </c>
      <c r="E8" s="26">
        <v>300</v>
      </c>
      <c r="F8" s="24">
        <v>3088.78</v>
      </c>
      <c r="G8" s="24">
        <v>2.4</v>
      </c>
      <c r="H8" s="24">
        <v>4.57</v>
      </c>
      <c r="J8" s="25"/>
      <c r="K8" s="25"/>
      <c r="L8" s="25"/>
    </row>
    <row r="9" spans="2:12">
      <c r="B9" s="22" t="s">
        <v>19</v>
      </c>
      <c r="C9" s="22" t="s">
        <v>20</v>
      </c>
      <c r="D9" s="22" t="s">
        <v>16</v>
      </c>
      <c r="E9" s="26">
        <v>300</v>
      </c>
      <c r="F9" s="24">
        <v>3080</v>
      </c>
      <c r="G9" s="24">
        <v>2.39</v>
      </c>
      <c r="H9" s="24">
        <v>4.43</v>
      </c>
      <c r="J9" s="25"/>
      <c r="K9" s="25"/>
      <c r="L9" s="25"/>
    </row>
    <row r="10" spans="2:12">
      <c r="B10" s="22" t="s">
        <v>21</v>
      </c>
      <c r="C10" s="22" t="s">
        <v>22</v>
      </c>
      <c r="D10" s="22" t="s">
        <v>16</v>
      </c>
      <c r="E10" s="26">
        <v>250</v>
      </c>
      <c r="F10" s="24">
        <v>2551.46</v>
      </c>
      <c r="G10" s="24">
        <v>1.98</v>
      </c>
      <c r="H10" s="24">
        <v>4.34</v>
      </c>
      <c r="J10" s="25"/>
      <c r="K10" s="25"/>
      <c r="L10" s="25"/>
    </row>
    <row r="11" spans="2:12">
      <c r="B11" s="22" t="s">
        <v>23</v>
      </c>
      <c r="C11" s="22" t="s">
        <v>24</v>
      </c>
      <c r="D11" s="22" t="s">
        <v>16</v>
      </c>
      <c r="E11" s="26">
        <v>250</v>
      </c>
      <c r="F11" s="24">
        <v>2549.3200000000002</v>
      </c>
      <c r="G11" s="24">
        <v>1.98</v>
      </c>
      <c r="H11" s="24">
        <v>4.38</v>
      </c>
      <c r="J11" s="25"/>
      <c r="K11" s="25"/>
      <c r="L11" s="25"/>
    </row>
    <row r="12" spans="2:12">
      <c r="B12" s="22" t="s">
        <v>25</v>
      </c>
      <c r="C12" s="22" t="s">
        <v>26</v>
      </c>
      <c r="D12" s="22" t="s">
        <v>16</v>
      </c>
      <c r="E12" s="26">
        <v>250</v>
      </c>
      <c r="F12" s="24">
        <v>2537.8200000000002</v>
      </c>
      <c r="G12" s="24">
        <v>1.97</v>
      </c>
      <c r="H12" s="24">
        <v>3.95</v>
      </c>
      <c r="J12" s="27"/>
      <c r="K12" s="27"/>
      <c r="L12" s="27"/>
    </row>
    <row r="13" spans="2:12">
      <c r="B13" s="22" t="s">
        <v>27</v>
      </c>
      <c r="C13" s="22" t="s">
        <v>28</v>
      </c>
      <c r="D13" s="22" t="s">
        <v>16</v>
      </c>
      <c r="E13" s="26">
        <v>250</v>
      </c>
      <c r="F13" s="24">
        <v>2532.13</v>
      </c>
      <c r="G13" s="24">
        <v>1.97</v>
      </c>
      <c r="H13" s="24">
        <v>4.13</v>
      </c>
      <c r="L13" s="3" t="s">
        <v>29</v>
      </c>
    </row>
    <row r="14" spans="2:12">
      <c r="B14" s="22" t="s">
        <v>30</v>
      </c>
      <c r="C14" s="22" t="s">
        <v>31</v>
      </c>
      <c r="D14" s="22" t="s">
        <v>16</v>
      </c>
      <c r="E14" s="26">
        <v>250</v>
      </c>
      <c r="F14" s="24">
        <v>2523.81</v>
      </c>
      <c r="G14" s="24">
        <v>1.96</v>
      </c>
      <c r="H14" s="24">
        <v>3.94</v>
      </c>
    </row>
    <row r="15" spans="2:12">
      <c r="B15" s="22" t="s">
        <v>32</v>
      </c>
      <c r="C15" s="22" t="s">
        <v>33</v>
      </c>
      <c r="D15" s="22" t="s">
        <v>16</v>
      </c>
      <c r="E15" s="26">
        <v>250</v>
      </c>
      <c r="F15" s="24">
        <v>2510.64</v>
      </c>
      <c r="G15" s="24">
        <v>1.95</v>
      </c>
      <c r="H15" s="24">
        <v>3.61</v>
      </c>
    </row>
    <row r="16" spans="2:12">
      <c r="B16" s="22" t="s">
        <v>34</v>
      </c>
      <c r="C16" s="22" t="s">
        <v>35</v>
      </c>
      <c r="D16" s="22" t="s">
        <v>16</v>
      </c>
      <c r="E16" s="26">
        <v>250</v>
      </c>
      <c r="F16" s="24">
        <v>2506.52</v>
      </c>
      <c r="G16" s="24">
        <v>1.95</v>
      </c>
      <c r="H16" s="24">
        <v>4.5999999999999996</v>
      </c>
    </row>
    <row r="17" spans="2:8">
      <c r="B17" s="22" t="s">
        <v>36</v>
      </c>
      <c r="C17" s="22" t="s">
        <v>37</v>
      </c>
      <c r="D17" s="22" t="s">
        <v>16</v>
      </c>
      <c r="E17" s="26">
        <v>250</v>
      </c>
      <c r="F17" s="24">
        <v>2505.9499999999998</v>
      </c>
      <c r="G17" s="24">
        <v>1.95</v>
      </c>
      <c r="H17" s="24">
        <v>3.83</v>
      </c>
    </row>
    <row r="18" spans="2:8">
      <c r="B18" s="22" t="s">
        <v>38</v>
      </c>
      <c r="C18" s="22" t="s">
        <v>39</v>
      </c>
      <c r="D18" s="22" t="s">
        <v>16</v>
      </c>
      <c r="E18" s="26">
        <v>200</v>
      </c>
      <c r="F18" s="24">
        <v>2051</v>
      </c>
      <c r="G18" s="24">
        <v>1.59</v>
      </c>
      <c r="H18" s="24">
        <v>4.55</v>
      </c>
    </row>
    <row r="19" spans="2:8">
      <c r="B19" s="22" t="s">
        <v>40</v>
      </c>
      <c r="C19" s="22" t="s">
        <v>41</v>
      </c>
      <c r="D19" s="22" t="s">
        <v>16</v>
      </c>
      <c r="E19" s="26">
        <v>150</v>
      </c>
      <c r="F19" s="24">
        <v>1532.62</v>
      </c>
      <c r="G19" s="24">
        <v>1.19</v>
      </c>
      <c r="H19" s="24">
        <v>4.6100000000000003</v>
      </c>
    </row>
    <row r="20" spans="2:8">
      <c r="B20" s="22" t="s">
        <v>42</v>
      </c>
      <c r="C20" s="22" t="s">
        <v>43</v>
      </c>
      <c r="D20" s="22" t="s">
        <v>44</v>
      </c>
      <c r="E20" s="26">
        <v>150</v>
      </c>
      <c r="F20" s="24">
        <v>1490.51</v>
      </c>
      <c r="G20" s="24">
        <v>1.1599999999999999</v>
      </c>
      <c r="H20" s="24">
        <v>4.8899999999999997</v>
      </c>
    </row>
    <row r="21" spans="2:8">
      <c r="B21" s="22" t="s">
        <v>45</v>
      </c>
      <c r="C21" s="22" t="s">
        <v>46</v>
      </c>
      <c r="D21" s="22" t="s">
        <v>16</v>
      </c>
      <c r="E21" s="26">
        <v>400</v>
      </c>
      <c r="F21" s="24">
        <v>1270.7</v>
      </c>
      <c r="G21" s="24">
        <v>0.99</v>
      </c>
      <c r="H21" s="24">
        <v>5.3</v>
      </c>
    </row>
    <row r="22" spans="2:8">
      <c r="B22" s="22" t="s">
        <v>47</v>
      </c>
      <c r="C22" s="22" t="s">
        <v>48</v>
      </c>
      <c r="D22" s="22" t="s">
        <v>16</v>
      </c>
      <c r="E22" s="26">
        <v>100</v>
      </c>
      <c r="F22" s="24">
        <v>1027.17</v>
      </c>
      <c r="G22" s="24">
        <v>0.8</v>
      </c>
      <c r="H22" s="24">
        <v>4.87</v>
      </c>
    </row>
    <row r="23" spans="2:8">
      <c r="B23" s="22" t="s">
        <v>49</v>
      </c>
      <c r="C23" s="22" t="s">
        <v>50</v>
      </c>
      <c r="D23" s="22" t="s">
        <v>16</v>
      </c>
      <c r="E23" s="26">
        <v>100</v>
      </c>
      <c r="F23" s="24">
        <v>1020.13</v>
      </c>
      <c r="G23" s="24">
        <v>0.79</v>
      </c>
      <c r="H23" s="24">
        <v>4.17</v>
      </c>
    </row>
    <row r="24" spans="2:8">
      <c r="B24" s="22" t="s">
        <v>51</v>
      </c>
      <c r="C24" s="22" t="s">
        <v>52</v>
      </c>
      <c r="D24" s="22" t="s">
        <v>16</v>
      </c>
      <c r="E24" s="26">
        <v>50</v>
      </c>
      <c r="F24" s="24">
        <v>514.55999999999995</v>
      </c>
      <c r="G24" s="24">
        <v>0.4</v>
      </c>
      <c r="H24" s="24">
        <v>4.5999999999999996</v>
      </c>
    </row>
    <row r="25" spans="2:8">
      <c r="B25" s="22" t="s">
        <v>53</v>
      </c>
      <c r="C25" s="22" t="s">
        <v>54</v>
      </c>
      <c r="D25" s="22" t="s">
        <v>16</v>
      </c>
      <c r="E25" s="26">
        <v>50</v>
      </c>
      <c r="F25" s="24">
        <v>511.09</v>
      </c>
      <c r="G25" s="24">
        <v>0.4</v>
      </c>
      <c r="H25" s="24">
        <v>4.34</v>
      </c>
    </row>
    <row r="26" spans="2:8">
      <c r="B26" s="22" t="s">
        <v>55</v>
      </c>
      <c r="C26" s="22" t="s">
        <v>56</v>
      </c>
      <c r="D26" s="22" t="s">
        <v>57</v>
      </c>
      <c r="E26" s="26">
        <v>50</v>
      </c>
      <c r="F26" s="24">
        <v>509.63</v>
      </c>
      <c r="G26" s="24">
        <v>0.4</v>
      </c>
      <c r="H26" s="24">
        <v>4.33</v>
      </c>
    </row>
    <row r="27" spans="2:8">
      <c r="B27" s="22" t="s">
        <v>58</v>
      </c>
      <c r="C27" s="22" t="s">
        <v>59</v>
      </c>
      <c r="D27" s="22" t="s">
        <v>16</v>
      </c>
      <c r="E27" s="26">
        <v>50</v>
      </c>
      <c r="F27" s="24">
        <v>509.07</v>
      </c>
      <c r="G27" s="24">
        <v>0.4</v>
      </c>
      <c r="H27" s="24">
        <v>4.12</v>
      </c>
    </row>
    <row r="28" spans="2:8">
      <c r="B28" s="22" t="s">
        <v>60</v>
      </c>
      <c r="C28" s="22" t="s">
        <v>61</v>
      </c>
      <c r="D28" s="22" t="s">
        <v>16</v>
      </c>
      <c r="E28" s="26">
        <v>20</v>
      </c>
      <c r="F28" s="24">
        <v>200.86</v>
      </c>
      <c r="G28" s="24">
        <v>0.16</v>
      </c>
      <c r="H28" s="24">
        <v>3.68</v>
      </c>
    </row>
    <row r="29" spans="2:8">
      <c r="B29" s="28" t="s">
        <v>62</v>
      </c>
      <c r="C29" s="28"/>
      <c r="D29" s="28"/>
      <c r="E29" s="29"/>
      <c r="F29" s="30">
        <f>SUM(F6:F28)</f>
        <v>42124.759999999987</v>
      </c>
      <c r="G29" s="30">
        <f>SUM(G6:G28)</f>
        <v>32.739999999999995</v>
      </c>
      <c r="H29" s="31"/>
    </row>
    <row r="30" spans="2:8">
      <c r="B30" s="32" t="s">
        <v>63</v>
      </c>
      <c r="C30" s="32"/>
      <c r="D30" s="32"/>
      <c r="E30" s="33"/>
      <c r="F30" s="34">
        <f>F29</f>
        <v>42124.759999999987</v>
      </c>
      <c r="G30" s="34">
        <f>G29</f>
        <v>32.739999999999995</v>
      </c>
      <c r="H30" s="34"/>
    </row>
    <row r="31" spans="2:8">
      <c r="B31" s="21" t="s">
        <v>64</v>
      </c>
      <c r="C31" s="22"/>
      <c r="D31" s="22"/>
      <c r="E31" s="23"/>
      <c r="F31" s="24"/>
      <c r="G31" s="24"/>
      <c r="H31" s="24"/>
    </row>
    <row r="32" spans="2:8">
      <c r="B32" s="21" t="s">
        <v>65</v>
      </c>
      <c r="C32" s="22"/>
      <c r="D32" s="22"/>
      <c r="E32" s="23"/>
      <c r="F32" s="24"/>
      <c r="G32" s="24"/>
      <c r="H32" s="24"/>
    </row>
    <row r="33" spans="2:8">
      <c r="B33" s="22" t="s">
        <v>66</v>
      </c>
      <c r="C33" s="22" t="s">
        <v>67</v>
      </c>
      <c r="D33" s="22" t="s">
        <v>68</v>
      </c>
      <c r="E33" s="26">
        <v>5000</v>
      </c>
      <c r="F33" s="24">
        <v>4928.78</v>
      </c>
      <c r="G33" s="24">
        <v>3.83</v>
      </c>
      <c r="H33" s="24">
        <v>3.85</v>
      </c>
    </row>
    <row r="34" spans="2:8">
      <c r="B34" s="22" t="s">
        <v>69</v>
      </c>
      <c r="C34" s="22" t="s">
        <v>70</v>
      </c>
      <c r="D34" s="22" t="s">
        <v>71</v>
      </c>
      <c r="E34" s="26">
        <v>500</v>
      </c>
      <c r="F34" s="24">
        <v>2451.87</v>
      </c>
      <c r="G34" s="24">
        <v>1.9</v>
      </c>
      <c r="H34" s="24">
        <v>4.03</v>
      </c>
    </row>
    <row r="35" spans="2:8">
      <c r="B35" s="22" t="s">
        <v>72</v>
      </c>
      <c r="C35" s="22" t="s">
        <v>73</v>
      </c>
      <c r="D35" s="22" t="s">
        <v>68</v>
      </c>
      <c r="E35" s="26">
        <v>2500</v>
      </c>
      <c r="F35" s="24">
        <v>2442.42</v>
      </c>
      <c r="G35" s="24">
        <v>1.9</v>
      </c>
      <c r="H35" s="24">
        <v>4.04</v>
      </c>
    </row>
    <row r="36" spans="2:8">
      <c r="B36" s="21" t="s">
        <v>62</v>
      </c>
      <c r="C36" s="21"/>
      <c r="D36" s="21"/>
      <c r="E36" s="35"/>
      <c r="F36" s="36">
        <f>SUM(F32:F35)</f>
        <v>9823.07</v>
      </c>
      <c r="G36" s="36">
        <f>SUM(G32:G35)</f>
        <v>7.6300000000000008</v>
      </c>
      <c r="H36" s="37"/>
    </row>
    <row r="37" spans="2:8">
      <c r="B37" s="21" t="s">
        <v>74</v>
      </c>
      <c r="C37" s="22"/>
      <c r="D37" s="22"/>
      <c r="E37" s="23"/>
      <c r="F37" s="24"/>
      <c r="G37" s="24"/>
      <c r="H37" s="24"/>
    </row>
    <row r="38" spans="2:8">
      <c r="B38" s="22" t="s">
        <v>75</v>
      </c>
      <c r="C38" s="22" t="s">
        <v>76</v>
      </c>
      <c r="D38" s="22" t="s">
        <v>71</v>
      </c>
      <c r="E38" s="26">
        <v>1000</v>
      </c>
      <c r="F38" s="24">
        <v>4978.01</v>
      </c>
      <c r="G38" s="24">
        <v>3.86</v>
      </c>
      <c r="H38" s="24">
        <v>3.75</v>
      </c>
    </row>
    <row r="39" spans="2:8">
      <c r="B39" s="22" t="s">
        <v>77</v>
      </c>
      <c r="C39" s="22" t="s">
        <v>78</v>
      </c>
      <c r="D39" s="22" t="s">
        <v>79</v>
      </c>
      <c r="E39" s="26">
        <v>1000</v>
      </c>
      <c r="F39" s="24">
        <v>4957</v>
      </c>
      <c r="G39" s="24">
        <v>3.85</v>
      </c>
      <c r="H39" s="24">
        <v>3.72</v>
      </c>
    </row>
    <row r="40" spans="2:8">
      <c r="B40" s="22" t="s">
        <v>80</v>
      </c>
      <c r="C40" s="22" t="s">
        <v>81</v>
      </c>
      <c r="D40" s="22" t="s">
        <v>71</v>
      </c>
      <c r="E40" s="26">
        <v>500</v>
      </c>
      <c r="F40" s="24">
        <v>2425.83</v>
      </c>
      <c r="G40" s="24">
        <v>1.88</v>
      </c>
      <c r="H40" s="24">
        <v>4.5</v>
      </c>
    </row>
    <row r="41" spans="2:8">
      <c r="B41" s="21" t="s">
        <v>62</v>
      </c>
      <c r="C41" s="21"/>
      <c r="D41" s="21"/>
      <c r="E41" s="35"/>
      <c r="F41" s="36">
        <f>SUM(F37:F40)</f>
        <v>12360.84</v>
      </c>
      <c r="G41" s="36">
        <f>SUM(G37:G40)</f>
        <v>9.59</v>
      </c>
      <c r="H41" s="37"/>
    </row>
    <row r="42" spans="2:8">
      <c r="B42" s="21" t="s">
        <v>82</v>
      </c>
      <c r="C42" s="22"/>
      <c r="D42" s="22"/>
      <c r="E42" s="23"/>
      <c r="F42" s="24"/>
      <c r="G42" s="24"/>
      <c r="H42" s="24"/>
    </row>
    <row r="43" spans="2:8">
      <c r="B43" s="22" t="s">
        <v>83</v>
      </c>
      <c r="C43" s="22" t="s">
        <v>84</v>
      </c>
      <c r="D43" s="22" t="s">
        <v>85</v>
      </c>
      <c r="E43" s="26">
        <v>10000000</v>
      </c>
      <c r="F43" s="24">
        <v>9957.61</v>
      </c>
      <c r="G43" s="24">
        <v>7.73</v>
      </c>
      <c r="H43" s="24">
        <v>3.45</v>
      </c>
    </row>
    <row r="44" spans="2:8">
      <c r="B44" s="22" t="s">
        <v>86</v>
      </c>
      <c r="C44" s="22" t="s">
        <v>87</v>
      </c>
      <c r="D44" s="22" t="s">
        <v>85</v>
      </c>
      <c r="E44" s="26">
        <v>10000000</v>
      </c>
      <c r="F44" s="24">
        <v>9809.82</v>
      </c>
      <c r="G44" s="24">
        <v>7.61</v>
      </c>
      <c r="H44" s="24">
        <v>3.82</v>
      </c>
    </row>
    <row r="45" spans="2:8">
      <c r="B45" s="22" t="s">
        <v>88</v>
      </c>
      <c r="C45" s="22" t="s">
        <v>89</v>
      </c>
      <c r="D45" s="22" t="s">
        <v>85</v>
      </c>
      <c r="E45" s="26">
        <v>6000000</v>
      </c>
      <c r="F45" s="24">
        <v>5953.81</v>
      </c>
      <c r="G45" s="24">
        <v>4.62</v>
      </c>
      <c r="H45" s="24">
        <v>3.54</v>
      </c>
    </row>
    <row r="46" spans="2:8">
      <c r="B46" s="22" t="s">
        <v>90</v>
      </c>
      <c r="C46" s="22" t="s">
        <v>91</v>
      </c>
      <c r="D46" s="22" t="s">
        <v>85</v>
      </c>
      <c r="E46" s="26">
        <v>5000000</v>
      </c>
      <c r="F46" s="24">
        <v>4975.55</v>
      </c>
      <c r="G46" s="24">
        <v>3.86</v>
      </c>
      <c r="H46" s="24">
        <v>3.45</v>
      </c>
    </row>
    <row r="47" spans="2:8">
      <c r="B47" s="28" t="s">
        <v>62</v>
      </c>
      <c r="C47" s="28"/>
      <c r="D47" s="28"/>
      <c r="E47" s="29"/>
      <c r="F47" s="30">
        <f>SUM(F42:F46)</f>
        <v>30696.79</v>
      </c>
      <c r="G47" s="30">
        <f>SUM(G42:G46)</f>
        <v>23.82</v>
      </c>
      <c r="H47" s="31"/>
    </row>
    <row r="48" spans="2:8">
      <c r="B48" s="32" t="s">
        <v>63</v>
      </c>
      <c r="C48" s="32"/>
      <c r="D48" s="32"/>
      <c r="E48" s="33"/>
      <c r="F48" s="34">
        <f>F36+F41+F47</f>
        <v>52880.7</v>
      </c>
      <c r="G48" s="34">
        <f>G36+G41+G47</f>
        <v>41.04</v>
      </c>
      <c r="H48" s="34"/>
    </row>
    <row r="49" spans="2:8">
      <c r="B49" s="21" t="s">
        <v>92</v>
      </c>
      <c r="C49" s="22"/>
      <c r="D49" s="22"/>
      <c r="E49" s="23"/>
      <c r="F49" s="24"/>
      <c r="G49" s="24"/>
      <c r="H49" s="24"/>
    </row>
    <row r="50" spans="2:8">
      <c r="B50" s="22" t="s">
        <v>93</v>
      </c>
      <c r="C50" s="22" t="s">
        <v>94</v>
      </c>
      <c r="D50" s="22" t="s">
        <v>95</v>
      </c>
      <c r="E50" s="26">
        <v>8500000</v>
      </c>
      <c r="F50" s="24">
        <v>8741.8799999999992</v>
      </c>
      <c r="G50" s="24">
        <v>6.79</v>
      </c>
      <c r="H50" s="24">
        <v>4.24</v>
      </c>
    </row>
    <row r="51" spans="2:8">
      <c r="B51" s="22" t="s">
        <v>96</v>
      </c>
      <c r="C51" s="22" t="s">
        <v>97</v>
      </c>
      <c r="D51" s="22" t="s">
        <v>95</v>
      </c>
      <c r="E51" s="26">
        <v>5000000</v>
      </c>
      <c r="F51" s="24">
        <v>5149.8500000000004</v>
      </c>
      <c r="G51" s="24">
        <v>4</v>
      </c>
      <c r="H51" s="24">
        <v>4</v>
      </c>
    </row>
    <row r="52" spans="2:8">
      <c r="B52" s="22" t="s">
        <v>98</v>
      </c>
      <c r="C52" s="22" t="s">
        <v>99</v>
      </c>
      <c r="D52" s="22" t="s">
        <v>95</v>
      </c>
      <c r="E52" s="26">
        <v>5000000</v>
      </c>
      <c r="F52" s="24">
        <v>5004.8999999999996</v>
      </c>
      <c r="G52" s="24">
        <v>3.88</v>
      </c>
      <c r="H52" s="24">
        <v>4.1100000000000003</v>
      </c>
    </row>
    <row r="53" spans="2:8">
      <c r="B53" s="22" t="s">
        <v>100</v>
      </c>
      <c r="C53" s="22" t="s">
        <v>101</v>
      </c>
      <c r="D53" s="22" t="s">
        <v>95</v>
      </c>
      <c r="E53" s="26">
        <v>5000000</v>
      </c>
      <c r="F53" s="24">
        <v>4994.6400000000003</v>
      </c>
      <c r="G53" s="24">
        <v>3.88</v>
      </c>
      <c r="H53" s="24">
        <v>4.07</v>
      </c>
    </row>
    <row r="54" spans="2:8">
      <c r="B54" s="22" t="s">
        <v>102</v>
      </c>
      <c r="C54" s="22" t="s">
        <v>103</v>
      </c>
      <c r="D54" s="22" t="s">
        <v>95</v>
      </c>
      <c r="E54" s="26">
        <v>2500000</v>
      </c>
      <c r="F54" s="24">
        <v>2556.87</v>
      </c>
      <c r="G54" s="24">
        <v>1.98</v>
      </c>
      <c r="H54" s="24">
        <v>4.03</v>
      </c>
    </row>
    <row r="55" spans="2:8">
      <c r="B55" s="38" t="s">
        <v>104</v>
      </c>
      <c r="C55" s="38" t="s">
        <v>105</v>
      </c>
      <c r="D55" s="38" t="s">
        <v>95</v>
      </c>
      <c r="E55" s="39">
        <v>700000</v>
      </c>
      <c r="F55" s="40">
        <v>702.35</v>
      </c>
      <c r="G55" s="40">
        <v>0.55000000000000004</v>
      </c>
      <c r="H55" s="40">
        <v>3.69</v>
      </c>
    </row>
    <row r="56" spans="2:8">
      <c r="B56" s="41" t="s">
        <v>63</v>
      </c>
      <c r="C56" s="41"/>
      <c r="D56" s="41"/>
      <c r="E56" s="42"/>
      <c r="F56" s="36">
        <f>SUM(F50:F55)</f>
        <v>27150.489999999994</v>
      </c>
      <c r="G56" s="36">
        <f>SUM(G50:G55)</f>
        <v>21.08</v>
      </c>
      <c r="H56" s="36"/>
    </row>
    <row r="57" spans="2:8">
      <c r="B57" s="21" t="s">
        <v>106</v>
      </c>
      <c r="C57" s="22"/>
      <c r="D57" s="22"/>
      <c r="E57" s="23"/>
      <c r="F57" s="24"/>
      <c r="G57" s="24"/>
      <c r="H57" s="24"/>
    </row>
    <row r="58" spans="2:8">
      <c r="B58" s="22" t="s">
        <v>106</v>
      </c>
      <c r="C58" s="22"/>
      <c r="D58" s="22"/>
      <c r="E58" s="23"/>
      <c r="F58" s="24">
        <v>4666.71</v>
      </c>
      <c r="G58" s="24">
        <v>3.62</v>
      </c>
      <c r="H58" s="24"/>
    </row>
    <row r="59" spans="2:8">
      <c r="B59" s="28" t="s">
        <v>62</v>
      </c>
      <c r="C59" s="28"/>
      <c r="D59" s="28"/>
      <c r="E59" s="29"/>
      <c r="F59" s="30">
        <f>SUM(F57:F58)</f>
        <v>4666.71</v>
      </c>
      <c r="G59" s="30">
        <f>SUM(G57:G58)</f>
        <v>3.62</v>
      </c>
      <c r="H59" s="31"/>
    </row>
    <row r="60" spans="2:8">
      <c r="B60" s="43" t="s">
        <v>63</v>
      </c>
      <c r="C60" s="43"/>
      <c r="D60" s="43"/>
      <c r="E60" s="44"/>
      <c r="F60" s="45">
        <f>F59</f>
        <v>4666.71</v>
      </c>
      <c r="G60" s="45">
        <f>G59</f>
        <v>3.62</v>
      </c>
      <c r="H60" s="45"/>
    </row>
    <row r="61" spans="2:8">
      <c r="B61" s="46" t="s">
        <v>107</v>
      </c>
      <c r="C61" s="46"/>
      <c r="D61" s="46"/>
      <c r="E61" s="47"/>
      <c r="F61" s="48">
        <f>F62-(+F30+F48+F56+F60)</f>
        <v>2004.8400000000111</v>
      </c>
      <c r="G61" s="48">
        <f>G62-(+G30+G48+G56+G60)</f>
        <v>1.519999999999996</v>
      </c>
      <c r="H61" s="48"/>
    </row>
    <row r="62" spans="2:8">
      <c r="B62" s="46" t="s">
        <v>108</v>
      </c>
      <c r="C62" s="46"/>
      <c r="D62" s="46"/>
      <c r="E62" s="47"/>
      <c r="F62" s="48">
        <v>128827.5</v>
      </c>
      <c r="G62" s="48">
        <v>100</v>
      </c>
      <c r="H62" s="48"/>
    </row>
    <row r="64" spans="2:8">
      <c r="B64" s="49" t="s">
        <v>109</v>
      </c>
    </row>
    <row r="65" spans="2:2">
      <c r="B65" s="49" t="s">
        <v>110</v>
      </c>
    </row>
  </sheetData>
  <mergeCells count="4">
    <mergeCell ref="B1:H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2021-11-08T10:39:28Z</dcterms:created>
  <dcterms:modified xsi:type="dcterms:W3CDTF">2021-11-08T10:39:31Z</dcterms:modified>
</cp:coreProperties>
</file>