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E8368E5F-2731-4291-B58B-0FEF10BBE19E}" xr6:coauthVersionLast="47" xr6:coauthVersionMax="47" xr10:uidLastSave="{00000000-0000-0000-0000-000000000000}"/>
  <bookViews>
    <workbookView xWindow="-110" yWindow="-110" windowWidth="19420" windowHeight="10300" xr2:uid="{45702FC5-AEE5-4F44-BEE4-4D8E364477CA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 s="1"/>
  <c r="F13" i="1"/>
  <c r="F14" i="1" s="1"/>
  <c r="G9" i="1"/>
  <c r="G10" i="1" s="1"/>
  <c r="F9" i="1"/>
  <c r="F10" i="1" s="1"/>
  <c r="F15" i="1" l="1"/>
  <c r="G1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<sst xmlns="http://schemas.openxmlformats.org/spreadsheetml/2006/main" count="45" uniqueCount="41">
  <si>
    <t>CANARA ROBECO OVERNIGHT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</si>
  <si>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</si>
  <si>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</si>
  <si>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</si>
  <si>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</si>
  <si>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</si>
  <si>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</si>
  <si>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</si>
  <si>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</si>
  <si>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</si>
  <si>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</si>
  <si>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</si>
  <si>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</si>
  <si>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</si>
  <si>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</si>
  <si>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</si>
  <si>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</si>
  <si>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</si>
  <si>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</si>
  <si>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</si>
  <si>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</si>
  <si>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364 DTB (05-FEB-2026)</t>
  </si>
  <si>
    <t>IN002024Z438</t>
  </si>
  <si>
    <t xml:space="preserve"> Sovereign</t>
  </si>
  <si>
    <t>Relatively Low (Class I)</t>
  </si>
  <si>
    <t>A-I</t>
  </si>
  <si>
    <t>364 DTB (27-FEB-2026)</t>
  </si>
  <si>
    <t>IN002024Z461</t>
  </si>
  <si>
    <t>Sub Total</t>
  </si>
  <si>
    <t>Moderate (Class II)</t>
  </si>
  <si>
    <t>Total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</si>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</sst>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3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EF23-3917-42A0-8030-CB84056A316F}">
  <dimension ref="B1:S28"/>
  <sheetViews>
    <sheetView tabSelected="1" topLeftCell="A9" workbookViewId="0">
      <selection activeCell="B26" sqref="B26:B28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2.7265625" style="3" bestFit="1" customWidth="1"/>
    <col min="4" max="4" width="14.1796875" style="3" bestFit="1" customWidth="1"/>
    <col min="5" max="5" width="7.7265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5.54296875" style="3" bestFit="1" customWidth="1"/>
    <col min="16" max="16" width="12.81640625" style="3" customWidth="1"/>
    <col min="17" max="16384" width="9.1796875" style="3"/>
  </cols>
  <sheetData>
    <row r="1" spans="2:19" ht="21" customHeight="1" x14ac:dyDescent="0.25">
      <c r="B1" s="1" t="s">
        <v>0</v>
      </c>
      <c r="C1" s="2"/>
      <c r="D1" s="2"/>
      <c r="E1" s="2"/>
      <c r="F1" s="2"/>
      <c r="G1" s="2"/>
      <c r="H1" s="2"/>
    </row>
    <row r="3" spans="2:19" ht="16" thickBot="1" x14ac:dyDescent="0.3">
      <c r="B3" s="4" t="s">
        <v>1</v>
      </c>
      <c r="C3" s="5"/>
      <c r="D3" s="6"/>
      <c r="E3" s="6"/>
      <c r="F3" s="7"/>
      <c r="G3" s="7"/>
    </row>
    <row r="4" spans="2:19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5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3" x14ac:dyDescent="0.25">
      <c r="B6" s="23" t="s">
        <v>19</v>
      </c>
      <c r="C6" s="24"/>
      <c r="D6" s="24"/>
      <c r="E6" s="24"/>
      <c r="F6" s="25"/>
      <c r="G6" s="25"/>
      <c r="H6" s="25"/>
      <c r="K6" s="20"/>
      <c r="L6" s="20"/>
      <c r="M6" s="20"/>
      <c r="N6" s="20"/>
      <c r="O6" s="26"/>
      <c r="P6" s="27" t="s">
        <v>20</v>
      </c>
      <c r="Q6" s="22"/>
      <c r="R6" s="22"/>
      <c r="S6" s="22"/>
    </row>
    <row r="7" spans="2:19" x14ac:dyDescent="0.25">
      <c r="B7" s="24" t="s">
        <v>21</v>
      </c>
      <c r="C7" s="24" t="s">
        <v>22</v>
      </c>
      <c r="D7" s="24" t="s">
        <v>23</v>
      </c>
      <c r="E7" s="28">
        <v>500000</v>
      </c>
      <c r="F7" s="25">
        <v>499.72</v>
      </c>
      <c r="G7" s="25">
        <v>1.22</v>
      </c>
      <c r="H7" s="25">
        <v>5.08</v>
      </c>
      <c r="K7" s="20"/>
      <c r="L7" s="20"/>
      <c r="M7" s="20"/>
      <c r="N7" s="20"/>
      <c r="O7" s="26"/>
      <c r="P7" s="29" t="s">
        <v>24</v>
      </c>
      <c r="Q7" s="30" t="s">
        <v>25</v>
      </c>
      <c r="R7" s="31"/>
      <c r="S7" s="31"/>
    </row>
    <row r="8" spans="2:19" x14ac:dyDescent="0.25">
      <c r="B8" s="24" t="s">
        <v>26</v>
      </c>
      <c r="C8" s="24" t="s">
        <v>27</v>
      </c>
      <c r="D8" s="24" t="s">
        <v>23</v>
      </c>
      <c r="E8" s="28">
        <v>500000</v>
      </c>
      <c r="F8" s="25">
        <v>498.19</v>
      </c>
      <c r="G8" s="25">
        <v>1.22</v>
      </c>
      <c r="H8" s="25">
        <v>5.0999999999999996</v>
      </c>
      <c r="K8" s="20"/>
      <c r="L8" s="20"/>
      <c r="M8" s="20"/>
      <c r="N8" s="20"/>
      <c r="O8" s="26"/>
      <c r="P8" s="29"/>
      <c r="Q8" s="32"/>
      <c r="R8" s="33"/>
      <c r="S8" s="33"/>
    </row>
    <row r="9" spans="2:19" x14ac:dyDescent="0.25">
      <c r="B9" s="34" t="s">
        <v>28</v>
      </c>
      <c r="C9" s="34"/>
      <c r="D9" s="34"/>
      <c r="E9" s="34"/>
      <c r="F9" s="35">
        <f>SUM(F6:F8)</f>
        <v>997.91000000000008</v>
      </c>
      <c r="G9" s="35">
        <f>SUM(G6:G8)</f>
        <v>2.44</v>
      </c>
      <c r="H9" s="36"/>
      <c r="I9" s="37"/>
      <c r="K9" s="20"/>
      <c r="L9" s="20"/>
      <c r="M9" s="20"/>
      <c r="N9" s="20"/>
      <c r="O9" s="26"/>
      <c r="P9" s="29" t="s">
        <v>29</v>
      </c>
      <c r="Q9" s="31"/>
      <c r="R9" s="31"/>
      <c r="S9" s="31"/>
    </row>
    <row r="10" spans="2:19" x14ac:dyDescent="0.25">
      <c r="B10" s="38" t="s">
        <v>30</v>
      </c>
      <c r="C10" s="38"/>
      <c r="D10" s="38"/>
      <c r="E10" s="38"/>
      <c r="F10" s="39">
        <f>+F9</f>
        <v>997.91000000000008</v>
      </c>
      <c r="G10" s="39">
        <f>+G9</f>
        <v>2.44</v>
      </c>
      <c r="H10" s="39"/>
      <c r="I10" s="37"/>
      <c r="K10" s="20"/>
      <c r="L10" s="20"/>
      <c r="M10" s="20"/>
      <c r="N10" s="20"/>
      <c r="O10" s="26"/>
      <c r="P10" s="29"/>
      <c r="Q10" s="33"/>
      <c r="R10" s="33"/>
      <c r="S10" s="33"/>
    </row>
    <row r="11" spans="2:19" x14ac:dyDescent="0.25">
      <c r="B11" s="23" t="s">
        <v>31</v>
      </c>
      <c r="C11" s="24"/>
      <c r="D11" s="24"/>
      <c r="E11" s="24"/>
      <c r="F11" s="25"/>
      <c r="G11" s="25"/>
      <c r="H11" s="25"/>
      <c r="K11" s="20"/>
      <c r="L11" s="20"/>
      <c r="M11" s="20"/>
      <c r="N11" s="20"/>
      <c r="O11" s="26"/>
      <c r="P11" s="29" t="s">
        <v>32</v>
      </c>
      <c r="Q11" s="31"/>
      <c r="R11" s="31"/>
      <c r="S11" s="31"/>
    </row>
    <row r="12" spans="2:19" x14ac:dyDescent="0.25">
      <c r="B12" s="24" t="s">
        <v>31</v>
      </c>
      <c r="C12" s="24"/>
      <c r="D12" s="24"/>
      <c r="E12" s="24"/>
      <c r="F12" s="25">
        <v>39814.050000000003</v>
      </c>
      <c r="G12" s="25">
        <v>97.2</v>
      </c>
      <c r="H12" s="25"/>
      <c r="K12" s="20"/>
      <c r="L12" s="20"/>
      <c r="M12" s="20"/>
      <c r="N12" s="20"/>
      <c r="O12" s="26"/>
      <c r="P12" s="29"/>
      <c r="Q12" s="33"/>
      <c r="R12" s="33"/>
      <c r="S12" s="33"/>
    </row>
    <row r="13" spans="2:19" x14ac:dyDescent="0.25">
      <c r="B13" s="34" t="s">
        <v>28</v>
      </c>
      <c r="C13" s="34"/>
      <c r="D13" s="34"/>
      <c r="E13" s="34"/>
      <c r="F13" s="35">
        <f>SUM(F11:F12)</f>
        <v>39814.050000000003</v>
      </c>
      <c r="G13" s="35">
        <f>SUM(G11:G12)</f>
        <v>97.2</v>
      </c>
      <c r="H13" s="36"/>
      <c r="I13" s="37"/>
      <c r="K13" s="40"/>
      <c r="L13" s="40" t="s">
        <v>33</v>
      </c>
      <c r="M13" s="26"/>
      <c r="N13" s="26"/>
      <c r="O13" s="26"/>
    </row>
    <row r="14" spans="2:19" x14ac:dyDescent="0.25">
      <c r="B14" s="41" t="s">
        <v>30</v>
      </c>
      <c r="C14" s="41"/>
      <c r="D14" s="41"/>
      <c r="E14" s="41"/>
      <c r="F14" s="42">
        <f>F13</f>
        <v>39814.050000000003</v>
      </c>
      <c r="G14" s="42">
        <f>G13</f>
        <v>97.2</v>
      </c>
      <c r="H14" s="42"/>
      <c r="I14" s="37"/>
    </row>
    <row r="15" spans="2:19" x14ac:dyDescent="0.25">
      <c r="B15" s="43" t="s">
        <v>34</v>
      </c>
      <c r="C15" s="43"/>
      <c r="D15" s="43"/>
      <c r="E15" s="43"/>
      <c r="F15" s="44">
        <f>F16-(+F10+F14)</f>
        <v>147.77999999999156</v>
      </c>
      <c r="G15" s="44">
        <f>G16-(+G10+G14)</f>
        <v>0.35999999999999943</v>
      </c>
      <c r="H15" s="44"/>
      <c r="I15" s="37"/>
    </row>
    <row r="16" spans="2:19" x14ac:dyDescent="0.25">
      <c r="B16" s="43" t="s">
        <v>35</v>
      </c>
      <c r="C16" s="43"/>
      <c r="D16" s="43"/>
      <c r="E16" s="43"/>
      <c r="F16" s="44">
        <v>40959.74</v>
      </c>
      <c r="G16" s="44">
        <v>100</v>
      </c>
      <c r="H16" s="44"/>
      <c r="I16" s="37"/>
    </row>
    <row r="18" spans="2:3" x14ac:dyDescent="0.25">
      <c r="B18" s="37"/>
    </row>
    <row r="19" spans="2:3" ht="12" thickBot="1" x14ac:dyDescent="0.3"/>
    <row r="20" spans="2:3" ht="12.5" thickTop="1" thickBot="1" x14ac:dyDescent="0.3">
      <c r="B20" s="45" t="s">
        <v>36</v>
      </c>
      <c r="C20" s="46">
        <v>6.1000000000000004E-3</v>
      </c>
    </row>
    <row r="21" spans="2:3" ht="12.5" thickTop="1" thickBot="1" x14ac:dyDescent="0.3"/>
    <row r="22" spans="2:3" ht="12.5" thickTop="1" thickBot="1" x14ac:dyDescent="0.3">
      <c r="B22" s="45" t="s">
        <v>37</v>
      </c>
      <c r="C22" s="47">
        <v>5.2200000000000003E-2</v>
      </c>
    </row>
    <row r="23" spans="2:3" ht="12.5" thickTop="1" thickBot="1" x14ac:dyDescent="0.3"/>
    <row r="24" spans="2:3" ht="12.5" thickTop="1" thickBot="1" x14ac:dyDescent="0.3">
      <c r="B24" s="45" t="s">
        <v>38</v>
      </c>
      <c r="C24" s="46">
        <v>6.4000000000000003E-3</v>
      </c>
    </row>
    <row r="25" spans="2:3" ht="12" thickTop="1" x14ac:dyDescent="0.25"/>
    <row r="26" spans="2:3" x14ac:dyDescent="0.25">
      <c r="B26" s="37" t="s">
        <v>39</v>
      </c>
    </row>
    <row r="28" spans="2:3" ht="14.5" x14ac:dyDescent="0.35">
      <c r="B28" s="48" t="s">
        <v>40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28" r:id="rId1" tooltip="Original URL: https://www.canararobeco.com/docs/default-source/default-document-library/Scheme_Performance_January_26.pdf. Click or tap if you trust this link." xr:uid="{59336533-BA47-4CC9-A6F8-5FCF8551C8D3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09:32:03</KDate>
  <Classification>MIS INTERNAL</Classification>
  <Subclassification/>
  <HostName>MUMCMP01395</HostName>
  <Domain_User>CANARAROBECOMF/844</Domain_User>
  <IPAdd>192.9.198.93</IPAdd>
  <FilePath>Book23</FilePath>
  <KID>2800AFD739B7639062263233891193</KID>
  <UniqueName/>
  <Suggested/>
  <Justification/>
  <KlassifyGUID/>
</Klassify>
</file>

<file path=customXml/itemProps1.xml><?xml version="1.0" encoding="utf-8"?>
<ds:datastoreItem xmlns:ds="http://schemas.openxmlformats.org/officeDocument/2006/customXml" ds:itemID="{798E0DC5-EB19-4C45-87BA-E3C8C263CE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2026-02-09T04:02:01Z</dcterms:created>
  <dcterms:modified xsi:type="dcterms:W3CDTF">2026-02-09T04:02:03Z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2800AFD739B7639062263233891193</vt:lpwstr>
  </property>
</Properties>
</file>