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B2B6EC7A-D683-49AC-9E37-8D6ED951F343}" xr6:coauthVersionLast="47" xr6:coauthVersionMax="47" xr10:uidLastSave="{00000000-0000-0000-0000-000000000000}"/>
  <bookViews>
    <workbookView xWindow="-120" yWindow="-120" windowWidth="20730" windowHeight="11040" xr2:uid="{EF245FF4-B853-4475-8485-2935BEA54F95}"/>
  </bookViews>
  <sheets>
    <sheet name="G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F18" i="1"/>
  <c r="F19" i="1" s="1"/>
  <c r="G15" i="1"/>
  <c r="F15" i="1"/>
  <c r="F20" i="1" s="1"/>
  <c r="G2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<sst xmlns="http://schemas.openxmlformats.org/spreadsheetml/2006/main" count="64" uniqueCount="54">
  <si>
    <t>CANARA ROBECO GILT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</si>
  <si>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</si>
  <si>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</si>
  <si>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</si>
  <si>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</si>
  <si>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</si>
  <si>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</si>
  <si>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</si>
  <si>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</si>
  <si>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</si>
  <si>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</si>
  <si>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</si>
  <si>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</si>
  <si>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</si>
  <si>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</si>
  <si>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</si>
  <si>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</si>
  <si>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</si>
  <si>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</si>
  <si>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6.68% GOI 2040 (07-JUL-2040)</t>
  </si>
  <si>
    <t>IN0020250042</t>
  </si>
  <si>
    <t>Sovereign</t>
  </si>
  <si>
    <t>Interest Rate Risk ↓</t>
  </si>
  <si>
    <t>6.48% GOI 2035 (06-OCT-2035)</t>
  </si>
  <si>
    <t>IN0020250091</t>
  </si>
  <si>
    <t>Relatively Low (Class I)</t>
  </si>
  <si>
    <t>7.34% GOI 2064 (22-APR-2064)</t>
  </si>
  <si>
    <t>IN0020240035</t>
  </si>
  <si>
    <t>6.90% GOI 2065 (15-APR-2065)</t>
  </si>
  <si>
    <t>IN0020250018</t>
  </si>
  <si>
    <t>Moderate 
(Class II)</t>
  </si>
  <si>
    <t>6.33% GOI 2035 (05-MAY-2035)</t>
  </si>
  <si>
    <t>IN0020250026</t>
  </si>
  <si>
    <t>7.30% GOI 2053 (19-JUN-2053)</t>
  </si>
  <si>
    <t>IN0020230051</t>
  </si>
  <si>
    <t>Relatively High (Class III)</t>
  </si>
  <si>
    <t>A-III</t>
  </si>
  <si>
    <t>7.38% GOI 20-JUN-27</t>
  </si>
  <si>
    <t>IN0020220037</t>
  </si>
  <si>
    <t>7.17% GOI 2030 (17-APR-2030)</t>
  </si>
  <si>
    <t>IN0020230036</t>
  </si>
  <si>
    <t>Benchmark: CRISIL Dynamic Gilt Index</t>
  </si>
  <si>
    <t>8.13% INDIA GOVERNMENT 22-JUN-45</t>
  </si>
  <si>
    <t>IN0020150044</t>
  </si>
  <si>
    <t>Total</t>
  </si>
  <si>
    <t>TREPS</t>
  </si>
  <si>
    <t>Sub Total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</si>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</sst>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4" fillId="3" borderId="11" xfId="0" applyFont="1" applyFill="1" applyBorder="1"/>
    <xf numFmtId="3" fontId="4" fillId="3" borderId="11" xfId="0" applyNumberFormat="1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0" fontId="4" fillId="3" borderId="14" xfId="0" applyFont="1" applyFill="1" applyBorder="1"/>
    <xf numFmtId="3" fontId="4" fillId="3" borderId="14" xfId="0" applyNumberFormat="1" applyFont="1" applyFill="1" applyBorder="1"/>
    <xf numFmtId="4" fontId="4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1" xfId="0" applyFont="1" applyFill="1" applyBorder="1"/>
    <xf numFmtId="0" fontId="10" fillId="3" borderId="16" xfId="0" applyFont="1" applyFill="1" applyBorder="1"/>
    <xf numFmtId="4" fontId="10" fillId="3" borderId="17" xfId="0" applyNumberFormat="1" applyFont="1" applyFill="1" applyBorder="1"/>
    <xf numFmtId="4" fontId="10" fillId="3" borderId="16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9" xfId="0" applyFont="1" applyFill="1" applyBorder="1"/>
    <xf numFmtId="2" fontId="10" fillId="3" borderId="20" xfId="0" applyNumberFormat="1" applyFont="1" applyFill="1" applyBorder="1"/>
    <xf numFmtId="10" fontId="10" fillId="3" borderId="20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2076-0018-4D84-8130-133B11B67DAE}">
  <dimension ref="B1:S33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2.2851562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4" t="s">
        <v>20</v>
      </c>
      <c r="D6" s="24" t="s">
        <v>21</v>
      </c>
      <c r="E6" s="25">
        <v>4750000</v>
      </c>
      <c r="F6" s="26">
        <v>4612.46</v>
      </c>
      <c r="G6" s="26">
        <v>31.71</v>
      </c>
      <c r="H6" s="26">
        <v>7.12</v>
      </c>
      <c r="K6" s="20"/>
      <c r="L6" s="27"/>
      <c r="M6" s="20"/>
      <c r="N6" s="27"/>
      <c r="P6" s="28" t="s">
        <v>22</v>
      </c>
      <c r="Q6" s="23"/>
      <c r="R6" s="23"/>
      <c r="S6" s="23"/>
    </row>
    <row r="7" spans="2:19" x14ac:dyDescent="0.2">
      <c r="B7" s="24" t="s">
        <v>23</v>
      </c>
      <c r="C7" s="24" t="s">
        <v>24</v>
      </c>
      <c r="D7" s="24" t="s">
        <v>21</v>
      </c>
      <c r="E7" s="25">
        <v>3500000</v>
      </c>
      <c r="F7" s="26">
        <v>3469.76</v>
      </c>
      <c r="G7" s="26">
        <v>23.86</v>
      </c>
      <c r="H7" s="26">
        <v>6.71</v>
      </c>
      <c r="K7" s="20"/>
      <c r="L7" s="27"/>
      <c r="M7" s="20"/>
      <c r="N7" s="27"/>
      <c r="P7" s="29" t="s">
        <v>25</v>
      </c>
      <c r="Q7" s="30"/>
      <c r="R7" s="30"/>
      <c r="S7" s="30"/>
    </row>
    <row r="8" spans="2:19" x14ac:dyDescent="0.2">
      <c r="B8" s="24" t="s">
        <v>26</v>
      </c>
      <c r="C8" s="24" t="s">
        <v>27</v>
      </c>
      <c r="D8" s="24" t="s">
        <v>21</v>
      </c>
      <c r="E8" s="25">
        <v>2000000</v>
      </c>
      <c r="F8" s="26">
        <v>1993.98</v>
      </c>
      <c r="G8" s="26">
        <v>13.71</v>
      </c>
      <c r="H8" s="26">
        <v>7.5</v>
      </c>
      <c r="K8" s="20"/>
      <c r="L8" s="27"/>
      <c r="M8" s="20"/>
      <c r="N8" s="27"/>
      <c r="P8" s="29"/>
      <c r="Q8" s="31"/>
      <c r="R8" s="31"/>
      <c r="S8" s="31"/>
    </row>
    <row r="9" spans="2:19" x14ac:dyDescent="0.2">
      <c r="B9" s="24" t="s">
        <v>28</v>
      </c>
      <c r="C9" s="24" t="s">
        <v>29</v>
      </c>
      <c r="D9" s="24" t="s">
        <v>21</v>
      </c>
      <c r="E9" s="25">
        <v>1250000</v>
      </c>
      <c r="F9" s="26">
        <v>1179.51</v>
      </c>
      <c r="G9" s="26">
        <v>8.11</v>
      </c>
      <c r="H9" s="26">
        <v>7.47</v>
      </c>
      <c r="K9" s="20"/>
      <c r="L9" s="27"/>
      <c r="M9" s="20"/>
      <c r="N9" s="27"/>
      <c r="P9" s="29" t="s">
        <v>30</v>
      </c>
      <c r="Q9" s="30"/>
      <c r="R9" s="30"/>
      <c r="S9" s="30"/>
    </row>
    <row r="10" spans="2:19" x14ac:dyDescent="0.2">
      <c r="B10" s="24" t="s">
        <v>31</v>
      </c>
      <c r="C10" s="24" t="s">
        <v>32</v>
      </c>
      <c r="D10" s="24" t="s">
        <v>21</v>
      </c>
      <c r="E10" s="25">
        <v>1000000</v>
      </c>
      <c r="F10" s="26">
        <v>981.15</v>
      </c>
      <c r="G10" s="26">
        <v>6.75</v>
      </c>
      <c r="H10" s="26">
        <v>6.71</v>
      </c>
      <c r="K10" s="20"/>
      <c r="L10" s="27"/>
      <c r="M10" s="20"/>
      <c r="N10" s="27"/>
      <c r="P10" s="29"/>
      <c r="Q10" s="31"/>
      <c r="R10" s="31"/>
      <c r="S10" s="31"/>
    </row>
    <row r="11" spans="2:19" x14ac:dyDescent="0.2">
      <c r="B11" s="24" t="s">
        <v>33</v>
      </c>
      <c r="C11" s="24" t="s">
        <v>34</v>
      </c>
      <c r="D11" s="24" t="s">
        <v>21</v>
      </c>
      <c r="E11" s="25">
        <v>850000</v>
      </c>
      <c r="F11" s="26">
        <v>851.5</v>
      </c>
      <c r="G11" s="26">
        <v>5.85</v>
      </c>
      <c r="H11" s="26">
        <v>7.42</v>
      </c>
      <c r="K11" s="20"/>
      <c r="L11" s="27"/>
      <c r="M11" s="20"/>
      <c r="N11" s="27"/>
      <c r="P11" s="29" t="s">
        <v>35</v>
      </c>
      <c r="Q11" s="32" t="s">
        <v>36</v>
      </c>
      <c r="R11" s="30"/>
      <c r="S11" s="30"/>
    </row>
    <row r="12" spans="2:19" x14ac:dyDescent="0.2">
      <c r="B12" s="24" t="s">
        <v>37</v>
      </c>
      <c r="C12" s="24" t="s">
        <v>38</v>
      </c>
      <c r="D12" s="24" t="s">
        <v>21</v>
      </c>
      <c r="E12" s="25">
        <v>250100</v>
      </c>
      <c r="F12" s="26">
        <v>256.04000000000002</v>
      </c>
      <c r="G12" s="26">
        <v>1.76</v>
      </c>
      <c r="H12" s="26">
        <v>5.75</v>
      </c>
      <c r="K12" s="20"/>
      <c r="L12" s="33"/>
      <c r="M12" s="20"/>
      <c r="N12" s="33"/>
      <c r="P12" s="29"/>
      <c r="Q12" s="34"/>
      <c r="R12" s="31"/>
      <c r="S12" s="31"/>
    </row>
    <row r="13" spans="2:19" x14ac:dyDescent="0.2">
      <c r="B13" s="24" t="s">
        <v>39</v>
      </c>
      <c r="C13" s="24" t="s">
        <v>40</v>
      </c>
      <c r="D13" s="24" t="s">
        <v>21</v>
      </c>
      <c r="E13" s="25">
        <v>158900</v>
      </c>
      <c r="F13" s="26">
        <v>163.89</v>
      </c>
      <c r="G13" s="26">
        <v>1.1299999999999999</v>
      </c>
      <c r="H13" s="26">
        <v>6.42</v>
      </c>
      <c r="K13" s="35"/>
      <c r="L13" s="35" t="s">
        <v>41</v>
      </c>
      <c r="M13" s="36"/>
      <c r="N13" s="36"/>
    </row>
    <row r="14" spans="2:19" x14ac:dyDescent="0.2">
      <c r="B14" s="37" t="s">
        <v>42</v>
      </c>
      <c r="C14" s="37" t="s">
        <v>43</v>
      </c>
      <c r="D14" s="37" t="s">
        <v>21</v>
      </c>
      <c r="E14" s="38">
        <v>10000</v>
      </c>
      <c r="F14" s="39">
        <v>11.06</v>
      </c>
      <c r="G14" s="39">
        <v>0.08</v>
      </c>
      <c r="H14" s="39">
        <v>7.24</v>
      </c>
    </row>
    <row r="15" spans="2:19" x14ac:dyDescent="0.2">
      <c r="B15" s="40" t="s">
        <v>44</v>
      </c>
      <c r="C15" s="40"/>
      <c r="D15" s="40"/>
      <c r="E15" s="40"/>
      <c r="F15" s="41">
        <f>SUM(F6:F14)</f>
        <v>13519.35</v>
      </c>
      <c r="G15" s="41">
        <f>SUM(G6:G14)</f>
        <v>92.96</v>
      </c>
      <c r="H15" s="41"/>
      <c r="I15" s="42"/>
    </row>
    <row r="16" spans="2:19" x14ac:dyDescent="0.2">
      <c r="B16" s="43" t="s">
        <v>45</v>
      </c>
      <c r="C16" s="24"/>
      <c r="D16" s="24"/>
      <c r="E16" s="24"/>
      <c r="F16" s="26"/>
      <c r="G16" s="26"/>
      <c r="H16" s="26"/>
    </row>
    <row r="17" spans="2:9" x14ac:dyDescent="0.2">
      <c r="B17" s="24" t="s">
        <v>45</v>
      </c>
      <c r="C17" s="24"/>
      <c r="D17" s="24"/>
      <c r="E17" s="24"/>
      <c r="F17" s="26">
        <v>712.48</v>
      </c>
      <c r="G17" s="26">
        <v>4.9000000000000004</v>
      </c>
      <c r="H17" s="26"/>
    </row>
    <row r="18" spans="2:9" x14ac:dyDescent="0.2">
      <c r="B18" s="44" t="s">
        <v>46</v>
      </c>
      <c r="C18" s="44"/>
      <c r="D18" s="44"/>
      <c r="E18" s="44"/>
      <c r="F18" s="45">
        <f>SUM(F16:F17)</f>
        <v>712.48</v>
      </c>
      <c r="G18" s="45">
        <f>SUM(G16:G17)</f>
        <v>4.9000000000000004</v>
      </c>
      <c r="H18" s="46"/>
      <c r="I18" s="42"/>
    </row>
    <row r="19" spans="2:9" x14ac:dyDescent="0.2">
      <c r="B19" s="47" t="s">
        <v>44</v>
      </c>
      <c r="C19" s="47"/>
      <c r="D19" s="47"/>
      <c r="E19" s="47"/>
      <c r="F19" s="48">
        <f>F18</f>
        <v>712.48</v>
      </c>
      <c r="G19" s="48">
        <f>G18</f>
        <v>4.9000000000000004</v>
      </c>
      <c r="H19" s="48"/>
      <c r="I19" s="42"/>
    </row>
    <row r="20" spans="2:9" x14ac:dyDescent="0.2">
      <c r="B20" s="49" t="s">
        <v>47</v>
      </c>
      <c r="C20" s="49"/>
      <c r="D20" s="49"/>
      <c r="E20" s="49"/>
      <c r="F20" s="50">
        <f>F21-(+F15+F19)</f>
        <v>312.82999999999993</v>
      </c>
      <c r="G20" s="50">
        <f>G21-(+G15+G19)</f>
        <v>2.1400000000000006</v>
      </c>
      <c r="H20" s="50"/>
      <c r="I20" s="42"/>
    </row>
    <row r="21" spans="2:9" x14ac:dyDescent="0.2">
      <c r="B21" s="49" t="s">
        <v>48</v>
      </c>
      <c r="C21" s="49"/>
      <c r="D21" s="49"/>
      <c r="E21" s="49"/>
      <c r="F21" s="50">
        <v>14544.66</v>
      </c>
      <c r="G21" s="50">
        <v>100</v>
      </c>
      <c r="H21" s="50"/>
      <c r="I21" s="42"/>
    </row>
    <row r="23" spans="2:9" x14ac:dyDescent="0.2">
      <c r="B23" s="42"/>
    </row>
    <row r="24" spans="2:9" ht="12.75" thickBot="1" x14ac:dyDescent="0.25"/>
    <row r="25" spans="2:9" ht="13.5" thickTop="1" thickBot="1" x14ac:dyDescent="0.25">
      <c r="B25" s="51" t="s">
        <v>49</v>
      </c>
      <c r="C25" s="52">
        <v>8.5625</v>
      </c>
    </row>
    <row r="26" spans="2:9" ht="13.5" thickTop="1" thickBot="1" x14ac:dyDescent="0.25"/>
    <row r="27" spans="2:9" ht="13.5" thickTop="1" thickBot="1" x14ac:dyDescent="0.25">
      <c r="B27" s="51" t="s">
        <v>50</v>
      </c>
      <c r="C27" s="53">
        <v>6.9400000000000003E-2</v>
      </c>
    </row>
    <row r="28" spans="2:9" ht="13.5" thickTop="1" thickBot="1" x14ac:dyDescent="0.25"/>
    <row r="29" spans="2:9" ht="13.5" thickTop="1" thickBot="1" x14ac:dyDescent="0.25">
      <c r="B29" s="51" t="s">
        <v>51</v>
      </c>
      <c r="C29" s="52">
        <v>8.9219000000000008</v>
      </c>
    </row>
    <row r="30" spans="2:9" ht="12.75" thickTop="1" x14ac:dyDescent="0.2"/>
    <row r="31" spans="2:9" x14ac:dyDescent="0.2">
      <c r="B31" s="42" t="s">
        <v>52</v>
      </c>
    </row>
    <row r="33" spans="2:2" ht="15" x14ac:dyDescent="0.2">
      <c r="B33" s="54" t="s">
        <v>53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33" r:id="rId1" tooltip="Original URL: https://www.canararobeco.com/docs/default-source/default-document-library/Scheme_Performance_December_25.pdf. Click or tap if you trust this link." xr:uid="{52C9831C-2DE1-4371-BEF1-4E611873BD7F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15:16:30</KDate>
  <Classification>MIS INTERNAL</Classification>
  <Subclassification/>
  <HostName>MUMCMP01323</HostName>
  <Domain_User>CANARAROBECOMF/628</Domain_User>
  <IPAdd>192.9.198.196</IPAdd>
  <FilePath>Book17</FilePath>
  <KID>109819A0F0A5639034821908343272</KID>
  <UniqueName/>
  <Suggested/>
  <Justification/>
  <KlassifyGUID/>
</Klassify>
</file>

<file path=customXml/itemProps1.xml><?xml version="1.0" encoding="utf-8"?>
<ds:datastoreItem xmlns:ds="http://schemas.openxmlformats.org/officeDocument/2006/customXml" ds:itemID="{00CF3EEC-4D79-4E9D-A68C-3D6365D2BC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2026-01-08T09:45:52Z</dcterms:created>
  <dcterms:modified xsi:type="dcterms:W3CDTF">2026-01-08T09:46:31Z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109819A0F0A5639034821908343272</vt:lpwstr>
  </property>
</Properties>
</file>