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Aug 2025\portfolio shared by product\"/>
    </mc:Choice>
  </mc:AlternateContent>
  <xr:revisionPtr revIDLastSave="0" documentId="8_{1AB94859-F403-4CF2-BC0D-9D7CD5667A1B}" xr6:coauthVersionLast="47" xr6:coauthVersionMax="47" xr10:uidLastSave="{00000000-0000-0000-0000-000000000000}"/>
  <bookViews>
    <workbookView xWindow="-110" yWindow="-110" windowWidth="19420" windowHeight="10300" xr2:uid="{D266666D-79E6-4B05-B40F-E91A77A94A0C}"/>
  </bookViews>
  <sheets>
    <sheet name="I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G34" i="1" s="1"/>
  <c r="F33" i="1"/>
  <c r="F34" i="1" s="1"/>
  <c r="G30" i="1"/>
  <c r="F30" i="1"/>
  <c r="G27" i="1"/>
  <c r="F27" i="1"/>
  <c r="G14" i="1"/>
  <c r="F14" i="1"/>
  <c r="G13" i="1"/>
  <c r="F13" i="1"/>
  <c r="G8" i="1"/>
  <c r="G9" i="1" s="1"/>
  <c r="G35" i="1" s="1"/>
  <c r="F8" i="1"/>
  <c r="F9" i="1" s="1"/>
  <c r="F35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<sst xmlns="http://schemas.openxmlformats.org/spreadsheetml/2006/main" count="90" uniqueCount="72">
  <si>
    <t>CANARA ROBECO INCOME FUND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</si>
  <si>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</si>
  <si>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</si>
  <si>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</si>
  <si>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</si>
  <si>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</si>
  <si>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</si>
  <si>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</si>
  <si>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</si>
  <si>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August'25</t>
  </si>
  <si>
    <t>Benchmark Risk-O-Meter Level- August'25</t>
  </si>
  <si>
    <t>Scheme Risk-O-Meter Level- July'25</t>
  </si>
  <si>
    <t>Benchmark Risk-O-Meter Level- July'25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</si>
  <si>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</si>
  <si>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</si>
  <si>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</si>
  <si>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</si>
  <si>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</si>
  <si>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</si>
  <si>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</si>
  <si>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</si>
  <si>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7.2337% BAJAJ FINANCE LTD 28-JUN-27 **</t>
  </si>
  <si>
    <t>INE296A07TK2</t>
  </si>
  <si>
    <t>CRISIL AAA</t>
  </si>
  <si>
    <t>Relatively Low (Class I)</t>
  </si>
  <si>
    <t>Sub Total</t>
  </si>
  <si>
    <t>Total</t>
  </si>
  <si>
    <t>Moderate 
(Class II)</t>
  </si>
  <si>
    <t>Money Market Instruments</t>
  </si>
  <si>
    <t>Treasury Bill</t>
  </si>
  <si>
    <t>Relatively High (Class III)</t>
  </si>
  <si>
    <t>B-III</t>
  </si>
  <si>
    <t>364 DTB (08-JAN-2026)</t>
  </si>
  <si>
    <t>IN002024Z396</t>
  </si>
  <si>
    <t xml:space="preserve"> Sovereign</t>
  </si>
  <si>
    <t>Benchmark: CRISIL Medium to Long Duration Debt A-III Index</t>
  </si>
  <si>
    <t>Government Bonds</t>
  </si>
  <si>
    <t>GOI FRB 2034 (30-OCT-2034)</t>
  </si>
  <si>
    <t>IN0020210137</t>
  </si>
  <si>
    <t>Sovereign</t>
  </si>
  <si>
    <t>6.33% GOI 2035 (05-MAY-2035)</t>
  </si>
  <si>
    <t>IN0020250026</t>
  </si>
  <si>
    <t>6.68% GOI 2040 (07-JUL-2040)</t>
  </si>
  <si>
    <t>IN0020250042</t>
  </si>
  <si>
    <t>7.73% GUJARAT SDL 08-APR-29</t>
  </si>
  <si>
    <t>IN1520200016</t>
  </si>
  <si>
    <t>7.02% KERALA SDL 03-MAR-28</t>
  </si>
  <si>
    <t>IN2020200266</t>
  </si>
  <si>
    <t>6.79% GOI 2034 (07-OCT-2034)</t>
  </si>
  <si>
    <t>IN0020240126</t>
  </si>
  <si>
    <t>GOI FRB 2031 (07-DEC-2031)</t>
  </si>
  <si>
    <t>IN0020180041</t>
  </si>
  <si>
    <t>7.30% GOI 2053 (19-JUN-2053)</t>
  </si>
  <si>
    <t>IN0020230051</t>
  </si>
  <si>
    <t>6.53% TAMIL NADU SDL 06-JAN-31</t>
  </si>
  <si>
    <t>IN3120200339</t>
  </si>
  <si>
    <t>6.82% TAMIL NADU SDL 16-JUL-35</t>
  </si>
  <si>
    <t>IN3120250169</t>
  </si>
  <si>
    <t>8.47% Maharashtra SDL 10-Feb-26</t>
  </si>
  <si>
    <t>IN2220150188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</si>
  <si>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</si>
  <si>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</si>
  <si>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</si>
  <si>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</si>
  <si>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</si>
  <si>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</si>
  <si>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</si>
  <si>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Modified Duration (In Years)</t>
  </si>
  <si>
    <t>Annualised Portfolio YTM</t>
  </si>
  <si>
    <t>Macaulay Duration (In Years)</t>
  </si>
  <si>
    <t>Please refer the below link for the performance of the Schemes managed by Canara Robeco Mutual Fund</t>
  </si>
  <si>
    <t>https://www.canararobeco.com/images/default-source/default-album/Scheme%20Performance%20all%20fund.pdf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</si>
</sst>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3" borderId="9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10" xfId="1" applyFont="1" applyFill="1" applyBorder="1" applyAlignment="1">
      <alignment horizontal="center" vertical="center"/>
    </xf>
    <xf numFmtId="164" fontId="4" fillId="3" borderId="5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10" fillId="3" borderId="11" xfId="0" applyFont="1" applyFill="1" applyBorder="1"/>
    <xf numFmtId="0" fontId="4" fillId="3" borderId="11" xfId="0" applyFont="1" applyFill="1" applyBorder="1"/>
    <xf numFmtId="4" fontId="4" fillId="3" borderId="11" xfId="0" applyNumberFormat="1" applyFont="1" applyFill="1" applyBorder="1"/>
    <xf numFmtId="164" fontId="4" fillId="3" borderId="12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left" vertical="top" wrapText="1"/>
    </xf>
    <xf numFmtId="3" fontId="4" fillId="3" borderId="11" xfId="0" applyNumberFormat="1" applyFont="1" applyFill="1" applyBorder="1"/>
    <xf numFmtId="0" fontId="10" fillId="0" borderId="10" xfId="0" applyFont="1" applyBorder="1" applyAlignment="1">
      <alignment horizontal="left" wrapText="1"/>
    </xf>
    <xf numFmtId="0" fontId="4" fillId="0" borderId="5" xfId="0" applyFont="1" applyBorder="1" applyAlignment="1">
      <alignment horizontal="center"/>
    </xf>
    <xf numFmtId="0" fontId="10" fillId="3" borderId="13" xfId="0" applyFont="1" applyFill="1" applyBorder="1"/>
    <xf numFmtId="4" fontId="10" fillId="3" borderId="14" xfId="0" applyNumberFormat="1" applyFont="1" applyFill="1" applyBorder="1"/>
    <xf numFmtId="4" fontId="10" fillId="3" borderId="13" xfId="0" applyNumberFormat="1" applyFont="1" applyFill="1" applyBorder="1"/>
    <xf numFmtId="0" fontId="10" fillId="3" borderId="0" xfId="0" applyFont="1" applyFill="1"/>
    <xf numFmtId="0" fontId="4" fillId="0" borderId="15" xfId="0" applyFont="1" applyBorder="1" applyAlignment="1">
      <alignment horizontal="center"/>
    </xf>
    <xf numFmtId="0" fontId="10" fillId="3" borderId="16" xfId="0" applyFont="1" applyFill="1" applyBorder="1"/>
    <xf numFmtId="4" fontId="10" fillId="3" borderId="16" xfId="0" applyNumberFormat="1" applyFont="1" applyFill="1" applyBorder="1"/>
    <xf numFmtId="0" fontId="10" fillId="4" borderId="5" xfId="0" applyFont="1" applyFill="1" applyBorder="1" applyAlignment="1">
      <alignment horizontal="center" vertical="center"/>
    </xf>
    <xf numFmtId="164" fontId="4" fillId="3" borderId="15" xfId="1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164" fontId="4" fillId="3" borderId="0" xfId="1" applyFont="1" applyFill="1" applyAlignment="1"/>
    <xf numFmtId="164" fontId="4" fillId="3" borderId="0" xfId="1" applyFont="1" applyFill="1"/>
    <xf numFmtId="0" fontId="4" fillId="3" borderId="17" xfId="0" applyFont="1" applyFill="1" applyBorder="1"/>
    <xf numFmtId="3" fontId="4" fillId="3" borderId="17" xfId="0" applyNumberFormat="1" applyFont="1" applyFill="1" applyBorder="1"/>
    <xf numFmtId="4" fontId="4" fillId="3" borderId="17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10" xfId="0" applyFont="1" applyFill="1" applyBorder="1"/>
    <xf numFmtId="4" fontId="10" fillId="3" borderId="10" xfId="0" applyNumberFormat="1" applyFont="1" applyFill="1" applyBorder="1"/>
    <xf numFmtId="0" fontId="11" fillId="5" borderId="20" xfId="0" applyFont="1" applyFill="1" applyBorder="1"/>
    <xf numFmtId="2" fontId="10" fillId="3" borderId="21" xfId="0" applyNumberFormat="1" applyFont="1" applyFill="1" applyBorder="1"/>
    <xf numFmtId="10" fontId="10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images/default-source/default-album/Scheme%20Performance%20all%20fun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DFEFD-8679-42FA-9CC9-231A777DFFA9}">
  <dimension ref="B1:S49"/>
  <sheetViews>
    <sheetView tabSelected="1" topLeftCell="A35" workbookViewId="0">
      <selection activeCell="B47" sqref="B47:F49"/>
    </sheetView>
  </sheetViews>
  <sheetFormatPr defaultColWidth="9.1796875" defaultRowHeight="11.5"/>
  <cols>
    <col min="1" max="1" width="9.1796875" style="3"/>
    <col min="2" max="2" width="55.54296875" style="3" bestFit="1" customWidth="1"/>
    <col min="3" max="3" width="12" style="3" bestFit="1" customWidth="1"/>
    <col min="4" max="4" width="20.81640625" style="3" bestFit="1" customWidth="1"/>
    <col min="5" max="5" width="7.81640625" style="3" bestFit="1" customWidth="1"/>
    <col min="6" max="6" width="14.54296875" style="8" bestFit="1" customWidth="1"/>
    <col min="7" max="7" width="7.453125" style="8" bestFit="1" customWidth="1"/>
    <col min="8" max="8" width="6.7265625" style="8" bestFit="1" customWidth="1"/>
    <col min="9" max="10" width="9.1796875" style="3"/>
    <col min="11" max="11" width="31.54296875" style="3" customWidth="1"/>
    <col min="12" max="12" width="35.54296875" style="3" customWidth="1"/>
    <col min="13" max="14" width="31.453125" style="3" customWidth="1"/>
    <col min="15" max="15" width="9.1796875" style="3"/>
    <col min="16" max="16" width="12.453125" style="3" customWidth="1"/>
    <col min="17" max="16384" width="9.1796875" style="3"/>
  </cols>
  <sheetData>
    <row r="1" spans="2:19" ht="21" customHeight="1">
      <c r="B1" s="1" t="s">
        <v>0</v>
      </c>
      <c r="C1" s="2"/>
      <c r="D1" s="2"/>
      <c r="E1" s="2"/>
      <c r="F1" s="2"/>
      <c r="G1" s="2"/>
      <c r="H1" s="2"/>
    </row>
    <row r="3" spans="2:19" ht="16" thickBot="1">
      <c r="B3" s="4" t="s">
        <v>1</v>
      </c>
      <c r="C3" s="5"/>
      <c r="D3" s="6"/>
      <c r="E3" s="6"/>
      <c r="F3" s="7"/>
      <c r="G3" s="7"/>
    </row>
    <row r="4" spans="2:19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K4" s="13" t="s">
        <v>9</v>
      </c>
      <c r="L4" s="13" t="s">
        <v>10</v>
      </c>
      <c r="M4" s="13" t="s">
        <v>11</v>
      </c>
      <c r="N4" s="13" t="s">
        <v>12</v>
      </c>
      <c r="P4" s="14" t="s">
        <v>13</v>
      </c>
      <c r="Q4" s="15"/>
      <c r="R4" s="15"/>
      <c r="S4" s="16"/>
    </row>
    <row r="5" spans="2:19">
      <c r="B5" s="17" t="s">
        <v>14</v>
      </c>
      <c r="C5" s="18"/>
      <c r="D5" s="18"/>
      <c r="E5" s="18"/>
      <c r="F5" s="19"/>
      <c r="G5" s="19"/>
      <c r="H5" s="19"/>
      <c r="K5" s="20" t="e" vm="1">
        <v>#VALUE!</v>
      </c>
      <c r="L5" s="21" t="e" vm="2">
        <v>#VALUE!</v>
      </c>
      <c r="M5" s="20" t="e" vm="1">
        <v>#VALUE!</v>
      </c>
      <c r="N5" s="21" t="e" vm="2">
        <v>#VALUE!</v>
      </c>
      <c r="P5" s="22" t="s">
        <v>15</v>
      </c>
      <c r="Q5" s="23" t="s">
        <v>16</v>
      </c>
      <c r="R5" s="23" t="s">
        <v>17</v>
      </c>
      <c r="S5" s="23" t="s">
        <v>18</v>
      </c>
    </row>
    <row r="6" spans="2:19" ht="23">
      <c r="B6" s="24" t="s">
        <v>19</v>
      </c>
      <c r="C6" s="25"/>
      <c r="D6" s="25"/>
      <c r="E6" s="25"/>
      <c r="F6" s="26"/>
      <c r="G6" s="26"/>
      <c r="H6" s="26"/>
      <c r="K6" s="20"/>
      <c r="L6" s="27"/>
      <c r="M6" s="20"/>
      <c r="N6" s="27"/>
      <c r="P6" s="28" t="s">
        <v>20</v>
      </c>
      <c r="Q6" s="23"/>
      <c r="R6" s="23"/>
      <c r="S6" s="23"/>
    </row>
    <row r="7" spans="2:19">
      <c r="B7" s="25" t="s">
        <v>21</v>
      </c>
      <c r="C7" s="25" t="s">
        <v>22</v>
      </c>
      <c r="D7" s="25" t="s">
        <v>23</v>
      </c>
      <c r="E7" s="29">
        <v>1000</v>
      </c>
      <c r="F7" s="26">
        <v>1002.03</v>
      </c>
      <c r="G7" s="26">
        <v>8.02</v>
      </c>
      <c r="H7" s="26">
        <v>7.05</v>
      </c>
      <c r="K7" s="20"/>
      <c r="L7" s="27"/>
      <c r="M7" s="20"/>
      <c r="N7" s="27"/>
      <c r="P7" s="30" t="s">
        <v>24</v>
      </c>
      <c r="Q7" s="31"/>
      <c r="R7" s="31"/>
      <c r="S7" s="31"/>
    </row>
    <row r="8" spans="2:19">
      <c r="B8" s="32" t="s">
        <v>25</v>
      </c>
      <c r="C8" s="32"/>
      <c r="D8" s="32"/>
      <c r="E8" s="32"/>
      <c r="F8" s="33">
        <f>SUM(F6:F7)</f>
        <v>1002.03</v>
      </c>
      <c r="G8" s="33">
        <f>SUM(G6:G7)</f>
        <v>8.02</v>
      </c>
      <c r="H8" s="34"/>
      <c r="I8" s="35"/>
      <c r="K8" s="20"/>
      <c r="L8" s="27"/>
      <c r="M8" s="20"/>
      <c r="N8" s="27"/>
      <c r="P8" s="30"/>
      <c r="Q8" s="36"/>
      <c r="R8" s="36"/>
      <c r="S8" s="36"/>
    </row>
    <row r="9" spans="2:19">
      <c r="B9" s="37" t="s">
        <v>26</v>
      </c>
      <c r="C9" s="37"/>
      <c r="D9" s="37"/>
      <c r="E9" s="37"/>
      <c r="F9" s="38">
        <f>F8</f>
        <v>1002.03</v>
      </c>
      <c r="G9" s="38">
        <f>G8</f>
        <v>8.02</v>
      </c>
      <c r="H9" s="38"/>
      <c r="I9" s="35"/>
      <c r="K9" s="20"/>
      <c r="L9" s="27"/>
      <c r="M9" s="20"/>
      <c r="N9" s="27"/>
      <c r="P9" s="30" t="s">
        <v>27</v>
      </c>
      <c r="Q9" s="31"/>
      <c r="R9" s="31"/>
      <c r="S9" s="31"/>
    </row>
    <row r="10" spans="2:19">
      <c r="B10" s="24" t="s">
        <v>28</v>
      </c>
      <c r="C10" s="25"/>
      <c r="D10" s="25"/>
      <c r="E10" s="25"/>
      <c r="F10" s="26"/>
      <c r="G10" s="26"/>
      <c r="H10" s="26"/>
      <c r="K10" s="20"/>
      <c r="L10" s="27"/>
      <c r="M10" s="20"/>
      <c r="N10" s="27"/>
      <c r="P10" s="30"/>
      <c r="Q10" s="36"/>
      <c r="R10" s="36"/>
      <c r="S10" s="36"/>
    </row>
    <row r="11" spans="2:19">
      <c r="B11" s="24" t="s">
        <v>29</v>
      </c>
      <c r="C11" s="25"/>
      <c r="D11" s="25"/>
      <c r="E11" s="25"/>
      <c r="F11" s="26"/>
      <c r="G11" s="26"/>
      <c r="H11" s="26"/>
      <c r="K11" s="20"/>
      <c r="L11" s="27"/>
      <c r="M11" s="20"/>
      <c r="N11" s="27"/>
      <c r="P11" s="30" t="s">
        <v>30</v>
      </c>
      <c r="Q11" s="31"/>
      <c r="R11" s="39" t="s">
        <v>31</v>
      </c>
      <c r="S11" s="31"/>
    </row>
    <row r="12" spans="2:19">
      <c r="B12" s="25" t="s">
        <v>32</v>
      </c>
      <c r="C12" s="25" t="s">
        <v>33</v>
      </c>
      <c r="D12" s="25" t="s">
        <v>34</v>
      </c>
      <c r="E12" s="29">
        <v>100000</v>
      </c>
      <c r="F12" s="26">
        <v>98.08</v>
      </c>
      <c r="G12" s="26">
        <v>0.78</v>
      </c>
      <c r="H12" s="26">
        <v>5.54</v>
      </c>
      <c r="K12" s="20"/>
      <c r="L12" s="40"/>
      <c r="M12" s="20"/>
      <c r="N12" s="40"/>
      <c r="P12" s="30"/>
      <c r="Q12" s="36"/>
      <c r="R12" s="41"/>
      <c r="S12" s="36"/>
    </row>
    <row r="13" spans="2:19">
      <c r="B13" s="32" t="s">
        <v>25</v>
      </c>
      <c r="C13" s="32"/>
      <c r="D13" s="32"/>
      <c r="E13" s="32"/>
      <c r="F13" s="33">
        <f>SUM(F11:F12)</f>
        <v>98.08</v>
      </c>
      <c r="G13" s="33">
        <f>SUM(G11:G12)</f>
        <v>0.78</v>
      </c>
      <c r="H13" s="34"/>
      <c r="I13" s="35"/>
      <c r="K13" s="42"/>
      <c r="L13" s="42" t="s">
        <v>35</v>
      </c>
      <c r="M13" s="43"/>
      <c r="N13" s="43"/>
    </row>
    <row r="14" spans="2:19">
      <c r="B14" s="37" t="s">
        <v>26</v>
      </c>
      <c r="C14" s="37"/>
      <c r="D14" s="37"/>
      <c r="E14" s="37"/>
      <c r="F14" s="38">
        <f>+F13</f>
        <v>98.08</v>
      </c>
      <c r="G14" s="38">
        <f>+G13</f>
        <v>0.78</v>
      </c>
      <c r="H14" s="38"/>
      <c r="I14" s="35"/>
    </row>
    <row r="15" spans="2:19">
      <c r="B15" s="24" t="s">
        <v>36</v>
      </c>
      <c r="C15" s="25"/>
      <c r="D15" s="25"/>
      <c r="E15" s="25"/>
      <c r="F15" s="26"/>
      <c r="G15" s="26"/>
      <c r="H15" s="26"/>
    </row>
    <row r="16" spans="2:19">
      <c r="B16" s="25" t="s">
        <v>37</v>
      </c>
      <c r="C16" s="25" t="s">
        <v>38</v>
      </c>
      <c r="D16" s="25" t="s">
        <v>39</v>
      </c>
      <c r="E16" s="29">
        <v>2500000</v>
      </c>
      <c r="F16" s="26">
        <v>2551.63</v>
      </c>
      <c r="G16" s="26">
        <v>20.420000000000002</v>
      </c>
      <c r="H16" s="26">
        <v>6.68</v>
      </c>
    </row>
    <row r="17" spans="2:9">
      <c r="B17" s="25" t="s">
        <v>40</v>
      </c>
      <c r="C17" s="25" t="s">
        <v>41</v>
      </c>
      <c r="D17" s="25" t="s">
        <v>39</v>
      </c>
      <c r="E17" s="29">
        <v>2000000</v>
      </c>
      <c r="F17" s="26">
        <v>1962.81</v>
      </c>
      <c r="G17" s="26">
        <v>15.71</v>
      </c>
      <c r="H17" s="26">
        <v>6.7</v>
      </c>
    </row>
    <row r="18" spans="2:9">
      <c r="B18" s="25" t="s">
        <v>42</v>
      </c>
      <c r="C18" s="25" t="s">
        <v>43</v>
      </c>
      <c r="D18" s="25" t="s">
        <v>39</v>
      </c>
      <c r="E18" s="29">
        <v>1500000</v>
      </c>
      <c r="F18" s="26">
        <v>1457.68</v>
      </c>
      <c r="G18" s="26">
        <v>11.67</v>
      </c>
      <c r="H18" s="26">
        <v>7.11</v>
      </c>
    </row>
    <row r="19" spans="2:9">
      <c r="B19" s="25" t="s">
        <v>44</v>
      </c>
      <c r="C19" s="25" t="s">
        <v>45</v>
      </c>
      <c r="D19" s="25" t="s">
        <v>39</v>
      </c>
      <c r="E19" s="29">
        <v>1000000</v>
      </c>
      <c r="F19" s="26">
        <v>1029.6500000000001</v>
      </c>
      <c r="G19" s="26">
        <v>8.24</v>
      </c>
      <c r="H19" s="26">
        <v>6.9</v>
      </c>
    </row>
    <row r="20" spans="2:9">
      <c r="B20" s="25" t="s">
        <v>46</v>
      </c>
      <c r="C20" s="25" t="s">
        <v>47</v>
      </c>
      <c r="D20" s="25" t="s">
        <v>39</v>
      </c>
      <c r="E20" s="29">
        <v>1000000</v>
      </c>
      <c r="F20" s="26">
        <v>1008</v>
      </c>
      <c r="G20" s="26">
        <v>8.07</v>
      </c>
      <c r="H20" s="26">
        <v>6.78</v>
      </c>
    </row>
    <row r="21" spans="2:9">
      <c r="B21" s="25" t="s">
        <v>48</v>
      </c>
      <c r="C21" s="25" t="s">
        <v>49</v>
      </c>
      <c r="D21" s="25" t="s">
        <v>39</v>
      </c>
      <c r="E21" s="29">
        <v>1000000</v>
      </c>
      <c r="F21" s="26">
        <v>1007.63</v>
      </c>
      <c r="G21" s="26">
        <v>8.06</v>
      </c>
      <c r="H21" s="26">
        <v>6.79</v>
      </c>
    </row>
    <row r="22" spans="2:9">
      <c r="B22" s="25" t="s">
        <v>50</v>
      </c>
      <c r="C22" s="25" t="s">
        <v>51</v>
      </c>
      <c r="D22" s="25" t="s">
        <v>39</v>
      </c>
      <c r="E22" s="29">
        <v>500000</v>
      </c>
      <c r="F22" s="26">
        <v>510.47</v>
      </c>
      <c r="G22" s="26">
        <v>4.09</v>
      </c>
      <c r="H22" s="26">
        <v>6.22</v>
      </c>
    </row>
    <row r="23" spans="2:9">
      <c r="B23" s="25" t="s">
        <v>52</v>
      </c>
      <c r="C23" s="25" t="s">
        <v>53</v>
      </c>
      <c r="D23" s="25" t="s">
        <v>39</v>
      </c>
      <c r="E23" s="29">
        <v>500000</v>
      </c>
      <c r="F23" s="26">
        <v>498.65</v>
      </c>
      <c r="G23" s="26">
        <v>3.99</v>
      </c>
      <c r="H23" s="26">
        <v>7.46</v>
      </c>
    </row>
    <row r="24" spans="2:9">
      <c r="B24" s="25" t="s">
        <v>54</v>
      </c>
      <c r="C24" s="25" t="s">
        <v>55</v>
      </c>
      <c r="D24" s="25" t="s">
        <v>39</v>
      </c>
      <c r="E24" s="29">
        <v>500000</v>
      </c>
      <c r="F24" s="26">
        <v>489.61</v>
      </c>
      <c r="G24" s="26">
        <v>3.92</v>
      </c>
      <c r="H24" s="26">
        <v>7.12</v>
      </c>
    </row>
    <row r="25" spans="2:9">
      <c r="B25" s="25" t="s">
        <v>56</v>
      </c>
      <c r="C25" s="25" t="s">
        <v>57</v>
      </c>
      <c r="D25" s="25" t="s">
        <v>39</v>
      </c>
      <c r="E25" s="29">
        <v>250000</v>
      </c>
      <c r="F25" s="26">
        <v>242.92</v>
      </c>
      <c r="G25" s="26">
        <v>1.94</v>
      </c>
      <c r="H25" s="26">
        <v>7.36</v>
      </c>
    </row>
    <row r="26" spans="2:9">
      <c r="B26" s="44" t="s">
        <v>58</v>
      </c>
      <c r="C26" s="44" t="s">
        <v>59</v>
      </c>
      <c r="D26" s="44" t="s">
        <v>39</v>
      </c>
      <c r="E26" s="45">
        <v>28000</v>
      </c>
      <c r="F26" s="46">
        <v>28.32</v>
      </c>
      <c r="G26" s="46">
        <v>0.23</v>
      </c>
      <c r="H26" s="46">
        <v>5.78</v>
      </c>
    </row>
    <row r="27" spans="2:9">
      <c r="B27" s="47" t="s">
        <v>26</v>
      </c>
      <c r="C27" s="47"/>
      <c r="D27" s="47"/>
      <c r="E27" s="47"/>
      <c r="F27" s="48">
        <f>SUM(F16:F26)</f>
        <v>10787.369999999999</v>
      </c>
      <c r="G27" s="48">
        <f>SUM(G16:G26)</f>
        <v>86.340000000000018</v>
      </c>
      <c r="H27" s="48"/>
      <c r="I27" s="35"/>
    </row>
    <row r="28" spans="2:9">
      <c r="B28" s="24" t="s">
        <v>60</v>
      </c>
      <c r="C28" s="25"/>
      <c r="D28" s="25"/>
      <c r="E28" s="25"/>
      <c r="F28" s="26"/>
      <c r="G28" s="26"/>
      <c r="H28" s="26"/>
    </row>
    <row r="29" spans="2:9">
      <c r="B29" s="44" t="s">
        <v>61</v>
      </c>
      <c r="C29" s="44" t="s">
        <v>62</v>
      </c>
      <c r="D29" s="44" t="s">
        <v>60</v>
      </c>
      <c r="E29" s="45">
        <v>314.88400000000001</v>
      </c>
      <c r="F29" s="46">
        <v>35.68</v>
      </c>
      <c r="G29" s="46">
        <v>0.28999999999999998</v>
      </c>
      <c r="H29" s="46">
        <v>5.66</v>
      </c>
    </row>
    <row r="30" spans="2:9">
      <c r="B30" s="47" t="s">
        <v>26</v>
      </c>
      <c r="C30" s="47"/>
      <c r="D30" s="47"/>
      <c r="E30" s="47"/>
      <c r="F30" s="48">
        <f>SUM(F29:F29)</f>
        <v>35.68</v>
      </c>
      <c r="G30" s="48">
        <f>SUM(G29:G29)</f>
        <v>0.28999999999999998</v>
      </c>
      <c r="H30" s="48"/>
      <c r="I30" s="35"/>
    </row>
    <row r="31" spans="2:9">
      <c r="B31" s="24" t="s">
        <v>63</v>
      </c>
      <c r="C31" s="25"/>
      <c r="D31" s="25"/>
      <c r="E31" s="25"/>
      <c r="F31" s="26"/>
      <c r="G31" s="26"/>
      <c r="H31" s="26"/>
    </row>
    <row r="32" spans="2:9">
      <c r="B32" s="25" t="s">
        <v>63</v>
      </c>
      <c r="C32" s="25"/>
      <c r="D32" s="25"/>
      <c r="E32" s="25"/>
      <c r="F32" s="26">
        <v>267.01</v>
      </c>
      <c r="G32" s="26">
        <v>2.14</v>
      </c>
      <c r="H32" s="26"/>
    </row>
    <row r="33" spans="2:9">
      <c r="B33" s="32" t="s">
        <v>25</v>
      </c>
      <c r="C33" s="32"/>
      <c r="D33" s="32"/>
      <c r="E33" s="32"/>
      <c r="F33" s="33">
        <f>SUM(F31:F32)</f>
        <v>267.01</v>
      </c>
      <c r="G33" s="33">
        <f>SUM(G31:G32)</f>
        <v>2.14</v>
      </c>
      <c r="H33" s="34"/>
      <c r="I33" s="35"/>
    </row>
    <row r="34" spans="2:9">
      <c r="B34" s="49" t="s">
        <v>26</v>
      </c>
      <c r="C34" s="49"/>
      <c r="D34" s="49"/>
      <c r="E34" s="49"/>
      <c r="F34" s="50">
        <f>F33</f>
        <v>267.01</v>
      </c>
      <c r="G34" s="50">
        <f>G33</f>
        <v>2.14</v>
      </c>
      <c r="H34" s="50"/>
      <c r="I34" s="35"/>
    </row>
    <row r="35" spans="2:9">
      <c r="B35" s="51" t="s">
        <v>64</v>
      </c>
      <c r="C35" s="51"/>
      <c r="D35" s="51"/>
      <c r="E35" s="51"/>
      <c r="F35" s="52">
        <f>F36-(+F9+F14+F27+F30+F34)</f>
        <v>304.56999999999971</v>
      </c>
      <c r="G35" s="52">
        <f>G36-(+G9+G14+G27+G30+G34)</f>
        <v>2.4299999999999784</v>
      </c>
      <c r="H35" s="52"/>
      <c r="I35" s="35"/>
    </row>
    <row r="36" spans="2:9">
      <c r="B36" s="51" t="s">
        <v>65</v>
      </c>
      <c r="C36" s="51"/>
      <c r="D36" s="51"/>
      <c r="E36" s="51"/>
      <c r="F36" s="52">
        <v>12494.74</v>
      </c>
      <c r="G36" s="52">
        <v>100</v>
      </c>
      <c r="H36" s="52"/>
      <c r="I36" s="35"/>
    </row>
    <row r="38" spans="2:9">
      <c r="B38" s="35" t="s">
        <v>66</v>
      </c>
    </row>
    <row r="39" spans="2:9" ht="12" thickBot="1"/>
    <row r="40" spans="2:9" ht="12.5" thickTop="1" thickBot="1">
      <c r="B40" s="53" t="s">
        <v>67</v>
      </c>
      <c r="C40" s="54">
        <v>4.1334</v>
      </c>
    </row>
    <row r="41" spans="2:9" ht="12.5" thickTop="1" thickBot="1"/>
    <row r="42" spans="2:9" ht="12.5" thickTop="1" thickBot="1">
      <c r="B42" s="53" t="s">
        <v>68</v>
      </c>
      <c r="C42" s="55">
        <v>6.7699999999999996E-2</v>
      </c>
    </row>
    <row r="43" spans="2:9" ht="12.5" thickTop="1" thickBot="1"/>
    <row r="44" spans="2:9" ht="12.5" thickTop="1" thickBot="1">
      <c r="B44" s="53" t="s">
        <v>69</v>
      </c>
      <c r="C44" s="54">
        <v>4.2923999999999998</v>
      </c>
    </row>
    <row r="45" spans="2:9" ht="12" thickTop="1"/>
    <row r="47" spans="2:9">
      <c r="B47" s="35" t="s">
        <v>70</v>
      </c>
    </row>
    <row r="49" spans="2:2" ht="14.5">
      <c r="B49" s="56" t="s">
        <v>71</v>
      </c>
    </row>
  </sheetData>
  <mergeCells count="21">
    <mergeCell ref="P11:P12"/>
    <mergeCell ref="Q11:Q12"/>
    <mergeCell ref="R11:R12"/>
    <mergeCell ref="S11:S12"/>
    <mergeCell ref="Q7:Q8"/>
    <mergeCell ref="R7:R8"/>
    <mergeCell ref="S7:S8"/>
    <mergeCell ref="P9:P10"/>
    <mergeCell ref="Q9:Q10"/>
    <mergeCell ref="R9:R10"/>
    <mergeCell ref="S9:S10"/>
    <mergeCell ref="B1:H1"/>
    <mergeCell ref="P4:S4"/>
    <mergeCell ref="K5:K12"/>
    <mergeCell ref="L5:L12"/>
    <mergeCell ref="M5:M12"/>
    <mergeCell ref="N5:N12"/>
    <mergeCell ref="Q5:Q6"/>
    <mergeCell ref="R5:R6"/>
    <mergeCell ref="S5:S6"/>
    <mergeCell ref="P7:P8"/>
  </mergeCells>
  <hyperlinks>
    <hyperlink ref="B49" r:id="rId1" tooltip="Original URL: https://www.canararobeco.com/images/default-source/default-album/Scheme%20Performance%20all%20fund.pdf. Click or tap if you trust this link." display="https://www.canararobeco.com/images/default-source/default-album/Scheme Performance all fund.pdf" xr:uid="{86E67C2D-73F3-4050-8C0B-7F5650C87ED6}"/>
  </hyperlinks>
  <pageMargins left="0.7" right="0.7" top="0.75" bottom="0.75" header="0.3" footer="0.3"/>
  <pageSetup paperSize="9" orientation="portrait" r:id="rId2"/>
  <headerFooter>
    <oddFooter>&amp;C&amp;1#&amp;"Calibri"&amp;10&amp;K000000RESTRICTED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2025-09-08 17:20:24</KDate>
  <Classification>Public</Classification>
  <Subclassification/>
  <HostName>MUMCMP01346</HostName>
  <Domain_User>CANARAROBECOMF/396</Domain_User>
  <IPAdd>192.9.198.198</IPAdd>
  <FilePath>Book48</FilePath>
  <KID>1098191A8D7D638929488245996004</KID>
  <UniqueName/>
  <Suggested/>
  <Justification/>
</Klassify>
</file>

<file path=customXml/itemProps1.xml><?xml version="1.0" encoding="utf-8"?>
<ds:datastoreItem xmlns:ds="http://schemas.openxmlformats.org/officeDocument/2006/customXml" ds:itemID="{4D7929EA-AD37-45BE-A202-40CAA33040C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2025-09-08T11:50:20Z</dcterms:created>
  <dcterms:modified xsi:type="dcterms:W3CDTF">2025-09-08T11:50:24Z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1098191A8D7D638929488245996004</vt:lpwstr>
  </property>
</Properties>
</file>